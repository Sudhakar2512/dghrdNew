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hrd\Desktop\"/>
    </mc:Choice>
  </mc:AlternateContent>
  <bookViews>
    <workbookView xWindow="0" yWindow="0" windowWidth="28800" windowHeight="12135"/>
  </bookViews>
  <sheets>
    <sheet name="October (2022-23)" sheetId="3" r:id="rId1"/>
  </sheets>
  <definedNames>
    <definedName name="_xlnm.Print_Area" localSheetId="0">'October (2022-23)'!$A$1:$O$49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3" l="1"/>
  <c r="N35" i="3"/>
  <c r="N40" i="3" s="1"/>
  <c r="M35" i="3"/>
  <c r="N38" i="3" s="1"/>
  <c r="I35" i="3"/>
  <c r="H35" i="3"/>
  <c r="D35" i="3"/>
  <c r="C35" i="3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I45" i="3" l="1"/>
  <c r="I47" i="3" s="1"/>
  <c r="C40" i="3"/>
  <c r="I40" i="3" s="1"/>
  <c r="I48" i="3" s="1"/>
  <c r="C38" i="3"/>
  <c r="I38" i="3" s="1"/>
  <c r="I49" i="3" l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<sst xmlns="http://schemas.openxmlformats.org/spreadsheetml/2006/main" count="105" uniqueCount="91">
  <si>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</si>
  <si>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</si>
  <si>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</si>
  <si>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</si>
  <si>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</si>
  <si>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</si>
  <si>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</si>
  <si>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</si>
  <si>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</si>
  <si>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</si>
  <si>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</si>
  <si>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</si>
  <si>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</si>
  <si>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</si>
  <si>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</si>
  <si>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</si>
  <si>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</si>
  <si>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</si>
  <si>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</si>
  <si>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</si>
  <si>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</si>
  <si>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</si>
  <si>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</si>
  <si>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</si>
  <si>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</si>
  <si>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</si>
  <si>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</si>
  <si>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</si>
  <si>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</si>
  <si>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</si>
  <si>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</si>
  <si>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</si>
  <si>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</si>
  <si>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</si>
  <si>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</si>
  <si>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</si>
  <si>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</si>
  <si>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</si>
  <si>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</si>
  <si>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</si>
  <si>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</si>
  <si>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</si>
  <si>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</si>
  <si>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</si>
  <si>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</si>
  <si>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</si>
  <si>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</si>
  <si>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</si>
  <si>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</si>
  <si>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</si>
  <si>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</si>
  <si>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</si>
  <si>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</si>
  <si>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</si>
  <si>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</si>
  <si>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</si>
  <si>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</si>
  <si>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</si>
  <si>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</si>
  <si>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</si>
  <si>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</si>
  <si>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</si>
  <si>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</si>
  <si>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</si>
  <si>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</si>
  <si>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</si>
  <si>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</si>
  <si>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</si>
  <si>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</si>
  <si>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</si>
  <si>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</si>
  <si>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</si>
  <si>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</si>
  <si>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</si>
  <si>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</si>
  <si>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</si>
  <si>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</si>
  <si>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</si>
  <si>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</si>
  <si>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</si>
  <si>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</si>
  <si>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</si>
  <si>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</si>
  <si>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</si>
  <si>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</si>
  <si>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</si>
  <si>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</si>
  <si>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</si>
  <si>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Total Budget for Swachhta  FY 2022-23=</t>
  </si>
  <si>
    <t>BE      2022-23 + Addl. Funds</t>
  </si>
  <si>
    <t>Expenditure of "Swachhta" Upto October,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</si>
</sst>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0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64">
    <xf numFmtId="0" fontId="0" fillId="0" borderId="0" xfId="0"/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0" fillId="0" borderId="0" xfId="0" applyFill="1" applyBorder="1"/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/>
    <xf numFmtId="0" fontId="5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2" fontId="13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/>
    <xf numFmtId="0" fontId="5" fillId="0" borderId="1" xfId="0" applyFont="1" applyFill="1" applyBorder="1"/>
    <xf numFmtId="164" fontId="19" fillId="0" borderId="1" xfId="0" applyNumberFormat="1" applyFont="1" applyFill="1" applyBorder="1"/>
    <xf numFmtId="2" fontId="4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4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0" fillId="0" borderId="1" xfId="0" applyFill="1" applyBorder="1"/>
    <xf numFmtId="2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18" fillId="0" borderId="0" xfId="0" applyFont="1" applyFill="1"/>
    <xf numFmtId="0" fontId="12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20" fillId="0" borderId="0" xfId="0" applyFont="1" applyFill="1"/>
    <xf numFmtId="0" fontId="21" fillId="0" borderId="0" xfId="0" applyFont="1" applyFill="1"/>
    <xf numFmtId="1" fontId="0" fillId="0" borderId="0" xfId="0" applyNumberFormat="1" applyFill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right" vertical="top" wrapText="1"/>
    </xf>
    <xf numFmtId="0" fontId="8" fillId="0" borderId="1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wrapText="1"/>
    </xf>
    <xf numFmtId="1" fontId="8" fillId="0" borderId="1" xfId="0" applyNumberFormat="1" applyFont="1" applyFill="1" applyBorder="1" applyAlignment="1">
      <alignment horizontal="right" vertical="top" wrapText="1"/>
    </xf>
    <xf numFmtId="0" fontId="8" fillId="0" borderId="1" xfId="0" applyFont="1" applyFill="1" applyBorder="1" applyAlignment="1">
      <alignment vertical="center" wrapText="1"/>
    </xf>
    <xf numFmtId="2" fontId="8" fillId="0" borderId="1" xfId="0" applyNumberFormat="1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view="pageBreakPreview" zoomScale="58" zoomScaleSheetLayoutView="58" workbookViewId="0">
      <selection activeCell="I48" sqref="I48"/>
    </sheetView>
  </sheetViews>
  <sheetFormatPr defaultRowHeight="15" x14ac:dyDescent="0.25"/>
  <cols>
    <col min="1" max="1" width="10" style="38" customWidth="1"/>
    <col min="2" max="2" width="56.7109375" style="39" customWidth="1"/>
    <col min="3" max="3" width="21.85546875" style="39" customWidth="1"/>
    <col min="4" max="4" width="27.42578125" style="39" customWidth="1"/>
    <col min="5" max="5" width="17.7109375" style="39" customWidth="1"/>
    <col min="6" max="6" width="12.28515625" style="38" customWidth="1"/>
    <col min="7" max="7" width="49.5703125" style="40" customWidth="1"/>
    <col min="8" max="8" width="19.28515625" style="40" customWidth="1"/>
    <col min="9" max="9" width="25" style="40" customWidth="1"/>
    <col min="10" max="10" width="19.28515625" style="40" customWidth="1"/>
    <col min="11" max="11" width="12" style="41" customWidth="1"/>
    <col min="12" max="12" width="47.5703125" style="40" customWidth="1"/>
    <col min="13" max="13" width="20" style="40" customWidth="1"/>
    <col min="14" max="14" width="25.140625" style="22" customWidth="1"/>
    <col min="15" max="15" width="18.28515625" style="22" customWidth="1"/>
    <col min="16" max="16" width="9.140625" style="22"/>
    <col min="17" max="17" width="23" style="22" customWidth="1"/>
    <col min="18" max="16384" width="9.140625" style="22"/>
  </cols>
  <sheetData>
    <row r="1" spans="1:17" s="21" customFormat="1" ht="56.25" customHeight="1" x14ac:dyDescent="0.25">
      <c r="A1" s="54" t="s">
        <v>90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7" ht="24.75" customHeight="1" x14ac:dyDescent="0.25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7" s="23" customFormat="1" ht="21" customHeight="1" x14ac:dyDescent="0.4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0"/>
      <c r="K3" s="7"/>
      <c r="L3" s="53" t="s">
        <v>2</v>
      </c>
      <c r="M3" s="53"/>
      <c r="N3" s="53"/>
      <c r="O3" s="7"/>
    </row>
    <row r="4" spans="1:17" s="24" customFormat="1" ht="117.75" customHeight="1" x14ac:dyDescent="0.4">
      <c r="A4" s="50" t="s">
        <v>3</v>
      </c>
      <c r="B4" s="50" t="s">
        <v>4</v>
      </c>
      <c r="C4" s="8" t="s">
        <v>89</v>
      </c>
      <c r="D4" s="8" t="s">
        <v>5</v>
      </c>
      <c r="E4" s="8" t="s">
        <v>6</v>
      </c>
      <c r="F4" s="50" t="s">
        <v>3</v>
      </c>
      <c r="G4" s="50" t="s">
        <v>4</v>
      </c>
      <c r="H4" s="8" t="s">
        <v>89</v>
      </c>
      <c r="I4" s="50" t="s">
        <v>5</v>
      </c>
      <c r="J4" s="50" t="s">
        <v>6</v>
      </c>
      <c r="K4" s="50" t="s">
        <v>3</v>
      </c>
      <c r="L4" s="50" t="s">
        <v>4</v>
      </c>
      <c r="M4" s="8" t="s">
        <v>89</v>
      </c>
      <c r="N4" s="50" t="s">
        <v>5</v>
      </c>
      <c r="O4" s="8" t="s">
        <v>6</v>
      </c>
    </row>
    <row r="5" spans="1:17" ht="32.25" customHeight="1" x14ac:dyDescent="0.25">
      <c r="A5" s="1">
        <v>1</v>
      </c>
      <c r="B5" s="2" t="s">
        <v>7</v>
      </c>
      <c r="C5" s="1">
        <v>9000</v>
      </c>
      <c r="D5" s="6">
        <v>3974</v>
      </c>
      <c r="E5" s="9">
        <f>D5/C5*100</f>
        <v>44.155555555555551</v>
      </c>
      <c r="F5" s="1">
        <v>31</v>
      </c>
      <c r="G5" s="2" t="s">
        <v>8</v>
      </c>
      <c r="H5" s="1">
        <v>4000</v>
      </c>
      <c r="I5" s="6">
        <v>591</v>
      </c>
      <c r="J5" s="9">
        <f t="shared" ref="J5:J12" si="0">I5/H5*100</f>
        <v>14.774999999999999</v>
      </c>
      <c r="K5" s="1">
        <v>1</v>
      </c>
      <c r="L5" s="2" t="s">
        <v>9</v>
      </c>
      <c r="M5" s="1">
        <v>5700</v>
      </c>
      <c r="N5" s="6">
        <v>1116</v>
      </c>
      <c r="O5" s="9">
        <f>N5/M5*100</f>
        <v>19.578947368421051</v>
      </c>
    </row>
    <row r="6" spans="1:17" ht="32.25" customHeight="1" x14ac:dyDescent="0.25">
      <c r="A6" s="1">
        <v>2</v>
      </c>
      <c r="B6" s="2" t="s">
        <v>10</v>
      </c>
      <c r="C6" s="1">
        <v>10000</v>
      </c>
      <c r="D6" s="6">
        <v>4961</v>
      </c>
      <c r="E6" s="9">
        <f t="shared" ref="E6:E31" si="1">D6/C6*100</f>
        <v>49.61</v>
      </c>
      <c r="F6" s="1">
        <v>32</v>
      </c>
      <c r="G6" s="2" t="s">
        <v>11</v>
      </c>
      <c r="H6" s="1">
        <v>8500</v>
      </c>
      <c r="I6" s="6">
        <v>977</v>
      </c>
      <c r="J6" s="9">
        <f t="shared" si="0"/>
        <v>11.494117647058824</v>
      </c>
      <c r="K6" s="1">
        <v>2</v>
      </c>
      <c r="L6" s="2" t="s">
        <v>12</v>
      </c>
      <c r="M6" s="1">
        <v>3200</v>
      </c>
      <c r="N6" s="6">
        <v>1000</v>
      </c>
      <c r="O6" s="9">
        <f t="shared" ref="O6:O34" si="2">N6/M6*100</f>
        <v>31.25</v>
      </c>
    </row>
    <row r="7" spans="1:17" ht="50.25" customHeight="1" x14ac:dyDescent="0.25">
      <c r="A7" s="1">
        <v>3</v>
      </c>
      <c r="B7" s="2" t="s">
        <v>13</v>
      </c>
      <c r="C7" s="1">
        <v>11000</v>
      </c>
      <c r="D7" s="6">
        <v>2542</v>
      </c>
      <c r="E7" s="9">
        <f t="shared" si="1"/>
        <v>23.109090909090909</v>
      </c>
      <c r="F7" s="1">
        <v>33</v>
      </c>
      <c r="G7" s="2" t="s">
        <v>14</v>
      </c>
      <c r="H7" s="1">
        <v>400</v>
      </c>
      <c r="I7" s="6">
        <v>65</v>
      </c>
      <c r="J7" s="9">
        <f t="shared" si="0"/>
        <v>16.25</v>
      </c>
      <c r="K7" s="1">
        <v>3</v>
      </c>
      <c r="L7" s="2" t="s">
        <v>15</v>
      </c>
      <c r="M7" s="1">
        <v>1200</v>
      </c>
      <c r="N7" s="6">
        <v>10</v>
      </c>
      <c r="O7" s="9">
        <f t="shared" si="2"/>
        <v>0.83333333333333337</v>
      </c>
    </row>
    <row r="8" spans="1:17" ht="32.25" customHeight="1" x14ac:dyDescent="0.25">
      <c r="A8" s="1">
        <v>4</v>
      </c>
      <c r="B8" s="2" t="s">
        <v>16</v>
      </c>
      <c r="C8" s="1">
        <v>6000</v>
      </c>
      <c r="D8" s="6">
        <v>747</v>
      </c>
      <c r="E8" s="9">
        <f t="shared" si="1"/>
        <v>12.45</v>
      </c>
      <c r="F8" s="1">
        <v>34</v>
      </c>
      <c r="G8" s="2" t="s">
        <v>17</v>
      </c>
      <c r="H8" s="1">
        <v>17000</v>
      </c>
      <c r="I8" s="6">
        <v>4325</v>
      </c>
      <c r="J8" s="9">
        <f t="shared" si="0"/>
        <v>25.441176470588232</v>
      </c>
      <c r="K8" s="1">
        <v>4</v>
      </c>
      <c r="L8" s="2" t="s">
        <v>18</v>
      </c>
      <c r="M8" s="1">
        <v>32000</v>
      </c>
      <c r="N8" s="6">
        <v>5894</v>
      </c>
      <c r="O8" s="9">
        <f t="shared" si="2"/>
        <v>18.418749999999999</v>
      </c>
    </row>
    <row r="9" spans="1:17" ht="32.25" customHeight="1" x14ac:dyDescent="0.25">
      <c r="A9" s="1">
        <v>5</v>
      </c>
      <c r="B9" s="2" t="s">
        <v>19</v>
      </c>
      <c r="C9" s="1">
        <v>10000</v>
      </c>
      <c r="D9" s="6">
        <v>5056</v>
      </c>
      <c r="E9" s="9">
        <f t="shared" si="1"/>
        <v>50.56</v>
      </c>
      <c r="F9" s="1">
        <v>35</v>
      </c>
      <c r="G9" s="2" t="s">
        <v>20</v>
      </c>
      <c r="H9" s="1">
        <v>3000</v>
      </c>
      <c r="I9" s="6">
        <v>693</v>
      </c>
      <c r="J9" s="9">
        <f t="shared" si="0"/>
        <v>23.1</v>
      </c>
      <c r="K9" s="1">
        <v>5</v>
      </c>
      <c r="L9" s="2" t="s">
        <v>21</v>
      </c>
      <c r="M9" s="1">
        <v>31000</v>
      </c>
      <c r="N9" s="6">
        <v>8189</v>
      </c>
      <c r="O9" s="9">
        <f t="shared" si="2"/>
        <v>26.416129032258063</v>
      </c>
    </row>
    <row r="10" spans="1:17" ht="36.75" customHeight="1" x14ac:dyDescent="0.25">
      <c r="A10" s="1">
        <v>6</v>
      </c>
      <c r="B10" s="2" t="s">
        <v>22</v>
      </c>
      <c r="C10" s="1">
        <v>17500</v>
      </c>
      <c r="D10" s="6">
        <v>3689</v>
      </c>
      <c r="E10" s="9">
        <f t="shared" si="1"/>
        <v>21.08</v>
      </c>
      <c r="F10" s="1">
        <v>36</v>
      </c>
      <c r="G10" s="2" t="s">
        <v>23</v>
      </c>
      <c r="H10" s="1">
        <v>11000</v>
      </c>
      <c r="I10" s="6">
        <v>3030</v>
      </c>
      <c r="J10" s="9">
        <f t="shared" si="0"/>
        <v>27.545454545454547</v>
      </c>
      <c r="K10" s="1">
        <v>6</v>
      </c>
      <c r="L10" s="2" t="s">
        <v>24</v>
      </c>
      <c r="M10" s="1">
        <v>3000</v>
      </c>
      <c r="N10" s="6">
        <v>0</v>
      </c>
      <c r="O10" s="9">
        <f t="shared" si="2"/>
        <v>0</v>
      </c>
    </row>
    <row r="11" spans="1:17" ht="47.25" customHeight="1" x14ac:dyDescent="0.25">
      <c r="A11" s="1">
        <v>7</v>
      </c>
      <c r="B11" s="2" t="s">
        <v>25</v>
      </c>
      <c r="C11" s="1">
        <v>8000</v>
      </c>
      <c r="D11" s="6">
        <v>1317</v>
      </c>
      <c r="E11" s="9">
        <f t="shared" si="1"/>
        <v>16.462499999999999</v>
      </c>
      <c r="F11" s="1">
        <v>37</v>
      </c>
      <c r="G11" s="2" t="s">
        <v>26</v>
      </c>
      <c r="H11" s="1">
        <v>1800</v>
      </c>
      <c r="I11" s="6">
        <v>544</v>
      </c>
      <c r="J11" s="9">
        <f t="shared" si="0"/>
        <v>30.222222222222221</v>
      </c>
      <c r="K11" s="1">
        <v>7</v>
      </c>
      <c r="L11" s="2" t="s">
        <v>27</v>
      </c>
      <c r="M11" s="1">
        <v>2000</v>
      </c>
      <c r="N11" s="6">
        <v>110</v>
      </c>
      <c r="O11" s="9">
        <f t="shared" si="2"/>
        <v>5.5</v>
      </c>
    </row>
    <row r="12" spans="1:17" ht="32.25" customHeight="1" x14ac:dyDescent="0.5">
      <c r="A12" s="1">
        <v>8</v>
      </c>
      <c r="B12" s="2" t="s">
        <v>28</v>
      </c>
      <c r="C12" s="1">
        <v>10000</v>
      </c>
      <c r="D12" s="6">
        <v>3453</v>
      </c>
      <c r="E12" s="9">
        <f t="shared" si="1"/>
        <v>34.53</v>
      </c>
      <c r="F12" s="1">
        <v>38</v>
      </c>
      <c r="G12" s="2" t="s">
        <v>29</v>
      </c>
      <c r="H12" s="1">
        <v>30</v>
      </c>
      <c r="I12" s="6">
        <v>11</v>
      </c>
      <c r="J12" s="9">
        <f t="shared" si="0"/>
        <v>36.666666666666664</v>
      </c>
      <c r="K12" s="1">
        <v>8</v>
      </c>
      <c r="L12" s="2" t="s">
        <v>30</v>
      </c>
      <c r="M12" s="1">
        <v>23584</v>
      </c>
      <c r="N12" s="6">
        <v>11399</v>
      </c>
      <c r="O12" s="9">
        <f t="shared" si="2"/>
        <v>48.333616010854819</v>
      </c>
      <c r="Q12" s="45"/>
    </row>
    <row r="13" spans="1:17" ht="27.75" customHeight="1" x14ac:dyDescent="0.25">
      <c r="A13" s="1">
        <v>9</v>
      </c>
      <c r="B13" s="2" t="s">
        <v>31</v>
      </c>
      <c r="C13" s="1">
        <v>8500</v>
      </c>
      <c r="D13" s="6">
        <v>5637</v>
      </c>
      <c r="E13" s="9">
        <f t="shared" si="1"/>
        <v>66.317647058823525</v>
      </c>
      <c r="F13" s="10"/>
      <c r="G13" s="11"/>
      <c r="H13" s="11"/>
      <c r="I13" s="11"/>
      <c r="J13" s="9"/>
      <c r="K13" s="1">
        <v>9</v>
      </c>
      <c r="L13" s="2" t="s">
        <v>32</v>
      </c>
      <c r="M13" s="1">
        <v>7000</v>
      </c>
      <c r="N13" s="6">
        <v>2688</v>
      </c>
      <c r="O13" s="9">
        <f t="shared" si="2"/>
        <v>38.4</v>
      </c>
    </row>
    <row r="14" spans="1:17" ht="32.25" customHeight="1" x14ac:dyDescent="0.25">
      <c r="A14" s="1">
        <v>10</v>
      </c>
      <c r="B14" s="2" t="s">
        <v>33</v>
      </c>
      <c r="C14" s="1">
        <v>9000</v>
      </c>
      <c r="D14" s="6">
        <v>2809</v>
      </c>
      <c r="E14" s="9">
        <f t="shared" si="1"/>
        <v>31.211111111111112</v>
      </c>
      <c r="F14" s="10"/>
      <c r="G14" s="11"/>
      <c r="H14" s="11"/>
      <c r="I14" s="11"/>
      <c r="J14" s="11"/>
      <c r="K14" s="1">
        <v>10</v>
      </c>
      <c r="L14" s="2" t="s">
        <v>34</v>
      </c>
      <c r="M14" s="1">
        <v>1750</v>
      </c>
      <c r="N14" s="6">
        <v>599</v>
      </c>
      <c r="O14" s="9">
        <f t="shared" si="2"/>
        <v>34.228571428571428</v>
      </c>
    </row>
    <row r="15" spans="1:17" ht="30" customHeight="1" x14ac:dyDescent="0.3">
      <c r="A15" s="1">
        <v>11</v>
      </c>
      <c r="B15" s="2" t="s">
        <v>35</v>
      </c>
      <c r="C15" s="1">
        <v>9000</v>
      </c>
      <c r="D15" s="6">
        <v>4952</v>
      </c>
      <c r="E15" s="9">
        <f t="shared" si="1"/>
        <v>55.022222222222219</v>
      </c>
      <c r="F15" s="10"/>
      <c r="G15" s="19"/>
      <c r="H15" s="11"/>
      <c r="I15" s="11"/>
      <c r="J15" s="11"/>
      <c r="K15" s="1">
        <v>11</v>
      </c>
      <c r="L15" s="2" t="s">
        <v>36</v>
      </c>
      <c r="M15" s="1">
        <v>1000</v>
      </c>
      <c r="N15" s="6">
        <v>226</v>
      </c>
      <c r="O15" s="9">
        <f t="shared" si="2"/>
        <v>22.6</v>
      </c>
    </row>
    <row r="16" spans="1:17" ht="26.25" customHeight="1" x14ac:dyDescent="0.25">
      <c r="A16" s="1">
        <v>12</v>
      </c>
      <c r="B16" s="2" t="s">
        <v>37</v>
      </c>
      <c r="C16" s="1">
        <v>12000</v>
      </c>
      <c r="D16" s="6">
        <v>2678</v>
      </c>
      <c r="E16" s="9">
        <f t="shared" si="1"/>
        <v>22.316666666666666</v>
      </c>
      <c r="F16" s="1"/>
      <c r="G16" s="2"/>
      <c r="H16" s="6"/>
      <c r="I16" s="6"/>
      <c r="J16" s="11"/>
      <c r="K16" s="1">
        <v>12</v>
      </c>
      <c r="L16" s="2" t="s">
        <v>38</v>
      </c>
      <c r="M16" s="1">
        <v>1100</v>
      </c>
      <c r="N16" s="6">
        <v>20</v>
      </c>
      <c r="O16" s="9">
        <f t="shared" si="2"/>
        <v>1.8181818181818181</v>
      </c>
    </row>
    <row r="17" spans="1:15" ht="32.25" customHeight="1" x14ac:dyDescent="0.25">
      <c r="A17" s="1">
        <v>13</v>
      </c>
      <c r="B17" s="2" t="s">
        <v>39</v>
      </c>
      <c r="C17" s="1">
        <v>66645</v>
      </c>
      <c r="D17" s="6">
        <v>4554</v>
      </c>
      <c r="E17" s="9">
        <f t="shared" si="1"/>
        <v>6.8332207967589476</v>
      </c>
      <c r="F17" s="1"/>
      <c r="G17" s="12"/>
      <c r="H17" s="6"/>
      <c r="I17" s="6"/>
      <c r="J17" s="6"/>
      <c r="K17" s="1">
        <v>13</v>
      </c>
      <c r="L17" s="2" t="s">
        <v>40</v>
      </c>
      <c r="M17" s="1">
        <v>9500</v>
      </c>
      <c r="N17" s="6">
        <v>1158</v>
      </c>
      <c r="O17" s="9">
        <f t="shared" si="2"/>
        <v>12.189473684210526</v>
      </c>
    </row>
    <row r="18" spans="1:15" ht="32.25" customHeight="1" x14ac:dyDescent="0.25">
      <c r="A18" s="1">
        <v>14</v>
      </c>
      <c r="B18" s="2" t="s">
        <v>41</v>
      </c>
      <c r="C18" s="1">
        <v>9000</v>
      </c>
      <c r="D18" s="6">
        <v>2353</v>
      </c>
      <c r="E18" s="9">
        <f t="shared" si="1"/>
        <v>26.144444444444442</v>
      </c>
      <c r="F18" s="1"/>
      <c r="G18" s="12"/>
      <c r="H18" s="6"/>
      <c r="I18" s="6"/>
      <c r="J18" s="6"/>
      <c r="K18" s="1">
        <v>14</v>
      </c>
      <c r="L18" s="2" t="s">
        <v>42</v>
      </c>
      <c r="M18" s="1">
        <v>11600</v>
      </c>
      <c r="N18" s="6">
        <v>4447</v>
      </c>
      <c r="O18" s="9">
        <f t="shared" si="2"/>
        <v>38.336206896551722</v>
      </c>
    </row>
    <row r="19" spans="1:15" ht="32.25" customHeight="1" x14ac:dyDescent="0.25">
      <c r="A19" s="1">
        <v>15</v>
      </c>
      <c r="B19" s="2" t="s">
        <v>43</v>
      </c>
      <c r="C19" s="1">
        <v>18000</v>
      </c>
      <c r="D19" s="6">
        <v>8072</v>
      </c>
      <c r="E19" s="9">
        <f t="shared" si="1"/>
        <v>44.844444444444441</v>
      </c>
      <c r="F19" s="1"/>
      <c r="G19" s="12"/>
      <c r="H19" s="6"/>
      <c r="I19" s="6"/>
      <c r="J19" s="6"/>
      <c r="K19" s="1">
        <v>15</v>
      </c>
      <c r="L19" s="2" t="s">
        <v>44</v>
      </c>
      <c r="M19" s="1">
        <v>7900</v>
      </c>
      <c r="N19" s="6">
        <v>3858</v>
      </c>
      <c r="O19" s="9">
        <f t="shared" si="2"/>
        <v>48.835443037974684</v>
      </c>
    </row>
    <row r="20" spans="1:15" ht="32.25" customHeight="1" x14ac:dyDescent="0.25">
      <c r="A20" s="1">
        <v>16</v>
      </c>
      <c r="B20" s="2" t="s">
        <v>45</v>
      </c>
      <c r="C20" s="1">
        <v>7500</v>
      </c>
      <c r="D20" s="6">
        <v>2139</v>
      </c>
      <c r="E20" s="9">
        <f t="shared" si="1"/>
        <v>28.52</v>
      </c>
      <c r="F20" s="1"/>
      <c r="G20" s="12"/>
      <c r="H20" s="6"/>
      <c r="I20" s="6"/>
      <c r="J20" s="6"/>
      <c r="K20" s="1">
        <v>16</v>
      </c>
      <c r="L20" s="2" t="s">
        <v>46</v>
      </c>
      <c r="M20" s="1">
        <v>5200</v>
      </c>
      <c r="N20" s="6">
        <v>734</v>
      </c>
      <c r="O20" s="9">
        <f t="shared" si="2"/>
        <v>14.115384615384615</v>
      </c>
    </row>
    <row r="21" spans="1:15" ht="32.25" customHeight="1" x14ac:dyDescent="0.25">
      <c r="A21" s="1">
        <v>17</v>
      </c>
      <c r="B21" s="2" t="s">
        <v>47</v>
      </c>
      <c r="C21" s="1">
        <v>9500</v>
      </c>
      <c r="D21" s="6">
        <v>4741</v>
      </c>
      <c r="E21" s="9">
        <f t="shared" si="1"/>
        <v>49.905263157894737</v>
      </c>
      <c r="F21" s="1"/>
      <c r="G21" s="12"/>
      <c r="H21" s="6"/>
      <c r="I21" s="6"/>
      <c r="J21" s="6"/>
      <c r="K21" s="1">
        <v>17</v>
      </c>
      <c r="L21" s="2" t="s">
        <v>48</v>
      </c>
      <c r="M21" s="1">
        <v>650</v>
      </c>
      <c r="N21" s="6">
        <v>46</v>
      </c>
      <c r="O21" s="20">
        <f t="shared" si="2"/>
        <v>7.0769230769230766</v>
      </c>
    </row>
    <row r="22" spans="1:15" ht="32.25" customHeight="1" x14ac:dyDescent="0.25">
      <c r="A22" s="1">
        <v>18</v>
      </c>
      <c r="B22" s="2" t="s">
        <v>49</v>
      </c>
      <c r="C22" s="1">
        <v>18500</v>
      </c>
      <c r="D22" s="6">
        <v>7848</v>
      </c>
      <c r="E22" s="9">
        <f t="shared" si="1"/>
        <v>42.421621621621618</v>
      </c>
      <c r="F22" s="1"/>
      <c r="G22" s="12"/>
      <c r="H22" s="6"/>
      <c r="I22" s="6"/>
      <c r="J22" s="6"/>
      <c r="K22" s="1">
        <v>18</v>
      </c>
      <c r="L22" s="2" t="s">
        <v>50</v>
      </c>
      <c r="M22" s="1">
        <v>800</v>
      </c>
      <c r="N22" s="6">
        <v>529</v>
      </c>
      <c r="O22" s="9">
        <f t="shared" si="2"/>
        <v>66.125</v>
      </c>
    </row>
    <row r="23" spans="1:15" ht="32.25" customHeight="1" x14ac:dyDescent="0.25">
      <c r="A23" s="1">
        <v>19</v>
      </c>
      <c r="B23" s="2" t="s">
        <v>51</v>
      </c>
      <c r="C23" s="1">
        <v>6500</v>
      </c>
      <c r="D23" s="6">
        <v>1149</v>
      </c>
      <c r="E23" s="9">
        <f t="shared" si="1"/>
        <v>17.676923076923075</v>
      </c>
      <c r="F23" s="1"/>
      <c r="G23" s="12" t="s">
        <v>84</v>
      </c>
      <c r="H23" s="6"/>
      <c r="I23" s="6"/>
      <c r="J23" s="6"/>
      <c r="K23" s="1">
        <v>19</v>
      </c>
      <c r="L23" s="2" t="s">
        <v>52</v>
      </c>
      <c r="M23" s="1">
        <v>6500</v>
      </c>
      <c r="N23" s="6">
        <v>1159</v>
      </c>
      <c r="O23" s="9">
        <f t="shared" si="2"/>
        <v>17.830769230769231</v>
      </c>
    </row>
    <row r="24" spans="1:15" ht="32.25" customHeight="1" x14ac:dyDescent="0.25">
      <c r="A24" s="1">
        <v>20</v>
      </c>
      <c r="B24" s="2" t="s">
        <v>53</v>
      </c>
      <c r="C24" s="1">
        <v>10000</v>
      </c>
      <c r="D24" s="6">
        <v>2089</v>
      </c>
      <c r="E24" s="9">
        <f t="shared" si="1"/>
        <v>20.89</v>
      </c>
      <c r="F24" s="1"/>
      <c r="G24" s="12"/>
      <c r="H24" s="6"/>
      <c r="I24" s="6"/>
      <c r="J24" s="6"/>
      <c r="K24" s="1">
        <v>20</v>
      </c>
      <c r="L24" s="2" t="s">
        <v>54</v>
      </c>
      <c r="M24" s="1">
        <v>3000</v>
      </c>
      <c r="N24" s="6">
        <v>2074</v>
      </c>
      <c r="O24" s="9">
        <f t="shared" si="2"/>
        <v>69.13333333333334</v>
      </c>
    </row>
    <row r="25" spans="1:15" ht="32.25" customHeight="1" x14ac:dyDescent="0.25">
      <c r="A25" s="1">
        <v>21</v>
      </c>
      <c r="B25" s="2" t="s">
        <v>55</v>
      </c>
      <c r="C25" s="1">
        <v>6000</v>
      </c>
      <c r="D25" s="6">
        <v>1442</v>
      </c>
      <c r="E25" s="9">
        <f t="shared" si="1"/>
        <v>24.033333333333335</v>
      </c>
      <c r="F25" s="1"/>
      <c r="G25" s="12"/>
      <c r="H25" s="6"/>
      <c r="I25" s="6"/>
      <c r="J25" s="6"/>
      <c r="K25" s="1">
        <v>21</v>
      </c>
      <c r="L25" s="2" t="s">
        <v>56</v>
      </c>
      <c r="M25" s="1">
        <v>3500</v>
      </c>
      <c r="N25" s="6">
        <v>1446</v>
      </c>
      <c r="O25" s="9">
        <f t="shared" si="2"/>
        <v>41.314285714285717</v>
      </c>
    </row>
    <row r="26" spans="1:15" ht="32.25" customHeight="1" x14ac:dyDescent="0.25">
      <c r="A26" s="1">
        <v>22</v>
      </c>
      <c r="B26" s="2" t="s">
        <v>57</v>
      </c>
      <c r="C26" s="1">
        <v>6000</v>
      </c>
      <c r="D26" s="6">
        <v>1614</v>
      </c>
      <c r="E26" s="9">
        <f t="shared" si="1"/>
        <v>26.900000000000002</v>
      </c>
      <c r="F26" s="1"/>
      <c r="G26" s="12"/>
      <c r="H26" s="6" t="s">
        <v>81</v>
      </c>
      <c r="I26" s="6"/>
      <c r="J26" s="6"/>
      <c r="K26" s="1">
        <v>22</v>
      </c>
      <c r="L26" s="2" t="s">
        <v>58</v>
      </c>
      <c r="M26" s="1">
        <v>2800</v>
      </c>
      <c r="N26" s="6">
        <v>2744</v>
      </c>
      <c r="O26" s="9">
        <f t="shared" si="2"/>
        <v>98</v>
      </c>
    </row>
    <row r="27" spans="1:15" ht="32.25" customHeight="1" x14ac:dyDescent="0.25">
      <c r="A27" s="1">
        <v>23</v>
      </c>
      <c r="B27" s="2" t="s">
        <v>59</v>
      </c>
      <c r="C27" s="1">
        <v>3500</v>
      </c>
      <c r="D27" s="6">
        <v>769</v>
      </c>
      <c r="E27" s="9">
        <f t="shared" si="1"/>
        <v>21.971428571428572</v>
      </c>
      <c r="F27" s="1"/>
      <c r="G27" s="12"/>
      <c r="H27" s="6"/>
      <c r="I27" s="6"/>
      <c r="J27" s="6"/>
      <c r="K27" s="1">
        <v>23</v>
      </c>
      <c r="L27" s="2" t="s">
        <v>85</v>
      </c>
      <c r="M27" s="1">
        <v>2500</v>
      </c>
      <c r="N27" s="6">
        <v>5</v>
      </c>
      <c r="O27" s="9">
        <f t="shared" si="2"/>
        <v>0.2</v>
      </c>
    </row>
    <row r="28" spans="1:15" ht="32.25" customHeight="1" x14ac:dyDescent="0.25">
      <c r="A28" s="1">
        <v>24</v>
      </c>
      <c r="B28" s="2" t="s">
        <v>60</v>
      </c>
      <c r="C28" s="1">
        <v>1225</v>
      </c>
      <c r="D28" s="6">
        <v>3</v>
      </c>
      <c r="E28" s="9">
        <f t="shared" si="1"/>
        <v>0.24489795918367346</v>
      </c>
      <c r="F28" s="1"/>
      <c r="G28" s="12"/>
      <c r="H28" s="6"/>
      <c r="I28" s="6"/>
      <c r="J28" s="6"/>
      <c r="K28" s="1">
        <v>24</v>
      </c>
      <c r="L28" s="2" t="s">
        <v>61</v>
      </c>
      <c r="M28" s="1">
        <v>500</v>
      </c>
      <c r="N28" s="6">
        <v>213</v>
      </c>
      <c r="O28" s="9">
        <f t="shared" si="2"/>
        <v>42.6</v>
      </c>
    </row>
    <row r="29" spans="1:15" ht="32.25" customHeight="1" x14ac:dyDescent="0.25">
      <c r="A29" s="1">
        <v>25</v>
      </c>
      <c r="B29" s="2" t="s">
        <v>62</v>
      </c>
      <c r="C29" s="1">
        <v>1500</v>
      </c>
      <c r="D29" s="6">
        <v>269</v>
      </c>
      <c r="E29" s="9">
        <f t="shared" si="1"/>
        <v>17.933333333333334</v>
      </c>
      <c r="F29" s="6"/>
      <c r="G29" s="12"/>
      <c r="H29" s="6"/>
      <c r="I29" s="1"/>
      <c r="J29" s="6"/>
      <c r="K29" s="1">
        <v>25</v>
      </c>
      <c r="L29" s="2" t="s">
        <v>63</v>
      </c>
      <c r="M29" s="1">
        <v>2000</v>
      </c>
      <c r="N29" s="6">
        <v>1368</v>
      </c>
      <c r="O29" s="9">
        <f t="shared" si="2"/>
        <v>68.400000000000006</v>
      </c>
    </row>
    <row r="30" spans="1:15" ht="32.25" customHeight="1" x14ac:dyDescent="0.25">
      <c r="A30" s="1">
        <v>26</v>
      </c>
      <c r="B30" s="2" t="s">
        <v>64</v>
      </c>
      <c r="C30" s="1">
        <v>2000</v>
      </c>
      <c r="D30" s="25">
        <v>1329</v>
      </c>
      <c r="E30" s="9">
        <f t="shared" si="1"/>
        <v>66.45</v>
      </c>
      <c r="F30" s="6"/>
      <c r="G30" s="13"/>
      <c r="H30" s="1"/>
      <c r="I30" s="1"/>
      <c r="J30" s="1"/>
      <c r="K30" s="1">
        <v>26</v>
      </c>
      <c r="L30" s="2" t="s">
        <v>65</v>
      </c>
      <c r="M30" s="1">
        <v>500</v>
      </c>
      <c r="N30" s="6">
        <v>0</v>
      </c>
      <c r="O30" s="9">
        <f t="shared" si="2"/>
        <v>0</v>
      </c>
    </row>
    <row r="31" spans="1:15" ht="49.5" customHeight="1" x14ac:dyDescent="0.25">
      <c r="A31" s="1">
        <v>27</v>
      </c>
      <c r="B31" s="2" t="s">
        <v>66</v>
      </c>
      <c r="C31" s="1">
        <v>700</v>
      </c>
      <c r="D31" s="25">
        <v>215</v>
      </c>
      <c r="E31" s="9">
        <f t="shared" si="1"/>
        <v>30.714285714285715</v>
      </c>
      <c r="F31" s="14"/>
      <c r="G31" s="15"/>
      <c r="H31" s="14"/>
      <c r="I31" s="14"/>
      <c r="J31" s="1"/>
      <c r="K31" s="1">
        <v>27</v>
      </c>
      <c r="L31" s="2" t="s">
        <v>67</v>
      </c>
      <c r="M31" s="1">
        <v>2000</v>
      </c>
      <c r="N31" s="6">
        <v>261</v>
      </c>
      <c r="O31" s="9">
        <f t="shared" si="2"/>
        <v>13.05</v>
      </c>
    </row>
    <row r="32" spans="1:15" ht="32.25" customHeight="1" x14ac:dyDescent="0.25">
      <c r="A32" s="1">
        <v>28</v>
      </c>
      <c r="B32" s="2" t="s">
        <v>68</v>
      </c>
      <c r="C32" s="1">
        <v>7000</v>
      </c>
      <c r="D32" s="6">
        <v>3628</v>
      </c>
      <c r="E32" s="9">
        <f>D32/C32*100</f>
        <v>51.828571428571422</v>
      </c>
      <c r="F32" s="14"/>
      <c r="G32" s="15"/>
      <c r="H32" s="14"/>
      <c r="I32" s="14"/>
      <c r="J32" s="16"/>
      <c r="K32" s="1">
        <v>28</v>
      </c>
      <c r="L32" s="2" t="s">
        <v>69</v>
      </c>
      <c r="M32" s="1">
        <v>17000</v>
      </c>
      <c r="N32" s="6">
        <v>5364</v>
      </c>
      <c r="O32" s="9">
        <f t="shared" si="2"/>
        <v>31.55294117647059</v>
      </c>
    </row>
    <row r="33" spans="1:17" s="26" customFormat="1" ht="32.25" customHeight="1" x14ac:dyDescent="0.25">
      <c r="A33" s="1">
        <v>29</v>
      </c>
      <c r="B33" s="2" t="s">
        <v>70</v>
      </c>
      <c r="C33" s="1">
        <v>1500</v>
      </c>
      <c r="D33" s="6">
        <v>730</v>
      </c>
      <c r="E33" s="9">
        <f t="shared" ref="E33:E34" si="3">D33/C33*100</f>
        <v>48.666666666666671</v>
      </c>
      <c r="F33" s="14"/>
      <c r="G33" s="17"/>
      <c r="H33" s="17"/>
      <c r="I33" s="17"/>
      <c r="J33" s="16"/>
      <c r="K33" s="1">
        <v>29</v>
      </c>
      <c r="L33" s="2" t="s">
        <v>71</v>
      </c>
      <c r="M33" s="1">
        <v>600</v>
      </c>
      <c r="N33" s="6">
        <v>0</v>
      </c>
      <c r="O33" s="9">
        <f t="shared" si="2"/>
        <v>0</v>
      </c>
    </row>
    <row r="34" spans="1:17" s="26" customFormat="1" ht="32.25" customHeight="1" x14ac:dyDescent="0.35">
      <c r="A34" s="1">
        <v>30</v>
      </c>
      <c r="B34" s="2" t="s">
        <v>72</v>
      </c>
      <c r="C34" s="1">
        <v>1000</v>
      </c>
      <c r="D34" s="6">
        <v>566</v>
      </c>
      <c r="E34" s="9">
        <f t="shared" si="3"/>
        <v>56.599999999999994</v>
      </c>
      <c r="F34" s="6"/>
      <c r="G34" s="18"/>
      <c r="H34" s="18"/>
      <c r="I34" s="18"/>
      <c r="J34" s="16"/>
      <c r="K34" s="1">
        <v>30</v>
      </c>
      <c r="L34" s="2" t="s">
        <v>73</v>
      </c>
      <c r="M34" s="1">
        <v>1000</v>
      </c>
      <c r="N34" s="6">
        <v>264</v>
      </c>
      <c r="O34" s="9">
        <f t="shared" si="2"/>
        <v>26.400000000000002</v>
      </c>
    </row>
    <row r="35" spans="1:17" s="26" customFormat="1" ht="32.25" customHeight="1" x14ac:dyDescent="0.35">
      <c r="A35" s="1"/>
      <c r="B35" s="15" t="s">
        <v>74</v>
      </c>
      <c r="C35" s="14">
        <f>SUM(C5:C34)</f>
        <v>296070</v>
      </c>
      <c r="D35" s="14">
        <f>SUM(D5:D34)</f>
        <v>85325</v>
      </c>
      <c r="E35" s="16"/>
      <c r="F35" s="6"/>
      <c r="G35" s="15" t="s">
        <v>74</v>
      </c>
      <c r="H35" s="14">
        <f>SUM(H5:H32)</f>
        <v>45730</v>
      </c>
      <c r="I35" s="14">
        <f>SUM(I5:I32)</f>
        <v>10236</v>
      </c>
      <c r="J35" s="18"/>
      <c r="K35" s="1"/>
      <c r="L35" s="15" t="s">
        <v>74</v>
      </c>
      <c r="M35" s="14">
        <f>SUM(M5:M34)</f>
        <v>190084</v>
      </c>
      <c r="N35" s="14">
        <f>SUM(N5:N34)</f>
        <v>56921</v>
      </c>
      <c r="O35" s="9"/>
    </row>
    <row r="36" spans="1:17" ht="24" hidden="1" customHeight="1" thickBot="1" x14ac:dyDescent="0.35">
      <c r="A36" s="25"/>
      <c r="B36" s="27"/>
      <c r="C36" s="27"/>
      <c r="D36" s="27"/>
      <c r="E36" s="27"/>
      <c r="F36" s="28"/>
      <c r="G36" s="29"/>
      <c r="H36" s="29"/>
      <c r="I36" s="29"/>
      <c r="J36" s="30"/>
      <c r="K36" s="31"/>
      <c r="L36" s="29"/>
      <c r="M36" s="29"/>
      <c r="N36" s="32"/>
      <c r="O36" s="32"/>
    </row>
    <row r="37" spans="1:17" ht="24" customHeight="1" x14ac:dyDescent="0.35">
      <c r="A37" s="25"/>
      <c r="B37" s="27"/>
      <c r="C37" s="27"/>
      <c r="D37" s="27"/>
      <c r="E37" s="27"/>
      <c r="F37" s="28"/>
      <c r="G37" s="29"/>
      <c r="H37" s="29"/>
      <c r="I37" s="29"/>
      <c r="J37" s="30"/>
      <c r="K37" s="31"/>
      <c r="L37" s="29"/>
      <c r="M37" s="29"/>
      <c r="N37" s="32"/>
      <c r="O37" s="32"/>
    </row>
    <row r="38" spans="1:17" ht="35.25" customHeight="1" x14ac:dyDescent="0.25">
      <c r="A38" s="51" t="s">
        <v>75</v>
      </c>
      <c r="B38" s="51"/>
      <c r="C38" s="48">
        <f>C35+H35</f>
        <v>341800</v>
      </c>
      <c r="D38" s="27"/>
      <c r="E38" s="55" t="s">
        <v>83</v>
      </c>
      <c r="F38" s="55"/>
      <c r="G38" s="55"/>
      <c r="H38" s="55"/>
      <c r="I38" s="48">
        <f>C38+N38</f>
        <v>531884</v>
      </c>
      <c r="J38" s="29"/>
      <c r="K38" s="52" t="s">
        <v>76</v>
      </c>
      <c r="L38" s="52"/>
      <c r="M38" s="52"/>
      <c r="N38" s="48">
        <f>M35</f>
        <v>190084</v>
      </c>
      <c r="O38" s="33"/>
    </row>
    <row r="39" spans="1:17" ht="12" hidden="1" customHeight="1" thickBot="1" x14ac:dyDescent="0.35">
      <c r="A39" s="28"/>
      <c r="B39" s="34"/>
      <c r="C39" s="34"/>
      <c r="D39" s="34"/>
      <c r="E39" s="34"/>
      <c r="F39" s="28"/>
      <c r="G39" s="29"/>
      <c r="H39" s="29"/>
      <c r="I39" s="29"/>
      <c r="J39" s="29"/>
      <c r="K39" s="35"/>
      <c r="L39" s="30"/>
      <c r="M39" s="30"/>
      <c r="N39" s="30"/>
      <c r="O39" s="32"/>
    </row>
    <row r="40" spans="1:17" ht="64.5" customHeight="1" x14ac:dyDescent="0.25">
      <c r="A40" s="28"/>
      <c r="B40" s="49" t="s">
        <v>77</v>
      </c>
      <c r="C40" s="48">
        <f>D35+I35</f>
        <v>95561</v>
      </c>
      <c r="D40" s="34"/>
      <c r="E40" s="34"/>
      <c r="F40" s="51" t="s">
        <v>78</v>
      </c>
      <c r="G40" s="51"/>
      <c r="H40" s="51"/>
      <c r="I40" s="36">
        <f>C40+N40</f>
        <v>152482</v>
      </c>
      <c r="J40" s="29"/>
      <c r="K40" s="31"/>
      <c r="L40" s="52" t="s">
        <v>79</v>
      </c>
      <c r="M40" s="52"/>
      <c r="N40" s="48">
        <f>N35</f>
        <v>56921</v>
      </c>
      <c r="O40" s="32"/>
    </row>
    <row r="41" spans="1:17" hidden="1" x14ac:dyDescent="0.25">
      <c r="A41" s="28"/>
      <c r="B41" s="34"/>
      <c r="C41" s="34"/>
      <c r="D41" s="34"/>
      <c r="E41" s="34"/>
      <c r="F41" s="28"/>
      <c r="G41" s="29"/>
      <c r="H41" s="29"/>
      <c r="I41" s="29"/>
      <c r="J41" s="29"/>
      <c r="K41" s="31"/>
      <c r="L41" s="29"/>
      <c r="M41" s="29"/>
      <c r="N41" s="32"/>
      <c r="O41" s="32"/>
    </row>
    <row r="42" spans="1:17" hidden="1" x14ac:dyDescent="0.25">
      <c r="A42" s="28"/>
      <c r="B42" s="34"/>
      <c r="C42" s="34"/>
      <c r="D42" s="34"/>
      <c r="E42" s="34"/>
      <c r="F42" s="28"/>
      <c r="G42" s="29"/>
      <c r="H42" s="29"/>
      <c r="I42" s="29"/>
      <c r="J42" s="29"/>
      <c r="K42" s="31"/>
      <c r="L42" s="29"/>
      <c r="M42" s="29"/>
      <c r="N42" s="32"/>
      <c r="O42" s="32"/>
    </row>
    <row r="43" spans="1:17" ht="24.75" customHeight="1" x14ac:dyDescent="0.25">
      <c r="A43" s="52"/>
      <c r="B43" s="52"/>
      <c r="C43" s="37"/>
      <c r="D43" s="34"/>
      <c r="E43" s="51"/>
      <c r="F43" s="51"/>
      <c r="G43" s="51"/>
      <c r="H43" s="51"/>
      <c r="I43" s="37"/>
      <c r="J43" s="29"/>
      <c r="K43" s="52"/>
      <c r="L43" s="52"/>
      <c r="M43" s="52"/>
      <c r="N43" s="37"/>
      <c r="O43" s="5"/>
    </row>
    <row r="44" spans="1:17" ht="4.5" hidden="1" customHeight="1" x14ac:dyDescent="0.25">
      <c r="A44" s="28"/>
      <c r="B44" s="34"/>
      <c r="C44" s="34"/>
      <c r="D44" s="34"/>
      <c r="E44" s="34"/>
      <c r="F44" s="28"/>
      <c r="G44" s="29"/>
      <c r="H44" s="29"/>
      <c r="I44" s="29"/>
      <c r="J44" s="29"/>
      <c r="K44" s="31"/>
      <c r="L44" s="29"/>
      <c r="M44" s="29"/>
      <c r="N44" s="32"/>
      <c r="O44" s="32"/>
    </row>
    <row r="45" spans="1:17" ht="30" customHeight="1" x14ac:dyDescent="0.5">
      <c r="A45" s="28"/>
      <c r="B45" s="34"/>
      <c r="C45" s="56" t="s">
        <v>80</v>
      </c>
      <c r="D45" s="56"/>
      <c r="E45" s="56"/>
      <c r="F45" s="56"/>
      <c r="G45" s="56"/>
      <c r="H45" s="56"/>
      <c r="I45" s="57">
        <f>C35+H35+M35</f>
        <v>531884</v>
      </c>
      <c r="J45" s="29"/>
      <c r="K45" s="31"/>
      <c r="L45" s="29"/>
      <c r="M45" s="29"/>
      <c r="N45" s="32"/>
      <c r="O45" s="32"/>
      <c r="Q45" s="46"/>
    </row>
    <row r="46" spans="1:17" ht="30" customHeight="1" x14ac:dyDescent="0.5">
      <c r="A46" s="28"/>
      <c r="B46" s="34"/>
      <c r="C46" s="58"/>
      <c r="D46" s="56" t="s">
        <v>82</v>
      </c>
      <c r="E46" s="56"/>
      <c r="F46" s="56"/>
      <c r="G46" s="56"/>
      <c r="H46" s="56"/>
      <c r="I46" s="57">
        <v>10616</v>
      </c>
      <c r="J46" s="59"/>
      <c r="K46" s="31"/>
      <c r="L46" s="29"/>
      <c r="M46" s="25"/>
      <c r="N46" s="32"/>
      <c r="O46" s="32"/>
      <c r="Q46" s="46"/>
    </row>
    <row r="47" spans="1:17" ht="33" customHeight="1" x14ac:dyDescent="0.5">
      <c r="A47" s="28"/>
      <c r="B47" s="34"/>
      <c r="C47" s="56" t="s">
        <v>88</v>
      </c>
      <c r="D47" s="56"/>
      <c r="E47" s="56"/>
      <c r="F47" s="56"/>
      <c r="G47" s="56"/>
      <c r="H47" s="56"/>
      <c r="I47" s="60">
        <f>I45+I46</f>
        <v>542500</v>
      </c>
      <c r="J47" s="59"/>
      <c r="K47" s="31"/>
      <c r="L47" s="29"/>
      <c r="M47" s="29"/>
      <c r="N47" s="32"/>
      <c r="O47" s="32"/>
      <c r="Q47" s="46"/>
    </row>
    <row r="48" spans="1:17" ht="27" customHeight="1" x14ac:dyDescent="0.25">
      <c r="A48" s="61"/>
      <c r="B48" s="61"/>
      <c r="C48" s="56" t="s">
        <v>86</v>
      </c>
      <c r="D48" s="56"/>
      <c r="E48" s="56"/>
      <c r="F48" s="56"/>
      <c r="G48" s="56"/>
      <c r="H48" s="56"/>
      <c r="I48" s="60">
        <f>I40</f>
        <v>152482</v>
      </c>
      <c r="J48" s="59"/>
      <c r="K48" s="61"/>
      <c r="L48" s="29"/>
      <c r="M48" s="29"/>
      <c r="N48" s="32"/>
      <c r="O48" s="32"/>
      <c r="Q48" s="47"/>
    </row>
    <row r="49" spans="1:15" ht="27.75" x14ac:dyDescent="0.25">
      <c r="A49" s="28"/>
      <c r="B49" s="34"/>
      <c r="C49" s="56" t="s">
        <v>87</v>
      </c>
      <c r="D49" s="56"/>
      <c r="E49" s="56"/>
      <c r="F49" s="56"/>
      <c r="G49" s="56"/>
      <c r="H49" s="56"/>
      <c r="I49" s="62">
        <f>I48/I47*100</f>
        <v>28.107281105990783</v>
      </c>
      <c r="J49" s="29"/>
      <c r="K49" s="31"/>
      <c r="L49" s="29"/>
      <c r="M49" s="29"/>
      <c r="N49" s="32"/>
      <c r="O49" s="32"/>
    </row>
    <row r="51" spans="1:15" ht="31.5" x14ac:dyDescent="0.45">
      <c r="L51" s="42"/>
    </row>
    <row r="52" spans="1:15" x14ac:dyDescent="0.25">
      <c r="L52" s="3"/>
      <c r="M52" s="3"/>
      <c r="N52" s="4"/>
      <c r="O52" s="4"/>
    </row>
    <row r="53" spans="1:15" x14ac:dyDescent="0.25">
      <c r="L53" s="3"/>
      <c r="M53" s="3"/>
      <c r="N53" s="4"/>
      <c r="O53" s="4"/>
    </row>
    <row r="54" spans="1:15" ht="115.5" customHeight="1" x14ac:dyDescent="0.25">
      <c r="L54" s="43"/>
      <c r="M54" s="44"/>
      <c r="N54" s="4"/>
      <c r="O54" s="4"/>
    </row>
    <row r="55" spans="1:15" x14ac:dyDescent="0.25">
      <c r="L55" s="3"/>
      <c r="M55" s="3"/>
      <c r="N55" s="4"/>
      <c r="O55" s="4"/>
    </row>
    <row r="56" spans="1:15" x14ac:dyDescent="0.25">
      <c r="L56" s="3"/>
      <c r="M56" s="3"/>
      <c r="N56" s="4"/>
      <c r="O56" s="4"/>
    </row>
    <row r="57" spans="1:15" x14ac:dyDescent="0.25">
      <c r="L57" s="3"/>
      <c r="M57" s="3"/>
      <c r="N57" s="4"/>
      <c r="O57" s="4"/>
    </row>
    <row r="58" spans="1:15" x14ac:dyDescent="0.25">
      <c r="G58" s="40" t="s">
        <v>81</v>
      </c>
      <c r="L58" s="3"/>
      <c r="M58" s="3"/>
      <c r="N58" s="4"/>
      <c r="O58" s="4"/>
    </row>
    <row r="59" spans="1:15" x14ac:dyDescent="0.25">
      <c r="L59" s="3" t="s">
        <v>81</v>
      </c>
      <c r="M59" s="3"/>
      <c r="N59" s="4"/>
      <c r="O59" s="4"/>
    </row>
  </sheetData>
  <mergeCells count="17">
    <mergeCell ref="D46:H46"/>
    <mergeCell ref="C47:H47"/>
    <mergeCell ref="C48:H48"/>
    <mergeCell ref="C49:H49"/>
    <mergeCell ref="F40:H40"/>
    <mergeCell ref="L40:M40"/>
    <mergeCell ref="A43:B43"/>
    <mergeCell ref="E43:H43"/>
    <mergeCell ref="K43:M43"/>
    <mergeCell ref="C45:H45"/>
    <mergeCell ref="A38:B38"/>
    <mergeCell ref="E38:H38"/>
    <mergeCell ref="K38:M38"/>
    <mergeCell ref="A2:O2"/>
    <mergeCell ref="A3:I3"/>
    <mergeCell ref="L3:N3"/>
    <mergeCell ref="A1:O1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October (2022-23)</vt:lpstr>
      <vt:lpstr>'October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2022-11-21T07:05:51Z</cp:lastPrinted>
  <dcterms:created xsi:type="dcterms:W3CDTF">2020-03-19T06:39:41Z</dcterms:created>
  <dcterms:modified xsi:type="dcterms:W3CDTF">2022-11-21T09:21:20Z</dcterms:modified>
</cp:coreProperties>
</file>