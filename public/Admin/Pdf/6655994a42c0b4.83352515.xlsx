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rd\Desktop\"/>
    </mc:Choice>
  </mc:AlternateContent>
  <bookViews>
    <workbookView xWindow="-120" yWindow="-120" windowWidth="29040" windowHeight="15720"/>
  </bookViews>
  <sheets>
    <sheet name="January (2022-23)" sheetId="3" r:id="rId1"/>
  </sheets>
  <definedNames>
    <definedName name="_xlnm.Print_Area" localSheetId="0">'January (2022-23)'!$A$1:$O$44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 l="1"/>
  <c r="N35" i="3"/>
  <c r="N38" i="3" s="1"/>
  <c r="M35" i="3"/>
  <c r="N37" i="3" s="1"/>
  <c r="I35" i="3"/>
  <c r="H35" i="3"/>
  <c r="D35" i="3"/>
  <c r="C35" i="3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I40" i="3" l="1"/>
  <c r="I42" i="3" s="1"/>
  <c r="C38" i="3"/>
  <c r="C37" i="3"/>
  <c r="I37" i="3" s="1"/>
  <c r="I38" i="3" l="1"/>
  <c r="I43" i="3" s="1"/>
  <c r="I44" i="3" s="1"/>
</calcChain>
</file>

<file path=xl/sharedStrings.xml><?xml version="1.0" encoding="utf-8"?>
<sst xmlns="http://schemas.openxmlformats.org/spreadsheetml/2006/main" count="105" uniqueCount="92">
  <si>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</si>
  <si>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</si>
  <si>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</si>
  <si>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</si>
  <si>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</si>
  <si>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</si>
  <si>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</si>
  <si>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</si>
  <si>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</si>
  <si>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</si>
  <si>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</si>
  <si>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</si>
  <si>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</si>
  <si>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</si>
  <si>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</si>
  <si>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</si>
  <si>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</si>
  <si>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</si>
  <si>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</si>
  <si>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</si>
  <si>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</si>
  <si>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</si>
  <si>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</si>
  <si>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</si>
  <si>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</si>
  <si>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</si>
  <si>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</si>
  <si>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</si>
  <si>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</si>
  <si>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</si>
  <si>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</si>
  <si>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</si>
  <si>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</si>
  <si>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</si>
  <si>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</si>
  <si>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</si>
  <si>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</si>
  <si>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</si>
  <si>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</si>
  <si>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</si>
  <si>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</si>
  <si>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</si>
  <si>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</si>
  <si>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</si>
  <si>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</si>
  <si>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</si>
  <si>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</si>
  <si>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</si>
  <si>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</si>
  <si>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</si>
  <si>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</si>
  <si>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</si>
  <si>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</si>
  <si>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</si>
  <si>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</si>
  <si>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</si>
  <si>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</si>
  <si>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</si>
  <si>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</si>
  <si>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</si>
  <si>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</si>
  <si>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</si>
  <si>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</si>
  <si>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</si>
  <si>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</si>
  <si>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</si>
  <si>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</si>
  <si>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</si>
  <si>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</si>
  <si>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</si>
  <si>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</si>
  <si>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</si>
  <si>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</si>
  <si>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</si>
  <si>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</si>
  <si>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 xml:space="preserve"> </t>
  </si>
  <si>
    <t xml:space="preserve">  </t>
  </si>
  <si>
    <t xml:space="preserve">CC(P), Vijayawada </t>
  </si>
  <si>
    <t>Reserve Fund</t>
  </si>
  <si>
    <t>Total Allocation of GST</t>
  </si>
  <si>
    <t>GST Expenditure</t>
  </si>
  <si>
    <t xml:space="preserve">            Total Allocation of GST &amp; Customs</t>
  </si>
  <si>
    <t>Total GST &amp; Customs Expenditure</t>
  </si>
  <si>
    <t>Total Allocation of Customs</t>
  </si>
  <si>
    <t>Customs Expenditure</t>
  </si>
  <si>
    <t>Budget Allocation to All Budgetary Authorities</t>
  </si>
  <si>
    <t>Total Budget for Swachhta  FY 2022-23</t>
  </si>
  <si>
    <t>Total Expenditure GST &amp; Customs</t>
  </si>
  <si>
    <t>Total Expenditure GST &amp; Customs Exp. %</t>
  </si>
  <si>
    <t xml:space="preserve">RBE      2022-23 </t>
  </si>
  <si>
    <t>RBE
2022-23
+Addl. Fund</t>
  </si>
  <si>
    <t>CBIC-Expenditure of "Swachhta" Upto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</si>
</sst>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sz val="24"/>
      <color theme="1"/>
      <name val="Bookman Old Style"/>
      <family val="1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Bookman Old Style"/>
      <family val="1"/>
    </font>
    <font>
      <sz val="20"/>
      <color theme="1"/>
      <name val="Bookman Old Style"/>
      <family val="1"/>
    </font>
    <font>
      <b/>
      <sz val="20"/>
      <name val="Calibri"/>
      <family val="2"/>
      <scheme val="minor"/>
    </font>
    <font>
      <b/>
      <sz val="22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b/>
      <sz val="34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3">
    <xf numFmtId="0" fontId="0" fillId="0" borderId="0" xfId="0"/>
    <xf numFmtId="0" fontId="0" fillId="0" borderId="0" xfId="0" applyFill="1" applyAlignment="1">
      <alignment vertical="top"/>
    </xf>
    <xf numFmtId="0" fontId="0" fillId="0" borderId="0" xfId="0" applyFill="1"/>
    <xf numFmtId="0" fontId="2" fillId="0" borderId="0" xfId="0" applyFont="1" applyFill="1"/>
    <xf numFmtId="0" fontId="8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8" fillId="0" borderId="4" xfId="0" applyFont="1" applyFill="1" applyBorder="1" applyAlignment="1">
      <alignment horizontal="center" vertical="center"/>
    </xf>
    <xf numFmtId="2" fontId="9" fillId="0" borderId="4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9" fillId="0" borderId="4" xfId="0" applyFont="1" applyFill="1" applyBorder="1" applyAlignment="1">
      <alignment horizontal="center" vertical="center"/>
    </xf>
    <xf numFmtId="2" fontId="14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2" fontId="8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13" fillId="0" borderId="4" xfId="0" applyFont="1" applyFill="1" applyBorder="1" applyAlignment="1">
      <alignment horizontal="center" vertical="center" wrapText="1"/>
    </xf>
    <xf numFmtId="2" fontId="13" fillId="0" borderId="4" xfId="0" applyNumberFormat="1" applyFont="1" applyFill="1" applyBorder="1" applyAlignment="1">
      <alignment horizontal="center" vertical="center"/>
    </xf>
    <xf numFmtId="1" fontId="13" fillId="0" borderId="4" xfId="0" applyNumberFormat="1" applyFont="1" applyFill="1" applyBorder="1" applyAlignment="1">
      <alignment horizontal="center" vertical="center" wrapText="1"/>
    </xf>
    <xf numFmtId="0" fontId="12" fillId="0" borderId="0" xfId="0" applyFont="1" applyFill="1"/>
    <xf numFmtId="1" fontId="0" fillId="0" borderId="0" xfId="0" applyNumberFormat="1" applyFill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164" fontId="9" fillId="0" borderId="4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2" fontId="13" fillId="0" borderId="4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DDDDDD"/>
      <color rgb="FFFFFFCC"/>
      <color rgb="FFE4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4"/>
  <sheetViews>
    <sheetView tabSelected="1" view="pageBreakPreview" zoomScale="60" workbookViewId="0">
      <selection activeCell="A5" sqref="A5"/>
    </sheetView>
  </sheetViews>
  <sheetFormatPr defaultRowHeight="15" x14ac:dyDescent="0.25"/>
  <cols>
    <col min="1" max="1" width="10.7109375" style="22" customWidth="1"/>
    <col min="2" max="2" width="61.42578125" style="23" customWidth="1"/>
    <col min="3" max="3" width="21.85546875" style="23" customWidth="1"/>
    <col min="4" max="4" width="27.42578125" style="23" customWidth="1"/>
    <col min="5" max="5" width="17.7109375" style="23" customWidth="1"/>
    <col min="6" max="6" width="12.28515625" style="22" customWidth="1"/>
    <col min="7" max="7" width="49.5703125" style="24" customWidth="1"/>
    <col min="8" max="8" width="19.28515625" style="24" customWidth="1"/>
    <col min="9" max="9" width="25" style="24" customWidth="1"/>
    <col min="10" max="10" width="19.28515625" style="24" customWidth="1"/>
    <col min="11" max="11" width="12" style="25" customWidth="1"/>
    <col min="12" max="12" width="47.5703125" style="24" customWidth="1"/>
    <col min="13" max="13" width="22.42578125" style="24" customWidth="1"/>
    <col min="14" max="14" width="25.140625" style="2" customWidth="1"/>
    <col min="15" max="15" width="18.28515625" style="2" customWidth="1"/>
    <col min="16" max="16" width="9.140625" style="2"/>
    <col min="17" max="17" width="23" style="2" customWidth="1"/>
    <col min="18" max="16384" width="9.140625" style="2"/>
  </cols>
  <sheetData>
    <row r="1" spans="1:19" s="1" customFormat="1" ht="56.25" customHeight="1" x14ac:dyDescent="0.25">
      <c r="A1" s="42" t="s">
        <v>91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9" ht="24.75" customHeight="1" x14ac:dyDescent="0.2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9" s="3" customFormat="1" ht="21" customHeight="1" x14ac:dyDescent="0.4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1"/>
      <c r="K3" s="29" t="s">
        <v>2</v>
      </c>
      <c r="L3" s="30"/>
      <c r="M3" s="30"/>
      <c r="N3" s="30"/>
      <c r="O3" s="31"/>
    </row>
    <row r="4" spans="1:19" s="8" customFormat="1" ht="117.75" customHeight="1" x14ac:dyDescent="0.4">
      <c r="A4" s="4" t="s">
        <v>3</v>
      </c>
      <c r="B4" s="4" t="s">
        <v>4</v>
      </c>
      <c r="C4" s="5" t="s">
        <v>90</v>
      </c>
      <c r="D4" s="5" t="s">
        <v>5</v>
      </c>
      <c r="E4" s="6" t="s">
        <v>6</v>
      </c>
      <c r="F4" s="4" t="s">
        <v>3</v>
      </c>
      <c r="G4" s="4" t="s">
        <v>4</v>
      </c>
      <c r="H4" s="6" t="s">
        <v>89</v>
      </c>
      <c r="I4" s="4" t="s">
        <v>5</v>
      </c>
      <c r="J4" s="4" t="s">
        <v>6</v>
      </c>
      <c r="K4" s="4" t="s">
        <v>3</v>
      </c>
      <c r="L4" s="4" t="s">
        <v>4</v>
      </c>
      <c r="M4" s="5" t="s">
        <v>90</v>
      </c>
      <c r="N4" s="7" t="s">
        <v>5</v>
      </c>
      <c r="O4" s="6" t="s">
        <v>6</v>
      </c>
    </row>
    <row r="5" spans="1:19" ht="32.25" customHeight="1" x14ac:dyDescent="0.25">
      <c r="A5" s="4">
        <v>1</v>
      </c>
      <c r="B5" s="32" t="s">
        <v>7</v>
      </c>
      <c r="C5" s="9">
        <v>9000</v>
      </c>
      <c r="D5" s="9">
        <v>7075</v>
      </c>
      <c r="E5" s="10">
        <f>D5/C5*100</f>
        <v>78.611111111111114</v>
      </c>
      <c r="F5" s="4">
        <v>31</v>
      </c>
      <c r="G5" s="32" t="s">
        <v>8</v>
      </c>
      <c r="H5" s="9">
        <v>4100</v>
      </c>
      <c r="I5" s="9">
        <v>2064</v>
      </c>
      <c r="J5" s="10">
        <f t="shared" ref="J5:J12" si="0">I5/H5*100</f>
        <v>50.341463414634148</v>
      </c>
      <c r="K5" s="4">
        <v>1</v>
      </c>
      <c r="L5" s="32" t="s">
        <v>9</v>
      </c>
      <c r="M5" s="9">
        <v>5000</v>
      </c>
      <c r="N5" s="9">
        <v>2510</v>
      </c>
      <c r="O5" s="10">
        <f>N5/M5*100</f>
        <v>50.2</v>
      </c>
    </row>
    <row r="6" spans="1:19" ht="32.25" customHeight="1" x14ac:dyDescent="0.25">
      <c r="A6" s="4">
        <v>2</v>
      </c>
      <c r="B6" s="32" t="s">
        <v>10</v>
      </c>
      <c r="C6" s="9">
        <v>10000</v>
      </c>
      <c r="D6" s="9">
        <v>7537</v>
      </c>
      <c r="E6" s="10">
        <f t="shared" ref="E6:E31" si="1">D6/C6*100</f>
        <v>75.37</v>
      </c>
      <c r="F6" s="4">
        <v>32</v>
      </c>
      <c r="G6" s="32" t="s">
        <v>11</v>
      </c>
      <c r="H6" s="9">
        <v>8500</v>
      </c>
      <c r="I6" s="9">
        <v>4025</v>
      </c>
      <c r="J6" s="10">
        <f t="shared" si="0"/>
        <v>47.352941176470587</v>
      </c>
      <c r="K6" s="4">
        <v>2</v>
      </c>
      <c r="L6" s="32" t="s">
        <v>12</v>
      </c>
      <c r="M6" s="9">
        <v>3000</v>
      </c>
      <c r="N6" s="9">
        <v>1060</v>
      </c>
      <c r="O6" s="10">
        <f t="shared" ref="O6:O34" si="2">N6/M6*100</f>
        <v>35.333333333333336</v>
      </c>
    </row>
    <row r="7" spans="1:19" ht="50.25" customHeight="1" x14ac:dyDescent="0.25">
      <c r="A7" s="4">
        <v>3</v>
      </c>
      <c r="B7" s="32" t="s">
        <v>13</v>
      </c>
      <c r="C7" s="9">
        <v>10000</v>
      </c>
      <c r="D7" s="9">
        <v>8662</v>
      </c>
      <c r="E7" s="10">
        <f t="shared" si="1"/>
        <v>86.61999999999999</v>
      </c>
      <c r="F7" s="4">
        <v>33</v>
      </c>
      <c r="G7" s="32" t="s">
        <v>14</v>
      </c>
      <c r="H7" s="9">
        <v>400</v>
      </c>
      <c r="I7" s="9">
        <v>248</v>
      </c>
      <c r="J7" s="10">
        <f t="shared" si="0"/>
        <v>62</v>
      </c>
      <c r="K7" s="4">
        <v>3</v>
      </c>
      <c r="L7" s="32" t="s">
        <v>15</v>
      </c>
      <c r="M7" s="9">
        <v>1820</v>
      </c>
      <c r="N7" s="9">
        <v>21</v>
      </c>
      <c r="O7" s="10">
        <f t="shared" si="2"/>
        <v>1.153846153846154</v>
      </c>
    </row>
    <row r="8" spans="1:19" ht="32.25" customHeight="1" x14ac:dyDescent="0.25">
      <c r="A8" s="4">
        <v>4</v>
      </c>
      <c r="B8" s="32" t="s">
        <v>16</v>
      </c>
      <c r="C8" s="9">
        <v>5000</v>
      </c>
      <c r="D8" s="9">
        <v>4590</v>
      </c>
      <c r="E8" s="10">
        <f t="shared" si="1"/>
        <v>91.8</v>
      </c>
      <c r="F8" s="4">
        <v>34</v>
      </c>
      <c r="G8" s="32" t="s">
        <v>17</v>
      </c>
      <c r="H8" s="9">
        <v>17000</v>
      </c>
      <c r="I8" s="9">
        <v>7422</v>
      </c>
      <c r="J8" s="10">
        <f t="shared" si="0"/>
        <v>43.658823529411769</v>
      </c>
      <c r="K8" s="4">
        <v>4</v>
      </c>
      <c r="L8" s="32" t="s">
        <v>18</v>
      </c>
      <c r="M8" s="9">
        <v>32000</v>
      </c>
      <c r="N8" s="9">
        <v>15732</v>
      </c>
      <c r="O8" s="10">
        <f t="shared" si="2"/>
        <v>49.162499999999994</v>
      </c>
    </row>
    <row r="9" spans="1:19" ht="32.25" customHeight="1" x14ac:dyDescent="0.25">
      <c r="A9" s="4">
        <v>5</v>
      </c>
      <c r="B9" s="32" t="s">
        <v>19</v>
      </c>
      <c r="C9" s="9">
        <v>9500</v>
      </c>
      <c r="D9" s="9">
        <v>7277</v>
      </c>
      <c r="E9" s="10">
        <f t="shared" si="1"/>
        <v>76.599999999999994</v>
      </c>
      <c r="F9" s="4">
        <v>35</v>
      </c>
      <c r="G9" s="32" t="s">
        <v>20</v>
      </c>
      <c r="H9" s="9">
        <v>3000</v>
      </c>
      <c r="I9" s="9">
        <v>1144</v>
      </c>
      <c r="J9" s="10">
        <f t="shared" si="0"/>
        <v>38.133333333333333</v>
      </c>
      <c r="K9" s="4">
        <v>5</v>
      </c>
      <c r="L9" s="32" t="s">
        <v>21</v>
      </c>
      <c r="M9" s="9">
        <v>31000</v>
      </c>
      <c r="N9" s="9">
        <v>28776</v>
      </c>
      <c r="O9" s="10">
        <f t="shared" si="2"/>
        <v>92.825806451612905</v>
      </c>
    </row>
    <row r="10" spans="1:19" ht="36.75" customHeight="1" x14ac:dyDescent="0.25">
      <c r="A10" s="4">
        <v>6</v>
      </c>
      <c r="B10" s="32" t="s">
        <v>22</v>
      </c>
      <c r="C10" s="9">
        <v>19900</v>
      </c>
      <c r="D10" s="9">
        <v>8772</v>
      </c>
      <c r="E10" s="10">
        <f t="shared" si="1"/>
        <v>44.08040201005025</v>
      </c>
      <c r="F10" s="4">
        <v>36</v>
      </c>
      <c r="G10" s="32" t="s">
        <v>23</v>
      </c>
      <c r="H10" s="9">
        <v>11000</v>
      </c>
      <c r="I10" s="9">
        <v>4839</v>
      </c>
      <c r="J10" s="10">
        <f t="shared" si="0"/>
        <v>43.990909090909092</v>
      </c>
      <c r="K10" s="4">
        <v>6</v>
      </c>
      <c r="L10" s="32" t="s">
        <v>24</v>
      </c>
      <c r="M10" s="9">
        <v>3000</v>
      </c>
      <c r="N10" s="9">
        <v>0</v>
      </c>
      <c r="O10" s="10">
        <f t="shared" si="2"/>
        <v>0</v>
      </c>
    </row>
    <row r="11" spans="1:19" ht="47.25" customHeight="1" x14ac:dyDescent="0.5">
      <c r="A11" s="4">
        <v>7</v>
      </c>
      <c r="B11" s="32" t="s">
        <v>25</v>
      </c>
      <c r="C11" s="9">
        <v>8000</v>
      </c>
      <c r="D11" s="9">
        <v>3933</v>
      </c>
      <c r="E11" s="10">
        <f t="shared" si="1"/>
        <v>49.162499999999994</v>
      </c>
      <c r="F11" s="4">
        <v>37</v>
      </c>
      <c r="G11" s="32" t="s">
        <v>26</v>
      </c>
      <c r="H11" s="9">
        <v>1800</v>
      </c>
      <c r="I11" s="9">
        <v>645</v>
      </c>
      <c r="J11" s="10">
        <f t="shared" si="0"/>
        <v>35.833333333333336</v>
      </c>
      <c r="K11" s="4">
        <v>7</v>
      </c>
      <c r="L11" s="32" t="s">
        <v>27</v>
      </c>
      <c r="M11" s="9">
        <v>2000</v>
      </c>
      <c r="N11" s="9">
        <v>566</v>
      </c>
      <c r="O11" s="10">
        <f t="shared" si="2"/>
        <v>28.299999999999997</v>
      </c>
      <c r="S11" s="11"/>
    </row>
    <row r="12" spans="1:19" ht="32.25" customHeight="1" x14ac:dyDescent="0.25">
      <c r="A12" s="4">
        <v>8</v>
      </c>
      <c r="B12" s="32" t="s">
        <v>28</v>
      </c>
      <c r="C12" s="9">
        <v>10200</v>
      </c>
      <c r="D12" s="9">
        <v>6464</v>
      </c>
      <c r="E12" s="10">
        <f t="shared" si="1"/>
        <v>63.372549019607838</v>
      </c>
      <c r="F12" s="4">
        <v>38</v>
      </c>
      <c r="G12" s="32" t="s">
        <v>29</v>
      </c>
      <c r="H12" s="9">
        <v>30</v>
      </c>
      <c r="I12" s="9">
        <v>11</v>
      </c>
      <c r="J12" s="10">
        <f t="shared" si="0"/>
        <v>36.666666666666664</v>
      </c>
      <c r="K12" s="4">
        <v>8</v>
      </c>
      <c r="L12" s="32" t="s">
        <v>30</v>
      </c>
      <c r="M12" s="9">
        <v>23584</v>
      </c>
      <c r="N12" s="9">
        <v>16222</v>
      </c>
      <c r="O12" s="10">
        <f t="shared" si="2"/>
        <v>68.783921302578023</v>
      </c>
    </row>
    <row r="13" spans="1:19" ht="27.75" customHeight="1" x14ac:dyDescent="0.25">
      <c r="A13" s="4">
        <v>9</v>
      </c>
      <c r="B13" s="32" t="s">
        <v>31</v>
      </c>
      <c r="C13" s="9">
        <v>8500</v>
      </c>
      <c r="D13" s="9">
        <v>7302</v>
      </c>
      <c r="E13" s="10">
        <f t="shared" si="1"/>
        <v>85.905882352941177</v>
      </c>
      <c r="F13" s="12"/>
      <c r="G13" s="12"/>
      <c r="H13" s="12"/>
      <c r="I13" s="12"/>
      <c r="J13" s="10"/>
      <c r="K13" s="4">
        <v>9</v>
      </c>
      <c r="L13" s="32" t="s">
        <v>32</v>
      </c>
      <c r="M13" s="9">
        <v>8500</v>
      </c>
      <c r="N13" s="9">
        <v>3943</v>
      </c>
      <c r="O13" s="10">
        <f t="shared" si="2"/>
        <v>46.388235294117649</v>
      </c>
    </row>
    <row r="14" spans="1:19" ht="32.25" customHeight="1" x14ac:dyDescent="0.25">
      <c r="A14" s="4">
        <v>10</v>
      </c>
      <c r="B14" s="32" t="s">
        <v>33</v>
      </c>
      <c r="C14" s="9">
        <v>9000</v>
      </c>
      <c r="D14" s="9">
        <v>5584</v>
      </c>
      <c r="E14" s="10">
        <f t="shared" si="1"/>
        <v>62.044444444444444</v>
      </c>
      <c r="F14" s="12"/>
      <c r="G14" s="12"/>
      <c r="H14" s="12"/>
      <c r="I14" s="12"/>
      <c r="J14" s="12"/>
      <c r="K14" s="4">
        <v>10</v>
      </c>
      <c r="L14" s="32" t="s">
        <v>34</v>
      </c>
      <c r="M14" s="9">
        <v>1550</v>
      </c>
      <c r="N14" s="9">
        <v>1550</v>
      </c>
      <c r="O14" s="10">
        <f t="shared" si="2"/>
        <v>100</v>
      </c>
    </row>
    <row r="15" spans="1:19" ht="30" customHeight="1" x14ac:dyDescent="0.25">
      <c r="A15" s="4">
        <v>11</v>
      </c>
      <c r="B15" s="32" t="s">
        <v>35</v>
      </c>
      <c r="C15" s="9">
        <v>9000</v>
      </c>
      <c r="D15" s="9">
        <v>9000</v>
      </c>
      <c r="E15" s="10">
        <f t="shared" si="1"/>
        <v>100</v>
      </c>
      <c r="F15" s="12"/>
      <c r="G15" s="35"/>
      <c r="H15" s="12"/>
      <c r="I15" s="12"/>
      <c r="J15" s="12"/>
      <c r="K15" s="4">
        <v>11</v>
      </c>
      <c r="L15" s="32" t="s">
        <v>36</v>
      </c>
      <c r="M15" s="9">
        <v>1000</v>
      </c>
      <c r="N15" s="9">
        <v>317</v>
      </c>
      <c r="O15" s="10">
        <f t="shared" si="2"/>
        <v>31.7</v>
      </c>
    </row>
    <row r="16" spans="1:19" ht="26.25" customHeight="1" x14ac:dyDescent="0.25">
      <c r="A16" s="4">
        <v>12</v>
      </c>
      <c r="B16" s="32" t="s">
        <v>37</v>
      </c>
      <c r="C16" s="9">
        <v>12000</v>
      </c>
      <c r="D16" s="9">
        <v>8018</v>
      </c>
      <c r="E16" s="10">
        <f t="shared" si="1"/>
        <v>66.816666666666663</v>
      </c>
      <c r="F16" s="4"/>
      <c r="G16" s="32"/>
      <c r="H16" s="12"/>
      <c r="I16" s="12"/>
      <c r="J16" s="12"/>
      <c r="K16" s="4">
        <v>12</v>
      </c>
      <c r="L16" s="32" t="s">
        <v>38</v>
      </c>
      <c r="M16" s="9">
        <v>1100</v>
      </c>
      <c r="N16" s="9">
        <v>20</v>
      </c>
      <c r="O16" s="10">
        <f t="shared" si="2"/>
        <v>1.8181818181818181</v>
      </c>
    </row>
    <row r="17" spans="1:15" ht="32.25" customHeight="1" x14ac:dyDescent="0.25">
      <c r="A17" s="4">
        <v>13</v>
      </c>
      <c r="B17" s="32" t="s">
        <v>39</v>
      </c>
      <c r="C17" s="9">
        <v>66645</v>
      </c>
      <c r="D17" s="9">
        <v>7008</v>
      </c>
      <c r="E17" s="10">
        <f t="shared" si="1"/>
        <v>10.515417510690975</v>
      </c>
      <c r="F17" s="4"/>
      <c r="G17" s="12"/>
      <c r="H17" s="12"/>
      <c r="I17" s="12"/>
      <c r="J17" s="12"/>
      <c r="K17" s="4">
        <v>13</v>
      </c>
      <c r="L17" s="32" t="s">
        <v>40</v>
      </c>
      <c r="M17" s="9">
        <v>9500</v>
      </c>
      <c r="N17" s="9">
        <v>3494</v>
      </c>
      <c r="O17" s="10">
        <f t="shared" si="2"/>
        <v>36.778947368421051</v>
      </c>
    </row>
    <row r="18" spans="1:15" ht="32.25" customHeight="1" x14ac:dyDescent="0.25">
      <c r="A18" s="4">
        <v>14</v>
      </c>
      <c r="B18" s="32" t="s">
        <v>41</v>
      </c>
      <c r="C18" s="9">
        <v>9000</v>
      </c>
      <c r="D18" s="9">
        <v>3254</v>
      </c>
      <c r="E18" s="10">
        <f t="shared" si="1"/>
        <v>36.155555555555559</v>
      </c>
      <c r="F18" s="4"/>
      <c r="G18" s="12"/>
      <c r="H18" s="12"/>
      <c r="I18" s="12"/>
      <c r="J18" s="12"/>
      <c r="K18" s="4">
        <v>14</v>
      </c>
      <c r="L18" s="32" t="s">
        <v>42</v>
      </c>
      <c r="M18" s="9">
        <v>12200</v>
      </c>
      <c r="N18" s="9">
        <v>10344</v>
      </c>
      <c r="O18" s="10">
        <f t="shared" si="2"/>
        <v>84.786885245901644</v>
      </c>
    </row>
    <row r="19" spans="1:15" ht="32.25" customHeight="1" x14ac:dyDescent="0.25">
      <c r="A19" s="4">
        <v>15</v>
      </c>
      <c r="B19" s="32" t="s">
        <v>43</v>
      </c>
      <c r="C19" s="9">
        <v>18000</v>
      </c>
      <c r="D19" s="9">
        <v>13905</v>
      </c>
      <c r="E19" s="10">
        <f t="shared" si="1"/>
        <v>77.25</v>
      </c>
      <c r="F19" s="4"/>
      <c r="G19" s="12"/>
      <c r="H19" s="12"/>
      <c r="I19" s="12"/>
      <c r="J19" s="12"/>
      <c r="K19" s="4">
        <v>15</v>
      </c>
      <c r="L19" s="32" t="s">
        <v>44</v>
      </c>
      <c r="M19" s="9">
        <v>7900</v>
      </c>
      <c r="N19" s="9">
        <v>6960</v>
      </c>
      <c r="O19" s="10">
        <f t="shared" si="2"/>
        <v>88.101265822784811</v>
      </c>
    </row>
    <row r="20" spans="1:15" ht="32.25" customHeight="1" x14ac:dyDescent="0.25">
      <c r="A20" s="4">
        <v>16</v>
      </c>
      <c r="B20" s="32" t="s">
        <v>45</v>
      </c>
      <c r="C20" s="9">
        <v>7500</v>
      </c>
      <c r="D20" s="9">
        <v>2551</v>
      </c>
      <c r="E20" s="10">
        <f t="shared" si="1"/>
        <v>34.013333333333335</v>
      </c>
      <c r="F20" s="4"/>
      <c r="G20" s="12"/>
      <c r="H20" s="12"/>
      <c r="I20" s="12"/>
      <c r="J20" s="12"/>
      <c r="K20" s="4">
        <v>16</v>
      </c>
      <c r="L20" s="32" t="s">
        <v>46</v>
      </c>
      <c r="M20" s="9">
        <v>5200</v>
      </c>
      <c r="N20" s="9">
        <v>2188</v>
      </c>
      <c r="O20" s="10">
        <f t="shared" si="2"/>
        <v>42.07692307692308</v>
      </c>
    </row>
    <row r="21" spans="1:15" ht="32.25" customHeight="1" x14ac:dyDescent="0.25">
      <c r="A21" s="4">
        <v>17</v>
      </c>
      <c r="B21" s="32" t="s">
        <v>47</v>
      </c>
      <c r="C21" s="9">
        <v>9500</v>
      </c>
      <c r="D21" s="9">
        <v>8882</v>
      </c>
      <c r="E21" s="10">
        <f t="shared" si="1"/>
        <v>93.494736842105269</v>
      </c>
      <c r="F21" s="4"/>
      <c r="G21" s="12"/>
      <c r="H21" s="12"/>
      <c r="I21" s="12"/>
      <c r="J21" s="12"/>
      <c r="K21" s="4">
        <v>17</v>
      </c>
      <c r="L21" s="32" t="s">
        <v>48</v>
      </c>
      <c r="M21" s="9">
        <v>650</v>
      </c>
      <c r="N21" s="9">
        <v>147</v>
      </c>
      <c r="O21" s="13">
        <f t="shared" si="2"/>
        <v>22.615384615384613</v>
      </c>
    </row>
    <row r="22" spans="1:15" ht="32.25" customHeight="1" x14ac:dyDescent="0.25">
      <c r="A22" s="4">
        <v>18</v>
      </c>
      <c r="B22" s="32" t="s">
        <v>49</v>
      </c>
      <c r="C22" s="9">
        <v>18500</v>
      </c>
      <c r="D22" s="9">
        <v>17033</v>
      </c>
      <c r="E22" s="10">
        <f t="shared" si="1"/>
        <v>92.070270270270271</v>
      </c>
      <c r="F22" s="4"/>
      <c r="G22" s="12"/>
      <c r="H22" s="12"/>
      <c r="I22" s="12"/>
      <c r="J22" s="12"/>
      <c r="K22" s="4">
        <v>18</v>
      </c>
      <c r="L22" s="32" t="s">
        <v>50</v>
      </c>
      <c r="M22" s="9">
        <v>800</v>
      </c>
      <c r="N22" s="9">
        <v>604</v>
      </c>
      <c r="O22" s="10">
        <f t="shared" si="2"/>
        <v>75.5</v>
      </c>
    </row>
    <row r="23" spans="1:15" ht="32.25" customHeight="1" x14ac:dyDescent="0.25">
      <c r="A23" s="4">
        <v>19</v>
      </c>
      <c r="B23" s="32" t="s">
        <v>51</v>
      </c>
      <c r="C23" s="9">
        <v>6500</v>
      </c>
      <c r="D23" s="9">
        <v>3116</v>
      </c>
      <c r="E23" s="10">
        <f t="shared" si="1"/>
        <v>47.938461538461539</v>
      </c>
      <c r="F23" s="4"/>
      <c r="G23" s="12" t="s">
        <v>76</v>
      </c>
      <c r="H23" s="12"/>
      <c r="I23" s="12"/>
      <c r="J23" s="12"/>
      <c r="K23" s="4">
        <v>19</v>
      </c>
      <c r="L23" s="32" t="s">
        <v>52</v>
      </c>
      <c r="M23" s="9">
        <v>6500</v>
      </c>
      <c r="N23" s="9">
        <v>3447</v>
      </c>
      <c r="O23" s="10">
        <f t="shared" si="2"/>
        <v>53.030769230769224</v>
      </c>
    </row>
    <row r="24" spans="1:15" ht="32.25" customHeight="1" x14ac:dyDescent="0.25">
      <c r="A24" s="4">
        <v>20</v>
      </c>
      <c r="B24" s="32" t="s">
        <v>53</v>
      </c>
      <c r="C24" s="9">
        <v>10000</v>
      </c>
      <c r="D24" s="9">
        <v>6097</v>
      </c>
      <c r="E24" s="10">
        <f t="shared" si="1"/>
        <v>60.97</v>
      </c>
      <c r="F24" s="4"/>
      <c r="G24" s="12"/>
      <c r="H24" s="12"/>
      <c r="I24" s="12"/>
      <c r="J24" s="12"/>
      <c r="K24" s="4">
        <v>20</v>
      </c>
      <c r="L24" s="32" t="s">
        <v>54</v>
      </c>
      <c r="M24" s="9">
        <v>5200</v>
      </c>
      <c r="N24" s="9">
        <v>3023</v>
      </c>
      <c r="O24" s="10">
        <f t="shared" si="2"/>
        <v>58.134615384615387</v>
      </c>
    </row>
    <row r="25" spans="1:15" ht="32.25" customHeight="1" x14ac:dyDescent="0.25">
      <c r="A25" s="4">
        <v>21</v>
      </c>
      <c r="B25" s="32" t="s">
        <v>55</v>
      </c>
      <c r="C25" s="9">
        <v>6000</v>
      </c>
      <c r="D25" s="9">
        <v>1827</v>
      </c>
      <c r="E25" s="10">
        <f t="shared" si="1"/>
        <v>30.45</v>
      </c>
      <c r="F25" s="4"/>
      <c r="G25" s="12"/>
      <c r="H25" s="12"/>
      <c r="I25" s="12"/>
      <c r="J25" s="12"/>
      <c r="K25" s="4">
        <v>21</v>
      </c>
      <c r="L25" s="32" t="s">
        <v>56</v>
      </c>
      <c r="M25" s="9">
        <v>3500</v>
      </c>
      <c r="N25" s="9">
        <v>2121</v>
      </c>
      <c r="O25" s="10">
        <f t="shared" si="2"/>
        <v>60.6</v>
      </c>
    </row>
    <row r="26" spans="1:15" ht="32.25" customHeight="1" x14ac:dyDescent="0.25">
      <c r="A26" s="4">
        <v>22</v>
      </c>
      <c r="B26" s="32" t="s">
        <v>57</v>
      </c>
      <c r="C26" s="9">
        <v>6000</v>
      </c>
      <c r="D26" s="9">
        <v>1694</v>
      </c>
      <c r="E26" s="10">
        <f t="shared" si="1"/>
        <v>28.233333333333334</v>
      </c>
      <c r="F26" s="4"/>
      <c r="G26" s="12"/>
      <c r="H26" s="12" t="s">
        <v>75</v>
      </c>
      <c r="I26" s="12"/>
      <c r="J26" s="12"/>
      <c r="K26" s="4">
        <v>22</v>
      </c>
      <c r="L26" s="32" t="s">
        <v>58</v>
      </c>
      <c r="M26" s="9">
        <v>3500</v>
      </c>
      <c r="N26" s="9">
        <v>2797</v>
      </c>
      <c r="O26" s="10">
        <f t="shared" si="2"/>
        <v>79.914285714285711</v>
      </c>
    </row>
    <row r="27" spans="1:15" ht="32.25" customHeight="1" x14ac:dyDescent="0.25">
      <c r="A27" s="4">
        <v>23</v>
      </c>
      <c r="B27" s="32" t="s">
        <v>59</v>
      </c>
      <c r="C27" s="9">
        <v>3500</v>
      </c>
      <c r="D27" s="9">
        <v>1168</v>
      </c>
      <c r="E27" s="10">
        <f t="shared" si="1"/>
        <v>33.371428571428574</v>
      </c>
      <c r="F27" s="4"/>
      <c r="G27" s="12"/>
      <c r="H27" s="12"/>
      <c r="I27" s="12"/>
      <c r="J27" s="12"/>
      <c r="K27" s="4">
        <v>23</v>
      </c>
      <c r="L27" s="32" t="s">
        <v>77</v>
      </c>
      <c r="M27" s="9">
        <v>2500</v>
      </c>
      <c r="N27" s="9">
        <v>31</v>
      </c>
      <c r="O27" s="10">
        <f t="shared" si="2"/>
        <v>1.24</v>
      </c>
    </row>
    <row r="28" spans="1:15" ht="32.25" customHeight="1" x14ac:dyDescent="0.25">
      <c r="A28" s="4">
        <v>24</v>
      </c>
      <c r="B28" s="32" t="s">
        <v>60</v>
      </c>
      <c r="C28" s="9">
        <v>1225</v>
      </c>
      <c r="D28" s="9">
        <v>202</v>
      </c>
      <c r="E28" s="10">
        <f t="shared" si="1"/>
        <v>16.489795918367349</v>
      </c>
      <c r="F28" s="4"/>
      <c r="G28" s="12"/>
      <c r="H28" s="12"/>
      <c r="I28" s="12"/>
      <c r="J28" s="12"/>
      <c r="K28" s="4">
        <v>24</v>
      </c>
      <c r="L28" s="32" t="s">
        <v>61</v>
      </c>
      <c r="M28" s="9">
        <v>500</v>
      </c>
      <c r="N28" s="9">
        <v>263</v>
      </c>
      <c r="O28" s="10">
        <f t="shared" si="2"/>
        <v>52.6</v>
      </c>
    </row>
    <row r="29" spans="1:15" ht="32.25" customHeight="1" x14ac:dyDescent="0.25">
      <c r="A29" s="4">
        <v>25</v>
      </c>
      <c r="B29" s="32" t="s">
        <v>62</v>
      </c>
      <c r="C29" s="9">
        <v>1500</v>
      </c>
      <c r="D29" s="9">
        <v>349</v>
      </c>
      <c r="E29" s="10">
        <f t="shared" si="1"/>
        <v>23.266666666666666</v>
      </c>
      <c r="F29" s="12"/>
      <c r="G29" s="12"/>
      <c r="H29" s="12"/>
      <c r="I29" s="4"/>
      <c r="J29" s="12"/>
      <c r="K29" s="4">
        <v>25</v>
      </c>
      <c r="L29" s="32" t="s">
        <v>63</v>
      </c>
      <c r="M29" s="9">
        <v>2000</v>
      </c>
      <c r="N29" s="9">
        <v>1661</v>
      </c>
      <c r="O29" s="10">
        <f t="shared" si="2"/>
        <v>83.05</v>
      </c>
    </row>
    <row r="30" spans="1:15" ht="32.25" customHeight="1" x14ac:dyDescent="0.25">
      <c r="A30" s="4">
        <v>26</v>
      </c>
      <c r="B30" s="32" t="s">
        <v>64</v>
      </c>
      <c r="C30" s="9">
        <v>2000</v>
      </c>
      <c r="D30" s="14">
        <v>1702</v>
      </c>
      <c r="E30" s="10">
        <f t="shared" si="1"/>
        <v>85.1</v>
      </c>
      <c r="F30" s="12"/>
      <c r="G30" s="12"/>
      <c r="H30" s="4"/>
      <c r="I30" s="4"/>
      <c r="J30" s="4"/>
      <c r="K30" s="4">
        <v>26</v>
      </c>
      <c r="L30" s="32" t="s">
        <v>65</v>
      </c>
      <c r="M30" s="9">
        <v>400</v>
      </c>
      <c r="N30" s="9">
        <v>0</v>
      </c>
      <c r="O30" s="10">
        <f t="shared" si="2"/>
        <v>0</v>
      </c>
    </row>
    <row r="31" spans="1:15" ht="49.5" customHeight="1" x14ac:dyDescent="0.25">
      <c r="A31" s="4">
        <v>27</v>
      </c>
      <c r="B31" s="32" t="s">
        <v>66</v>
      </c>
      <c r="C31" s="9">
        <v>700</v>
      </c>
      <c r="D31" s="14">
        <v>259</v>
      </c>
      <c r="E31" s="10">
        <f t="shared" si="1"/>
        <v>37</v>
      </c>
      <c r="F31" s="4"/>
      <c r="G31" s="4"/>
      <c r="H31" s="4"/>
      <c r="I31" s="4"/>
      <c r="J31" s="4"/>
      <c r="K31" s="4">
        <v>27</v>
      </c>
      <c r="L31" s="32" t="s">
        <v>67</v>
      </c>
      <c r="M31" s="9">
        <v>2000</v>
      </c>
      <c r="N31" s="9">
        <v>301</v>
      </c>
      <c r="O31" s="10">
        <f t="shared" si="2"/>
        <v>15.049999999999999</v>
      </c>
    </row>
    <row r="32" spans="1:15" ht="32.25" customHeight="1" x14ac:dyDescent="0.25">
      <c r="A32" s="4">
        <v>28</v>
      </c>
      <c r="B32" s="32" t="s">
        <v>68</v>
      </c>
      <c r="C32" s="9">
        <v>9500</v>
      </c>
      <c r="D32" s="9">
        <v>5021</v>
      </c>
      <c r="E32" s="10">
        <f>D32/C32*100</f>
        <v>52.852631578947374</v>
      </c>
      <c r="F32" s="4"/>
      <c r="G32" s="4"/>
      <c r="H32" s="4"/>
      <c r="I32" s="4"/>
      <c r="J32" s="15"/>
      <c r="K32" s="4">
        <v>28</v>
      </c>
      <c r="L32" s="32" t="s">
        <v>69</v>
      </c>
      <c r="M32" s="9">
        <v>17000</v>
      </c>
      <c r="N32" s="9">
        <v>9026</v>
      </c>
      <c r="O32" s="10">
        <f t="shared" si="2"/>
        <v>53.094117647058823</v>
      </c>
    </row>
    <row r="33" spans="1:17" s="16" customFormat="1" ht="32.25" customHeight="1" x14ac:dyDescent="0.25">
      <c r="A33" s="4">
        <v>29</v>
      </c>
      <c r="B33" s="32" t="s">
        <v>70</v>
      </c>
      <c r="C33" s="9">
        <v>1500</v>
      </c>
      <c r="D33" s="9">
        <v>1056</v>
      </c>
      <c r="E33" s="10">
        <f t="shared" ref="E33:E34" si="3">D33/C33*100</f>
        <v>70.399999999999991</v>
      </c>
      <c r="F33" s="4"/>
      <c r="G33" s="36"/>
      <c r="H33" s="36"/>
      <c r="I33" s="36"/>
      <c r="J33" s="15"/>
      <c r="K33" s="4">
        <v>29</v>
      </c>
      <c r="L33" s="32" t="s">
        <v>71</v>
      </c>
      <c r="M33" s="9">
        <v>600</v>
      </c>
      <c r="N33" s="9">
        <v>248</v>
      </c>
      <c r="O33" s="10">
        <f t="shared" si="2"/>
        <v>41.333333333333336</v>
      </c>
    </row>
    <row r="34" spans="1:17" s="16" customFormat="1" ht="32.25" customHeight="1" x14ac:dyDescent="0.25">
      <c r="A34" s="4">
        <v>30</v>
      </c>
      <c r="B34" s="32" t="s">
        <v>72</v>
      </c>
      <c r="C34" s="9">
        <v>1000</v>
      </c>
      <c r="D34" s="9">
        <v>832</v>
      </c>
      <c r="E34" s="10">
        <f t="shared" si="3"/>
        <v>83.2</v>
      </c>
      <c r="F34" s="12"/>
      <c r="G34" s="12"/>
      <c r="H34" s="12"/>
      <c r="I34" s="12"/>
      <c r="J34" s="15"/>
      <c r="K34" s="4">
        <v>30</v>
      </c>
      <c r="L34" s="32" t="s">
        <v>73</v>
      </c>
      <c r="M34" s="9">
        <v>1000</v>
      </c>
      <c r="N34" s="9">
        <v>702</v>
      </c>
      <c r="O34" s="10">
        <f t="shared" si="2"/>
        <v>70.199999999999989</v>
      </c>
    </row>
    <row r="35" spans="1:17" s="16" customFormat="1" ht="33.75" customHeight="1" x14ac:dyDescent="0.25">
      <c r="A35" s="4"/>
      <c r="B35" s="4" t="s">
        <v>74</v>
      </c>
      <c r="C35" s="4">
        <f>SUM(C5:C34)</f>
        <v>298670</v>
      </c>
      <c r="D35" s="4">
        <f>SUM(D5:D34)</f>
        <v>160170</v>
      </c>
      <c r="E35" s="15"/>
      <c r="F35" s="12"/>
      <c r="G35" s="4" t="s">
        <v>74</v>
      </c>
      <c r="H35" s="4">
        <f>SUM(H5:H32)</f>
        <v>45830</v>
      </c>
      <c r="I35" s="4">
        <f>SUM(I5:I32)</f>
        <v>20398</v>
      </c>
      <c r="J35" s="12"/>
      <c r="K35" s="4"/>
      <c r="L35" s="4" t="s">
        <v>74</v>
      </c>
      <c r="M35" s="4">
        <f>SUM(M5:M34)</f>
        <v>194504</v>
      </c>
      <c r="N35" s="4">
        <f>SUM(N5:N34)</f>
        <v>118074</v>
      </c>
      <c r="O35" s="10"/>
    </row>
    <row r="36" spans="1:17" ht="10.5" customHeight="1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 spans="1:17" ht="36" customHeight="1" x14ac:dyDescent="0.25">
      <c r="A37" s="33" t="s">
        <v>79</v>
      </c>
      <c r="B37" s="33"/>
      <c r="C37" s="17">
        <f>C35+H35</f>
        <v>344500</v>
      </c>
      <c r="D37" s="34"/>
      <c r="E37" s="33" t="s">
        <v>81</v>
      </c>
      <c r="F37" s="33"/>
      <c r="G37" s="33"/>
      <c r="H37" s="33"/>
      <c r="I37" s="17">
        <f>C37+N37</f>
        <v>539004</v>
      </c>
      <c r="J37" s="34"/>
      <c r="K37" s="33" t="s">
        <v>83</v>
      </c>
      <c r="L37" s="33"/>
      <c r="M37" s="33"/>
      <c r="N37" s="17">
        <f>M35</f>
        <v>194504</v>
      </c>
      <c r="O37" s="18"/>
    </row>
    <row r="38" spans="1:17" ht="35.25" customHeight="1" x14ac:dyDescent="0.25">
      <c r="A38" s="33" t="s">
        <v>80</v>
      </c>
      <c r="B38" s="33"/>
      <c r="C38" s="17">
        <f>D35+I35</f>
        <v>180568</v>
      </c>
      <c r="D38" s="34"/>
      <c r="E38" s="33" t="s">
        <v>82</v>
      </c>
      <c r="F38" s="33"/>
      <c r="G38" s="33"/>
      <c r="H38" s="33"/>
      <c r="I38" s="19">
        <f>C38+N38</f>
        <v>298642</v>
      </c>
      <c r="J38" s="34"/>
      <c r="K38" s="33" t="s">
        <v>84</v>
      </c>
      <c r="L38" s="33"/>
      <c r="M38" s="33"/>
      <c r="N38" s="17">
        <f>N35</f>
        <v>118074</v>
      </c>
      <c r="O38" s="37"/>
    </row>
    <row r="39" spans="1:17" ht="9.7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spans="1:17" ht="39" customHeight="1" x14ac:dyDescent="0.5">
      <c r="A40" s="34"/>
      <c r="B40" s="34"/>
      <c r="C40" s="33" t="s">
        <v>85</v>
      </c>
      <c r="D40" s="33"/>
      <c r="E40" s="33"/>
      <c r="F40" s="33"/>
      <c r="G40" s="33"/>
      <c r="H40" s="33"/>
      <c r="I40" s="17">
        <f>C35+H35+M35</f>
        <v>539004</v>
      </c>
      <c r="J40" s="34"/>
      <c r="K40" s="34"/>
      <c r="L40" s="34"/>
      <c r="M40" s="34"/>
      <c r="N40" s="37"/>
      <c r="O40" s="37"/>
      <c r="Q40" s="20"/>
    </row>
    <row r="41" spans="1:17" ht="39" customHeight="1" x14ac:dyDescent="0.5">
      <c r="A41" s="34"/>
      <c r="B41" s="34"/>
      <c r="C41" s="33" t="s">
        <v>78</v>
      </c>
      <c r="D41" s="33"/>
      <c r="E41" s="33"/>
      <c r="F41" s="33"/>
      <c r="G41" s="33"/>
      <c r="H41" s="33"/>
      <c r="I41" s="17">
        <v>6896</v>
      </c>
      <c r="J41" s="40"/>
      <c r="K41" s="34"/>
      <c r="L41" s="34"/>
      <c r="M41" s="34"/>
      <c r="N41" s="37"/>
      <c r="O41" s="37"/>
      <c r="Q41" s="20"/>
    </row>
    <row r="42" spans="1:17" ht="39" customHeight="1" x14ac:dyDescent="0.5">
      <c r="A42" s="34"/>
      <c r="B42" s="34"/>
      <c r="C42" s="33" t="s">
        <v>86</v>
      </c>
      <c r="D42" s="33"/>
      <c r="E42" s="33"/>
      <c r="F42" s="33"/>
      <c r="G42" s="33"/>
      <c r="H42" s="33"/>
      <c r="I42" s="19">
        <f>I40+I41</f>
        <v>545900</v>
      </c>
      <c r="J42" s="40"/>
      <c r="K42" s="34"/>
      <c r="L42" s="34"/>
      <c r="M42" s="34"/>
      <c r="N42" s="37"/>
      <c r="O42" s="37"/>
      <c r="Q42" s="20"/>
    </row>
    <row r="43" spans="1:17" ht="39" customHeight="1" x14ac:dyDescent="0.25">
      <c r="A43" s="17"/>
      <c r="B43" s="17"/>
      <c r="C43" s="33" t="s">
        <v>87</v>
      </c>
      <c r="D43" s="33"/>
      <c r="E43" s="33"/>
      <c r="F43" s="33"/>
      <c r="G43" s="33"/>
      <c r="H43" s="33"/>
      <c r="I43" s="19">
        <f>I38</f>
        <v>298642</v>
      </c>
      <c r="J43" s="40"/>
      <c r="K43" s="17"/>
      <c r="L43" s="34"/>
      <c r="M43" s="34"/>
      <c r="N43" s="37"/>
      <c r="O43" s="37"/>
      <c r="Q43" s="21"/>
    </row>
    <row r="44" spans="1:17" ht="39" customHeight="1" x14ac:dyDescent="0.25">
      <c r="A44" s="34"/>
      <c r="B44" s="34"/>
      <c r="C44" s="33" t="s">
        <v>88</v>
      </c>
      <c r="D44" s="33"/>
      <c r="E44" s="33"/>
      <c r="F44" s="33"/>
      <c r="G44" s="33"/>
      <c r="H44" s="33"/>
      <c r="I44" s="41">
        <f>I43/I42*100</f>
        <v>54.706356475544972</v>
      </c>
      <c r="J44" s="34"/>
      <c r="K44" s="34"/>
      <c r="L44" s="34"/>
      <c r="M44" s="34"/>
      <c r="N44" s="37"/>
      <c r="O44" s="37"/>
    </row>
    <row r="46" spans="1:17" ht="31.5" x14ac:dyDescent="0.45">
      <c r="L46" s="26"/>
    </row>
    <row r="49" spans="7:13" ht="115.5" customHeight="1" x14ac:dyDescent="0.25">
      <c r="L49" s="27"/>
      <c r="M49" s="28"/>
    </row>
    <row r="53" spans="7:13" x14ac:dyDescent="0.25">
      <c r="G53" s="24" t="s">
        <v>75</v>
      </c>
    </row>
    <row r="54" spans="7:13" x14ac:dyDescent="0.25">
      <c r="L54" s="24" t="s">
        <v>75</v>
      </c>
    </row>
  </sheetData>
  <mergeCells count="17">
    <mergeCell ref="C42:H42"/>
    <mergeCell ref="C43:H43"/>
    <mergeCell ref="C44:H44"/>
    <mergeCell ref="C41:H41"/>
    <mergeCell ref="C40:H40"/>
    <mergeCell ref="E38:H38"/>
    <mergeCell ref="K38:M38"/>
    <mergeCell ref="A38:B38"/>
    <mergeCell ref="A39:O39"/>
    <mergeCell ref="A37:B37"/>
    <mergeCell ref="E37:H37"/>
    <mergeCell ref="K37:M37"/>
    <mergeCell ref="A36:O36"/>
    <mergeCell ref="A2:O2"/>
    <mergeCell ref="A1:O1"/>
    <mergeCell ref="A3:J3"/>
    <mergeCell ref="K3:O3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6" fitToHeight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January (2022-23)</vt:lpstr>
      <vt:lpstr>'January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2023-02-17T10:47:10Z</cp:lastPrinted>
  <dcterms:created xsi:type="dcterms:W3CDTF">2020-03-19T06:39:41Z</dcterms:created>
  <dcterms:modified xsi:type="dcterms:W3CDTF">2023-02-17T11:34:57Z</dcterms:modified>
</cp:coreProperties>
</file>