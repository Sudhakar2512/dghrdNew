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6CA68331-B59D-4999-86A5-350C35F44B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gust (2022-23)" sheetId="3" r:id="rId1"/>
  </sheets>
  <definedNames>
    <definedName name="_xlnm.Print_Area" localSheetId="0">'August (2022-23)'!$A$1:$O$50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3" l="1"/>
  <c r="N36" i="3"/>
  <c r="N41" i="3" s="1"/>
  <c r="M36" i="3"/>
  <c r="N39" i="3" s="1"/>
  <c r="I36" i="3"/>
  <c r="H36" i="3"/>
  <c r="D36" i="3"/>
  <c r="C36" i="3"/>
  <c r="O35" i="3"/>
  <c r="E35" i="3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J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I46" i="3" l="1"/>
  <c r="C41" i="3"/>
  <c r="I41" i="3" s="1"/>
  <c r="C39" i="3"/>
  <c r="I39" i="3" s="1"/>
  <c r="I49" i="3" l="1"/>
  <c r="I50" i="3" s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<sst xmlns="http://schemas.openxmlformats.org/spreadsheetml/2006/main" count="105" uniqueCount="91">
  <si>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</si>
  <si>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</si>
  <si>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</si>
  <si>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</si>
  <si>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</si>
  <si>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</si>
  <si>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</si>
  <si>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</si>
  <si>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</si>
  <si>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</si>
  <si>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</si>
  <si>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</si>
  <si>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</si>
  <si>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</si>
  <si>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</si>
  <si>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</si>
  <si>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</si>
  <si>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</si>
  <si>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</si>
  <si>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</si>
  <si>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</si>
  <si>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</si>
  <si>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</si>
  <si>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</si>
  <si>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</si>
  <si>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</si>
  <si>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</si>
  <si>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</si>
  <si>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</si>
  <si>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</si>
  <si>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</si>
  <si>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</si>
  <si>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</si>
  <si>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</si>
  <si>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</si>
  <si>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</si>
  <si>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</si>
  <si>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</si>
  <si>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</si>
  <si>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</si>
  <si>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</si>
  <si>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</si>
  <si>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</si>
  <si>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</si>
  <si>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</si>
  <si>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</si>
  <si>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</si>
  <si>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</si>
  <si>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</si>
  <si>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</si>
  <si>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</si>
  <si>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</si>
  <si>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</si>
  <si>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</si>
  <si>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</si>
  <si>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</si>
  <si>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</si>
  <si>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</si>
  <si>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</si>
  <si>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</si>
  <si>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</si>
  <si>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</si>
  <si>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</si>
  <si>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</si>
  <si>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</si>
  <si>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</si>
  <si>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</si>
  <si>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</si>
  <si>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</si>
  <si>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</si>
  <si>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</si>
  <si>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</si>
  <si>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</si>
  <si>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</si>
  <si>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</si>
  <si>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</si>
  <si>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</si>
  <si>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</si>
  <si>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</si>
  <si>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</si>
  <si>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</si>
  <si>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</si>
  <si>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</si>
  <si>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</si>
  <si>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</si>
  <si>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</si>
  <si>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</si>
  <si>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</si>
  <si>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BE      2022-23</t>
  </si>
  <si>
    <t>Expenditure of "Swachhta" Upto August, 2022-23</t>
  </si>
  <si>
    <t>Total Budget for Swachhta  FY 2022-23=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</si>
</sst>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b/>
      <i/>
      <u/>
      <sz val="40"/>
      <name val="Bookman Old Style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4">
    <xf numFmtId="0" fontId="0" fillId="0" borderId="0" xfId="0"/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/>
    <xf numFmtId="0" fontId="5" fillId="0" borderId="4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/>
    <xf numFmtId="0" fontId="5" fillId="0" borderId="4" xfId="0" applyFont="1" applyFill="1" applyBorder="1"/>
    <xf numFmtId="0" fontId="13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top"/>
    </xf>
    <xf numFmtId="1" fontId="8" fillId="0" borderId="0" xfId="0" applyNumberFormat="1" applyFont="1" applyFill="1" applyBorder="1" applyAlignment="1">
      <alignment horizontal="right" vertical="top" wrapText="1"/>
    </xf>
    <xf numFmtId="164" fontId="19" fillId="0" borderId="4" xfId="0" applyNumberFormat="1" applyFont="1" applyFill="1" applyBorder="1"/>
    <xf numFmtId="2" fontId="8" fillId="0" borderId="6" xfId="0" applyNumberFormat="1" applyFont="1" applyFill="1" applyBorder="1" applyAlignment="1">
      <alignment horizontal="right" vertical="top" wrapText="1"/>
    </xf>
    <xf numFmtId="2" fontId="4" fillId="0" borderId="4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top" wrapText="1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Alignment="1"/>
    <xf numFmtId="0" fontId="1" fillId="0" borderId="0" xfId="0" applyFont="1" applyFill="1"/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/>
    <xf numFmtId="0" fontId="4" fillId="0" borderId="4" xfId="0" applyFont="1" applyFill="1" applyBorder="1"/>
    <xf numFmtId="0" fontId="7" fillId="0" borderId="4" xfId="0" applyFont="1" applyFill="1" applyBorder="1" applyAlignment="1">
      <alignment horizontal="center"/>
    </xf>
    <xf numFmtId="0" fontId="0" fillId="0" borderId="4" xfId="0" applyFill="1" applyBorder="1"/>
    <xf numFmtId="0" fontId="4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/>
    <xf numFmtId="0" fontId="7" fillId="0" borderId="3" xfId="0" applyFont="1" applyFill="1" applyBorder="1"/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/>
    <xf numFmtId="0" fontId="8" fillId="0" borderId="4" xfId="0" applyFont="1" applyFill="1" applyBorder="1" applyAlignment="1">
      <alignment horizontal="right" vertical="center" wrapText="1"/>
    </xf>
    <xf numFmtId="1" fontId="8" fillId="0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0" fontId="7" fillId="0" borderId="6" xfId="0" applyFont="1" applyFill="1" applyBorder="1"/>
    <xf numFmtId="0" fontId="7" fillId="0" borderId="6" xfId="0" applyFont="1" applyFill="1" applyBorder="1" applyAlignment="1">
      <alignment horizontal="center"/>
    </xf>
    <xf numFmtId="0" fontId="18" fillId="0" borderId="0" xfId="0" applyFont="1" applyFill="1"/>
    <xf numFmtId="0" fontId="12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top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view="pageBreakPreview" topLeftCell="A28" zoomScale="60" workbookViewId="0">
      <selection activeCell="K48" sqref="K48"/>
    </sheetView>
  </sheetViews>
  <sheetFormatPr defaultRowHeight="15" x14ac:dyDescent="0.25"/>
  <cols>
    <col min="1" max="1" width="10" style="58" customWidth="1"/>
    <col min="2" max="2" width="56.7109375" style="59" customWidth="1"/>
    <col min="3" max="3" width="21.85546875" style="59" customWidth="1"/>
    <col min="4" max="4" width="27.42578125" style="59" customWidth="1"/>
    <col min="5" max="5" width="17.7109375" style="59" customWidth="1"/>
    <col min="6" max="6" width="12.28515625" style="58" customWidth="1"/>
    <col min="7" max="7" width="49.5703125" style="60" customWidth="1"/>
    <col min="8" max="8" width="19.28515625" style="60" customWidth="1"/>
    <col min="9" max="9" width="25" style="60" customWidth="1"/>
    <col min="10" max="10" width="19.28515625" style="60" customWidth="1"/>
    <col min="11" max="11" width="12" style="61" customWidth="1"/>
    <col min="12" max="12" width="47.5703125" style="60" customWidth="1"/>
    <col min="13" max="13" width="20" style="60" customWidth="1"/>
    <col min="14" max="14" width="25.140625" style="32" customWidth="1"/>
    <col min="15" max="15" width="18.28515625" style="32" customWidth="1"/>
    <col min="16" max="16384" width="9.140625" style="32"/>
  </cols>
  <sheetData>
    <row r="1" spans="1:15" s="31" customFormat="1" ht="56.25" customHeight="1" x14ac:dyDescent="0.25">
      <c r="A1" s="77" t="s">
        <v>89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5" ht="24.75" customHeight="1" x14ac:dyDescent="0.3">
      <c r="A2" s="78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20.25" hidden="1" x14ac:dyDescent="0.2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33"/>
    </row>
    <row r="4" spans="1:15" s="34" customFormat="1" ht="21" customHeight="1" x14ac:dyDescent="0.4">
      <c r="A4" s="80" t="s">
        <v>1</v>
      </c>
      <c r="B4" s="81"/>
      <c r="C4" s="81"/>
      <c r="D4" s="81"/>
      <c r="E4" s="81"/>
      <c r="F4" s="81"/>
      <c r="G4" s="81"/>
      <c r="H4" s="81"/>
      <c r="I4" s="82"/>
      <c r="J4" s="29"/>
      <c r="K4" s="9"/>
      <c r="L4" s="83" t="s">
        <v>2</v>
      </c>
      <c r="M4" s="83"/>
      <c r="N4" s="83"/>
      <c r="O4" s="9"/>
    </row>
    <row r="5" spans="1:15" s="35" customFormat="1" ht="53.25" customHeight="1" x14ac:dyDescent="0.4">
      <c r="A5" s="10" t="s">
        <v>3</v>
      </c>
      <c r="B5" s="10" t="s">
        <v>4</v>
      </c>
      <c r="C5" s="11" t="s">
        <v>88</v>
      </c>
      <c r="D5" s="11" t="s">
        <v>5</v>
      </c>
      <c r="E5" s="11" t="s">
        <v>6</v>
      </c>
      <c r="F5" s="30" t="s">
        <v>3</v>
      </c>
      <c r="G5" s="10" t="s">
        <v>4</v>
      </c>
      <c r="H5" s="11" t="s">
        <v>88</v>
      </c>
      <c r="I5" s="30" t="s">
        <v>5</v>
      </c>
      <c r="J5" s="30" t="s">
        <v>6</v>
      </c>
      <c r="K5" s="30" t="s">
        <v>3</v>
      </c>
      <c r="L5" s="10" t="s">
        <v>4</v>
      </c>
      <c r="M5" s="11" t="s">
        <v>88</v>
      </c>
      <c r="N5" s="30" t="s">
        <v>5</v>
      </c>
      <c r="O5" s="11" t="s">
        <v>6</v>
      </c>
    </row>
    <row r="6" spans="1:15" ht="32.25" customHeight="1" x14ac:dyDescent="0.25">
      <c r="A6" s="1">
        <v>1</v>
      </c>
      <c r="B6" s="2" t="s">
        <v>7</v>
      </c>
      <c r="C6" s="1">
        <v>9000</v>
      </c>
      <c r="D6" s="8">
        <v>2532</v>
      </c>
      <c r="E6" s="12">
        <f>D6/C6*100</f>
        <v>28.133333333333333</v>
      </c>
      <c r="F6" s="1">
        <v>31</v>
      </c>
      <c r="G6" s="2" t="s">
        <v>8</v>
      </c>
      <c r="H6" s="1">
        <v>4000</v>
      </c>
      <c r="I6" s="8">
        <v>407</v>
      </c>
      <c r="J6" s="12">
        <f t="shared" ref="J6:J13" si="0">I6/H6*100</f>
        <v>10.174999999999999</v>
      </c>
      <c r="K6" s="1">
        <v>1</v>
      </c>
      <c r="L6" s="2" t="s">
        <v>9</v>
      </c>
      <c r="M6" s="1">
        <v>5700</v>
      </c>
      <c r="N6" s="8">
        <v>702</v>
      </c>
      <c r="O6" s="12">
        <f>N6/M6*100</f>
        <v>12.315789473684211</v>
      </c>
    </row>
    <row r="7" spans="1:15" ht="32.25" customHeight="1" x14ac:dyDescent="0.25">
      <c r="A7" s="1">
        <v>2</v>
      </c>
      <c r="B7" s="2" t="s">
        <v>10</v>
      </c>
      <c r="C7" s="1">
        <v>10000</v>
      </c>
      <c r="D7" s="8">
        <v>743</v>
      </c>
      <c r="E7" s="12">
        <f t="shared" ref="E7:E32" si="1">D7/C7*100</f>
        <v>7.4300000000000006</v>
      </c>
      <c r="F7" s="1">
        <v>32</v>
      </c>
      <c r="G7" s="2" t="s">
        <v>11</v>
      </c>
      <c r="H7" s="1">
        <v>8500</v>
      </c>
      <c r="I7" s="8">
        <v>462</v>
      </c>
      <c r="J7" s="12">
        <f t="shared" si="0"/>
        <v>5.4352941176470591</v>
      </c>
      <c r="K7" s="1">
        <v>2</v>
      </c>
      <c r="L7" s="2" t="s">
        <v>12</v>
      </c>
      <c r="M7" s="1">
        <v>3200</v>
      </c>
      <c r="N7" s="8">
        <v>0</v>
      </c>
      <c r="O7" s="12">
        <f t="shared" ref="O7:O35" si="2">N7/M7*100</f>
        <v>0</v>
      </c>
    </row>
    <row r="8" spans="1:15" ht="50.25" customHeight="1" x14ac:dyDescent="0.25">
      <c r="A8" s="1">
        <v>3</v>
      </c>
      <c r="B8" s="2" t="s">
        <v>13</v>
      </c>
      <c r="C8" s="1">
        <v>11000</v>
      </c>
      <c r="D8" s="8">
        <v>1107</v>
      </c>
      <c r="E8" s="12">
        <f t="shared" si="1"/>
        <v>10.063636363636363</v>
      </c>
      <c r="F8" s="1">
        <v>33</v>
      </c>
      <c r="G8" s="2" t="s">
        <v>14</v>
      </c>
      <c r="H8" s="1">
        <v>400</v>
      </c>
      <c r="I8" s="8">
        <v>65</v>
      </c>
      <c r="J8" s="12">
        <f t="shared" si="0"/>
        <v>16.25</v>
      </c>
      <c r="K8" s="1">
        <v>3</v>
      </c>
      <c r="L8" s="2" t="s">
        <v>15</v>
      </c>
      <c r="M8" s="1">
        <v>1200</v>
      </c>
      <c r="N8" s="8">
        <v>10</v>
      </c>
      <c r="O8" s="12">
        <f t="shared" si="2"/>
        <v>0.83333333333333337</v>
      </c>
    </row>
    <row r="9" spans="1:15" ht="32.25" customHeight="1" x14ac:dyDescent="0.25">
      <c r="A9" s="1">
        <v>4</v>
      </c>
      <c r="B9" s="2" t="s">
        <v>16</v>
      </c>
      <c r="C9" s="1">
        <v>6000</v>
      </c>
      <c r="D9" s="8">
        <v>410</v>
      </c>
      <c r="E9" s="12">
        <f t="shared" si="1"/>
        <v>6.833333333333333</v>
      </c>
      <c r="F9" s="1">
        <v>34</v>
      </c>
      <c r="G9" s="2" t="s">
        <v>17</v>
      </c>
      <c r="H9" s="1">
        <v>17000</v>
      </c>
      <c r="I9" s="8">
        <v>3100</v>
      </c>
      <c r="J9" s="12">
        <f t="shared" si="0"/>
        <v>18.235294117647058</v>
      </c>
      <c r="K9" s="1">
        <v>4</v>
      </c>
      <c r="L9" s="2" t="s">
        <v>18</v>
      </c>
      <c r="M9" s="1">
        <v>12000</v>
      </c>
      <c r="N9" s="8">
        <v>2131</v>
      </c>
      <c r="O9" s="12">
        <f t="shared" si="2"/>
        <v>17.758333333333333</v>
      </c>
    </row>
    <row r="10" spans="1:15" ht="32.25" customHeight="1" x14ac:dyDescent="0.25">
      <c r="A10" s="1">
        <v>5</v>
      </c>
      <c r="B10" s="2" t="s">
        <v>19</v>
      </c>
      <c r="C10" s="1">
        <v>10000</v>
      </c>
      <c r="D10" s="8">
        <v>2887</v>
      </c>
      <c r="E10" s="12">
        <f t="shared" si="1"/>
        <v>28.87</v>
      </c>
      <c r="F10" s="1">
        <v>35</v>
      </c>
      <c r="G10" s="2" t="s">
        <v>20</v>
      </c>
      <c r="H10" s="1">
        <v>3000</v>
      </c>
      <c r="I10" s="8">
        <v>363</v>
      </c>
      <c r="J10" s="12">
        <f t="shared" si="0"/>
        <v>12.1</v>
      </c>
      <c r="K10" s="1">
        <v>5</v>
      </c>
      <c r="L10" s="2" t="s">
        <v>21</v>
      </c>
      <c r="M10" s="1">
        <v>31000</v>
      </c>
      <c r="N10" s="8">
        <v>4690</v>
      </c>
      <c r="O10" s="12">
        <f t="shared" si="2"/>
        <v>15.129032258064514</v>
      </c>
    </row>
    <row r="11" spans="1:15" ht="36.75" customHeight="1" x14ac:dyDescent="0.25">
      <c r="A11" s="1">
        <v>6</v>
      </c>
      <c r="B11" s="2" t="s">
        <v>22</v>
      </c>
      <c r="C11" s="1">
        <v>17500</v>
      </c>
      <c r="D11" s="8">
        <v>2870</v>
      </c>
      <c r="E11" s="12">
        <f t="shared" si="1"/>
        <v>16.400000000000002</v>
      </c>
      <c r="F11" s="1">
        <v>36</v>
      </c>
      <c r="G11" s="2" t="s">
        <v>23</v>
      </c>
      <c r="H11" s="1">
        <v>11000</v>
      </c>
      <c r="I11" s="8">
        <v>2122</v>
      </c>
      <c r="J11" s="12">
        <f t="shared" si="0"/>
        <v>19.290909090909093</v>
      </c>
      <c r="K11" s="1">
        <v>6</v>
      </c>
      <c r="L11" s="2" t="s">
        <v>24</v>
      </c>
      <c r="M11" s="1">
        <v>3000</v>
      </c>
      <c r="N11" s="8">
        <v>0</v>
      </c>
      <c r="O11" s="12">
        <f t="shared" si="2"/>
        <v>0</v>
      </c>
    </row>
    <row r="12" spans="1:15" ht="47.25" customHeight="1" x14ac:dyDescent="0.25">
      <c r="A12" s="1">
        <v>7</v>
      </c>
      <c r="B12" s="2" t="s">
        <v>25</v>
      </c>
      <c r="C12" s="1">
        <v>6500</v>
      </c>
      <c r="D12" s="8">
        <v>660</v>
      </c>
      <c r="E12" s="12">
        <f t="shared" si="1"/>
        <v>10.153846153846153</v>
      </c>
      <c r="F12" s="1">
        <v>37</v>
      </c>
      <c r="G12" s="2" t="s">
        <v>26</v>
      </c>
      <c r="H12" s="1">
        <v>1800</v>
      </c>
      <c r="I12" s="8">
        <v>367</v>
      </c>
      <c r="J12" s="12">
        <f t="shared" si="0"/>
        <v>20.388888888888889</v>
      </c>
      <c r="K12" s="1">
        <v>7</v>
      </c>
      <c r="L12" s="2" t="s">
        <v>27</v>
      </c>
      <c r="M12" s="1">
        <v>2000</v>
      </c>
      <c r="N12" s="8">
        <v>63</v>
      </c>
      <c r="O12" s="12">
        <f t="shared" si="2"/>
        <v>3.15</v>
      </c>
    </row>
    <row r="13" spans="1:15" ht="32.25" customHeight="1" x14ac:dyDescent="0.25">
      <c r="A13" s="1">
        <v>8</v>
      </c>
      <c r="B13" s="2" t="s">
        <v>28</v>
      </c>
      <c r="C13" s="1">
        <v>10000</v>
      </c>
      <c r="D13" s="8">
        <v>2318</v>
      </c>
      <c r="E13" s="12">
        <f t="shared" si="1"/>
        <v>23.18</v>
      </c>
      <c r="F13" s="1">
        <v>38</v>
      </c>
      <c r="G13" s="2" t="s">
        <v>29</v>
      </c>
      <c r="H13" s="1">
        <v>30</v>
      </c>
      <c r="I13" s="8">
        <v>11</v>
      </c>
      <c r="J13" s="12">
        <f t="shared" si="0"/>
        <v>36.666666666666664</v>
      </c>
      <c r="K13" s="1">
        <v>8</v>
      </c>
      <c r="L13" s="2" t="s">
        <v>30</v>
      </c>
      <c r="M13" s="1">
        <v>15584</v>
      </c>
      <c r="N13" s="8">
        <v>3017</v>
      </c>
      <c r="O13" s="12">
        <f t="shared" si="2"/>
        <v>19.359599589322382</v>
      </c>
    </row>
    <row r="14" spans="1:15" ht="27.75" customHeight="1" x14ac:dyDescent="0.25">
      <c r="A14" s="1">
        <v>9</v>
      </c>
      <c r="B14" s="2" t="s">
        <v>31</v>
      </c>
      <c r="C14" s="1">
        <v>8500</v>
      </c>
      <c r="D14" s="8">
        <v>4624</v>
      </c>
      <c r="E14" s="12">
        <f t="shared" si="1"/>
        <v>54.400000000000006</v>
      </c>
      <c r="F14" s="13"/>
      <c r="G14" s="14"/>
      <c r="H14" s="14"/>
      <c r="I14" s="14"/>
      <c r="J14" s="12"/>
      <c r="K14" s="1">
        <v>9</v>
      </c>
      <c r="L14" s="2" t="s">
        <v>32</v>
      </c>
      <c r="M14" s="1">
        <v>7000</v>
      </c>
      <c r="N14" s="8">
        <v>2313</v>
      </c>
      <c r="O14" s="12">
        <f t="shared" si="2"/>
        <v>33.042857142857137</v>
      </c>
    </row>
    <row r="15" spans="1:15" ht="32.25" customHeight="1" x14ac:dyDescent="0.25">
      <c r="A15" s="1">
        <v>10</v>
      </c>
      <c r="B15" s="2" t="s">
        <v>33</v>
      </c>
      <c r="C15" s="1">
        <v>9000</v>
      </c>
      <c r="D15" s="8">
        <v>1046</v>
      </c>
      <c r="E15" s="12">
        <f t="shared" si="1"/>
        <v>11.622222222222224</v>
      </c>
      <c r="F15" s="13"/>
      <c r="G15" s="14"/>
      <c r="H15" s="14"/>
      <c r="I15" s="14"/>
      <c r="J15" s="14"/>
      <c r="K15" s="1">
        <v>10</v>
      </c>
      <c r="L15" s="2" t="s">
        <v>34</v>
      </c>
      <c r="M15" s="1">
        <v>1750</v>
      </c>
      <c r="N15" s="8">
        <v>15</v>
      </c>
      <c r="O15" s="12">
        <f t="shared" si="2"/>
        <v>0.85714285714285721</v>
      </c>
    </row>
    <row r="16" spans="1:15" ht="30" customHeight="1" x14ac:dyDescent="0.3">
      <c r="A16" s="1">
        <v>11</v>
      </c>
      <c r="B16" s="2" t="s">
        <v>35</v>
      </c>
      <c r="C16" s="1">
        <v>9000</v>
      </c>
      <c r="D16" s="8">
        <v>2533</v>
      </c>
      <c r="E16" s="12">
        <f t="shared" si="1"/>
        <v>28.144444444444446</v>
      </c>
      <c r="F16" s="13"/>
      <c r="G16" s="25"/>
      <c r="H16" s="14"/>
      <c r="I16" s="14"/>
      <c r="J16" s="14"/>
      <c r="K16" s="1">
        <v>11</v>
      </c>
      <c r="L16" s="2" t="s">
        <v>36</v>
      </c>
      <c r="M16" s="1">
        <v>1000</v>
      </c>
      <c r="N16" s="8">
        <v>13</v>
      </c>
      <c r="O16" s="12">
        <f t="shared" si="2"/>
        <v>1.3</v>
      </c>
    </row>
    <row r="17" spans="1:15" ht="26.25" customHeight="1" x14ac:dyDescent="0.25">
      <c r="A17" s="1">
        <v>12</v>
      </c>
      <c r="B17" s="2" t="s">
        <v>37</v>
      </c>
      <c r="C17" s="1">
        <v>12000</v>
      </c>
      <c r="D17" s="8">
        <v>874</v>
      </c>
      <c r="E17" s="12">
        <f t="shared" si="1"/>
        <v>7.2833333333333332</v>
      </c>
      <c r="F17" s="1"/>
      <c r="G17" s="2"/>
      <c r="H17" s="8"/>
      <c r="I17" s="8"/>
      <c r="J17" s="14"/>
      <c r="K17" s="1">
        <v>12</v>
      </c>
      <c r="L17" s="2" t="s">
        <v>38</v>
      </c>
      <c r="M17" s="1">
        <v>1100</v>
      </c>
      <c r="N17" s="8">
        <v>20</v>
      </c>
      <c r="O17" s="12">
        <f t="shared" si="2"/>
        <v>1.8181818181818181</v>
      </c>
    </row>
    <row r="18" spans="1:15" ht="32.25" customHeight="1" x14ac:dyDescent="0.25">
      <c r="A18" s="1">
        <v>13</v>
      </c>
      <c r="B18" s="2" t="s">
        <v>39</v>
      </c>
      <c r="C18" s="1">
        <v>10000</v>
      </c>
      <c r="D18" s="8">
        <v>2774</v>
      </c>
      <c r="E18" s="12">
        <f t="shared" si="1"/>
        <v>27.74</v>
      </c>
      <c r="F18" s="1"/>
      <c r="G18" s="15"/>
      <c r="H18" s="8"/>
      <c r="I18" s="8"/>
      <c r="J18" s="8"/>
      <c r="K18" s="1">
        <v>13</v>
      </c>
      <c r="L18" s="2" t="s">
        <v>40</v>
      </c>
      <c r="M18" s="1">
        <v>9500</v>
      </c>
      <c r="N18" s="8">
        <v>771</v>
      </c>
      <c r="O18" s="12">
        <f t="shared" si="2"/>
        <v>8.1157894736842113</v>
      </c>
    </row>
    <row r="19" spans="1:15" ht="32.25" customHeight="1" x14ac:dyDescent="0.25">
      <c r="A19" s="1">
        <v>14</v>
      </c>
      <c r="B19" s="2" t="s">
        <v>41</v>
      </c>
      <c r="C19" s="1">
        <v>9000</v>
      </c>
      <c r="D19" s="8">
        <v>1418</v>
      </c>
      <c r="E19" s="12">
        <f t="shared" si="1"/>
        <v>15.755555555555556</v>
      </c>
      <c r="F19" s="1"/>
      <c r="G19" s="15"/>
      <c r="H19" s="8"/>
      <c r="I19" s="8"/>
      <c r="J19" s="8"/>
      <c r="K19" s="1">
        <v>14</v>
      </c>
      <c r="L19" s="2" t="s">
        <v>42</v>
      </c>
      <c r="M19" s="1">
        <v>11600</v>
      </c>
      <c r="N19" s="8">
        <v>3632</v>
      </c>
      <c r="O19" s="12">
        <f t="shared" si="2"/>
        <v>31.310344827586206</v>
      </c>
    </row>
    <row r="20" spans="1:15" ht="32.25" customHeight="1" x14ac:dyDescent="0.25">
      <c r="A20" s="1">
        <v>15</v>
      </c>
      <c r="B20" s="2" t="s">
        <v>43</v>
      </c>
      <c r="C20" s="1">
        <v>18000</v>
      </c>
      <c r="D20" s="8">
        <v>4592</v>
      </c>
      <c r="E20" s="12">
        <f t="shared" si="1"/>
        <v>25.511111111111113</v>
      </c>
      <c r="F20" s="1"/>
      <c r="G20" s="15"/>
      <c r="H20" s="8"/>
      <c r="I20" s="8"/>
      <c r="J20" s="8"/>
      <c r="K20" s="1">
        <v>15</v>
      </c>
      <c r="L20" s="2" t="s">
        <v>44</v>
      </c>
      <c r="M20" s="1">
        <v>7900</v>
      </c>
      <c r="N20" s="8">
        <v>3756</v>
      </c>
      <c r="O20" s="12">
        <f t="shared" si="2"/>
        <v>47.544303797468359</v>
      </c>
    </row>
    <row r="21" spans="1:15" ht="32.25" customHeight="1" x14ac:dyDescent="0.25">
      <c r="A21" s="1">
        <v>16</v>
      </c>
      <c r="B21" s="2" t="s">
        <v>45</v>
      </c>
      <c r="C21" s="1">
        <v>7500</v>
      </c>
      <c r="D21" s="8">
        <v>1400</v>
      </c>
      <c r="E21" s="12">
        <f t="shared" si="1"/>
        <v>18.666666666666668</v>
      </c>
      <c r="F21" s="1"/>
      <c r="G21" s="15"/>
      <c r="H21" s="8"/>
      <c r="I21" s="8"/>
      <c r="J21" s="8"/>
      <c r="K21" s="1">
        <v>16</v>
      </c>
      <c r="L21" s="2" t="s">
        <v>46</v>
      </c>
      <c r="M21" s="1">
        <v>5200</v>
      </c>
      <c r="N21" s="8">
        <v>598</v>
      </c>
      <c r="O21" s="12">
        <f t="shared" si="2"/>
        <v>11.5</v>
      </c>
    </row>
    <row r="22" spans="1:15" ht="32.25" customHeight="1" x14ac:dyDescent="0.25">
      <c r="A22" s="1">
        <v>17</v>
      </c>
      <c r="B22" s="2" t="s">
        <v>47</v>
      </c>
      <c r="C22" s="1">
        <v>9500</v>
      </c>
      <c r="D22" s="8">
        <v>2887</v>
      </c>
      <c r="E22" s="12">
        <f t="shared" si="1"/>
        <v>30.389473684210529</v>
      </c>
      <c r="F22" s="1"/>
      <c r="G22" s="15"/>
      <c r="H22" s="8"/>
      <c r="I22" s="8"/>
      <c r="J22" s="8"/>
      <c r="K22" s="1">
        <v>17</v>
      </c>
      <c r="L22" s="2" t="s">
        <v>48</v>
      </c>
      <c r="M22" s="1">
        <v>650</v>
      </c>
      <c r="N22" s="8">
        <v>29</v>
      </c>
      <c r="O22" s="27">
        <f t="shared" si="2"/>
        <v>4.4615384615384617</v>
      </c>
    </row>
    <row r="23" spans="1:15" ht="32.25" customHeight="1" x14ac:dyDescent="0.25">
      <c r="A23" s="1">
        <v>18</v>
      </c>
      <c r="B23" s="2" t="s">
        <v>49</v>
      </c>
      <c r="C23" s="1">
        <v>8500</v>
      </c>
      <c r="D23" s="8">
        <v>7258</v>
      </c>
      <c r="E23" s="12">
        <f t="shared" si="1"/>
        <v>85.388235294117649</v>
      </c>
      <c r="F23" s="1"/>
      <c r="G23" s="15"/>
      <c r="H23" s="8"/>
      <c r="I23" s="8"/>
      <c r="J23" s="8"/>
      <c r="K23" s="1">
        <v>18</v>
      </c>
      <c r="L23" s="2" t="s">
        <v>50</v>
      </c>
      <c r="M23" s="1">
        <v>800</v>
      </c>
      <c r="N23" s="8">
        <v>301</v>
      </c>
      <c r="O23" s="12">
        <f t="shared" si="2"/>
        <v>37.625</v>
      </c>
    </row>
    <row r="24" spans="1:15" ht="32.25" customHeight="1" x14ac:dyDescent="0.25">
      <c r="A24" s="1">
        <v>19</v>
      </c>
      <c r="B24" s="2" t="s">
        <v>51</v>
      </c>
      <c r="C24" s="1">
        <v>6500</v>
      </c>
      <c r="D24" s="8">
        <v>581</v>
      </c>
      <c r="E24" s="12">
        <f t="shared" si="1"/>
        <v>8.9384615384615387</v>
      </c>
      <c r="F24" s="1"/>
      <c r="G24" s="15" t="s">
        <v>84</v>
      </c>
      <c r="H24" s="8"/>
      <c r="I24" s="8"/>
      <c r="J24" s="8"/>
      <c r="K24" s="1">
        <v>19</v>
      </c>
      <c r="L24" s="2" t="s">
        <v>52</v>
      </c>
      <c r="M24" s="1">
        <v>6500</v>
      </c>
      <c r="N24" s="8">
        <v>498</v>
      </c>
      <c r="O24" s="12">
        <f t="shared" si="2"/>
        <v>7.661538461538461</v>
      </c>
    </row>
    <row r="25" spans="1:15" ht="32.25" customHeight="1" x14ac:dyDescent="0.25">
      <c r="A25" s="1">
        <v>20</v>
      </c>
      <c r="B25" s="2" t="s">
        <v>53</v>
      </c>
      <c r="C25" s="1">
        <v>10000</v>
      </c>
      <c r="D25" s="8">
        <v>1371</v>
      </c>
      <c r="E25" s="12">
        <f t="shared" si="1"/>
        <v>13.71</v>
      </c>
      <c r="F25" s="1"/>
      <c r="G25" s="15"/>
      <c r="H25" s="8"/>
      <c r="I25" s="8"/>
      <c r="J25" s="8"/>
      <c r="K25" s="1">
        <v>20</v>
      </c>
      <c r="L25" s="2" t="s">
        <v>54</v>
      </c>
      <c r="M25" s="1">
        <v>3000</v>
      </c>
      <c r="N25" s="8">
        <v>1712</v>
      </c>
      <c r="O25" s="12">
        <f t="shared" si="2"/>
        <v>57.066666666666663</v>
      </c>
    </row>
    <row r="26" spans="1:15" ht="32.25" customHeight="1" x14ac:dyDescent="0.25">
      <c r="A26" s="1">
        <v>21</v>
      </c>
      <c r="B26" s="2" t="s">
        <v>55</v>
      </c>
      <c r="C26" s="1">
        <v>6000</v>
      </c>
      <c r="D26" s="8">
        <v>1121</v>
      </c>
      <c r="E26" s="12">
        <f t="shared" si="1"/>
        <v>18.683333333333334</v>
      </c>
      <c r="F26" s="1"/>
      <c r="G26" s="15"/>
      <c r="H26" s="8"/>
      <c r="I26" s="8"/>
      <c r="J26" s="8"/>
      <c r="K26" s="1">
        <v>21</v>
      </c>
      <c r="L26" s="2" t="s">
        <v>56</v>
      </c>
      <c r="M26" s="1">
        <v>3500</v>
      </c>
      <c r="N26" s="8">
        <v>1033</v>
      </c>
      <c r="O26" s="12">
        <f t="shared" si="2"/>
        <v>29.514285714285716</v>
      </c>
    </row>
    <row r="27" spans="1:15" ht="32.25" customHeight="1" x14ac:dyDescent="0.25">
      <c r="A27" s="1">
        <v>22</v>
      </c>
      <c r="B27" s="2" t="s">
        <v>57</v>
      </c>
      <c r="C27" s="1">
        <v>6000</v>
      </c>
      <c r="D27" s="8">
        <v>696</v>
      </c>
      <c r="E27" s="12">
        <f t="shared" si="1"/>
        <v>11.600000000000001</v>
      </c>
      <c r="F27" s="1"/>
      <c r="G27" s="15"/>
      <c r="H27" s="8" t="s">
        <v>81</v>
      </c>
      <c r="I27" s="8"/>
      <c r="J27" s="8"/>
      <c r="K27" s="1">
        <v>22</v>
      </c>
      <c r="L27" s="2" t="s">
        <v>58</v>
      </c>
      <c r="M27" s="1">
        <v>2800</v>
      </c>
      <c r="N27" s="8">
        <v>2744</v>
      </c>
      <c r="O27" s="12">
        <f t="shared" si="2"/>
        <v>98</v>
      </c>
    </row>
    <row r="28" spans="1:15" ht="32.25" customHeight="1" x14ac:dyDescent="0.25">
      <c r="A28" s="1">
        <v>23</v>
      </c>
      <c r="B28" s="2" t="s">
        <v>59</v>
      </c>
      <c r="C28" s="1">
        <v>3500</v>
      </c>
      <c r="D28" s="8">
        <v>516</v>
      </c>
      <c r="E28" s="12">
        <f t="shared" si="1"/>
        <v>14.742857142857144</v>
      </c>
      <c r="F28" s="1"/>
      <c r="G28" s="15"/>
      <c r="H28" s="8"/>
      <c r="I28" s="8"/>
      <c r="J28" s="8"/>
      <c r="K28" s="1">
        <v>23</v>
      </c>
      <c r="L28" s="2" t="s">
        <v>85</v>
      </c>
      <c r="M28" s="1">
        <v>2500</v>
      </c>
      <c r="N28" s="8">
        <v>5</v>
      </c>
      <c r="O28" s="12">
        <f t="shared" si="2"/>
        <v>0.2</v>
      </c>
    </row>
    <row r="29" spans="1:15" ht="32.25" customHeight="1" x14ac:dyDescent="0.25">
      <c r="A29" s="1">
        <v>24</v>
      </c>
      <c r="B29" s="2" t="s">
        <v>60</v>
      </c>
      <c r="C29" s="1">
        <v>1225</v>
      </c>
      <c r="D29" s="8">
        <v>0</v>
      </c>
      <c r="E29" s="12">
        <f t="shared" si="1"/>
        <v>0</v>
      </c>
      <c r="F29" s="1"/>
      <c r="G29" s="15"/>
      <c r="H29" s="8"/>
      <c r="I29" s="8"/>
      <c r="J29" s="8"/>
      <c r="K29" s="1">
        <v>24</v>
      </c>
      <c r="L29" s="2" t="s">
        <v>61</v>
      </c>
      <c r="M29" s="1">
        <v>500</v>
      </c>
      <c r="N29" s="8">
        <v>207</v>
      </c>
      <c r="O29" s="12">
        <f t="shared" si="2"/>
        <v>41.4</v>
      </c>
    </row>
    <row r="30" spans="1:15" ht="32.25" customHeight="1" x14ac:dyDescent="0.25">
      <c r="A30" s="1">
        <v>25</v>
      </c>
      <c r="B30" s="2" t="s">
        <v>62</v>
      </c>
      <c r="C30" s="1">
        <v>1500</v>
      </c>
      <c r="D30" s="8">
        <v>201</v>
      </c>
      <c r="E30" s="12">
        <f t="shared" si="1"/>
        <v>13.4</v>
      </c>
      <c r="F30" s="8"/>
      <c r="G30" s="15"/>
      <c r="H30" s="8"/>
      <c r="I30" s="1"/>
      <c r="J30" s="8"/>
      <c r="K30" s="1">
        <v>25</v>
      </c>
      <c r="L30" s="2" t="s">
        <v>63</v>
      </c>
      <c r="M30" s="1">
        <v>2000</v>
      </c>
      <c r="N30" s="8">
        <v>1066</v>
      </c>
      <c r="O30" s="12">
        <f t="shared" si="2"/>
        <v>53.300000000000004</v>
      </c>
    </row>
    <row r="31" spans="1:15" ht="32.25" customHeight="1" x14ac:dyDescent="0.25">
      <c r="A31" s="1">
        <v>26</v>
      </c>
      <c r="B31" s="2" t="s">
        <v>64</v>
      </c>
      <c r="C31" s="1">
        <v>2000</v>
      </c>
      <c r="D31" s="8">
        <v>361</v>
      </c>
      <c r="E31" s="12">
        <f t="shared" si="1"/>
        <v>18.05</v>
      </c>
      <c r="F31" s="8"/>
      <c r="G31" s="16"/>
      <c r="H31" s="1"/>
      <c r="I31" s="1"/>
      <c r="J31" s="1"/>
      <c r="K31" s="1">
        <v>26</v>
      </c>
      <c r="L31" s="2" t="s">
        <v>65</v>
      </c>
      <c r="M31" s="1">
        <v>500</v>
      </c>
      <c r="N31" s="8">
        <v>0</v>
      </c>
      <c r="O31" s="12">
        <f t="shared" si="2"/>
        <v>0</v>
      </c>
    </row>
    <row r="32" spans="1:15" ht="45.75" customHeight="1" x14ac:dyDescent="0.25">
      <c r="A32" s="1">
        <v>27</v>
      </c>
      <c r="B32" s="2" t="s">
        <v>66</v>
      </c>
      <c r="C32" s="1">
        <v>700</v>
      </c>
      <c r="D32" s="8">
        <v>215</v>
      </c>
      <c r="E32" s="12">
        <f t="shared" si="1"/>
        <v>30.714285714285715</v>
      </c>
      <c r="F32" s="17"/>
      <c r="G32" s="18"/>
      <c r="H32" s="17"/>
      <c r="I32" s="17"/>
      <c r="J32" s="1"/>
      <c r="K32" s="1">
        <v>27</v>
      </c>
      <c r="L32" s="2" t="s">
        <v>67</v>
      </c>
      <c r="M32" s="1">
        <v>2000</v>
      </c>
      <c r="N32" s="8">
        <v>261</v>
      </c>
      <c r="O32" s="12">
        <f t="shared" si="2"/>
        <v>13.05</v>
      </c>
    </row>
    <row r="33" spans="1:15" ht="32.25" customHeight="1" x14ac:dyDescent="0.25">
      <c r="A33" s="1">
        <v>28</v>
      </c>
      <c r="B33" s="2" t="s">
        <v>68</v>
      </c>
      <c r="C33" s="1">
        <v>7000</v>
      </c>
      <c r="D33" s="8">
        <v>3157</v>
      </c>
      <c r="E33" s="12">
        <f>D33/C33*100</f>
        <v>45.1</v>
      </c>
      <c r="F33" s="17"/>
      <c r="G33" s="18"/>
      <c r="H33" s="17"/>
      <c r="I33" s="17"/>
      <c r="J33" s="19"/>
      <c r="K33" s="1">
        <v>28</v>
      </c>
      <c r="L33" s="2" t="s">
        <v>69</v>
      </c>
      <c r="M33" s="1">
        <v>17000</v>
      </c>
      <c r="N33" s="8">
        <v>2784</v>
      </c>
      <c r="O33" s="12">
        <f t="shared" si="2"/>
        <v>16.376470588235296</v>
      </c>
    </row>
    <row r="34" spans="1:15" s="36" customFormat="1" ht="32.25" customHeight="1" x14ac:dyDescent="0.25">
      <c r="A34" s="1">
        <v>29</v>
      </c>
      <c r="B34" s="2" t="s">
        <v>70</v>
      </c>
      <c r="C34" s="1">
        <v>1500</v>
      </c>
      <c r="D34" s="8">
        <v>345</v>
      </c>
      <c r="E34" s="12">
        <f t="shared" ref="E34:E35" si="3">D34/C34*100</f>
        <v>23</v>
      </c>
      <c r="F34" s="17"/>
      <c r="G34" s="20"/>
      <c r="H34" s="20"/>
      <c r="I34" s="20"/>
      <c r="J34" s="19"/>
      <c r="K34" s="1">
        <v>29</v>
      </c>
      <c r="L34" s="2" t="s">
        <v>71</v>
      </c>
      <c r="M34" s="1">
        <v>600</v>
      </c>
      <c r="N34" s="8">
        <v>0</v>
      </c>
      <c r="O34" s="12">
        <f t="shared" si="2"/>
        <v>0</v>
      </c>
    </row>
    <row r="35" spans="1:15" s="36" customFormat="1" ht="32.25" customHeight="1" x14ac:dyDescent="0.35">
      <c r="A35" s="1">
        <v>30</v>
      </c>
      <c r="B35" s="2" t="s">
        <v>72</v>
      </c>
      <c r="C35" s="1">
        <v>1000</v>
      </c>
      <c r="D35" s="8">
        <v>428</v>
      </c>
      <c r="E35" s="12">
        <f t="shared" si="3"/>
        <v>42.8</v>
      </c>
      <c r="F35" s="8"/>
      <c r="G35" s="21"/>
      <c r="H35" s="21"/>
      <c r="I35" s="21"/>
      <c r="J35" s="19"/>
      <c r="K35" s="1">
        <v>30</v>
      </c>
      <c r="L35" s="2" t="s">
        <v>73</v>
      </c>
      <c r="M35" s="1">
        <v>1000</v>
      </c>
      <c r="N35" s="8">
        <v>207</v>
      </c>
      <c r="O35" s="12">
        <f t="shared" si="2"/>
        <v>20.7</v>
      </c>
    </row>
    <row r="36" spans="1:15" s="36" customFormat="1" ht="32.25" customHeight="1" x14ac:dyDescent="0.35">
      <c r="A36" s="1"/>
      <c r="B36" s="18" t="s">
        <v>74</v>
      </c>
      <c r="C36" s="17">
        <f>SUM(C6:C35)</f>
        <v>227925</v>
      </c>
      <c r="D36" s="17">
        <f>SUM(D6:D35)</f>
        <v>51925</v>
      </c>
      <c r="E36" s="19"/>
      <c r="F36" s="8"/>
      <c r="G36" s="18" t="s">
        <v>74</v>
      </c>
      <c r="H36" s="17">
        <f>SUM(H6:H33)</f>
        <v>45730</v>
      </c>
      <c r="I36" s="17">
        <f>SUM(I6:I33)</f>
        <v>6897</v>
      </c>
      <c r="J36" s="21"/>
      <c r="K36" s="1"/>
      <c r="L36" s="18" t="s">
        <v>74</v>
      </c>
      <c r="M36" s="17">
        <f>SUM(M6:M35)</f>
        <v>162084</v>
      </c>
      <c r="N36" s="22">
        <f>SUM(N6:N35)</f>
        <v>32578</v>
      </c>
      <c r="O36" s="12"/>
    </row>
    <row r="37" spans="1:15" ht="24" hidden="1" customHeight="1" thickBot="1" x14ac:dyDescent="0.4">
      <c r="A37" s="37"/>
      <c r="B37" s="38"/>
      <c r="C37" s="38"/>
      <c r="D37" s="38"/>
      <c r="E37" s="38"/>
      <c r="F37" s="39"/>
      <c r="G37" s="40"/>
      <c r="H37" s="40"/>
      <c r="I37" s="40"/>
      <c r="J37" s="41"/>
      <c r="K37" s="42"/>
      <c r="L37" s="40"/>
      <c r="M37" s="40"/>
      <c r="O37" s="43"/>
    </row>
    <row r="38" spans="1:15" ht="24" customHeight="1" thickBot="1" x14ac:dyDescent="0.4">
      <c r="A38" s="37"/>
      <c r="B38" s="38"/>
      <c r="C38" s="38"/>
      <c r="D38" s="38"/>
      <c r="E38" s="44"/>
      <c r="F38" s="45"/>
      <c r="G38" s="46"/>
      <c r="H38" s="47"/>
      <c r="I38" s="40"/>
      <c r="J38" s="41"/>
      <c r="K38" s="42"/>
      <c r="L38" s="40"/>
      <c r="M38" s="40"/>
      <c r="O38" s="43"/>
    </row>
    <row r="39" spans="1:15" ht="35.25" customHeight="1" thickBot="1" x14ac:dyDescent="0.3">
      <c r="A39" s="72" t="s">
        <v>75</v>
      </c>
      <c r="B39" s="72"/>
      <c r="C39" s="48">
        <f>C36+H36</f>
        <v>273655</v>
      </c>
      <c r="D39" s="38"/>
      <c r="E39" s="74" t="s">
        <v>83</v>
      </c>
      <c r="F39" s="75"/>
      <c r="G39" s="75"/>
      <c r="H39" s="76"/>
      <c r="I39" s="48">
        <f>C39+N39</f>
        <v>435739</v>
      </c>
      <c r="J39" s="40"/>
      <c r="K39" s="73" t="s">
        <v>76</v>
      </c>
      <c r="L39" s="73"/>
      <c r="M39" s="73"/>
      <c r="N39" s="49">
        <f>M36</f>
        <v>162084</v>
      </c>
      <c r="O39" s="50"/>
    </row>
    <row r="40" spans="1:15" ht="12" hidden="1" customHeight="1" thickBot="1" x14ac:dyDescent="0.4">
      <c r="A40" s="39"/>
      <c r="B40" s="51"/>
      <c r="C40" s="51"/>
      <c r="D40" s="51"/>
      <c r="E40" s="51"/>
      <c r="F40" s="39"/>
      <c r="G40" s="40"/>
      <c r="H40" s="40"/>
      <c r="I40" s="40"/>
      <c r="J40" s="40"/>
      <c r="K40" s="52"/>
      <c r="L40" s="41"/>
      <c r="M40" s="41"/>
      <c r="N40" s="53"/>
      <c r="O40" s="43"/>
    </row>
    <row r="41" spans="1:15" ht="64.5" customHeight="1" thickBot="1" x14ac:dyDescent="0.3">
      <c r="A41" s="39"/>
      <c r="B41" s="54" t="s">
        <v>77</v>
      </c>
      <c r="C41" s="48">
        <f>D36+I36</f>
        <v>58822</v>
      </c>
      <c r="D41" s="51"/>
      <c r="E41" s="51"/>
      <c r="F41" s="72" t="s">
        <v>78</v>
      </c>
      <c r="G41" s="72"/>
      <c r="H41" s="72"/>
      <c r="I41" s="55">
        <f>C41+N41</f>
        <v>91400</v>
      </c>
      <c r="J41" s="40"/>
      <c r="K41" s="42"/>
      <c r="L41" s="73" t="s">
        <v>79</v>
      </c>
      <c r="M41" s="73"/>
      <c r="N41" s="49">
        <f>N36</f>
        <v>32578</v>
      </c>
      <c r="O41" s="43"/>
    </row>
    <row r="42" spans="1:15" ht="15.75" hidden="1" thickBot="1" x14ac:dyDescent="0.3">
      <c r="A42" s="39"/>
      <c r="B42" s="51"/>
      <c r="C42" s="51"/>
      <c r="D42" s="51"/>
      <c r="E42" s="51"/>
      <c r="F42" s="39"/>
      <c r="G42" s="40"/>
      <c r="H42" s="40"/>
      <c r="I42" s="40"/>
      <c r="J42" s="40"/>
      <c r="K42" s="42"/>
      <c r="L42" s="40"/>
      <c r="M42" s="40"/>
      <c r="O42" s="43"/>
    </row>
    <row r="43" spans="1:15" ht="15.75" hidden="1" thickBot="1" x14ac:dyDescent="0.3">
      <c r="A43" s="39"/>
      <c r="B43" s="51"/>
      <c r="C43" s="51"/>
      <c r="D43" s="51"/>
      <c r="E43" s="51"/>
      <c r="F43" s="39"/>
      <c r="G43" s="40"/>
      <c r="H43" s="40"/>
      <c r="I43" s="40"/>
      <c r="J43" s="40"/>
      <c r="K43" s="42"/>
      <c r="L43" s="40"/>
      <c r="M43" s="40"/>
      <c r="O43" s="43"/>
    </row>
    <row r="44" spans="1:15" ht="24.75" customHeight="1" thickBot="1" x14ac:dyDescent="0.3">
      <c r="A44" s="73"/>
      <c r="B44" s="73"/>
      <c r="C44" s="56"/>
      <c r="D44" s="51"/>
      <c r="E44" s="72"/>
      <c r="F44" s="72"/>
      <c r="G44" s="72"/>
      <c r="H44" s="72"/>
      <c r="I44" s="56"/>
      <c r="J44" s="40"/>
      <c r="K44" s="73"/>
      <c r="L44" s="73"/>
      <c r="M44" s="73"/>
      <c r="N44" s="57"/>
      <c r="O44" s="6"/>
    </row>
    <row r="45" spans="1:15" ht="4.5" hidden="1" customHeight="1" x14ac:dyDescent="0.25"/>
    <row r="46" spans="1:15" ht="30" customHeight="1" x14ac:dyDescent="0.25">
      <c r="A46" s="62"/>
      <c r="B46" s="63"/>
      <c r="C46" s="71" t="s">
        <v>80</v>
      </c>
      <c r="D46" s="71"/>
      <c r="E46" s="71"/>
      <c r="F46" s="71"/>
      <c r="G46" s="71"/>
      <c r="H46" s="71"/>
      <c r="I46" s="28">
        <f>C36+H36+M36</f>
        <v>435739</v>
      </c>
      <c r="J46" s="3"/>
      <c r="K46" s="64"/>
      <c r="L46" s="3"/>
      <c r="M46" s="3"/>
      <c r="N46" s="4"/>
    </row>
    <row r="47" spans="1:15" ht="30" customHeight="1" x14ac:dyDescent="0.25">
      <c r="A47" s="62"/>
      <c r="B47" s="63"/>
      <c r="C47" s="23"/>
      <c r="D47" s="71" t="s">
        <v>82</v>
      </c>
      <c r="E47" s="71"/>
      <c r="F47" s="71"/>
      <c r="G47" s="71"/>
      <c r="H47" s="71"/>
      <c r="I47" s="28">
        <v>132361</v>
      </c>
      <c r="J47" s="65"/>
      <c r="K47" s="64"/>
      <c r="L47" s="3"/>
      <c r="M47" s="5"/>
      <c r="N47" s="4"/>
    </row>
    <row r="48" spans="1:15" ht="33" customHeight="1" x14ac:dyDescent="0.25">
      <c r="A48" s="62"/>
      <c r="B48" s="63"/>
      <c r="C48" s="71" t="s">
        <v>90</v>
      </c>
      <c r="D48" s="71"/>
      <c r="E48" s="71"/>
      <c r="F48" s="71"/>
      <c r="G48" s="71"/>
      <c r="H48" s="71"/>
      <c r="I48" s="28">
        <v>542500</v>
      </c>
      <c r="J48" s="65"/>
      <c r="K48" s="64"/>
      <c r="L48" s="3"/>
      <c r="M48" s="3"/>
      <c r="N48" s="4"/>
    </row>
    <row r="49" spans="1:15" ht="27" customHeight="1" x14ac:dyDescent="0.25">
      <c r="A49" s="7"/>
      <c r="B49" s="7"/>
      <c r="C49" s="71" t="s">
        <v>86</v>
      </c>
      <c r="D49" s="71"/>
      <c r="E49" s="71"/>
      <c r="F49" s="71"/>
      <c r="G49" s="71"/>
      <c r="H49" s="71"/>
      <c r="I49" s="24">
        <f>I41</f>
        <v>91400</v>
      </c>
      <c r="J49" s="65"/>
      <c r="K49" s="7"/>
    </row>
    <row r="50" spans="1:15" ht="27.75" x14ac:dyDescent="0.25">
      <c r="C50" s="71" t="s">
        <v>87</v>
      </c>
      <c r="D50" s="71"/>
      <c r="E50" s="71"/>
      <c r="F50" s="71"/>
      <c r="G50" s="71"/>
      <c r="H50" s="71"/>
      <c r="I50" s="26">
        <f>I49/I48*100</f>
        <v>16.847926267281103</v>
      </c>
      <c r="J50" s="66"/>
      <c r="K50" s="67"/>
    </row>
    <row r="52" spans="1:15" ht="31.5" x14ac:dyDescent="0.45">
      <c r="L52" s="68"/>
    </row>
    <row r="53" spans="1:15" x14ac:dyDescent="0.25">
      <c r="L53" s="3"/>
      <c r="M53" s="3"/>
      <c r="N53" s="4"/>
      <c r="O53" s="4"/>
    </row>
    <row r="54" spans="1:15" x14ac:dyDescent="0.25">
      <c r="L54" s="3"/>
      <c r="M54" s="3"/>
      <c r="N54" s="4"/>
      <c r="O54" s="4"/>
    </row>
    <row r="55" spans="1:15" ht="115.5" customHeight="1" x14ac:dyDescent="0.25">
      <c r="L55" s="69"/>
      <c r="M55" s="70"/>
      <c r="N55" s="4"/>
      <c r="O55" s="4"/>
    </row>
    <row r="56" spans="1:15" x14ac:dyDescent="0.25">
      <c r="L56" s="3"/>
      <c r="M56" s="3"/>
      <c r="N56" s="4"/>
      <c r="O56" s="4"/>
    </row>
    <row r="57" spans="1:15" x14ac:dyDescent="0.25">
      <c r="L57" s="3"/>
      <c r="M57" s="3"/>
      <c r="N57" s="4"/>
      <c r="O57" s="4"/>
    </row>
    <row r="58" spans="1:15" x14ac:dyDescent="0.25">
      <c r="L58" s="3"/>
      <c r="M58" s="3"/>
      <c r="N58" s="4"/>
      <c r="O58" s="4"/>
    </row>
    <row r="59" spans="1:15" x14ac:dyDescent="0.25">
      <c r="G59" s="60" t="s">
        <v>81</v>
      </c>
      <c r="L59" s="3"/>
      <c r="M59" s="3"/>
      <c r="N59" s="4"/>
      <c r="O59" s="4"/>
    </row>
    <row r="60" spans="1:15" x14ac:dyDescent="0.25">
      <c r="L60" s="3" t="s">
        <v>81</v>
      </c>
      <c r="M60" s="3"/>
      <c r="N60" s="4"/>
      <c r="O60" s="4"/>
    </row>
  </sheetData>
  <mergeCells count="18">
    <mergeCell ref="A39:B39"/>
    <mergeCell ref="E39:H39"/>
    <mergeCell ref="K39:M39"/>
    <mergeCell ref="A1:N1"/>
    <mergeCell ref="A2:O2"/>
    <mergeCell ref="A3:L3"/>
    <mergeCell ref="A4:I4"/>
    <mergeCell ref="L4:N4"/>
    <mergeCell ref="L41:M41"/>
    <mergeCell ref="A44:B44"/>
    <mergeCell ref="E44:H44"/>
    <mergeCell ref="K44:M44"/>
    <mergeCell ref="C46:H46"/>
    <mergeCell ref="D47:H47"/>
    <mergeCell ref="C48:H48"/>
    <mergeCell ref="C49:H49"/>
    <mergeCell ref="C50:H50"/>
    <mergeCell ref="F41:H41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5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August (2022-23)</vt:lpstr>
      <vt:lpstr>'August (2022-23)'!Print_Area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HP</cp:lastModifiedBy>
  <cp:lastPrinted>2022-09-19T06:46:42Z</cp:lastPrinted>
  <dcterms:created xsi:type="dcterms:W3CDTF">2020-03-19T06:39:41Z</dcterms:created>
  <dcterms:modified xsi:type="dcterms:W3CDTF">2022-09-20T07:57:58Z</dcterms:modified>
</cp:coreProperties>
</file>