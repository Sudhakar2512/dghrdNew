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28800" windowHeight="12435" tabRatio="841"/>
  </bookViews>
  <sheets>
    <sheet name="Ongoing Proposals-13.09.2021" sheetId="77" r:id="rId1"/>
  </sheets>
  <definedNames>
    <definedName name="_xlnm._FilterDatabase" localSheetId="0" hidden="1">'Ongoing Proposals-13.09.2021'!$A$2:$I$101</definedName>
    <definedName name="_xlnm.Print_Area" localSheetId="0">'Ongoing Proposals-13.09.2021'!$A$1:$M$101</definedName>
    <definedName name="_xlnm.Print_Titles" localSheetId="0">'Ongoing Proposals-13.09.2021'!$2:$3</definedName>
  </definedNames>
  <calcPr calcId="124519"/>
  <fileRecoveryPr autoRecover="0"/>
</workbook>
</file>

<file path=xl/calcChain.xml><?xml version="1.0" encoding="utf-8"?>
<calcChain xmlns="http://schemas.openxmlformats.org/spreadsheetml/2006/main">
  <c r="H46" i="77"/>
  <c r="C50"/>
  <c r="D50" l="1"/>
</calcChain>
</file>

<file path=xl/sharedStrings.xml><?xml version="1.0" encoding="utf-8"?>
<sst xmlns="http://schemas.openxmlformats.org/spreadsheetml/2006/main" count="521" uniqueCount="417">
  <si>
    <t>S.No.</t>
  </si>
  <si>
    <t>Status of Proposal</t>
  </si>
  <si>
    <t>Zones/Directorates</t>
  </si>
  <si>
    <t>Comm'te</t>
  </si>
  <si>
    <t>Subject</t>
  </si>
  <si>
    <t>Revision</t>
  </si>
  <si>
    <t>Area (sq.ft.)</t>
  </si>
  <si>
    <t>Pr. Chief Commissioner of CGST &amp; Central Excise, Mumbai Zone</t>
  </si>
  <si>
    <t xml:space="preserve">Pr. Chief Commissioner, Central GST Zone, GST Bhavan, Revenue Marg, Ambawadi, Ahmedabbad-380015 </t>
  </si>
  <si>
    <t xml:space="preserve">CGST Audit  (HQ &amp; 10 Circle offices) at Ahmedabad
</t>
  </si>
  <si>
    <t>Chief Commissioner, CGST and Central Excise, Vadodara Zone</t>
  </si>
  <si>
    <t>Bharuch</t>
  </si>
  <si>
    <t xml:space="preserve">Chief Commissioner of Central Tax &amp; Customs, GST Bhavan, Port Area, Visakhapatnam </t>
  </si>
  <si>
    <t>Pr. Commissioner of Central Tax, Visakhapatnam</t>
  </si>
  <si>
    <t>Principal Chief Commissioner of Central Goods &amp; Services Tax, Bengaluru Zone</t>
  </si>
  <si>
    <t>Commissioner of Central Tax, Audit-II Commissionerate, J.S.S. Towers, 100 Ft. Ring Road, Banashankari-III Stage, Bengaluru</t>
  </si>
  <si>
    <t>Pr. Additional Director General, DGGSTI, Zonal Unit, Mumbai</t>
  </si>
  <si>
    <t>Director General, DGCEI, New Delhi</t>
  </si>
  <si>
    <t>Director General, NACIN, Faridabad</t>
  </si>
  <si>
    <t xml:space="preserve">NACIN, Chennai </t>
  </si>
  <si>
    <t>Pr. Chief Commissioner of CGST &amp;Central Excise, Mumbai Zone</t>
  </si>
  <si>
    <t xml:space="preserve">Division-III &amp; VI, CGST, Palghar  </t>
  </si>
  <si>
    <t>Commissioner of Central GST &amp; Central Excise, Thane</t>
  </si>
  <si>
    <t>16805 and 2192</t>
  </si>
  <si>
    <t>Pr. Commissioner of Customs, Custom House, Ahmedabad</t>
  </si>
  <si>
    <t>Principal Commissioner of Customs,  Ahmedabad</t>
  </si>
  <si>
    <t>Principal Commissioner, GST &amp; CX, Mumbai East, Parel (E), Mumbai</t>
  </si>
  <si>
    <t>Chief Commissioner of CGST, Mumbai Zone</t>
  </si>
  <si>
    <t>Principal Commissioner of CGST, Delhi South</t>
  </si>
  <si>
    <t>Chief Commissioner of Central Goods &amp; Services Tax, Delhi Zone</t>
  </si>
  <si>
    <t>Total</t>
  </si>
  <si>
    <t>Pr. Chief Commissioner, Central GST Zone, Ambawadi, Ahmedabad</t>
  </si>
  <si>
    <t>Commissioner of CGST, GST Bhawan, Bhavnagar</t>
  </si>
  <si>
    <t>Pr. Chief Commissioner, CGST, Bangalore</t>
  </si>
  <si>
    <t>Pr. Commissioner of CGST, Bengaluru East, Bengaluru</t>
  </si>
  <si>
    <t>Total annual Amount /Arrears         (in Rs.)</t>
  </si>
  <si>
    <t>Initial/ Revision/ Arrear</t>
  </si>
  <si>
    <t>Pr. Commissioner, Central GST &amp; CX, Patna-I</t>
  </si>
  <si>
    <t>Chief Commissioner of CGST &amp; CX, Ranchi Zone</t>
  </si>
  <si>
    <t>9181.87 (7181.87 &amp; 2000  parking area)</t>
  </si>
  <si>
    <t>Proposal for renewal of lease agreement of the existing office premises of Central GST Division, Bhavnagar-3 (Amreli) located at  3rd Floor, “Silver Arc” Building, Waghawadi Road, Bhavnagar from 16.11.2018 to 15.11.2021</t>
  </si>
  <si>
    <t>Proposal for renewal of lease agreement of the existing office premises of Central GST Division, Bhavnagar-2 located at  2nd Floor, “Silver Arc” Building, Waghawadi Road, Bhavnagar from 16.11.2018 to 15.11.2021</t>
  </si>
  <si>
    <t>Pr. Chief Commissioner, Central GST Zone, Ahmedabad</t>
  </si>
  <si>
    <t>Commissioner, Central GST, Bhavnagar-364001</t>
  </si>
  <si>
    <t>Chief Commissioner, CGST &amp; CX, Vadodara-390007 (Gujarat)</t>
  </si>
  <si>
    <t>GST &amp; CX Audit Surat Commissionerate</t>
  </si>
  <si>
    <t>PCCO, CGST Mumbai Zone</t>
  </si>
  <si>
    <t>Pr. Commissioner, CGST (East), Mumbai</t>
  </si>
  <si>
    <t>Chief Commissioner of CGST &amp; Central Excise, Jaipur</t>
  </si>
  <si>
    <t xml:space="preserve">Commissioner of CGST, Jodhpur </t>
  </si>
  <si>
    <t>Pr. Chief Commissioner of Central GST, Mumbai Zone</t>
  </si>
  <si>
    <t xml:space="preserve">Commissioner of Central GST Thane Rural, Mumbai-400051 </t>
  </si>
  <si>
    <t>Pr. Commissioner, GST &amp; CX, Mumbai East</t>
  </si>
  <si>
    <t>Pr. Chief Commissioner of GST, Mumbai</t>
  </si>
  <si>
    <r>
      <t xml:space="preserve">Proposal for rent revision of office accommodation to house </t>
    </r>
    <r>
      <rPr>
        <b/>
        <sz val="10"/>
        <color rgb="FF000000"/>
        <rFont val="Bookman Old Style"/>
        <family val="1"/>
      </rPr>
      <t>NACIN, Chennai</t>
    </r>
    <r>
      <rPr>
        <sz val="10"/>
        <color rgb="FF000000"/>
        <rFont val="Bookman Old Style"/>
        <family val="1"/>
      </rPr>
      <t xml:space="preserve"> at Plot No. 3/86-E, Ambattur Industrial Estate, Chennai</t>
    </r>
  </si>
  <si>
    <t>Chief Commissioner, GST&amp; CX, Panchkula Zone-134109</t>
  </si>
  <si>
    <t>Commissioner, Central GST Commissionerate, Rohtak, Haryana-124001</t>
  </si>
  <si>
    <t xml:space="preserve">Chief Commissioner of GST &amp; Customs,
 Guwahati Zone
</t>
  </si>
  <si>
    <t>Commissioner of CGST, Aizawl</t>
  </si>
  <si>
    <t xml:space="preserve">DG (North), DGGI, Gurugram </t>
  </si>
  <si>
    <t>DGGI, Gurugram Zonal Unit</t>
  </si>
  <si>
    <t xml:space="preserve">Pr. Commissioner, GST Bangalore West Commissionerate </t>
  </si>
  <si>
    <t>Pr. Chief Commissioner of Central Tax, Bangalore Zone</t>
  </si>
  <si>
    <t>CGST Commissionerate, Dehradun</t>
  </si>
  <si>
    <t xml:space="preserve">CCO, Meerut Zone </t>
  </si>
  <si>
    <t>TOTAL</t>
  </si>
  <si>
    <t>Pr. Chief Commissioner of CGST &amp; CX, Mumbai Zone</t>
  </si>
  <si>
    <t xml:space="preserve">Pr. Commissioner of CGST,
Palghar GST Commissionerate
</t>
  </si>
  <si>
    <t xml:space="preserve">Proposal for renewal of lease agreement for the office accommodation of Division-IV &amp; V, CGST, Palghar at 1st and 2nd Floor of Hrishikesh Apartment, Palghar-Boisar Road, Boisar (W) for the period from 01.01.2019 to 31.12.2021 </t>
  </si>
  <si>
    <t>REVISION=</t>
  </si>
  <si>
    <t>InW/Hir/RP/CGST/24/2020-HRNG</t>
  </si>
  <si>
    <t>InW/Hir/IP/CGST/10/2020-HRNG</t>
  </si>
  <si>
    <t>InW/Hir/RP/CGST/22/2020-HRNG</t>
  </si>
  <si>
    <t>InW/Hir/RP/CGST/20/2020-HRNG</t>
  </si>
  <si>
    <t>InW/Hir/RP/CGST/9/2020-HRNG</t>
  </si>
  <si>
    <t>InW/Hir/RP/CGST/5/2020-HRNG</t>
  </si>
  <si>
    <t>InW/Hir/RP/CGST/4/2020-HRNG</t>
  </si>
  <si>
    <t>InW/Hir/IP/CGST/1/2020-HRNG</t>
  </si>
  <si>
    <t>New File-InW/Hir/RP/CGST/16/2020-HRNG
Old File-924/11/Hiring/ /CGST Div.-3/Bhavnagar/HRD/2020-21</t>
  </si>
  <si>
    <t>New File-InW/Hir/RP/CGST/7/2020-HRNG
Old File-924/07/Hiring/Bengaluru East/HRD/2020-21</t>
  </si>
  <si>
    <t>New File-Inw/Hir/RP/CGST/11/2020-HRNG Old File-924/59/Hiring/Navprabhat Chambers/Thane/HRD/2019-20</t>
  </si>
  <si>
    <t>File No. / Proposal No.</t>
  </si>
  <si>
    <t>Proposal for administrative approval and sanction for Rent in respect of hired premises of Eluru CGST Division Office of Guntur CGST Commissionerate w.e.f. 21.04.2019 to 20.04.2022</t>
  </si>
  <si>
    <t>Commissioner of Central Tax, C.R. Buildings Kannavari Thota, Guntur</t>
  </si>
  <si>
    <t xml:space="preserve">Chief Commissioner of Central Tax &amp; Customs Central GST Visakhapatnam Zone </t>
  </si>
  <si>
    <t>InW/Hir/RP/CGST/25/2020-HRNG</t>
  </si>
  <si>
    <t xml:space="preserve">Proposal for renewal/revision of lease agreement for the office accommodation for CGST Hqrs., Dibrugarh for a period 5 years from 01.12.2017 to 30.11.2022 </t>
  </si>
  <si>
    <t>Chief Commissioner of CGST &amp; Customs, Guwahati Zone</t>
  </si>
  <si>
    <t xml:space="preserve">Commissioner of CGST,
Dibrugarh Commissionerate
</t>
  </si>
  <si>
    <t>InW/Hir/RP/CGST/26/2020-HRNG</t>
  </si>
  <si>
    <t xml:space="preserve">Proposal for allotment of funds for outstanding amount of License Fee in respect of GPOA of CGST Ghaziabad </t>
  </si>
  <si>
    <t>Chief Commissioner’s Office, Meerut Zone</t>
  </si>
  <si>
    <t xml:space="preserve">CGST Commissionerate Ghaziabad </t>
  </si>
  <si>
    <t>InW/Hir/RP/CGST/27/2020-HRNG</t>
  </si>
  <si>
    <t>New File-InW/Hir/RP/DIR/3/2020-HRNG
Old File-924/48/Hiring/Revision/DGCEI/Mumbai/HRD/2019-20</t>
  </si>
  <si>
    <t>InW/Hir/RP/CGST/28/2020-HRNG</t>
  </si>
  <si>
    <t xml:space="preserve">Proposal for administrative approval &amp; expenditure sanction for continued hiring of building for CGST &amp; CX Division Gaya and its Gaya Range Office </t>
  </si>
  <si>
    <t>CGST Commissionerate, Patna-I</t>
  </si>
  <si>
    <t xml:space="preserve">Chief Commissioner, CGST &amp; CX, Ranchi Zone, Patna </t>
  </si>
  <si>
    <t>InW/Hir/RP/DIR/4/2020-HRNG</t>
  </si>
  <si>
    <t>DGGSTI (Hqrs), New Delhi</t>
  </si>
  <si>
    <t xml:space="preserve">DGGSTI, Jaipur Zonal Unit </t>
  </si>
  <si>
    <t>InW/Hir/IP/DIR/5/2020-HRNG</t>
  </si>
  <si>
    <t>InW/Hir/RP/DIR/6/2020-HRNG</t>
  </si>
  <si>
    <t xml:space="preserve"> </t>
  </si>
  <si>
    <t>InW/Hir/RP/DIR/5/2020-HRNG</t>
  </si>
  <si>
    <t>DG (Vigilance), New Delhi</t>
  </si>
  <si>
    <t>InW/Hir/RP/CGST/29/2020-HRNG</t>
  </si>
  <si>
    <t xml:space="preserve">Proposal for renewal of lease agreement of MTNL Building at Vashi, Navi Mumbai for CGST Audit, Raigad for further period effective from 01.10.2019 </t>
  </si>
  <si>
    <t>CGST Audit Raigad Commissionerate</t>
  </si>
  <si>
    <t xml:space="preserve">PCCO, CGST Mumbai Zone </t>
  </si>
  <si>
    <t>InW/Hir/RP/CGST/30/2020-HRNG</t>
  </si>
  <si>
    <t xml:space="preserve">Commissioner, CGST Guwahati Zone </t>
  </si>
  <si>
    <t>Arrears</t>
  </si>
  <si>
    <t>InW/Hir/RP/CGST/31/2020-HRNG</t>
  </si>
  <si>
    <t xml:space="preserve">Proposal for revision in rent of hired building for CGST Tirupati Commissionerate for the period from 01.04.2019 to 31.03.2024 </t>
  </si>
  <si>
    <t>CGST Commissionerate, Tirupati</t>
  </si>
  <si>
    <t>CCO, Visakhapatnam Zone</t>
  </si>
  <si>
    <t>Proposal for revision of rent for the premises occupied by the office of DG Vigilance at 2nd &amp; 3rd floors of Hotel Samrat, Chanakyapuri, New Delhi w.e.f. 28.10.2020 to 27.10.2021</t>
  </si>
  <si>
    <t>InW/Hir/RP/CUS/1/2021-HRNG</t>
  </si>
  <si>
    <t>Pr. Commissioner of Customs (Preventive), New Delhi</t>
  </si>
  <si>
    <t xml:space="preserve">DGGI Bengaluru Zonal Unit </t>
  </si>
  <si>
    <t>InW/Hir/RP/CGST/3/2021-HRNG</t>
  </si>
  <si>
    <t>InW/Hir/RP/CGST/1/2021-HRNG</t>
  </si>
  <si>
    <t>InW/Hir/RP/CGST/2/2021-HRNG</t>
  </si>
  <si>
    <t xml:space="preserve">CCO, Ahmedabad Zone </t>
  </si>
  <si>
    <t xml:space="preserve">CGST Commissionerate, Rajkot </t>
  </si>
  <si>
    <t>CGST Commissionerate, Delhi North</t>
  </si>
  <si>
    <t>DGGI (Hqrs.), R.K. Puram, New Delhi</t>
  </si>
  <si>
    <t>InW/Hir/RP/CUS/2/2021-HRNG</t>
  </si>
  <si>
    <t>CCO, Guwahati Zone</t>
  </si>
  <si>
    <t>Imphal Customs Division</t>
  </si>
  <si>
    <t>Proposal for obtaining administrative approval and expenditure sanction for re-hiring of office space for CGST Division, Jamnagar under CGST Commissionerate, Rajkot (w.e.f. 01.10.2020 to 30.09.2023)</t>
  </si>
  <si>
    <t>Proposal for Renewal of rent agreement of office building occupied by Imphal Customs Division (w.e.f. 01.03.2019 to 28.02.2022)</t>
  </si>
  <si>
    <t xml:space="preserve">Proposal for revision in rent of office premise for CGST Commissionerate, Mangaluru for a further period upto 31.12.2025 </t>
  </si>
  <si>
    <t>InW/Hir/RP/CGST/4/2021-HRNG</t>
  </si>
  <si>
    <t xml:space="preserve">CGST Commissionerate, Mangaluru </t>
  </si>
  <si>
    <t xml:space="preserve">Pr. Chief Commissioner of CGST, Bangalore Zone </t>
  </si>
  <si>
    <t>InW/Hir/RP/CGST/5/2021-HRNG</t>
  </si>
  <si>
    <t xml:space="preserve">CGST Commissionerate, Delhi East </t>
  </si>
  <si>
    <t xml:space="preserve">Pr. Chief Commissioner of CGST, Delhi Zone </t>
  </si>
  <si>
    <t>InW/Hir/RP/CGST/6/2021-HRNG</t>
  </si>
  <si>
    <t xml:space="preserve">Proposal for renewal of rent agreement for extension of lease from 02.09.2019 to 01.09.2022 for CGST Commissionerate, Bengaluru North West and its 3 Divisions </t>
  </si>
  <si>
    <t xml:space="preserve">CGST Commissionerate, Bengaluru North West </t>
  </si>
  <si>
    <t>Proposal for renewal of lease agreement for office of CGST Audit, Ahmedabad (HQ &amp; 10 Circle offices) at Infotower Building, Ahmedabad owned by M/s GNFC  Ltd.</t>
  </si>
  <si>
    <t xml:space="preserve">Proposal for obtaining administrative approval and expenditure sanction for revision of rent of hired premises at Bharuch
</t>
  </si>
  <si>
    <t>Proposal for administrative approval &amp; expenditure sanction for revision of rent in respect of hired building for CGST Division Visakhapatnam South</t>
  </si>
  <si>
    <t>Renewal of lease agreement of office space for office of Central Tax Audit-II Commissionerate, Bengaluru</t>
  </si>
  <si>
    <t xml:space="preserve">Proposal for rent assessment of the premises at 1st, 3rd and Mazzanine floor at NTC House, Mumbai for DGCEI, Mumbai Zonal Unit
</t>
  </si>
  <si>
    <t xml:space="preserve">Proposal for renewal of lease agreement for office accommodation at 1st &amp; 2nd floor of Mahavir Chambers, Kacheri Road, Palghar for range offices of Division-III &amp; VI, CGST, Palghar </t>
  </si>
  <si>
    <t>Proposal for reassessment of rent of office accommodation at Navprabhat Chambers, Ranade Road, Dadar (West), Mumbai-400028 for CGST Commissionerate, Thane</t>
  </si>
  <si>
    <t>Initial</t>
  </si>
  <si>
    <t>Proposal for initial hiring of office accommodation from HUDCO, Ahmedabad for Customs Appeals Commissionerate &amp; other sections</t>
  </si>
  <si>
    <t>Proposal for rent revision of office premises at Lotus Info Centre, Parel (E), Mumbai-12 for CGST Mumbai East Commissionerate, Bhiwandi Commissionerate, Thane Appeal and Audit-III for the period from 20.11.2017 to 19.11.2020 for 1st, 9th, 10th, 11th and 12th floor and the period from 01.03.2019 to 28.02.2022 for Ground, 8th (part), 14th and 15th floor.</t>
  </si>
  <si>
    <t xml:space="preserve">Proposal for revision of rent of hired premises at EIL Annexe Building, Bhikaji Complex, New Delhi for CGST Commissionerate, Delhi South, CGST Commissionerate, Delhi West, Audit &amp; Appeals. 
</t>
  </si>
  <si>
    <t>Proposal for initial hiring of office premises at Bhavnagar for CGST Commissionerate, Bhavnagar and all of its Divisions</t>
  </si>
  <si>
    <t>Proposal for re-assessment of rent of the office building at Chandpura Complex, Bank Road, West Gandhi Maidan,Patna for CGST &amp; CX, Patna Central Division</t>
  </si>
  <si>
    <t>Proposal for renewal of rent of office building for GST &amp; CX Audit Commissionerate Surat</t>
  </si>
  <si>
    <t>Proposal for rent revision &amp; renewal of lease of office premises at 1st floor, Ganga House, 110, L.B.S. Marg, Vikhroli (West), Mumbai-83 for Div-II &amp; IV of CGST Commissionerate, Mumbai East for the period from 27.03.2018 to 26.03.2021</t>
  </si>
  <si>
    <t>Proposal for Post Facto Approval for hiring of office premise situated at 2nd Floor (Part), Ganga House, 110, L.B. S. Marg, Vikhroli (West), Mumbai for Div-I &amp; III of CGST Commissionerate, Mumbai East.</t>
  </si>
  <si>
    <t>Proposal for revision of rent of the rented building at Jodhpur for three Commissionerate i.e. GST &amp; CX Commissionerate, Jodhpur’, ‘GST &amp; CX Audit Commissionerate, Jodhpur’ &amp; ‘GST &amp; CX Appeals Commissionerate, Jodhpur’</t>
  </si>
  <si>
    <t>Proposal for re-assessment of rent of hired building No. 152C 2114 U367 (W-6) Delhi Hisar Bye pass Road, Rohtak for CGST Rohtak Commissionerate</t>
  </si>
  <si>
    <t>Proposal for revision of rent of hired office premise at Aizawl for CGST Commissionerate, Aizawl</t>
  </si>
  <si>
    <t>Proposal for administrative approval and expenditure sanction for initial hiring of office accommodation at Gurugram for DG (North), DGGI and DGGI, Gurugram Zonal Unit</t>
  </si>
  <si>
    <t>Proposal for revision of rent for hired office accommodation at TTMC, BMTC Bus Stop Complex, Banashankari, Bangalore for the period from 01.09.2019 to 31.08.2022 for GST West Commissionerate, Bengaluru, DGTS Commissionerate, Audit-1 Commissionerate and Divisions 1, 2, 3 &amp; 6 of GST South Commissionerate, Bengaluru</t>
  </si>
  <si>
    <t>Proposal for initial hiring of office premises at KharagpurDevipura, Bazpur Road, kashipur owned by M/s BSNL for CGST Division Kashipur and its four ranges</t>
  </si>
  <si>
    <t>Proposal for revision of rent of hired office building for DGGI, Jaipur Zonal Unit, Jaipur</t>
  </si>
  <si>
    <t xml:space="preserve">Proposal for revision in rent of rented premises at Sethi Trust Building, Bhangagarh for CGST Commissionerate Guwahati </t>
  </si>
  <si>
    <t xml:space="preserve">Proposal for obtaining administrative approval and expenditure sanction for enhanced storage charges of CWC Godowns hired by Delhi Customs </t>
  </si>
  <si>
    <t>Proposal for renewal of rental agreement for the Premise No. 112, S.P. Enclave occupied by DGGI Bengaluru Zonal Unit for a further period of three years</t>
  </si>
  <si>
    <t>Proposal for obtaining administrative approval and expenditure sanction for re-hiring of office space for CGST Division Morbi-I.</t>
  </si>
  <si>
    <t xml:space="preserve">Proposal for renewal of lease agreement for hired office premises at 164, FIE, Patparganj Industrial Area, New Delhi for CGST Divisions Mandoli &amp; Mayur Vihar for a further period of 3 years from 19.02.2021 to 18.02.2024 </t>
  </si>
  <si>
    <r>
      <rPr>
        <b/>
        <sz val="10"/>
        <color rgb="FF000000"/>
        <rFont val="Bookman Old Style"/>
        <family val="1"/>
      </rPr>
      <t xml:space="preserve">New File-InW/RP/CGST/14/2020 </t>
    </r>
    <r>
      <rPr>
        <sz val="10"/>
        <color rgb="FF000000"/>
        <rFont val="Bookman Old Style"/>
        <family val="1"/>
      </rPr>
      <t>Old File-924/41/Hiring/Audit-II/Bengaluru/HRD/2019-20</t>
    </r>
  </si>
  <si>
    <r>
      <rPr>
        <b/>
        <sz val="10"/>
        <color rgb="FF000000"/>
        <rFont val="Bookman Old Style"/>
        <family val="1"/>
      </rPr>
      <t>New File-InW/Hir/RP/DIR/2/2020-HRNG</t>
    </r>
    <r>
      <rPr>
        <sz val="10"/>
        <color rgb="FF000000"/>
        <rFont val="Bookman Old Style"/>
        <family val="1"/>
      </rPr>
      <t xml:space="preserve">
Old File-924/49/Hiring/Revision/NACEN/Chennai/HRD/2019-20</t>
    </r>
  </si>
  <si>
    <r>
      <rPr>
        <b/>
        <sz val="10"/>
        <color rgb="FF000000"/>
        <rFont val="Bookman Old Style"/>
        <family val="1"/>
      </rPr>
      <t>New File-InW/Hir/RP/CGST/13/2020-HRNG</t>
    </r>
    <r>
      <rPr>
        <sz val="10"/>
        <color rgb="FF000000"/>
        <rFont val="Bookman Old Style"/>
        <family val="1"/>
      </rPr>
      <t xml:space="preserve">
Old File-924/54/Hiring/Div-III &amp; VI/ CGST/Palghar/HRD/2019-20
</t>
    </r>
  </si>
  <si>
    <r>
      <rPr>
        <b/>
        <sz val="10"/>
        <color rgb="FF000000"/>
        <rFont val="Bookman Old Style"/>
        <family val="1"/>
      </rPr>
      <t>New File-Inw/Hir/RP/CGST/11/2020-HRNG</t>
    </r>
    <r>
      <rPr>
        <sz val="10"/>
        <color rgb="FF000000"/>
        <rFont val="Bookman Old Style"/>
        <family val="1"/>
      </rPr>
      <t xml:space="preserve"> Old File-924/59/Hiring/Navprabhat Chambers/Thane/HRD/2019-20</t>
    </r>
  </si>
  <si>
    <r>
      <rPr>
        <b/>
        <sz val="10"/>
        <color rgb="FF000000"/>
        <rFont val="Bookman Old Style"/>
        <family val="1"/>
      </rPr>
      <t>New File-Inw/Hir/IP/Cus/1/2020-HRNG</t>
    </r>
    <r>
      <rPr>
        <sz val="10"/>
        <color rgb="FF000000"/>
        <rFont val="Bookman Old Style"/>
        <family val="1"/>
      </rPr>
      <t xml:space="preserve"> Old File-924/60/Hiring/Customs (Div)/Ahmedabad/HRD/2019-20</t>
    </r>
  </si>
  <si>
    <r>
      <rPr>
        <b/>
        <sz val="10"/>
        <color rgb="FF000000"/>
        <rFont val="Bookman Old Style"/>
        <family val="1"/>
      </rPr>
      <t>New File-Inw/Hir/RP/CGST/10/2020-HRNG</t>
    </r>
    <r>
      <rPr>
        <sz val="10"/>
        <color rgb="FF000000"/>
        <rFont val="Bookman Old Style"/>
        <family val="1"/>
      </rPr>
      <t xml:space="preserve"> Old File-924/61/Hiring/Lotus Info Centre/Mumbai/HRD/2019-20</t>
    </r>
  </si>
  <si>
    <r>
      <rPr>
        <b/>
        <sz val="10"/>
        <color rgb="FF000000"/>
        <rFont val="Bookman Old Style"/>
        <family val="1"/>
      </rPr>
      <t>New File-Inw/Hir/RP/CGST/19/2020-HRNG</t>
    </r>
    <r>
      <rPr>
        <sz val="10"/>
        <color rgb="FF000000"/>
        <rFont val="Bookman Old Style"/>
        <family val="1"/>
      </rPr>
      <t xml:space="preserve"> Old File-924/62/Hiring/EIL/CGST/Delhi/HRD/2019-20</t>
    </r>
  </si>
  <si>
    <r>
      <rPr>
        <b/>
        <sz val="10"/>
        <color rgb="FF000000"/>
        <rFont val="Bookman Old Style"/>
        <family val="1"/>
      </rPr>
      <t>New File-InW/Hir/IP/CGST/5/2020-HRNG</t>
    </r>
    <r>
      <rPr>
        <sz val="10"/>
        <color rgb="FF000000"/>
        <rFont val="Bookman Old Style"/>
        <family val="1"/>
      </rPr>
      <t xml:space="preserve">
Old File-924/05/Hiring/CGST/Bhavnagar/HRD/2020-21</t>
    </r>
  </si>
  <si>
    <r>
      <rPr>
        <b/>
        <sz val="10"/>
        <color rgb="FF000000"/>
        <rFont val="Bookman Old Style"/>
        <family val="1"/>
      </rPr>
      <t>New File-InW/Hir/RP/CGST/1/2020-HRNG</t>
    </r>
    <r>
      <rPr>
        <sz val="10"/>
        <color rgb="FF000000"/>
        <rFont val="Bookman Old Style"/>
        <family val="1"/>
      </rPr>
      <t xml:space="preserve">
Old File-924/10/Hiring/Revision/Patna-I/HRD/2020-21</t>
    </r>
  </si>
  <si>
    <r>
      <rPr>
        <b/>
        <sz val="10"/>
        <color rgb="FF000000"/>
        <rFont val="Bookman Old Style"/>
        <family val="1"/>
      </rPr>
      <t>New File-InW/Hir/RP/CGST/15/2020-HRNG</t>
    </r>
    <r>
      <rPr>
        <sz val="10"/>
        <color rgb="FF000000"/>
        <rFont val="Bookman Old Style"/>
        <family val="1"/>
      </rPr>
      <t xml:space="preserve">
Old File-924/12/Hiring/Bhavnagar/CGST Div.-2/HRD/2020-21</t>
    </r>
  </si>
  <si>
    <r>
      <rPr>
        <b/>
        <sz val="10"/>
        <color rgb="FF000000"/>
        <rFont val="Bookman Old Style"/>
        <family val="1"/>
      </rPr>
      <t>New File-InW/Hir/RP/CGST/2/2020-HRNG</t>
    </r>
    <r>
      <rPr>
        <sz val="10"/>
        <color rgb="FF000000"/>
        <rFont val="Bookman Old Style"/>
        <family val="1"/>
      </rPr>
      <t xml:space="preserve">
Old File-924/14/Hiring/CGST-Mumbai-East-Div.II&amp;IV/HRD/2020-21 </t>
    </r>
  </si>
  <si>
    <t>Enhancement of rent of office accommodation of occupied by the HRM-I Wing of DGHRD at Bhai Vir Singh Sahitya Sadan, Gole Market, New Delhi</t>
  </si>
  <si>
    <t xml:space="preserve">(HRM-I), DGHRD, Rajendra Place, New Delhi </t>
  </si>
  <si>
    <t>InW/Hir/RP/DIR/1/2021-HRNG</t>
  </si>
  <si>
    <t>DGHRD, Saket, New Delhi</t>
  </si>
  <si>
    <t>Directorate General of Anti-Profiteering</t>
  </si>
  <si>
    <t>InW/Hir/RP/CGST/7/2021-HRNG</t>
  </si>
  <si>
    <t>CGST &amp; CX Commissionerate, Bhopal</t>
  </si>
  <si>
    <t>CCO, Bhopal Zone</t>
  </si>
  <si>
    <r>
      <t xml:space="preserve">The proposal received on 22.10.2019. </t>
    </r>
    <r>
      <rPr>
        <b/>
        <sz val="10"/>
        <rFont val="Bookman Old Style"/>
        <family val="1"/>
      </rPr>
      <t>Deficiencies were communicated</t>
    </r>
    <r>
      <rPr>
        <sz val="10"/>
        <rFont val="Bookman Old Style"/>
        <family val="1"/>
      </rPr>
      <t xml:space="preserve"> vide letter dated 24.10.2019. Reminders issued on 24.01.2020, 09.06.2020, </t>
    </r>
    <r>
      <rPr>
        <b/>
        <sz val="10"/>
        <rFont val="Bookman Old Style"/>
        <family val="1"/>
      </rPr>
      <t xml:space="preserve">09.07.2020 &amp; 26.08.2020. Reply received and Deficiencies were again communicated vide letter dated 14.09.2020. Reply received and propsoal has been putup for approval of IFU 23.10.2020.Propsoal sent for approval of  Chairman on 04.12.2020. File sent to the Commissioner (Coord.) on 19.01.2021. Reply still awaited. </t>
    </r>
    <r>
      <rPr>
        <b/>
        <sz val="16"/>
        <rFont val="Bookman Old Style"/>
        <family val="1"/>
      </rPr>
      <t xml:space="preserve">SANCTIONED </t>
    </r>
  </si>
  <si>
    <r>
      <t>The proposal received on 16.10.2020. Deficiencies letter issued on 19.10.2020 by mail. Reply received and deficiencies letter again issued on 06.11.2020. Reply received and file sent to IFU on 23.12.2020. Propsoal sent for approval of RS on 18.01.2021. File sent to the Commissioner (Coord.) on 28.01.2021. Reply still awaited.</t>
    </r>
    <r>
      <rPr>
        <b/>
        <sz val="10"/>
        <rFont val="Bookman Old Style"/>
        <family val="1"/>
      </rPr>
      <t xml:space="preserve"> </t>
    </r>
    <r>
      <rPr>
        <b/>
        <sz val="16"/>
        <rFont val="Bookman Old Style"/>
        <family val="1"/>
      </rPr>
      <t>SANCTIONED</t>
    </r>
  </si>
  <si>
    <r>
      <t xml:space="preserve">The proposal received on 08.01.2020. Deficiencies were communicated vide letter dated 13.01.2020. Reminders issued on 12.03.2020, 29.05.2020, 02.07.2020 &amp; 18.08.2020. Reply received and propsoal has been putup for approval of IFU 13.10.2020. Propsoal in under submission for approval of RS.  File sent to the Commissioner (Coord.) on 18.01.2021. </t>
    </r>
    <r>
      <rPr>
        <b/>
        <sz val="16"/>
        <rFont val="Bookman Old Style"/>
        <family val="1"/>
      </rPr>
      <t>SANCTIONED</t>
    </r>
  </si>
  <si>
    <t>InW/Hir/RP/CGST/8/2021-HRNG</t>
  </si>
  <si>
    <t xml:space="preserve">Proposal for revision of rent for office of the Commissioner of GST &amp; CX, Chennai Outer located at Newry Towers, No. 2054, I Block, II Avenue, Anna Nagar, Chennai for a further period of 3 years from 10.09.2021 to 09.09.2024 </t>
  </si>
  <si>
    <t xml:space="preserve">PCCO GST &amp; CX Tamilnadu &amp; Puducherry Zone </t>
  </si>
  <si>
    <t>Commissioner of GST &amp; CX, Chennai</t>
  </si>
  <si>
    <t>InW/Hir/RP/DIR/2/2021-HRNG</t>
  </si>
  <si>
    <t xml:space="preserve">Proposal for renewal of lease agreement for revision in rent in respect of office accommodation occupied by NACIN Zonal Campus Visakhapatnam for a further period of 3 years from 21.05.2021 to 20.05.2024 </t>
  </si>
  <si>
    <t>NACIN Visakhapatnam</t>
  </si>
  <si>
    <t xml:space="preserve">NACIN Faridabad </t>
  </si>
  <si>
    <t>Proposal for re-hiring of already occupied office space at Aabha Building, Kalyan for Division-I of CGST Commissionerate Thane Rural and one Division of Bhiwandi Commissionerate</t>
  </si>
  <si>
    <r>
      <t>The proposal received on 23.12.2019. Deficiencies were communicated vide letter dated 08.01.2020. Reply received and file sent to the Ministry on 17.03.2020. Received back with IFU query on 01.05.2020</t>
    </r>
    <r>
      <rPr>
        <b/>
        <sz val="10"/>
        <rFont val="Bookman Old Style"/>
        <family val="1"/>
      </rPr>
      <t xml:space="preserve">. </t>
    </r>
    <r>
      <rPr>
        <sz val="10"/>
        <rFont val="Bookman Old Style"/>
        <family val="1"/>
      </rPr>
      <t>Deficiencies were communicated vide letter dated 11.05.2020. Reminders issued on 02.07.2020 &amp; 18.08.2020. Reply received and forwarded to IFU on 05.09.2020.</t>
    </r>
    <r>
      <rPr>
        <b/>
        <sz val="10"/>
        <rFont val="Bookman Old Style"/>
        <family val="1"/>
      </rPr>
      <t xml:space="preserve"> </t>
    </r>
    <r>
      <rPr>
        <sz val="10"/>
        <rFont val="Bookman Old Style"/>
        <family val="1"/>
      </rPr>
      <t>Reply received on 24.09.2010 and file submitted to IFU on 01.10.2020. IFU approved the proposal. File sent to the Member (A) who also approved the proposal.</t>
    </r>
    <r>
      <rPr>
        <b/>
        <sz val="10"/>
        <rFont val="Bookman Old Style"/>
        <family val="1"/>
      </rPr>
      <t xml:space="preserve"> File sent to the Commissioner (Coord.) on 09.02.2021. </t>
    </r>
    <r>
      <rPr>
        <b/>
        <sz val="16"/>
        <rFont val="Bookman Old Style"/>
        <family val="1"/>
      </rPr>
      <t>SANCTIONED</t>
    </r>
  </si>
  <si>
    <t>InW/Hir/RP/CUS/3/2021-HRNG</t>
  </si>
  <si>
    <t xml:space="preserve">Proposal for approval of revision of rent in respect of CWC Godown at Vashi </t>
  </si>
  <si>
    <t>Pr. Commissioner Customs (Prev.), Mumbai</t>
  </si>
  <si>
    <t>PCCO, Customs Zone-III</t>
  </si>
  <si>
    <t>924 sq.mtrs. (9945.936 sq.ft.)</t>
  </si>
  <si>
    <t>InW/Hir/RP/DIR/3/2021-HRNG</t>
  </si>
  <si>
    <t xml:space="preserve">Proposal for renewal of lease agreement for continued hiring of office premise for NACIN Zonal Campus, Cochin for a further period of 3 years from 26.03.2021 to 25.03.2024 </t>
  </si>
  <si>
    <t xml:space="preserve">NACIN Zonal Campus Cochin </t>
  </si>
  <si>
    <t>Proposal for rent revision of office premises for the periods from 05.10.2016 to 31.03.2021 for 1st floor and 2nd floor from 01.11.2017 to 31.03.2021 at Bhagwandas Mansion, Kalyan for Division-II of Thane Rural Commissionerate</t>
  </si>
  <si>
    <t>InW/Hir/RP/CGST/10/2021-HRNG</t>
  </si>
  <si>
    <r>
      <t>The proposal received on 08.01.2020. Deficiencies were communicated vide letter dated 15.01.2020. Reminder issued on 09.06.2020. Reply received and file sent to the Ministry on 24.07.2020 by mail. Received back with IFU query on 14.08.2020. Deficiencies were communicated vide letter dated 14.08.2020. Reminders issued on 24.09.2020, 26.10.2020 &amp; 02.12.2020 by mail. Reply received on 24.12.2020. Reply received and  file sent to the Ministry on 11.01.2021.</t>
    </r>
    <r>
      <rPr>
        <b/>
        <sz val="10"/>
        <rFont val="Bookman Old Style"/>
        <family val="1"/>
      </rPr>
      <t xml:space="preserve"> Propsoal sent for approval of RS on 05.02.2021. File sent to the Commr (Coord.) on 17.02.2021. </t>
    </r>
    <r>
      <rPr>
        <b/>
        <sz val="14"/>
        <rFont val="Bookman Old Style"/>
        <family val="1"/>
      </rPr>
      <t>SANCTIONED</t>
    </r>
  </si>
  <si>
    <r>
      <t xml:space="preserve">The proposal received on 25.01.2021. File sent to the IFU on 02.02.2021. IFU approved the proposal. </t>
    </r>
    <r>
      <rPr>
        <b/>
        <sz val="10"/>
        <rFont val="Bookman Old Style"/>
        <family val="1"/>
      </rPr>
      <t xml:space="preserve">The file sent for approval of the RS on 15.02.2021. File sent to the Commr (Coord.) on 22.02.2021. </t>
    </r>
    <r>
      <rPr>
        <b/>
        <sz val="14"/>
        <rFont val="Bookman Old Style"/>
        <family val="1"/>
      </rPr>
      <t>SANCTIONED</t>
    </r>
  </si>
  <si>
    <r>
      <t xml:space="preserve">The proposal received on 24.08.2020. Deficiencies were communicated vide letter dated 31.08.2020.  Reply received and file sent to the Ministry/IFU on 23.10.2020. Received back with IFU query on 07.12.2020 by mail. Deficiencies were communicated vide letter dated 08.12.2020. Reply received and file sent to IFU on 01.01.2021. IFU approved the proposal. </t>
    </r>
    <r>
      <rPr>
        <b/>
        <sz val="11"/>
        <rFont val="Bookman Old Style"/>
        <family val="1"/>
      </rPr>
      <t xml:space="preserve">The file sent for approval of  Chairman, CBIC on 22.01.2021. File sent to the Commr (Coord.) on 17.02.2021. </t>
    </r>
    <r>
      <rPr>
        <b/>
        <sz val="16"/>
        <rFont val="Bookman Old Style"/>
        <family val="1"/>
      </rPr>
      <t>SANCTIONED</t>
    </r>
  </si>
  <si>
    <t xml:space="preserve">PCCO Mumbai Zone </t>
  </si>
  <si>
    <t xml:space="preserve">Thane Rural Commissionerate </t>
  </si>
  <si>
    <t>InW/Hir/RP/CGST/11/2021-HRNG</t>
  </si>
  <si>
    <t xml:space="preserve">Proposal for obtaining administrative approval and expenditure sanction for payment of License Fee amounting to Rs. 1,05,41,000/- to the Directorate of Estates, Ministry of Urban Development, as a part payment of the due license fee or the period from 01.07.2017 to 31.03.2021 </t>
  </si>
  <si>
    <t>Chief Commissioner, CGST Panchkula Zone</t>
  </si>
  <si>
    <t>Commissioner, CGST Commissionerate, Faridabad</t>
  </si>
  <si>
    <t>InW/Hir/IP/DIR/3/2021-HRNG</t>
  </si>
  <si>
    <t>Proposal for initial hiring of office space situated at TE Building of MTNL at Dwarka, New Delhi for the DGGI (Hqrs)</t>
  </si>
  <si>
    <t>Directorate General of GST Intelligence (DGGI Hqrs.)</t>
  </si>
  <si>
    <t>DGGI, New Delhi</t>
  </si>
  <si>
    <t>InW/Hir/RP/CGST/9/2021-HRNG</t>
  </si>
  <si>
    <t xml:space="preserve">Proposal for renewal of lease agreement for continued hiring of office space located at 2nd Floor, OM Plaza City Servey No. 406,407 &amp; 408, Dharampur Road, Abrama, Valsad (Gujarat) for CGST Valsad Division for a further period of 3 years from 01.04.2020 to 31.03.2023  </t>
  </si>
  <si>
    <t>Pr. Chief Commissioner of CGST &amp; Central Excise, Vadodara Zone</t>
  </si>
  <si>
    <t>CGST &amp; CX Commissionerate, Surat</t>
  </si>
  <si>
    <t>1</t>
  </si>
  <si>
    <t>2</t>
  </si>
  <si>
    <t>3</t>
  </si>
  <si>
    <t>4</t>
  </si>
  <si>
    <t>5</t>
  </si>
  <si>
    <t>INITIAL=</t>
  </si>
  <si>
    <t>InW/Hir/RP/CGST/12/2021-HRNG</t>
  </si>
  <si>
    <t xml:space="preserve">Proposal for renewal of lease agreement of office premises situated at Siddhi Sadan Building, Narayan Upadhyay Marg, Bhavnagar for CGST Bhavnagar Commissionerate for a further period of 3 years from 01.11.2020 to 31.10.2023 </t>
  </si>
  <si>
    <t>CGST Bhavnagar Commissionerate</t>
  </si>
  <si>
    <t>PCCO CGST Ahmedabad Zone</t>
  </si>
  <si>
    <r>
      <t xml:space="preserve">The proposal received on 21.07.2020. Deficiencies were communicated vide letter dated 24.07.2020. Reminders issued on 26.08.2020, 30.09.2020 &amp; 28.10.2020.  Reply received and file sent to IFU on 29.12.2020. IFU approved the proposal. </t>
    </r>
    <r>
      <rPr>
        <b/>
        <sz val="11"/>
        <rFont val="Bookman Old Style"/>
        <family val="1"/>
      </rPr>
      <t>File sent for approval of the  Member (Admn) on 06.02.2021</t>
    </r>
    <r>
      <rPr>
        <sz val="11"/>
        <rFont val="Bookman Old Style"/>
        <family val="1"/>
      </rPr>
      <t xml:space="preserve">. File sent to the Commr (Coord.) on 19.02.2021. </t>
    </r>
    <r>
      <rPr>
        <b/>
        <sz val="16"/>
        <rFont val="Bookman Old Style"/>
        <family val="1"/>
      </rPr>
      <t>SANCTIONED</t>
    </r>
  </si>
  <si>
    <t>InW/Hir/RP/CGST/13/2021-HRNG</t>
  </si>
  <si>
    <t>InW/Hir/RP/CGST/14/2021-HRNG</t>
  </si>
  <si>
    <t xml:space="preserve">Proposal for renewal of lease agreement for continued hiring of office space for Circle-I &amp; II of GST Audit Commissionerate, Coimbatore for further period of 3 years from 21.04.2021 to 20.04.2024 </t>
  </si>
  <si>
    <t xml:space="preserve">Pr. Chief Commissioner , CGST &amp; CX Tamilnadu &amp; Puducherry Zone, Chennai </t>
  </si>
  <si>
    <t>Coimbatore for Cirle-I &amp; II of GST Audit Commissionerate, Coimbatore</t>
  </si>
  <si>
    <t xml:space="preserve">Pr. Chief Commissioner, Kolkata Zone </t>
  </si>
  <si>
    <t xml:space="preserve">Proposal for renewal of lease agreement for continued hiring of office space occupied by CGST &amp; CX Gwalior Division-I &amp; II for the period from 01.08.2020 to 31.07.2023 </t>
  </si>
  <si>
    <r>
      <t>The proposal received on 16.09.2019. Deficiencies were communicated</t>
    </r>
    <r>
      <rPr>
        <b/>
        <sz val="10"/>
        <color rgb="FF000000"/>
        <rFont val="Bookman Old Style"/>
        <family val="1"/>
      </rPr>
      <t xml:space="preserve"> </t>
    </r>
    <r>
      <rPr>
        <sz val="10"/>
        <color rgb="FF000000"/>
        <rFont val="Bookman Old Style"/>
        <family val="1"/>
      </rPr>
      <t>vide letter dated 18.09.2019. Reminder issued on 21.10.2019. Reply received and deficiencies were again communicated vide letter dated 14.11.2019. Reminders issued on 05.02.2020 &amp; 05.06.2020. Reply received on 29.06.2020 and deficiencies were again communicated vide letter dated 01.07.2020. Reply received. file submitted to IFU via mail dtd 18.08.2020. Received back with IFU query on 29.09.2020. deficiencies were again communicated vide letter dated 01.10.2020. reminder issued on 05.11.2020.</t>
    </r>
    <r>
      <rPr>
        <b/>
        <sz val="10"/>
        <color rgb="FF000000"/>
        <rFont val="Bookman Old Style"/>
        <family val="1"/>
      </rPr>
      <t xml:space="preserve"> </t>
    </r>
    <r>
      <rPr>
        <sz val="10"/>
        <color rgb="FF000000"/>
        <rFont val="Bookman Old Style"/>
        <family val="1"/>
      </rPr>
      <t xml:space="preserve">Reply received on 09.11.2020  based on said reply clarification letter again issued on </t>
    </r>
    <r>
      <rPr>
        <sz val="10"/>
        <rFont val="Bookman Old Style"/>
        <family val="1"/>
      </rPr>
      <t>12.11.2020</t>
    </r>
    <r>
      <rPr>
        <b/>
        <sz val="10"/>
        <rFont val="Bookman Old Style"/>
        <family val="1"/>
      </rPr>
      <t>.</t>
    </r>
    <r>
      <rPr>
        <b/>
        <sz val="10"/>
        <color rgb="FF000000"/>
        <rFont val="Bookman Old Style"/>
        <family val="1"/>
      </rPr>
      <t xml:space="preserve"> Reply received file is submitted to IFU on 01.01.2021.File sent to the RS on 17.02.2021. File sent to the Commr (Coord.) on 25.02.2021. </t>
    </r>
    <r>
      <rPr>
        <b/>
        <sz val="16"/>
        <color rgb="FF000000"/>
        <rFont val="Bookman Old Style"/>
        <family val="1"/>
      </rPr>
      <t>SANCTIONED</t>
    </r>
  </si>
  <si>
    <r>
      <t xml:space="preserve">The proposal received on 29.09.2020. Deficiencies letter issued on 13.10.2020 by mail. Reply received and deficiencies letter again issued on 20.11.2020. Reply received and file sent to the Ministry on  04.12.2020 by mail.Received back with IFU query on 18.12.2020. Deficiencies were communicated vide letter dated 21.12.2020.Reply received on 06.01.2021 and </t>
    </r>
    <r>
      <rPr>
        <b/>
        <sz val="11"/>
        <rFont val="Bookman Old Style"/>
        <family val="1"/>
      </rPr>
      <t>the file sent to IFU on 11.01.2021</t>
    </r>
    <r>
      <rPr>
        <sz val="11"/>
        <rFont val="Bookman Old Style"/>
        <family val="1"/>
      </rPr>
      <t xml:space="preserve">. IFU approved the file and file sent to the Member (Admn) on 19.02.2021. The  sent to the Commissioner (Coord.) on 01.03.2021. </t>
    </r>
    <r>
      <rPr>
        <b/>
        <sz val="16"/>
        <rFont val="Bookman Old Style"/>
        <family val="1"/>
      </rPr>
      <t>SANCTIONED</t>
    </r>
  </si>
  <si>
    <r>
      <t xml:space="preserve">The proposal received on 31.08.2020. Deficiencies letter issued on 22.09.2020 by mail. Reminder issued on 22.10.2020 by mail. Reply received and deficiencies were again communicated vide letter dated 18.11.2020.  Reply received and </t>
    </r>
    <r>
      <rPr>
        <b/>
        <sz val="10"/>
        <rFont val="Bookman Old Style"/>
        <family val="1"/>
      </rPr>
      <t xml:space="preserve">the file sent to IFU on 29.12.2020. The sent to the Member (Admn) and file sent to the Commissioner (Coord.) on 01.03.2021. </t>
    </r>
    <r>
      <rPr>
        <b/>
        <sz val="16"/>
        <rFont val="Bookman Old Style"/>
        <family val="1"/>
      </rPr>
      <t>SANCTIONED</t>
    </r>
  </si>
  <si>
    <t>InW/Hir/IP/CGST/1/2021-HRNG</t>
  </si>
  <si>
    <t>InW/Hir/RP/DIR/5/2021-HRNG</t>
  </si>
  <si>
    <t xml:space="preserve">Renewal of lease agreement for continued hiring of office space at Bhai Vir Singh SahityaSadan,Gole Market, New Delhi for the Directorate General of Anti-Profiteering for a further period from 01.04.2021 to 31.03.2024 </t>
  </si>
  <si>
    <r>
      <t xml:space="preserve">The proposal received on 16.12.2020. Deficiencies letter issued on 23.12.2020 by mail. Reply received on  28.12.2020 and deficiencies reported vide letter dated 05.01.2020.  Reply received and </t>
    </r>
    <r>
      <rPr>
        <b/>
        <sz val="10"/>
        <rFont val="Bookman Old Style"/>
        <family val="1"/>
      </rPr>
      <t>the file sent to IFU on 25.01.2021.</t>
    </r>
    <r>
      <rPr>
        <sz val="10"/>
        <rFont val="Bookman Old Style"/>
        <family val="1"/>
      </rPr>
      <t xml:space="preserve"> File sent to the RS on 03.03.2021. The file sent to the Commissioner (Coord.) on 12.03.2021. </t>
    </r>
    <r>
      <rPr>
        <b/>
        <sz val="16"/>
        <rFont val="Bookman Old Style"/>
        <family val="1"/>
      </rPr>
      <t>SANCTIONED</t>
    </r>
  </si>
  <si>
    <r>
      <t xml:space="preserve">The proposal received on 02.12.2020. Deficiencies letter issued on 08.12.2020 by mail. Reply received and deficiencies were again issued on 01.01.2021. Reply received and </t>
    </r>
    <r>
      <rPr>
        <b/>
        <sz val="10"/>
        <rFont val="Bookman Old Style"/>
        <family val="1"/>
      </rPr>
      <t xml:space="preserve">file sent to IFU on 27.01.2021. File sent to the Chairman on 17.03.2021. File sent to the Commr (Coord.) on 23.03.2021. </t>
    </r>
    <r>
      <rPr>
        <b/>
        <sz val="16"/>
        <rFont val="Bookman Old Style"/>
        <family val="1"/>
      </rPr>
      <t>SANCTIONED</t>
    </r>
  </si>
  <si>
    <r>
      <t xml:space="preserve">The proposal received on 11.12.2020. Deficiencies letter issued on 04.01.2021 by mail.  Reply received and </t>
    </r>
    <r>
      <rPr>
        <b/>
        <sz val="10"/>
        <rFont val="Bookman Old Style"/>
        <family val="1"/>
      </rPr>
      <t>the file sent to IFU on 22.01.2021</t>
    </r>
    <r>
      <rPr>
        <sz val="10"/>
        <rFont val="Bookman Old Style"/>
        <family val="1"/>
      </rPr>
      <t xml:space="preserve">. IFU approved the file and file sent to the RS on 03.03.2021. The file sent to the Commissioner (Coord.) on 12.03.2021. </t>
    </r>
    <r>
      <rPr>
        <b/>
        <sz val="14"/>
        <rFont val="Bookman Old Style"/>
        <family val="1"/>
      </rPr>
      <t>SANCTIONED</t>
    </r>
  </si>
  <si>
    <r>
      <t xml:space="preserve">The proposal received on 20.09.2020. Deficiencies letter issued on 23.09.2020 by mail. Reply received and Deficiencies were communicated vide letter dated 15.10.2020 by mail. Reminders issued on 19.11.2020 &amp; 29.12.2020. Reply received and </t>
    </r>
    <r>
      <rPr>
        <b/>
        <sz val="10"/>
        <rFont val="Bookman Old Style"/>
        <family val="1"/>
      </rPr>
      <t>the file sent to IFU on 25.01.2021</t>
    </r>
    <r>
      <rPr>
        <sz val="10"/>
        <rFont val="Bookman Old Style"/>
        <family val="1"/>
      </rPr>
      <t xml:space="preserve">. The file sent to the Member (Admn) on 17.03.2021. The file sent to the Commissioner (Coord.) on 22.03.2021. </t>
    </r>
    <r>
      <rPr>
        <b/>
        <sz val="18"/>
        <rFont val="Bookman Old Style"/>
        <family val="1"/>
      </rPr>
      <t>SANCTIONED</t>
    </r>
  </si>
  <si>
    <r>
      <t xml:space="preserve">The proposal received on 08.01.2021. Deficiencies letter issued on 11.01.2021 by mail. Reply received and </t>
    </r>
    <r>
      <rPr>
        <b/>
        <sz val="10"/>
        <rFont val="Bookman Old Style"/>
        <family val="1"/>
      </rPr>
      <t xml:space="preserve">file sent to IFU on 22.01.2021. IFU approved the file and file sent to the Chairman on 12.03.2021. File sent to the Commr (Coord.) on 23.03.2021. </t>
    </r>
    <r>
      <rPr>
        <b/>
        <sz val="18"/>
        <rFont val="Bookman Old Style"/>
        <family val="1"/>
      </rPr>
      <t>SANCTIONED</t>
    </r>
  </si>
  <si>
    <r>
      <t>The proposal received (email) on 26.06.2020. Deficiencies</t>
    </r>
    <r>
      <rPr>
        <b/>
        <sz val="10"/>
        <rFont val="Bookman Old Style"/>
        <family val="1"/>
      </rPr>
      <t xml:space="preserve"> </t>
    </r>
    <r>
      <rPr>
        <sz val="10"/>
        <rFont val="Bookman Old Style"/>
        <family val="1"/>
      </rPr>
      <t xml:space="preserve">were communicated vide letter dated 01.07.2020. Reminder issued on 18.08.2020. Reply receicved on 28.08.2020. Deficiencies were communicated vide letter dated 08.09.2020. Reminder issued on 20.10.2020. Reply received and deficiencies were again communicated vide letter dated 19.11.2020. Reminders issued on 29.12.2020 &amp; 29.01.2021. Reply received and </t>
    </r>
    <r>
      <rPr>
        <b/>
        <sz val="10"/>
        <rFont val="Bookman Old Style"/>
        <family val="1"/>
      </rPr>
      <t xml:space="preserve">the file sent to IFU on 06.02.2021. File approved and file sent to the M (Admn) on 25.03.2021. File sent to the Commissioner (Coord.) on 30.03.2021. </t>
    </r>
    <r>
      <rPr>
        <b/>
        <sz val="18"/>
        <rFont val="Bookman Old Style"/>
        <family val="1"/>
      </rPr>
      <t>SANCTIONED</t>
    </r>
  </si>
  <si>
    <r>
      <t>The proposal received on 13.01.2020. Deficiencies were communicated vide letter dated 17.01.2020. Reply received and deficiencies were again communicated vide letter dated 26.05.2020. Reminders issued on 26.08.2020, 06.10.2020 &amp; 06.11.2020. Reply received and deficiencies were again vide letter dated 09.12.2020. Reminder issued on 08.01.2021. Reply received on 20.01.2021 and</t>
    </r>
    <r>
      <rPr>
        <b/>
        <sz val="10"/>
        <rFont val="Bookman Old Style"/>
        <family val="1"/>
      </rPr>
      <t xml:space="preserve"> file submitted to IFU on 01.02.2021. IFU approved the file and file sent to the RS on 22.03.2021. File sent to the Commissioner (Coord.) on 30.03.2021. </t>
    </r>
    <r>
      <rPr>
        <b/>
        <sz val="16"/>
        <rFont val="Bookman Old Style"/>
        <family val="1"/>
      </rPr>
      <t>SANCTIONED</t>
    </r>
  </si>
  <si>
    <r>
      <t xml:space="preserve">The proposal received on 26.02.2021. The file sent to  the IFU. File sent to the Chairman on 25.03.2021. </t>
    </r>
    <r>
      <rPr>
        <b/>
        <sz val="10"/>
        <rFont val="Bookman Old Style"/>
        <family val="1"/>
      </rPr>
      <t xml:space="preserve"> File sent to the Commissioner (Coord.) on 30.03.2021. </t>
    </r>
    <r>
      <rPr>
        <b/>
        <sz val="18"/>
        <rFont val="Bookman Old Style"/>
        <family val="1"/>
      </rPr>
      <t>SANCTIONED</t>
    </r>
  </si>
  <si>
    <r>
      <t>The proposal received on 09.01.2020. Deficiencies were communicated</t>
    </r>
    <r>
      <rPr>
        <b/>
        <sz val="10"/>
        <rFont val="Bookman Old Style"/>
        <family val="1"/>
      </rPr>
      <t xml:space="preserve"> </t>
    </r>
    <r>
      <rPr>
        <sz val="10"/>
        <rFont val="Bookman Old Style"/>
        <family val="1"/>
      </rPr>
      <t>vide letter dated 15.01.2020. Reminders issued on 13.03.2020, 28.05.2020, 02.07.2020, 18.08.2020 &amp; 24.09.2020. Reply received on 06.10.2020. Defciencies were again communicated vide letter dated 13.10.2020. Reply received and deficiencies were again communicated vide letter dated 18.11.2020. Reply received on 22.12.2020.</t>
    </r>
    <r>
      <rPr>
        <b/>
        <sz val="10"/>
        <rFont val="Bookman Old Style"/>
        <family val="1"/>
      </rPr>
      <t xml:space="preserve"> File submitted to IFU on 12.01.2021. File sent to the approval of RS on 26.02.2021. RS approved the file and file sent to the Commissioner (Coord.) on 25.03.2021. </t>
    </r>
    <r>
      <rPr>
        <b/>
        <sz val="14"/>
        <rFont val="Bookman Old Style"/>
        <family val="1"/>
      </rPr>
      <t>SANCTIONED</t>
    </r>
  </si>
  <si>
    <t xml:space="preserve">31238.24 &amp; 20391.10 = 51629.34 </t>
  </si>
  <si>
    <t>InW/Hir/RP/DIR/4/2021-HRNG</t>
  </si>
  <si>
    <t>Proposal for renewal of lease agreement for continued hiring of office accommodation for DRI, Zonal Unit, Ahmedabad for further period of 3 years from 01.02.2020 to 31.01.2023</t>
  </si>
  <si>
    <t xml:space="preserve">DRI Zonal Unit Ahmedabad </t>
  </si>
  <si>
    <t xml:space="preserve">DRI (Hqrs.), New Delhi </t>
  </si>
  <si>
    <r>
      <rPr>
        <b/>
        <sz val="10"/>
        <color rgb="FFFF0000"/>
        <rFont val="Bookman Old Style"/>
        <family val="1"/>
      </rPr>
      <t>New File-InW/RP/CGST/6/2020</t>
    </r>
    <r>
      <rPr>
        <sz val="10"/>
        <color rgb="FFFF0000"/>
        <rFont val="Bookman Old Style"/>
        <family val="1"/>
      </rPr>
      <t xml:space="preserve"> Old File-924/25/Hiring/Vadodara-II/Bharuch Div./HRD/2019-20</t>
    </r>
  </si>
  <si>
    <r>
      <t>The proposal received on 22.03.2021. The file sent to the IFU on 24.03.2021</t>
    </r>
    <r>
      <rPr>
        <b/>
        <sz val="10"/>
        <rFont val="Bookman Old Style"/>
        <family val="1"/>
      </rPr>
      <t xml:space="preserve">. The file sent to the Chairman on 30.03.2021. </t>
    </r>
    <r>
      <rPr>
        <b/>
        <sz val="16"/>
        <rFont val="Bookman Old Style"/>
        <family val="1"/>
      </rPr>
      <t>SANCTIONED</t>
    </r>
  </si>
  <si>
    <t>InW/Hir/RP/DIR/6/2021-HRNG</t>
  </si>
  <si>
    <t>DGGI, Belagavi Zonal Unit</t>
  </si>
  <si>
    <t>Proposal for renewal of lease agreement for continued hiring of office accommodation for DGGI, Belagavi, Zonal Unit  for further period of 3 years from 01.02.2021 to 31.01.2024</t>
  </si>
  <si>
    <t>Chief Commissioner, GST, Central Excise &amp; Customs Zone, Bhubaneshwar</t>
  </si>
  <si>
    <t>Bhubaneswar GST &amp; Central Excise,</t>
  </si>
  <si>
    <t>InW/Hir/RP/CGST/15/2021-HRNG</t>
  </si>
  <si>
    <t>InW/Hir/RP/CGST/16/2021-HRNG</t>
  </si>
  <si>
    <t>Proposal for renewal of lease agreement for continued hiring of office space by CGST Ranchi Audit Commissionerate for the period from 01.07.2020 to 30.06.2023</t>
  </si>
  <si>
    <t>CGST Ranchi Audit Commissionerate</t>
  </si>
  <si>
    <t xml:space="preserve">Chief Commissioner, Ranchi Zone </t>
  </si>
  <si>
    <t>InW/Hir/RP/CGST/17/2021-HRNG</t>
  </si>
  <si>
    <t xml:space="preserve">Proposal for renewal of lease agreement for continued hiring of office space for CGST Bhubaneswar Division-I &amp; II and its 11 Range Offices for the period from 19.02.2019 to 18.02.2022 </t>
  </si>
  <si>
    <t xml:space="preserve">Proposal for obtaining administrative approval &amp; expenditure sanction for payment of outstanding rent amounting to Rs. 13,24,872/- for occupying office space by Himmatnagar Range of CGST Himmatnagar Division, Ahmadabad during the period from 01.04.2008 to 31.08.2019 </t>
  </si>
  <si>
    <t>PCCO CGST Ahmadabad Zone</t>
  </si>
  <si>
    <t xml:space="preserve">Himmatnagar Range of CGST Himmatnagar Division </t>
  </si>
  <si>
    <t>InW/Hir/RP/CGST/18/2021-HRNG</t>
  </si>
  <si>
    <t xml:space="preserve">Proposal for revision of rent for office of the Commissioner of CGST Audit Commissionerate, Dehradun and its 02 Circles located at 3D Plaza, Near Ambiwala Gurudwara, Dharampur Danda, Dehradun for a further period of 3 years from 25.03.2021 to 26.03.2024 </t>
  </si>
  <si>
    <t>Chief Commissioner, Cuastoms &amp; central GST Zone, Meerut Zone</t>
  </si>
  <si>
    <t>CGST Audit Commissionerate, Dehradun</t>
  </si>
  <si>
    <t>InW/Hir/RP/CGST/19/2021-HRNG</t>
  </si>
  <si>
    <t xml:space="preserve">Proposal for renewal of lease agreement for continued hiring of office space for Headquarter of CGST Kutch (Gandhidham) Commissionerate for the period from 01.06.2021 to 31.05.2024 </t>
  </si>
  <si>
    <t>Headquarter of CGST Kutch (Gandhidham) Commissionerate</t>
  </si>
  <si>
    <t>InW/Hir/IP/CGST/2/2021-HRNG</t>
  </si>
  <si>
    <t xml:space="preserve">Proposal for initial hiring of office space situated at BSNL Building, C.G. Road, Navrangpura, Ahmedabad for CGST Gandhinagar Commissionerate </t>
  </si>
  <si>
    <t xml:space="preserve">CGST Gandhinagar Commissionerate </t>
  </si>
  <si>
    <r>
      <t>The proposal received on 09.11.2020. Deficiencies letter issued on 12.11.2020 by mail. Reminders issued on 15.12.2020 &amp; 15.01.2021. Reply received and deficiency letter was again issued on 09.02.2021. Reply received and</t>
    </r>
    <r>
      <rPr>
        <sz val="11"/>
        <color rgb="FFFF0000"/>
        <rFont val="Bookman Old Style"/>
        <family val="1"/>
      </rPr>
      <t xml:space="preserve"> </t>
    </r>
    <r>
      <rPr>
        <sz val="11"/>
        <rFont val="Bookman Old Style"/>
        <family val="1"/>
      </rPr>
      <t xml:space="preserve">file sent to the IFU on 22.03.2021. File sent to the approval of RS on 13.05.2021. RS approved the file and file sent to the Commissioner (Coord.) on 20.05.2021. </t>
    </r>
    <r>
      <rPr>
        <b/>
        <sz val="14"/>
        <rFont val="Bookman Old Style"/>
        <family val="1"/>
      </rPr>
      <t>SANCTIONED (2021-22 (01) 25.05.2021</t>
    </r>
  </si>
  <si>
    <t>InW/Hir/RP/DIR/7/2021-HRNG</t>
  </si>
  <si>
    <t>DGGI (Hqrs), New Delhi</t>
  </si>
  <si>
    <t>DGGI Regional Unit Rajkot</t>
  </si>
  <si>
    <t xml:space="preserve">Proposal for renewal of lease agreement for continued hiring of office space for DGGI Regional Unit Rajkot for the period from 03.02.2021 to 02.02.2024 </t>
  </si>
  <si>
    <t>InW/Hir/RP/CGST/20/2021-HRNG</t>
  </si>
  <si>
    <t>CGST Mumbai South Commissionerate</t>
  </si>
  <si>
    <r>
      <t>The proposal received on 17.02.2021. The file sent to the IFU on 26.02.2021</t>
    </r>
    <r>
      <rPr>
        <b/>
        <sz val="10"/>
        <rFont val="Bookman Old Style"/>
        <family val="1"/>
      </rPr>
      <t xml:space="preserve">.  The file sent to the M (Admn) on 19.05.2021.  File sent to the Commissioner (Coord.) on 20.05.2021. </t>
    </r>
    <r>
      <rPr>
        <b/>
        <sz val="16"/>
        <rFont val="Bookman Old Style"/>
        <family val="1"/>
      </rPr>
      <t>SANCTIONED</t>
    </r>
  </si>
  <si>
    <t>InW/Hir/RP/CUS/5/2021-HRNG</t>
  </si>
  <si>
    <t>InW/Hir/RP/CUS/4/2021-HRNG</t>
  </si>
  <si>
    <t>Chief Commissioner, Vissakhapatnam</t>
  </si>
  <si>
    <t>Custom (prev.), Vijayawada</t>
  </si>
  <si>
    <t xml:space="preserve">Proposal for renewal of lease agreement for continued hiring of office space at M/s Sai Shrika Services, Door. No. 55-17-3, C-14, 2nd Floor, Near CGO Complex,Industrial Estate, Autonagar, Vijayawada for Hqrs. office of the Customs Commissionerate (Prev.), Vijayawada for the period from 01.07.2021 to 30.06.2024 </t>
  </si>
  <si>
    <t>Proposal for obtaining financial concurrence for payment of outstanding differential storage charges and insurance charges against storage space occupied by Delhi Customs Preventive Commissionerate to the Central Warehousing Corporation (CWC) for the financial years 2018-20</t>
  </si>
  <si>
    <t>Delhi Customs Preventive Commissionerate</t>
  </si>
  <si>
    <r>
      <t>The proposal received on 16.06.2020. Deficiencies were communicated vide letter dated 19.06.2020. Reminder issued on 16.07.2020 &amp; 18.09.2020. Reply received on 28.09.2020 and deficiencies again were communicated vide letter dated 12.10.2020. Reminder issued on 13.11.2020.  Reply received and file sent to the Ministry on 29.12.2020. Received back with IFU query on 28.01.2021. Deficiencies were communicated vide letter dated 29.01.2021</t>
    </r>
    <r>
      <rPr>
        <b/>
        <sz val="10"/>
        <rFont val="Bookman Old Style"/>
        <family val="1"/>
      </rPr>
      <t xml:space="preserve">. </t>
    </r>
    <r>
      <rPr>
        <sz val="10"/>
        <rFont val="Bookman Old Style"/>
        <family val="1"/>
      </rPr>
      <t>Reminder issued on 01.03.2021. Reply received and</t>
    </r>
    <r>
      <rPr>
        <b/>
        <sz val="10"/>
        <rFont val="Bookman Old Style"/>
        <family val="1"/>
      </rPr>
      <t xml:space="preserve"> file sent to the IFU on 08.03.2021. The file sent to the Chairman on 15.05.2021. File sent to the Commissioner (Coord.) on 20.05.2021. SANCTIONED</t>
    </r>
  </si>
  <si>
    <t>InW/Hir/RP/CGST/21/2021-HRNG</t>
  </si>
  <si>
    <t>Proposal for renewal of lease agreement for continued hiring of office accommodation for CGST Nellore Sub-Commissionerate, CGST Nellore Division &amp; CGST Range Offices
for the period from 01.07.2019 to 30.06.2022</t>
  </si>
  <si>
    <t>CGST Guntur Commissionerate</t>
  </si>
  <si>
    <t xml:space="preserve">Proposal for renewal of lease agreement for continued hiring of office space at Air India Building, Nariman Point, Mumbai for CGST Mumbai South Commissionerate for the period from 22.05.2021 to 21.05.2022 </t>
  </si>
  <si>
    <t>InW/Hir/RP/DIR/8/2021-HRNG</t>
  </si>
  <si>
    <t>Proposal for renewal of lease agreement for continued hiring of office space at Rajendra Bhawan Trust, 4th Floor, Rajendra Bhawan, 210, Deen Dayal Upadhyay Marg, New Delhi for Directorate of legal Affairs for the period from 16.07.2020 to 15.07.2023</t>
  </si>
  <si>
    <t xml:space="preserve">Reassessment of monthly rent in respect of office premises situated at Navprabhat Chambers, Ranade Road, Dadar (West), Mumbai 400028 for further 2 months from 01.02.2021 to 31.03.2021 </t>
  </si>
  <si>
    <t>Directorate of legal Affairs</t>
  </si>
  <si>
    <r>
      <t>The proposal was received on 25.06.2019. File sent to IFU on 10.07.2019. Received back with IFU's query on 16.08.2019. The same were communicated to the Comm'tte vide letter dated 20.08.2019. Reply received and the file was re-sent to IFU. Received back again with IFU's query on 05.11.2019</t>
    </r>
    <r>
      <rPr>
        <b/>
        <sz val="10"/>
        <rFont val="Bookman Old Style"/>
        <family val="1"/>
      </rPr>
      <t>.</t>
    </r>
    <r>
      <rPr>
        <sz val="10"/>
        <rFont val="Bookman Old Style"/>
        <family val="1"/>
      </rPr>
      <t xml:space="preserve"> The same were communicated to the Comm'tte vide letter dated 06.11.2019. Reminders issued on 30.01.2020, 05.06.2020 &amp; 07.07.2020. Reply received and the file was re-sent to IFU on 14.08.2020. Received back again with IFU's query on 09.09.2020</t>
    </r>
    <r>
      <rPr>
        <b/>
        <sz val="10"/>
        <rFont val="Bookman Old Style"/>
        <family val="1"/>
      </rPr>
      <t>.</t>
    </r>
    <r>
      <rPr>
        <sz val="10"/>
        <rFont val="Bookman Old Style"/>
        <family val="1"/>
      </rPr>
      <t xml:space="preserve"> The same were communicated to the Comm'tte vide letter dated 14.09.2020. Reminders issued on 16.10.2020, 19.11.2020 &amp; 29.12.2020.</t>
    </r>
    <r>
      <rPr>
        <b/>
        <sz val="10"/>
        <rFont val="Bookman Old Style"/>
        <family val="1"/>
      </rPr>
      <t xml:space="preserve"> </t>
    </r>
    <r>
      <rPr>
        <sz val="10"/>
        <rFont val="Bookman Old Style"/>
        <family val="1"/>
      </rPr>
      <t xml:space="preserve">Reply received and </t>
    </r>
    <r>
      <rPr>
        <b/>
        <sz val="10"/>
        <rFont val="Bookman Old Style"/>
        <family val="1"/>
      </rPr>
      <t xml:space="preserve">file sent to IFU on 01.03.2021. File sent for approval of the  Member (Admn) on 27.05.2021. The file sent to the Commr (Coord.) on 31.05.2021. </t>
    </r>
    <r>
      <rPr>
        <b/>
        <sz val="16"/>
        <rFont val="Bookman Old Style"/>
        <family val="1"/>
      </rPr>
      <t>SANCTIONED</t>
    </r>
  </si>
  <si>
    <t>InW/Hir/RP/CGST/22/2021-HRNG</t>
  </si>
  <si>
    <t xml:space="preserve">Proposal for renewal of lease agreement for continued hiring of office space situated at Ground, 1st,2nd, &amp; 3rd Floor and Basement of Shri Mahavir Jain Vidyalaya, Andhri (W), Mumbai for CGST Mumbai West Commissionerate (Hqrs.) &amp; its Divisions I to V for the period from 01.01.2021 to 31.12.2023 </t>
  </si>
  <si>
    <t xml:space="preserve">CGST Mumbai West Commissionerate (Hqrs.) and its Divisions-I to V </t>
  </si>
  <si>
    <t xml:space="preserve">18,635.35 sq. ft. built-up area  and 2453.20 sq. ft. carpet area </t>
  </si>
  <si>
    <t>CGST &amp; Central Excise, Chandan Nagar-I &amp; II Division</t>
  </si>
  <si>
    <t xml:space="preserve">Proposal for renewal of lease agreement for continued hiring of office space for CGST Divisions Dankuni &amp; Chandan Nagar of Howrah Commissionerate w.e.f.01.04.2018 </t>
  </si>
  <si>
    <r>
      <t>The proposal received on 10.02.2021. Deficiencies letter issued on 11.02.2021. Reply receivd and file sent to the IFU on 24.02.2021. IFU returned the file on 15.04.2021 with queries which were conveyed to the NACIN vide letter dated 15.04.2021</t>
    </r>
    <r>
      <rPr>
        <b/>
        <sz val="12"/>
        <rFont val="Bookman Old Style"/>
        <family val="1"/>
      </rPr>
      <t>. Reply received and file sent to the IFU on 05.05.2021. The file sent to the M (Admn) on 05.07.2021.  The file sent to the Commr (Coord.) on 06.07.2021. SANCTIONED dated 19.07.2021.</t>
    </r>
  </si>
  <si>
    <r>
      <rPr>
        <b/>
        <sz val="12"/>
        <rFont val="Bookman Old Style"/>
        <family val="1"/>
      </rPr>
      <t>New File-InW/Hir/RP/CGST/17/2020-HRNG</t>
    </r>
    <r>
      <rPr>
        <sz val="12"/>
        <rFont val="Bookman Old Style"/>
        <family val="1"/>
      </rPr>
      <t xml:space="preserve">
Old File-924/13/Hiring/CGST/Vadodara/Surat-Audit/HRD/2020-21</t>
    </r>
  </si>
  <si>
    <r>
      <t>Proposal for revision of rent of office space at 5</t>
    </r>
    <r>
      <rPr>
        <vertAlign val="superscript"/>
        <sz val="12"/>
        <rFont val="Bookman Old Style"/>
        <family val="1"/>
      </rPr>
      <t>th</t>
    </r>
    <r>
      <rPr>
        <sz val="12"/>
        <rFont val="Bookman Old Style"/>
        <family val="1"/>
      </rPr>
      <t xml:space="preserve"> Floor, Hotel Samrat (a unit of ITDC), Kautilya Marg, Chanakyapuri, New Delhi for Indirect Tax Ombudsman (Rs.706860 Arrears)</t>
    </r>
  </si>
  <si>
    <t xml:space="preserve">New File-InW/RP/CGST/21/2020 Old File-924/18/Hiring/Ahmedabad /CGST Audit/HRD/2019-20
</t>
  </si>
  <si>
    <t>New File-InW/RP/CGST/12/2020 Old File-924/34/Hiring/Visakhapatnam South Division/HRD/2019-20</t>
  </si>
  <si>
    <r>
      <t>The proposal received on 05.03.2021. Deficiencies letter issued on 09.03.2021. Reply received and again deficiencies vide letter dated 30.03.2021. Reply received on 13.04.2021 by mail and file sent to the IFU on 19.04.2021. The file approved by IFU and sent to the Chairman for approval on 23.06.2021. The file sent to the Commr. (coord.) on 28.06.2021.</t>
    </r>
    <r>
      <rPr>
        <b/>
        <sz val="18"/>
        <rFont val="Bookman Old Style"/>
        <family val="1"/>
      </rPr>
      <t xml:space="preserve"> SANCTIONED  ON 28.07.2021.</t>
    </r>
  </si>
  <si>
    <t>InW/Hir/RP/DIR/9/2021-HRNG</t>
  </si>
  <si>
    <t xml:space="preserve">Proposal for renewal of lease for continued hiring of office accommodation situated at 117, Santosh Nagar, Near Civil Lines Metro Station, Ajmer Road, Jaipur for NACIN Zonal Campus Jaipur for a further period of one year </t>
  </si>
  <si>
    <t xml:space="preserve">NACIN Zonal Campus, Jaipur </t>
  </si>
  <si>
    <t>Pr. Additional Director General, NACIN, Faridabad</t>
  </si>
  <si>
    <t>InW/Hir/RP/CGST/23/2021-HRNG</t>
  </si>
  <si>
    <t>CGST Patna-II Comm'tte</t>
  </si>
  <si>
    <t>Pr. Chief Commissioner of CGST, Ranchi Zone</t>
  </si>
  <si>
    <t>Proposal for revision of rent of office premises at 1st to 5th Floor of , TTMC Building Domlur, Bangalore for CGST Commissionerate, Bengaluru East, Appeals-I, Appeals-II &amp; Customs Appeals Commissionerate.</t>
  </si>
  <si>
    <t>InW/Hir/RP/CGST/24/2021-HRNG</t>
  </si>
  <si>
    <t xml:space="preserve">Proposal for renewal of lease agreement for continued hiring of office accommodation situated at 1st to 4th Floors, Akira Sikhara Plaza, Jusbagh, Nampally, Hyderabad for four CGST Divisions (Begum Bazar, Charminar, Falaknuma &amp; Abids) for a further period of three years </t>
  </si>
  <si>
    <t xml:space="preserve">PCCO CGST Hyderabad Zone </t>
  </si>
  <si>
    <t xml:space="preserve">CGST Hyderabad Commissionerate </t>
  </si>
  <si>
    <r>
      <t xml:space="preserve">The proposal received on 25.05.2021. The file sent to the IFU on 27.05.2021. The file received from IFU on 15.07.2021 after concurrence. Submitted for approval of the Chairman on 16.07.2021. The file sent to the Commr. (coord.) on 20.07.2021. </t>
    </r>
    <r>
      <rPr>
        <b/>
        <sz val="16"/>
        <rFont val="Bookman Old Style"/>
        <family val="1"/>
      </rPr>
      <t>SANCTIONED 03.08.2021.</t>
    </r>
  </si>
  <si>
    <t xml:space="preserve">Proposal for initial hiring of office space situated at Ground &amp; 1st Floor of F/2, Sector-2, IIE, SIDCUL, Haridwar owned by BSNL for CGST Haridwar Division and its five Range Offices for a period of 3 years </t>
  </si>
  <si>
    <t xml:space="preserve">The proposal received on 12.07.2021. The file sent to the IFU on 16.07.2021. </t>
  </si>
  <si>
    <t xml:space="preserve">Directorate General of Taxpayer Service (DGTS), New Delhi </t>
  </si>
  <si>
    <t xml:space="preserve">Directorate General of Taxpayer Service (DGTS), Ahmedabad Zonal Unit </t>
  </si>
  <si>
    <t>Proposal for renewal of lease agreement for continued hiring of office space for the Directorate General of Taxpayer Services (DGTS), Ahmedabad Zonal Unit, Ahmedabad for the period from 02.04.2021 to 01.04.2024</t>
  </si>
  <si>
    <t>InW/Hir/RP/DIR/10/2021-HRNG</t>
  </si>
  <si>
    <t>InW/Hir/RP/DIR/11/2021-HRNG</t>
  </si>
  <si>
    <t>HRM-II Wing of DGHRD</t>
  </si>
  <si>
    <r>
      <t xml:space="preserve">The proposal received on 28.12.2020.  The file sent to IFU on 13.01.2021. Received back with IFU query on 11.03.2021. Deficiencies were communicated vide letter dated 12.03.2021. Reminder issued on 12.04.2021. Reply received and file sent to the IFU on 05.05.2021.  The file sent to the M (Admn) on 16.07.2021. The file sent to the Commr. (coord.) on 16.07.2021. </t>
    </r>
    <r>
      <rPr>
        <b/>
        <sz val="18"/>
        <rFont val="Bookman Old Style"/>
        <family val="1"/>
      </rPr>
      <t>SANCTIONED ON 04.08.2021.</t>
    </r>
  </si>
  <si>
    <r>
      <t xml:space="preserve">The proposal received on 28.10.2020. Deficiencies letter issued on 05.11.2020 by mail. Reminder issued on 08.12.2020. Reply received on  08.12.2020 and file sent to IFU on 15.12.2020.Received back with IFU query on 05.01.2021. Deficiencies were communicated vide letter dated 06.01.2021.Reminder issued on 10.02.2021. Reply received and the file sent to IFU on 23.02.2021. Received back with IFU query on 22.03.2021. Deficiencies were communicated vide letter dated 22.03.2021. Reply received and file submission to the IFU on 07.04.2021. The file sent to the M (Admn) on 30.06.2021. The file sent to the Commr (Coord.) on 05.07.2021. </t>
    </r>
    <r>
      <rPr>
        <b/>
        <sz val="16"/>
        <rFont val="Bookman Old Style"/>
        <family val="1"/>
      </rPr>
      <t>SANCTIONED ON 03.08.2021.</t>
    </r>
  </si>
  <si>
    <t xml:space="preserve">Proposal for renewal of lease agreements for continued hiring of office accommodation situated at Deep Shikha Building, Rajendra Place, New Delhi for HRM-II Wing of DGHRD for a further period of three years </t>
  </si>
  <si>
    <t>The proposal was received on 10.10.2019. Deficiencies were communicated to the Directorate vide letter dated 17.10.2019. The incomplete reply was received. The remaining deficiencies were again communicated to the Directorate vide letter dated 30.01.2020. Reply received and the file was sent to IFU. Received back with IFU's query on 02.07.2020. The same were communicated to the Directorate vide letter dated 03.07.2020. Reminders issued on 18.08.2020, 24.09.2020, 26.10.2020 &amp; 02.12.2020. Interim reply received vide letters dated 06.11.2020 &amp; 19.01.2021. Fresh letter was issued on 15.03.2021. Reminders issued on 07.05.2021 &amp; 22.06.2021. Fresh letter was again issued on 10.08.2021. Reply is still awaited.</t>
  </si>
  <si>
    <r>
      <t>The proposal was received on 21.08.2019. Deficiencies were communicated to the Comm'tte vide letter dated 22.08.2019. Incomplete reply received on 10.10.2019. The remaining deficiencies were communicated to the Comm'tte vide letter dated 17.10.2019. Reply received and file sent to IFU on 04.03.2020. Received back with IFU's query on 07.10.2019. The same were communicated to the Comm'tte vide letter dated 06.03.2020. Reminders issued on 29.05.2020, 02.07.2020 &amp; 18.08.2020. Reply received and the file was re-sent to IFU. Received back again with IFU's query on 25.09.2020. The same were communicated to the Comm'tte vide letter dated 29.09.2020. Reminders issued on 28.10.2020, 04.12.2020 &amp; 05.01.2021. Reply received and file was re-sent to IFU on 06.02.2021. Reply received and the file was re-sent to IFU. File writTen with query and re-submitted to IFU on 07.04.2021. The file sent to the approval of M (Admn) on 28.06.2021. The file sent to the Commr (Coord.) on 05.07.2021.</t>
    </r>
    <r>
      <rPr>
        <b/>
        <sz val="16"/>
        <rFont val="Bookman Old Style"/>
        <family val="1"/>
      </rPr>
      <t>SANCTIONED on 29.07.2021.</t>
    </r>
  </si>
  <si>
    <t>The proposal received on 26.10.2020. Deficiencies were communicated vide letter dated 29.10.2020 by email. Reminders issued on 04.12.2020, 05.01.2021 &amp; 05.02.2021. Reply received and file sent to the IFU on 08.03.2021. Received back with IFU query on 10.05.2021. Deficiencies were communicated vide letter dated 12.05.2021. Reminders issued on 22.06.2021 &amp; 12.08.2021. Reply still awaited.</t>
  </si>
  <si>
    <t>The proposal received on 28.10.2020. Deficiencies were communicated vide letter dated 06.11.2020 by email. Reminders issued on 09.12.2020, 08.01.2021, 10.02.2021 &amp; 26.03.2021 &amp; 07.05.2021.Reply received and file sent to the IFU on 11.06.2021. Received back with IFU query on  09.08.2021. Deficiencies were communicated vide letter dated 09.08.2021.</t>
  </si>
  <si>
    <t>The proposal received on 21.12.2020. Deficiencies were communicated vide letter dated 22.12.2020 by email. Reminders issued on 25.01.2021, 01.03.2021 &amp; 05.04.2021. Reply received and file sent to the IFU on 23.04.2021. Received back with IFU query on 29.06.2021 and file sent the IFU on 30.06.2021. IFU returned the file on 12.08.2021 with queries which were conveyed to the Commissionerate vide letter dated 13.08.2021.</t>
  </si>
  <si>
    <t>The proposal received on 18.12.2020. Deficiencies were communicated vide letter dated 31.12.2020 by email. Reminders issued on 05.02.2021 &amp; 06.03.2021. Reply received on 23.03.2021and file sent to the IFU on 26.03.2021. IFU returned the file on 15.06.2021 with queries which were conveyed to the Commissionerate vide letter dated 16.06.2021. Reminder issued on 02.08.2021. The reply is awaited.</t>
  </si>
  <si>
    <t>The proposal received on 22.12.2020. Deficiencies were comunicated vide letter dated  01.01.2021 by email. Reminders issued on 05.02.2021 &amp; 08.03.2021. Reply received and file sent to the IFU on 25.03.2021. IFU returned the file on 11.06.2021 with queries which were conveyed to the Commissionerate vide letter dated 14.06.2021. Reply received and file sent to the IFU on 03.08.2021.</t>
  </si>
  <si>
    <t>The proposal received on 08.02.2021. Deficiencies were comunicated vide letter dated 09.02.2021. Reply received on 19.02.2021 and fiile sent to the IFU on 24.02.2021. IFU returned the file on 15.04.2021 with queries which were conveyed to the Comm'tte vide letter dated 15.04.2021. Reminders issued on 17.05.2021, 28.06.2021 &amp; 13.08.2021. The reply is awaited.</t>
  </si>
  <si>
    <t xml:space="preserve">The proposal received on 05.03.2021. Deficiencies were comunicated vide letter dated 09.03.2021. Reminders issued on 09.04.2021, 10.05.2021, 22.06.2021 &amp; 13.08.2021. Reply is still awaited. </t>
  </si>
  <si>
    <t xml:space="preserve">The proposal received on 15.03.2021. Deficiencies were comunicated vide letter dated 16.03.2021. Reminders issued on 16.04.2021, 17.05.2021 &amp; 28.06.2021. Reply is still awaited. </t>
  </si>
  <si>
    <t xml:space="preserve">The proposal received on 25.05.2021. Deficiencies were comunicated vide letter dated 27.05.2021. Reply received and file sent to the IFU on 06.06.2021. Received back with IFU query on 09.08.2021. Deficiencies were communicated vide letter dated 09.08.2021. Reply is still awaited. </t>
  </si>
  <si>
    <t xml:space="preserve">The proposal received on 11.06.2021. The file sent to the IFU on 16.06.2021.  IFU returned the file on 02.08.2021 with queries which were conveyed to the Comm'tte vide letter dated 02.08.2021. Reply is still awaited. </t>
  </si>
  <si>
    <t xml:space="preserve">The proposal received on 30.07.2021. Deficiencies were comunicated vide letter dated 02.08.2021. Reply is still awaited. </t>
  </si>
  <si>
    <t xml:space="preserve">The proposal received on 03.08.2021. Deficiencies were comunicated vide letter dated 05.08.2021. Reply is still awaited. </t>
  </si>
  <si>
    <t xml:space="preserve">The proposal received on 06.08.2021. Deficiencies were comunicated vide letter dated 12.08.2021. Reply is still awaited. </t>
  </si>
  <si>
    <t>The proposal received on 22.02.2021. Deficiencies were comunicated vide letter dated 25.02.2021. Reply received and file sent to the IFU on 08.03.2021.  IFU returned the file on 11.06.2021 with queries which were conveyed to the Commissionerate vide letter dated 14.06.2021. Reply received and file sent to the IFU on 23.06.2021.  IFU returned the file on 17.08.2021 with queries which were conveyed to the Commissionerate vide letter dated 18.08.2021.</t>
  </si>
  <si>
    <t>The proposal received on 03.05.2021. The file sent to the IFU on 07.05.2021. IFU returned the file on 29.06.2021 with queries which were conveyed to the Commissionerate vide letter dated 30.06.2021. Reminder issued on 18.08.2021. The reply is awaited.</t>
  </si>
  <si>
    <t xml:space="preserve">The proposal received on 18.08.2020. Deficiencies were communicated vide letter dated 26.08.2020. Reminders issued on 01.10.2020, 05.11.2020 &amp; 08.12.2020. Incomplete reply received on 08.01.2021. Fresh letter issued on 12.01.2021.Reminder issued on 12.02.2021. Reply received and deficiencies were again communicated vide letter dated 10.03.2021. Reminders issued on 12.04.2021, 17.05.2021 &amp; 22.06.2021. Reminder issued on 19.08.2021. Reply is still awaited. </t>
  </si>
  <si>
    <t xml:space="preserve">The proposal received (email) on 18.06.2020. Deficiencies were communicated vide letter dated 24.06.2020. Reminders issued on 27.07.2020, 18.09.2020 &amp; 20.10.2020. Reply received and deficiencies were again communicated vide letter dated 23.10.2020. Reminders issued on 25.11.2020 &amp; 29.12.2020. Reply received and file sent to IFU on 11.01.2021. Received back with IFU query on 09.03.2021. Deficiencies were communicated vide letter dated 10.03.2021. Reminders issued on 12.04.2021 &amp; 17.05.2021. Incomplete reply recieved vide letter dated 08.06.2021. Query letter again issued on 15.06.20021. Reminder issued on 30.07.2021. Reply received on 09.08.2021 and file sent to the IFU on 14.08.2021. </t>
  </si>
  <si>
    <t>The proposal received on 02.08.2021. Deficiencies were comunicated vide letter dated 03.08.2021. Reply received on 16.08.2021 and file sent to the IFU on 18.08.2021.</t>
  </si>
  <si>
    <r>
      <t xml:space="preserve">The proposal received on 21.07.2020. Deficiencies were communicated vide letter dated 24.07.2020. Reminders issued on 26.08.2020, 01.10.2020 &amp; 05.11.2020. Reply received and file sent to the IFU on 29.12.2020. Received back with IFU query on 16.02.2021. Deficiencies were communicated vide letter dated 16.02.2021. Reminders issued on 16.03.2021 &amp; 16.04.2021.  Reply received and file sent to the IFU on 05.05.2021. The file approved by IFU on 26.07.2021 and file sent to the M (Admn)  on 03.08.2021. The file sent to the Commr (Coord.) on 11.08.2021. </t>
    </r>
    <r>
      <rPr>
        <b/>
        <sz val="18"/>
        <rFont val="Bookman Old Style"/>
        <family val="1"/>
      </rPr>
      <t xml:space="preserve">SANCTIONED </t>
    </r>
  </si>
  <si>
    <r>
      <t xml:space="preserve">The proposal received on 10.05.2021. The file sent to the IFU on 17.05.2021. Received back with IFU query on 04.06.2021. Deficiencies were communicated vide letter dated 07.06.2021. Reply received  and file sent to the IFU on 09.07.2021. The file approved by IFU on 11.08.2021 and  M (Admn) approved on 18.08.2021.  The files sent to the Commr. (Coord.) on 19.08.2021. </t>
    </r>
    <r>
      <rPr>
        <b/>
        <sz val="16"/>
        <rFont val="Bookman Old Style"/>
        <family val="1"/>
      </rPr>
      <t>SANCTIONED ON 25.08.2021.</t>
    </r>
  </si>
  <si>
    <r>
      <t xml:space="preserve">The proposal received on 16.02.2021. Deficiencies were comunicated vide letter dated 22.02.2021. Reminder issued on 23.03.2021. Reply received and file sent to the IFU on 07.05.2021. IFU returned the file on 29.06.2021 with query and file sent the IFU on 30.06.2021. The file approved by IFU and  M (Admn) approved on 18.08.2021. The file sent to the Commr (Coord.) on 19.08.2021. </t>
    </r>
    <r>
      <rPr>
        <b/>
        <sz val="16"/>
        <rFont val="Bookman Old Style"/>
        <family val="1"/>
      </rPr>
      <t>SANCTIONED DATED 25.08.2021.</t>
    </r>
  </si>
  <si>
    <r>
      <t xml:space="preserve">The proposal received on 30.12.2020. Deficiencies were comunicated vide letter dated 05.01.2021 by email. Reminder issued on 02.02.2021. Reply received on 26.02.2021 and file sent to the IFU on 12.03.2021.Received back with IFU query on 10.06.2021. Again file sent to the IFU on 15.06.2021. The file approved by IFU  and  M (Admn) approved on 16.08.2021. The fiole sent to the Commr. (coord.) on 19.08.2021. </t>
    </r>
    <r>
      <rPr>
        <b/>
        <sz val="16"/>
        <rFont val="Bookman Old Style"/>
        <family val="1"/>
      </rPr>
      <t>SANCTIONED DATED 25.08.2021.</t>
    </r>
  </si>
  <si>
    <t>The proposal received on 03.11.2020. Deficiencies were communicated vide letter dated 07.11.2020 by email. Reminders issued on 09.12.2020, 08.01.2021 &amp; 10.02.2021. Reply received and file sent to the IFU on 12.03.2021.  Received back with IFU query on 10.06.2021. Deficiencies were communicated vide letter dated 11.06.2021. Reminder issued on 26.07.2021. Reply received on 24.08.2021 and file sent to the IFU on 26.08.2021.</t>
  </si>
  <si>
    <t xml:space="preserve">The proposal received on 21.06.2021. Deficiencies were comunicated vide letter dated 23.06.2021. Reminder issued on 12.08.2021. Reply received on 17.08.2021 and file sent to the IFU on 24.08.2021. </t>
  </si>
  <si>
    <t>InW/Hir/RP/DIR/12/2021-HRNG</t>
  </si>
  <si>
    <t xml:space="preserve">Proposal for renewal of lease agreement for continued hiring of office accommodation at Hotel Samrat, New Delhi for the Directorate General of Systems &amp; Data Management for further period of 02 years from 10.06.2021 to 09.06.2023 </t>
  </si>
  <si>
    <t xml:space="preserve">Directorate General of Systems and Data Management, New Delhi </t>
  </si>
  <si>
    <t xml:space="preserve">The proposal received on 25.08.2021. Deficiencies were comunicated vide letter dated 31.08.2021. Reply is still awaited. </t>
  </si>
  <si>
    <t xml:space="preserve">The proposal received on 11.01.2021. Deficiencies were comunicated vide letter dated 14.01.2021. Reminders issued on 15.02.2021, 15.03.2021, 15.04.2021, 18.05.2021, 14.07.2021 &amp; 02.09.2021. Reply is still awaited. </t>
  </si>
  <si>
    <t xml:space="preserve">The proposal received on 05.05.2021. Deficiencies were comunicated vide letter dated 06.05.2021. Reminder issued on 22.06.2021. Reply received on 06.07.2021 and file sent to the IFU on 09.07.2021. Received back with IFU query on 31.08.2021. Deficiencies were communicated vide letter dated 03.09.2021. Reply is still awaited. </t>
  </si>
  <si>
    <t>InW/Hir/IP/CGST/3/2021-HRNG</t>
  </si>
  <si>
    <t xml:space="preserve">Proposal for initial hiring of office accommodation situated at 2nd Floor, Kalpataru Business Centre, Dudhrej Road, Surendranagar for CGST Surendranagar Division and its 02 Range Offices </t>
  </si>
  <si>
    <t xml:space="preserve">The proposal received on 03.06.2021. The file sent to the IFU on 06.06.2021. Received back with IFU query on 29.07.2021. Deficiencies were communicated vide letter dated 29.07.2021. Reminder dated 13.09.2021. Reply is still awaited. </t>
  </si>
  <si>
    <t xml:space="preserve">The proposal received on 09.09.2021. Deficiencies were comunicated vide letter dated 13.09.2021. Reply is still awaited. </t>
  </si>
  <si>
    <r>
      <t xml:space="preserve">The proposal received on 28.06.2021. The file sent to the IFU on 05.07.2021. The file sent to the AD.VIII(EC) on 03.09.2021. </t>
    </r>
    <r>
      <rPr>
        <b/>
        <sz val="12"/>
        <rFont val="Bookman Old Style"/>
        <family val="1"/>
      </rPr>
      <t>SANCTIONED 08.09.2021.</t>
    </r>
  </si>
  <si>
    <r>
      <t xml:space="preserve">The proposal received on 16.04.2021. Deficiencies were comunicated vide letter dated 19.04.2021.  Reminder issued on 02.06.2021. Reply received and file sent to IFU on 28.06.2021. The file approved by IFU on 24.08.2021 and sent to the M (Admn) on 26.08.2021. The file sent to the AD&gt;VIII(EC). </t>
    </r>
    <r>
      <rPr>
        <b/>
        <sz val="18"/>
        <rFont val="Bookman Old Style"/>
        <family val="1"/>
      </rPr>
      <t>sanctioned on 08.09.2021.</t>
    </r>
  </si>
  <si>
    <r>
      <t xml:space="preserve">The proposal received on 25.02.2021. Deficiencies were comunicated vide letter dated 01.03.2021. Reminders issued on 05.04.2021 &amp; 07.05.2021. Reply received and file sent to the IFU on 02.06.2021. The file approved by IFU and file sent to the M (Admn) on 02.08.2021. The M (Admn) approved 19.08.2021 and file sent to the Ad.VIII (EC) on 24.08.2021. </t>
    </r>
    <r>
      <rPr>
        <b/>
        <sz val="16"/>
        <rFont val="Bookman Old Style"/>
        <family val="1"/>
      </rPr>
      <t xml:space="preserve">SANCTIONED ON 08.09.2021. </t>
    </r>
  </si>
  <si>
    <r>
      <t xml:space="preserve">The proposal received on 03.03.2021. Deficiencies were comunicated vide letter dated 04.03.2021. Reminders issued on 05.04.2021 &amp; 07.05.2021. Reply received and file sent to the IFU on 26.05.2021.The file approved by IFU and sent to the Chairman for approval on 14.07.2021. The file sent to the Commr. (coord.) on 23.08.2021. </t>
    </r>
    <r>
      <rPr>
        <b/>
        <sz val="16"/>
        <rFont val="Bookman Old Style"/>
        <family val="1"/>
      </rPr>
      <t>SANCTIONED ON 08.09.2021.</t>
    </r>
  </si>
  <si>
    <t>17657.8038 (1640.45 SQM.)</t>
  </si>
  <si>
    <r>
      <t xml:space="preserve">The proposal received on 21.06.2021. The file sent to the IFU on 29.06.2021. The file approved by IFU on 17.08.2021 and  file sent to the M (Admn) on 18.08.2021. </t>
    </r>
    <r>
      <rPr>
        <b/>
        <sz val="16"/>
        <rFont val="Bookman Old Style"/>
        <family val="1"/>
      </rPr>
      <t>SANCTIONED ON 08.09.2021.</t>
    </r>
  </si>
  <si>
    <r>
      <t xml:space="preserve">The proposal received on 30.03.2021. Deficiencies were comunicated vide letter dated 30.03.2021. Reminder issued on 07.05.2021. Reply received and file sent to the IFU on 23.06.2021. The file approved by IFU on 11.08.2021 and sent to the Chairman on 18.08.2021. The file sent to the AD&gt;VIII(EC) on 24.08.2021. </t>
    </r>
    <r>
      <rPr>
        <b/>
        <sz val="16"/>
        <rFont val="Bookman Old Style"/>
        <family val="1"/>
      </rPr>
      <t>SANCTIONED ON 08.09.2021.</t>
    </r>
  </si>
  <si>
    <r>
      <t xml:space="preserve">The proposal received on 31.08.2020. Deficiencies were communicated vide letter dated 22.09.2020 by email. Reminder issued on 22.10.2020 by mail. Reply received and  file sent to the IFU on 29.12.2020. Received back with IFU query on 24.02.2021. Deficiencies were communicated vide letter dated 25.02.2021. Reminder issued on 26.03.2021. Reply received and file sent to the IFU on 13.04.2021. The file approved by IFU and  M (Admn) approved on 16.08.2021. The file sent to the Commr (Coord.) on 19.08.2021. </t>
    </r>
    <r>
      <rPr>
        <b/>
        <sz val="16"/>
        <rFont val="Bookman Old Style"/>
        <family val="1"/>
      </rPr>
      <t>SANCTIONED ON 08.09.2021.</t>
    </r>
  </si>
  <si>
    <t>The proposal received on 26.02.2021. The file sent to the IFU  on 08.03.2021. IFU returned the file on 05.05.2021 with queries which were conveyed to the Directorate vide letter dated 06.05.2021. Reminder issued on 22.06.2021. Reply received on 24.06.2021 and file sent to the IFU on 25.06.2021. The file approved by IFU on 27.08.2021 and file sent to the RS on 27.08.2021. The file sent to the Commr (Coord.) on 08.09.2021.</t>
  </si>
  <si>
    <t>The proposal received on 24.08.2020. Deficiencies were communicated vide letter dated 03.09.2020 by email. Reply received and deficiencies were again communicated vide letter dated 26.10.2020 by email. Reply received and Deficiencies were again communicated vide letter dated 31.12.2020. Reply received on 03.02.2021 and file sent to the IFU on 26.02.2021. Received back with IFU query on 07.06.2021. Deficiencies were communicated vide letter dated 08.06.2021. Reminders issued on 23.07.2021 09.09.2021. Reply still awaited.</t>
  </si>
  <si>
    <t>The proposal received on 08.10.2020. Deficiencies were communicated vide letter dated 15.10.2020 by email. Reminders issued on 19.11.2020 &amp; 29.12.2020. Reply received on 12.01.2021 by email and deficiencies were again communicated vide letter dated 12.01.2021. Reminder issued on 12.02.2021. Reply received on 06.01.2021 and file sent to the IFU on 24.02.2021. Received back with IFU query on 24.03.2021. Deficiencies were communicated vide letter dated 24.03.2021. Reply received and file sent to the IFU 16.04.2021. Received back with IFU query on 15.07.2021.  Deficiencies were communicated vide letter dated 16.07.2021. Reminder issued on 02.09.2021. Reply received on 02.09.2021 and file sent to the IFU on 09.09.2021.</t>
  </si>
  <si>
    <t>The proposal received on 20.11.2020. Deficiencies were communicated vide letter dated 04.12.2020 by email. Reminders issued on 05.01.2021 &amp; 05.02.2021. Reply received on 19.02.2021and file sent to the IFU on 24.02.2021. Received back with IFU query on 18.03.2021. Deficiencies were communicated vide letter dated 22.03.2021. Reminders issued on 06.05.2021 &amp; 16.06.2021. Reply received and file sent to the IFU on 03.08.2021. Received back with IFU query on 07.09.2021. Deficiencies were communicated vide letter dated 08.09.2021.</t>
  </si>
  <si>
    <t>The proposal received on 17.12.2020. Deficiencies were comunicated vide letter dated 31.12.2020 by email. Reminder issued on 05.02.2021. Reply received and file sent to the IFU on 12.03.2021.  IFU returned the file on 21.05.2021 with queries which were conveyed to the Directorate vide letter dated 24.05.2021. Reply received on 09.07.2021 and file sent to the IFU on 13.07.2021. IFU returned the file on 07.09.2021 with queries which were conveyed to the Directorate vide letter dated 09.09.2021.</t>
  </si>
  <si>
    <t xml:space="preserve">The proposal received on 16.06.2021. Deficiencies were comunicated vide letter dated 22.06.2021. Reply received on 05.07.2021 and file sent to the IFU on 09.07.2021. The file approved by IFU on 07.09.2021 and file sent to the Chairman on 09.09.2021. </t>
  </si>
  <si>
    <t>Status of ongoing proposals in hiring section as on 13.09.2021</t>
  </si>
  <si>
    <t>The proposal was received on 31.05.2019. File sent to the IFU on 13.06.2019. Received back with IFU's query on 08.08.2019. The same were communicated to the Comm'tte vide letter dated 20.08.2019. Reminder issued on 25.09.2019. Reply received and file re-sent to IFU on 05.11.2019. Received back with IFU's query on 11.12.2019. The same were communicated to the Comm'tte vide letter dated 12.12.2019. Reply received and file was re-sent to IFU. Received back again with IFU's query on 03.03.2020. The same were communicated to the Comm'tte vide letter dated 12.03.2020. Reminders issued on 09.06.2020, 09.07.2020, 26.08.2020, 27.10.2020, 02.12.2020 &amp; 05.01.2021. The incomplete reply received. The remaining deficiencies were re-communicated to the Comm'tte vide letter dated 29.01.2021. Reply received and file was re-sent to IFU 24.02.2021. IFU returned the file with queries on 15.04.2021 which were conveyed to the Comm'tte vide letter dated 15.04.2021. Reminders issued on 16.05.2021 &amp; 28.06.2021. The reply received and file sent to the IFU on 30.06.2021. Received back again with IFU's query on 16.08.2021. The same were communicated to the Comm'tte vide letter dated 17.08.2021. The reply received on 03.09.2021 and file sent to the IFU on 06.09.2021.</t>
  </si>
  <si>
    <t xml:space="preserve">The proposal received on 21.12.2020. Deficiencies were communicated vide letter dated 21.12.2020 by email. Reminders issued on 21.01.2021 &amp; 22.02.2021 by email. Reply received and deficiences were again communicated vide letter dated 17.03.2021. Reply received and file sent to the IFU on 12.04.2021. Received back with IFU query on 17.06.2021. Deficiencies were communicated vide letter dated 18.06.2021. Reply received and file sent to the IFU on 14.07.2021. he file approved by IFU on 07.09.2021 and file sent to the RS on 08.09.2021. </t>
  </si>
  <si>
    <t>The proposal received on 22.12.2020. Deficiencies were comunicated vide letter dated  04.01.2021 by email. Reminders issued on 05.02.2021 &amp; 08.03.2021. Reply received on 26.03.2021 and file sent to the IFU on 30.03.2021. IFU returned the file on 14.06.2021 with queries which were conveyed to the Commissionerate vide letter dated 15.06.2021. Reminders issued on 29.07.2021 13.09.2021. The reply is awaited.</t>
  </si>
  <si>
    <t xml:space="preserve">The proposal received on 18.01.2021. Deficiencies were comunicated vide letter dated 19.01.2021 by email. Reminders issued on 19.02.2021 23.03.2021. Reply received and file sent to the IFU on 26.03.2021. Received back with IFU query on 04.06.2021. Deficiencies were communicated vide letter dated 07.06.2021. Reply received and file sent to the IFU on 14.07.2021. he file approved by IFU on 07.09.2021 and file sent to the Chariman on 08.09.2021. </t>
  </si>
  <si>
    <t>The proposal received on 27.01.2021. Deficiencies were comunicated vide letter dated 29.01.2021. Reminder issued on 01.03.2021. Reply received on 09.03.2021 and file sent to the IFU on 12.03.2021. IFU returned the file on 10.06.2021 with queries which were conveyed to the Commissionerate vide letter dated 14.06.2021. Reminders issued on 29.07.2021 &amp; 13.09.2021. Reply is awaited.</t>
  </si>
  <si>
    <t>The proposal received on 04.05.2021. The file sent to the IFU on 07.05.2021. Received back with IFU query on 22.07.2021. Deficiencies were communicated vide letter dated 22.07.2021. Reply received on 06.08.2021 and file sent to the IFU on 10.08.2021.</t>
  </si>
  <si>
    <t>The proposal received on 15.06.2021. The file sent to the IFU on 23.06.2021. IFU approved the file and the same was submitted for approval of RS on 18.08.2021. Received back with RS query on 01.09.2021. Deficiencies were communicated vide letter dated 03.09.2021. File sent to the RS on 13.09.2021.</t>
  </si>
  <si>
    <r>
      <t>Proposal for renewal of lease agreement for continued hiring of office accommodation situated at CTTC Building, 3</t>
    </r>
    <r>
      <rPr>
        <vertAlign val="superscript"/>
        <sz val="12"/>
        <rFont val="Bookman Old Style"/>
        <family val="1"/>
      </rPr>
      <t>rd</t>
    </r>
    <r>
      <rPr>
        <sz val="12"/>
        <rFont val="Bookman Old Style"/>
        <family val="1"/>
      </rPr>
      <t xml:space="preserve"> to 5</t>
    </r>
    <r>
      <rPr>
        <vertAlign val="superscript"/>
        <sz val="12"/>
        <rFont val="Bookman Old Style"/>
        <family val="1"/>
      </rPr>
      <t>th</t>
    </r>
    <r>
      <rPr>
        <sz val="12"/>
        <rFont val="Bookman Old Style"/>
        <family val="1"/>
      </rPr>
      <t xml:space="preserve"> Floor, Sanchar Parishar, Budha Marg, Patna for CGST Patna-II Commissionerate for the period from 01.09.2021 to 31.08.2024 </t>
    </r>
  </si>
  <si>
    <t>The proposal received on 09.08.2021. Deficiencies were comunicated vide letter dated 12.08.2021. Reply received on 10.09.2021 and file sent to the IFU on 13.09.2021.</t>
  </si>
</sst>
</file>

<file path=xl/styles.xml><?xml version="1.0" encoding="utf-8"?>
<styleSheet xmlns="http://schemas.openxmlformats.org/spreadsheetml/2006/main">
  <fonts count="20">
    <font>
      <sz val="11"/>
      <color theme="1"/>
      <name val="Calibri"/>
      <family val="2"/>
      <scheme val="minor"/>
    </font>
    <font>
      <sz val="10"/>
      <color rgb="FF000000"/>
      <name val="Bookman Old Style"/>
      <family val="1"/>
    </font>
    <font>
      <sz val="10"/>
      <color theme="1"/>
      <name val="Bookman Old Style"/>
      <family val="1"/>
    </font>
    <font>
      <sz val="10"/>
      <name val="Bookman Old Style"/>
      <family val="1"/>
    </font>
    <font>
      <b/>
      <sz val="10"/>
      <name val="Bookman Old Style"/>
      <family val="1"/>
    </font>
    <font>
      <b/>
      <sz val="10"/>
      <color rgb="FF000000"/>
      <name val="Bookman Old Style"/>
      <family val="1"/>
    </font>
    <font>
      <sz val="12"/>
      <name val="Bookman Old Style"/>
      <family val="1"/>
    </font>
    <font>
      <b/>
      <sz val="12"/>
      <name val="Bookman Old Style"/>
      <family val="1"/>
    </font>
    <font>
      <sz val="11"/>
      <name val="Bookman Old Style"/>
      <family val="1"/>
    </font>
    <font>
      <b/>
      <sz val="11"/>
      <name val="Bookman Old Style"/>
      <family val="1"/>
    </font>
    <font>
      <b/>
      <sz val="14"/>
      <name val="Bookman Old Style"/>
      <family val="1"/>
    </font>
    <font>
      <b/>
      <sz val="16"/>
      <name val="Bookman Old Style"/>
      <family val="1"/>
    </font>
    <font>
      <sz val="13"/>
      <color theme="1"/>
      <name val="Book Antiqua"/>
      <family val="1"/>
    </font>
    <font>
      <b/>
      <sz val="16"/>
      <color rgb="FF000000"/>
      <name val="Bookman Old Style"/>
      <family val="1"/>
    </font>
    <font>
      <sz val="11"/>
      <color rgb="FFFF0000"/>
      <name val="Bookman Old Style"/>
      <family val="1"/>
    </font>
    <font>
      <sz val="10"/>
      <color rgb="FFFF0000"/>
      <name val="Bookman Old Style"/>
      <family val="1"/>
    </font>
    <font>
      <b/>
      <sz val="18"/>
      <name val="Bookman Old Style"/>
      <family val="1"/>
    </font>
    <font>
      <b/>
      <sz val="10"/>
      <color rgb="FFFF0000"/>
      <name val="Bookman Old Style"/>
      <family val="1"/>
    </font>
    <font>
      <vertAlign val="superscript"/>
      <sz val="12"/>
      <name val="Bookman Old Style"/>
      <family val="1"/>
    </font>
    <font>
      <sz val="16"/>
      <name val="Bookman Old Style"/>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09">
    <xf numFmtId="0" fontId="0" fillId="0" borderId="0" xfId="0"/>
    <xf numFmtId="0" fontId="0" fillId="0" borderId="0" xfId="0"/>
    <xf numFmtId="0" fontId="0" fillId="3" borderId="0" xfId="0" applyFill="1"/>
    <xf numFmtId="0" fontId="0" fillId="0" borderId="0" xfId="0" applyBorder="1"/>
    <xf numFmtId="3" fontId="1" fillId="0" borderId="0"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1" fillId="4"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8" fillId="4" borderId="1" xfId="0" applyFont="1" applyFill="1" applyBorder="1" applyAlignment="1">
      <alignment horizontal="justify" vertical="top" wrapText="1"/>
    </xf>
    <xf numFmtId="0" fontId="2" fillId="4" borderId="1" xfId="0" applyFont="1" applyFill="1" applyBorder="1" applyAlignment="1">
      <alignment horizontal="center" vertical="center"/>
    </xf>
    <xf numFmtId="0" fontId="3" fillId="4" borderId="1" xfId="0" applyFont="1" applyFill="1" applyBorder="1" applyAlignment="1">
      <alignment horizontal="left" vertical="top" wrapText="1"/>
    </xf>
    <xf numFmtId="0" fontId="6" fillId="0" borderId="1" xfId="0" applyFont="1" applyFill="1" applyBorder="1" applyAlignment="1">
      <alignment horizontal="center" vertical="center" wrapText="1"/>
    </xf>
    <xf numFmtId="0" fontId="6" fillId="0" borderId="1" xfId="0" applyFont="1" applyFill="1" applyBorder="1" applyAlignment="1">
      <alignment vertical="top" wrapText="1"/>
    </xf>
    <xf numFmtId="0" fontId="6" fillId="0"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left" vertical="top" wrapText="1"/>
    </xf>
    <xf numFmtId="0" fontId="8" fillId="3" borderId="1" xfId="0" applyFont="1" applyFill="1" applyBorder="1" applyAlignment="1">
      <alignment horizontal="justify" vertical="top" wrapText="1"/>
    </xf>
    <xf numFmtId="0" fontId="0" fillId="0" borderId="0" xfId="0" applyFill="1" applyBorder="1"/>
    <xf numFmtId="0" fontId="3" fillId="3" borderId="1" xfId="0" applyFont="1" applyFill="1" applyBorder="1" applyAlignment="1">
      <alignment horizontal="justify" vertical="top" wrapText="1"/>
    </xf>
    <xf numFmtId="0" fontId="6" fillId="0" borderId="1" xfId="0" applyFont="1" applyFill="1" applyBorder="1" applyAlignment="1">
      <alignment horizontal="center" vertical="center"/>
    </xf>
    <xf numFmtId="0" fontId="2" fillId="4" borderId="1" xfId="0" applyFont="1" applyFill="1" applyBorder="1" applyAlignment="1">
      <alignment horizontal="left" vertical="top"/>
    </xf>
    <xf numFmtId="3" fontId="1" fillId="4" borderId="1" xfId="0" applyNumberFormat="1" applyFont="1" applyFill="1" applyBorder="1" applyAlignment="1">
      <alignment horizontal="left" vertical="top" wrapText="1"/>
    </xf>
    <xf numFmtId="0" fontId="5" fillId="4" borderId="1" xfId="0" applyFont="1" applyFill="1" applyBorder="1" applyAlignment="1">
      <alignment horizontal="left" vertical="top" wrapText="1"/>
    </xf>
    <xf numFmtId="0" fontId="1" fillId="4" borderId="1" xfId="0" applyFont="1" applyFill="1" applyBorder="1" applyAlignment="1">
      <alignment vertical="top" wrapText="1"/>
    </xf>
    <xf numFmtId="0" fontId="3" fillId="4" borderId="1" xfId="0" applyFont="1" applyFill="1" applyBorder="1" applyAlignment="1">
      <alignment horizontal="justify" vertical="top" wrapText="1"/>
    </xf>
    <xf numFmtId="4" fontId="2" fillId="4" borderId="1" xfId="0" applyNumberFormat="1" applyFont="1" applyFill="1" applyBorder="1" applyAlignment="1">
      <alignment horizontal="center" vertical="center" wrapText="1"/>
    </xf>
    <xf numFmtId="0" fontId="5" fillId="4" borderId="2" xfId="0" applyFont="1" applyFill="1" applyBorder="1" applyAlignment="1">
      <alignment horizontal="left" vertical="top" wrapText="1"/>
    </xf>
    <xf numFmtId="0" fontId="1" fillId="4" borderId="2" xfId="0" applyFont="1" applyFill="1" applyBorder="1" applyAlignment="1">
      <alignment vertical="top" wrapText="1"/>
    </xf>
    <xf numFmtId="0" fontId="1" fillId="4" borderId="2" xfId="0" applyFont="1" applyFill="1" applyBorder="1" applyAlignment="1">
      <alignment horizontal="left" vertical="top" wrapText="1"/>
    </xf>
    <xf numFmtId="3" fontId="12" fillId="4" borderId="0" xfId="0" applyNumberFormat="1" applyFont="1" applyFill="1"/>
    <xf numFmtId="3" fontId="0" fillId="4" borderId="2" xfId="0" applyNumberFormat="1" applyFill="1" applyBorder="1"/>
    <xf numFmtId="0" fontId="15"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4" borderId="1" xfId="0" applyFont="1" applyFill="1" applyBorder="1" applyAlignment="1">
      <alignment vertical="top" wrapText="1"/>
    </xf>
    <xf numFmtId="0" fontId="6" fillId="3" borderId="1" xfId="0" applyFont="1" applyFill="1" applyBorder="1" applyAlignment="1">
      <alignment horizontal="justify" vertical="top" wrapText="1"/>
    </xf>
    <xf numFmtId="3" fontId="1" fillId="4" borderId="1" xfId="0" applyNumberFormat="1" applyFont="1" applyFill="1" applyBorder="1" applyAlignment="1">
      <alignment horizontal="center" vertical="top" wrapText="1"/>
    </xf>
    <xf numFmtId="0" fontId="5" fillId="4" borderId="1" xfId="0" applyFont="1" applyFill="1" applyBorder="1" applyAlignment="1">
      <alignment horizontal="center" vertical="top" wrapText="1"/>
    </xf>
    <xf numFmtId="3" fontId="3" fillId="4" borderId="1" xfId="0" applyNumberFormat="1" applyFont="1" applyFill="1" applyBorder="1" applyAlignment="1">
      <alignment horizontal="center" vertical="top" wrapText="1"/>
    </xf>
    <xf numFmtId="4" fontId="2" fillId="4" borderId="1" xfId="0" applyNumberFormat="1" applyFont="1" applyFill="1" applyBorder="1" applyAlignment="1">
      <alignment horizontal="center" vertical="top"/>
    </xf>
    <xf numFmtId="4" fontId="3" fillId="4" borderId="1" xfId="0" applyNumberFormat="1" applyFont="1" applyFill="1" applyBorder="1" applyAlignment="1">
      <alignment horizontal="center" vertical="top" wrapText="1"/>
    </xf>
    <xf numFmtId="0" fontId="0" fillId="0" borderId="0" xfId="0" applyFill="1"/>
    <xf numFmtId="0" fontId="5" fillId="0" borderId="0" xfId="0" applyFont="1" applyFill="1" applyBorder="1" applyAlignment="1">
      <alignment horizontal="left" vertical="top" wrapText="1"/>
    </xf>
    <xf numFmtId="3" fontId="7" fillId="0" borderId="1" xfId="0" applyNumberFormat="1" applyFont="1" applyFill="1" applyBorder="1" applyAlignment="1">
      <alignment horizontal="center"/>
    </xf>
    <xf numFmtId="0" fontId="7" fillId="0" borderId="1" xfId="0" quotePrefix="1" applyFont="1" applyFill="1" applyBorder="1" applyAlignment="1">
      <alignment horizontal="left" vertical="top"/>
    </xf>
    <xf numFmtId="0" fontId="6" fillId="0" borderId="1" xfId="0" applyFont="1" applyFill="1" applyBorder="1" applyAlignment="1">
      <alignment horizontal="left" vertical="top" wrapText="1"/>
    </xf>
    <xf numFmtId="0" fontId="6" fillId="0" borderId="1" xfId="0" applyFont="1" applyFill="1" applyBorder="1" applyAlignment="1">
      <alignment horizontal="left" vertical="top"/>
    </xf>
    <xf numFmtId="0" fontId="6" fillId="0" borderId="1" xfId="0" applyFont="1" applyFill="1" applyBorder="1" applyAlignment="1">
      <alignment horizontal="justify" vertical="top" wrapText="1"/>
    </xf>
    <xf numFmtId="0" fontId="7" fillId="0" borderId="1" xfId="0" applyFont="1" applyFill="1" applyBorder="1" applyAlignment="1">
      <alignment horizontal="left" vertical="top" wrapText="1"/>
    </xf>
    <xf numFmtId="0" fontId="7" fillId="0" borderId="2" xfId="0" applyFont="1" applyFill="1" applyBorder="1" applyAlignment="1">
      <alignment horizontal="left" vertical="top" wrapText="1"/>
    </xf>
    <xf numFmtId="0" fontId="6" fillId="0" borderId="2" xfId="0" applyFont="1" applyFill="1" applyBorder="1" applyAlignment="1">
      <alignment vertical="top" wrapText="1"/>
    </xf>
    <xf numFmtId="0" fontId="6" fillId="0" borderId="2" xfId="0" applyFont="1" applyFill="1" applyBorder="1" applyAlignment="1">
      <alignment horizontal="left" vertical="top" wrapText="1"/>
    </xf>
    <xf numFmtId="0" fontId="6" fillId="0" borderId="2" xfId="0" applyFont="1" applyFill="1" applyBorder="1" applyAlignment="1">
      <alignment horizontal="justify" vertical="top" wrapText="1"/>
    </xf>
    <xf numFmtId="3" fontId="6" fillId="0" borderId="1" xfId="0" applyNumberFormat="1" applyFont="1" applyFill="1" applyBorder="1" applyAlignment="1">
      <alignment horizontal="center" vertical="center" wrapText="1"/>
    </xf>
    <xf numFmtId="3" fontId="6" fillId="0" borderId="1" xfId="0" applyNumberFormat="1" applyFont="1" applyFill="1" applyBorder="1" applyAlignment="1">
      <alignment horizontal="center" vertical="center"/>
    </xf>
    <xf numFmtId="3" fontId="6" fillId="0" borderId="0" xfId="0" applyNumberFormat="1" applyFont="1" applyFill="1" applyBorder="1" applyAlignment="1">
      <alignment horizontal="left" vertical="top" wrapText="1"/>
    </xf>
    <xf numFmtId="0" fontId="7" fillId="0" borderId="0" xfId="0" applyFont="1" applyFill="1" applyBorder="1" applyAlignment="1">
      <alignment horizontal="left" vertical="top" wrapText="1"/>
    </xf>
    <xf numFmtId="3" fontId="6" fillId="0" borderId="0" xfId="0" applyNumberFormat="1" applyFont="1" applyFill="1" applyBorder="1" applyAlignment="1">
      <alignment horizontal="center" vertical="top" wrapText="1"/>
    </xf>
    <xf numFmtId="0" fontId="6" fillId="0" borderId="1" xfId="0" applyFont="1" applyFill="1" applyBorder="1"/>
    <xf numFmtId="0" fontId="6" fillId="0" borderId="0" xfId="0" applyFont="1" applyFill="1"/>
    <xf numFmtId="0" fontId="7" fillId="0" borderId="1" xfId="0" applyFont="1" applyFill="1" applyBorder="1"/>
    <xf numFmtId="0" fontId="7" fillId="0" borderId="1" xfId="0" applyFont="1" applyFill="1" applyBorder="1" applyAlignment="1">
      <alignment horizontal="left"/>
    </xf>
    <xf numFmtId="0" fontId="6" fillId="0" borderId="0" xfId="0" applyFont="1" applyFill="1" applyBorder="1"/>
    <xf numFmtId="3" fontId="6" fillId="0" borderId="2" xfId="0" applyNumberFormat="1" applyFont="1" applyFill="1" applyBorder="1" applyAlignment="1">
      <alignment horizontal="center" vertical="center" wrapText="1"/>
    </xf>
    <xf numFmtId="3" fontId="6" fillId="0" borderId="0" xfId="0" applyNumberFormat="1" applyFont="1" applyFill="1" applyAlignment="1">
      <alignment horizontal="center" vertical="center"/>
    </xf>
    <xf numFmtId="0" fontId="6" fillId="0" borderId="2" xfId="0" applyFont="1" applyFill="1" applyBorder="1" applyAlignment="1">
      <alignment horizontal="center" vertical="center"/>
    </xf>
    <xf numFmtId="3" fontId="6" fillId="0" borderId="2" xfId="0" applyNumberFormat="1" applyFont="1" applyFill="1" applyBorder="1" applyAlignment="1">
      <alignment horizontal="center" vertical="center"/>
    </xf>
    <xf numFmtId="0" fontId="6" fillId="0" borderId="1" xfId="0" applyFont="1" applyFill="1" applyBorder="1" applyAlignment="1">
      <alignment vertical="center"/>
    </xf>
    <xf numFmtId="3" fontId="6" fillId="0" borderId="1" xfId="0" applyNumberFormat="1" applyFont="1" applyFill="1" applyBorder="1" applyAlignment="1">
      <alignment vertical="center"/>
    </xf>
    <xf numFmtId="3" fontId="19" fillId="0" borderId="1" xfId="0" applyNumberFormat="1" applyFont="1" applyFill="1" applyBorder="1" applyAlignment="1">
      <alignment horizontal="center" vertical="center" wrapText="1"/>
    </xf>
    <xf numFmtId="0" fontId="19" fillId="0" borderId="1" xfId="0" applyFont="1" applyFill="1" applyBorder="1" applyAlignment="1">
      <alignment horizontal="center" vertical="center" wrapText="1"/>
    </xf>
    <xf numFmtId="0" fontId="19" fillId="0" borderId="1" xfId="0" applyFont="1" applyFill="1" applyBorder="1" applyAlignment="1">
      <alignment horizontal="center" vertical="center"/>
    </xf>
    <xf numFmtId="0" fontId="19" fillId="0" borderId="2" xfId="0" applyFont="1" applyFill="1" applyBorder="1" applyAlignment="1">
      <alignment horizontal="center" vertical="center"/>
    </xf>
    <xf numFmtId="3" fontId="19" fillId="0" borderId="2" xfId="0" applyNumberFormat="1" applyFont="1" applyFill="1" applyBorder="1" applyAlignment="1">
      <alignment horizontal="center" vertical="center"/>
    </xf>
    <xf numFmtId="0" fontId="7"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6" fillId="3" borderId="1" xfId="0" applyFont="1" applyFill="1" applyBorder="1" applyAlignment="1">
      <alignment horizontal="left" vertical="top"/>
    </xf>
    <xf numFmtId="0" fontId="19" fillId="3" borderId="1" xfId="0" applyFont="1" applyFill="1" applyBorder="1" applyAlignment="1">
      <alignment horizontal="center" vertical="center" wrapText="1"/>
    </xf>
    <xf numFmtId="3" fontId="6" fillId="3" borderId="1" xfId="0" applyNumberFormat="1" applyFont="1" applyFill="1" applyBorder="1" applyAlignment="1">
      <alignment horizontal="center" vertical="center" wrapText="1"/>
    </xf>
    <xf numFmtId="3" fontId="19" fillId="3" borderId="1" xfId="0" applyNumberFormat="1" applyFont="1" applyFill="1" applyBorder="1" applyAlignment="1">
      <alignment horizontal="center" vertical="center" wrapText="1"/>
    </xf>
    <xf numFmtId="0" fontId="7" fillId="3" borderId="2" xfId="0" applyFont="1" applyFill="1" applyBorder="1" applyAlignment="1">
      <alignment horizontal="left" vertical="top" wrapText="1"/>
    </xf>
    <xf numFmtId="0" fontId="6" fillId="3" borderId="2" xfId="0" applyFont="1" applyFill="1" applyBorder="1" applyAlignment="1">
      <alignment vertical="top" wrapText="1"/>
    </xf>
    <xf numFmtId="0" fontId="6" fillId="3" borderId="2" xfId="0" applyFont="1" applyFill="1" applyBorder="1" applyAlignment="1">
      <alignment horizontal="left" vertical="top" wrapText="1"/>
    </xf>
    <xf numFmtId="3" fontId="19" fillId="3" borderId="2" xfId="0" applyNumberFormat="1" applyFont="1" applyFill="1" applyBorder="1" applyAlignment="1">
      <alignment horizontal="center" vertical="center" wrapText="1"/>
    </xf>
    <xf numFmtId="0" fontId="6" fillId="3" borderId="2" xfId="0" applyFont="1" applyFill="1" applyBorder="1" applyAlignment="1">
      <alignment horizontal="justify" vertical="top" wrapText="1"/>
    </xf>
    <xf numFmtId="3" fontId="6" fillId="3" borderId="0" xfId="0" applyNumberFormat="1" applyFont="1" applyFill="1" applyAlignment="1">
      <alignment horizontal="center" vertical="center"/>
    </xf>
    <xf numFmtId="0" fontId="19" fillId="3" borderId="2" xfId="0" applyFont="1" applyFill="1" applyBorder="1" applyAlignment="1">
      <alignment horizontal="center" vertical="center"/>
    </xf>
    <xf numFmtId="3" fontId="6" fillId="3" borderId="1" xfId="0" applyNumberFormat="1" applyFont="1" applyFill="1" applyBorder="1" applyAlignment="1">
      <alignment horizontal="center" vertical="center"/>
    </xf>
    <xf numFmtId="3" fontId="19" fillId="3" borderId="2" xfId="0" applyNumberFormat="1" applyFont="1" applyFill="1" applyBorder="1" applyAlignment="1">
      <alignment horizontal="center" vertical="center"/>
    </xf>
    <xf numFmtId="3" fontId="6" fillId="0" borderId="0" xfId="0" applyNumberFormat="1" applyFont="1" applyFill="1" applyBorder="1"/>
    <xf numFmtId="3" fontId="19" fillId="0" borderId="1" xfId="0" applyNumberFormat="1" applyFont="1" applyFill="1" applyBorder="1" applyAlignment="1">
      <alignment vertical="center"/>
    </xf>
    <xf numFmtId="3" fontId="0" fillId="0" borderId="0" xfId="0" applyNumberFormat="1" applyBorder="1"/>
    <xf numFmtId="4" fontId="6" fillId="0" borderId="1" xfId="0" applyNumberFormat="1" applyFont="1" applyFill="1" applyBorder="1" applyAlignment="1">
      <alignment horizontal="center" vertical="center" wrapText="1"/>
    </xf>
    <xf numFmtId="0" fontId="6" fillId="3" borderId="1" xfId="0" applyFont="1" applyFill="1" applyBorder="1" applyAlignment="1">
      <alignment vertical="top" wrapText="1"/>
    </xf>
    <xf numFmtId="4" fontId="6" fillId="3" borderId="1" xfId="0" applyNumberFormat="1" applyFont="1" applyFill="1" applyBorder="1" applyAlignment="1">
      <alignment horizontal="center" vertical="center" wrapText="1"/>
    </xf>
    <xf numFmtId="3" fontId="7" fillId="3" borderId="1" xfId="0" applyNumberFormat="1" applyFont="1" applyFill="1" applyBorder="1" applyAlignment="1">
      <alignment horizontal="left" vertical="top" wrapText="1"/>
    </xf>
    <xf numFmtId="3" fontId="6" fillId="3" borderId="1" xfId="0" applyNumberFormat="1" applyFont="1" applyFill="1" applyBorder="1" applyAlignment="1">
      <alignment horizontal="left" vertical="top" wrapText="1"/>
    </xf>
    <xf numFmtId="3" fontId="19" fillId="0" borderId="1" xfId="0" applyNumberFormat="1" applyFont="1" applyFill="1" applyBorder="1" applyAlignment="1">
      <alignment horizontal="center" vertical="center"/>
    </xf>
    <xf numFmtId="3" fontId="19" fillId="3" borderId="1" xfId="0" applyNumberFormat="1" applyFont="1" applyFill="1" applyBorder="1" applyAlignment="1">
      <alignment horizontal="center" vertical="center"/>
    </xf>
    <xf numFmtId="4" fontId="6" fillId="3" borderId="0" xfId="0" applyNumberFormat="1" applyFont="1" applyFill="1" applyAlignment="1">
      <alignment horizontal="center" vertical="center" wrapText="1"/>
    </xf>
    <xf numFmtId="0" fontId="6" fillId="3" borderId="1" xfId="0" applyFont="1" applyFill="1" applyBorder="1" applyAlignment="1">
      <alignment horizontal="left" vertical="center" wrapText="1"/>
    </xf>
    <xf numFmtId="0" fontId="19" fillId="3" borderId="1" xfId="0" applyFont="1" applyFill="1" applyBorder="1" applyAlignment="1">
      <alignment horizontal="left" vertical="center" wrapText="1"/>
    </xf>
    <xf numFmtId="0" fontId="6" fillId="0" borderId="3" xfId="0" applyFont="1" applyFill="1" applyBorder="1" applyAlignment="1">
      <alignment horizontal="left" vertical="top" wrapText="1"/>
    </xf>
    <xf numFmtId="0" fontId="6" fillId="0" borderId="3" xfId="0" applyFont="1" applyFill="1" applyBorder="1" applyAlignment="1">
      <alignment horizontal="left" vertical="center" wrapText="1"/>
    </xf>
    <xf numFmtId="0" fontId="8" fillId="0" borderId="1" xfId="0" applyFont="1" applyFill="1" applyBorder="1" applyAlignment="1">
      <alignment horizontal="left" vertical="top" wrapText="1"/>
    </xf>
    <xf numFmtId="0" fontId="7" fillId="0" borderId="1" xfId="0" applyFont="1" applyFill="1" applyBorder="1" applyAlignment="1">
      <alignment horizontal="center" vertical="center" wrapText="1"/>
    </xf>
    <xf numFmtId="0" fontId="16" fillId="0" borderId="1" xfId="0" applyFont="1" applyFill="1" applyBorder="1" applyAlignment="1">
      <alignment horizontal="center"/>
    </xf>
    <xf numFmtId="0" fontId="7" fillId="0"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O145"/>
  <sheetViews>
    <sheetView tabSelected="1" view="pageBreakPreview" topLeftCell="A43" zoomScale="85" zoomScaleNormal="80" zoomScaleSheetLayoutView="85" workbookViewId="0">
      <selection activeCell="G45" sqref="G45"/>
    </sheetView>
  </sheetViews>
  <sheetFormatPr defaultRowHeight="15"/>
  <cols>
    <col min="1" max="1" width="5.5703125" style="1" customWidth="1"/>
    <col min="2" max="2" width="30.140625" style="1" customWidth="1"/>
    <col min="3" max="3" width="37.7109375" style="1" customWidth="1"/>
    <col min="4" max="4" width="21.5703125" style="1" customWidth="1"/>
    <col min="5" max="5" width="18.28515625" style="1" customWidth="1"/>
    <col min="6" max="6" width="12.28515625" style="1" customWidth="1"/>
    <col min="7" max="7" width="17.42578125" style="1" customWidth="1"/>
    <col min="8" max="8" width="21.28515625" style="1" customWidth="1"/>
    <col min="9" max="9" width="72.140625" style="1" customWidth="1"/>
    <col min="10" max="10" width="21.140625" style="1" customWidth="1"/>
    <col min="11" max="11" width="9.140625" style="1"/>
    <col min="12" max="12" width="12.85546875" style="1" customWidth="1"/>
    <col min="13" max="13" width="36.28515625" style="1" customWidth="1"/>
    <col min="14" max="14" width="28.5703125" style="1" customWidth="1"/>
    <col min="15" max="15" width="19.85546875" style="1" customWidth="1"/>
    <col min="16" max="16384" width="9.140625" style="1"/>
  </cols>
  <sheetData>
    <row r="1" spans="1:15" ht="28.5" customHeight="1">
      <c r="A1" s="107" t="s">
        <v>407</v>
      </c>
      <c r="B1" s="107"/>
      <c r="C1" s="107"/>
      <c r="D1" s="107"/>
      <c r="E1" s="107"/>
      <c r="F1" s="107"/>
      <c r="G1" s="107"/>
      <c r="H1" s="107"/>
      <c r="I1" s="107"/>
    </row>
    <row r="2" spans="1:15" ht="81" customHeight="1">
      <c r="A2" s="108" t="s">
        <v>0</v>
      </c>
      <c r="B2" s="106" t="s">
        <v>81</v>
      </c>
      <c r="C2" s="106" t="s">
        <v>4</v>
      </c>
      <c r="D2" s="106" t="s">
        <v>2</v>
      </c>
      <c r="E2" s="106" t="s">
        <v>3</v>
      </c>
      <c r="F2" s="106" t="s">
        <v>36</v>
      </c>
      <c r="G2" s="106" t="s">
        <v>6</v>
      </c>
      <c r="H2" s="106" t="s">
        <v>35</v>
      </c>
      <c r="I2" s="106" t="s">
        <v>1</v>
      </c>
    </row>
    <row r="3" spans="1:15" ht="15" customHeight="1">
      <c r="A3" s="108"/>
      <c r="B3" s="106"/>
      <c r="C3" s="106"/>
      <c r="D3" s="106"/>
      <c r="E3" s="106"/>
      <c r="F3" s="106"/>
      <c r="G3" s="106"/>
      <c r="H3" s="106"/>
      <c r="I3" s="106"/>
    </row>
    <row r="4" spans="1:15" ht="15.75">
      <c r="A4" s="21">
        <v>1</v>
      </c>
      <c r="B4" s="21">
        <v>2</v>
      </c>
      <c r="C4" s="21">
        <v>3</v>
      </c>
      <c r="D4" s="21">
        <v>4</v>
      </c>
      <c r="E4" s="21">
        <v>5</v>
      </c>
      <c r="F4" s="21">
        <v>6</v>
      </c>
      <c r="G4" s="21"/>
      <c r="H4" s="21">
        <v>11</v>
      </c>
      <c r="I4" s="21">
        <v>17</v>
      </c>
    </row>
    <row r="5" spans="1:15" s="2" customFormat="1" ht="369" customHeight="1">
      <c r="A5" s="45" t="s">
        <v>231</v>
      </c>
      <c r="B5" s="49" t="s">
        <v>330</v>
      </c>
      <c r="C5" s="46" t="s">
        <v>144</v>
      </c>
      <c r="D5" s="46" t="s">
        <v>8</v>
      </c>
      <c r="E5" s="46" t="s">
        <v>9</v>
      </c>
      <c r="F5" s="47" t="s">
        <v>5</v>
      </c>
      <c r="G5" s="12">
        <v>37158</v>
      </c>
      <c r="H5" s="70">
        <v>23632488</v>
      </c>
      <c r="I5" s="48" t="s">
        <v>408</v>
      </c>
      <c r="J5" s="42"/>
      <c r="K5" s="42"/>
      <c r="L5" s="42"/>
      <c r="M5" s="70"/>
    </row>
    <row r="6" spans="1:15" ht="213" customHeight="1">
      <c r="A6" s="45" t="s">
        <v>232</v>
      </c>
      <c r="B6" s="49" t="s">
        <v>94</v>
      </c>
      <c r="C6" s="46" t="s">
        <v>148</v>
      </c>
      <c r="D6" s="46" t="s">
        <v>17</v>
      </c>
      <c r="E6" s="46" t="s">
        <v>16</v>
      </c>
      <c r="F6" s="47" t="s">
        <v>5</v>
      </c>
      <c r="G6" s="12">
        <v>11514</v>
      </c>
      <c r="H6" s="71">
        <v>26069313</v>
      </c>
      <c r="I6" s="48" t="s">
        <v>357</v>
      </c>
      <c r="M6" s="71"/>
    </row>
    <row r="7" spans="1:15" ht="222" customHeight="1">
      <c r="A7" s="45" t="s">
        <v>233</v>
      </c>
      <c r="B7" s="49" t="s">
        <v>79</v>
      </c>
      <c r="C7" s="46" t="s">
        <v>340</v>
      </c>
      <c r="D7" s="46" t="s">
        <v>33</v>
      </c>
      <c r="E7" s="46" t="s">
        <v>34</v>
      </c>
      <c r="F7" s="46" t="s">
        <v>5</v>
      </c>
      <c r="G7" s="12">
        <v>53076</v>
      </c>
      <c r="H7" s="70">
        <v>32176794.239999998</v>
      </c>
      <c r="I7" s="48" t="s">
        <v>375</v>
      </c>
      <c r="M7" s="70"/>
      <c r="O7" s="4"/>
    </row>
    <row r="8" spans="1:15" ht="144.75" customHeight="1">
      <c r="A8" s="45" t="s">
        <v>234</v>
      </c>
      <c r="B8" s="46" t="s">
        <v>328</v>
      </c>
      <c r="C8" s="46" t="s">
        <v>157</v>
      </c>
      <c r="D8" s="46" t="s">
        <v>44</v>
      </c>
      <c r="E8" s="46" t="s">
        <v>45</v>
      </c>
      <c r="F8" s="46" t="s">
        <v>5</v>
      </c>
      <c r="G8" s="54">
        <v>38527.692840000003</v>
      </c>
      <c r="H8" s="70">
        <v>17035872</v>
      </c>
      <c r="I8" s="48" t="s">
        <v>374</v>
      </c>
      <c r="M8" s="70"/>
    </row>
    <row r="9" spans="1:15" ht="165.75" customHeight="1">
      <c r="A9" s="45" t="s">
        <v>235</v>
      </c>
      <c r="B9" s="49" t="s">
        <v>77</v>
      </c>
      <c r="C9" s="46" t="s">
        <v>159</v>
      </c>
      <c r="D9" s="46" t="s">
        <v>53</v>
      </c>
      <c r="E9" s="46" t="s">
        <v>52</v>
      </c>
      <c r="F9" s="46" t="s">
        <v>151</v>
      </c>
      <c r="G9" s="54">
        <v>2735</v>
      </c>
      <c r="H9" s="70">
        <v>2888160</v>
      </c>
      <c r="I9" s="48" t="s">
        <v>402</v>
      </c>
      <c r="M9" s="54">
        <v>2888160</v>
      </c>
    </row>
    <row r="10" spans="1:15" ht="236.25" customHeight="1">
      <c r="A10" s="45">
        <v>6</v>
      </c>
      <c r="B10" s="49" t="s">
        <v>72</v>
      </c>
      <c r="C10" s="46" t="s">
        <v>164</v>
      </c>
      <c r="D10" s="46" t="s">
        <v>62</v>
      </c>
      <c r="E10" s="46" t="s">
        <v>61</v>
      </c>
      <c r="F10" s="46" t="s">
        <v>5</v>
      </c>
      <c r="G10" s="54">
        <v>88432</v>
      </c>
      <c r="H10" s="70">
        <v>76320348</v>
      </c>
      <c r="I10" s="48" t="s">
        <v>403</v>
      </c>
      <c r="M10" s="54"/>
    </row>
    <row r="11" spans="1:15" ht="128.25" customHeight="1">
      <c r="A11" s="45">
        <v>7</v>
      </c>
      <c r="B11" s="49" t="s">
        <v>71</v>
      </c>
      <c r="C11" s="46" t="s">
        <v>165</v>
      </c>
      <c r="D11" s="46" t="s">
        <v>64</v>
      </c>
      <c r="E11" s="46" t="s">
        <v>63</v>
      </c>
      <c r="F11" s="46" t="s">
        <v>151</v>
      </c>
      <c r="G11" s="54">
        <v>6691.43</v>
      </c>
      <c r="H11" s="70">
        <v>2194272</v>
      </c>
      <c r="I11" s="48" t="s">
        <v>359</v>
      </c>
      <c r="M11" s="54"/>
    </row>
    <row r="12" spans="1:15" ht="110.25">
      <c r="A12" s="45">
        <v>8</v>
      </c>
      <c r="B12" s="49" t="s">
        <v>85</v>
      </c>
      <c r="C12" s="46" t="s">
        <v>86</v>
      </c>
      <c r="D12" s="46" t="s">
        <v>87</v>
      </c>
      <c r="E12" s="46" t="s">
        <v>88</v>
      </c>
      <c r="F12" s="46" t="s">
        <v>5</v>
      </c>
      <c r="G12" s="54">
        <v>16938.599999999999</v>
      </c>
      <c r="H12" s="70">
        <v>2292000</v>
      </c>
      <c r="I12" s="48" t="s">
        <v>360</v>
      </c>
      <c r="M12" s="54"/>
    </row>
    <row r="13" spans="1:15" ht="149.25" customHeight="1">
      <c r="A13" s="45">
        <v>9</v>
      </c>
      <c r="B13" s="49" t="s">
        <v>89</v>
      </c>
      <c r="C13" s="46" t="s">
        <v>82</v>
      </c>
      <c r="D13" s="46" t="s">
        <v>84</v>
      </c>
      <c r="E13" s="46" t="s">
        <v>83</v>
      </c>
      <c r="F13" s="46" t="s">
        <v>5</v>
      </c>
      <c r="G13" s="12">
        <v>6510</v>
      </c>
      <c r="H13" s="71">
        <v>2051364</v>
      </c>
      <c r="I13" s="48" t="s">
        <v>381</v>
      </c>
      <c r="M13" s="54"/>
    </row>
    <row r="14" spans="1:15" ht="180.75" customHeight="1">
      <c r="A14" s="45">
        <v>10</v>
      </c>
      <c r="B14" s="49" t="s">
        <v>95</v>
      </c>
      <c r="C14" s="46" t="s">
        <v>96</v>
      </c>
      <c r="D14" s="46" t="s">
        <v>98</v>
      </c>
      <c r="E14" s="46" t="s">
        <v>97</v>
      </c>
      <c r="F14" s="46" t="s">
        <v>5</v>
      </c>
      <c r="G14" s="12">
        <v>4454</v>
      </c>
      <c r="H14" s="70">
        <v>1987596</v>
      </c>
      <c r="I14" s="48" t="s">
        <v>404</v>
      </c>
      <c r="M14" s="54"/>
    </row>
    <row r="15" spans="1:15" ht="157.5">
      <c r="A15" s="45">
        <v>11</v>
      </c>
      <c r="B15" s="49" t="s">
        <v>107</v>
      </c>
      <c r="C15" s="46" t="s">
        <v>108</v>
      </c>
      <c r="D15" s="46" t="s">
        <v>110</v>
      </c>
      <c r="E15" s="46" t="s">
        <v>109</v>
      </c>
      <c r="F15" s="46" t="s">
        <v>5</v>
      </c>
      <c r="G15" s="12">
        <v>24472.28</v>
      </c>
      <c r="H15" s="70">
        <v>47280445</v>
      </c>
      <c r="I15" s="48" t="s">
        <v>409</v>
      </c>
      <c r="M15" s="54"/>
    </row>
    <row r="16" spans="1:15" ht="144" customHeight="1">
      <c r="A16" s="45">
        <v>12</v>
      </c>
      <c r="B16" s="49" t="s">
        <v>111</v>
      </c>
      <c r="C16" s="46" t="s">
        <v>167</v>
      </c>
      <c r="D16" s="46"/>
      <c r="E16" s="46" t="s">
        <v>112</v>
      </c>
      <c r="F16" s="46" t="s">
        <v>5</v>
      </c>
      <c r="G16" s="12" t="s">
        <v>113</v>
      </c>
      <c r="H16" s="70">
        <v>11571801</v>
      </c>
      <c r="I16" s="48" t="s">
        <v>361</v>
      </c>
      <c r="M16" s="54"/>
    </row>
    <row r="17" spans="1:13" ht="126">
      <c r="A17" s="45">
        <v>13</v>
      </c>
      <c r="B17" s="49" t="s">
        <v>114</v>
      </c>
      <c r="C17" s="46" t="s">
        <v>115</v>
      </c>
      <c r="D17" s="46" t="s">
        <v>117</v>
      </c>
      <c r="E17" s="46" t="s">
        <v>116</v>
      </c>
      <c r="F17" s="46" t="s">
        <v>5</v>
      </c>
      <c r="G17" s="12">
        <v>17370.150000000001</v>
      </c>
      <c r="H17" s="70">
        <v>3385092</v>
      </c>
      <c r="I17" s="48" t="s">
        <v>362</v>
      </c>
      <c r="M17" s="54"/>
    </row>
    <row r="18" spans="1:13" ht="141.75">
      <c r="A18" s="45">
        <v>14</v>
      </c>
      <c r="B18" s="49" t="s">
        <v>103</v>
      </c>
      <c r="C18" s="46" t="s">
        <v>169</v>
      </c>
      <c r="D18" s="46" t="s">
        <v>128</v>
      </c>
      <c r="E18" s="46" t="s">
        <v>121</v>
      </c>
      <c r="F18" s="46" t="s">
        <v>5</v>
      </c>
      <c r="G18" s="12">
        <v>16155</v>
      </c>
      <c r="H18" s="70">
        <v>12019320</v>
      </c>
      <c r="I18" s="48" t="s">
        <v>405</v>
      </c>
      <c r="M18" s="54"/>
    </row>
    <row r="19" spans="1:13" ht="126">
      <c r="A19" s="45">
        <v>15</v>
      </c>
      <c r="B19" s="49" t="s">
        <v>123</v>
      </c>
      <c r="C19" s="46" t="s">
        <v>170</v>
      </c>
      <c r="D19" s="46" t="s">
        <v>125</v>
      </c>
      <c r="E19" s="46" t="s">
        <v>126</v>
      </c>
      <c r="F19" s="46" t="s">
        <v>5</v>
      </c>
      <c r="G19" s="12">
        <v>8069.34</v>
      </c>
      <c r="H19" s="70">
        <v>3420000</v>
      </c>
      <c r="I19" s="48" t="s">
        <v>363</v>
      </c>
      <c r="M19" s="54"/>
    </row>
    <row r="20" spans="1:13" ht="131.25" customHeight="1">
      <c r="A20" s="45">
        <v>16</v>
      </c>
      <c r="B20" s="49" t="s">
        <v>124</v>
      </c>
      <c r="C20" s="46" t="s">
        <v>132</v>
      </c>
      <c r="D20" s="46" t="s">
        <v>125</v>
      </c>
      <c r="E20" s="46" t="s">
        <v>126</v>
      </c>
      <c r="F20" s="46" t="s">
        <v>5</v>
      </c>
      <c r="G20" s="12">
        <v>8675.7839999999997</v>
      </c>
      <c r="H20" s="70">
        <v>6296472</v>
      </c>
      <c r="I20" s="48" t="s">
        <v>410</v>
      </c>
      <c r="M20" s="54"/>
    </row>
    <row r="21" spans="1:13" ht="126">
      <c r="A21" s="45">
        <v>17</v>
      </c>
      <c r="B21" s="49" t="s">
        <v>138</v>
      </c>
      <c r="C21" s="46" t="s">
        <v>171</v>
      </c>
      <c r="D21" s="46" t="s">
        <v>140</v>
      </c>
      <c r="E21" s="46" t="s">
        <v>139</v>
      </c>
      <c r="F21" s="46" t="s">
        <v>5</v>
      </c>
      <c r="G21" s="12">
        <v>7000</v>
      </c>
      <c r="H21" s="70">
        <v>8236200</v>
      </c>
      <c r="I21" s="48" t="s">
        <v>387</v>
      </c>
      <c r="M21" s="54"/>
    </row>
    <row r="22" spans="1:13" ht="157.5" customHeight="1">
      <c r="A22" s="45">
        <v>18</v>
      </c>
      <c r="B22" s="49" t="s">
        <v>141</v>
      </c>
      <c r="C22" s="46" t="s">
        <v>142</v>
      </c>
      <c r="D22" s="46" t="s">
        <v>137</v>
      </c>
      <c r="E22" s="46" t="s">
        <v>143</v>
      </c>
      <c r="F22" s="46" t="s">
        <v>5</v>
      </c>
      <c r="G22" s="12">
        <v>24071</v>
      </c>
      <c r="H22" s="70">
        <v>19318421</v>
      </c>
      <c r="I22" s="48" t="s">
        <v>411</v>
      </c>
      <c r="M22" s="54"/>
    </row>
    <row r="23" spans="1:13" ht="110.25">
      <c r="A23" s="45">
        <v>19</v>
      </c>
      <c r="B23" s="49" t="s">
        <v>188</v>
      </c>
      <c r="C23" s="13" t="s">
        <v>248</v>
      </c>
      <c r="D23" s="46" t="s">
        <v>190</v>
      </c>
      <c r="E23" s="14" t="s">
        <v>189</v>
      </c>
      <c r="F23" s="46" t="s">
        <v>5</v>
      </c>
      <c r="G23" s="21">
        <v>10400</v>
      </c>
      <c r="H23" s="70">
        <v>3240000</v>
      </c>
      <c r="I23" s="48" t="s">
        <v>412</v>
      </c>
      <c r="M23" s="54"/>
    </row>
    <row r="24" spans="1:13" ht="126">
      <c r="A24" s="45">
        <v>20</v>
      </c>
      <c r="B24" s="49" t="s">
        <v>194</v>
      </c>
      <c r="C24" s="13" t="s">
        <v>195</v>
      </c>
      <c r="D24" s="46" t="s">
        <v>196</v>
      </c>
      <c r="E24" s="46" t="s">
        <v>197</v>
      </c>
      <c r="F24" s="46" t="s">
        <v>5</v>
      </c>
      <c r="G24" s="21">
        <v>88173.49</v>
      </c>
      <c r="H24" s="70">
        <v>106941924</v>
      </c>
      <c r="I24" s="48" t="s">
        <v>364</v>
      </c>
      <c r="M24" s="54"/>
    </row>
    <row r="25" spans="1:13" ht="141.75">
      <c r="A25" s="45">
        <v>21</v>
      </c>
      <c r="B25" s="49" t="s">
        <v>213</v>
      </c>
      <c r="C25" s="13" t="s">
        <v>212</v>
      </c>
      <c r="D25" s="46" t="s">
        <v>217</v>
      </c>
      <c r="E25" s="46" t="s">
        <v>218</v>
      </c>
      <c r="F25" s="46" t="s">
        <v>5</v>
      </c>
      <c r="G25" s="93">
        <v>6019</v>
      </c>
      <c r="H25" s="70">
        <v>14566468</v>
      </c>
      <c r="I25" s="48" t="s">
        <v>372</v>
      </c>
      <c r="M25" s="64"/>
    </row>
    <row r="26" spans="1:13" ht="126">
      <c r="A26" s="45">
        <v>22</v>
      </c>
      <c r="B26" s="49" t="s">
        <v>223</v>
      </c>
      <c r="C26" s="13" t="s">
        <v>224</v>
      </c>
      <c r="D26" s="46" t="s">
        <v>226</v>
      </c>
      <c r="E26" s="46" t="s">
        <v>225</v>
      </c>
      <c r="F26" s="46" t="s">
        <v>151</v>
      </c>
      <c r="G26" s="93">
        <v>30921</v>
      </c>
      <c r="H26" s="70">
        <v>54162000</v>
      </c>
      <c r="I26" s="48" t="s">
        <v>401</v>
      </c>
      <c r="M26" s="66"/>
    </row>
    <row r="27" spans="1:13" ht="121.5" customHeight="1">
      <c r="A27" s="45">
        <v>23</v>
      </c>
      <c r="B27" s="49" t="s">
        <v>242</v>
      </c>
      <c r="C27" s="51" t="s">
        <v>326</v>
      </c>
      <c r="D27" s="52" t="s">
        <v>247</v>
      </c>
      <c r="E27" s="52" t="s">
        <v>325</v>
      </c>
      <c r="F27" s="52" t="s">
        <v>5</v>
      </c>
      <c r="G27" s="21">
        <v>17832</v>
      </c>
      <c r="H27" s="72">
        <v>4465848</v>
      </c>
      <c r="I27" s="53" t="s">
        <v>365</v>
      </c>
      <c r="M27" s="55"/>
    </row>
    <row r="28" spans="1:13" ht="128.25" customHeight="1">
      <c r="A28" s="45">
        <v>24</v>
      </c>
      <c r="B28" s="50" t="s">
        <v>252</v>
      </c>
      <c r="C28" s="51" t="s">
        <v>346</v>
      </c>
      <c r="D28" s="46" t="s">
        <v>64</v>
      </c>
      <c r="E28" s="46" t="s">
        <v>63</v>
      </c>
      <c r="F28" s="46" t="s">
        <v>151</v>
      </c>
      <c r="G28" s="65">
        <v>4498</v>
      </c>
      <c r="H28" s="73">
        <v>1889160</v>
      </c>
      <c r="I28" s="53" t="s">
        <v>366</v>
      </c>
      <c r="M28" s="67"/>
    </row>
    <row r="29" spans="1:13" ht="110.25">
      <c r="A29" s="45">
        <v>25</v>
      </c>
      <c r="B29" s="50" t="s">
        <v>276</v>
      </c>
      <c r="C29" s="51" t="s">
        <v>282</v>
      </c>
      <c r="D29" s="46" t="s">
        <v>274</v>
      </c>
      <c r="E29" s="46" t="s">
        <v>275</v>
      </c>
      <c r="F29" s="52" t="s">
        <v>5</v>
      </c>
      <c r="G29" s="55">
        <v>11713.85</v>
      </c>
      <c r="H29" s="74">
        <v>2571840</v>
      </c>
      <c r="I29" s="48" t="s">
        <v>373</v>
      </c>
      <c r="M29" s="67"/>
    </row>
    <row r="30" spans="1:13" ht="94.5">
      <c r="A30" s="45">
        <v>26</v>
      </c>
      <c r="B30" s="50" t="s">
        <v>277</v>
      </c>
      <c r="C30" s="51" t="s">
        <v>278</v>
      </c>
      <c r="D30" s="46" t="s">
        <v>280</v>
      </c>
      <c r="E30" s="46" t="s">
        <v>279</v>
      </c>
      <c r="F30" s="52" t="s">
        <v>5</v>
      </c>
      <c r="G30" s="55">
        <v>7044</v>
      </c>
      <c r="H30" s="74">
        <v>3002856</v>
      </c>
      <c r="I30" s="53" t="s">
        <v>388</v>
      </c>
      <c r="M30" s="68"/>
    </row>
    <row r="31" spans="1:13" ht="157.5">
      <c r="A31" s="45">
        <v>27</v>
      </c>
      <c r="B31" s="50" t="s">
        <v>281</v>
      </c>
      <c r="C31" s="51" t="s">
        <v>283</v>
      </c>
      <c r="D31" s="46" t="s">
        <v>284</v>
      </c>
      <c r="E31" s="46" t="s">
        <v>285</v>
      </c>
      <c r="F31" s="52" t="s">
        <v>5</v>
      </c>
      <c r="G31" s="55"/>
      <c r="H31" s="74">
        <v>1380652</v>
      </c>
      <c r="I31" s="48" t="s">
        <v>413</v>
      </c>
      <c r="M31" s="54"/>
    </row>
    <row r="32" spans="1:13" ht="94.5">
      <c r="A32" s="45">
        <v>28</v>
      </c>
      <c r="B32" s="50" t="s">
        <v>293</v>
      </c>
      <c r="C32" s="51" t="s">
        <v>294</v>
      </c>
      <c r="D32" s="46" t="s">
        <v>240</v>
      </c>
      <c r="E32" s="46" t="s">
        <v>295</v>
      </c>
      <c r="F32" s="46" t="s">
        <v>151</v>
      </c>
      <c r="G32" s="55">
        <v>5980</v>
      </c>
      <c r="H32" s="74">
        <v>5382000</v>
      </c>
      <c r="I32" s="48" t="s">
        <v>367</v>
      </c>
      <c r="M32" s="68"/>
    </row>
    <row r="33" spans="1:13" ht="94.5">
      <c r="A33" s="45">
        <v>29</v>
      </c>
      <c r="B33" s="49" t="s">
        <v>297</v>
      </c>
      <c r="C33" s="13" t="s">
        <v>300</v>
      </c>
      <c r="D33" s="59" t="s">
        <v>298</v>
      </c>
      <c r="E33" s="46" t="s">
        <v>299</v>
      </c>
      <c r="F33" s="46" t="s">
        <v>5</v>
      </c>
      <c r="G33" s="55">
        <v>6290</v>
      </c>
      <c r="H33" s="72">
        <v>2401884</v>
      </c>
      <c r="I33" s="48" t="s">
        <v>391</v>
      </c>
      <c r="M33" s="14"/>
    </row>
    <row r="34" spans="1:13" ht="126">
      <c r="A34" s="45">
        <v>30</v>
      </c>
      <c r="B34" s="50" t="s">
        <v>301</v>
      </c>
      <c r="C34" s="51" t="s">
        <v>315</v>
      </c>
      <c r="D34" s="59"/>
      <c r="E34" s="46" t="s">
        <v>302</v>
      </c>
      <c r="F34" s="52" t="s">
        <v>5</v>
      </c>
      <c r="G34" s="21">
        <v>40089</v>
      </c>
      <c r="H34" s="70">
        <v>169359984</v>
      </c>
      <c r="I34" s="48" t="s">
        <v>368</v>
      </c>
      <c r="M34" s="69"/>
    </row>
    <row r="35" spans="1:13" ht="185.25" customHeight="1">
      <c r="A35" s="45">
        <v>31</v>
      </c>
      <c r="B35" s="50" t="s">
        <v>305</v>
      </c>
      <c r="C35" s="51" t="s">
        <v>309</v>
      </c>
      <c r="D35" s="59"/>
      <c r="E35" s="46" t="s">
        <v>310</v>
      </c>
      <c r="F35" s="52" t="s">
        <v>5</v>
      </c>
      <c r="G35" s="21"/>
      <c r="H35" s="70">
        <v>43240695</v>
      </c>
      <c r="I35" s="48" t="s">
        <v>414</v>
      </c>
      <c r="M35" s="69"/>
    </row>
    <row r="36" spans="1:13" ht="173.25">
      <c r="A36" s="45">
        <v>32</v>
      </c>
      <c r="B36" s="50" t="s">
        <v>304</v>
      </c>
      <c r="C36" s="51" t="s">
        <v>308</v>
      </c>
      <c r="D36" s="46" t="s">
        <v>306</v>
      </c>
      <c r="E36" s="46" t="s">
        <v>307</v>
      </c>
      <c r="F36" s="52" t="s">
        <v>5</v>
      </c>
      <c r="G36" s="55">
        <v>16404</v>
      </c>
      <c r="H36" s="70">
        <v>10565280</v>
      </c>
      <c r="I36" s="48" t="s">
        <v>406</v>
      </c>
    </row>
    <row r="37" spans="1:13" ht="141.75">
      <c r="A37" s="45">
        <v>33</v>
      </c>
      <c r="B37" s="50" t="s">
        <v>312</v>
      </c>
      <c r="C37" s="51" t="s">
        <v>313</v>
      </c>
      <c r="D37" s="46" t="s">
        <v>306</v>
      </c>
      <c r="E37" s="46" t="s">
        <v>314</v>
      </c>
      <c r="F37" s="52" t="s">
        <v>5</v>
      </c>
      <c r="G37" s="55">
        <v>12758</v>
      </c>
      <c r="H37" s="72">
        <v>5021256</v>
      </c>
      <c r="I37" s="48" t="s">
        <v>382</v>
      </c>
    </row>
    <row r="38" spans="1:13" ht="173.25">
      <c r="A38" s="45">
        <v>34</v>
      </c>
      <c r="B38" s="50" t="s">
        <v>321</v>
      </c>
      <c r="C38" s="51" t="s">
        <v>322</v>
      </c>
      <c r="D38" s="103" t="s">
        <v>46</v>
      </c>
      <c r="E38" s="46" t="s">
        <v>323</v>
      </c>
      <c r="F38" s="46" t="s">
        <v>5</v>
      </c>
      <c r="G38" s="104" t="s">
        <v>324</v>
      </c>
      <c r="H38" s="91">
        <v>41271348</v>
      </c>
      <c r="I38" s="48" t="s">
        <v>347</v>
      </c>
      <c r="M38" s="19"/>
    </row>
    <row r="39" spans="1:13" ht="126">
      <c r="A39" s="45">
        <v>35</v>
      </c>
      <c r="B39" s="50" t="s">
        <v>333</v>
      </c>
      <c r="C39" s="51" t="s">
        <v>334</v>
      </c>
      <c r="D39" s="46" t="s">
        <v>336</v>
      </c>
      <c r="E39" s="46" t="s">
        <v>335</v>
      </c>
      <c r="F39" s="46" t="s">
        <v>5</v>
      </c>
      <c r="G39" s="14">
        <v>15835</v>
      </c>
      <c r="H39" s="98">
        <v>8265864</v>
      </c>
      <c r="I39" s="48" t="s">
        <v>369</v>
      </c>
      <c r="M39" s="19"/>
    </row>
    <row r="40" spans="1:13" ht="147.75">
      <c r="A40" s="45">
        <v>36</v>
      </c>
      <c r="B40" s="50" t="s">
        <v>337</v>
      </c>
      <c r="C40" s="51" t="s">
        <v>415</v>
      </c>
      <c r="D40" s="46" t="s">
        <v>339</v>
      </c>
      <c r="E40" s="46" t="s">
        <v>338</v>
      </c>
      <c r="F40" s="46" t="s">
        <v>5</v>
      </c>
      <c r="G40" s="14">
        <v>12867</v>
      </c>
      <c r="H40" s="91">
        <v>15508332</v>
      </c>
      <c r="I40" s="48" t="s">
        <v>376</v>
      </c>
      <c r="M40" s="19"/>
    </row>
    <row r="41" spans="1:13" ht="157.5">
      <c r="A41" s="45">
        <v>37</v>
      </c>
      <c r="B41" s="50" t="s">
        <v>341</v>
      </c>
      <c r="C41" s="51" t="s">
        <v>342</v>
      </c>
      <c r="D41" s="46" t="s">
        <v>343</v>
      </c>
      <c r="E41" s="46" t="s">
        <v>344</v>
      </c>
      <c r="F41" s="46" t="s">
        <v>5</v>
      </c>
      <c r="G41" s="14"/>
      <c r="H41" s="91">
        <v>37812168</v>
      </c>
      <c r="I41" s="48" t="s">
        <v>370</v>
      </c>
      <c r="M41" s="19"/>
    </row>
    <row r="42" spans="1:13" ht="126">
      <c r="A42" s="45">
        <v>38</v>
      </c>
      <c r="B42" s="50" t="s">
        <v>351</v>
      </c>
      <c r="C42" s="51" t="s">
        <v>350</v>
      </c>
      <c r="D42" s="46" t="s">
        <v>348</v>
      </c>
      <c r="E42" s="46" t="s">
        <v>349</v>
      </c>
      <c r="F42" s="46" t="s">
        <v>5</v>
      </c>
      <c r="G42" s="14">
        <v>6883.29</v>
      </c>
      <c r="H42" s="98">
        <v>4346480</v>
      </c>
      <c r="I42" s="48" t="s">
        <v>371</v>
      </c>
      <c r="M42" s="19"/>
    </row>
    <row r="43" spans="1:13" ht="126">
      <c r="A43" s="45">
        <v>39</v>
      </c>
      <c r="B43" s="50" t="s">
        <v>352</v>
      </c>
      <c r="C43" s="51" t="s">
        <v>356</v>
      </c>
      <c r="D43" s="46" t="s">
        <v>186</v>
      </c>
      <c r="E43" s="46" t="s">
        <v>353</v>
      </c>
      <c r="F43" s="46" t="s">
        <v>5</v>
      </c>
      <c r="G43" s="14">
        <v>4725</v>
      </c>
      <c r="H43" s="98">
        <v>6811368</v>
      </c>
      <c r="I43" s="48" t="s">
        <v>416</v>
      </c>
      <c r="M43" s="19"/>
    </row>
    <row r="44" spans="1:13" ht="126">
      <c r="A44" s="45">
        <v>40</v>
      </c>
      <c r="B44" s="50" t="s">
        <v>383</v>
      </c>
      <c r="C44" s="51" t="s">
        <v>384</v>
      </c>
      <c r="D44" s="105" t="s">
        <v>385</v>
      </c>
      <c r="E44" s="105" t="s">
        <v>385</v>
      </c>
      <c r="F44" s="46" t="s">
        <v>5</v>
      </c>
      <c r="G44" s="14">
        <v>14071.06</v>
      </c>
      <c r="H44" s="91">
        <v>101358912</v>
      </c>
      <c r="I44" s="48" t="s">
        <v>386</v>
      </c>
      <c r="M44" s="19"/>
    </row>
    <row r="45" spans="1:13" ht="110.25">
      <c r="A45" s="45">
        <v>41</v>
      </c>
      <c r="B45" s="50" t="s">
        <v>389</v>
      </c>
      <c r="C45" s="51" t="s">
        <v>390</v>
      </c>
      <c r="D45" s="105"/>
      <c r="E45" s="105" t="s">
        <v>239</v>
      </c>
      <c r="F45" s="46" t="s">
        <v>151</v>
      </c>
      <c r="G45" s="14">
        <v>5193</v>
      </c>
      <c r="H45" s="91">
        <v>3840000</v>
      </c>
      <c r="I45" s="48" t="s">
        <v>392</v>
      </c>
      <c r="M45" s="19"/>
    </row>
    <row r="46" spans="1:13" ht="15.75">
      <c r="A46" s="45"/>
      <c r="B46" s="59"/>
      <c r="C46" s="106" t="s">
        <v>30</v>
      </c>
      <c r="D46" s="106"/>
      <c r="E46" s="106"/>
      <c r="F46" s="59"/>
      <c r="G46" s="59"/>
      <c r="H46" s="44">
        <f>SUM(H5:H45)</f>
        <v>945582277.24000001</v>
      </c>
      <c r="I46" s="44"/>
    </row>
    <row r="47" spans="1:13" ht="15.75">
      <c r="A47" s="45"/>
      <c r="B47" s="60" t="s">
        <v>104</v>
      </c>
      <c r="C47" s="60"/>
      <c r="D47" s="60"/>
      <c r="E47" s="60"/>
      <c r="F47" s="60"/>
      <c r="G47" s="60"/>
      <c r="H47" s="60"/>
      <c r="I47" s="60"/>
    </row>
    <row r="48" spans="1:13" ht="15.75">
      <c r="A48" s="45"/>
      <c r="B48" s="61" t="s">
        <v>69</v>
      </c>
      <c r="C48" s="62">
        <v>875226685</v>
      </c>
      <c r="D48" s="62">
        <v>35</v>
      </c>
      <c r="E48" s="60" t="s">
        <v>104</v>
      </c>
      <c r="F48" s="60"/>
      <c r="G48" s="60"/>
      <c r="H48" s="63"/>
      <c r="I48" s="56"/>
    </row>
    <row r="49" spans="1:9" ht="15.75">
      <c r="A49" s="45"/>
      <c r="B49" s="61" t="s">
        <v>236</v>
      </c>
      <c r="C49" s="62">
        <v>70355592</v>
      </c>
      <c r="D49" s="62">
        <v>6</v>
      </c>
      <c r="E49" s="60"/>
      <c r="F49" s="60"/>
      <c r="G49" s="57"/>
      <c r="H49" s="57"/>
      <c r="I49" s="58"/>
    </row>
    <row r="50" spans="1:9" ht="15.75">
      <c r="A50" s="63"/>
      <c r="B50" s="61" t="s">
        <v>65</v>
      </c>
      <c r="C50" s="62">
        <f>SUM(C48:C49)</f>
        <v>945582277</v>
      </c>
      <c r="D50" s="62">
        <f>SUBTOTAL(9,D48:D49)</f>
        <v>41</v>
      </c>
      <c r="E50" s="60"/>
      <c r="F50" s="60"/>
      <c r="G50" s="60"/>
      <c r="H50" s="57"/>
      <c r="I50" s="90"/>
    </row>
    <row r="51" spans="1:9">
      <c r="H51" s="43"/>
      <c r="I51" s="92"/>
    </row>
    <row r="52" spans="1:9">
      <c r="H52" s="43"/>
      <c r="I52" s="3"/>
    </row>
    <row r="53" spans="1:9">
      <c r="H53" s="43"/>
      <c r="I53" s="3"/>
    </row>
    <row r="54" spans="1:9">
      <c r="H54" s="43"/>
      <c r="I54" s="3"/>
    </row>
    <row r="55" spans="1:9">
      <c r="H55" s="43"/>
      <c r="I55" s="3"/>
    </row>
    <row r="56" spans="1:9">
      <c r="H56" s="43"/>
      <c r="I56" s="3"/>
    </row>
    <row r="57" spans="1:9">
      <c r="H57" s="43"/>
      <c r="I57" s="3"/>
    </row>
    <row r="58" spans="1:9">
      <c r="H58" s="43"/>
      <c r="I58" s="3"/>
    </row>
    <row r="59" spans="1:9">
      <c r="H59" s="43"/>
      <c r="I59" s="3"/>
    </row>
    <row r="60" spans="1:9">
      <c r="H60" s="43"/>
      <c r="I60" s="3"/>
    </row>
    <row r="61" spans="1:9">
      <c r="H61" s="43"/>
      <c r="I61" s="3"/>
    </row>
    <row r="62" spans="1:9">
      <c r="H62" s="43"/>
      <c r="I62" s="3"/>
    </row>
    <row r="63" spans="1:9">
      <c r="H63" s="43"/>
      <c r="I63" s="3"/>
    </row>
    <row r="64" spans="1:9">
      <c r="H64" s="43"/>
      <c r="I64" s="3"/>
    </row>
    <row r="65" spans="8:9">
      <c r="H65" s="43"/>
      <c r="I65" s="3"/>
    </row>
    <row r="66" spans="8:9">
      <c r="H66" s="43"/>
      <c r="I66" s="3"/>
    </row>
    <row r="67" spans="8:9">
      <c r="H67" s="43"/>
      <c r="I67" s="3"/>
    </row>
    <row r="68" spans="8:9">
      <c r="H68" s="43"/>
      <c r="I68" s="3"/>
    </row>
    <row r="69" spans="8:9">
      <c r="H69" s="43"/>
      <c r="I69" s="3"/>
    </row>
    <row r="70" spans="8:9">
      <c r="H70" s="43"/>
      <c r="I70" s="3"/>
    </row>
    <row r="71" spans="8:9">
      <c r="H71" s="43"/>
      <c r="I71" s="3"/>
    </row>
    <row r="72" spans="8:9">
      <c r="H72" s="43"/>
      <c r="I72" s="3"/>
    </row>
    <row r="73" spans="8:9">
      <c r="H73" s="43"/>
      <c r="I73" s="3"/>
    </row>
    <row r="74" spans="8:9">
      <c r="H74" s="43"/>
      <c r="I74" s="3"/>
    </row>
    <row r="75" spans="8:9">
      <c r="H75" s="43"/>
      <c r="I75" s="3"/>
    </row>
    <row r="76" spans="8:9">
      <c r="H76" s="43"/>
      <c r="I76" s="3"/>
    </row>
    <row r="77" spans="8:9">
      <c r="H77" s="43"/>
      <c r="I77" s="3"/>
    </row>
    <row r="78" spans="8:9">
      <c r="H78" s="43"/>
      <c r="I78" s="3"/>
    </row>
    <row r="79" spans="8:9">
      <c r="H79" s="43"/>
      <c r="I79" s="3"/>
    </row>
    <row r="80" spans="8:9">
      <c r="H80" s="43"/>
      <c r="I80" s="3"/>
    </row>
    <row r="81" spans="2:9">
      <c r="H81" s="43"/>
      <c r="I81" s="3"/>
    </row>
    <row r="82" spans="2:9">
      <c r="H82" s="43"/>
      <c r="I82" s="3"/>
    </row>
    <row r="83" spans="2:9" ht="15.75">
      <c r="H83" s="43"/>
      <c r="I83" s="62">
        <v>811066699</v>
      </c>
    </row>
    <row r="84" spans="2:9">
      <c r="H84" s="43"/>
      <c r="I84" s="3"/>
    </row>
    <row r="85" spans="2:9">
      <c r="H85" s="43"/>
      <c r="I85" s="3"/>
    </row>
    <row r="86" spans="2:9">
      <c r="H86" s="43"/>
      <c r="I86" s="3"/>
    </row>
    <row r="87" spans="2:9" ht="162">
      <c r="B87" s="75" t="s">
        <v>76</v>
      </c>
      <c r="C87" s="76" t="s">
        <v>160</v>
      </c>
      <c r="D87" s="76" t="s">
        <v>48</v>
      </c>
      <c r="E87" s="76" t="s">
        <v>49</v>
      </c>
      <c r="F87" s="76" t="s">
        <v>5</v>
      </c>
      <c r="G87" s="79">
        <v>2517.77</v>
      </c>
      <c r="H87" s="80">
        <v>5940000</v>
      </c>
      <c r="I87" s="36" t="s">
        <v>400</v>
      </c>
    </row>
    <row r="88" spans="2:9" ht="119.25">
      <c r="B88" s="81" t="s">
        <v>265</v>
      </c>
      <c r="C88" s="82" t="s">
        <v>266</v>
      </c>
      <c r="D88" s="76" t="s">
        <v>268</v>
      </c>
      <c r="E88" s="76" t="s">
        <v>267</v>
      </c>
      <c r="F88" s="83" t="s">
        <v>5</v>
      </c>
      <c r="G88" s="86">
        <v>19370.400000000001</v>
      </c>
      <c r="H88" s="89">
        <v>10919148</v>
      </c>
      <c r="I88" s="85" t="s">
        <v>399</v>
      </c>
    </row>
    <row r="89" spans="2:9" ht="110.25">
      <c r="B89" s="75" t="s">
        <v>80</v>
      </c>
      <c r="C89" s="94" t="s">
        <v>318</v>
      </c>
      <c r="D89" s="76" t="s">
        <v>7</v>
      </c>
      <c r="E89" s="76" t="s">
        <v>22</v>
      </c>
      <c r="F89" s="76" t="s">
        <v>5</v>
      </c>
      <c r="G89" s="101" t="s">
        <v>23</v>
      </c>
      <c r="H89" s="102">
        <v>6382046</v>
      </c>
      <c r="I89" s="36" t="s">
        <v>398</v>
      </c>
    </row>
    <row r="90" spans="2:9" ht="126">
      <c r="B90" s="81" t="s">
        <v>237</v>
      </c>
      <c r="C90" s="82" t="s">
        <v>238</v>
      </c>
      <c r="D90" s="83" t="s">
        <v>240</v>
      </c>
      <c r="E90" s="83" t="s">
        <v>239</v>
      </c>
      <c r="F90" s="83" t="s">
        <v>5</v>
      </c>
      <c r="G90" s="100" t="s">
        <v>397</v>
      </c>
      <c r="H90" s="84">
        <v>7440000</v>
      </c>
      <c r="I90" s="85" t="s">
        <v>396</v>
      </c>
    </row>
    <row r="91" spans="2:9" ht="141.75">
      <c r="B91" s="96" t="s">
        <v>227</v>
      </c>
      <c r="C91" s="97" t="s">
        <v>228</v>
      </c>
      <c r="D91" s="97" t="s">
        <v>229</v>
      </c>
      <c r="E91" s="97" t="s">
        <v>230</v>
      </c>
      <c r="F91" s="97" t="s">
        <v>5</v>
      </c>
      <c r="G91" s="79">
        <v>7643.9469600000002</v>
      </c>
      <c r="H91" s="80">
        <v>2448000</v>
      </c>
      <c r="I91" s="36" t="s">
        <v>395</v>
      </c>
    </row>
    <row r="92" spans="2:9" ht="102">
      <c r="B92" s="75" t="s">
        <v>271</v>
      </c>
      <c r="C92" s="94" t="s">
        <v>273</v>
      </c>
      <c r="D92" s="76" t="s">
        <v>268</v>
      </c>
      <c r="E92" s="76" t="s">
        <v>272</v>
      </c>
      <c r="F92" s="76" t="s">
        <v>5</v>
      </c>
      <c r="G92" s="88">
        <v>10778</v>
      </c>
      <c r="H92" s="99">
        <v>3207528</v>
      </c>
      <c r="I92" s="36" t="s">
        <v>394</v>
      </c>
    </row>
    <row r="93" spans="2:9" ht="141.75">
      <c r="B93" s="81" t="s">
        <v>316</v>
      </c>
      <c r="C93" s="82" t="s">
        <v>317</v>
      </c>
      <c r="D93" s="76" t="s">
        <v>319</v>
      </c>
      <c r="E93" s="76" t="s">
        <v>319</v>
      </c>
      <c r="F93" s="76" t="s">
        <v>5</v>
      </c>
      <c r="G93" s="88">
        <v>3277</v>
      </c>
      <c r="H93" s="99">
        <v>4924572</v>
      </c>
      <c r="I93" s="36" t="s">
        <v>393</v>
      </c>
    </row>
    <row r="94" spans="2:9" ht="150.75">
      <c r="B94" s="75" t="s">
        <v>122</v>
      </c>
      <c r="C94" s="76" t="s">
        <v>329</v>
      </c>
      <c r="D94" s="76"/>
      <c r="E94" s="76" t="s">
        <v>127</v>
      </c>
      <c r="F94" s="76" t="s">
        <v>5</v>
      </c>
      <c r="G94" s="15">
        <v>1000</v>
      </c>
      <c r="H94" s="80">
        <v>706860</v>
      </c>
      <c r="I94" s="36" t="s">
        <v>380</v>
      </c>
    </row>
    <row r="95" spans="2:9" ht="135">
      <c r="B95" s="75" t="s">
        <v>204</v>
      </c>
      <c r="C95" s="94" t="s">
        <v>205</v>
      </c>
      <c r="D95" s="76" t="s">
        <v>207</v>
      </c>
      <c r="E95" s="76" t="s">
        <v>206</v>
      </c>
      <c r="F95" s="76" t="s">
        <v>5</v>
      </c>
      <c r="G95" s="95" t="s">
        <v>208</v>
      </c>
      <c r="H95" s="80">
        <v>4490640</v>
      </c>
      <c r="I95" s="36" t="s">
        <v>379</v>
      </c>
    </row>
    <row r="96" spans="2:9" ht="141.75">
      <c r="B96" s="81" t="s">
        <v>286</v>
      </c>
      <c r="C96" s="82" t="s">
        <v>287</v>
      </c>
      <c r="D96" s="76" t="s">
        <v>288</v>
      </c>
      <c r="E96" s="76" t="s">
        <v>289</v>
      </c>
      <c r="F96" s="83" t="s">
        <v>5</v>
      </c>
      <c r="G96" s="88">
        <v>8817.7999999999993</v>
      </c>
      <c r="H96" s="89">
        <v>4529496</v>
      </c>
      <c r="I96" s="36" t="s">
        <v>378</v>
      </c>
    </row>
    <row r="97" spans="2:9" ht="180.75">
      <c r="B97" s="75" t="s">
        <v>78</v>
      </c>
      <c r="C97" s="76" t="s">
        <v>40</v>
      </c>
      <c r="D97" s="76" t="s">
        <v>42</v>
      </c>
      <c r="E97" s="76" t="s">
        <v>43</v>
      </c>
      <c r="F97" s="76" t="s">
        <v>5</v>
      </c>
      <c r="G97" s="15">
        <v>7003.81</v>
      </c>
      <c r="H97" s="80">
        <v>3408000</v>
      </c>
      <c r="I97" s="36" t="s">
        <v>377</v>
      </c>
    </row>
    <row r="98" spans="2:9" ht="141">
      <c r="B98" s="75" t="s">
        <v>129</v>
      </c>
      <c r="C98" s="76" t="s">
        <v>133</v>
      </c>
      <c r="D98" s="76" t="s">
        <v>130</v>
      </c>
      <c r="E98" s="76" t="s">
        <v>131</v>
      </c>
      <c r="F98" s="76" t="s">
        <v>5</v>
      </c>
      <c r="G98" s="15">
        <v>12612.9</v>
      </c>
      <c r="H98" s="80">
        <v>2756172</v>
      </c>
      <c r="I98" s="36" t="s">
        <v>354</v>
      </c>
    </row>
    <row r="99" spans="2:9" ht="219.75" customHeight="1">
      <c r="B99" s="75" t="s">
        <v>70</v>
      </c>
      <c r="C99" s="76" t="s">
        <v>68</v>
      </c>
      <c r="D99" s="76" t="s">
        <v>66</v>
      </c>
      <c r="E99" s="76" t="s">
        <v>67</v>
      </c>
      <c r="F99" s="76" t="s">
        <v>5</v>
      </c>
      <c r="G99" s="79">
        <v>5245.52</v>
      </c>
      <c r="H99" s="80">
        <v>3633576</v>
      </c>
      <c r="I99" s="36" t="s">
        <v>355</v>
      </c>
    </row>
    <row r="100" spans="2:9" ht="131.25" customHeight="1">
      <c r="B100" s="81" t="s">
        <v>290</v>
      </c>
      <c r="C100" s="82" t="s">
        <v>291</v>
      </c>
      <c r="D100" s="76" t="s">
        <v>240</v>
      </c>
      <c r="E100" s="76" t="s">
        <v>292</v>
      </c>
      <c r="F100" s="83" t="s">
        <v>5</v>
      </c>
      <c r="G100" s="88">
        <v>36587</v>
      </c>
      <c r="H100" s="89">
        <v>14457648</v>
      </c>
      <c r="I100" s="36" t="s">
        <v>345</v>
      </c>
    </row>
    <row r="101" spans="2:9" ht="308.25">
      <c r="B101" s="75" t="s">
        <v>331</v>
      </c>
      <c r="C101" s="76" t="s">
        <v>146</v>
      </c>
      <c r="D101" s="76" t="s">
        <v>12</v>
      </c>
      <c r="E101" s="76" t="s">
        <v>13</v>
      </c>
      <c r="F101" s="77" t="s">
        <v>5</v>
      </c>
      <c r="G101" s="15">
        <v>6818</v>
      </c>
      <c r="H101" s="78">
        <v>2601600</v>
      </c>
      <c r="I101" s="36" t="s">
        <v>358</v>
      </c>
    </row>
    <row r="103" spans="2:9" ht="141">
      <c r="B103" s="81" t="s">
        <v>243</v>
      </c>
      <c r="C103" s="82" t="s">
        <v>244</v>
      </c>
      <c r="D103" s="83" t="s">
        <v>245</v>
      </c>
      <c r="E103" s="83" t="s">
        <v>246</v>
      </c>
      <c r="F103" s="83" t="s">
        <v>5</v>
      </c>
      <c r="G103" s="86">
        <v>8877</v>
      </c>
      <c r="H103" s="87">
        <v>6782400</v>
      </c>
      <c r="I103" s="85" t="s">
        <v>332</v>
      </c>
    </row>
    <row r="104" spans="2:9" ht="126">
      <c r="B104" s="24" t="s">
        <v>198</v>
      </c>
      <c r="C104" s="25" t="s">
        <v>199</v>
      </c>
      <c r="D104" s="7" t="s">
        <v>201</v>
      </c>
      <c r="E104" s="7" t="s">
        <v>200</v>
      </c>
      <c r="F104" s="7" t="s">
        <v>5</v>
      </c>
      <c r="G104" s="40">
        <v>12034.56</v>
      </c>
      <c r="H104" s="37">
        <v>6065460</v>
      </c>
      <c r="I104" s="36" t="s">
        <v>327</v>
      </c>
    </row>
    <row r="105" spans="2:9" ht="198">
      <c r="B105" s="33" t="s">
        <v>269</v>
      </c>
      <c r="C105" s="11" t="s">
        <v>145</v>
      </c>
      <c r="D105" s="11" t="s">
        <v>10</v>
      </c>
      <c r="E105" s="24" t="s">
        <v>11</v>
      </c>
      <c r="F105" s="22" t="s">
        <v>5</v>
      </c>
      <c r="G105" s="8">
        <v>8439</v>
      </c>
      <c r="H105" s="37">
        <v>2066880</v>
      </c>
      <c r="I105" s="20" t="s">
        <v>320</v>
      </c>
    </row>
    <row r="106" spans="2:9" ht="145.5">
      <c r="B106" s="7" t="s">
        <v>179</v>
      </c>
      <c r="C106" s="7" t="s">
        <v>155</v>
      </c>
      <c r="D106" s="7" t="s">
        <v>31</v>
      </c>
      <c r="E106" s="7" t="s">
        <v>32</v>
      </c>
      <c r="F106" s="7" t="s">
        <v>151</v>
      </c>
      <c r="G106" s="8">
        <v>31689</v>
      </c>
      <c r="H106" s="37">
        <v>16632000</v>
      </c>
      <c r="I106" s="16" t="s">
        <v>311</v>
      </c>
    </row>
    <row r="107" spans="2:9" ht="90">
      <c r="B107" s="34" t="s">
        <v>209</v>
      </c>
      <c r="C107" s="35" t="s">
        <v>210</v>
      </c>
      <c r="D107" s="11" t="s">
        <v>201</v>
      </c>
      <c r="E107" s="11" t="s">
        <v>211</v>
      </c>
      <c r="F107" s="11" t="s">
        <v>5</v>
      </c>
      <c r="G107" s="41">
        <v>10520.05</v>
      </c>
      <c r="H107" s="39">
        <v>3540000</v>
      </c>
      <c r="I107" s="18" t="s">
        <v>303</v>
      </c>
    </row>
    <row r="109" spans="2:9" ht="126">
      <c r="B109" s="24" t="s">
        <v>93</v>
      </c>
      <c r="C109" s="7" t="s">
        <v>90</v>
      </c>
      <c r="D109" s="7" t="s">
        <v>91</v>
      </c>
      <c r="E109" s="7" t="s">
        <v>92</v>
      </c>
      <c r="F109" s="7" t="s">
        <v>5</v>
      </c>
      <c r="G109" s="38">
        <v>86596</v>
      </c>
      <c r="H109" s="37">
        <v>106380038</v>
      </c>
      <c r="I109" s="18" t="s">
        <v>296</v>
      </c>
    </row>
    <row r="111" spans="2:9" ht="105">
      <c r="B111" s="28" t="s">
        <v>253</v>
      </c>
      <c r="C111" s="29" t="s">
        <v>254</v>
      </c>
      <c r="D111" s="7" t="s">
        <v>187</v>
      </c>
      <c r="E111" s="7" t="s">
        <v>187</v>
      </c>
      <c r="F111" s="30" t="s">
        <v>5</v>
      </c>
      <c r="G111" s="31">
        <v>5975</v>
      </c>
      <c r="H111" s="32">
        <v>14372268</v>
      </c>
      <c r="I111" s="9" t="s">
        <v>270</v>
      </c>
    </row>
    <row r="112" spans="2:9" ht="165">
      <c r="B112" s="7" t="s">
        <v>177</v>
      </c>
      <c r="C112" s="7" t="s">
        <v>153</v>
      </c>
      <c r="D112" s="7" t="s">
        <v>27</v>
      </c>
      <c r="E112" s="7" t="s">
        <v>26</v>
      </c>
      <c r="F112" s="7" t="s">
        <v>5</v>
      </c>
      <c r="G112" s="5" t="s">
        <v>264</v>
      </c>
      <c r="H112" s="7">
        <v>12549512</v>
      </c>
      <c r="I112" s="26" t="s">
        <v>263</v>
      </c>
    </row>
    <row r="113" spans="2:9" ht="120">
      <c r="B113" s="24" t="s">
        <v>219</v>
      </c>
      <c r="C113" s="25" t="s">
        <v>220</v>
      </c>
      <c r="D113" s="7" t="s">
        <v>221</v>
      </c>
      <c r="E113" s="7" t="s">
        <v>222</v>
      </c>
      <c r="F113" s="7" t="s">
        <v>5</v>
      </c>
      <c r="G113" s="27">
        <v>41751</v>
      </c>
      <c r="H113" s="23">
        <v>41002472</v>
      </c>
      <c r="I113" s="9" t="s">
        <v>262</v>
      </c>
    </row>
    <row r="114" spans="2:9" ht="123">
      <c r="B114" s="7" t="s">
        <v>178</v>
      </c>
      <c r="C114" s="7" t="s">
        <v>154</v>
      </c>
      <c r="D114" s="7" t="s">
        <v>29</v>
      </c>
      <c r="E114" s="7" t="s">
        <v>28</v>
      </c>
      <c r="F114" s="7" t="s">
        <v>5</v>
      </c>
      <c r="G114" s="7">
        <v>71398.2</v>
      </c>
      <c r="H114" s="7">
        <v>120291684</v>
      </c>
      <c r="I114" s="26" t="s">
        <v>261</v>
      </c>
    </row>
    <row r="115" spans="2:9" ht="141">
      <c r="B115" s="7" t="s">
        <v>180</v>
      </c>
      <c r="C115" s="7" t="s">
        <v>156</v>
      </c>
      <c r="D115" s="7" t="s">
        <v>38</v>
      </c>
      <c r="E115" s="7" t="s">
        <v>37</v>
      </c>
      <c r="F115" s="7" t="s">
        <v>5</v>
      </c>
      <c r="G115" s="7" t="s">
        <v>39</v>
      </c>
      <c r="H115" s="23">
        <v>3825840</v>
      </c>
      <c r="I115" s="26" t="s">
        <v>260</v>
      </c>
    </row>
    <row r="116" spans="2:9" ht="78.75">
      <c r="B116" s="24" t="s">
        <v>135</v>
      </c>
      <c r="C116" s="7" t="s">
        <v>134</v>
      </c>
      <c r="D116" s="7" t="s">
        <v>137</v>
      </c>
      <c r="E116" s="7" t="s">
        <v>136</v>
      </c>
      <c r="F116" s="7" t="s">
        <v>5</v>
      </c>
      <c r="G116" s="24">
        <v>12469</v>
      </c>
      <c r="H116" s="23">
        <v>5764560</v>
      </c>
      <c r="I116" s="26" t="s">
        <v>259</v>
      </c>
    </row>
    <row r="117" spans="2:9" ht="98.25">
      <c r="B117" s="24" t="s">
        <v>74</v>
      </c>
      <c r="C117" s="7" t="s">
        <v>161</v>
      </c>
      <c r="D117" s="7" t="s">
        <v>55</v>
      </c>
      <c r="E117" s="7" t="s">
        <v>56</v>
      </c>
      <c r="F117" s="7" t="s">
        <v>5</v>
      </c>
      <c r="G117" s="23">
        <v>23990.35</v>
      </c>
      <c r="H117" s="23">
        <v>6584496</v>
      </c>
      <c r="I117" s="26" t="s">
        <v>258</v>
      </c>
    </row>
    <row r="118" spans="2:9" ht="78">
      <c r="B118" s="24" t="s">
        <v>119</v>
      </c>
      <c r="C118" s="7" t="s">
        <v>168</v>
      </c>
      <c r="D118" s="7"/>
      <c r="E118" s="7" t="s">
        <v>120</v>
      </c>
      <c r="F118" s="7" t="s">
        <v>5</v>
      </c>
      <c r="G118" s="24"/>
      <c r="H118" s="23">
        <v>1701720</v>
      </c>
      <c r="I118" s="26" t="s">
        <v>257</v>
      </c>
    </row>
    <row r="119" spans="2:9" ht="78">
      <c r="B119" s="24" t="s">
        <v>99</v>
      </c>
      <c r="C119" s="7" t="s">
        <v>166</v>
      </c>
      <c r="D119" s="7" t="s">
        <v>100</v>
      </c>
      <c r="E119" s="7" t="s">
        <v>101</v>
      </c>
      <c r="F119" s="7" t="s">
        <v>5</v>
      </c>
      <c r="G119" s="24">
        <v>23331.83</v>
      </c>
      <c r="H119" s="23">
        <v>8522748</v>
      </c>
      <c r="I119" s="26" t="s">
        <v>256</v>
      </c>
    </row>
    <row r="120" spans="2:9" ht="80.25">
      <c r="B120" s="24" t="s">
        <v>105</v>
      </c>
      <c r="C120" s="7" t="s">
        <v>118</v>
      </c>
      <c r="D120" s="7" t="s">
        <v>106</v>
      </c>
      <c r="E120" s="7" t="s">
        <v>106</v>
      </c>
      <c r="F120" s="7" t="s">
        <v>5</v>
      </c>
      <c r="G120" s="24">
        <v>9844</v>
      </c>
      <c r="H120" s="23">
        <v>70909872</v>
      </c>
      <c r="I120" s="26" t="s">
        <v>255</v>
      </c>
    </row>
    <row r="121" spans="2:9" ht="93">
      <c r="B121" s="24" t="s">
        <v>75</v>
      </c>
      <c r="C121" s="7" t="s">
        <v>202</v>
      </c>
      <c r="D121" s="7" t="s">
        <v>50</v>
      </c>
      <c r="E121" s="7" t="s">
        <v>51</v>
      </c>
      <c r="F121" s="7" t="s">
        <v>5</v>
      </c>
      <c r="G121" s="23">
        <v>6792</v>
      </c>
      <c r="H121" s="23">
        <v>4278960</v>
      </c>
      <c r="I121" s="26" t="s">
        <v>251</v>
      </c>
    </row>
    <row r="122" spans="2:9" ht="126">
      <c r="B122" s="24" t="s">
        <v>73</v>
      </c>
      <c r="C122" s="7" t="s">
        <v>162</v>
      </c>
      <c r="D122" s="7" t="s">
        <v>57</v>
      </c>
      <c r="E122" s="7" t="s">
        <v>58</v>
      </c>
      <c r="F122" s="7" t="s">
        <v>5</v>
      </c>
      <c r="G122" s="23">
        <v>16455.740000000002</v>
      </c>
      <c r="H122" s="23">
        <v>2676000</v>
      </c>
      <c r="I122" s="26" t="s">
        <v>250</v>
      </c>
    </row>
    <row r="123" spans="2:9" ht="183">
      <c r="B123" s="7" t="s">
        <v>172</v>
      </c>
      <c r="C123" s="7" t="s">
        <v>147</v>
      </c>
      <c r="D123" s="7" t="s">
        <v>14</v>
      </c>
      <c r="E123" s="7" t="s">
        <v>15</v>
      </c>
      <c r="F123" s="22" t="s">
        <v>5</v>
      </c>
      <c r="G123" s="7">
        <v>44696.86</v>
      </c>
      <c r="H123" s="7">
        <v>20365764</v>
      </c>
      <c r="I123" s="26" t="s">
        <v>249</v>
      </c>
    </row>
    <row r="124" spans="2:9" ht="105">
      <c r="B124" s="7" t="s">
        <v>181</v>
      </c>
      <c r="C124" s="7" t="s">
        <v>41</v>
      </c>
      <c r="D124" s="7" t="s">
        <v>42</v>
      </c>
      <c r="E124" s="7" t="s">
        <v>43</v>
      </c>
      <c r="F124" s="7" t="s">
        <v>5</v>
      </c>
      <c r="G124" s="23">
        <v>6632.1309600000004</v>
      </c>
      <c r="H124" s="23">
        <v>3384000</v>
      </c>
      <c r="I124" s="26" t="s">
        <v>241</v>
      </c>
    </row>
    <row r="125" spans="2:9" ht="126">
      <c r="B125" s="7" t="s">
        <v>182</v>
      </c>
      <c r="C125" s="7" t="s">
        <v>158</v>
      </c>
      <c r="D125" s="7" t="s">
        <v>46</v>
      </c>
      <c r="E125" s="7" t="s">
        <v>47</v>
      </c>
      <c r="F125" s="7" t="s">
        <v>5</v>
      </c>
      <c r="G125" s="23">
        <v>7993.19</v>
      </c>
      <c r="H125" s="23">
        <v>9164988</v>
      </c>
      <c r="I125" s="26" t="s">
        <v>216</v>
      </c>
    </row>
    <row r="127" spans="2:9" ht="75">
      <c r="B127" s="24" t="s">
        <v>185</v>
      </c>
      <c r="C127" s="25" t="s">
        <v>183</v>
      </c>
      <c r="D127" s="7" t="s">
        <v>186</v>
      </c>
      <c r="E127" s="6" t="s">
        <v>184</v>
      </c>
      <c r="F127" s="7" t="s">
        <v>5</v>
      </c>
      <c r="G127" s="10">
        <v>12500</v>
      </c>
      <c r="H127" s="23">
        <v>28792500</v>
      </c>
      <c r="I127" s="26" t="s">
        <v>215</v>
      </c>
    </row>
    <row r="129" spans="2:9" ht="135.75">
      <c r="B129" s="7" t="s">
        <v>176</v>
      </c>
      <c r="C129" s="7" t="s">
        <v>152</v>
      </c>
      <c r="D129" s="7" t="s">
        <v>24</v>
      </c>
      <c r="E129" s="7" t="s">
        <v>25</v>
      </c>
      <c r="F129" s="22" t="s">
        <v>151</v>
      </c>
      <c r="G129" s="7">
        <v>9065.44</v>
      </c>
      <c r="H129" s="7">
        <v>8920392</v>
      </c>
      <c r="I129" s="26" t="s">
        <v>214</v>
      </c>
    </row>
    <row r="139" spans="2:9" ht="140.25">
      <c r="B139" s="7" t="s">
        <v>174</v>
      </c>
      <c r="C139" s="7" t="s">
        <v>149</v>
      </c>
      <c r="D139" s="7" t="s">
        <v>20</v>
      </c>
      <c r="E139" s="7" t="s">
        <v>21</v>
      </c>
      <c r="F139" s="7" t="s">
        <v>5</v>
      </c>
      <c r="G139" s="7">
        <v>4101</v>
      </c>
      <c r="H139" s="7">
        <v>2127432</v>
      </c>
      <c r="I139" s="26" t="s">
        <v>203</v>
      </c>
    </row>
    <row r="141" spans="2:9" ht="110.25">
      <c r="B141" s="7" t="s">
        <v>175</v>
      </c>
      <c r="C141" s="7" t="s">
        <v>150</v>
      </c>
      <c r="D141" s="7" t="s">
        <v>7</v>
      </c>
      <c r="E141" s="7" t="s">
        <v>22</v>
      </c>
      <c r="F141" s="7" t="s">
        <v>5</v>
      </c>
      <c r="G141" s="7" t="s">
        <v>23</v>
      </c>
      <c r="H141" s="7">
        <v>37153836</v>
      </c>
      <c r="I141" s="18" t="s">
        <v>193</v>
      </c>
    </row>
    <row r="143" spans="2:9" ht="80.25">
      <c r="B143" s="24" t="s">
        <v>102</v>
      </c>
      <c r="C143" s="7" t="s">
        <v>163</v>
      </c>
      <c r="D143" s="7" t="s">
        <v>60</v>
      </c>
      <c r="E143" s="7" t="s">
        <v>59</v>
      </c>
      <c r="F143" s="7" t="s">
        <v>151</v>
      </c>
      <c r="G143" s="23">
        <v>15725.51</v>
      </c>
      <c r="H143" s="5">
        <v>17738376</v>
      </c>
      <c r="I143" s="17" t="s">
        <v>192</v>
      </c>
    </row>
    <row r="145" spans="2:9" ht="116.25">
      <c r="B145" s="7" t="s">
        <v>173</v>
      </c>
      <c r="C145" s="7" t="s">
        <v>54</v>
      </c>
      <c r="D145" s="7" t="s">
        <v>18</v>
      </c>
      <c r="E145" s="7" t="s">
        <v>19</v>
      </c>
      <c r="F145" s="22" t="s">
        <v>5</v>
      </c>
      <c r="G145" s="7">
        <v>18271.349999999999</v>
      </c>
      <c r="H145" s="7">
        <v>10469484</v>
      </c>
      <c r="I145" s="16" t="s">
        <v>191</v>
      </c>
    </row>
  </sheetData>
  <autoFilter ref="A2:I101"/>
  <mergeCells count="11">
    <mergeCell ref="C46:E46"/>
    <mergeCell ref="A1:I1"/>
    <mergeCell ref="A2:A3"/>
    <mergeCell ref="B2:B3"/>
    <mergeCell ref="C2:C3"/>
    <mergeCell ref="D2:D3"/>
    <mergeCell ref="E2:E3"/>
    <mergeCell ref="F2:F3"/>
    <mergeCell ref="G2:G3"/>
    <mergeCell ref="H2:H3"/>
    <mergeCell ref="I2:I3"/>
  </mergeCells>
  <pageMargins left="0.70866141732283472" right="0.31496062992125984" top="0.55118110236220474" bottom="0.55118110236220474" header="0.31496062992125984" footer="0.31496062992125984"/>
  <pageSetup paperSize="9" scale="57" orientation="landscape" verticalDpi="0" r:id="rId1"/>
  <rowBreaks count="1" manualBreakCount="1">
    <brk id="6" max="1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Ongoing Proposals-13.09.2021</vt:lpstr>
      <vt:lpstr>'Ongoing Proposals-13.09.2021'!Print_Area</vt:lpstr>
      <vt:lpstr>'Ongoing Proposals-13.09.2021'!Print_Titles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HP4</cp:lastModifiedBy>
  <cp:lastPrinted>2021-07-22T07:35:43Z</cp:lastPrinted>
  <dcterms:created xsi:type="dcterms:W3CDTF">2018-07-30T10:55:49Z</dcterms:created>
  <dcterms:modified xsi:type="dcterms:W3CDTF">2021-09-13T11:19:56Z</dcterms:modified>
</cp:coreProperties>
</file>