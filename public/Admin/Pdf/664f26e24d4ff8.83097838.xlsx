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185"/>
  </bookViews>
  <sheets>
    <sheet name="upto 31.03.2020 (e-lekha) " sheetId="1" r:id="rId1"/>
  </sheets>
  <externalReferences>
    <externalReference r:id="rId2"/>
  </externalReferences>
  <definedNames>
    <definedName name="_xlnm.Print_Area" localSheetId="0">'upto 31.03.2020 (e-lekha) '!$A$1:$BK$62</definedName>
  </definedNames>
  <calcPr calcId="162913"/>
</workbook>
</file>

<file path=xl/calcChain.xml><?xml version="1.0" encoding="utf-8"?>
<calcChain xmlns="http://schemas.openxmlformats.org/spreadsheetml/2006/main">
  <c r="X30" i="1"/>
  <c r="BJ58" l="1"/>
  <c r="BI58"/>
  <c r="BG58"/>
  <c r="BF58"/>
  <c r="BD58"/>
  <c r="BC58"/>
  <c r="BA58"/>
  <c r="AZ58"/>
  <c r="AX58"/>
  <c r="AV58"/>
  <c r="AT58"/>
  <c r="AR58"/>
  <c r="AP58"/>
  <c r="AN58"/>
  <c r="AL58"/>
  <c r="AH58"/>
  <c r="AG58"/>
  <c r="AF58"/>
  <c r="AE58"/>
  <c r="AD58"/>
  <c r="AC58"/>
  <c r="AB58"/>
  <c r="AA58"/>
  <c r="Z58"/>
  <c r="Y58"/>
  <c r="W58"/>
  <c r="V58"/>
  <c r="U58"/>
  <c r="T58"/>
  <c r="X53"/>
  <c r="R53"/>
  <c r="Q53"/>
  <c r="AG53" s="1"/>
  <c r="P53"/>
  <c r="O53"/>
  <c r="N53"/>
  <c r="Z53" s="1"/>
  <c r="M53"/>
  <c r="Y53" s="1"/>
  <c r="J53"/>
  <c r="W53" s="1"/>
  <c r="I53"/>
  <c r="V53" s="1"/>
  <c r="H53"/>
  <c r="U53" s="1"/>
  <c r="G53"/>
  <c r="T53" s="1"/>
  <c r="F53"/>
  <c r="S53" s="1"/>
  <c r="E53"/>
  <c r="B53"/>
  <c r="BG53" s="1"/>
  <c r="A53"/>
  <c r="AT53" s="1"/>
  <c r="X50"/>
  <c r="R50"/>
  <c r="Q50"/>
  <c r="P50"/>
  <c r="AF50" s="1"/>
  <c r="O50"/>
  <c r="N50"/>
  <c r="Z50" s="1"/>
  <c r="M50"/>
  <c r="Y50" s="1"/>
  <c r="J50"/>
  <c r="W50" s="1"/>
  <c r="I50"/>
  <c r="V50" s="1"/>
  <c r="H50"/>
  <c r="U50" s="1"/>
  <c r="G50"/>
  <c r="T50" s="1"/>
  <c r="F50"/>
  <c r="S50" s="1"/>
  <c r="E50"/>
  <c r="B50"/>
  <c r="BJ50" s="1"/>
  <c r="A50"/>
  <c r="AX50" s="1"/>
  <c r="BH47"/>
  <c r="BH55" s="1"/>
  <c r="BE47"/>
  <c r="BE55" s="1"/>
  <c r="BB47"/>
  <c r="BB55" s="1"/>
  <c r="AY47"/>
  <c r="AW47"/>
  <c r="AW55" s="1"/>
  <c r="AU47"/>
  <c r="AU55" s="1"/>
  <c r="AS47"/>
  <c r="AS55" s="1"/>
  <c r="AQ47"/>
  <c r="AQ55" s="1"/>
  <c r="AO47"/>
  <c r="AO55" s="1"/>
  <c r="AM47"/>
  <c r="AK47"/>
  <c r="AK55" s="1"/>
  <c r="AI47"/>
  <c r="K47"/>
  <c r="K55" s="1"/>
  <c r="X46"/>
  <c r="R46"/>
  <c r="Q46"/>
  <c r="P46"/>
  <c r="AF46" s="1"/>
  <c r="O46"/>
  <c r="N46"/>
  <c r="Z46" s="1"/>
  <c r="M46"/>
  <c r="Y46" s="1"/>
  <c r="J46"/>
  <c r="W46" s="1"/>
  <c r="I46"/>
  <c r="V46" s="1"/>
  <c r="H46"/>
  <c r="U46" s="1"/>
  <c r="G46"/>
  <c r="T46" s="1"/>
  <c r="F46"/>
  <c r="S46" s="1"/>
  <c r="E46"/>
  <c r="B46"/>
  <c r="BG46" s="1"/>
  <c r="A46"/>
  <c r="AT46" s="1"/>
  <c r="R44"/>
  <c r="Q44"/>
  <c r="P44"/>
  <c r="O44"/>
  <c r="N44"/>
  <c r="Z44" s="1"/>
  <c r="M44"/>
  <c r="Y44" s="1"/>
  <c r="L44"/>
  <c r="J44"/>
  <c r="W44" s="1"/>
  <c r="I44"/>
  <c r="V44" s="1"/>
  <c r="H44"/>
  <c r="U44" s="1"/>
  <c r="G44"/>
  <c r="T44" s="1"/>
  <c r="F44"/>
  <c r="S44" s="1"/>
  <c r="E44"/>
  <c r="B44"/>
  <c r="BJ44" s="1"/>
  <c r="A44"/>
  <c r="AX44" s="1"/>
  <c r="R43"/>
  <c r="Q43"/>
  <c r="Q47" s="1"/>
  <c r="P43"/>
  <c r="O43"/>
  <c r="N43"/>
  <c r="M43"/>
  <c r="M47" s="1"/>
  <c r="L47"/>
  <c r="J43"/>
  <c r="W43" s="1"/>
  <c r="I43"/>
  <c r="V43" s="1"/>
  <c r="H43"/>
  <c r="H47" s="1"/>
  <c r="G43"/>
  <c r="T43" s="1"/>
  <c r="F43"/>
  <c r="E43"/>
  <c r="B43"/>
  <c r="B47" s="1"/>
  <c r="A43"/>
  <c r="AT43" s="1"/>
  <c r="BH38"/>
  <c r="BH60" s="1"/>
  <c r="BE38"/>
  <c r="BE60" s="1"/>
  <c r="BB38"/>
  <c r="AY38"/>
  <c r="AY60" s="1"/>
  <c r="AW38"/>
  <c r="AW60" s="1"/>
  <c r="AU38"/>
  <c r="AU60" s="1"/>
  <c r="AS38"/>
  <c r="AS60" s="1"/>
  <c r="AQ38"/>
  <c r="AQ60" s="1"/>
  <c r="AO38"/>
  <c r="AO60" s="1"/>
  <c r="AM38"/>
  <c r="AM60" s="1"/>
  <c r="AK38"/>
  <c r="AK60" s="1"/>
  <c r="AI38"/>
  <c r="AI60" s="1"/>
  <c r="L38"/>
  <c r="K38"/>
  <c r="K60" s="1"/>
  <c r="BH37"/>
  <c r="BH39" s="1"/>
  <c r="BE37"/>
  <c r="BE39" s="1"/>
  <c r="BB37"/>
  <c r="AY37"/>
  <c r="AW37"/>
  <c r="AW39" s="1"/>
  <c r="AU37"/>
  <c r="AU59" s="1"/>
  <c r="AS37"/>
  <c r="AQ37"/>
  <c r="AQ59" s="1"/>
  <c r="AO37"/>
  <c r="AO39" s="1"/>
  <c r="AM37"/>
  <c r="AK37"/>
  <c r="AI37"/>
  <c r="L37"/>
  <c r="L39" s="1"/>
  <c r="K37"/>
  <c r="R35"/>
  <c r="Q35"/>
  <c r="P35"/>
  <c r="O35"/>
  <c r="AA35" s="1"/>
  <c r="N35"/>
  <c r="M35"/>
  <c r="J35"/>
  <c r="I35"/>
  <c r="H35"/>
  <c r="G35"/>
  <c r="F35"/>
  <c r="E35"/>
  <c r="B35"/>
  <c r="BG35" s="1"/>
  <c r="A35"/>
  <c r="AT35" s="1"/>
  <c r="X34"/>
  <c r="R34"/>
  <c r="Q34"/>
  <c r="P34"/>
  <c r="O34"/>
  <c r="N34"/>
  <c r="Z34" s="1"/>
  <c r="M34"/>
  <c r="Y34" s="1"/>
  <c r="J34"/>
  <c r="W34" s="1"/>
  <c r="I34"/>
  <c r="V34" s="1"/>
  <c r="H34"/>
  <c r="U34" s="1"/>
  <c r="G34"/>
  <c r="T34" s="1"/>
  <c r="F34"/>
  <c r="S34" s="1"/>
  <c r="E34"/>
  <c r="B34"/>
  <c r="BJ34" s="1"/>
  <c r="A34"/>
  <c r="BI34" s="1"/>
  <c r="M33"/>
  <c r="X32"/>
  <c r="R32"/>
  <c r="Q32"/>
  <c r="P32"/>
  <c r="O32"/>
  <c r="AA32" s="1"/>
  <c r="N32"/>
  <c r="M32"/>
  <c r="Y32" s="1"/>
  <c r="J32"/>
  <c r="W32" s="1"/>
  <c r="I32"/>
  <c r="H32"/>
  <c r="G32"/>
  <c r="F32"/>
  <c r="S32" s="1"/>
  <c r="E32"/>
  <c r="B32"/>
  <c r="BG32" s="1"/>
  <c r="A32"/>
  <c r="AT32" s="1"/>
  <c r="R30"/>
  <c r="Q30"/>
  <c r="P30"/>
  <c r="O30"/>
  <c r="N30"/>
  <c r="M30"/>
  <c r="J30"/>
  <c r="I30"/>
  <c r="H30"/>
  <c r="G30"/>
  <c r="F30"/>
  <c r="E30"/>
  <c r="B30"/>
  <c r="BG30" s="1"/>
  <c r="A30"/>
  <c r="BF30" s="1"/>
  <c r="X29"/>
  <c r="R29"/>
  <c r="Q29"/>
  <c r="P29"/>
  <c r="O29"/>
  <c r="N29"/>
  <c r="Z29" s="1"/>
  <c r="M29"/>
  <c r="Y29" s="1"/>
  <c r="J29"/>
  <c r="W29" s="1"/>
  <c r="I29"/>
  <c r="V29" s="1"/>
  <c r="H29"/>
  <c r="U29" s="1"/>
  <c r="G29"/>
  <c r="T29" s="1"/>
  <c r="F29"/>
  <c r="S29" s="1"/>
  <c r="E29"/>
  <c r="B29"/>
  <c r="BJ29" s="1"/>
  <c r="A29"/>
  <c r="AX29" s="1"/>
  <c r="X28"/>
  <c r="R28"/>
  <c r="R38" s="1"/>
  <c r="Q28"/>
  <c r="Q38" s="1"/>
  <c r="P28"/>
  <c r="P38" s="1"/>
  <c r="O28"/>
  <c r="O38" s="1"/>
  <c r="N28"/>
  <c r="N38" s="1"/>
  <c r="M28"/>
  <c r="M38" s="1"/>
  <c r="J28"/>
  <c r="J38" s="1"/>
  <c r="I28"/>
  <c r="I38" s="1"/>
  <c r="H28"/>
  <c r="H38" s="1"/>
  <c r="G28"/>
  <c r="T28" s="1"/>
  <c r="F28"/>
  <c r="F38" s="1"/>
  <c r="E28"/>
  <c r="E38" s="1"/>
  <c r="E60" s="1"/>
  <c r="B28"/>
  <c r="B38" s="1"/>
  <c r="B60" s="1"/>
  <c r="A28"/>
  <c r="AT28" s="1"/>
  <c r="X26"/>
  <c r="R26"/>
  <c r="Q26"/>
  <c r="P26"/>
  <c r="O26"/>
  <c r="N26"/>
  <c r="Z26" s="1"/>
  <c r="M26"/>
  <c r="Y26" s="1"/>
  <c r="J26"/>
  <c r="W26" s="1"/>
  <c r="I26"/>
  <c r="V26" s="1"/>
  <c r="H26"/>
  <c r="U26" s="1"/>
  <c r="G26"/>
  <c r="T26" s="1"/>
  <c r="F26"/>
  <c r="S26" s="1"/>
  <c r="E26"/>
  <c r="B26"/>
  <c r="BJ26" s="1"/>
  <c r="A26"/>
  <c r="AX26" s="1"/>
  <c r="X25"/>
  <c r="R25"/>
  <c r="Q25"/>
  <c r="P25"/>
  <c r="O25"/>
  <c r="N25"/>
  <c r="Z25" s="1"/>
  <c r="M25"/>
  <c r="Y25" s="1"/>
  <c r="J25"/>
  <c r="W25" s="1"/>
  <c r="I25"/>
  <c r="V25" s="1"/>
  <c r="H25"/>
  <c r="U25" s="1"/>
  <c r="G25"/>
  <c r="T25" s="1"/>
  <c r="F25"/>
  <c r="S25" s="1"/>
  <c r="E25"/>
  <c r="B25"/>
  <c r="BG25" s="1"/>
  <c r="A25"/>
  <c r="AT25" s="1"/>
  <c r="X24"/>
  <c r="R24"/>
  <c r="Q24"/>
  <c r="P24"/>
  <c r="O24"/>
  <c r="N24"/>
  <c r="Z24" s="1"/>
  <c r="M24"/>
  <c r="Y24" s="1"/>
  <c r="J24"/>
  <c r="W24" s="1"/>
  <c r="I24"/>
  <c r="V24" s="1"/>
  <c r="H24"/>
  <c r="U24" s="1"/>
  <c r="G24"/>
  <c r="T24" s="1"/>
  <c r="F24"/>
  <c r="S24" s="1"/>
  <c r="E24"/>
  <c r="B24"/>
  <c r="BJ24" s="1"/>
  <c r="A24"/>
  <c r="AX24" s="1"/>
  <c r="X23"/>
  <c r="R23"/>
  <c r="Q23"/>
  <c r="P23"/>
  <c r="O23"/>
  <c r="N23"/>
  <c r="Z23" s="1"/>
  <c r="M23"/>
  <c r="Y23" s="1"/>
  <c r="J23"/>
  <c r="W23" s="1"/>
  <c r="I23"/>
  <c r="V23" s="1"/>
  <c r="H23"/>
  <c r="U23" s="1"/>
  <c r="G23"/>
  <c r="T23" s="1"/>
  <c r="F23"/>
  <c r="S23" s="1"/>
  <c r="E23"/>
  <c r="B23"/>
  <c r="BG23" s="1"/>
  <c r="A23"/>
  <c r="AT23" s="1"/>
  <c r="X22"/>
  <c r="R22"/>
  <c r="Q22"/>
  <c r="P22"/>
  <c r="O22"/>
  <c r="N22"/>
  <c r="Z22" s="1"/>
  <c r="M22"/>
  <c r="Y22" s="1"/>
  <c r="J22"/>
  <c r="W22" s="1"/>
  <c r="I22"/>
  <c r="V22" s="1"/>
  <c r="H22"/>
  <c r="U22" s="1"/>
  <c r="G22"/>
  <c r="T22" s="1"/>
  <c r="F22"/>
  <c r="S22" s="1"/>
  <c r="E22"/>
  <c r="B22"/>
  <c r="BJ22" s="1"/>
  <c r="A22"/>
  <c r="AX22" s="1"/>
  <c r="X21"/>
  <c r="R21"/>
  <c r="Q21"/>
  <c r="P21"/>
  <c r="O21"/>
  <c r="N21"/>
  <c r="Z21" s="1"/>
  <c r="M21"/>
  <c r="Y21" s="1"/>
  <c r="J21"/>
  <c r="W21" s="1"/>
  <c r="I21"/>
  <c r="V21" s="1"/>
  <c r="H21"/>
  <c r="U21" s="1"/>
  <c r="G21"/>
  <c r="T21" s="1"/>
  <c r="F21"/>
  <c r="S21" s="1"/>
  <c r="E21"/>
  <c r="B21"/>
  <c r="BG21" s="1"/>
  <c r="A21"/>
  <c r="AT21" s="1"/>
  <c r="X20"/>
  <c r="R20"/>
  <c r="Q20"/>
  <c r="P20"/>
  <c r="O20"/>
  <c r="N20"/>
  <c r="Z20" s="1"/>
  <c r="M20"/>
  <c r="Y20" s="1"/>
  <c r="J20"/>
  <c r="W20" s="1"/>
  <c r="I20"/>
  <c r="V20" s="1"/>
  <c r="H20"/>
  <c r="U20" s="1"/>
  <c r="G20"/>
  <c r="T20" s="1"/>
  <c r="F20"/>
  <c r="S20" s="1"/>
  <c r="E20"/>
  <c r="B20"/>
  <c r="BJ20" s="1"/>
  <c r="A20"/>
  <c r="AX20" s="1"/>
  <c r="X19"/>
  <c r="R19"/>
  <c r="Q19"/>
  <c r="P19"/>
  <c r="O19"/>
  <c r="N19"/>
  <c r="Z19" s="1"/>
  <c r="M19"/>
  <c r="Y19" s="1"/>
  <c r="J19"/>
  <c r="W19" s="1"/>
  <c r="I19"/>
  <c r="V19" s="1"/>
  <c r="H19"/>
  <c r="U19" s="1"/>
  <c r="G19"/>
  <c r="T19" s="1"/>
  <c r="F19"/>
  <c r="S19" s="1"/>
  <c r="E19"/>
  <c r="B19"/>
  <c r="BG19" s="1"/>
  <c r="A19"/>
  <c r="AT19" s="1"/>
  <c r="X18"/>
  <c r="S18"/>
  <c r="R18"/>
  <c r="Q18"/>
  <c r="P18"/>
  <c r="AB18" s="1"/>
  <c r="O18"/>
  <c r="N18"/>
  <c r="Z18" s="1"/>
  <c r="M18"/>
  <c r="Y18" s="1"/>
  <c r="J18"/>
  <c r="W18" s="1"/>
  <c r="I18"/>
  <c r="V18" s="1"/>
  <c r="H18"/>
  <c r="U18" s="1"/>
  <c r="G18"/>
  <c r="T18" s="1"/>
  <c r="F18"/>
  <c r="E18"/>
  <c r="B18"/>
  <c r="A18"/>
  <c r="AR18" s="1"/>
  <c r="X17"/>
  <c r="W17"/>
  <c r="R17"/>
  <c r="Q17"/>
  <c r="P17"/>
  <c r="O17"/>
  <c r="N17"/>
  <c r="Z17" s="1"/>
  <c r="M17"/>
  <c r="Y17" s="1"/>
  <c r="J17"/>
  <c r="I17"/>
  <c r="V17" s="1"/>
  <c r="H17"/>
  <c r="U17" s="1"/>
  <c r="G17"/>
  <c r="T17" s="1"/>
  <c r="F17"/>
  <c r="S17" s="1"/>
  <c r="E17"/>
  <c r="B17"/>
  <c r="BG17" s="1"/>
  <c r="A17"/>
  <c r="BF17" s="1"/>
  <c r="AD16"/>
  <c r="X16"/>
  <c r="U16"/>
  <c r="R16"/>
  <c r="Q16"/>
  <c r="P16"/>
  <c r="O16"/>
  <c r="N16"/>
  <c r="Z16" s="1"/>
  <c r="M16"/>
  <c r="Y16" s="1"/>
  <c r="J16"/>
  <c r="W16" s="1"/>
  <c r="I16"/>
  <c r="V16" s="1"/>
  <c r="H16"/>
  <c r="G16"/>
  <c r="T16" s="1"/>
  <c r="F16"/>
  <c r="S16" s="1"/>
  <c r="E16"/>
  <c r="B16"/>
  <c r="BJ16" s="1"/>
  <c r="A16"/>
  <c r="BI16" s="1"/>
  <c r="AD15"/>
  <c r="X15"/>
  <c r="R15"/>
  <c r="Q15"/>
  <c r="P15"/>
  <c r="O15"/>
  <c r="N15"/>
  <c r="Z15" s="1"/>
  <c r="M15"/>
  <c r="Y15" s="1"/>
  <c r="J15"/>
  <c r="W15" s="1"/>
  <c r="I15"/>
  <c r="V15" s="1"/>
  <c r="H15"/>
  <c r="U15" s="1"/>
  <c r="G15"/>
  <c r="T15" s="1"/>
  <c r="F15"/>
  <c r="S15" s="1"/>
  <c r="E15"/>
  <c r="B15"/>
  <c r="BG15" s="1"/>
  <c r="A15"/>
  <c r="BF15" s="1"/>
  <c r="AD14"/>
  <c r="X14"/>
  <c r="R14"/>
  <c r="AH14" s="1"/>
  <c r="Q14"/>
  <c r="P14"/>
  <c r="O14"/>
  <c r="N14"/>
  <c r="Z14" s="1"/>
  <c r="M14"/>
  <c r="Y14" s="1"/>
  <c r="J14"/>
  <c r="W14" s="1"/>
  <c r="I14"/>
  <c r="V14" s="1"/>
  <c r="H14"/>
  <c r="U14" s="1"/>
  <c r="G14"/>
  <c r="T14" s="1"/>
  <c r="F14"/>
  <c r="S14" s="1"/>
  <c r="E14"/>
  <c r="B14"/>
  <c r="BJ14" s="1"/>
  <c r="A14"/>
  <c r="BI14" s="1"/>
  <c r="AD13"/>
  <c r="X13"/>
  <c r="W13"/>
  <c r="R13"/>
  <c r="Q13"/>
  <c r="AG13" s="1"/>
  <c r="P13"/>
  <c r="O13"/>
  <c r="N13"/>
  <c r="Z13" s="1"/>
  <c r="M13"/>
  <c r="Y13" s="1"/>
  <c r="J13"/>
  <c r="I13"/>
  <c r="V13" s="1"/>
  <c r="H13"/>
  <c r="U13" s="1"/>
  <c r="G13"/>
  <c r="T13" s="1"/>
  <c r="F13"/>
  <c r="S13" s="1"/>
  <c r="E13"/>
  <c r="B13"/>
  <c r="BG13" s="1"/>
  <c r="A13"/>
  <c r="BF13" s="1"/>
  <c r="AD12"/>
  <c r="X12"/>
  <c r="R12"/>
  <c r="Q12"/>
  <c r="P12"/>
  <c r="O12"/>
  <c r="N12"/>
  <c r="Z12" s="1"/>
  <c r="M12"/>
  <c r="Y12" s="1"/>
  <c r="J12"/>
  <c r="W12" s="1"/>
  <c r="I12"/>
  <c r="V12" s="1"/>
  <c r="H12"/>
  <c r="U12" s="1"/>
  <c r="G12"/>
  <c r="T12" s="1"/>
  <c r="F12"/>
  <c r="S12" s="1"/>
  <c r="E12"/>
  <c r="B12"/>
  <c r="BJ12" s="1"/>
  <c r="A12"/>
  <c r="BI12" s="1"/>
  <c r="AD11"/>
  <c r="X11"/>
  <c r="R11"/>
  <c r="Q11"/>
  <c r="P11"/>
  <c r="O11"/>
  <c r="N11"/>
  <c r="M11"/>
  <c r="J11"/>
  <c r="W11" s="1"/>
  <c r="I11"/>
  <c r="H11"/>
  <c r="G11"/>
  <c r="F11"/>
  <c r="E11"/>
  <c r="B11"/>
  <c r="A11"/>
  <c r="AF12" l="1"/>
  <c r="AF29"/>
  <c r="AE34"/>
  <c r="BC35"/>
  <c r="AF16"/>
  <c r="A37"/>
  <c r="G37"/>
  <c r="M37"/>
  <c r="Y37" s="1"/>
  <c r="Q37"/>
  <c r="AG17"/>
  <c r="AF19"/>
  <c r="AG20"/>
  <c r="AH21"/>
  <c r="AF23"/>
  <c r="AG24"/>
  <c r="AH25"/>
  <c r="AE15"/>
  <c r="AE18"/>
  <c r="H37"/>
  <c r="N37"/>
  <c r="N39" s="1"/>
  <c r="Z39" s="1"/>
  <c r="R37"/>
  <c r="AG12"/>
  <c r="AH13"/>
  <c r="AE14"/>
  <c r="AF15"/>
  <c r="AG16"/>
  <c r="AH17"/>
  <c r="AF18"/>
  <c r="AG19"/>
  <c r="AH20"/>
  <c r="AE21"/>
  <c r="AF22"/>
  <c r="AG23"/>
  <c r="AH24"/>
  <c r="AE25"/>
  <c r="AF26"/>
  <c r="AG29"/>
  <c r="AF34"/>
  <c r="AR35"/>
  <c r="BF35"/>
  <c r="E47"/>
  <c r="E55" s="1"/>
  <c r="N47"/>
  <c r="R47"/>
  <c r="AE44"/>
  <c r="AG46"/>
  <c r="AG50"/>
  <c r="AH53"/>
  <c r="AE26"/>
  <c r="E37"/>
  <c r="I37"/>
  <c r="O37"/>
  <c r="AH12"/>
  <c r="AE13"/>
  <c r="AF14"/>
  <c r="AG15"/>
  <c r="AH16"/>
  <c r="AE17"/>
  <c r="AG18"/>
  <c r="AH19"/>
  <c r="AE20"/>
  <c r="AF21"/>
  <c r="AG22"/>
  <c r="AH23"/>
  <c r="AE24"/>
  <c r="AF25"/>
  <c r="AG26"/>
  <c r="AH29"/>
  <c r="AG34"/>
  <c r="AV35"/>
  <c r="BI35"/>
  <c r="AK39"/>
  <c r="AS39"/>
  <c r="BB39"/>
  <c r="X38"/>
  <c r="F47"/>
  <c r="AE43"/>
  <c r="AF44"/>
  <c r="AH46"/>
  <c r="AH50"/>
  <c r="AE53"/>
  <c r="AE22"/>
  <c r="AH44"/>
  <c r="B37"/>
  <c r="BD37" s="1"/>
  <c r="F37"/>
  <c r="F39" s="1"/>
  <c r="S39" s="1"/>
  <c r="J37"/>
  <c r="P37"/>
  <c r="AE12"/>
  <c r="AF13"/>
  <c r="AG14"/>
  <c r="AH15"/>
  <c r="AE16"/>
  <c r="AF17"/>
  <c r="AE19"/>
  <c r="AF20"/>
  <c r="AG21"/>
  <c r="AH22"/>
  <c r="AE23"/>
  <c r="AF24"/>
  <c r="AG25"/>
  <c r="AH26"/>
  <c r="U28"/>
  <c r="AE29"/>
  <c r="AH34"/>
  <c r="AZ35"/>
  <c r="P47"/>
  <c r="AG44"/>
  <c r="AE46"/>
  <c r="AE50"/>
  <c r="AF53"/>
  <c r="E39"/>
  <c r="E59"/>
  <c r="E61" s="1"/>
  <c r="B39"/>
  <c r="BG39" s="1"/>
  <c r="H39"/>
  <c r="U39" s="1"/>
  <c r="U37"/>
  <c r="R39"/>
  <c r="AH37"/>
  <c r="AD37"/>
  <c r="I60"/>
  <c r="V60" s="1"/>
  <c r="V38"/>
  <c r="O60"/>
  <c r="AE38"/>
  <c r="AA38"/>
  <c r="AU61"/>
  <c r="BA60"/>
  <c r="L55"/>
  <c r="X55" s="1"/>
  <c r="X47"/>
  <c r="P55"/>
  <c r="AF47"/>
  <c r="AB47"/>
  <c r="V11"/>
  <c r="Z11"/>
  <c r="AH11"/>
  <c r="AP11"/>
  <c r="AX11"/>
  <c r="BD11"/>
  <c r="BJ11"/>
  <c r="AB12"/>
  <c r="AL12"/>
  <c r="AT12"/>
  <c r="BA12"/>
  <c r="BG12"/>
  <c r="AP13"/>
  <c r="AX13"/>
  <c r="BD13"/>
  <c r="BJ13"/>
  <c r="AB14"/>
  <c r="AL14"/>
  <c r="AT14"/>
  <c r="BA14"/>
  <c r="BG14"/>
  <c r="AP15"/>
  <c r="AX15"/>
  <c r="BD15"/>
  <c r="BJ15"/>
  <c r="AB16"/>
  <c r="AL16"/>
  <c r="AT16"/>
  <c r="BA16"/>
  <c r="BG16"/>
  <c r="AD17"/>
  <c r="AP17"/>
  <c r="AX17"/>
  <c r="BD17"/>
  <c r="BJ17"/>
  <c r="AC18"/>
  <c r="AJ18"/>
  <c r="AZ18"/>
  <c r="K59"/>
  <c r="K61" s="1"/>
  <c r="T37"/>
  <c r="Q39"/>
  <c r="AG37"/>
  <c r="AC37"/>
  <c r="H60"/>
  <c r="U60" s="1"/>
  <c r="U38"/>
  <c r="Z38"/>
  <c r="N60"/>
  <c r="Z60" s="1"/>
  <c r="AH38"/>
  <c r="AD38"/>
  <c r="R60"/>
  <c r="BD39"/>
  <c r="BJ60"/>
  <c r="F55"/>
  <c r="S55" s="1"/>
  <c r="S47"/>
  <c r="U11"/>
  <c r="Y11"/>
  <c r="AC11"/>
  <c r="AG11"/>
  <c r="AN11"/>
  <c r="AV11"/>
  <c r="BC11"/>
  <c r="BI11"/>
  <c r="AA12"/>
  <c r="AJ12"/>
  <c r="AR12"/>
  <c r="AZ12"/>
  <c r="BF12"/>
  <c r="AC13"/>
  <c r="AN13"/>
  <c r="AV13"/>
  <c r="BC13"/>
  <c r="BI13"/>
  <c r="AA14"/>
  <c r="AJ14"/>
  <c r="AR14"/>
  <c r="AZ14"/>
  <c r="BF14"/>
  <c r="AC15"/>
  <c r="AN15"/>
  <c r="AV15"/>
  <c r="BC15"/>
  <c r="BI15"/>
  <c r="AA16"/>
  <c r="AJ16"/>
  <c r="AR16"/>
  <c r="AZ16"/>
  <c r="BF16"/>
  <c r="AC17"/>
  <c r="AN17"/>
  <c r="AV17"/>
  <c r="BC17"/>
  <c r="BI17"/>
  <c r="AV18"/>
  <c r="BC37"/>
  <c r="M39"/>
  <c r="Y39" s="1"/>
  <c r="J39"/>
  <c r="W39" s="1"/>
  <c r="W37"/>
  <c r="P39"/>
  <c r="AF37"/>
  <c r="AB37"/>
  <c r="P59"/>
  <c r="BJ18"/>
  <c r="BD18"/>
  <c r="BG18"/>
  <c r="BA18"/>
  <c r="AH18"/>
  <c r="AD18"/>
  <c r="Y38"/>
  <c r="M60"/>
  <c r="Y60" s="1"/>
  <c r="AG38"/>
  <c r="AC38"/>
  <c r="Q60"/>
  <c r="AQ61"/>
  <c r="BG60"/>
  <c r="N55"/>
  <c r="Z55" s="1"/>
  <c r="Z47"/>
  <c r="R55"/>
  <c r="AH47"/>
  <c r="AD47"/>
  <c r="T11"/>
  <c r="AB11"/>
  <c r="AF11"/>
  <c r="AL11"/>
  <c r="AT11"/>
  <c r="BA11"/>
  <c r="BG11"/>
  <c r="AP12"/>
  <c r="AX12"/>
  <c r="BD12"/>
  <c r="AB13"/>
  <c r="AL13"/>
  <c r="AT13"/>
  <c r="BA13"/>
  <c r="AP14"/>
  <c r="AX14"/>
  <c r="BD14"/>
  <c r="AB15"/>
  <c r="AL15"/>
  <c r="AT15"/>
  <c r="BA15"/>
  <c r="AP16"/>
  <c r="AX16"/>
  <c r="BD16"/>
  <c r="AB17"/>
  <c r="AL17"/>
  <c r="AT17"/>
  <c r="BA17"/>
  <c r="AA18"/>
  <c r="BA47"/>
  <c r="I39"/>
  <c r="V39" s="1"/>
  <c r="V37"/>
  <c r="O39"/>
  <c r="AE37"/>
  <c r="AA37"/>
  <c r="AX18"/>
  <c r="AP18"/>
  <c r="AT18"/>
  <c r="AL18"/>
  <c r="BI18"/>
  <c r="BC18"/>
  <c r="F60"/>
  <c r="S60" s="1"/>
  <c r="S38"/>
  <c r="J60"/>
  <c r="W60" s="1"/>
  <c r="W38"/>
  <c r="AF38"/>
  <c r="AB38"/>
  <c r="P60"/>
  <c r="B55"/>
  <c r="BD55" s="1"/>
  <c r="BD47"/>
  <c r="H55"/>
  <c r="U55" s="1"/>
  <c r="U47"/>
  <c r="M55"/>
  <c r="Y55" s="1"/>
  <c r="Y47"/>
  <c r="Q55"/>
  <c r="Q59" s="1"/>
  <c r="AG47"/>
  <c r="AC47"/>
  <c r="S11"/>
  <c r="AA11"/>
  <c r="AE11"/>
  <c r="AJ11"/>
  <c r="AR11"/>
  <c r="AZ11"/>
  <c r="BF11"/>
  <c r="AC12"/>
  <c r="AN12"/>
  <c r="AV12"/>
  <c r="BC12"/>
  <c r="AA13"/>
  <c r="AJ13"/>
  <c r="AR13"/>
  <c r="AZ13"/>
  <c r="AC14"/>
  <c r="AN14"/>
  <c r="AV14"/>
  <c r="BC14"/>
  <c r="AA15"/>
  <c r="AJ15"/>
  <c r="AR15"/>
  <c r="AZ15"/>
  <c r="AC16"/>
  <c r="AN16"/>
  <c r="AV16"/>
  <c r="BC16"/>
  <c r="AA17"/>
  <c r="AJ17"/>
  <c r="AR17"/>
  <c r="AZ17"/>
  <c r="AN18"/>
  <c r="BF18"/>
  <c r="BD38"/>
  <c r="AA19"/>
  <c r="AJ19"/>
  <c r="AR19"/>
  <c r="AZ19"/>
  <c r="BF19"/>
  <c r="AC20"/>
  <c r="AN20"/>
  <c r="AV20"/>
  <c r="BC20"/>
  <c r="BI20"/>
  <c r="AA21"/>
  <c r="AJ21"/>
  <c r="AR21"/>
  <c r="AZ21"/>
  <c r="BF21"/>
  <c r="AC22"/>
  <c r="AN22"/>
  <c r="AV22"/>
  <c r="BC22"/>
  <c r="BI22"/>
  <c r="AA23"/>
  <c r="AJ23"/>
  <c r="AR23"/>
  <c r="AZ23"/>
  <c r="BF23"/>
  <c r="AC24"/>
  <c r="AN24"/>
  <c r="AV24"/>
  <c r="BC24"/>
  <c r="BI24"/>
  <c r="AA25"/>
  <c r="AJ25"/>
  <c r="AR25"/>
  <c r="AZ25"/>
  <c r="BF25"/>
  <c r="AC26"/>
  <c r="AN26"/>
  <c r="AV26"/>
  <c r="BC26"/>
  <c r="BI26"/>
  <c r="S28"/>
  <c r="W28"/>
  <c r="AA28"/>
  <c r="AE28"/>
  <c r="AJ28"/>
  <c r="AR28"/>
  <c r="AZ28"/>
  <c r="BF28"/>
  <c r="AC29"/>
  <c r="AN29"/>
  <c r="AV29"/>
  <c r="BC29"/>
  <c r="BI29"/>
  <c r="AP30"/>
  <c r="AX30"/>
  <c r="BD30"/>
  <c r="BJ30"/>
  <c r="AJ32"/>
  <c r="AR32"/>
  <c r="AZ32"/>
  <c r="BF32"/>
  <c r="AB34"/>
  <c r="AL34"/>
  <c r="AT34"/>
  <c r="BA34"/>
  <c r="BG34"/>
  <c r="BG37"/>
  <c r="A38"/>
  <c r="G38"/>
  <c r="G39" s="1"/>
  <c r="T39" s="1"/>
  <c r="BG38"/>
  <c r="K39"/>
  <c r="X39" s="1"/>
  <c r="AI39"/>
  <c r="AM39"/>
  <c r="AQ39"/>
  <c r="AU39"/>
  <c r="AY39"/>
  <c r="U43"/>
  <c r="Z43"/>
  <c r="AD43"/>
  <c r="AH43"/>
  <c r="AR43"/>
  <c r="AZ43"/>
  <c r="BF43"/>
  <c r="AC44"/>
  <c r="AN44"/>
  <c r="AV44"/>
  <c r="BC44"/>
  <c r="BI44"/>
  <c r="AA46"/>
  <c r="AJ46"/>
  <c r="AR46"/>
  <c r="AZ46"/>
  <c r="BF46"/>
  <c r="A47"/>
  <c r="AX47" s="1"/>
  <c r="G47"/>
  <c r="O47"/>
  <c r="BG47"/>
  <c r="AC50"/>
  <c r="AN50"/>
  <c r="AV50"/>
  <c r="BC50"/>
  <c r="BI50"/>
  <c r="AA53"/>
  <c r="AJ53"/>
  <c r="AR53"/>
  <c r="AZ53"/>
  <c r="BF53"/>
  <c r="AI55"/>
  <c r="AI59" s="1"/>
  <c r="AM55"/>
  <c r="AY55"/>
  <c r="BB59"/>
  <c r="BB60"/>
  <c r="AD19"/>
  <c r="AP19"/>
  <c r="AX19"/>
  <c r="BD19"/>
  <c r="BJ19"/>
  <c r="AB20"/>
  <c r="AL20"/>
  <c r="AT20"/>
  <c r="BA20"/>
  <c r="BG20"/>
  <c r="AD21"/>
  <c r="AP21"/>
  <c r="AX21"/>
  <c r="BD21"/>
  <c r="BJ21"/>
  <c r="AB22"/>
  <c r="AL22"/>
  <c r="AT22"/>
  <c r="BA22"/>
  <c r="BG22"/>
  <c r="AD23"/>
  <c r="AP23"/>
  <c r="AX23"/>
  <c r="BD23"/>
  <c r="BJ23"/>
  <c r="AB24"/>
  <c r="AL24"/>
  <c r="AT24"/>
  <c r="BA24"/>
  <c r="BG24"/>
  <c r="AD25"/>
  <c r="AP25"/>
  <c r="AX25"/>
  <c r="BD25"/>
  <c r="BJ25"/>
  <c r="AB26"/>
  <c r="AL26"/>
  <c r="AT26"/>
  <c r="BA26"/>
  <c r="BG26"/>
  <c r="V28"/>
  <c r="Z28"/>
  <c r="AD28"/>
  <c r="AH28"/>
  <c r="AP28"/>
  <c r="AX28"/>
  <c r="BD28"/>
  <c r="BJ28"/>
  <c r="AB29"/>
  <c r="AL29"/>
  <c r="AT29"/>
  <c r="BA29"/>
  <c r="BG29"/>
  <c r="AV30"/>
  <c r="BC30"/>
  <c r="BI30"/>
  <c r="AP32"/>
  <c r="AX32"/>
  <c r="BD32"/>
  <c r="BJ32"/>
  <c r="AA34"/>
  <c r="AJ34"/>
  <c r="AR34"/>
  <c r="AZ34"/>
  <c r="BF34"/>
  <c r="AP35"/>
  <c r="AX35"/>
  <c r="BD35"/>
  <c r="BJ35"/>
  <c r="AL37"/>
  <c r="AP37"/>
  <c r="AT37"/>
  <c r="AX37"/>
  <c r="BF37"/>
  <c r="BJ37"/>
  <c r="AL38"/>
  <c r="AP38"/>
  <c r="AT38"/>
  <c r="AX38"/>
  <c r="BF38"/>
  <c r="BJ38"/>
  <c r="Y43"/>
  <c r="AC43"/>
  <c r="AG43"/>
  <c r="AP43"/>
  <c r="AX43"/>
  <c r="BD43"/>
  <c r="BJ43"/>
  <c r="AB44"/>
  <c r="AL44"/>
  <c r="AT44"/>
  <c r="BA44"/>
  <c r="BG44"/>
  <c r="AD46"/>
  <c r="AP46"/>
  <c r="AX46"/>
  <c r="BD46"/>
  <c r="BJ46"/>
  <c r="J47"/>
  <c r="AP47"/>
  <c r="AT47"/>
  <c r="BJ47"/>
  <c r="AB50"/>
  <c r="AL50"/>
  <c r="AT50"/>
  <c r="BA50"/>
  <c r="BG50"/>
  <c r="AD53"/>
  <c r="AP53"/>
  <c r="AX53"/>
  <c r="BD53"/>
  <c r="BJ53"/>
  <c r="AK59"/>
  <c r="AO59"/>
  <c r="AS59"/>
  <c r="AW59"/>
  <c r="BE59"/>
  <c r="AC19"/>
  <c r="AN19"/>
  <c r="AV19"/>
  <c r="BC19"/>
  <c r="BI19"/>
  <c r="AA20"/>
  <c r="AJ20"/>
  <c r="AR20"/>
  <c r="AZ20"/>
  <c r="BF20"/>
  <c r="AC21"/>
  <c r="AN21"/>
  <c r="AV21"/>
  <c r="BC21"/>
  <c r="BI21"/>
  <c r="AA22"/>
  <c r="AJ22"/>
  <c r="AR22"/>
  <c r="AZ22"/>
  <c r="BF22"/>
  <c r="AC23"/>
  <c r="AN23"/>
  <c r="AV23"/>
  <c r="BC23"/>
  <c r="BI23"/>
  <c r="AA24"/>
  <c r="AJ24"/>
  <c r="AR24"/>
  <c r="AZ24"/>
  <c r="BF24"/>
  <c r="AC25"/>
  <c r="AN25"/>
  <c r="AV25"/>
  <c r="BC25"/>
  <c r="BI25"/>
  <c r="AA26"/>
  <c r="AJ26"/>
  <c r="AR26"/>
  <c r="AZ26"/>
  <c r="BF26"/>
  <c r="Y28"/>
  <c r="AC28"/>
  <c r="AG28"/>
  <c r="AN28"/>
  <c r="AV28"/>
  <c r="BC28"/>
  <c r="BI28"/>
  <c r="AA29"/>
  <c r="AJ29"/>
  <c r="AR29"/>
  <c r="AZ29"/>
  <c r="BF29"/>
  <c r="AT30"/>
  <c r="BA30"/>
  <c r="AN32"/>
  <c r="AV32"/>
  <c r="BC32"/>
  <c r="BI32"/>
  <c r="AD34"/>
  <c r="AP34"/>
  <c r="AX34"/>
  <c r="BD34"/>
  <c r="BI37"/>
  <c r="BA38"/>
  <c r="AB43"/>
  <c r="AF43"/>
  <c r="AN43"/>
  <c r="AV43"/>
  <c r="BC43"/>
  <c r="BI43"/>
  <c r="AA44"/>
  <c r="AJ44"/>
  <c r="AR44"/>
  <c r="AZ44"/>
  <c r="BF44"/>
  <c r="AC46"/>
  <c r="AN46"/>
  <c r="AV46"/>
  <c r="BC46"/>
  <c r="BI46"/>
  <c r="I47"/>
  <c r="BI47"/>
  <c r="AA50"/>
  <c r="AJ50"/>
  <c r="AR50"/>
  <c r="AZ50"/>
  <c r="BF50"/>
  <c r="AC53"/>
  <c r="AN53"/>
  <c r="AV53"/>
  <c r="BC53"/>
  <c r="BI53"/>
  <c r="L59"/>
  <c r="BH59"/>
  <c r="L60"/>
  <c r="X60" s="1"/>
  <c r="AB19"/>
  <c r="AL19"/>
  <c r="BA19"/>
  <c r="AD20"/>
  <c r="AP20"/>
  <c r="BD20"/>
  <c r="AB21"/>
  <c r="AL21"/>
  <c r="BA21"/>
  <c r="AD22"/>
  <c r="AP22"/>
  <c r="BD22"/>
  <c r="AB23"/>
  <c r="AL23"/>
  <c r="BA23"/>
  <c r="AD24"/>
  <c r="AP24"/>
  <c r="BD24"/>
  <c r="AB25"/>
  <c r="AL25"/>
  <c r="BA25"/>
  <c r="AD26"/>
  <c r="AP26"/>
  <c r="BD26"/>
  <c r="AB28"/>
  <c r="AF28"/>
  <c r="AL28"/>
  <c r="BA28"/>
  <c r="BG28"/>
  <c r="AD29"/>
  <c r="AP29"/>
  <c r="BD29"/>
  <c r="AR30"/>
  <c r="AZ30"/>
  <c r="AL32"/>
  <c r="BA32"/>
  <c r="AC34"/>
  <c r="AN34"/>
  <c r="AV34"/>
  <c r="BC34"/>
  <c r="BA35"/>
  <c r="X37"/>
  <c r="AJ37"/>
  <c r="AN37"/>
  <c r="AR37"/>
  <c r="AV37"/>
  <c r="AZ37"/>
  <c r="AJ38"/>
  <c r="AN38"/>
  <c r="AR38"/>
  <c r="AV38"/>
  <c r="AZ38"/>
  <c r="AA43"/>
  <c r="AL43"/>
  <c r="BA43"/>
  <c r="BG43"/>
  <c r="AD44"/>
  <c r="AP44"/>
  <c r="BD44"/>
  <c r="AB46"/>
  <c r="AL46"/>
  <c r="BA46"/>
  <c r="AD50"/>
  <c r="AP50"/>
  <c r="BD50"/>
  <c r="AB53"/>
  <c r="AL53"/>
  <c r="BA53"/>
  <c r="S37" l="1"/>
  <c r="F59"/>
  <c r="S59" s="1"/>
  <c r="BF47"/>
  <c r="AL47"/>
  <c r="BC47"/>
  <c r="Z37"/>
  <c r="BA37"/>
  <c r="BJ39"/>
  <c r="AI61"/>
  <c r="Q61"/>
  <c r="AG59"/>
  <c r="AC59"/>
  <c r="L61"/>
  <c r="X61" s="1"/>
  <c r="X59"/>
  <c r="I55"/>
  <c r="V47"/>
  <c r="AO61"/>
  <c r="AZ47"/>
  <c r="AV47"/>
  <c r="AR47"/>
  <c r="A55"/>
  <c r="AN55" s="1"/>
  <c r="AF60"/>
  <c r="AB60"/>
  <c r="P61"/>
  <c r="AF59"/>
  <c r="AB59"/>
  <c r="AH39"/>
  <c r="AD39"/>
  <c r="AN47"/>
  <c r="B59"/>
  <c r="B61" s="1"/>
  <c r="BH61"/>
  <c r="BJ59"/>
  <c r="AS61"/>
  <c r="BA55"/>
  <c r="T47"/>
  <c r="G55"/>
  <c r="AG55"/>
  <c r="AC55"/>
  <c r="AE39"/>
  <c r="AA39"/>
  <c r="AF39"/>
  <c r="AB39"/>
  <c r="AG39"/>
  <c r="AC39"/>
  <c r="AF55"/>
  <c r="AB55"/>
  <c r="BJ55"/>
  <c r="AM59"/>
  <c r="BG55"/>
  <c r="AW61"/>
  <c r="J55"/>
  <c r="W47"/>
  <c r="BD59"/>
  <c r="BB61"/>
  <c r="O55"/>
  <c r="AE47"/>
  <c r="AA47"/>
  <c r="BA39"/>
  <c r="A60"/>
  <c r="BI38"/>
  <c r="BC38"/>
  <c r="AH55"/>
  <c r="AD55"/>
  <c r="AE60"/>
  <c r="AA60"/>
  <c r="AJ47"/>
  <c r="M59"/>
  <c r="A39"/>
  <c r="AR39" s="1"/>
  <c r="BG59"/>
  <c r="BE61"/>
  <c r="AK61"/>
  <c r="BC60"/>
  <c r="BD60"/>
  <c r="G60"/>
  <c r="T60" s="1"/>
  <c r="T38"/>
  <c r="AG60"/>
  <c r="AC60"/>
  <c r="AH60"/>
  <c r="AD60"/>
  <c r="AY59"/>
  <c r="R59"/>
  <c r="N59"/>
  <c r="H59"/>
  <c r="F61" l="1"/>
  <c r="S61" s="1"/>
  <c r="AN39"/>
  <c r="AZ55"/>
  <c r="AJ55"/>
  <c r="R61"/>
  <c r="AH59"/>
  <c r="AD59"/>
  <c r="AE55"/>
  <c r="AA55"/>
  <c r="O59"/>
  <c r="AJ39"/>
  <c r="AV39"/>
  <c r="N61"/>
  <c r="Z61" s="1"/>
  <c r="Z59"/>
  <c r="BG61"/>
  <c r="AR60"/>
  <c r="BF60"/>
  <c r="AT60"/>
  <c r="AJ60"/>
  <c r="BI60"/>
  <c r="AX60"/>
  <c r="AL60"/>
  <c r="AZ60"/>
  <c r="AP60"/>
  <c r="AV60"/>
  <c r="AN60"/>
  <c r="T55"/>
  <c r="G59"/>
  <c r="BJ61"/>
  <c r="AF61"/>
  <c r="AB61"/>
  <c r="H61"/>
  <c r="U61" s="1"/>
  <c r="U59"/>
  <c r="M61"/>
  <c r="Y61" s="1"/>
  <c r="Y59"/>
  <c r="AM61"/>
  <c r="BC55"/>
  <c r="AL55"/>
  <c r="AR55"/>
  <c r="AX55"/>
  <c r="AV55"/>
  <c r="A59"/>
  <c r="AN59" s="1"/>
  <c r="AP55"/>
  <c r="BF55"/>
  <c r="AT55"/>
  <c r="BI55"/>
  <c r="AG61"/>
  <c r="AC61"/>
  <c r="AY61"/>
  <c r="AZ59"/>
  <c r="BA59"/>
  <c r="BF39"/>
  <c r="AL39"/>
  <c r="BC39"/>
  <c r="BI39"/>
  <c r="AX39"/>
  <c r="AT39"/>
  <c r="AP39"/>
  <c r="BD61"/>
  <c r="W55"/>
  <c r="J59"/>
  <c r="V55"/>
  <c r="I59"/>
  <c r="AZ39"/>
  <c r="W59" l="1"/>
  <c r="J61"/>
  <c r="W61" s="1"/>
  <c r="A61"/>
  <c r="AV59"/>
  <c r="AR59"/>
  <c r="AP59"/>
  <c r="BI59"/>
  <c r="AX59"/>
  <c r="BF59"/>
  <c r="AJ59"/>
  <c r="AT59"/>
  <c r="BC59"/>
  <c r="AL59"/>
  <c r="AH61"/>
  <c r="AD61"/>
  <c r="O61"/>
  <c r="AE59"/>
  <c r="AA59"/>
  <c r="I61"/>
  <c r="V61" s="1"/>
  <c r="V59"/>
  <c r="G61"/>
  <c r="T61" s="1"/>
  <c r="T59"/>
  <c r="AN61"/>
  <c r="AZ61"/>
  <c r="BA61"/>
  <c r="AR61" l="1"/>
  <c r="AV61"/>
  <c r="AX61"/>
  <c r="AL61"/>
  <c r="BC61"/>
  <c r="AJ61"/>
  <c r="BF61"/>
  <c r="AT61"/>
  <c r="AP61"/>
  <c r="BI61"/>
  <c r="AE61"/>
  <c r="AA61"/>
</calcChain>
</file>

<file path=xl/sharedStrings.xml><?xml version="1.0" encoding="utf-8"?>
<sst xmlns="http://schemas.openxmlformats.org/spreadsheetml/2006/main" count="227" uniqueCount="109">
  <si>
    <t>Grant No.33-Indirect Taxes</t>
  </si>
  <si>
    <t xml:space="preserve">Object  Headwise  Expenditure </t>
  </si>
  <si>
    <t>(Rs. In thousands)</t>
  </si>
  <si>
    <t>(Rs. in thousands)</t>
  </si>
  <si>
    <t xml:space="preserve">BE   </t>
  </si>
  <si>
    <t xml:space="preserve">RE   </t>
  </si>
  <si>
    <t xml:space="preserve">             Description</t>
  </si>
  <si>
    <t>Actuals</t>
  </si>
  <si>
    <t xml:space="preserve">% of BE </t>
  </si>
  <si>
    <t xml:space="preserve">% of RE </t>
  </si>
  <si>
    <t>2018-19</t>
  </si>
  <si>
    <t>2019-20</t>
  </si>
  <si>
    <t>upto 4/19</t>
  </si>
  <si>
    <t>upto 5/19</t>
  </si>
  <si>
    <t>upto6/19</t>
  </si>
  <si>
    <t>upto 7/19</t>
  </si>
  <si>
    <t>upto 8/19</t>
  </si>
  <si>
    <t>upto 10/19</t>
  </si>
  <si>
    <t>upto 11/19</t>
  </si>
  <si>
    <t>upto 12/19</t>
  </si>
  <si>
    <t>upto 1/20</t>
  </si>
  <si>
    <t>upto 2/20</t>
  </si>
  <si>
    <t>upto 3/20</t>
  </si>
  <si>
    <t>upto04/19</t>
  </si>
  <si>
    <t>upto05/19</t>
  </si>
  <si>
    <t>upto 6/19</t>
  </si>
  <si>
    <t>upto07/19</t>
  </si>
  <si>
    <t>upto08/19</t>
  </si>
  <si>
    <t>upto10/19</t>
  </si>
  <si>
    <t>upto11/19</t>
  </si>
  <si>
    <t>upto12/19</t>
  </si>
  <si>
    <t>upto 01/20</t>
  </si>
  <si>
    <t>upto02/20</t>
  </si>
  <si>
    <t>upto03/20</t>
  </si>
  <si>
    <t>upto01/20</t>
  </si>
  <si>
    <t>CPPY</t>
  </si>
  <si>
    <t xml:space="preserve">                     </t>
  </si>
  <si>
    <t>(upto 4/18)</t>
  </si>
  <si>
    <t>(upto 5/18)</t>
  </si>
  <si>
    <t>(upto 6/18)</t>
  </si>
  <si>
    <t>(upto6/18)</t>
  </si>
  <si>
    <t>(upto 7/18)</t>
  </si>
  <si>
    <t>(upto7/178</t>
  </si>
  <si>
    <t>(upto 8/18)</t>
  </si>
  <si>
    <t>(upto8/18)</t>
  </si>
  <si>
    <t>(upto 9/18)</t>
  </si>
  <si>
    <t>(upto9/18)</t>
  </si>
  <si>
    <t>(upto 10/18)</t>
  </si>
  <si>
    <t>(upto10/18)</t>
  </si>
  <si>
    <t>(upto 11/18)</t>
  </si>
  <si>
    <t>(upto11/18)</t>
  </si>
  <si>
    <t>(upto 12/18)</t>
  </si>
  <si>
    <t>(upto12/18)</t>
  </si>
  <si>
    <t>(upto01/19)</t>
  </si>
  <si>
    <t>(upto01/19</t>
  </si>
  <si>
    <t>(upto02/19)</t>
  </si>
  <si>
    <t>(upto03/19)</t>
  </si>
  <si>
    <t>REVENUE SECTION</t>
  </si>
  <si>
    <t xml:space="preserve">   </t>
  </si>
  <si>
    <t>Salaries</t>
  </si>
  <si>
    <t>Wages</t>
  </si>
  <si>
    <t>Overtime Allowance</t>
  </si>
  <si>
    <t>Rewards</t>
  </si>
  <si>
    <t>Medical Treatment</t>
  </si>
  <si>
    <t>Domestic Travel Expenses</t>
  </si>
  <si>
    <t>Foreign Travel Expenses</t>
  </si>
  <si>
    <t>Office Expenses</t>
  </si>
  <si>
    <t>Rent, Rates &amp; Taxes</t>
  </si>
  <si>
    <t>Publications</t>
  </si>
  <si>
    <t>Other Administrative Expenses</t>
  </si>
  <si>
    <t>Advertising &amp; Publicity</t>
  </si>
  <si>
    <t>Minor Works</t>
  </si>
  <si>
    <t>Professional Services</t>
  </si>
  <si>
    <t>Grants-in-Aid-General</t>
  </si>
  <si>
    <t>Secret Service Expenditure</t>
  </si>
  <si>
    <t>Other Charges</t>
  </si>
  <si>
    <t xml:space="preserve"> </t>
  </si>
  <si>
    <t xml:space="preserve">       (Charged)</t>
  </si>
  <si>
    <t xml:space="preserve">       (Voted)</t>
  </si>
  <si>
    <t>Inter Accounts Transfer</t>
  </si>
  <si>
    <t>Swachhta Action Plan</t>
  </si>
  <si>
    <t xml:space="preserve">       Office Expenses</t>
  </si>
  <si>
    <t xml:space="preserve">Information Technology </t>
  </si>
  <si>
    <t>Other Charges (Voted)</t>
  </si>
  <si>
    <t>Total - Revenue Section</t>
  </si>
  <si>
    <t>Charged</t>
  </si>
  <si>
    <t>Voted</t>
  </si>
  <si>
    <t xml:space="preserve">CAPITAL SECTION </t>
  </si>
  <si>
    <t>I. Major Head '4047'</t>
  </si>
  <si>
    <t xml:space="preserve">     Customs</t>
  </si>
  <si>
    <t xml:space="preserve">Major Works </t>
  </si>
  <si>
    <t>Acquisition of Ships &amp; Fleets</t>
  </si>
  <si>
    <t xml:space="preserve">Acquisition of Anti Smuggling Equipment </t>
  </si>
  <si>
    <t>Total - Major Head '4047'</t>
  </si>
  <si>
    <t>II. Major Head 4059</t>
  </si>
  <si>
    <t xml:space="preserve">Purchase of Ready Built Non-Residential </t>
  </si>
  <si>
    <t xml:space="preserve">Accommodation </t>
  </si>
  <si>
    <t xml:space="preserve">III. Major Head 4216 </t>
  </si>
  <si>
    <t xml:space="preserve">Purchase of Ready Built Residential </t>
  </si>
  <si>
    <t>Total Capital Section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</si>
  <si>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</si>
  <si>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Grand Total</t>
  </si>
  <si>
    <t xml:space="preserve">Charged </t>
  </si>
  <si>
    <t xml:space="preserve">BE </t>
  </si>
  <si>
    <t>2020-21</t>
  </si>
  <si>
    <t>% of BE</t>
  </si>
  <si>
    <t>Upto the 31st May, 2020</t>
  </si>
  <si>
    <t>upto 31.05.2020</t>
  </si>
  <si>
    <t>Code No.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</si>
</sst>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0"/>
      <color indexed="6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color indexed="12"/>
      <name val="Arial"/>
      <family val="2"/>
    </font>
    <font>
      <sz val="14"/>
      <name val="Arial"/>
      <family val="2"/>
    </font>
    <font>
      <sz val="14"/>
      <color indexed="60"/>
      <name val="Arial"/>
      <family val="2"/>
    </font>
    <font>
      <b/>
      <sz val="12"/>
      <color indexed="14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indexed="10"/>
      <name val="Arial"/>
      <family val="2"/>
    </font>
    <font>
      <sz val="12"/>
      <color indexed="53"/>
      <name val="Arial"/>
      <family val="2"/>
    </font>
    <font>
      <sz val="12"/>
      <color indexed="14"/>
      <name val="Arial"/>
      <family val="2"/>
    </font>
    <font>
      <sz val="10"/>
      <color indexed="12"/>
      <name val="Arial"/>
      <family val="2"/>
    </font>
    <font>
      <b/>
      <sz val="12"/>
      <color indexed="10"/>
      <name val="Arial"/>
      <family val="2"/>
    </font>
    <font>
      <sz val="12"/>
      <color indexed="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3" fillId="0" borderId="1" xfId="1" applyFont="1" applyBorder="1"/>
    <xf numFmtId="0" fontId="2" fillId="2" borderId="1" xfId="1" applyFont="1" applyFill="1" applyBorder="1"/>
    <xf numFmtId="0" fontId="1" fillId="0" borderId="1" xfId="1" applyBorder="1"/>
    <xf numFmtId="0" fontId="4" fillId="0" borderId="1" xfId="1" applyFont="1" applyBorder="1"/>
    <xf numFmtId="0" fontId="1" fillId="0" borderId="1" xfId="1" applyFill="1" applyBorder="1"/>
    <xf numFmtId="0" fontId="5" fillId="0" borderId="1" xfId="1" applyFont="1" applyBorder="1"/>
    <xf numFmtId="0" fontId="6" fillId="0" borderId="1" xfId="1" applyFont="1" applyBorder="1" applyAlignment="1">
      <alignment horizontal="center"/>
    </xf>
    <xf numFmtId="0" fontId="7" fillId="0" borderId="1" xfId="1" applyFont="1" applyBorder="1"/>
    <xf numFmtId="0" fontId="8" fillId="0" borderId="1" xfId="1" applyFont="1" applyBorder="1"/>
    <xf numFmtId="0" fontId="8" fillId="2" borderId="1" xfId="1" applyFont="1" applyFill="1" applyBorder="1"/>
    <xf numFmtId="0" fontId="8" fillId="0" borderId="3" xfId="1" applyFont="1" applyBorder="1"/>
    <xf numFmtId="0" fontId="8" fillId="0" borderId="1" xfId="1" applyFont="1" applyBorder="1" applyAlignment="1">
      <alignment horizontal="left" indent="1"/>
    </xf>
    <xf numFmtId="0" fontId="9" fillId="0" borderId="1" xfId="1" applyFont="1" applyBorder="1"/>
    <xf numFmtId="0" fontId="2" fillId="0" borderId="5" xfId="1" applyFont="1" applyBorder="1"/>
    <xf numFmtId="0" fontId="2" fillId="0" borderId="6" xfId="1" applyFont="1" applyBorder="1"/>
    <xf numFmtId="0" fontId="8" fillId="0" borderId="5" xfId="1" applyFont="1" applyBorder="1"/>
    <xf numFmtId="0" fontId="8" fillId="0" borderId="5" xfId="1" applyFont="1" applyFill="1" applyBorder="1"/>
    <xf numFmtId="2" fontId="6" fillId="0" borderId="1" xfId="1" applyNumberFormat="1" applyFont="1" applyBorder="1"/>
    <xf numFmtId="0" fontId="10" fillId="0" borderId="7" xfId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0" fontId="6" fillId="0" borderId="1" xfId="1" applyFont="1" applyBorder="1"/>
    <xf numFmtId="0" fontId="6" fillId="2" borderId="1" xfId="1" applyFont="1" applyFill="1" applyBorder="1" applyAlignment="1">
      <alignment horizontal="center"/>
    </xf>
    <xf numFmtId="9" fontId="6" fillId="0" borderId="1" xfId="2" applyFont="1" applyBorder="1" applyAlignment="1">
      <alignment horizontal="center"/>
    </xf>
    <xf numFmtId="0" fontId="6" fillId="0" borderId="9" xfId="1" applyFont="1" applyBorder="1"/>
    <xf numFmtId="9" fontId="6" fillId="0" borderId="10" xfId="2" applyFont="1" applyBorder="1" applyAlignment="1">
      <alignment horizontal="center"/>
    </xf>
    <xf numFmtId="0" fontId="6" fillId="0" borderId="11" xfId="1" applyFont="1" applyBorder="1"/>
    <xf numFmtId="0" fontId="6" fillId="0" borderId="11" xfId="1" applyFont="1" applyFill="1" applyBorder="1"/>
    <xf numFmtId="0" fontId="10" fillId="0" borderId="1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6" fillId="0" borderId="12" xfId="1" applyFont="1" applyBorder="1"/>
    <xf numFmtId="0" fontId="6" fillId="0" borderId="3" xfId="1" applyFont="1" applyBorder="1"/>
    <xf numFmtId="0" fontId="6" fillId="0" borderId="13" xfId="1" applyFont="1" applyBorder="1"/>
    <xf numFmtId="0" fontId="6" fillId="0" borderId="13" xfId="1" applyFont="1" applyFill="1" applyBorder="1"/>
    <xf numFmtId="0" fontId="12" fillId="0" borderId="14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6" fillId="0" borderId="16" xfId="1" applyFont="1" applyBorder="1"/>
    <xf numFmtId="0" fontId="6" fillId="0" borderId="17" xfId="1" applyFont="1" applyBorder="1" applyAlignment="1">
      <alignment horizontal="center"/>
    </xf>
    <xf numFmtId="0" fontId="6" fillId="0" borderId="18" xfId="1" applyFont="1" applyBorder="1"/>
    <xf numFmtId="0" fontId="6" fillId="0" borderId="18" xfId="1" applyFont="1" applyFill="1" applyBorder="1"/>
    <xf numFmtId="0" fontId="2" fillId="0" borderId="19" xfId="1" applyFont="1" applyBorder="1"/>
    <xf numFmtId="0" fontId="2" fillId="0" borderId="20" xfId="1" applyFont="1" applyBorder="1"/>
    <xf numFmtId="0" fontId="8" fillId="2" borderId="1" xfId="1" applyFont="1" applyFill="1" applyBorder="1" applyAlignment="1">
      <alignment horizontal="center"/>
    </xf>
    <xf numFmtId="0" fontId="1" fillId="0" borderId="1" xfId="1" applyFont="1" applyBorder="1"/>
    <xf numFmtId="0" fontId="1" fillId="0" borderId="1" xfId="1" applyFont="1" applyFill="1" applyBorder="1"/>
    <xf numFmtId="1" fontId="13" fillId="2" borderId="1" xfId="1" applyNumberFormat="1" applyFont="1" applyFill="1" applyBorder="1"/>
    <xf numFmtId="0" fontId="6" fillId="0" borderId="1" xfId="1" applyFont="1" applyFill="1" applyBorder="1"/>
    <xf numFmtId="1" fontId="6" fillId="0" borderId="1" xfId="1" applyNumberFormat="1" applyFont="1" applyBorder="1"/>
    <xf numFmtId="1" fontId="6" fillId="2" borderId="1" xfId="1" applyNumberFormat="1" applyFont="1" applyFill="1" applyBorder="1"/>
    <xf numFmtId="0" fontId="6" fillId="2" borderId="1" xfId="1" applyFont="1" applyFill="1" applyBorder="1"/>
    <xf numFmtId="0" fontId="13" fillId="0" borderId="1" xfId="1" applyFont="1" applyBorder="1"/>
    <xf numFmtId="0" fontId="14" fillId="0" borderId="1" xfId="1" applyFont="1" applyBorder="1"/>
    <xf numFmtId="2" fontId="6" fillId="0" borderId="1" xfId="1" applyNumberFormat="1" applyFont="1" applyBorder="1" applyAlignment="1">
      <alignment horizontal="right"/>
    </xf>
    <xf numFmtId="0" fontId="15" fillId="0" borderId="1" xfId="1" applyFont="1" applyBorder="1"/>
    <xf numFmtId="0" fontId="15" fillId="2" borderId="1" xfId="1" applyFont="1" applyFill="1" applyBorder="1"/>
    <xf numFmtId="0" fontId="6" fillId="0" borderId="1" xfId="1" applyFont="1" applyBorder="1" applyAlignment="1">
      <alignment horizontal="right"/>
    </xf>
    <xf numFmtId="0" fontId="16" fillId="0" borderId="1" xfId="1" applyFont="1" applyBorder="1"/>
    <xf numFmtId="0" fontId="17" fillId="0" borderId="1" xfId="1" applyFont="1" applyBorder="1"/>
    <xf numFmtId="0" fontId="17" fillId="2" borderId="1" xfId="1" applyFont="1" applyFill="1" applyBorder="1"/>
    <xf numFmtId="0" fontId="18" fillId="0" borderId="1" xfId="1" applyFont="1" applyBorder="1"/>
    <xf numFmtId="0" fontId="1" fillId="2" borderId="1" xfId="1" applyFill="1" applyBorder="1"/>
    <xf numFmtId="0" fontId="19" fillId="0" borderId="1" xfId="1" applyFont="1" applyBorder="1"/>
    <xf numFmtId="0" fontId="20" fillId="0" borderId="1" xfId="1" applyFont="1" applyBorder="1"/>
    <xf numFmtId="0" fontId="11" fillId="0" borderId="6" xfId="1" applyFont="1" applyBorder="1" applyAlignment="1">
      <alignment horizontal="center"/>
    </xf>
    <xf numFmtId="0" fontId="15" fillId="0" borderId="1" xfId="1" applyFont="1" applyBorder="1" applyAlignment="1">
      <alignment horizontal="center"/>
    </xf>
    <xf numFmtId="0" fontId="6" fillId="0" borderId="4" xfId="1" applyFont="1" applyBorder="1" applyAlignment="1">
      <alignment horizontal="right"/>
    </xf>
    <xf numFmtId="0" fontId="8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1/Downloads/Reports%20Folder/Actual%20Expenditure%202019-20-%20Grant%20No.%2035-Indirect%20Taxes%20(as%20per%20E-lekha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tual Expenditure 2018-19"/>
      <sheetName val="Object Head wise Statement"/>
      <sheetName val="CGST"/>
      <sheetName val="Customs"/>
      <sheetName val="Total RE &amp; B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>
        <row r="15">
          <cell r="A15">
            <v>5503550</v>
          </cell>
          <cell r="B15">
            <v>5933400</v>
          </cell>
          <cell r="G15">
            <v>481748</v>
          </cell>
          <cell r="H15">
            <v>0</v>
          </cell>
          <cell r="I15">
            <v>0</v>
          </cell>
          <cell r="J15">
            <v>0</v>
          </cell>
          <cell r="K15">
            <v>2892764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11300</v>
          </cell>
          <cell r="B16">
            <v>9800</v>
          </cell>
          <cell r="G16">
            <v>1403</v>
          </cell>
          <cell r="H16">
            <v>0</v>
          </cell>
          <cell r="I16">
            <v>0</v>
          </cell>
          <cell r="J16">
            <v>0</v>
          </cell>
          <cell r="K16">
            <v>7023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>
            <v>4920</v>
          </cell>
          <cell r="B17">
            <v>2570</v>
          </cell>
          <cell r="G17">
            <v>-7</v>
          </cell>
          <cell r="H17">
            <v>0</v>
          </cell>
          <cell r="I17">
            <v>0</v>
          </cell>
          <cell r="J17">
            <v>0</v>
          </cell>
          <cell r="K17">
            <v>121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41750</v>
          </cell>
          <cell r="B18">
            <v>36550</v>
          </cell>
          <cell r="G18">
            <v>47</v>
          </cell>
          <cell r="H18">
            <v>0</v>
          </cell>
          <cell r="I18">
            <v>0</v>
          </cell>
          <cell r="J18">
            <v>0</v>
          </cell>
          <cell r="K18">
            <v>7605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42200</v>
          </cell>
          <cell r="B19">
            <v>47033</v>
          </cell>
          <cell r="G19">
            <v>2479</v>
          </cell>
          <cell r="H19">
            <v>0</v>
          </cell>
          <cell r="I19">
            <v>0</v>
          </cell>
          <cell r="J19">
            <v>0</v>
          </cell>
          <cell r="K19">
            <v>18482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57100</v>
          </cell>
          <cell r="B20">
            <v>71400</v>
          </cell>
          <cell r="G20">
            <v>2840</v>
          </cell>
          <cell r="H20">
            <v>0</v>
          </cell>
          <cell r="I20">
            <v>0</v>
          </cell>
          <cell r="J20">
            <v>0</v>
          </cell>
          <cell r="K20">
            <v>36689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2500</v>
          </cell>
          <cell r="B21">
            <v>4841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647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734700</v>
          </cell>
          <cell r="B22">
            <v>730424</v>
          </cell>
          <cell r="G22">
            <v>20641</v>
          </cell>
          <cell r="H22">
            <v>0</v>
          </cell>
          <cell r="I22">
            <v>0</v>
          </cell>
          <cell r="J22">
            <v>0</v>
          </cell>
          <cell r="K22">
            <v>223745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108000</v>
          </cell>
          <cell r="B23">
            <v>98670</v>
          </cell>
          <cell r="G23">
            <v>327</v>
          </cell>
          <cell r="H23">
            <v>0</v>
          </cell>
          <cell r="I23">
            <v>0</v>
          </cell>
          <cell r="J23">
            <v>0</v>
          </cell>
          <cell r="K23">
            <v>29418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850</v>
          </cell>
          <cell r="B24">
            <v>841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230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5550</v>
          </cell>
          <cell r="B25">
            <v>19100</v>
          </cell>
          <cell r="G25">
            <v>55</v>
          </cell>
          <cell r="H25">
            <v>0</v>
          </cell>
          <cell r="I25">
            <v>0</v>
          </cell>
          <cell r="J25">
            <v>0</v>
          </cell>
          <cell r="K25">
            <v>1441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A26">
            <v>13400</v>
          </cell>
          <cell r="B26">
            <v>14500</v>
          </cell>
          <cell r="G26">
            <v>66</v>
          </cell>
          <cell r="H26">
            <v>0</v>
          </cell>
          <cell r="I26">
            <v>0</v>
          </cell>
          <cell r="J26">
            <v>0</v>
          </cell>
          <cell r="K26">
            <v>307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A27">
            <v>104950</v>
          </cell>
          <cell r="B27">
            <v>108700</v>
          </cell>
          <cell r="G27">
            <v>104</v>
          </cell>
          <cell r="H27">
            <v>0</v>
          </cell>
          <cell r="I27">
            <v>0</v>
          </cell>
          <cell r="J27">
            <v>0</v>
          </cell>
          <cell r="K27">
            <v>15263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A28">
            <v>235</v>
          </cell>
          <cell r="B28">
            <v>275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0</v>
          </cell>
          <cell r="N28">
            <v>0</v>
          </cell>
          <cell r="O28">
            <v>0</v>
          </cell>
          <cell r="Q28">
            <v>0</v>
          </cell>
        </row>
        <row r="29">
          <cell r="A29">
            <v>6495</v>
          </cell>
          <cell r="B29">
            <v>7795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2934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2">
          <cell r="A32">
            <v>4892</v>
          </cell>
          <cell r="B32">
            <v>4676</v>
          </cell>
          <cell r="H32">
            <v>0</v>
          </cell>
          <cell r="I32">
            <v>0</v>
          </cell>
          <cell r="J32">
            <v>0</v>
          </cell>
          <cell r="K32">
            <v>545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5">
          <cell r="A35">
            <v>62900</v>
          </cell>
          <cell r="B35">
            <v>61900</v>
          </cell>
          <cell r="G35">
            <v>731</v>
          </cell>
          <cell r="H35">
            <v>0</v>
          </cell>
          <cell r="I35">
            <v>0</v>
          </cell>
          <cell r="J35">
            <v>0</v>
          </cell>
          <cell r="K35">
            <v>15200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7">
          <cell r="A37">
            <v>114500</v>
          </cell>
          <cell r="B37">
            <v>112100</v>
          </cell>
          <cell r="G37">
            <v>516</v>
          </cell>
          <cell r="H37">
            <v>0</v>
          </cell>
          <cell r="I37">
            <v>0</v>
          </cell>
          <cell r="J37">
            <v>0</v>
          </cell>
          <cell r="K37">
            <v>34409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43">
          <cell r="A43">
            <v>90000</v>
          </cell>
          <cell r="B43">
            <v>90000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42132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>
            <v>600</v>
          </cell>
          <cell r="B44">
            <v>1100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194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>
            <v>20</v>
          </cell>
          <cell r="B45">
            <v>20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-13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1500</v>
          </cell>
          <cell r="B46">
            <v>1500</v>
          </cell>
          <cell r="G46">
            <v>374</v>
          </cell>
          <cell r="H46">
            <v>0</v>
          </cell>
          <cell r="I46">
            <v>0</v>
          </cell>
          <cell r="J46">
            <v>0</v>
          </cell>
          <cell r="K46">
            <v>824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A47">
            <v>1500</v>
          </cell>
          <cell r="B47">
            <v>1800</v>
          </cell>
          <cell r="G47">
            <v>97</v>
          </cell>
          <cell r="H47">
            <v>0</v>
          </cell>
          <cell r="I47">
            <v>0</v>
          </cell>
          <cell r="J47">
            <v>0</v>
          </cell>
          <cell r="K47">
            <v>1278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A48">
            <v>200</v>
          </cell>
          <cell r="B48">
            <v>200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68</v>
          </cell>
          <cell r="M48">
            <v>0</v>
          </cell>
          <cell r="N48">
            <v>0</v>
          </cell>
          <cell r="O48">
            <v>0</v>
          </cell>
        </row>
        <row r="49">
          <cell r="A49">
            <v>579900</v>
          </cell>
          <cell r="B49">
            <v>226000</v>
          </cell>
          <cell r="G49">
            <v>383</v>
          </cell>
          <cell r="H49">
            <v>0</v>
          </cell>
          <cell r="I49">
            <v>0</v>
          </cell>
          <cell r="J49">
            <v>0</v>
          </cell>
          <cell r="K49">
            <v>30405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A50">
            <v>100</v>
          </cell>
          <cell r="B50">
            <v>100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69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2">
          <cell r="A52">
            <v>20000</v>
          </cell>
          <cell r="B52">
            <v>20000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1334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5">
          <cell r="A55">
            <v>2800</v>
          </cell>
          <cell r="B55">
            <v>2800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584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7">
          <cell r="A57">
            <v>500</v>
          </cell>
          <cell r="B57">
            <v>300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506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62">
          <cell r="A62">
            <v>130000</v>
          </cell>
          <cell r="B62">
            <v>115000</v>
          </cell>
          <cell r="G62">
            <v>8721</v>
          </cell>
          <cell r="H62">
            <v>0</v>
          </cell>
          <cell r="I62">
            <v>0</v>
          </cell>
          <cell r="J62">
            <v>0</v>
          </cell>
          <cell r="K62">
            <v>49809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A63">
            <v>0</v>
          </cell>
          <cell r="B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>
            <v>30</v>
          </cell>
          <cell r="B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A65">
            <v>1200</v>
          </cell>
          <cell r="B65">
            <v>1200</v>
          </cell>
          <cell r="G65">
            <v>3</v>
          </cell>
          <cell r="H65">
            <v>0</v>
          </cell>
          <cell r="I65">
            <v>0</v>
          </cell>
          <cell r="J65">
            <v>0</v>
          </cell>
          <cell r="K65">
            <v>565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A66">
            <v>1500</v>
          </cell>
          <cell r="B66">
            <v>1500</v>
          </cell>
          <cell r="G66">
            <v>26</v>
          </cell>
          <cell r="H66">
            <v>0</v>
          </cell>
          <cell r="I66">
            <v>0</v>
          </cell>
          <cell r="J66">
            <v>0</v>
          </cell>
          <cell r="K66">
            <v>673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A67">
            <v>4000</v>
          </cell>
          <cell r="B67">
            <v>4000</v>
          </cell>
          <cell r="G67">
            <v>41</v>
          </cell>
          <cell r="H67">
            <v>0</v>
          </cell>
          <cell r="I67">
            <v>0</v>
          </cell>
          <cell r="J67">
            <v>0</v>
          </cell>
          <cell r="K67">
            <v>1298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9">
          <cell r="A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M69">
            <v>0</v>
          </cell>
          <cell r="N69">
            <v>0</v>
          </cell>
          <cell r="O69">
            <v>0</v>
          </cell>
        </row>
        <row r="71">
          <cell r="A71">
            <v>400</v>
          </cell>
          <cell r="B71">
            <v>400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7</v>
          </cell>
          <cell r="M71">
            <v>0</v>
          </cell>
          <cell r="N71">
            <v>0</v>
          </cell>
          <cell r="O71">
            <v>0</v>
          </cell>
          <cell r="Q71">
            <v>0</v>
          </cell>
        </row>
        <row r="73">
          <cell r="A73">
            <v>1600</v>
          </cell>
          <cell r="B73">
            <v>1600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184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82">
          <cell r="A82">
            <v>8340000</v>
          </cell>
          <cell r="B82">
            <v>8405000</v>
          </cell>
          <cell r="G82">
            <v>796544</v>
          </cell>
          <cell r="H82">
            <v>0</v>
          </cell>
          <cell r="I82">
            <v>0</v>
          </cell>
          <cell r="J82">
            <v>0</v>
          </cell>
          <cell r="K82">
            <v>4883051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68100</v>
          </cell>
          <cell r="B83">
            <v>69100</v>
          </cell>
          <cell r="G83">
            <v>5066</v>
          </cell>
          <cell r="H83">
            <v>0</v>
          </cell>
          <cell r="I83">
            <v>0</v>
          </cell>
          <cell r="J83">
            <v>0</v>
          </cell>
          <cell r="K83">
            <v>28985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>
            <v>38800</v>
          </cell>
          <cell r="B84">
            <v>26380</v>
          </cell>
          <cell r="G84">
            <v>317</v>
          </cell>
          <cell r="H84">
            <v>0</v>
          </cell>
          <cell r="I84">
            <v>0</v>
          </cell>
          <cell r="J84">
            <v>0</v>
          </cell>
          <cell r="K84">
            <v>1062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A85">
            <v>58250</v>
          </cell>
          <cell r="B85">
            <v>63450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18838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>
            <v>55150</v>
          </cell>
          <cell r="B86">
            <v>61617</v>
          </cell>
          <cell r="G86">
            <v>2529</v>
          </cell>
          <cell r="H86">
            <v>0</v>
          </cell>
          <cell r="I86">
            <v>0</v>
          </cell>
          <cell r="J86">
            <v>0</v>
          </cell>
          <cell r="K86">
            <v>21102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A87">
            <v>129300</v>
          </cell>
          <cell r="B87">
            <v>139200</v>
          </cell>
          <cell r="G87">
            <v>6351</v>
          </cell>
          <cell r="H87">
            <v>0</v>
          </cell>
          <cell r="I87">
            <v>0</v>
          </cell>
          <cell r="J87">
            <v>0</v>
          </cell>
          <cell r="K87">
            <v>63465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>
            <v>800</v>
          </cell>
          <cell r="B88">
            <v>1459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A89">
            <v>755000</v>
          </cell>
          <cell r="B89">
            <v>869875</v>
          </cell>
          <cell r="G89">
            <v>24230</v>
          </cell>
          <cell r="H89">
            <v>0</v>
          </cell>
          <cell r="I89">
            <v>0</v>
          </cell>
          <cell r="J89">
            <v>0</v>
          </cell>
          <cell r="K89">
            <v>291673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>
            <v>391270</v>
          </cell>
          <cell r="B90">
            <v>351100</v>
          </cell>
          <cell r="G90">
            <v>2560</v>
          </cell>
          <cell r="H90">
            <v>0</v>
          </cell>
          <cell r="I90">
            <v>0</v>
          </cell>
          <cell r="J90">
            <v>0</v>
          </cell>
          <cell r="K90">
            <v>50063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>
            <v>350</v>
          </cell>
          <cell r="B91">
            <v>359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62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A92">
            <v>2450</v>
          </cell>
          <cell r="B92">
            <v>5000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242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>
            <v>31600</v>
          </cell>
          <cell r="B93">
            <v>30500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1342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>
            <v>54850</v>
          </cell>
          <cell r="B94">
            <v>71300</v>
          </cell>
          <cell r="G94">
            <v>251</v>
          </cell>
          <cell r="H94">
            <v>0</v>
          </cell>
          <cell r="I94">
            <v>0</v>
          </cell>
          <cell r="J94">
            <v>0</v>
          </cell>
          <cell r="K94">
            <v>16648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>
            <v>265</v>
          </cell>
          <cell r="B95">
            <v>225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M95">
            <v>0</v>
          </cell>
          <cell r="N95">
            <v>0</v>
          </cell>
          <cell r="O95">
            <v>0</v>
          </cell>
          <cell r="Q95">
            <v>6</v>
          </cell>
        </row>
        <row r="96">
          <cell r="A96">
            <v>23130</v>
          </cell>
          <cell r="B96">
            <v>21830</v>
          </cell>
          <cell r="G96">
            <v>50</v>
          </cell>
          <cell r="H96">
            <v>0</v>
          </cell>
          <cell r="I96">
            <v>0</v>
          </cell>
          <cell r="J96">
            <v>0</v>
          </cell>
          <cell r="K96">
            <v>6794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9">
          <cell r="A99">
            <v>1108</v>
          </cell>
          <cell r="B99">
            <v>1324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174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2">
          <cell r="A102">
            <v>54300</v>
          </cell>
          <cell r="B102">
            <v>56000</v>
          </cell>
          <cell r="G102">
            <v>204</v>
          </cell>
          <cell r="H102">
            <v>0</v>
          </cell>
          <cell r="I102">
            <v>0</v>
          </cell>
          <cell r="J102">
            <v>0</v>
          </cell>
          <cell r="K102">
            <v>6952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4">
          <cell r="A104">
            <v>50700</v>
          </cell>
          <cell r="B104">
            <v>52500</v>
          </cell>
          <cell r="G104">
            <v>618</v>
          </cell>
          <cell r="H104">
            <v>0</v>
          </cell>
          <cell r="I104">
            <v>0</v>
          </cell>
          <cell r="J104">
            <v>0</v>
          </cell>
          <cell r="K104">
            <v>7732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11">
          <cell r="A111">
            <v>100000</v>
          </cell>
          <cell r="B111">
            <v>100000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4">
          <cell r="A114">
            <v>65000</v>
          </cell>
          <cell r="B114">
            <v>65000</v>
          </cell>
          <cell r="G114">
            <v>5246</v>
          </cell>
          <cell r="H114">
            <v>0</v>
          </cell>
          <cell r="I114">
            <v>0</v>
          </cell>
          <cell r="J114">
            <v>0</v>
          </cell>
          <cell r="K114">
            <v>35449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A115">
            <v>0</v>
          </cell>
          <cell r="B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</row>
        <row r="116">
          <cell r="A116">
            <v>30</v>
          </cell>
          <cell r="B116">
            <v>30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M116">
            <v>0</v>
          </cell>
          <cell r="N116">
            <v>0</v>
          </cell>
          <cell r="O116">
            <v>0</v>
          </cell>
          <cell r="R116">
            <v>0</v>
          </cell>
        </row>
        <row r="117">
          <cell r="A117">
            <v>1800</v>
          </cell>
          <cell r="B117">
            <v>1800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646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A118">
            <v>3000</v>
          </cell>
          <cell r="B118">
            <v>3000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743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A119">
            <v>500</v>
          </cell>
          <cell r="B119">
            <v>500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187</v>
          </cell>
          <cell r="M119">
            <v>0</v>
          </cell>
          <cell r="N119">
            <v>0</v>
          </cell>
          <cell r="O119">
            <v>0</v>
          </cell>
          <cell r="R119">
            <v>0</v>
          </cell>
        </row>
        <row r="120">
          <cell r="A120">
            <v>53000</v>
          </cell>
          <cell r="B120">
            <v>53000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4147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A121">
            <v>130</v>
          </cell>
          <cell r="B121">
            <v>130</v>
          </cell>
          <cell r="G121">
            <v>0</v>
          </cell>
          <cell r="H121">
            <v>0</v>
          </cell>
          <cell r="J121">
            <v>0</v>
          </cell>
          <cell r="K121">
            <v>9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A122">
            <v>0</v>
          </cell>
          <cell r="B122">
            <v>0</v>
          </cell>
          <cell r="Q122">
            <v>0</v>
          </cell>
          <cell r="R122">
            <v>0</v>
          </cell>
        </row>
        <row r="123">
          <cell r="A123">
            <v>300000</v>
          </cell>
          <cell r="B123">
            <v>300000</v>
          </cell>
          <cell r="G123">
            <v>0</v>
          </cell>
          <cell r="H123">
            <v>0</v>
          </cell>
          <cell r="I123">
            <v>0</v>
          </cell>
          <cell r="K123">
            <v>5070</v>
          </cell>
        </row>
        <row r="124">
          <cell r="A124">
            <v>25</v>
          </cell>
          <cell r="B124">
            <v>25</v>
          </cell>
          <cell r="G124">
            <v>0</v>
          </cell>
          <cell r="H124">
            <v>0</v>
          </cell>
          <cell r="R124">
            <v>0</v>
          </cell>
        </row>
        <row r="127">
          <cell r="A127">
            <v>500</v>
          </cell>
          <cell r="B127">
            <v>500</v>
          </cell>
          <cell r="G127">
            <v>0</v>
          </cell>
          <cell r="H127">
            <v>0</v>
          </cell>
          <cell r="J127">
            <v>0</v>
          </cell>
          <cell r="K127">
            <v>0</v>
          </cell>
        </row>
        <row r="129">
          <cell r="A129">
            <v>1200</v>
          </cell>
          <cell r="B129">
            <v>1200</v>
          </cell>
          <cell r="G129">
            <v>0</v>
          </cell>
          <cell r="H129">
            <v>0</v>
          </cell>
          <cell r="K129">
            <v>82</v>
          </cell>
          <cell r="R129">
            <v>0</v>
          </cell>
        </row>
        <row r="133">
          <cell r="A133">
            <v>553000</v>
          </cell>
          <cell r="B133">
            <v>521500</v>
          </cell>
          <cell r="G133">
            <v>51143</v>
          </cell>
          <cell r="H133">
            <v>0</v>
          </cell>
          <cell r="I133">
            <v>0</v>
          </cell>
          <cell r="J133">
            <v>0</v>
          </cell>
          <cell r="K133">
            <v>275340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A134">
            <v>0</v>
          </cell>
          <cell r="B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M134">
            <v>0</v>
          </cell>
          <cell r="N134">
            <v>0</v>
          </cell>
          <cell r="O134">
            <v>0</v>
          </cell>
          <cell r="R134">
            <v>0</v>
          </cell>
        </row>
        <row r="135">
          <cell r="A135">
            <v>1200</v>
          </cell>
          <cell r="B135">
            <v>1000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138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A136">
            <v>450000</v>
          </cell>
          <cell r="B136">
            <v>450000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20983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A137">
            <v>8150</v>
          </cell>
          <cell r="B137">
            <v>6850</v>
          </cell>
          <cell r="G137">
            <v>2</v>
          </cell>
          <cell r="H137">
            <v>0</v>
          </cell>
          <cell r="I137">
            <v>0</v>
          </cell>
          <cell r="J137">
            <v>0</v>
          </cell>
          <cell r="K137">
            <v>895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A138">
            <v>27600</v>
          </cell>
          <cell r="B138">
            <v>33100</v>
          </cell>
          <cell r="G138">
            <v>718</v>
          </cell>
          <cell r="H138">
            <v>0</v>
          </cell>
          <cell r="I138">
            <v>0</v>
          </cell>
          <cell r="J138">
            <v>0</v>
          </cell>
          <cell r="K138">
            <v>17747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A139">
            <v>11000</v>
          </cell>
          <cell r="B139">
            <v>10500</v>
          </cell>
          <cell r="H139">
            <v>0</v>
          </cell>
          <cell r="I139">
            <v>0</v>
          </cell>
          <cell r="J139">
            <v>0</v>
          </cell>
          <cell r="K139">
            <v>1484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A140">
            <v>273400</v>
          </cell>
          <cell r="B140">
            <v>266701</v>
          </cell>
          <cell r="G140">
            <v>3320</v>
          </cell>
          <cell r="H140">
            <v>0</v>
          </cell>
          <cell r="I140">
            <v>0</v>
          </cell>
          <cell r="J140">
            <v>0</v>
          </cell>
          <cell r="K140">
            <v>97105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A141">
            <v>238000</v>
          </cell>
          <cell r="B141">
            <v>200000</v>
          </cell>
          <cell r="G141">
            <v>2968</v>
          </cell>
          <cell r="H141">
            <v>0</v>
          </cell>
          <cell r="I141">
            <v>0</v>
          </cell>
          <cell r="J141">
            <v>0</v>
          </cell>
          <cell r="K141">
            <v>34275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A142">
            <v>1800</v>
          </cell>
          <cell r="B142">
            <v>1800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857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A143">
            <v>12000</v>
          </cell>
          <cell r="B143">
            <v>10100</v>
          </cell>
          <cell r="G143">
            <v>4</v>
          </cell>
          <cell r="H143">
            <v>0</v>
          </cell>
          <cell r="I143">
            <v>0</v>
          </cell>
          <cell r="J143">
            <v>0</v>
          </cell>
          <cell r="K143">
            <v>1633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A144">
            <v>5000</v>
          </cell>
          <cell r="B144">
            <v>5000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84</v>
          </cell>
          <cell r="M144">
            <v>0</v>
          </cell>
          <cell r="N144">
            <v>0</v>
          </cell>
          <cell r="O144">
            <v>0</v>
          </cell>
          <cell r="Q144">
            <v>0</v>
          </cell>
          <cell r="R144">
            <v>0</v>
          </cell>
        </row>
        <row r="145">
          <cell r="A145">
            <v>40200</v>
          </cell>
          <cell r="B145">
            <v>40000</v>
          </cell>
          <cell r="G145">
            <v>122</v>
          </cell>
          <cell r="H145">
            <v>0</v>
          </cell>
          <cell r="I145">
            <v>0</v>
          </cell>
          <cell r="J145">
            <v>0</v>
          </cell>
          <cell r="K145">
            <v>8049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</row>
        <row r="146">
          <cell r="A146">
            <v>65350</v>
          </cell>
          <cell r="B146">
            <v>65350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38623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9">
          <cell r="A149">
            <v>0</v>
          </cell>
          <cell r="H149">
            <v>0</v>
          </cell>
          <cell r="I149">
            <v>0</v>
          </cell>
          <cell r="J149">
            <v>0</v>
          </cell>
          <cell r="M149">
            <v>0</v>
          </cell>
          <cell r="N149">
            <v>0</v>
          </cell>
          <cell r="O149">
            <v>0</v>
          </cell>
          <cell r="R149">
            <v>0</v>
          </cell>
        </row>
        <row r="151">
          <cell r="A151">
            <v>19100</v>
          </cell>
          <cell r="B151">
            <v>18400</v>
          </cell>
          <cell r="G151">
            <v>59</v>
          </cell>
          <cell r="H151">
            <v>0</v>
          </cell>
          <cell r="I151">
            <v>0</v>
          </cell>
          <cell r="J151">
            <v>0</v>
          </cell>
          <cell r="K151">
            <v>2354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3">
          <cell r="A153">
            <v>31500</v>
          </cell>
          <cell r="B153">
            <v>32300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4598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63">
          <cell r="A163">
            <v>380000</v>
          </cell>
          <cell r="B163">
            <v>380000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7">
          <cell r="A167">
            <v>50000</v>
          </cell>
          <cell r="B167">
            <v>50000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16500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9">
          <cell r="A169">
            <v>68450</v>
          </cell>
          <cell r="B169">
            <v>70100</v>
          </cell>
          <cell r="G169">
            <v>3759</v>
          </cell>
          <cell r="H169">
            <v>0</v>
          </cell>
          <cell r="I169">
            <v>0</v>
          </cell>
          <cell r="J169">
            <v>0</v>
          </cell>
          <cell r="K169">
            <v>23288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8">
          <cell r="A178">
            <v>764000</v>
          </cell>
          <cell r="B178">
            <v>633500</v>
          </cell>
          <cell r="G178">
            <v>68086</v>
          </cell>
          <cell r="H178">
            <v>0</v>
          </cell>
          <cell r="I178">
            <v>0</v>
          </cell>
          <cell r="J178">
            <v>0</v>
          </cell>
          <cell r="K178">
            <v>377152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A179">
            <v>0</v>
          </cell>
          <cell r="B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M179">
            <v>0</v>
          </cell>
          <cell r="N179">
            <v>0</v>
          </cell>
          <cell r="O179">
            <v>0</v>
          </cell>
          <cell r="R179">
            <v>0</v>
          </cell>
        </row>
        <row r="180">
          <cell r="A180">
            <v>260</v>
          </cell>
          <cell r="B180">
            <v>240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A181">
            <v>9250</v>
          </cell>
          <cell r="B181">
            <v>10000</v>
          </cell>
          <cell r="G181">
            <v>178</v>
          </cell>
          <cell r="H181">
            <v>0</v>
          </cell>
          <cell r="I181">
            <v>0</v>
          </cell>
          <cell r="J181">
            <v>0</v>
          </cell>
          <cell r="K181">
            <v>2449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A182">
            <v>22700</v>
          </cell>
          <cell r="B182">
            <v>25300</v>
          </cell>
          <cell r="G182">
            <v>684</v>
          </cell>
          <cell r="H182">
            <v>0</v>
          </cell>
          <cell r="I182">
            <v>0</v>
          </cell>
          <cell r="J182">
            <v>0</v>
          </cell>
          <cell r="K182">
            <v>11430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A183">
            <v>2600</v>
          </cell>
          <cell r="B183">
            <v>2600</v>
          </cell>
          <cell r="G183">
            <v>116</v>
          </cell>
          <cell r="H183">
            <v>0</v>
          </cell>
          <cell r="I183">
            <v>0</v>
          </cell>
          <cell r="J183">
            <v>0</v>
          </cell>
          <cell r="K183">
            <v>1153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A184">
            <v>143550</v>
          </cell>
          <cell r="B184">
            <v>171350</v>
          </cell>
          <cell r="G184">
            <v>5746</v>
          </cell>
          <cell r="H184">
            <v>0</v>
          </cell>
          <cell r="I184">
            <v>0</v>
          </cell>
          <cell r="J184">
            <v>0</v>
          </cell>
          <cell r="K184">
            <v>54347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A185">
            <v>197000</v>
          </cell>
          <cell r="B185">
            <v>142100</v>
          </cell>
          <cell r="G185">
            <v>331</v>
          </cell>
          <cell r="H185">
            <v>0</v>
          </cell>
          <cell r="I185">
            <v>0</v>
          </cell>
          <cell r="J185">
            <v>0</v>
          </cell>
          <cell r="K185">
            <v>36525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A186">
            <v>400</v>
          </cell>
          <cell r="B186">
            <v>775</v>
          </cell>
          <cell r="G186">
            <v>0</v>
          </cell>
          <cell r="H186">
            <v>0</v>
          </cell>
          <cell r="J186">
            <v>8</v>
          </cell>
          <cell r="K186">
            <v>81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A187">
            <v>100</v>
          </cell>
          <cell r="B187">
            <v>500</v>
          </cell>
          <cell r="G187">
            <v>89</v>
          </cell>
          <cell r="H187">
            <v>0</v>
          </cell>
          <cell r="I187">
            <v>0</v>
          </cell>
          <cell r="J187">
            <v>0</v>
          </cell>
          <cell r="K187">
            <v>485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A188">
            <v>7220</v>
          </cell>
          <cell r="B188">
            <v>9070</v>
          </cell>
          <cell r="G188">
            <v>271</v>
          </cell>
          <cell r="H188">
            <v>0</v>
          </cell>
          <cell r="I188">
            <v>0</v>
          </cell>
          <cell r="J188">
            <v>0</v>
          </cell>
          <cell r="K188">
            <v>2589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A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M189">
            <v>0</v>
          </cell>
          <cell r="N189">
            <v>0</v>
          </cell>
          <cell r="O189">
            <v>0</v>
          </cell>
          <cell r="R189">
            <v>0</v>
          </cell>
        </row>
        <row r="190">
          <cell r="R190">
            <v>0</v>
          </cell>
        </row>
        <row r="192">
          <cell r="A192">
            <v>11310</v>
          </cell>
          <cell r="B192">
            <v>11910</v>
          </cell>
          <cell r="G192">
            <v>3308</v>
          </cell>
          <cell r="H192">
            <v>0</v>
          </cell>
          <cell r="I192">
            <v>0</v>
          </cell>
          <cell r="J192">
            <v>0</v>
          </cell>
          <cell r="K192">
            <v>3989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</row>
        <row r="194">
          <cell r="A194">
            <v>19900</v>
          </cell>
          <cell r="B194">
            <v>67900</v>
          </cell>
          <cell r="G194">
            <v>169</v>
          </cell>
          <cell r="H194">
            <v>0</v>
          </cell>
          <cell r="I194">
            <v>0</v>
          </cell>
          <cell r="J194">
            <v>0</v>
          </cell>
          <cell r="K194">
            <v>6384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9">
          <cell r="A199">
            <v>500000</v>
          </cell>
          <cell r="B199">
            <v>360000</v>
          </cell>
          <cell r="G199">
            <v>25028</v>
          </cell>
          <cell r="H199">
            <v>0</v>
          </cell>
          <cell r="I199">
            <v>0</v>
          </cell>
          <cell r="J199">
            <v>0</v>
          </cell>
          <cell r="K199">
            <v>153302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A200">
            <v>4000</v>
          </cell>
          <cell r="B200">
            <v>4000</v>
          </cell>
          <cell r="G200">
            <v>267</v>
          </cell>
          <cell r="H200">
            <v>0</v>
          </cell>
          <cell r="I200">
            <v>0</v>
          </cell>
          <cell r="J200">
            <v>0</v>
          </cell>
          <cell r="K200">
            <v>1351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A201">
            <v>200</v>
          </cell>
          <cell r="B201">
            <v>200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M201">
            <v>0</v>
          </cell>
          <cell r="N201">
            <v>0</v>
          </cell>
          <cell r="O201">
            <v>0</v>
          </cell>
        </row>
        <row r="202">
          <cell r="A202">
            <v>5000</v>
          </cell>
          <cell r="B202">
            <v>4000</v>
          </cell>
          <cell r="G202">
            <v>9</v>
          </cell>
          <cell r="H202">
            <v>0</v>
          </cell>
          <cell r="I202">
            <v>0</v>
          </cell>
          <cell r="J202">
            <v>0</v>
          </cell>
          <cell r="K202">
            <v>824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A203">
            <v>100000</v>
          </cell>
          <cell r="B203">
            <v>55000</v>
          </cell>
          <cell r="G203">
            <v>427</v>
          </cell>
          <cell r="H203">
            <v>0</v>
          </cell>
          <cell r="I203">
            <v>0</v>
          </cell>
          <cell r="J203">
            <v>0</v>
          </cell>
          <cell r="K203">
            <v>14217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</row>
        <row r="204">
          <cell r="A204">
            <v>25000</v>
          </cell>
          <cell r="B204">
            <v>21500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445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</row>
        <row r="205">
          <cell r="A205">
            <v>225000</v>
          </cell>
          <cell r="B205">
            <v>229502</v>
          </cell>
          <cell r="G205">
            <v>5201</v>
          </cell>
          <cell r="H205">
            <v>0</v>
          </cell>
          <cell r="I205">
            <v>0</v>
          </cell>
          <cell r="J205">
            <v>0</v>
          </cell>
          <cell r="K205">
            <v>69121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A206">
            <v>100000</v>
          </cell>
          <cell r="B206">
            <v>55000</v>
          </cell>
          <cell r="G206">
            <v>1523</v>
          </cell>
          <cell r="H206">
            <v>0</v>
          </cell>
          <cell r="I206">
            <v>0</v>
          </cell>
          <cell r="J206">
            <v>0</v>
          </cell>
          <cell r="K206">
            <v>14572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A207">
            <v>100</v>
          </cell>
          <cell r="B207">
            <v>100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M207">
            <v>0</v>
          </cell>
          <cell r="N207">
            <v>0</v>
          </cell>
        </row>
        <row r="208">
          <cell r="A208">
            <v>300000</v>
          </cell>
          <cell r="B208">
            <v>280000</v>
          </cell>
          <cell r="G208">
            <v>1068</v>
          </cell>
          <cell r="H208">
            <v>0</v>
          </cell>
          <cell r="I208">
            <v>0</v>
          </cell>
          <cell r="J208">
            <v>0</v>
          </cell>
          <cell r="K208">
            <v>14681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A209">
            <v>400</v>
          </cell>
          <cell r="B209">
            <v>400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</row>
        <row r="210">
          <cell r="A210">
            <v>1000</v>
          </cell>
          <cell r="B210">
            <v>1000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M210">
            <v>0</v>
          </cell>
          <cell r="N210">
            <v>0</v>
          </cell>
        </row>
        <row r="213">
          <cell r="A213">
            <v>2500</v>
          </cell>
          <cell r="B213">
            <v>2500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M213">
            <v>0</v>
          </cell>
          <cell r="N213">
            <v>0</v>
          </cell>
        </row>
        <row r="215">
          <cell r="A215">
            <v>20000</v>
          </cell>
          <cell r="B215">
            <v>20000</v>
          </cell>
          <cell r="G215">
            <v>26</v>
          </cell>
          <cell r="H215">
            <v>0</v>
          </cell>
          <cell r="I215">
            <v>0</v>
          </cell>
          <cell r="J215">
            <v>0</v>
          </cell>
          <cell r="K215">
            <v>1160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7">
          <cell r="A217">
            <v>15000</v>
          </cell>
          <cell r="B217">
            <v>15000</v>
          </cell>
          <cell r="G217">
            <v>61</v>
          </cell>
          <cell r="H217">
            <v>0</v>
          </cell>
          <cell r="I217">
            <v>0</v>
          </cell>
          <cell r="J217">
            <v>0</v>
          </cell>
          <cell r="K217">
            <v>1048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23">
          <cell r="A223">
            <v>210000</v>
          </cell>
          <cell r="B223">
            <v>210000</v>
          </cell>
          <cell r="G223">
            <v>8391</v>
          </cell>
          <cell r="H223">
            <v>0</v>
          </cell>
          <cell r="I223">
            <v>0</v>
          </cell>
          <cell r="J223">
            <v>0</v>
          </cell>
          <cell r="K223">
            <v>81268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</row>
        <row r="224">
          <cell r="A224">
            <v>0</v>
          </cell>
          <cell r="B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M224">
            <v>0</v>
          </cell>
          <cell r="N224">
            <v>0</v>
          </cell>
        </row>
        <row r="225">
          <cell r="A225">
            <v>100</v>
          </cell>
          <cell r="B225">
            <v>70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-3</v>
          </cell>
          <cell r="M225">
            <v>0</v>
          </cell>
          <cell r="N225">
            <v>0</v>
          </cell>
        </row>
        <row r="226">
          <cell r="A226">
            <v>1800</v>
          </cell>
          <cell r="B226">
            <v>1800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593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</row>
        <row r="227">
          <cell r="A227">
            <v>7000</v>
          </cell>
          <cell r="B227">
            <v>8000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3423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A228">
            <v>1000</v>
          </cell>
          <cell r="B228">
            <v>1000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277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A229">
            <v>39000</v>
          </cell>
          <cell r="B229">
            <v>41750</v>
          </cell>
          <cell r="G229">
            <v>2431</v>
          </cell>
          <cell r="H229">
            <v>0</v>
          </cell>
          <cell r="I229">
            <v>0</v>
          </cell>
          <cell r="J229">
            <v>0</v>
          </cell>
          <cell r="K229">
            <v>16530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A230">
            <v>120000</v>
          </cell>
          <cell r="B230">
            <v>120000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39661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A231">
            <v>1000</v>
          </cell>
          <cell r="B231">
            <v>1000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M231">
            <v>0</v>
          </cell>
          <cell r="N231">
            <v>0</v>
          </cell>
          <cell r="O231">
            <v>0</v>
          </cell>
          <cell r="Q231">
            <v>0</v>
          </cell>
        </row>
        <row r="232">
          <cell r="A232">
            <v>840</v>
          </cell>
          <cell r="B232">
            <v>840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220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5">
          <cell r="A235">
            <v>3000</v>
          </cell>
          <cell r="B235">
            <v>3000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482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7">
          <cell r="A237">
            <v>5500</v>
          </cell>
          <cell r="B237">
            <v>5500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1581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42">
          <cell r="A242">
            <v>220000</v>
          </cell>
          <cell r="B242">
            <v>100000</v>
          </cell>
          <cell r="G242">
            <v>5760</v>
          </cell>
          <cell r="H242">
            <v>0</v>
          </cell>
          <cell r="I242">
            <v>0</v>
          </cell>
          <cell r="J242">
            <v>0</v>
          </cell>
          <cell r="K242">
            <v>34701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A243">
            <v>0</v>
          </cell>
          <cell r="B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A244">
            <v>130</v>
          </cell>
          <cell r="B244">
            <v>100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18</v>
          </cell>
          <cell r="M244">
            <v>0</v>
          </cell>
          <cell r="N244">
            <v>0</v>
          </cell>
          <cell r="O244">
            <v>0</v>
          </cell>
        </row>
        <row r="245">
          <cell r="A245">
            <v>1700</v>
          </cell>
          <cell r="B245">
            <v>1700</v>
          </cell>
          <cell r="G245">
            <v>266</v>
          </cell>
          <cell r="H245">
            <v>0</v>
          </cell>
          <cell r="I245">
            <v>0</v>
          </cell>
          <cell r="J245">
            <v>0</v>
          </cell>
          <cell r="K245">
            <v>883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A246">
            <v>1700</v>
          </cell>
          <cell r="B246">
            <v>2500</v>
          </cell>
          <cell r="G246">
            <v>314</v>
          </cell>
          <cell r="H246">
            <v>0</v>
          </cell>
          <cell r="I246">
            <v>0</v>
          </cell>
          <cell r="J246">
            <v>0</v>
          </cell>
          <cell r="K246">
            <v>1555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A247">
            <v>300</v>
          </cell>
          <cell r="B247">
            <v>300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M247">
            <v>0</v>
          </cell>
          <cell r="N247">
            <v>0</v>
          </cell>
          <cell r="O247">
            <v>0</v>
          </cell>
        </row>
        <row r="248">
          <cell r="A248">
            <v>24500</v>
          </cell>
          <cell r="B248">
            <v>28000</v>
          </cell>
          <cell r="G248">
            <v>1135</v>
          </cell>
          <cell r="H248">
            <v>0</v>
          </cell>
          <cell r="I248">
            <v>0</v>
          </cell>
          <cell r="J248">
            <v>0</v>
          </cell>
          <cell r="K248">
            <v>10241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A249">
            <v>8400</v>
          </cell>
          <cell r="B249">
            <v>4800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760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A250">
            <v>17000</v>
          </cell>
          <cell r="B250">
            <v>10300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2889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A251">
            <v>0</v>
          </cell>
          <cell r="B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A252">
            <v>1650000</v>
          </cell>
          <cell r="B252">
            <v>1200000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1398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A253">
            <v>200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B254">
            <v>0</v>
          </cell>
        </row>
        <row r="256">
          <cell r="A256">
            <v>1800</v>
          </cell>
          <cell r="B256">
            <v>2000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97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</row>
        <row r="258">
          <cell r="A258">
            <v>3000</v>
          </cell>
          <cell r="B258">
            <v>3000</v>
          </cell>
          <cell r="G258">
            <v>472</v>
          </cell>
          <cell r="H258">
            <v>0</v>
          </cell>
          <cell r="I258">
            <v>0</v>
          </cell>
          <cell r="J258">
            <v>0</v>
          </cell>
          <cell r="K258">
            <v>972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63">
          <cell r="A263">
            <v>800000</v>
          </cell>
          <cell r="B263">
            <v>500000</v>
          </cell>
          <cell r="G263">
            <v>29669</v>
          </cell>
          <cell r="H263">
            <v>0</v>
          </cell>
          <cell r="I263">
            <v>0</v>
          </cell>
          <cell r="J263">
            <v>0</v>
          </cell>
          <cell r="K263">
            <v>176422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A264">
            <v>500</v>
          </cell>
          <cell r="B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>
            <v>0</v>
          </cell>
          <cell r="B265">
            <v>500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66</v>
          </cell>
          <cell r="M265">
            <v>0</v>
          </cell>
          <cell r="N265">
            <v>0</v>
          </cell>
          <cell r="O265">
            <v>0</v>
          </cell>
        </row>
        <row r="266">
          <cell r="A266">
            <v>400000</v>
          </cell>
          <cell r="B266">
            <v>400000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45603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A267">
            <v>10000</v>
          </cell>
          <cell r="B267">
            <v>5000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893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A268">
            <v>30000</v>
          </cell>
          <cell r="B268">
            <v>32500</v>
          </cell>
          <cell r="G268">
            <v>109</v>
          </cell>
          <cell r="H268">
            <v>0</v>
          </cell>
          <cell r="I268">
            <v>0</v>
          </cell>
          <cell r="J268">
            <v>0</v>
          </cell>
          <cell r="K268">
            <v>5692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A269">
            <v>200</v>
          </cell>
          <cell r="B269">
            <v>200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A270">
            <v>280000</v>
          </cell>
          <cell r="B270">
            <v>240385</v>
          </cell>
          <cell r="G270">
            <v>2428</v>
          </cell>
          <cell r="H270">
            <v>0</v>
          </cell>
          <cell r="I270">
            <v>0</v>
          </cell>
          <cell r="J270">
            <v>0</v>
          </cell>
          <cell r="K270">
            <v>65790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A271">
            <v>320000</v>
          </cell>
          <cell r="B271">
            <v>230000</v>
          </cell>
          <cell r="G271">
            <v>1216</v>
          </cell>
          <cell r="H271">
            <v>0</v>
          </cell>
          <cell r="I271">
            <v>0</v>
          </cell>
          <cell r="J271">
            <v>0</v>
          </cell>
          <cell r="K271">
            <v>46555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A272">
            <v>200</v>
          </cell>
          <cell r="B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A273">
            <v>1000</v>
          </cell>
          <cell r="B273">
            <v>500</v>
          </cell>
          <cell r="G273">
            <v>0</v>
          </cell>
          <cell r="H273">
            <v>0</v>
          </cell>
          <cell r="J273">
            <v>0</v>
          </cell>
          <cell r="K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A274">
            <v>200</v>
          </cell>
          <cell r="B274">
            <v>200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A275">
            <v>10000</v>
          </cell>
          <cell r="B275">
            <v>10000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1872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A276">
            <v>30000</v>
          </cell>
          <cell r="B276">
            <v>30000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8525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8">
          <cell r="A278">
            <v>10000</v>
          </cell>
          <cell r="B278">
            <v>10000</v>
          </cell>
          <cell r="G278">
            <v>36</v>
          </cell>
          <cell r="H278">
            <v>0</v>
          </cell>
          <cell r="I278">
            <v>0</v>
          </cell>
          <cell r="J278">
            <v>0</v>
          </cell>
          <cell r="K278">
            <v>1274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80">
          <cell r="A280">
            <v>30000</v>
          </cell>
          <cell r="B280">
            <v>30000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5139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5">
          <cell r="A285">
            <v>6500</v>
          </cell>
          <cell r="B285">
            <v>6600</v>
          </cell>
          <cell r="G285">
            <v>490</v>
          </cell>
          <cell r="H285">
            <v>0</v>
          </cell>
          <cell r="I285">
            <v>0</v>
          </cell>
          <cell r="J285">
            <v>0</v>
          </cell>
          <cell r="K285">
            <v>2770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</row>
        <row r="286">
          <cell r="A286">
            <v>0</v>
          </cell>
          <cell r="B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A287">
            <v>0</v>
          </cell>
          <cell r="B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A288">
            <v>120</v>
          </cell>
          <cell r="B288">
            <v>120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42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A289">
            <v>130</v>
          </cell>
          <cell r="B289">
            <v>150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46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A290">
            <v>220</v>
          </cell>
          <cell r="B290">
            <v>250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109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</row>
        <row r="294">
          <cell r="A294">
            <v>20</v>
          </cell>
          <cell r="B294">
            <v>20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M294">
            <v>0</v>
          </cell>
          <cell r="N294">
            <v>0</v>
          </cell>
          <cell r="O294">
            <v>0</v>
          </cell>
        </row>
        <row r="296">
          <cell r="A296">
            <v>200</v>
          </cell>
          <cell r="B296">
            <v>200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9</v>
          </cell>
          <cell r="M296">
            <v>0</v>
          </cell>
          <cell r="N296">
            <v>0</v>
          </cell>
          <cell r="O296">
            <v>0</v>
          </cell>
        </row>
        <row r="301">
          <cell r="A301">
            <v>78000</v>
          </cell>
          <cell r="B301">
            <v>64000</v>
          </cell>
          <cell r="G301">
            <v>3289</v>
          </cell>
          <cell r="H301">
            <v>0</v>
          </cell>
          <cell r="I301">
            <v>0</v>
          </cell>
          <cell r="J301">
            <v>0</v>
          </cell>
          <cell r="K301">
            <v>20248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</row>
        <row r="302">
          <cell r="A302">
            <v>0</v>
          </cell>
          <cell r="B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A303">
            <v>0</v>
          </cell>
          <cell r="B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>
            <v>1000</v>
          </cell>
          <cell r="B304">
            <v>1600</v>
          </cell>
          <cell r="G304">
            <v>4</v>
          </cell>
          <cell r="H304">
            <v>0</v>
          </cell>
          <cell r="I304">
            <v>0</v>
          </cell>
          <cell r="J304">
            <v>0</v>
          </cell>
          <cell r="K304">
            <v>84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A305">
            <v>4500</v>
          </cell>
          <cell r="B305">
            <v>3200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1437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6">
          <cell r="A306">
            <v>24000</v>
          </cell>
          <cell r="B306">
            <v>22700</v>
          </cell>
          <cell r="G306">
            <v>1358</v>
          </cell>
          <cell r="H306">
            <v>0</v>
          </cell>
          <cell r="I306">
            <v>0</v>
          </cell>
          <cell r="J306">
            <v>0</v>
          </cell>
          <cell r="K306">
            <v>8966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A307">
            <v>83200</v>
          </cell>
          <cell r="B307">
            <v>63200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14207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9">
          <cell r="A309">
            <v>1500</v>
          </cell>
          <cell r="B309">
            <v>1500</v>
          </cell>
          <cell r="G309">
            <v>47</v>
          </cell>
          <cell r="H309">
            <v>0</v>
          </cell>
          <cell r="I309">
            <v>0</v>
          </cell>
          <cell r="J309">
            <v>0</v>
          </cell>
          <cell r="K309">
            <v>319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</row>
        <row r="311">
          <cell r="A311">
            <v>3000</v>
          </cell>
          <cell r="B311">
            <v>2350</v>
          </cell>
          <cell r="G311">
            <v>99</v>
          </cell>
          <cell r="H311">
            <v>0</v>
          </cell>
          <cell r="I311">
            <v>0</v>
          </cell>
          <cell r="J311">
            <v>0</v>
          </cell>
          <cell r="K311">
            <v>512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7">
          <cell r="A317">
            <v>0</v>
          </cell>
          <cell r="B317">
            <v>0</v>
          </cell>
        </row>
        <row r="318">
          <cell r="A318">
            <v>0</v>
          </cell>
          <cell r="B318">
            <v>0</v>
          </cell>
        </row>
        <row r="319">
          <cell r="A319">
            <v>0</v>
          </cell>
          <cell r="B319">
            <v>0</v>
          </cell>
        </row>
        <row r="320">
          <cell r="A320">
            <v>0</v>
          </cell>
          <cell r="B320">
            <v>0</v>
          </cell>
        </row>
        <row r="321">
          <cell r="A321">
            <v>0</v>
          </cell>
          <cell r="B321">
            <v>0</v>
          </cell>
        </row>
        <row r="322">
          <cell r="A322">
            <v>0</v>
          </cell>
          <cell r="B322">
            <v>0</v>
          </cell>
        </row>
        <row r="323">
          <cell r="A323">
            <v>0</v>
          </cell>
          <cell r="B323">
            <v>0</v>
          </cell>
        </row>
        <row r="324">
          <cell r="A324">
            <v>0</v>
          </cell>
          <cell r="B324">
            <v>0</v>
          </cell>
        </row>
        <row r="326">
          <cell r="A326">
            <v>0</v>
          </cell>
          <cell r="B326">
            <v>0</v>
          </cell>
        </row>
        <row r="331">
          <cell r="A331">
            <v>350000</v>
          </cell>
          <cell r="B331">
            <v>314300</v>
          </cell>
          <cell r="G331">
            <v>16791</v>
          </cell>
          <cell r="H331">
            <v>0</v>
          </cell>
          <cell r="I331">
            <v>0</v>
          </cell>
          <cell r="J331">
            <v>0</v>
          </cell>
          <cell r="K331">
            <v>102088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A332">
            <v>0</v>
          </cell>
          <cell r="B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A333">
            <v>70</v>
          </cell>
          <cell r="B333">
            <v>70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M333">
            <v>0</v>
          </cell>
          <cell r="N333">
            <v>0</v>
          </cell>
          <cell r="O333">
            <v>0</v>
          </cell>
        </row>
        <row r="334">
          <cell r="A334">
            <v>6300</v>
          </cell>
          <cell r="B334">
            <v>5300</v>
          </cell>
          <cell r="G334">
            <v>5</v>
          </cell>
          <cell r="H334">
            <v>0</v>
          </cell>
          <cell r="I334">
            <v>0</v>
          </cell>
          <cell r="J334">
            <v>0</v>
          </cell>
          <cell r="K334">
            <v>996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A335">
            <v>17800</v>
          </cell>
          <cell r="B335">
            <v>19800</v>
          </cell>
          <cell r="G335">
            <v>1</v>
          </cell>
          <cell r="H335">
            <v>0</v>
          </cell>
          <cell r="I335">
            <v>0</v>
          </cell>
          <cell r="J335">
            <v>0</v>
          </cell>
          <cell r="K335">
            <v>5168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A336">
            <v>3500</v>
          </cell>
          <cell r="B336">
            <v>3300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366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A337">
            <v>209550</v>
          </cell>
          <cell r="B337">
            <v>171400</v>
          </cell>
          <cell r="G337">
            <v>771</v>
          </cell>
          <cell r="H337">
            <v>0</v>
          </cell>
          <cell r="I337">
            <v>0</v>
          </cell>
          <cell r="J337">
            <v>0</v>
          </cell>
          <cell r="K337">
            <v>38907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A338">
            <v>345000</v>
          </cell>
          <cell r="B338">
            <v>341000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28030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A339">
            <v>100</v>
          </cell>
          <cell r="B339">
            <v>100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4</v>
          </cell>
          <cell r="M339">
            <v>0</v>
          </cell>
          <cell r="N339">
            <v>0</v>
          </cell>
          <cell r="O339">
            <v>0</v>
          </cell>
        </row>
        <row r="340">
          <cell r="A340">
            <v>3000</v>
          </cell>
          <cell r="B340">
            <v>3200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932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</row>
        <row r="341">
          <cell r="A341">
            <v>500</v>
          </cell>
          <cell r="B341">
            <v>500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A342">
            <v>500</v>
          </cell>
          <cell r="B342">
            <v>500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200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</row>
        <row r="344">
          <cell r="A344">
            <v>13350</v>
          </cell>
          <cell r="B344">
            <v>7350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316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  <row r="346">
          <cell r="A346">
            <v>4211880</v>
          </cell>
          <cell r="B346">
            <v>4346600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703085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</row>
        <row r="347">
          <cell r="A347">
            <v>2400000</v>
          </cell>
          <cell r="B347">
            <v>1190000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</row>
        <row r="355">
          <cell r="A355">
            <v>30801400</v>
          </cell>
          <cell r="B355">
            <v>31078600</v>
          </cell>
          <cell r="G355">
            <v>2693967</v>
          </cell>
          <cell r="H355">
            <v>0</v>
          </cell>
          <cell r="I355">
            <v>0</v>
          </cell>
          <cell r="J355">
            <v>0</v>
          </cell>
          <cell r="K355">
            <v>16210867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A356">
            <v>164660</v>
          </cell>
          <cell r="B356">
            <v>166000</v>
          </cell>
          <cell r="G356">
            <v>10277</v>
          </cell>
          <cell r="H356">
            <v>0</v>
          </cell>
          <cell r="I356">
            <v>0</v>
          </cell>
          <cell r="J356">
            <v>0</v>
          </cell>
          <cell r="K356">
            <v>74820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</row>
        <row r="357">
          <cell r="A357">
            <v>22540</v>
          </cell>
          <cell r="B357">
            <v>18820</v>
          </cell>
          <cell r="G357">
            <v>39</v>
          </cell>
          <cell r="H357">
            <v>0</v>
          </cell>
          <cell r="I357">
            <v>0</v>
          </cell>
          <cell r="J357">
            <v>0</v>
          </cell>
          <cell r="K357">
            <v>1833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</row>
        <row r="358">
          <cell r="A358">
            <v>148800</v>
          </cell>
          <cell r="B358">
            <v>150000</v>
          </cell>
          <cell r="G358">
            <v>21591</v>
          </cell>
          <cell r="H358">
            <v>0</v>
          </cell>
          <cell r="I358">
            <v>0</v>
          </cell>
          <cell r="J358">
            <v>0</v>
          </cell>
          <cell r="K358">
            <v>70087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</row>
        <row r="359">
          <cell r="A359">
            <v>245830</v>
          </cell>
          <cell r="B359">
            <v>252480</v>
          </cell>
          <cell r="G359">
            <v>8727</v>
          </cell>
          <cell r="H359">
            <v>0</v>
          </cell>
          <cell r="I359">
            <v>0</v>
          </cell>
          <cell r="J359">
            <v>0</v>
          </cell>
          <cell r="K359">
            <v>90943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</row>
        <row r="360">
          <cell r="A360">
            <v>486670</v>
          </cell>
          <cell r="B360">
            <v>513550</v>
          </cell>
          <cell r="G360">
            <v>25746</v>
          </cell>
          <cell r="H360">
            <v>0</v>
          </cell>
          <cell r="I360">
            <v>0</v>
          </cell>
          <cell r="J360">
            <v>0</v>
          </cell>
          <cell r="K360">
            <v>267610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</row>
        <row r="361">
          <cell r="A361">
            <v>2400</v>
          </cell>
          <cell r="B361">
            <v>3600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1117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</row>
        <row r="362">
          <cell r="A362">
            <v>2930780</v>
          </cell>
          <cell r="B362">
            <v>3224263</v>
          </cell>
          <cell r="G362">
            <v>136224</v>
          </cell>
          <cell r="H362">
            <v>0</v>
          </cell>
          <cell r="I362">
            <v>0</v>
          </cell>
          <cell r="J362">
            <v>0</v>
          </cell>
          <cell r="K362">
            <v>1407606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3">
          <cell r="A363">
            <v>2188650</v>
          </cell>
          <cell r="B363">
            <v>2122650</v>
          </cell>
          <cell r="G363">
            <v>126412</v>
          </cell>
          <cell r="H363">
            <v>0</v>
          </cell>
          <cell r="I363">
            <v>0</v>
          </cell>
          <cell r="J363">
            <v>0</v>
          </cell>
          <cell r="K363">
            <v>1044720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</row>
        <row r="364">
          <cell r="A364">
            <v>4200</v>
          </cell>
          <cell r="B364">
            <v>10725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285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65">
          <cell r="A365">
            <v>25900</v>
          </cell>
          <cell r="B365">
            <v>31600</v>
          </cell>
          <cell r="G365">
            <v>145</v>
          </cell>
          <cell r="H365">
            <v>0</v>
          </cell>
          <cell r="I365">
            <v>0</v>
          </cell>
          <cell r="J365">
            <v>0</v>
          </cell>
          <cell r="K365">
            <v>10301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</row>
        <row r="366">
          <cell r="A366">
            <v>48900</v>
          </cell>
          <cell r="B366">
            <v>48900</v>
          </cell>
          <cell r="G366">
            <v>297</v>
          </cell>
          <cell r="H366">
            <v>0</v>
          </cell>
          <cell r="I366">
            <v>0</v>
          </cell>
          <cell r="J366">
            <v>0</v>
          </cell>
          <cell r="K366">
            <v>3715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A367">
            <v>180780</v>
          </cell>
          <cell r="B367">
            <v>158930</v>
          </cell>
          <cell r="G367">
            <v>5239</v>
          </cell>
          <cell r="H367">
            <v>0</v>
          </cell>
          <cell r="I367">
            <v>0</v>
          </cell>
          <cell r="J367">
            <v>0</v>
          </cell>
          <cell r="K367">
            <v>40869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</row>
        <row r="368">
          <cell r="A368">
            <v>23400</v>
          </cell>
          <cell r="B368">
            <v>23660</v>
          </cell>
          <cell r="G368">
            <v>590</v>
          </cell>
          <cell r="H368">
            <v>0</v>
          </cell>
          <cell r="I368">
            <v>0</v>
          </cell>
          <cell r="J368">
            <v>0</v>
          </cell>
          <cell r="K368">
            <v>11277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</row>
        <row r="371">
          <cell r="A371">
            <v>3000</v>
          </cell>
          <cell r="B371">
            <v>3000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103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4">
          <cell r="A374">
            <v>286820</v>
          </cell>
          <cell r="B374">
            <v>292220</v>
          </cell>
          <cell r="G374">
            <v>1699</v>
          </cell>
          <cell r="H374">
            <v>0</v>
          </cell>
          <cell r="I374">
            <v>0</v>
          </cell>
          <cell r="J374">
            <v>0</v>
          </cell>
          <cell r="K374">
            <v>40837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</row>
        <row r="376">
          <cell r="A376">
            <v>511020</v>
          </cell>
          <cell r="B376">
            <v>416350</v>
          </cell>
          <cell r="G376">
            <v>2141</v>
          </cell>
          <cell r="H376">
            <v>0</v>
          </cell>
          <cell r="I376">
            <v>0</v>
          </cell>
          <cell r="J376">
            <v>0</v>
          </cell>
          <cell r="K376">
            <v>72200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</row>
        <row r="383">
          <cell r="A383">
            <v>600000</v>
          </cell>
          <cell r="B383">
            <v>580000</v>
          </cell>
          <cell r="G383">
            <v>45683</v>
          </cell>
          <cell r="H383">
            <v>0</v>
          </cell>
          <cell r="I383">
            <v>0</v>
          </cell>
          <cell r="J383">
            <v>0</v>
          </cell>
          <cell r="K383">
            <v>266715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</row>
        <row r="384">
          <cell r="A384">
            <v>40</v>
          </cell>
          <cell r="B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A385">
            <v>200</v>
          </cell>
          <cell r="B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A386">
            <v>8000</v>
          </cell>
          <cell r="B386">
            <v>8000</v>
          </cell>
          <cell r="G386">
            <v>252</v>
          </cell>
          <cell r="H386">
            <v>0</v>
          </cell>
          <cell r="I386">
            <v>0</v>
          </cell>
          <cell r="J386">
            <v>0</v>
          </cell>
          <cell r="K386">
            <v>2563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87">
          <cell r="A387">
            <v>9000</v>
          </cell>
          <cell r="B387">
            <v>10000</v>
          </cell>
          <cell r="G387">
            <v>93</v>
          </cell>
          <cell r="H387">
            <v>0</v>
          </cell>
          <cell r="I387">
            <v>0</v>
          </cell>
          <cell r="J387">
            <v>0</v>
          </cell>
          <cell r="K387">
            <v>3135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</row>
        <row r="388">
          <cell r="A388">
            <v>20400</v>
          </cell>
          <cell r="B388">
            <v>20400</v>
          </cell>
          <cell r="G388">
            <v>371</v>
          </cell>
          <cell r="H388">
            <v>0</v>
          </cell>
          <cell r="I388">
            <v>0</v>
          </cell>
          <cell r="J388">
            <v>0</v>
          </cell>
          <cell r="K388">
            <v>6205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</row>
        <row r="389">
          <cell r="A389">
            <v>250</v>
          </cell>
          <cell r="B389">
            <v>250</v>
          </cell>
          <cell r="G389">
            <v>20</v>
          </cell>
          <cell r="H389">
            <v>0</v>
          </cell>
          <cell r="I389">
            <v>0</v>
          </cell>
          <cell r="J389">
            <v>0</v>
          </cell>
          <cell r="K389">
            <v>58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</row>
        <row r="391">
          <cell r="A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22</v>
          </cell>
          <cell r="M391">
            <v>0</v>
          </cell>
          <cell r="N391">
            <v>0</v>
          </cell>
          <cell r="O391">
            <v>0</v>
          </cell>
        </row>
        <row r="393">
          <cell r="A393">
            <v>2000</v>
          </cell>
          <cell r="B393">
            <v>2000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199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</row>
        <row r="395">
          <cell r="A395">
            <v>100000</v>
          </cell>
          <cell r="B395">
            <v>100000</v>
          </cell>
          <cell r="G395">
            <v>30</v>
          </cell>
          <cell r="H395">
            <v>0</v>
          </cell>
          <cell r="I395">
            <v>0</v>
          </cell>
          <cell r="J395">
            <v>0</v>
          </cell>
          <cell r="K395">
            <v>2789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</row>
        <row r="404">
          <cell r="A404">
            <v>70000</v>
          </cell>
          <cell r="B404">
            <v>0</v>
          </cell>
        </row>
        <row r="405">
          <cell r="A405">
            <v>800</v>
          </cell>
          <cell r="B405">
            <v>0</v>
          </cell>
        </row>
        <row r="406">
          <cell r="A406">
            <v>1500</v>
          </cell>
          <cell r="B406">
            <v>0</v>
          </cell>
        </row>
        <row r="407">
          <cell r="A407">
            <v>1200</v>
          </cell>
          <cell r="B407">
            <v>0</v>
          </cell>
        </row>
        <row r="408">
          <cell r="A408">
            <v>1000</v>
          </cell>
          <cell r="B408">
            <v>0</v>
          </cell>
        </row>
        <row r="409">
          <cell r="A409">
            <v>500</v>
          </cell>
          <cell r="B409">
            <v>0</v>
          </cell>
        </row>
        <row r="410">
          <cell r="A410">
            <v>0</v>
          </cell>
          <cell r="B410">
            <v>0</v>
          </cell>
        </row>
        <row r="411">
          <cell r="A411">
            <v>3000</v>
          </cell>
          <cell r="B411">
            <v>0</v>
          </cell>
        </row>
        <row r="412">
          <cell r="A412">
            <v>2000</v>
          </cell>
          <cell r="B412">
            <v>0</v>
          </cell>
        </row>
        <row r="413">
          <cell r="A413">
            <v>0</v>
          </cell>
          <cell r="B413">
            <v>0</v>
          </cell>
        </row>
        <row r="414">
          <cell r="A414">
            <v>60</v>
          </cell>
          <cell r="B414">
            <v>0</v>
          </cell>
        </row>
        <row r="420">
          <cell r="A420">
            <v>200</v>
          </cell>
          <cell r="B420">
            <v>0</v>
          </cell>
        </row>
        <row r="422">
          <cell r="A422">
            <v>500</v>
          </cell>
          <cell r="B422">
            <v>0</v>
          </cell>
        </row>
        <row r="427">
          <cell r="A427">
            <v>200000</v>
          </cell>
          <cell r="B427">
            <v>220000</v>
          </cell>
          <cell r="G427">
            <v>328</v>
          </cell>
          <cell r="H427">
            <v>0</v>
          </cell>
          <cell r="I427">
            <v>0</v>
          </cell>
          <cell r="J427">
            <v>0</v>
          </cell>
          <cell r="K427">
            <v>4766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</row>
        <row r="428">
          <cell r="A428">
            <v>1000</v>
          </cell>
          <cell r="B428">
            <v>1000</v>
          </cell>
          <cell r="H428">
            <v>0</v>
          </cell>
          <cell r="I428">
            <v>0</v>
          </cell>
          <cell r="J428">
            <v>0</v>
          </cell>
          <cell r="K428">
            <v>20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</row>
        <row r="432">
          <cell r="A432">
            <v>0</v>
          </cell>
          <cell r="B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</row>
        <row r="434">
          <cell r="A434">
            <v>100100</v>
          </cell>
          <cell r="B434">
            <v>74600</v>
          </cell>
          <cell r="G434">
            <v>3983</v>
          </cell>
          <cell r="H434">
            <v>0</v>
          </cell>
          <cell r="I434">
            <v>0</v>
          </cell>
          <cell r="J434">
            <v>0</v>
          </cell>
          <cell r="K434">
            <v>24858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42">
          <cell r="I442">
            <v>0</v>
          </cell>
          <cell r="J442">
            <v>0</v>
          </cell>
          <cell r="K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</row>
        <row r="444">
          <cell r="A444">
            <v>-100000</v>
          </cell>
          <cell r="B444">
            <v>-100000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</row>
        <row r="456">
          <cell r="A456">
            <v>130000</v>
          </cell>
          <cell r="B456">
            <v>176000</v>
          </cell>
          <cell r="F456">
            <v>0</v>
          </cell>
          <cell r="G456">
            <v>183</v>
          </cell>
          <cell r="H456">
            <v>0</v>
          </cell>
          <cell r="I456">
            <v>0</v>
          </cell>
          <cell r="J456">
            <v>0</v>
          </cell>
          <cell r="K456">
            <v>6174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</row>
        <row r="466">
          <cell r="A466">
            <v>5000</v>
          </cell>
          <cell r="B466">
            <v>5000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</row>
        <row r="477">
          <cell r="A477">
            <v>100000</v>
          </cell>
          <cell r="B477">
            <v>100000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80">
          <cell r="A480">
            <v>950000</v>
          </cell>
          <cell r="B480">
            <v>890000</v>
          </cell>
          <cell r="G480">
            <v>0</v>
          </cell>
          <cell r="K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</row>
        <row r="485"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</row>
        <row r="500">
          <cell r="A500">
            <v>1810000</v>
          </cell>
          <cell r="B500">
            <v>1870100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76010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11">
          <cell r="A511">
            <v>1210000</v>
          </cell>
          <cell r="B511">
            <v>1210000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111987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U96"/>
  <sheetViews>
    <sheetView tabSelected="1" view="pageBreakPreview" zoomScale="90" zoomScaleNormal="77" zoomScaleSheetLayoutView="9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D6" sqref="D6"/>
    </sheetView>
  </sheetViews>
  <sheetFormatPr defaultColWidth="9.140625" defaultRowHeight="14.25"/>
  <cols>
    <col min="1" max="1" width="14.85546875" style="5" hidden="1" customWidth="1"/>
    <col min="2" max="2" width="18.7109375" style="5" hidden="1" customWidth="1"/>
    <col min="3" max="3" width="12.5703125" style="5" customWidth="1"/>
    <col min="4" max="4" width="68.7109375" style="5" customWidth="1"/>
    <col min="5" max="5" width="17.140625" style="62" hidden="1" customWidth="1"/>
    <col min="6" max="6" width="14.7109375" style="5" hidden="1" customWidth="1"/>
    <col min="7" max="7" width="15.140625" style="5" hidden="1" customWidth="1"/>
    <col min="8" max="8" width="16.28515625" style="5" hidden="1" customWidth="1"/>
    <col min="9" max="9" width="13.5703125" style="5" hidden="1" customWidth="1"/>
    <col min="10" max="10" width="14.7109375" style="5" hidden="1" customWidth="1"/>
    <col min="11" max="11" width="16.5703125" style="5" customWidth="1"/>
    <col min="12" max="12" width="21" style="63" customWidth="1"/>
    <col min="13" max="13" width="15.5703125" style="5" hidden="1" customWidth="1"/>
    <col min="14" max="14" width="19.140625" style="5" hidden="1" customWidth="1"/>
    <col min="15" max="15" width="18.42578125" style="5" hidden="1" customWidth="1"/>
    <col min="16" max="16" width="24.28515625" style="5" hidden="1" customWidth="1"/>
    <col min="17" max="23" width="15.7109375" style="5" hidden="1" customWidth="1"/>
    <col min="24" max="24" width="22.5703125" style="5" customWidth="1"/>
    <col min="25" max="26" width="15.7109375" style="5" hidden="1" customWidth="1"/>
    <col min="27" max="27" width="18.140625" style="5" hidden="1" customWidth="1"/>
    <col min="28" max="28" width="15.7109375" style="5" hidden="1" customWidth="1"/>
    <col min="29" max="29" width="15.7109375" style="6" hidden="1" customWidth="1"/>
    <col min="30" max="32" width="15.7109375" style="5" hidden="1" customWidth="1"/>
    <col min="33" max="33" width="20.7109375" style="5" hidden="1" customWidth="1"/>
    <col min="34" max="34" width="18.85546875" style="5" hidden="1" customWidth="1"/>
    <col min="35" max="35" width="15.7109375" style="5" hidden="1" customWidth="1"/>
    <col min="36" max="36" width="15.5703125" style="5" hidden="1" customWidth="1"/>
    <col min="37" max="42" width="15.7109375" style="5" hidden="1" customWidth="1"/>
    <col min="43" max="43" width="15.7109375" style="7" hidden="1" customWidth="1"/>
    <col min="44" max="46" width="15.7109375" style="5" hidden="1" customWidth="1"/>
    <col min="47" max="47" width="17.28515625" style="8" hidden="1" customWidth="1"/>
    <col min="48" max="48" width="16.85546875" style="8" hidden="1" customWidth="1"/>
    <col min="49" max="49" width="17.7109375" style="8" hidden="1" customWidth="1"/>
    <col min="50" max="50" width="16.28515625" style="8" hidden="1" customWidth="1"/>
    <col min="51" max="51" width="18.28515625" style="8" hidden="1" customWidth="1"/>
    <col min="52" max="52" width="17.28515625" style="8" hidden="1" customWidth="1"/>
    <col min="53" max="53" width="15.7109375" style="8" hidden="1" customWidth="1"/>
    <col min="54" max="54" width="16.7109375" style="8" hidden="1" customWidth="1"/>
    <col min="55" max="55" width="15.140625" style="8" hidden="1" customWidth="1"/>
    <col min="56" max="56" width="14.7109375" style="8" hidden="1" customWidth="1"/>
    <col min="57" max="57" width="16.28515625" style="8" hidden="1" customWidth="1"/>
    <col min="58" max="58" width="14.85546875" style="8" hidden="1" customWidth="1"/>
    <col min="59" max="59" width="12.7109375" style="8" hidden="1" customWidth="1"/>
    <col min="60" max="60" width="17.5703125" style="8" hidden="1" customWidth="1"/>
    <col min="61" max="61" width="12.28515625" style="8" hidden="1" customWidth="1"/>
    <col min="62" max="62" width="13" style="8" hidden="1" customWidth="1"/>
    <col min="63" max="63" width="0.5703125" style="5" hidden="1" customWidth="1"/>
    <col min="64" max="74" width="9.140625" style="5" customWidth="1"/>
    <col min="75" max="255" width="9.140625" style="5"/>
    <col min="256" max="257" width="0" style="5" hidden="1" customWidth="1"/>
    <col min="258" max="258" width="16.140625" style="5" customWidth="1"/>
    <col min="259" max="259" width="68.7109375" style="5" customWidth="1"/>
    <col min="260" max="260" width="24.42578125" style="5" customWidth="1"/>
    <col min="261" max="266" width="0" style="5" hidden="1" customWidth="1"/>
    <col min="267" max="267" width="20" style="5" customWidth="1"/>
    <col min="268" max="278" width="0" style="5" hidden="1" customWidth="1"/>
    <col min="279" max="279" width="15.7109375" style="5" customWidth="1"/>
    <col min="280" max="318" width="0" style="5" hidden="1" customWidth="1"/>
    <col min="319" max="330" width="9.140625" style="5" customWidth="1"/>
    <col min="331" max="511" width="9.140625" style="5"/>
    <col min="512" max="513" width="0" style="5" hidden="1" customWidth="1"/>
    <col min="514" max="514" width="16.140625" style="5" customWidth="1"/>
    <col min="515" max="515" width="68.7109375" style="5" customWidth="1"/>
    <col min="516" max="516" width="24.42578125" style="5" customWidth="1"/>
    <col min="517" max="522" width="0" style="5" hidden="1" customWidth="1"/>
    <col min="523" max="523" width="20" style="5" customWidth="1"/>
    <col min="524" max="534" width="0" style="5" hidden="1" customWidth="1"/>
    <col min="535" max="535" width="15.7109375" style="5" customWidth="1"/>
    <col min="536" max="574" width="0" style="5" hidden="1" customWidth="1"/>
    <col min="575" max="586" width="9.140625" style="5" customWidth="1"/>
    <col min="587" max="767" width="9.140625" style="5"/>
    <col min="768" max="769" width="0" style="5" hidden="1" customWidth="1"/>
    <col min="770" max="770" width="16.140625" style="5" customWidth="1"/>
    <col min="771" max="771" width="68.7109375" style="5" customWidth="1"/>
    <col min="772" max="772" width="24.42578125" style="5" customWidth="1"/>
    <col min="773" max="778" width="0" style="5" hidden="1" customWidth="1"/>
    <col min="779" max="779" width="20" style="5" customWidth="1"/>
    <col min="780" max="790" width="0" style="5" hidden="1" customWidth="1"/>
    <col min="791" max="791" width="15.7109375" style="5" customWidth="1"/>
    <col min="792" max="830" width="0" style="5" hidden="1" customWidth="1"/>
    <col min="831" max="842" width="9.140625" style="5" customWidth="1"/>
    <col min="843" max="1023" width="9.140625" style="5"/>
    <col min="1024" max="1025" width="0" style="5" hidden="1" customWidth="1"/>
    <col min="1026" max="1026" width="16.140625" style="5" customWidth="1"/>
    <col min="1027" max="1027" width="68.7109375" style="5" customWidth="1"/>
    <col min="1028" max="1028" width="24.42578125" style="5" customWidth="1"/>
    <col min="1029" max="1034" width="0" style="5" hidden="1" customWidth="1"/>
    <col min="1035" max="1035" width="20" style="5" customWidth="1"/>
    <col min="1036" max="1046" width="0" style="5" hidden="1" customWidth="1"/>
    <col min="1047" max="1047" width="15.7109375" style="5" customWidth="1"/>
    <col min="1048" max="1086" width="0" style="5" hidden="1" customWidth="1"/>
    <col min="1087" max="1098" width="9.140625" style="5" customWidth="1"/>
    <col min="1099" max="1279" width="9.140625" style="5"/>
    <col min="1280" max="1281" width="0" style="5" hidden="1" customWidth="1"/>
    <col min="1282" max="1282" width="16.140625" style="5" customWidth="1"/>
    <col min="1283" max="1283" width="68.7109375" style="5" customWidth="1"/>
    <col min="1284" max="1284" width="24.42578125" style="5" customWidth="1"/>
    <col min="1285" max="1290" width="0" style="5" hidden="1" customWidth="1"/>
    <col min="1291" max="1291" width="20" style="5" customWidth="1"/>
    <col min="1292" max="1302" width="0" style="5" hidden="1" customWidth="1"/>
    <col min="1303" max="1303" width="15.7109375" style="5" customWidth="1"/>
    <col min="1304" max="1342" width="0" style="5" hidden="1" customWidth="1"/>
    <col min="1343" max="1354" width="9.140625" style="5" customWidth="1"/>
    <col min="1355" max="1535" width="9.140625" style="5"/>
    <col min="1536" max="1537" width="0" style="5" hidden="1" customWidth="1"/>
    <col min="1538" max="1538" width="16.140625" style="5" customWidth="1"/>
    <col min="1539" max="1539" width="68.7109375" style="5" customWidth="1"/>
    <col min="1540" max="1540" width="24.42578125" style="5" customWidth="1"/>
    <col min="1541" max="1546" width="0" style="5" hidden="1" customWidth="1"/>
    <col min="1547" max="1547" width="20" style="5" customWidth="1"/>
    <col min="1548" max="1558" width="0" style="5" hidden="1" customWidth="1"/>
    <col min="1559" max="1559" width="15.7109375" style="5" customWidth="1"/>
    <col min="1560" max="1598" width="0" style="5" hidden="1" customWidth="1"/>
    <col min="1599" max="1610" width="9.140625" style="5" customWidth="1"/>
    <col min="1611" max="1791" width="9.140625" style="5"/>
    <col min="1792" max="1793" width="0" style="5" hidden="1" customWidth="1"/>
    <col min="1794" max="1794" width="16.140625" style="5" customWidth="1"/>
    <col min="1795" max="1795" width="68.7109375" style="5" customWidth="1"/>
    <col min="1796" max="1796" width="24.42578125" style="5" customWidth="1"/>
    <col min="1797" max="1802" width="0" style="5" hidden="1" customWidth="1"/>
    <col min="1803" max="1803" width="20" style="5" customWidth="1"/>
    <col min="1804" max="1814" width="0" style="5" hidden="1" customWidth="1"/>
    <col min="1815" max="1815" width="15.7109375" style="5" customWidth="1"/>
    <col min="1816" max="1854" width="0" style="5" hidden="1" customWidth="1"/>
    <col min="1855" max="1866" width="9.140625" style="5" customWidth="1"/>
    <col min="1867" max="2047" width="9.140625" style="5"/>
    <col min="2048" max="2049" width="0" style="5" hidden="1" customWidth="1"/>
    <col min="2050" max="2050" width="16.140625" style="5" customWidth="1"/>
    <col min="2051" max="2051" width="68.7109375" style="5" customWidth="1"/>
    <col min="2052" max="2052" width="24.42578125" style="5" customWidth="1"/>
    <col min="2053" max="2058" width="0" style="5" hidden="1" customWidth="1"/>
    <col min="2059" max="2059" width="20" style="5" customWidth="1"/>
    <col min="2060" max="2070" width="0" style="5" hidden="1" customWidth="1"/>
    <col min="2071" max="2071" width="15.7109375" style="5" customWidth="1"/>
    <col min="2072" max="2110" width="0" style="5" hidden="1" customWidth="1"/>
    <col min="2111" max="2122" width="9.140625" style="5" customWidth="1"/>
    <col min="2123" max="2303" width="9.140625" style="5"/>
    <col min="2304" max="2305" width="0" style="5" hidden="1" customWidth="1"/>
    <col min="2306" max="2306" width="16.140625" style="5" customWidth="1"/>
    <col min="2307" max="2307" width="68.7109375" style="5" customWidth="1"/>
    <col min="2308" max="2308" width="24.42578125" style="5" customWidth="1"/>
    <col min="2309" max="2314" width="0" style="5" hidden="1" customWidth="1"/>
    <col min="2315" max="2315" width="20" style="5" customWidth="1"/>
    <col min="2316" max="2326" width="0" style="5" hidden="1" customWidth="1"/>
    <col min="2327" max="2327" width="15.7109375" style="5" customWidth="1"/>
    <col min="2328" max="2366" width="0" style="5" hidden="1" customWidth="1"/>
    <col min="2367" max="2378" width="9.140625" style="5" customWidth="1"/>
    <col min="2379" max="2559" width="9.140625" style="5"/>
    <col min="2560" max="2561" width="0" style="5" hidden="1" customWidth="1"/>
    <col min="2562" max="2562" width="16.140625" style="5" customWidth="1"/>
    <col min="2563" max="2563" width="68.7109375" style="5" customWidth="1"/>
    <col min="2564" max="2564" width="24.42578125" style="5" customWidth="1"/>
    <col min="2565" max="2570" width="0" style="5" hidden="1" customWidth="1"/>
    <col min="2571" max="2571" width="20" style="5" customWidth="1"/>
    <col min="2572" max="2582" width="0" style="5" hidden="1" customWidth="1"/>
    <col min="2583" max="2583" width="15.7109375" style="5" customWidth="1"/>
    <col min="2584" max="2622" width="0" style="5" hidden="1" customWidth="1"/>
    <col min="2623" max="2634" width="9.140625" style="5" customWidth="1"/>
    <col min="2635" max="2815" width="9.140625" style="5"/>
    <col min="2816" max="2817" width="0" style="5" hidden="1" customWidth="1"/>
    <col min="2818" max="2818" width="16.140625" style="5" customWidth="1"/>
    <col min="2819" max="2819" width="68.7109375" style="5" customWidth="1"/>
    <col min="2820" max="2820" width="24.42578125" style="5" customWidth="1"/>
    <col min="2821" max="2826" width="0" style="5" hidden="1" customWidth="1"/>
    <col min="2827" max="2827" width="20" style="5" customWidth="1"/>
    <col min="2828" max="2838" width="0" style="5" hidden="1" customWidth="1"/>
    <col min="2839" max="2839" width="15.7109375" style="5" customWidth="1"/>
    <col min="2840" max="2878" width="0" style="5" hidden="1" customWidth="1"/>
    <col min="2879" max="2890" width="9.140625" style="5" customWidth="1"/>
    <col min="2891" max="3071" width="9.140625" style="5"/>
    <col min="3072" max="3073" width="0" style="5" hidden="1" customWidth="1"/>
    <col min="3074" max="3074" width="16.140625" style="5" customWidth="1"/>
    <col min="3075" max="3075" width="68.7109375" style="5" customWidth="1"/>
    <col min="3076" max="3076" width="24.42578125" style="5" customWidth="1"/>
    <col min="3077" max="3082" width="0" style="5" hidden="1" customWidth="1"/>
    <col min="3083" max="3083" width="20" style="5" customWidth="1"/>
    <col min="3084" max="3094" width="0" style="5" hidden="1" customWidth="1"/>
    <col min="3095" max="3095" width="15.7109375" style="5" customWidth="1"/>
    <col min="3096" max="3134" width="0" style="5" hidden="1" customWidth="1"/>
    <col min="3135" max="3146" width="9.140625" style="5" customWidth="1"/>
    <col min="3147" max="3327" width="9.140625" style="5"/>
    <col min="3328" max="3329" width="0" style="5" hidden="1" customWidth="1"/>
    <col min="3330" max="3330" width="16.140625" style="5" customWidth="1"/>
    <col min="3331" max="3331" width="68.7109375" style="5" customWidth="1"/>
    <col min="3332" max="3332" width="24.42578125" style="5" customWidth="1"/>
    <col min="3333" max="3338" width="0" style="5" hidden="1" customWidth="1"/>
    <col min="3339" max="3339" width="20" style="5" customWidth="1"/>
    <col min="3340" max="3350" width="0" style="5" hidden="1" customWidth="1"/>
    <col min="3351" max="3351" width="15.7109375" style="5" customWidth="1"/>
    <col min="3352" max="3390" width="0" style="5" hidden="1" customWidth="1"/>
    <col min="3391" max="3402" width="9.140625" style="5" customWidth="1"/>
    <col min="3403" max="3583" width="9.140625" style="5"/>
    <col min="3584" max="3585" width="0" style="5" hidden="1" customWidth="1"/>
    <col min="3586" max="3586" width="16.140625" style="5" customWidth="1"/>
    <col min="3587" max="3587" width="68.7109375" style="5" customWidth="1"/>
    <col min="3588" max="3588" width="24.42578125" style="5" customWidth="1"/>
    <col min="3589" max="3594" width="0" style="5" hidden="1" customWidth="1"/>
    <col min="3595" max="3595" width="20" style="5" customWidth="1"/>
    <col min="3596" max="3606" width="0" style="5" hidden="1" customWidth="1"/>
    <col min="3607" max="3607" width="15.7109375" style="5" customWidth="1"/>
    <col min="3608" max="3646" width="0" style="5" hidden="1" customWidth="1"/>
    <col min="3647" max="3658" width="9.140625" style="5" customWidth="1"/>
    <col min="3659" max="3839" width="9.140625" style="5"/>
    <col min="3840" max="3841" width="0" style="5" hidden="1" customWidth="1"/>
    <col min="3842" max="3842" width="16.140625" style="5" customWidth="1"/>
    <col min="3843" max="3843" width="68.7109375" style="5" customWidth="1"/>
    <col min="3844" max="3844" width="24.42578125" style="5" customWidth="1"/>
    <col min="3845" max="3850" width="0" style="5" hidden="1" customWidth="1"/>
    <col min="3851" max="3851" width="20" style="5" customWidth="1"/>
    <col min="3852" max="3862" width="0" style="5" hidden="1" customWidth="1"/>
    <col min="3863" max="3863" width="15.7109375" style="5" customWidth="1"/>
    <col min="3864" max="3902" width="0" style="5" hidden="1" customWidth="1"/>
    <col min="3903" max="3914" width="9.140625" style="5" customWidth="1"/>
    <col min="3915" max="4095" width="9.140625" style="5"/>
    <col min="4096" max="4097" width="0" style="5" hidden="1" customWidth="1"/>
    <col min="4098" max="4098" width="16.140625" style="5" customWidth="1"/>
    <col min="4099" max="4099" width="68.7109375" style="5" customWidth="1"/>
    <col min="4100" max="4100" width="24.42578125" style="5" customWidth="1"/>
    <col min="4101" max="4106" width="0" style="5" hidden="1" customWidth="1"/>
    <col min="4107" max="4107" width="20" style="5" customWidth="1"/>
    <col min="4108" max="4118" width="0" style="5" hidden="1" customWidth="1"/>
    <col min="4119" max="4119" width="15.7109375" style="5" customWidth="1"/>
    <col min="4120" max="4158" width="0" style="5" hidden="1" customWidth="1"/>
    <col min="4159" max="4170" width="9.140625" style="5" customWidth="1"/>
    <col min="4171" max="4351" width="9.140625" style="5"/>
    <col min="4352" max="4353" width="0" style="5" hidden="1" customWidth="1"/>
    <col min="4354" max="4354" width="16.140625" style="5" customWidth="1"/>
    <col min="4355" max="4355" width="68.7109375" style="5" customWidth="1"/>
    <col min="4356" max="4356" width="24.42578125" style="5" customWidth="1"/>
    <col min="4357" max="4362" width="0" style="5" hidden="1" customWidth="1"/>
    <col min="4363" max="4363" width="20" style="5" customWidth="1"/>
    <col min="4364" max="4374" width="0" style="5" hidden="1" customWidth="1"/>
    <col min="4375" max="4375" width="15.7109375" style="5" customWidth="1"/>
    <col min="4376" max="4414" width="0" style="5" hidden="1" customWidth="1"/>
    <col min="4415" max="4426" width="9.140625" style="5" customWidth="1"/>
    <col min="4427" max="4607" width="9.140625" style="5"/>
    <col min="4608" max="4609" width="0" style="5" hidden="1" customWidth="1"/>
    <col min="4610" max="4610" width="16.140625" style="5" customWidth="1"/>
    <col min="4611" max="4611" width="68.7109375" style="5" customWidth="1"/>
    <col min="4612" max="4612" width="24.42578125" style="5" customWidth="1"/>
    <col min="4613" max="4618" width="0" style="5" hidden="1" customWidth="1"/>
    <col min="4619" max="4619" width="20" style="5" customWidth="1"/>
    <col min="4620" max="4630" width="0" style="5" hidden="1" customWidth="1"/>
    <col min="4631" max="4631" width="15.7109375" style="5" customWidth="1"/>
    <col min="4632" max="4670" width="0" style="5" hidden="1" customWidth="1"/>
    <col min="4671" max="4682" width="9.140625" style="5" customWidth="1"/>
    <col min="4683" max="4863" width="9.140625" style="5"/>
    <col min="4864" max="4865" width="0" style="5" hidden="1" customWidth="1"/>
    <col min="4866" max="4866" width="16.140625" style="5" customWidth="1"/>
    <col min="4867" max="4867" width="68.7109375" style="5" customWidth="1"/>
    <col min="4868" max="4868" width="24.42578125" style="5" customWidth="1"/>
    <col min="4869" max="4874" width="0" style="5" hidden="1" customWidth="1"/>
    <col min="4875" max="4875" width="20" style="5" customWidth="1"/>
    <col min="4876" max="4886" width="0" style="5" hidden="1" customWidth="1"/>
    <col min="4887" max="4887" width="15.7109375" style="5" customWidth="1"/>
    <col min="4888" max="4926" width="0" style="5" hidden="1" customWidth="1"/>
    <col min="4927" max="4938" width="9.140625" style="5" customWidth="1"/>
    <col min="4939" max="5119" width="9.140625" style="5"/>
    <col min="5120" max="5121" width="0" style="5" hidden="1" customWidth="1"/>
    <col min="5122" max="5122" width="16.140625" style="5" customWidth="1"/>
    <col min="5123" max="5123" width="68.7109375" style="5" customWidth="1"/>
    <col min="5124" max="5124" width="24.42578125" style="5" customWidth="1"/>
    <col min="5125" max="5130" width="0" style="5" hidden="1" customWidth="1"/>
    <col min="5131" max="5131" width="20" style="5" customWidth="1"/>
    <col min="5132" max="5142" width="0" style="5" hidden="1" customWidth="1"/>
    <col min="5143" max="5143" width="15.7109375" style="5" customWidth="1"/>
    <col min="5144" max="5182" width="0" style="5" hidden="1" customWidth="1"/>
    <col min="5183" max="5194" width="9.140625" style="5" customWidth="1"/>
    <col min="5195" max="5375" width="9.140625" style="5"/>
    <col min="5376" max="5377" width="0" style="5" hidden="1" customWidth="1"/>
    <col min="5378" max="5378" width="16.140625" style="5" customWidth="1"/>
    <col min="5379" max="5379" width="68.7109375" style="5" customWidth="1"/>
    <col min="5380" max="5380" width="24.42578125" style="5" customWidth="1"/>
    <col min="5381" max="5386" width="0" style="5" hidden="1" customWidth="1"/>
    <col min="5387" max="5387" width="20" style="5" customWidth="1"/>
    <col min="5388" max="5398" width="0" style="5" hidden="1" customWidth="1"/>
    <col min="5399" max="5399" width="15.7109375" style="5" customWidth="1"/>
    <col min="5400" max="5438" width="0" style="5" hidden="1" customWidth="1"/>
    <col min="5439" max="5450" width="9.140625" style="5" customWidth="1"/>
    <col min="5451" max="5631" width="9.140625" style="5"/>
    <col min="5632" max="5633" width="0" style="5" hidden="1" customWidth="1"/>
    <col min="5634" max="5634" width="16.140625" style="5" customWidth="1"/>
    <col min="5635" max="5635" width="68.7109375" style="5" customWidth="1"/>
    <col min="5636" max="5636" width="24.42578125" style="5" customWidth="1"/>
    <col min="5637" max="5642" width="0" style="5" hidden="1" customWidth="1"/>
    <col min="5643" max="5643" width="20" style="5" customWidth="1"/>
    <col min="5644" max="5654" width="0" style="5" hidden="1" customWidth="1"/>
    <col min="5655" max="5655" width="15.7109375" style="5" customWidth="1"/>
    <col min="5656" max="5694" width="0" style="5" hidden="1" customWidth="1"/>
    <col min="5695" max="5706" width="9.140625" style="5" customWidth="1"/>
    <col min="5707" max="5887" width="9.140625" style="5"/>
    <col min="5888" max="5889" width="0" style="5" hidden="1" customWidth="1"/>
    <col min="5890" max="5890" width="16.140625" style="5" customWidth="1"/>
    <col min="5891" max="5891" width="68.7109375" style="5" customWidth="1"/>
    <col min="5892" max="5892" width="24.42578125" style="5" customWidth="1"/>
    <col min="5893" max="5898" width="0" style="5" hidden="1" customWidth="1"/>
    <col min="5899" max="5899" width="20" style="5" customWidth="1"/>
    <col min="5900" max="5910" width="0" style="5" hidden="1" customWidth="1"/>
    <col min="5911" max="5911" width="15.7109375" style="5" customWidth="1"/>
    <col min="5912" max="5950" width="0" style="5" hidden="1" customWidth="1"/>
    <col min="5951" max="5962" width="9.140625" style="5" customWidth="1"/>
    <col min="5963" max="6143" width="9.140625" style="5"/>
    <col min="6144" max="6145" width="0" style="5" hidden="1" customWidth="1"/>
    <col min="6146" max="6146" width="16.140625" style="5" customWidth="1"/>
    <col min="6147" max="6147" width="68.7109375" style="5" customWidth="1"/>
    <col min="6148" max="6148" width="24.42578125" style="5" customWidth="1"/>
    <col min="6149" max="6154" width="0" style="5" hidden="1" customWidth="1"/>
    <col min="6155" max="6155" width="20" style="5" customWidth="1"/>
    <col min="6156" max="6166" width="0" style="5" hidden="1" customWidth="1"/>
    <col min="6167" max="6167" width="15.7109375" style="5" customWidth="1"/>
    <col min="6168" max="6206" width="0" style="5" hidden="1" customWidth="1"/>
    <col min="6207" max="6218" width="9.140625" style="5" customWidth="1"/>
    <col min="6219" max="6399" width="9.140625" style="5"/>
    <col min="6400" max="6401" width="0" style="5" hidden="1" customWidth="1"/>
    <col min="6402" max="6402" width="16.140625" style="5" customWidth="1"/>
    <col min="6403" max="6403" width="68.7109375" style="5" customWidth="1"/>
    <col min="6404" max="6404" width="24.42578125" style="5" customWidth="1"/>
    <col min="6405" max="6410" width="0" style="5" hidden="1" customWidth="1"/>
    <col min="6411" max="6411" width="20" style="5" customWidth="1"/>
    <col min="6412" max="6422" width="0" style="5" hidden="1" customWidth="1"/>
    <col min="6423" max="6423" width="15.7109375" style="5" customWidth="1"/>
    <col min="6424" max="6462" width="0" style="5" hidden="1" customWidth="1"/>
    <col min="6463" max="6474" width="9.140625" style="5" customWidth="1"/>
    <col min="6475" max="6655" width="9.140625" style="5"/>
    <col min="6656" max="6657" width="0" style="5" hidden="1" customWidth="1"/>
    <col min="6658" max="6658" width="16.140625" style="5" customWidth="1"/>
    <col min="6659" max="6659" width="68.7109375" style="5" customWidth="1"/>
    <col min="6660" max="6660" width="24.42578125" style="5" customWidth="1"/>
    <col min="6661" max="6666" width="0" style="5" hidden="1" customWidth="1"/>
    <col min="6667" max="6667" width="20" style="5" customWidth="1"/>
    <col min="6668" max="6678" width="0" style="5" hidden="1" customWidth="1"/>
    <col min="6679" max="6679" width="15.7109375" style="5" customWidth="1"/>
    <col min="6680" max="6718" width="0" style="5" hidden="1" customWidth="1"/>
    <col min="6719" max="6730" width="9.140625" style="5" customWidth="1"/>
    <col min="6731" max="6911" width="9.140625" style="5"/>
    <col min="6912" max="6913" width="0" style="5" hidden="1" customWidth="1"/>
    <col min="6914" max="6914" width="16.140625" style="5" customWidth="1"/>
    <col min="6915" max="6915" width="68.7109375" style="5" customWidth="1"/>
    <col min="6916" max="6916" width="24.42578125" style="5" customWidth="1"/>
    <col min="6917" max="6922" width="0" style="5" hidden="1" customWidth="1"/>
    <col min="6923" max="6923" width="20" style="5" customWidth="1"/>
    <col min="6924" max="6934" width="0" style="5" hidden="1" customWidth="1"/>
    <col min="6935" max="6935" width="15.7109375" style="5" customWidth="1"/>
    <col min="6936" max="6974" width="0" style="5" hidden="1" customWidth="1"/>
    <col min="6975" max="6986" width="9.140625" style="5" customWidth="1"/>
    <col min="6987" max="7167" width="9.140625" style="5"/>
    <col min="7168" max="7169" width="0" style="5" hidden="1" customWidth="1"/>
    <col min="7170" max="7170" width="16.140625" style="5" customWidth="1"/>
    <col min="7171" max="7171" width="68.7109375" style="5" customWidth="1"/>
    <col min="7172" max="7172" width="24.42578125" style="5" customWidth="1"/>
    <col min="7173" max="7178" width="0" style="5" hidden="1" customWidth="1"/>
    <col min="7179" max="7179" width="20" style="5" customWidth="1"/>
    <col min="7180" max="7190" width="0" style="5" hidden="1" customWidth="1"/>
    <col min="7191" max="7191" width="15.7109375" style="5" customWidth="1"/>
    <col min="7192" max="7230" width="0" style="5" hidden="1" customWidth="1"/>
    <col min="7231" max="7242" width="9.140625" style="5" customWidth="1"/>
    <col min="7243" max="7423" width="9.140625" style="5"/>
    <col min="7424" max="7425" width="0" style="5" hidden="1" customWidth="1"/>
    <col min="7426" max="7426" width="16.140625" style="5" customWidth="1"/>
    <col min="7427" max="7427" width="68.7109375" style="5" customWidth="1"/>
    <col min="7428" max="7428" width="24.42578125" style="5" customWidth="1"/>
    <col min="7429" max="7434" width="0" style="5" hidden="1" customWidth="1"/>
    <col min="7435" max="7435" width="20" style="5" customWidth="1"/>
    <col min="7436" max="7446" width="0" style="5" hidden="1" customWidth="1"/>
    <col min="7447" max="7447" width="15.7109375" style="5" customWidth="1"/>
    <col min="7448" max="7486" width="0" style="5" hidden="1" customWidth="1"/>
    <col min="7487" max="7498" width="9.140625" style="5" customWidth="1"/>
    <col min="7499" max="7679" width="9.140625" style="5"/>
    <col min="7680" max="7681" width="0" style="5" hidden="1" customWidth="1"/>
    <col min="7682" max="7682" width="16.140625" style="5" customWidth="1"/>
    <col min="7683" max="7683" width="68.7109375" style="5" customWidth="1"/>
    <col min="7684" max="7684" width="24.42578125" style="5" customWidth="1"/>
    <col min="7685" max="7690" width="0" style="5" hidden="1" customWidth="1"/>
    <col min="7691" max="7691" width="20" style="5" customWidth="1"/>
    <col min="7692" max="7702" width="0" style="5" hidden="1" customWidth="1"/>
    <col min="7703" max="7703" width="15.7109375" style="5" customWidth="1"/>
    <col min="7704" max="7742" width="0" style="5" hidden="1" customWidth="1"/>
    <col min="7743" max="7754" width="9.140625" style="5" customWidth="1"/>
    <col min="7755" max="7935" width="9.140625" style="5"/>
    <col min="7936" max="7937" width="0" style="5" hidden="1" customWidth="1"/>
    <col min="7938" max="7938" width="16.140625" style="5" customWidth="1"/>
    <col min="7939" max="7939" width="68.7109375" style="5" customWidth="1"/>
    <col min="7940" max="7940" width="24.42578125" style="5" customWidth="1"/>
    <col min="7941" max="7946" width="0" style="5" hidden="1" customWidth="1"/>
    <col min="7947" max="7947" width="20" style="5" customWidth="1"/>
    <col min="7948" max="7958" width="0" style="5" hidden="1" customWidth="1"/>
    <col min="7959" max="7959" width="15.7109375" style="5" customWidth="1"/>
    <col min="7960" max="7998" width="0" style="5" hidden="1" customWidth="1"/>
    <col min="7999" max="8010" width="9.140625" style="5" customWidth="1"/>
    <col min="8011" max="8191" width="9.140625" style="5"/>
    <col min="8192" max="8193" width="0" style="5" hidden="1" customWidth="1"/>
    <col min="8194" max="8194" width="16.140625" style="5" customWidth="1"/>
    <col min="8195" max="8195" width="68.7109375" style="5" customWidth="1"/>
    <col min="8196" max="8196" width="24.42578125" style="5" customWidth="1"/>
    <col min="8197" max="8202" width="0" style="5" hidden="1" customWidth="1"/>
    <col min="8203" max="8203" width="20" style="5" customWidth="1"/>
    <col min="8204" max="8214" width="0" style="5" hidden="1" customWidth="1"/>
    <col min="8215" max="8215" width="15.7109375" style="5" customWidth="1"/>
    <col min="8216" max="8254" width="0" style="5" hidden="1" customWidth="1"/>
    <col min="8255" max="8266" width="9.140625" style="5" customWidth="1"/>
    <col min="8267" max="8447" width="9.140625" style="5"/>
    <col min="8448" max="8449" width="0" style="5" hidden="1" customWidth="1"/>
    <col min="8450" max="8450" width="16.140625" style="5" customWidth="1"/>
    <col min="8451" max="8451" width="68.7109375" style="5" customWidth="1"/>
    <col min="8452" max="8452" width="24.42578125" style="5" customWidth="1"/>
    <col min="8453" max="8458" width="0" style="5" hidden="1" customWidth="1"/>
    <col min="8459" max="8459" width="20" style="5" customWidth="1"/>
    <col min="8460" max="8470" width="0" style="5" hidden="1" customWidth="1"/>
    <col min="8471" max="8471" width="15.7109375" style="5" customWidth="1"/>
    <col min="8472" max="8510" width="0" style="5" hidden="1" customWidth="1"/>
    <col min="8511" max="8522" width="9.140625" style="5" customWidth="1"/>
    <col min="8523" max="8703" width="9.140625" style="5"/>
    <col min="8704" max="8705" width="0" style="5" hidden="1" customWidth="1"/>
    <col min="8706" max="8706" width="16.140625" style="5" customWidth="1"/>
    <col min="8707" max="8707" width="68.7109375" style="5" customWidth="1"/>
    <col min="8708" max="8708" width="24.42578125" style="5" customWidth="1"/>
    <col min="8709" max="8714" width="0" style="5" hidden="1" customWidth="1"/>
    <col min="8715" max="8715" width="20" style="5" customWidth="1"/>
    <col min="8716" max="8726" width="0" style="5" hidden="1" customWidth="1"/>
    <col min="8727" max="8727" width="15.7109375" style="5" customWidth="1"/>
    <col min="8728" max="8766" width="0" style="5" hidden="1" customWidth="1"/>
    <col min="8767" max="8778" width="9.140625" style="5" customWidth="1"/>
    <col min="8779" max="8959" width="9.140625" style="5"/>
    <col min="8960" max="8961" width="0" style="5" hidden="1" customWidth="1"/>
    <col min="8962" max="8962" width="16.140625" style="5" customWidth="1"/>
    <col min="8963" max="8963" width="68.7109375" style="5" customWidth="1"/>
    <col min="8964" max="8964" width="24.42578125" style="5" customWidth="1"/>
    <col min="8965" max="8970" width="0" style="5" hidden="1" customWidth="1"/>
    <col min="8971" max="8971" width="20" style="5" customWidth="1"/>
    <col min="8972" max="8982" width="0" style="5" hidden="1" customWidth="1"/>
    <col min="8983" max="8983" width="15.7109375" style="5" customWidth="1"/>
    <col min="8984" max="9022" width="0" style="5" hidden="1" customWidth="1"/>
    <col min="9023" max="9034" width="9.140625" style="5" customWidth="1"/>
    <col min="9035" max="9215" width="9.140625" style="5"/>
    <col min="9216" max="9217" width="0" style="5" hidden="1" customWidth="1"/>
    <col min="9218" max="9218" width="16.140625" style="5" customWidth="1"/>
    <col min="9219" max="9219" width="68.7109375" style="5" customWidth="1"/>
    <col min="9220" max="9220" width="24.42578125" style="5" customWidth="1"/>
    <col min="9221" max="9226" width="0" style="5" hidden="1" customWidth="1"/>
    <col min="9227" max="9227" width="20" style="5" customWidth="1"/>
    <col min="9228" max="9238" width="0" style="5" hidden="1" customWidth="1"/>
    <col min="9239" max="9239" width="15.7109375" style="5" customWidth="1"/>
    <col min="9240" max="9278" width="0" style="5" hidden="1" customWidth="1"/>
    <col min="9279" max="9290" width="9.140625" style="5" customWidth="1"/>
    <col min="9291" max="9471" width="9.140625" style="5"/>
    <col min="9472" max="9473" width="0" style="5" hidden="1" customWidth="1"/>
    <col min="9474" max="9474" width="16.140625" style="5" customWidth="1"/>
    <col min="9475" max="9475" width="68.7109375" style="5" customWidth="1"/>
    <col min="9476" max="9476" width="24.42578125" style="5" customWidth="1"/>
    <col min="9477" max="9482" width="0" style="5" hidden="1" customWidth="1"/>
    <col min="9483" max="9483" width="20" style="5" customWidth="1"/>
    <col min="9484" max="9494" width="0" style="5" hidden="1" customWidth="1"/>
    <col min="9495" max="9495" width="15.7109375" style="5" customWidth="1"/>
    <col min="9496" max="9534" width="0" style="5" hidden="1" customWidth="1"/>
    <col min="9535" max="9546" width="9.140625" style="5" customWidth="1"/>
    <col min="9547" max="9727" width="9.140625" style="5"/>
    <col min="9728" max="9729" width="0" style="5" hidden="1" customWidth="1"/>
    <col min="9730" max="9730" width="16.140625" style="5" customWidth="1"/>
    <col min="9731" max="9731" width="68.7109375" style="5" customWidth="1"/>
    <col min="9732" max="9732" width="24.42578125" style="5" customWidth="1"/>
    <col min="9733" max="9738" width="0" style="5" hidden="1" customWidth="1"/>
    <col min="9739" max="9739" width="20" style="5" customWidth="1"/>
    <col min="9740" max="9750" width="0" style="5" hidden="1" customWidth="1"/>
    <col min="9751" max="9751" width="15.7109375" style="5" customWidth="1"/>
    <col min="9752" max="9790" width="0" style="5" hidden="1" customWidth="1"/>
    <col min="9791" max="9802" width="9.140625" style="5" customWidth="1"/>
    <col min="9803" max="9983" width="9.140625" style="5"/>
    <col min="9984" max="9985" width="0" style="5" hidden="1" customWidth="1"/>
    <col min="9986" max="9986" width="16.140625" style="5" customWidth="1"/>
    <col min="9987" max="9987" width="68.7109375" style="5" customWidth="1"/>
    <col min="9988" max="9988" width="24.42578125" style="5" customWidth="1"/>
    <col min="9989" max="9994" width="0" style="5" hidden="1" customWidth="1"/>
    <col min="9995" max="9995" width="20" style="5" customWidth="1"/>
    <col min="9996" max="10006" width="0" style="5" hidden="1" customWidth="1"/>
    <col min="10007" max="10007" width="15.7109375" style="5" customWidth="1"/>
    <col min="10008" max="10046" width="0" style="5" hidden="1" customWidth="1"/>
    <col min="10047" max="10058" width="9.140625" style="5" customWidth="1"/>
    <col min="10059" max="10239" width="9.140625" style="5"/>
    <col min="10240" max="10241" width="0" style="5" hidden="1" customWidth="1"/>
    <col min="10242" max="10242" width="16.140625" style="5" customWidth="1"/>
    <col min="10243" max="10243" width="68.7109375" style="5" customWidth="1"/>
    <col min="10244" max="10244" width="24.42578125" style="5" customWidth="1"/>
    <col min="10245" max="10250" width="0" style="5" hidden="1" customWidth="1"/>
    <col min="10251" max="10251" width="20" style="5" customWidth="1"/>
    <col min="10252" max="10262" width="0" style="5" hidden="1" customWidth="1"/>
    <col min="10263" max="10263" width="15.7109375" style="5" customWidth="1"/>
    <col min="10264" max="10302" width="0" style="5" hidden="1" customWidth="1"/>
    <col min="10303" max="10314" width="9.140625" style="5" customWidth="1"/>
    <col min="10315" max="10495" width="9.140625" style="5"/>
    <col min="10496" max="10497" width="0" style="5" hidden="1" customWidth="1"/>
    <col min="10498" max="10498" width="16.140625" style="5" customWidth="1"/>
    <col min="10499" max="10499" width="68.7109375" style="5" customWidth="1"/>
    <col min="10500" max="10500" width="24.42578125" style="5" customWidth="1"/>
    <col min="10501" max="10506" width="0" style="5" hidden="1" customWidth="1"/>
    <col min="10507" max="10507" width="20" style="5" customWidth="1"/>
    <col min="10508" max="10518" width="0" style="5" hidden="1" customWidth="1"/>
    <col min="10519" max="10519" width="15.7109375" style="5" customWidth="1"/>
    <col min="10520" max="10558" width="0" style="5" hidden="1" customWidth="1"/>
    <col min="10559" max="10570" width="9.140625" style="5" customWidth="1"/>
    <col min="10571" max="10751" width="9.140625" style="5"/>
    <col min="10752" max="10753" width="0" style="5" hidden="1" customWidth="1"/>
    <col min="10754" max="10754" width="16.140625" style="5" customWidth="1"/>
    <col min="10755" max="10755" width="68.7109375" style="5" customWidth="1"/>
    <col min="10756" max="10756" width="24.42578125" style="5" customWidth="1"/>
    <col min="10757" max="10762" width="0" style="5" hidden="1" customWidth="1"/>
    <col min="10763" max="10763" width="20" style="5" customWidth="1"/>
    <col min="10764" max="10774" width="0" style="5" hidden="1" customWidth="1"/>
    <col min="10775" max="10775" width="15.7109375" style="5" customWidth="1"/>
    <col min="10776" max="10814" width="0" style="5" hidden="1" customWidth="1"/>
    <col min="10815" max="10826" width="9.140625" style="5" customWidth="1"/>
    <col min="10827" max="11007" width="9.140625" style="5"/>
    <col min="11008" max="11009" width="0" style="5" hidden="1" customWidth="1"/>
    <col min="11010" max="11010" width="16.140625" style="5" customWidth="1"/>
    <col min="11011" max="11011" width="68.7109375" style="5" customWidth="1"/>
    <col min="11012" max="11012" width="24.42578125" style="5" customWidth="1"/>
    <col min="11013" max="11018" width="0" style="5" hidden="1" customWidth="1"/>
    <col min="11019" max="11019" width="20" style="5" customWidth="1"/>
    <col min="11020" max="11030" width="0" style="5" hidden="1" customWidth="1"/>
    <col min="11031" max="11031" width="15.7109375" style="5" customWidth="1"/>
    <col min="11032" max="11070" width="0" style="5" hidden="1" customWidth="1"/>
    <col min="11071" max="11082" width="9.140625" style="5" customWidth="1"/>
    <col min="11083" max="11263" width="9.140625" style="5"/>
    <col min="11264" max="11265" width="0" style="5" hidden="1" customWidth="1"/>
    <col min="11266" max="11266" width="16.140625" style="5" customWidth="1"/>
    <col min="11267" max="11267" width="68.7109375" style="5" customWidth="1"/>
    <col min="11268" max="11268" width="24.42578125" style="5" customWidth="1"/>
    <col min="11269" max="11274" width="0" style="5" hidden="1" customWidth="1"/>
    <col min="11275" max="11275" width="20" style="5" customWidth="1"/>
    <col min="11276" max="11286" width="0" style="5" hidden="1" customWidth="1"/>
    <col min="11287" max="11287" width="15.7109375" style="5" customWidth="1"/>
    <col min="11288" max="11326" width="0" style="5" hidden="1" customWidth="1"/>
    <col min="11327" max="11338" width="9.140625" style="5" customWidth="1"/>
    <col min="11339" max="11519" width="9.140625" style="5"/>
    <col min="11520" max="11521" width="0" style="5" hidden="1" customWidth="1"/>
    <col min="11522" max="11522" width="16.140625" style="5" customWidth="1"/>
    <col min="11523" max="11523" width="68.7109375" style="5" customWidth="1"/>
    <col min="11524" max="11524" width="24.42578125" style="5" customWidth="1"/>
    <col min="11525" max="11530" width="0" style="5" hidden="1" customWidth="1"/>
    <col min="11531" max="11531" width="20" style="5" customWidth="1"/>
    <col min="11532" max="11542" width="0" style="5" hidden="1" customWidth="1"/>
    <col min="11543" max="11543" width="15.7109375" style="5" customWidth="1"/>
    <col min="11544" max="11582" width="0" style="5" hidden="1" customWidth="1"/>
    <col min="11583" max="11594" width="9.140625" style="5" customWidth="1"/>
    <col min="11595" max="11775" width="9.140625" style="5"/>
    <col min="11776" max="11777" width="0" style="5" hidden="1" customWidth="1"/>
    <col min="11778" max="11778" width="16.140625" style="5" customWidth="1"/>
    <col min="11779" max="11779" width="68.7109375" style="5" customWidth="1"/>
    <col min="11780" max="11780" width="24.42578125" style="5" customWidth="1"/>
    <col min="11781" max="11786" width="0" style="5" hidden="1" customWidth="1"/>
    <col min="11787" max="11787" width="20" style="5" customWidth="1"/>
    <col min="11788" max="11798" width="0" style="5" hidden="1" customWidth="1"/>
    <col min="11799" max="11799" width="15.7109375" style="5" customWidth="1"/>
    <col min="11800" max="11838" width="0" style="5" hidden="1" customWidth="1"/>
    <col min="11839" max="11850" width="9.140625" style="5" customWidth="1"/>
    <col min="11851" max="12031" width="9.140625" style="5"/>
    <col min="12032" max="12033" width="0" style="5" hidden="1" customWidth="1"/>
    <col min="12034" max="12034" width="16.140625" style="5" customWidth="1"/>
    <col min="12035" max="12035" width="68.7109375" style="5" customWidth="1"/>
    <col min="12036" max="12036" width="24.42578125" style="5" customWidth="1"/>
    <col min="12037" max="12042" width="0" style="5" hidden="1" customWidth="1"/>
    <col min="12043" max="12043" width="20" style="5" customWidth="1"/>
    <col min="12044" max="12054" width="0" style="5" hidden="1" customWidth="1"/>
    <col min="12055" max="12055" width="15.7109375" style="5" customWidth="1"/>
    <col min="12056" max="12094" width="0" style="5" hidden="1" customWidth="1"/>
    <col min="12095" max="12106" width="9.140625" style="5" customWidth="1"/>
    <col min="12107" max="12287" width="9.140625" style="5"/>
    <col min="12288" max="12289" width="0" style="5" hidden="1" customWidth="1"/>
    <col min="12290" max="12290" width="16.140625" style="5" customWidth="1"/>
    <col min="12291" max="12291" width="68.7109375" style="5" customWidth="1"/>
    <col min="12292" max="12292" width="24.42578125" style="5" customWidth="1"/>
    <col min="12293" max="12298" width="0" style="5" hidden="1" customWidth="1"/>
    <col min="12299" max="12299" width="20" style="5" customWidth="1"/>
    <col min="12300" max="12310" width="0" style="5" hidden="1" customWidth="1"/>
    <col min="12311" max="12311" width="15.7109375" style="5" customWidth="1"/>
    <col min="12312" max="12350" width="0" style="5" hidden="1" customWidth="1"/>
    <col min="12351" max="12362" width="9.140625" style="5" customWidth="1"/>
    <col min="12363" max="12543" width="9.140625" style="5"/>
    <col min="12544" max="12545" width="0" style="5" hidden="1" customWidth="1"/>
    <col min="12546" max="12546" width="16.140625" style="5" customWidth="1"/>
    <col min="12547" max="12547" width="68.7109375" style="5" customWidth="1"/>
    <col min="12548" max="12548" width="24.42578125" style="5" customWidth="1"/>
    <col min="12549" max="12554" width="0" style="5" hidden="1" customWidth="1"/>
    <col min="12555" max="12555" width="20" style="5" customWidth="1"/>
    <col min="12556" max="12566" width="0" style="5" hidden="1" customWidth="1"/>
    <col min="12567" max="12567" width="15.7109375" style="5" customWidth="1"/>
    <col min="12568" max="12606" width="0" style="5" hidden="1" customWidth="1"/>
    <col min="12607" max="12618" width="9.140625" style="5" customWidth="1"/>
    <col min="12619" max="12799" width="9.140625" style="5"/>
    <col min="12800" max="12801" width="0" style="5" hidden="1" customWidth="1"/>
    <col min="12802" max="12802" width="16.140625" style="5" customWidth="1"/>
    <col min="12803" max="12803" width="68.7109375" style="5" customWidth="1"/>
    <col min="12804" max="12804" width="24.42578125" style="5" customWidth="1"/>
    <col min="12805" max="12810" width="0" style="5" hidden="1" customWidth="1"/>
    <col min="12811" max="12811" width="20" style="5" customWidth="1"/>
    <col min="12812" max="12822" width="0" style="5" hidden="1" customWidth="1"/>
    <col min="12823" max="12823" width="15.7109375" style="5" customWidth="1"/>
    <col min="12824" max="12862" width="0" style="5" hidden="1" customWidth="1"/>
    <col min="12863" max="12874" width="9.140625" style="5" customWidth="1"/>
    <col min="12875" max="13055" width="9.140625" style="5"/>
    <col min="13056" max="13057" width="0" style="5" hidden="1" customWidth="1"/>
    <col min="13058" max="13058" width="16.140625" style="5" customWidth="1"/>
    <col min="13059" max="13059" width="68.7109375" style="5" customWidth="1"/>
    <col min="13060" max="13060" width="24.42578125" style="5" customWidth="1"/>
    <col min="13061" max="13066" width="0" style="5" hidden="1" customWidth="1"/>
    <col min="13067" max="13067" width="20" style="5" customWidth="1"/>
    <col min="13068" max="13078" width="0" style="5" hidden="1" customWidth="1"/>
    <col min="13079" max="13079" width="15.7109375" style="5" customWidth="1"/>
    <col min="13080" max="13118" width="0" style="5" hidden="1" customWidth="1"/>
    <col min="13119" max="13130" width="9.140625" style="5" customWidth="1"/>
    <col min="13131" max="13311" width="9.140625" style="5"/>
    <col min="13312" max="13313" width="0" style="5" hidden="1" customWidth="1"/>
    <col min="13314" max="13314" width="16.140625" style="5" customWidth="1"/>
    <col min="13315" max="13315" width="68.7109375" style="5" customWidth="1"/>
    <col min="13316" max="13316" width="24.42578125" style="5" customWidth="1"/>
    <col min="13317" max="13322" width="0" style="5" hidden="1" customWidth="1"/>
    <col min="13323" max="13323" width="20" style="5" customWidth="1"/>
    <col min="13324" max="13334" width="0" style="5" hidden="1" customWidth="1"/>
    <col min="13335" max="13335" width="15.7109375" style="5" customWidth="1"/>
    <col min="13336" max="13374" width="0" style="5" hidden="1" customWidth="1"/>
    <col min="13375" max="13386" width="9.140625" style="5" customWidth="1"/>
    <col min="13387" max="13567" width="9.140625" style="5"/>
    <col min="13568" max="13569" width="0" style="5" hidden="1" customWidth="1"/>
    <col min="13570" max="13570" width="16.140625" style="5" customWidth="1"/>
    <col min="13571" max="13571" width="68.7109375" style="5" customWidth="1"/>
    <col min="13572" max="13572" width="24.42578125" style="5" customWidth="1"/>
    <col min="13573" max="13578" width="0" style="5" hidden="1" customWidth="1"/>
    <col min="13579" max="13579" width="20" style="5" customWidth="1"/>
    <col min="13580" max="13590" width="0" style="5" hidden="1" customWidth="1"/>
    <col min="13591" max="13591" width="15.7109375" style="5" customWidth="1"/>
    <col min="13592" max="13630" width="0" style="5" hidden="1" customWidth="1"/>
    <col min="13631" max="13642" width="9.140625" style="5" customWidth="1"/>
    <col min="13643" max="13823" width="9.140625" style="5"/>
    <col min="13824" max="13825" width="0" style="5" hidden="1" customWidth="1"/>
    <col min="13826" max="13826" width="16.140625" style="5" customWidth="1"/>
    <col min="13827" max="13827" width="68.7109375" style="5" customWidth="1"/>
    <col min="13828" max="13828" width="24.42578125" style="5" customWidth="1"/>
    <col min="13829" max="13834" width="0" style="5" hidden="1" customWidth="1"/>
    <col min="13835" max="13835" width="20" style="5" customWidth="1"/>
    <col min="13836" max="13846" width="0" style="5" hidden="1" customWidth="1"/>
    <col min="13847" max="13847" width="15.7109375" style="5" customWidth="1"/>
    <col min="13848" max="13886" width="0" style="5" hidden="1" customWidth="1"/>
    <col min="13887" max="13898" width="9.140625" style="5" customWidth="1"/>
    <col min="13899" max="14079" width="9.140625" style="5"/>
    <col min="14080" max="14081" width="0" style="5" hidden="1" customWidth="1"/>
    <col min="14082" max="14082" width="16.140625" style="5" customWidth="1"/>
    <col min="14083" max="14083" width="68.7109375" style="5" customWidth="1"/>
    <col min="14084" max="14084" width="24.42578125" style="5" customWidth="1"/>
    <col min="14085" max="14090" width="0" style="5" hidden="1" customWidth="1"/>
    <col min="14091" max="14091" width="20" style="5" customWidth="1"/>
    <col min="14092" max="14102" width="0" style="5" hidden="1" customWidth="1"/>
    <col min="14103" max="14103" width="15.7109375" style="5" customWidth="1"/>
    <col min="14104" max="14142" width="0" style="5" hidden="1" customWidth="1"/>
    <col min="14143" max="14154" width="9.140625" style="5" customWidth="1"/>
    <col min="14155" max="14335" width="9.140625" style="5"/>
    <col min="14336" max="14337" width="0" style="5" hidden="1" customWidth="1"/>
    <col min="14338" max="14338" width="16.140625" style="5" customWidth="1"/>
    <col min="14339" max="14339" width="68.7109375" style="5" customWidth="1"/>
    <col min="14340" max="14340" width="24.42578125" style="5" customWidth="1"/>
    <col min="14341" max="14346" width="0" style="5" hidden="1" customWidth="1"/>
    <col min="14347" max="14347" width="20" style="5" customWidth="1"/>
    <col min="14348" max="14358" width="0" style="5" hidden="1" customWidth="1"/>
    <col min="14359" max="14359" width="15.7109375" style="5" customWidth="1"/>
    <col min="14360" max="14398" width="0" style="5" hidden="1" customWidth="1"/>
    <col min="14399" max="14410" width="9.140625" style="5" customWidth="1"/>
    <col min="14411" max="14591" width="9.140625" style="5"/>
    <col min="14592" max="14593" width="0" style="5" hidden="1" customWidth="1"/>
    <col min="14594" max="14594" width="16.140625" style="5" customWidth="1"/>
    <col min="14595" max="14595" width="68.7109375" style="5" customWidth="1"/>
    <col min="14596" max="14596" width="24.42578125" style="5" customWidth="1"/>
    <col min="14597" max="14602" width="0" style="5" hidden="1" customWidth="1"/>
    <col min="14603" max="14603" width="20" style="5" customWidth="1"/>
    <col min="14604" max="14614" width="0" style="5" hidden="1" customWidth="1"/>
    <col min="14615" max="14615" width="15.7109375" style="5" customWidth="1"/>
    <col min="14616" max="14654" width="0" style="5" hidden="1" customWidth="1"/>
    <col min="14655" max="14666" width="9.140625" style="5" customWidth="1"/>
    <col min="14667" max="14847" width="9.140625" style="5"/>
    <col min="14848" max="14849" width="0" style="5" hidden="1" customWidth="1"/>
    <col min="14850" max="14850" width="16.140625" style="5" customWidth="1"/>
    <col min="14851" max="14851" width="68.7109375" style="5" customWidth="1"/>
    <col min="14852" max="14852" width="24.42578125" style="5" customWidth="1"/>
    <col min="14853" max="14858" width="0" style="5" hidden="1" customWidth="1"/>
    <col min="14859" max="14859" width="20" style="5" customWidth="1"/>
    <col min="14860" max="14870" width="0" style="5" hidden="1" customWidth="1"/>
    <col min="14871" max="14871" width="15.7109375" style="5" customWidth="1"/>
    <col min="14872" max="14910" width="0" style="5" hidden="1" customWidth="1"/>
    <col min="14911" max="14922" width="9.140625" style="5" customWidth="1"/>
    <col min="14923" max="15103" width="9.140625" style="5"/>
    <col min="15104" max="15105" width="0" style="5" hidden="1" customWidth="1"/>
    <col min="15106" max="15106" width="16.140625" style="5" customWidth="1"/>
    <col min="15107" max="15107" width="68.7109375" style="5" customWidth="1"/>
    <col min="15108" max="15108" width="24.42578125" style="5" customWidth="1"/>
    <col min="15109" max="15114" width="0" style="5" hidden="1" customWidth="1"/>
    <col min="15115" max="15115" width="20" style="5" customWidth="1"/>
    <col min="15116" max="15126" width="0" style="5" hidden="1" customWidth="1"/>
    <col min="15127" max="15127" width="15.7109375" style="5" customWidth="1"/>
    <col min="15128" max="15166" width="0" style="5" hidden="1" customWidth="1"/>
    <col min="15167" max="15178" width="9.140625" style="5" customWidth="1"/>
    <col min="15179" max="15359" width="9.140625" style="5"/>
    <col min="15360" max="15361" width="0" style="5" hidden="1" customWidth="1"/>
    <col min="15362" max="15362" width="16.140625" style="5" customWidth="1"/>
    <col min="15363" max="15363" width="68.7109375" style="5" customWidth="1"/>
    <col min="15364" max="15364" width="24.42578125" style="5" customWidth="1"/>
    <col min="15365" max="15370" width="0" style="5" hidden="1" customWidth="1"/>
    <col min="15371" max="15371" width="20" style="5" customWidth="1"/>
    <col min="15372" max="15382" width="0" style="5" hidden="1" customWidth="1"/>
    <col min="15383" max="15383" width="15.7109375" style="5" customWidth="1"/>
    <col min="15384" max="15422" width="0" style="5" hidden="1" customWidth="1"/>
    <col min="15423" max="15434" width="9.140625" style="5" customWidth="1"/>
    <col min="15435" max="15615" width="9.140625" style="5"/>
    <col min="15616" max="15617" width="0" style="5" hidden="1" customWidth="1"/>
    <col min="15618" max="15618" width="16.140625" style="5" customWidth="1"/>
    <col min="15619" max="15619" width="68.7109375" style="5" customWidth="1"/>
    <col min="15620" max="15620" width="24.42578125" style="5" customWidth="1"/>
    <col min="15621" max="15626" width="0" style="5" hidden="1" customWidth="1"/>
    <col min="15627" max="15627" width="20" style="5" customWidth="1"/>
    <col min="15628" max="15638" width="0" style="5" hidden="1" customWidth="1"/>
    <col min="15639" max="15639" width="15.7109375" style="5" customWidth="1"/>
    <col min="15640" max="15678" width="0" style="5" hidden="1" customWidth="1"/>
    <col min="15679" max="15690" width="9.140625" style="5" customWidth="1"/>
    <col min="15691" max="15871" width="9.140625" style="5"/>
    <col min="15872" max="15873" width="0" style="5" hidden="1" customWidth="1"/>
    <col min="15874" max="15874" width="16.140625" style="5" customWidth="1"/>
    <col min="15875" max="15875" width="68.7109375" style="5" customWidth="1"/>
    <col min="15876" max="15876" width="24.42578125" style="5" customWidth="1"/>
    <col min="15877" max="15882" width="0" style="5" hidden="1" customWidth="1"/>
    <col min="15883" max="15883" width="20" style="5" customWidth="1"/>
    <col min="15884" max="15894" width="0" style="5" hidden="1" customWidth="1"/>
    <col min="15895" max="15895" width="15.7109375" style="5" customWidth="1"/>
    <col min="15896" max="15934" width="0" style="5" hidden="1" customWidth="1"/>
    <col min="15935" max="15946" width="9.140625" style="5" customWidth="1"/>
    <col min="15947" max="16127" width="9.140625" style="5"/>
    <col min="16128" max="16129" width="0" style="5" hidden="1" customWidth="1"/>
    <col min="16130" max="16130" width="16.140625" style="5" customWidth="1"/>
    <col min="16131" max="16131" width="68.7109375" style="5" customWidth="1"/>
    <col min="16132" max="16132" width="24.42578125" style="5" customWidth="1"/>
    <col min="16133" max="16138" width="0" style="5" hidden="1" customWidth="1"/>
    <col min="16139" max="16139" width="20" style="5" customWidth="1"/>
    <col min="16140" max="16150" width="0" style="5" hidden="1" customWidth="1"/>
    <col min="16151" max="16151" width="15.7109375" style="5" customWidth="1"/>
    <col min="16152" max="16190" width="0" style="5" hidden="1" customWidth="1"/>
    <col min="16191" max="16202" width="9.140625" style="5" customWidth="1"/>
    <col min="16203" max="16384" width="9.140625" style="5"/>
  </cols>
  <sheetData>
    <row r="1" spans="1:73" ht="15">
      <c r="A1" s="1"/>
      <c r="B1" s="2"/>
      <c r="C1" s="2"/>
      <c r="D1" s="1"/>
      <c r="E1" s="3"/>
      <c r="F1" s="1"/>
      <c r="G1" s="1"/>
      <c r="H1" s="1"/>
      <c r="I1" s="1"/>
      <c r="J1" s="1"/>
      <c r="K1" s="1"/>
      <c r="L1" s="4"/>
      <c r="M1" s="1"/>
      <c r="N1" s="1"/>
      <c r="O1" s="1"/>
      <c r="P1" s="1"/>
      <c r="Q1" s="1"/>
      <c r="R1" s="1"/>
    </row>
    <row r="2" spans="1:73" ht="18">
      <c r="A2" s="1"/>
      <c r="B2" s="2"/>
      <c r="C2" s="2"/>
      <c r="D2" s="38" t="s">
        <v>0</v>
      </c>
      <c r="E2" s="10"/>
      <c r="F2" s="11"/>
      <c r="G2" s="11"/>
      <c r="H2" s="11"/>
      <c r="I2" s="11"/>
      <c r="J2" s="11"/>
      <c r="K2" s="11"/>
      <c r="L2" s="1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3"/>
      <c r="AN2" s="11"/>
      <c r="AO2" s="11"/>
      <c r="AP2" s="11"/>
      <c r="AQ2" s="11"/>
      <c r="AR2" s="11"/>
    </row>
    <row r="3" spans="1:73" ht="18">
      <c r="A3" s="1"/>
      <c r="B3" s="2"/>
      <c r="C3" s="2"/>
      <c r="D3" s="69" t="s">
        <v>1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</row>
    <row r="4" spans="1:73" ht="18">
      <c r="A4" s="1"/>
      <c r="B4" s="2"/>
      <c r="C4" s="2"/>
      <c r="D4" s="9" t="s">
        <v>106</v>
      </c>
      <c r="E4" s="10"/>
      <c r="F4" s="11" t="s">
        <v>2</v>
      </c>
      <c r="G4" s="11"/>
      <c r="H4" s="11"/>
      <c r="I4" s="11"/>
      <c r="J4" s="11"/>
      <c r="K4" s="11"/>
      <c r="L4" s="12"/>
      <c r="N4" s="11"/>
      <c r="O4" s="14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5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</row>
    <row r="5" spans="1:73" ht="18.75" thickBot="1">
      <c r="A5" s="16"/>
      <c r="B5" s="17"/>
      <c r="C5" s="1"/>
      <c r="D5" s="11"/>
      <c r="E5" s="10"/>
      <c r="G5" s="11"/>
      <c r="H5" s="11"/>
      <c r="I5" s="11"/>
      <c r="J5" s="11"/>
      <c r="K5" s="11"/>
      <c r="L5" s="1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5"/>
      <c r="AD5" s="11"/>
      <c r="AE5" s="11"/>
      <c r="AF5" s="11"/>
      <c r="AG5" s="11"/>
      <c r="AH5" s="11"/>
      <c r="AI5" s="11"/>
      <c r="AJ5" s="11"/>
      <c r="AK5" s="11" t="s">
        <v>3</v>
      </c>
      <c r="AL5" s="11"/>
      <c r="AM5" s="13" t="s">
        <v>3</v>
      </c>
      <c r="AN5" s="11"/>
      <c r="AO5" s="18" t="s">
        <v>3</v>
      </c>
      <c r="AQ5" s="19" t="s">
        <v>3</v>
      </c>
      <c r="AS5" s="18" t="s">
        <v>3</v>
      </c>
      <c r="AU5" s="20" t="s">
        <v>3</v>
      </c>
      <c r="AV5" s="20"/>
      <c r="AW5" s="20" t="s">
        <v>3</v>
      </c>
      <c r="AX5" s="20"/>
      <c r="AY5" s="20" t="s">
        <v>3</v>
      </c>
      <c r="AZ5" s="20"/>
      <c r="BA5" s="20"/>
      <c r="BB5" s="20" t="s">
        <v>3</v>
      </c>
      <c r="BC5" s="20"/>
      <c r="BD5" s="20"/>
      <c r="BE5" s="20" t="s">
        <v>3</v>
      </c>
      <c r="BF5" s="20"/>
      <c r="BG5" s="20"/>
      <c r="BH5" s="20" t="s">
        <v>3</v>
      </c>
      <c r="BI5" s="20"/>
      <c r="BJ5" s="20"/>
      <c r="BK5" s="11"/>
    </row>
    <row r="6" spans="1:73" ht="18">
      <c r="A6" s="21" t="s">
        <v>4</v>
      </c>
      <c r="B6" s="22" t="s">
        <v>5</v>
      </c>
      <c r="C6" s="23" t="s">
        <v>108</v>
      </c>
      <c r="D6" s="23" t="s">
        <v>6</v>
      </c>
      <c r="E6" s="9" t="s">
        <v>5</v>
      </c>
      <c r="F6" s="9" t="s">
        <v>7</v>
      </c>
      <c r="G6" s="9" t="s">
        <v>7</v>
      </c>
      <c r="H6" s="9" t="s">
        <v>7</v>
      </c>
      <c r="I6" s="9" t="s">
        <v>7</v>
      </c>
      <c r="J6" s="9" t="s">
        <v>7</v>
      </c>
      <c r="K6" s="9" t="s">
        <v>103</v>
      </c>
      <c r="L6" s="24" t="s">
        <v>7</v>
      </c>
      <c r="M6" s="9" t="s">
        <v>7</v>
      </c>
      <c r="N6" s="9" t="s">
        <v>7</v>
      </c>
      <c r="O6" s="9" t="s">
        <v>7</v>
      </c>
      <c r="P6" s="9" t="s">
        <v>7</v>
      </c>
      <c r="Q6" s="9" t="s">
        <v>7</v>
      </c>
      <c r="R6" s="9" t="s">
        <v>7</v>
      </c>
      <c r="S6" s="25" t="s">
        <v>8</v>
      </c>
      <c r="T6" s="25" t="s">
        <v>8</v>
      </c>
      <c r="U6" s="25" t="s">
        <v>8</v>
      </c>
      <c r="V6" s="25" t="s">
        <v>8</v>
      </c>
      <c r="W6" s="25" t="s">
        <v>8</v>
      </c>
      <c r="X6" s="25" t="s">
        <v>105</v>
      </c>
      <c r="Y6" s="25" t="s">
        <v>8</v>
      </c>
      <c r="Z6" s="25" t="s">
        <v>8</v>
      </c>
      <c r="AA6" s="25" t="s">
        <v>8</v>
      </c>
      <c r="AB6" s="25" t="s">
        <v>8</v>
      </c>
      <c r="AC6" s="25" t="s">
        <v>8</v>
      </c>
      <c r="AD6" s="25" t="s">
        <v>8</v>
      </c>
      <c r="AE6" s="25" t="s">
        <v>9</v>
      </c>
      <c r="AF6" s="25" t="s">
        <v>9</v>
      </c>
      <c r="AG6" s="25" t="s">
        <v>9</v>
      </c>
      <c r="AH6" s="25" t="s">
        <v>9</v>
      </c>
      <c r="AI6" s="23" t="s">
        <v>7</v>
      </c>
      <c r="AJ6" s="25" t="s">
        <v>8</v>
      </c>
      <c r="AK6" s="9" t="s">
        <v>7</v>
      </c>
      <c r="AL6" s="25" t="s">
        <v>8</v>
      </c>
      <c r="AM6" s="26" t="s">
        <v>7</v>
      </c>
      <c r="AN6" s="27" t="s">
        <v>8</v>
      </c>
      <c r="AO6" s="28" t="s">
        <v>7</v>
      </c>
      <c r="AP6" s="27" t="s">
        <v>8</v>
      </c>
      <c r="AQ6" s="29" t="s">
        <v>7</v>
      </c>
      <c r="AR6" s="27" t="s">
        <v>8</v>
      </c>
      <c r="AS6" s="28" t="s">
        <v>7</v>
      </c>
      <c r="AT6" s="27" t="s">
        <v>8</v>
      </c>
      <c r="AU6" s="20" t="s">
        <v>7</v>
      </c>
      <c r="AV6" s="20" t="s">
        <v>8</v>
      </c>
      <c r="AW6" s="20" t="s">
        <v>7</v>
      </c>
      <c r="AX6" s="20" t="s">
        <v>8</v>
      </c>
      <c r="AY6" s="20" t="s">
        <v>7</v>
      </c>
      <c r="AZ6" s="20" t="s">
        <v>8</v>
      </c>
      <c r="BA6" s="20" t="s">
        <v>9</v>
      </c>
      <c r="BB6" s="20" t="s">
        <v>7</v>
      </c>
      <c r="BC6" s="20" t="s">
        <v>8</v>
      </c>
      <c r="BD6" s="20" t="s">
        <v>9</v>
      </c>
      <c r="BE6" s="20" t="s">
        <v>7</v>
      </c>
      <c r="BF6" s="20" t="s">
        <v>8</v>
      </c>
      <c r="BG6" s="20" t="s">
        <v>9</v>
      </c>
      <c r="BH6" s="20" t="s">
        <v>7</v>
      </c>
      <c r="BI6" s="20" t="s">
        <v>8</v>
      </c>
      <c r="BJ6" s="20" t="s">
        <v>9</v>
      </c>
    </row>
    <row r="7" spans="1:73" ht="18.75" thickBot="1">
      <c r="A7" s="30" t="s">
        <v>10</v>
      </c>
      <c r="B7" s="31" t="s">
        <v>10</v>
      </c>
      <c r="C7" s="31"/>
      <c r="D7" s="9"/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  <c r="J7" s="9" t="s">
        <v>16</v>
      </c>
      <c r="K7" s="9" t="s">
        <v>104</v>
      </c>
      <c r="L7" s="24" t="s">
        <v>107</v>
      </c>
      <c r="M7" s="9" t="s">
        <v>17</v>
      </c>
      <c r="N7" s="9" t="s">
        <v>18</v>
      </c>
      <c r="O7" s="9" t="s">
        <v>19</v>
      </c>
      <c r="P7" s="9" t="s">
        <v>20</v>
      </c>
      <c r="Q7" s="9" t="s">
        <v>21</v>
      </c>
      <c r="R7" s="9" t="s">
        <v>22</v>
      </c>
      <c r="S7" s="9" t="s">
        <v>23</v>
      </c>
      <c r="T7" s="9" t="s">
        <v>24</v>
      </c>
      <c r="U7" s="23" t="s">
        <v>25</v>
      </c>
      <c r="V7" s="23" t="s">
        <v>26</v>
      </c>
      <c r="W7" s="23" t="s">
        <v>27</v>
      </c>
      <c r="X7" s="24" t="s">
        <v>107</v>
      </c>
      <c r="Y7" s="23" t="s">
        <v>28</v>
      </c>
      <c r="Z7" s="23" t="s">
        <v>29</v>
      </c>
      <c r="AA7" s="23" t="s">
        <v>30</v>
      </c>
      <c r="AB7" s="23" t="s">
        <v>31</v>
      </c>
      <c r="AC7" s="23" t="s">
        <v>32</v>
      </c>
      <c r="AD7" s="23" t="s">
        <v>33</v>
      </c>
      <c r="AE7" s="23" t="s">
        <v>30</v>
      </c>
      <c r="AF7" s="23" t="s">
        <v>34</v>
      </c>
      <c r="AG7" s="23" t="s">
        <v>32</v>
      </c>
      <c r="AH7" s="23" t="s">
        <v>33</v>
      </c>
      <c r="AI7" s="9" t="s">
        <v>35</v>
      </c>
      <c r="AJ7" s="9" t="s">
        <v>35</v>
      </c>
      <c r="AK7" s="9" t="s">
        <v>35</v>
      </c>
      <c r="AL7" s="9" t="s">
        <v>35</v>
      </c>
      <c r="AM7" s="32" t="s">
        <v>35</v>
      </c>
      <c r="AN7" s="33" t="s">
        <v>35</v>
      </c>
      <c r="AO7" s="34" t="s">
        <v>35</v>
      </c>
      <c r="AP7" s="33" t="s">
        <v>35</v>
      </c>
      <c r="AQ7" s="35" t="s">
        <v>35</v>
      </c>
      <c r="AR7" s="33" t="s">
        <v>35</v>
      </c>
      <c r="AS7" s="34" t="s">
        <v>35</v>
      </c>
      <c r="AT7" s="33" t="s">
        <v>35</v>
      </c>
      <c r="AU7" s="20" t="s">
        <v>35</v>
      </c>
      <c r="AV7" s="20" t="s">
        <v>35</v>
      </c>
      <c r="AW7" s="20" t="s">
        <v>35</v>
      </c>
      <c r="AX7" s="20" t="s">
        <v>35</v>
      </c>
      <c r="AY7" s="20" t="s">
        <v>35</v>
      </c>
      <c r="AZ7" s="20" t="s">
        <v>35</v>
      </c>
      <c r="BA7" s="20" t="s">
        <v>35</v>
      </c>
      <c r="BB7" s="20" t="s">
        <v>35</v>
      </c>
      <c r="BC7" s="20" t="s">
        <v>35</v>
      </c>
      <c r="BD7" s="20" t="s">
        <v>35</v>
      </c>
      <c r="BE7" s="20" t="s">
        <v>35</v>
      </c>
      <c r="BF7" s="20" t="s">
        <v>35</v>
      </c>
      <c r="BG7" s="20" t="s">
        <v>35</v>
      </c>
      <c r="BH7" s="20" t="s">
        <v>35</v>
      </c>
      <c r="BI7" s="20" t="s">
        <v>35</v>
      </c>
      <c r="BJ7" s="20" t="s">
        <v>35</v>
      </c>
    </row>
    <row r="8" spans="1:73" ht="18.75" thickBot="1">
      <c r="A8" s="36"/>
      <c r="B8" s="37"/>
      <c r="C8" s="66"/>
      <c r="D8" s="9" t="s">
        <v>36</v>
      </c>
      <c r="E8" s="38"/>
      <c r="F8" s="9"/>
      <c r="G8" s="9"/>
      <c r="H8" s="9"/>
      <c r="I8" s="9"/>
      <c r="J8" s="9"/>
      <c r="K8" s="9"/>
      <c r="L8" s="24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23" t="s">
        <v>37</v>
      </c>
      <c r="AJ8" s="9" t="s">
        <v>37</v>
      </c>
      <c r="AK8" s="9" t="s">
        <v>38</v>
      </c>
      <c r="AL8" s="9" t="s">
        <v>38</v>
      </c>
      <c r="AM8" s="39" t="s">
        <v>39</v>
      </c>
      <c r="AN8" s="40" t="s">
        <v>40</v>
      </c>
      <c r="AO8" s="41" t="s">
        <v>41</v>
      </c>
      <c r="AP8" s="40" t="s">
        <v>42</v>
      </c>
      <c r="AQ8" s="42" t="s">
        <v>43</v>
      </c>
      <c r="AR8" s="40" t="s">
        <v>44</v>
      </c>
      <c r="AS8" s="41" t="s">
        <v>45</v>
      </c>
      <c r="AT8" s="40" t="s">
        <v>46</v>
      </c>
      <c r="AU8" s="20" t="s">
        <v>47</v>
      </c>
      <c r="AV8" s="20" t="s">
        <v>48</v>
      </c>
      <c r="AW8" s="20" t="s">
        <v>49</v>
      </c>
      <c r="AX8" s="20" t="s">
        <v>50</v>
      </c>
      <c r="AY8" s="20" t="s">
        <v>51</v>
      </c>
      <c r="AZ8" s="20" t="s">
        <v>52</v>
      </c>
      <c r="BA8" s="20" t="s">
        <v>52</v>
      </c>
      <c r="BB8" s="20" t="s">
        <v>53</v>
      </c>
      <c r="BC8" s="20" t="s">
        <v>54</v>
      </c>
      <c r="BD8" s="20" t="s">
        <v>54</v>
      </c>
      <c r="BE8" s="20" t="s">
        <v>55</v>
      </c>
      <c r="BF8" s="20" t="s">
        <v>55</v>
      </c>
      <c r="BG8" s="20" t="s">
        <v>55</v>
      </c>
      <c r="BH8" s="20" t="s">
        <v>56</v>
      </c>
      <c r="BI8" s="20" t="s">
        <v>56</v>
      </c>
      <c r="BJ8" s="20" t="s">
        <v>56</v>
      </c>
    </row>
    <row r="9" spans="1:73" ht="18">
      <c r="A9" s="43"/>
      <c r="B9" s="44"/>
      <c r="C9" s="44"/>
      <c r="D9" s="23" t="s">
        <v>57</v>
      </c>
      <c r="E9" s="11"/>
      <c r="F9" s="11"/>
      <c r="G9" s="11"/>
      <c r="H9" s="11"/>
      <c r="I9" s="38"/>
      <c r="J9" s="38"/>
      <c r="K9" s="38"/>
      <c r="L9" s="45"/>
      <c r="M9" s="38"/>
      <c r="N9" s="38"/>
      <c r="O9" s="38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3"/>
      <c r="AN9" s="11"/>
      <c r="AO9" s="46"/>
      <c r="AP9" s="46"/>
      <c r="AQ9" s="47"/>
      <c r="AR9" s="46"/>
      <c r="AS9" s="46"/>
      <c r="AT9" s="46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U9" s="46" t="s">
        <v>58</v>
      </c>
    </row>
    <row r="10" spans="1:73" ht="18">
      <c r="A10" s="43"/>
      <c r="B10" s="44"/>
      <c r="C10" s="44"/>
      <c r="D10" s="11"/>
      <c r="E10" s="11"/>
      <c r="F10" s="11"/>
      <c r="G10" s="11"/>
      <c r="H10" s="11"/>
      <c r="I10" s="11"/>
      <c r="J10" s="11"/>
      <c r="K10" s="11"/>
      <c r="L10" s="12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3"/>
      <c r="AN10" s="11"/>
      <c r="AO10" s="46"/>
      <c r="AP10" s="46"/>
      <c r="AQ10" s="47"/>
      <c r="AR10" s="46"/>
      <c r="AS10" s="46"/>
      <c r="AT10" s="46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</row>
    <row r="11" spans="1:73" ht="18">
      <c r="A11" s="23">
        <f>SUM('[1]Actual Expenditure 2018-19'!A15)+('[1]Actual Expenditure 2018-19'!A43)+('[1]Actual Expenditure 2018-19'!A62)+('[1]Actual Expenditure 2018-19'!A82)+('[1]Actual Expenditure 2018-19'!A114)+('[1]Actual Expenditure 2018-19'!A133)+('[1]Actual Expenditure 2018-19'!A169)+('[1]Actual Expenditure 2018-19'!A178)+('[1]Actual Expenditure 2018-19'!A199)+('[1]Actual Expenditure 2018-19'!A223)+('[1]Actual Expenditure 2018-19'!A242)+('[1]Actual Expenditure 2018-19'!A263)+('[1]Actual Expenditure 2018-19'!A285)+('[1]Actual Expenditure 2018-19'!A301)+('[1]Actual Expenditure 2018-19'!A317)+('[1]Actual Expenditure 2018-19'!A331)+('[1]Actual Expenditure 2018-19'!A355)+('[1]Actual Expenditure 2018-19'!A383)+('[1]Actual Expenditure 2018-19'!A404)+('[1]Actual Expenditure 2018-19'!A434)</f>
        <v>49250000</v>
      </c>
      <c r="B11" s="23">
        <f>SUM('[1]Actual Expenditure 2018-19'!B15)+('[1]Actual Expenditure 2018-19'!B43)+('[1]Actual Expenditure 2018-19'!B62)+('[1]Actual Expenditure 2018-19'!B82)+('[1]Actual Expenditure 2018-19'!B114)+('[1]Actual Expenditure 2018-19'!B133)+('[1]Actual Expenditure 2018-19'!B169)+('[1]Actual Expenditure 2018-19'!B178)+('[1]Actual Expenditure 2018-19'!B199)+('[1]Actual Expenditure 2018-19'!B223)+('[1]Actual Expenditure 2018-19'!B242)+('[1]Actual Expenditure 2018-19'!B263)+('[1]Actual Expenditure 2018-19'!B285)+('[1]Actual Expenditure 2018-19'!B301)+('[1]Actual Expenditure 2018-19'!B317)+('[1]Actual Expenditure 2018-19'!B331)+('[1]Actual Expenditure 2018-19'!B355)+('[1]Actual Expenditure 2018-19'!B383)+('[1]Actual Expenditure 2018-19'!B404)+('[1]Actual Expenditure 2018-19'!B434)</f>
        <v>49121600</v>
      </c>
      <c r="C11" s="9">
        <v>1</v>
      </c>
      <c r="D11" s="23" t="s">
        <v>59</v>
      </c>
      <c r="E11" s="23">
        <f>SUM('[1]Actual Expenditure 2018-19'!F15)+('[1]Actual Expenditure 2018-19'!F43)+('[1]Actual Expenditure 2018-19'!F62)+('[1]Actual Expenditure 2018-19'!F82)+('[1]Actual Expenditure 2018-19'!F114)+('[1]Actual Expenditure 2018-19'!F133)+('[1]Actual Expenditure 2018-19'!F169)+('[1]Actual Expenditure 2018-19'!F178)+('[1]Actual Expenditure 2018-19'!F199)+('[1]Actual Expenditure 2018-19'!F223)+('[1]Actual Expenditure 2018-19'!F242)+('[1]Actual Expenditure 2018-19'!F263)+('[1]Actual Expenditure 2018-19'!F285)+('[1]Actual Expenditure 2018-19'!F301)+('[1]Actual Expenditure 2018-19'!F317)+('[1]Actual Expenditure 2018-19'!F331)+('[1]Actual Expenditure 2018-19'!F355)+('[1]Actual Expenditure 2018-19'!F383)+('[1]Actual Expenditure 2018-19'!F404)+('[1]Actual Expenditure 2018-19'!F434)</f>
        <v>0</v>
      </c>
      <c r="F11" s="23">
        <f>SUM('[1]Actual Expenditure 2018-19'!G15)+('[1]Actual Expenditure 2018-19'!G43)+('[1]Actual Expenditure 2018-19'!G62)+('[1]Actual Expenditure 2018-19'!G82)+('[1]Actual Expenditure 2018-19'!G114)+('[1]Actual Expenditure 2018-19'!G133)+('[1]Actual Expenditure 2018-19'!G169)+('[1]Actual Expenditure 2018-19'!G178)+('[1]Actual Expenditure 2018-19'!G199)+('[1]Actual Expenditure 2018-19'!G223)+('[1]Actual Expenditure 2018-19'!G242)+('[1]Actual Expenditure 2018-19'!G263)+('[1]Actual Expenditure 2018-19'!G285)+('[1]Actual Expenditure 2018-19'!G301)+('[1]Actual Expenditure 2018-19'!G317)+('[1]Actual Expenditure 2018-19'!G331)+('[1]Actual Expenditure 2018-19'!G355)+('[1]Actual Expenditure 2018-19'!G383)+('[1]Actual Expenditure 2018-19'!G404)+('[1]Actual Expenditure 2018-19'!G434)</f>
        <v>4248298</v>
      </c>
      <c r="G11" s="23">
        <f>SUM('[1]Actual Expenditure 2018-19'!H15)+('[1]Actual Expenditure 2018-19'!H43)+('[1]Actual Expenditure 2018-19'!H62)+('[1]Actual Expenditure 2018-19'!H82)+('[1]Actual Expenditure 2018-19'!H114)+('[1]Actual Expenditure 2018-19'!H133)+('[1]Actual Expenditure 2018-19'!H169)+('[1]Actual Expenditure 2018-19'!H178)+('[1]Actual Expenditure 2018-19'!H199)+('[1]Actual Expenditure 2018-19'!H223)+('[1]Actual Expenditure 2018-19'!H242)+('[1]Actual Expenditure 2018-19'!H263)+('[1]Actual Expenditure 2018-19'!H285)+('[1]Actual Expenditure 2018-19'!H301)+('[1]Actual Expenditure 2018-19'!H317)+('[1]Actual Expenditure 2018-19'!H331)+('[1]Actual Expenditure 2018-19'!H355)+('[1]Actual Expenditure 2018-19'!H383)+('[1]Actual Expenditure 2018-19'!H404)+('[1]Actual Expenditure 2018-19'!H434)</f>
        <v>0</v>
      </c>
      <c r="H11" s="23">
        <f>SUM('[1]Actual Expenditure 2018-19'!I15)+('[1]Actual Expenditure 2018-19'!I43)+('[1]Actual Expenditure 2018-19'!I62)+('[1]Actual Expenditure 2018-19'!I82)+('[1]Actual Expenditure 2018-19'!I114)+('[1]Actual Expenditure 2018-19'!I133)+('[1]Actual Expenditure 2018-19'!I169)+('[1]Actual Expenditure 2018-19'!I178)+('[1]Actual Expenditure 2018-19'!I199)+('[1]Actual Expenditure 2018-19'!I223)+('[1]Actual Expenditure 2018-19'!I242)+('[1]Actual Expenditure 2018-19'!I263)+('[1]Actual Expenditure 2018-19'!I285)+('[1]Actual Expenditure 2018-19'!I301)+('[1]Actual Expenditure 2018-19'!I317)+('[1]Actual Expenditure 2018-19'!I331)+('[1]Actual Expenditure 2018-19'!I355)+('[1]Actual Expenditure 2018-19'!I383)+('[1]Actual Expenditure 2018-19'!I404)+('[1]Actual Expenditure 2018-19'!I434)</f>
        <v>0</v>
      </c>
      <c r="I11" s="23">
        <f>SUM('[1]Actual Expenditure 2018-19'!J15)+('[1]Actual Expenditure 2018-19'!J43)+('[1]Actual Expenditure 2018-19'!J62)+('[1]Actual Expenditure 2018-19'!J82)+('[1]Actual Expenditure 2018-19'!J114)+('[1]Actual Expenditure 2018-19'!J133)+('[1]Actual Expenditure 2018-19'!J169)+('[1]Actual Expenditure 2018-19'!J178)+('[1]Actual Expenditure 2018-19'!J199)+('[1]Actual Expenditure 2018-19'!J223)+('[1]Actual Expenditure 2018-19'!J242)+('[1]Actual Expenditure 2018-19'!J263)+('[1]Actual Expenditure 2018-19'!J285)+('[1]Actual Expenditure 2018-19'!J301)+('[1]Actual Expenditure 2018-19'!J317)+('[1]Actual Expenditure 2018-19'!J331)+('[1]Actual Expenditure 2018-19'!J355)+('[1]Actual Expenditure 2018-19'!J383)+('[1]Actual Expenditure 2018-19'!J404)+('[1]Actual Expenditure 2018-19'!J434)</f>
        <v>0</v>
      </c>
      <c r="J11" s="23">
        <f>SUM('[1]Actual Expenditure 2018-19'!K15)+('[1]Actual Expenditure 2018-19'!K43)+('[1]Actual Expenditure 2018-19'!K62)+('[1]Actual Expenditure 2018-19'!K82)+('[1]Actual Expenditure 2018-19'!K114)+('[1]Actual Expenditure 2018-19'!K133)+('[1]Actual Expenditure 2018-19'!K169)+('[1]Actual Expenditure 2018-19'!K178)+('[1]Actual Expenditure 2018-19'!K199)+('[1]Actual Expenditure 2018-19'!K223)+('[1]Actual Expenditure 2018-19'!K242)+('[1]Actual Expenditure 2018-19'!K263)+('[1]Actual Expenditure 2018-19'!K285)+('[1]Actual Expenditure 2018-19'!K301)+('[1]Actual Expenditure 2018-19'!K317)+('[1]Actual Expenditure 2018-19'!K331)+('[1]Actual Expenditure 2018-19'!K355)+('[1]Actual Expenditure 2018-19'!K383)+('[1]Actual Expenditure 2018-19'!K404)+('[1]Actual Expenditure 2018-19'!K434)</f>
        <v>25652224</v>
      </c>
      <c r="K11" s="23">
        <v>55817500</v>
      </c>
      <c r="L11" s="48">
        <v>12211970</v>
      </c>
      <c r="M11" s="23">
        <f>SUM('[1]Actual Expenditure 2018-19'!M15)+('[1]Actual Expenditure 2018-19'!M43)+('[1]Actual Expenditure 2018-19'!M62)+('[1]Actual Expenditure 2018-19'!M82)+('[1]Actual Expenditure 2018-19'!M114)+('[1]Actual Expenditure 2018-19'!M133)+('[1]Actual Expenditure 2018-19'!M169)+('[1]Actual Expenditure 2018-19'!M178)+('[1]Actual Expenditure 2018-19'!M199)+('[1]Actual Expenditure 2018-19'!M223)+('[1]Actual Expenditure 2018-19'!M242)+('[1]Actual Expenditure 2018-19'!M263)+('[1]Actual Expenditure 2018-19'!M285)+('[1]Actual Expenditure 2018-19'!M301)+('[1]Actual Expenditure 2018-19'!M317)+('[1]Actual Expenditure 2018-19'!M331)+('[1]Actual Expenditure 2018-19'!M355)+('[1]Actual Expenditure 2018-19'!M383)+('[1]Actual Expenditure 2018-19'!M404)+('[1]Actual Expenditure 2018-19'!M434)</f>
        <v>0</v>
      </c>
      <c r="N11" s="23">
        <f>SUM('[1]Actual Expenditure 2018-19'!N15)+('[1]Actual Expenditure 2018-19'!N43)+('[1]Actual Expenditure 2018-19'!N62)+('[1]Actual Expenditure 2018-19'!N82)+('[1]Actual Expenditure 2018-19'!N114)+('[1]Actual Expenditure 2018-19'!N133)+('[1]Actual Expenditure 2018-19'!N169)+('[1]Actual Expenditure 2018-19'!N178)+('[1]Actual Expenditure 2018-19'!N199)+('[1]Actual Expenditure 2018-19'!N223)+('[1]Actual Expenditure 2018-19'!N242)+('[1]Actual Expenditure 2018-19'!N263)+('[1]Actual Expenditure 2018-19'!N285)+('[1]Actual Expenditure 2018-19'!N301)+('[1]Actual Expenditure 2018-19'!N317)+('[1]Actual Expenditure 2018-19'!N331)+('[1]Actual Expenditure 2018-19'!N355)+('[1]Actual Expenditure 2018-19'!N383)+('[1]Actual Expenditure 2018-19'!N404)+('[1]Actual Expenditure 2018-19'!N434)</f>
        <v>0</v>
      </c>
      <c r="O11" s="23">
        <f>SUM('[1]Actual Expenditure 2018-19'!O15)+('[1]Actual Expenditure 2018-19'!O43)+('[1]Actual Expenditure 2018-19'!O62)+('[1]Actual Expenditure 2018-19'!O82)+('[1]Actual Expenditure 2018-19'!O114)+('[1]Actual Expenditure 2018-19'!O133)+('[1]Actual Expenditure 2018-19'!O169)+('[1]Actual Expenditure 2018-19'!O178)+('[1]Actual Expenditure 2018-19'!O199)+('[1]Actual Expenditure 2018-19'!O223)+('[1]Actual Expenditure 2018-19'!O242)+('[1]Actual Expenditure 2018-19'!O263)+('[1]Actual Expenditure 2018-19'!O285)+('[1]Actual Expenditure 2018-19'!O301)+('[1]Actual Expenditure 2018-19'!O317)+('[1]Actual Expenditure 2018-19'!O331)+('[1]Actual Expenditure 2018-19'!O355)+('[1]Actual Expenditure 2018-19'!O383)+('[1]Actual Expenditure 2018-19'!O404)+('[1]Actual Expenditure 2018-19'!O434)</f>
        <v>0</v>
      </c>
      <c r="P11" s="23">
        <f>SUM('[1]Actual Expenditure 2018-19'!P15)+('[1]Actual Expenditure 2018-19'!P43)+('[1]Actual Expenditure 2018-19'!P62)+('[1]Actual Expenditure 2018-19'!P82)+('[1]Actual Expenditure 2018-19'!P114)+('[1]Actual Expenditure 2018-19'!P133)+('[1]Actual Expenditure 2018-19'!P169)+('[1]Actual Expenditure 2018-19'!P178)+('[1]Actual Expenditure 2018-19'!P199)+('[1]Actual Expenditure 2018-19'!P223)+('[1]Actual Expenditure 2018-19'!P242)+('[1]Actual Expenditure 2018-19'!P263)+('[1]Actual Expenditure 2018-19'!P285)+('[1]Actual Expenditure 2018-19'!P301)+('[1]Actual Expenditure 2018-19'!P317)+('[1]Actual Expenditure 2018-19'!P331)+('[1]Actual Expenditure 2018-19'!P355)+('[1]Actual Expenditure 2018-19'!P383)+('[1]Actual Expenditure 2018-19'!P404)+('[1]Actual Expenditure 2018-19'!P434)</f>
        <v>0</v>
      </c>
      <c r="Q11" s="23">
        <f>SUM('[1]Actual Expenditure 2018-19'!Q15)+('[1]Actual Expenditure 2018-19'!Q43)+('[1]Actual Expenditure 2018-19'!Q62)+('[1]Actual Expenditure 2018-19'!Q82)+('[1]Actual Expenditure 2018-19'!Q114)+('[1]Actual Expenditure 2018-19'!Q133)+('[1]Actual Expenditure 2018-19'!Q169)+('[1]Actual Expenditure 2018-19'!Q178)+('[1]Actual Expenditure 2018-19'!Q199)+('[1]Actual Expenditure 2018-19'!Q223)+('[1]Actual Expenditure 2018-19'!Q242)+('[1]Actual Expenditure 2018-19'!Q263)+('[1]Actual Expenditure 2018-19'!Q285)+('[1]Actual Expenditure 2018-19'!Q301)+('[1]Actual Expenditure 2018-19'!Q317)+('[1]Actual Expenditure 2018-19'!Q331)+('[1]Actual Expenditure 2018-19'!Q355)+('[1]Actual Expenditure 2018-19'!Q383)+('[1]Actual Expenditure 2018-19'!Q404)+('[1]Actual Expenditure 2018-19'!Q434)</f>
        <v>0</v>
      </c>
      <c r="R11" s="23">
        <f>SUM('[1]Actual Expenditure 2018-19'!R15)+('[1]Actual Expenditure 2018-19'!R43)+('[1]Actual Expenditure 2018-19'!R62)+('[1]Actual Expenditure 2018-19'!R82)+('[1]Actual Expenditure 2018-19'!R114)+('[1]Actual Expenditure 2018-19'!R133)+('[1]Actual Expenditure 2018-19'!R169)+('[1]Actual Expenditure 2018-19'!R178)+('[1]Actual Expenditure 2018-19'!R199)+('[1]Actual Expenditure 2018-19'!R223)+('[1]Actual Expenditure 2018-19'!R242)+('[1]Actual Expenditure 2018-19'!R263)+('[1]Actual Expenditure 2018-19'!R285)+('[1]Actual Expenditure 2018-19'!R301)+('[1]Actual Expenditure 2018-19'!R317)+('[1]Actual Expenditure 2018-19'!R331)+('[1]Actual Expenditure 2018-19'!R355)+('[1]Actual Expenditure 2018-19'!R383)+('[1]Actual Expenditure 2018-19'!R404)+('[1]Actual Expenditure 2018-19'!R434)</f>
        <v>0</v>
      </c>
      <c r="S11" s="20" t="e">
        <f>F11/#REF!*100</f>
        <v>#REF!</v>
      </c>
      <c r="T11" s="20" t="e">
        <f>G11/#REF!*100</f>
        <v>#REF!</v>
      </c>
      <c r="U11" s="20" t="e">
        <f>H11/#REF!*100</f>
        <v>#REF!</v>
      </c>
      <c r="V11" s="20" t="e">
        <f>I11/#REF!*100</f>
        <v>#REF!</v>
      </c>
      <c r="W11" s="20" t="e">
        <f>J11/#REF!*100</f>
        <v>#REF!</v>
      </c>
      <c r="X11" s="20">
        <f>L11/K11*100</f>
        <v>21.878389394007254</v>
      </c>
      <c r="Y11" s="20" t="e">
        <f>M11/#REF!*100</f>
        <v>#REF!</v>
      </c>
      <c r="Z11" s="20" t="e">
        <f>N11/#REF!*100</f>
        <v>#REF!</v>
      </c>
      <c r="AA11" s="20" t="e">
        <f>O11/#REF!*100</f>
        <v>#REF!</v>
      </c>
      <c r="AB11" s="20" t="e">
        <f>P11/#REF!*100</f>
        <v>#REF!</v>
      </c>
      <c r="AC11" s="20" t="e">
        <f>Q11/#REF!*100</f>
        <v>#REF!</v>
      </c>
      <c r="AD11" s="23">
        <f>SUM('[1]Actual Expenditure 2018-19'!AD15)+('[1]Actual Expenditure 2018-19'!AD43)+('[1]Actual Expenditure 2018-19'!AD62)+('[1]Actual Expenditure 2018-19'!AD82)+('[1]Actual Expenditure 2018-19'!AD114)+('[1]Actual Expenditure 2018-19'!AD133)+('[1]Actual Expenditure 2018-19'!AD169)+('[1]Actual Expenditure 2018-19'!AD178)+('[1]Actual Expenditure 2018-19'!AD199)+('[1]Actual Expenditure 2018-19'!AD223)+('[1]Actual Expenditure 2018-19'!AD242)+('[1]Actual Expenditure 2018-19'!AD263)+('[1]Actual Expenditure 2018-19'!AD285)+('[1]Actual Expenditure 2018-19'!AD301)+('[1]Actual Expenditure 2018-19'!AD317)+('[1]Actual Expenditure 2018-19'!AD331)+('[1]Actual Expenditure 2018-19'!AD355)+('[1]Actual Expenditure 2018-19'!AD383)+('[1]Actual Expenditure 2018-19'!AD404)+('[1]Actual Expenditure 2018-19'!AD434)</f>
        <v>0</v>
      </c>
      <c r="AE11" s="20" t="e">
        <f t="shared" ref="AE11:AE26" si="0">O11/E11*100</f>
        <v>#DIV/0!</v>
      </c>
      <c r="AF11" s="20" t="e">
        <f t="shared" ref="AF11:AF26" si="1">P11/E11*100</f>
        <v>#DIV/0!</v>
      </c>
      <c r="AG11" s="20" t="e">
        <f t="shared" ref="AG11:AG26" si="2">Q11/E11*100</f>
        <v>#DIV/0!</v>
      </c>
      <c r="AH11" s="20" t="e">
        <f t="shared" ref="AH11:AH26" si="3">R11/E11*100</f>
        <v>#DIV/0!</v>
      </c>
      <c r="AI11" s="23">
        <v>7767255</v>
      </c>
      <c r="AJ11" s="20">
        <f t="shared" ref="AJ11:AJ26" si="4">AI11/A11*100</f>
        <v>15.771076142131978</v>
      </c>
      <c r="AK11" s="23">
        <v>11879724</v>
      </c>
      <c r="AL11" s="20">
        <f t="shared" ref="AL11:AL26" si="5">AK11/A11*100</f>
        <v>24.121267005076142</v>
      </c>
      <c r="AM11" s="23">
        <v>15878586</v>
      </c>
      <c r="AN11" s="20">
        <f t="shared" ref="AN11:AN26" si="6">AM11/A11*100</f>
        <v>32.240783756345174</v>
      </c>
      <c r="AO11" s="23">
        <v>20079020</v>
      </c>
      <c r="AP11" s="20">
        <f t="shared" ref="AP11:AP26" si="7">AO11/A11*100</f>
        <v>40.769583756345178</v>
      </c>
      <c r="AQ11" s="49">
        <v>24147287</v>
      </c>
      <c r="AR11" s="20">
        <f t="shared" ref="AR11:AR26" si="8">AQ11/A11*100</f>
        <v>49.030024365482234</v>
      </c>
      <c r="AS11" s="23">
        <v>28276240</v>
      </c>
      <c r="AT11" s="20">
        <f t="shared" ref="AT11:AT26" si="9">AS11/A11*100</f>
        <v>57.413685279187817</v>
      </c>
      <c r="AU11" s="50">
        <v>32689679</v>
      </c>
      <c r="AV11" s="20">
        <f t="shared" ref="AV11:AV26" si="10">AU11/A11*100</f>
        <v>66.374982741116753</v>
      </c>
      <c r="AW11" s="50">
        <v>36782800</v>
      </c>
      <c r="AX11" s="20">
        <f t="shared" ref="AX11:AX26" si="11">AW11/A11*100</f>
        <v>74.68588832487309</v>
      </c>
      <c r="AY11" s="50">
        <v>40967408</v>
      </c>
      <c r="AZ11" s="20">
        <f t="shared" ref="AZ11:AZ26" si="12">AY11/A11*100</f>
        <v>83.182554314720818</v>
      </c>
      <c r="BA11" s="20">
        <f t="shared" ref="BA11:BA26" si="13">AY11/B11*100</f>
        <v>83.399986971108433</v>
      </c>
      <c r="BB11" s="50">
        <v>45060788</v>
      </c>
      <c r="BC11" s="20">
        <f t="shared" ref="BC11:BC26" si="14">BB11/A11*100</f>
        <v>91.493985786802028</v>
      </c>
      <c r="BD11" s="20">
        <f t="shared" ref="BD11:BD26" si="15">BB11/B11*100</f>
        <v>91.733143871535134</v>
      </c>
      <c r="BE11" s="50">
        <v>48999409</v>
      </c>
      <c r="BF11" s="20">
        <f t="shared" ref="BF11:BF26" si="16">BE11/A11*100</f>
        <v>99.491185786802021</v>
      </c>
      <c r="BG11" s="20">
        <f t="shared" ref="BG11:BG26" si="17">BE11/B11*100</f>
        <v>99.75124792352041</v>
      </c>
      <c r="BH11" s="50">
        <v>0</v>
      </c>
      <c r="BI11" s="20">
        <f t="shared" ref="BI11:BI26" si="18">BH11/A11*100</f>
        <v>0</v>
      </c>
      <c r="BJ11" s="20">
        <f t="shared" ref="BJ11:BJ26" si="19">BH11/B11*100</f>
        <v>0</v>
      </c>
    </row>
    <row r="12" spans="1:73" ht="18">
      <c r="A12" s="23">
        <f>SUM('[1]Actual Expenditure 2018-19'!A16)+('[1]Actual Expenditure 2018-19'!A44)+('[1]Actual Expenditure 2018-19'!A63)+('[1]Actual Expenditure 2018-19'!A83)+('[1]Actual Expenditure 2018-19'!A115)+('[1]Actual Expenditure 2018-19'!A134)+('[1]Actual Expenditure 2018-19'!A179)+('[1]Actual Expenditure 2018-19'!A200)+('[1]Actual Expenditure 2018-19'!A224)+('[1]Actual Expenditure 2018-19'!A243)+('[1]Actual Expenditure 2018-19'!A264)+('[1]Actual Expenditure 2018-19'!A286)+('[1]Actual Expenditure 2018-19'!A302)+('[1]Actual Expenditure 2018-19'!A318)+('[1]Actual Expenditure 2018-19'!A332)+('[1]Actual Expenditure 2018-19'!A356)+('[1]Actual Expenditure 2018-19'!A384)+('[1]Actual Expenditure 2018-19'!A405)</f>
        <v>250000</v>
      </c>
      <c r="B12" s="23">
        <f>SUM('[1]Actual Expenditure 2018-19'!B16)+('[1]Actual Expenditure 2018-19'!B44)+('[1]Actual Expenditure 2018-19'!B63)+('[1]Actual Expenditure 2018-19'!B83)+('[1]Actual Expenditure 2018-19'!B115)+('[1]Actual Expenditure 2018-19'!B134)+('[1]Actual Expenditure 2018-19'!B179)+('[1]Actual Expenditure 2018-19'!B200)+('[1]Actual Expenditure 2018-19'!B224)+('[1]Actual Expenditure 2018-19'!B243)+('[1]Actual Expenditure 2018-19'!B264)+('[1]Actual Expenditure 2018-19'!B286)+('[1]Actual Expenditure 2018-19'!B302)+('[1]Actual Expenditure 2018-19'!B318)+('[1]Actual Expenditure 2018-19'!B332)+('[1]Actual Expenditure 2018-19'!B356)+('[1]Actual Expenditure 2018-19'!B384)+('[1]Actual Expenditure 2018-19'!B405)</f>
        <v>250000</v>
      </c>
      <c r="C12" s="9">
        <v>2</v>
      </c>
      <c r="D12" s="23" t="s">
        <v>60</v>
      </c>
      <c r="E12" s="23">
        <f>SUM('[1]Actual Expenditure 2018-19'!F16)+('[1]Actual Expenditure 2018-19'!F44)+('[1]Actual Expenditure 2018-19'!F63)+('[1]Actual Expenditure 2018-19'!F83)+('[1]Actual Expenditure 2018-19'!F115)+('[1]Actual Expenditure 2018-19'!F134)+('[1]Actual Expenditure 2018-19'!F179)+('[1]Actual Expenditure 2018-19'!F200)+('[1]Actual Expenditure 2018-19'!F224)+('[1]Actual Expenditure 2018-19'!F243)+('[1]Actual Expenditure 2018-19'!F264)+('[1]Actual Expenditure 2018-19'!F286)+('[1]Actual Expenditure 2018-19'!F302)+('[1]Actual Expenditure 2018-19'!F318)+('[1]Actual Expenditure 2018-19'!F332)+('[1]Actual Expenditure 2018-19'!F356)+('[1]Actual Expenditure 2018-19'!F384)+('[1]Actual Expenditure 2018-19'!F405)</f>
        <v>0</v>
      </c>
      <c r="F12" s="23">
        <f>SUM('[1]Actual Expenditure 2018-19'!G16)+('[1]Actual Expenditure 2018-19'!G44)+('[1]Actual Expenditure 2018-19'!G63)+('[1]Actual Expenditure 2018-19'!G83)+('[1]Actual Expenditure 2018-19'!G115)+('[1]Actual Expenditure 2018-19'!G134)+('[1]Actual Expenditure 2018-19'!G179)+('[1]Actual Expenditure 2018-19'!G200)+('[1]Actual Expenditure 2018-19'!G224)+('[1]Actual Expenditure 2018-19'!G243)+('[1]Actual Expenditure 2018-19'!G264)+('[1]Actual Expenditure 2018-19'!G286)+('[1]Actual Expenditure 2018-19'!G302)+('[1]Actual Expenditure 2018-19'!G318)+('[1]Actual Expenditure 2018-19'!G332)+('[1]Actual Expenditure 2018-19'!G356)+('[1]Actual Expenditure 2018-19'!G384)+('[1]Actual Expenditure 2018-19'!G405)</f>
        <v>17013</v>
      </c>
      <c r="G12" s="23">
        <f>SUM('[1]Actual Expenditure 2018-19'!H16)+('[1]Actual Expenditure 2018-19'!H44)+('[1]Actual Expenditure 2018-19'!H63)+('[1]Actual Expenditure 2018-19'!H83)+('[1]Actual Expenditure 2018-19'!H115)+('[1]Actual Expenditure 2018-19'!H134)+('[1]Actual Expenditure 2018-19'!H179)+('[1]Actual Expenditure 2018-19'!H200)+('[1]Actual Expenditure 2018-19'!H224)+('[1]Actual Expenditure 2018-19'!H243)+('[1]Actual Expenditure 2018-19'!H264)+('[1]Actual Expenditure 2018-19'!H286)+('[1]Actual Expenditure 2018-19'!H302)+('[1]Actual Expenditure 2018-19'!H318)+('[1]Actual Expenditure 2018-19'!H332)+('[1]Actual Expenditure 2018-19'!H356)+('[1]Actual Expenditure 2018-19'!H384)+('[1]Actual Expenditure 2018-19'!H405)</f>
        <v>0</v>
      </c>
      <c r="H12" s="23">
        <f>SUM('[1]Actual Expenditure 2018-19'!I16)+('[1]Actual Expenditure 2018-19'!I44)+('[1]Actual Expenditure 2018-19'!I63)+('[1]Actual Expenditure 2018-19'!I83)+('[1]Actual Expenditure 2018-19'!I115)+('[1]Actual Expenditure 2018-19'!I134)+('[1]Actual Expenditure 2018-19'!I179)+('[1]Actual Expenditure 2018-19'!I200)+('[1]Actual Expenditure 2018-19'!I224)+('[1]Actual Expenditure 2018-19'!I243)+('[1]Actual Expenditure 2018-19'!I264)+('[1]Actual Expenditure 2018-19'!I286)+('[1]Actual Expenditure 2018-19'!I302)+('[1]Actual Expenditure 2018-19'!I318)+('[1]Actual Expenditure 2018-19'!I332)+('[1]Actual Expenditure 2018-19'!I356)+('[1]Actual Expenditure 2018-19'!I384)+('[1]Actual Expenditure 2018-19'!I405)</f>
        <v>0</v>
      </c>
      <c r="I12" s="23">
        <f>SUM('[1]Actual Expenditure 2018-19'!J16)+('[1]Actual Expenditure 2018-19'!J44)+('[1]Actual Expenditure 2018-19'!J63)+('[1]Actual Expenditure 2018-19'!J83)+('[1]Actual Expenditure 2018-19'!J115)+('[1]Actual Expenditure 2018-19'!J134)+('[1]Actual Expenditure 2018-19'!J179)+('[1]Actual Expenditure 2018-19'!J200)+('[1]Actual Expenditure 2018-19'!J224)+('[1]Actual Expenditure 2018-19'!J243)+('[1]Actual Expenditure 2018-19'!J264)+('[1]Actual Expenditure 2018-19'!J286)+('[1]Actual Expenditure 2018-19'!J302)+('[1]Actual Expenditure 2018-19'!J318)+('[1]Actual Expenditure 2018-19'!J332)+('[1]Actual Expenditure 2018-19'!J356)+('[1]Actual Expenditure 2018-19'!J384)+('[1]Actual Expenditure 2018-19'!J405)</f>
        <v>0</v>
      </c>
      <c r="J12" s="23">
        <f>SUM('[1]Actual Expenditure 2018-19'!K16)+('[1]Actual Expenditure 2018-19'!K44)+('[1]Actual Expenditure 2018-19'!K63)+('[1]Actual Expenditure 2018-19'!K83)+('[1]Actual Expenditure 2018-19'!K115)+('[1]Actual Expenditure 2018-19'!K134)+('[1]Actual Expenditure 2018-19'!K179)+('[1]Actual Expenditure 2018-19'!K200)+('[1]Actual Expenditure 2018-19'!K224)+('[1]Actual Expenditure 2018-19'!K243)+('[1]Actual Expenditure 2018-19'!K264)+('[1]Actual Expenditure 2018-19'!K286)+('[1]Actual Expenditure 2018-19'!K302)+('[1]Actual Expenditure 2018-19'!K318)+('[1]Actual Expenditure 2018-19'!K332)+('[1]Actual Expenditure 2018-19'!K356)+('[1]Actual Expenditure 2018-19'!K384)+('[1]Actual Expenditure 2018-19'!K405)</f>
        <v>112373</v>
      </c>
      <c r="K12" s="23">
        <v>300000</v>
      </c>
      <c r="L12" s="51">
        <v>47872</v>
      </c>
      <c r="M12" s="23">
        <f>SUM('[1]Actual Expenditure 2018-19'!M16)+('[1]Actual Expenditure 2018-19'!M44)+('[1]Actual Expenditure 2018-19'!M63)+('[1]Actual Expenditure 2018-19'!M83)+('[1]Actual Expenditure 2018-19'!M115)+('[1]Actual Expenditure 2018-19'!M134)+('[1]Actual Expenditure 2018-19'!M179)+('[1]Actual Expenditure 2018-19'!M200)+('[1]Actual Expenditure 2018-19'!M224)+('[1]Actual Expenditure 2018-19'!M243)+('[1]Actual Expenditure 2018-19'!M264)+('[1]Actual Expenditure 2018-19'!M286)+('[1]Actual Expenditure 2018-19'!M302)+('[1]Actual Expenditure 2018-19'!M318)+('[1]Actual Expenditure 2018-19'!M332)+('[1]Actual Expenditure 2018-19'!M356)+('[1]Actual Expenditure 2018-19'!M384)+('[1]Actual Expenditure 2018-19'!M405)</f>
        <v>0</v>
      </c>
      <c r="N12" s="23">
        <f>SUM('[1]Actual Expenditure 2018-19'!N16)+('[1]Actual Expenditure 2018-19'!N44)+('[1]Actual Expenditure 2018-19'!N63)+('[1]Actual Expenditure 2018-19'!N83)+('[1]Actual Expenditure 2018-19'!N115)+('[1]Actual Expenditure 2018-19'!N134)+('[1]Actual Expenditure 2018-19'!N179)+('[1]Actual Expenditure 2018-19'!N200)+('[1]Actual Expenditure 2018-19'!N224)+('[1]Actual Expenditure 2018-19'!N243)+('[1]Actual Expenditure 2018-19'!N264)+('[1]Actual Expenditure 2018-19'!N286)+('[1]Actual Expenditure 2018-19'!N302)+('[1]Actual Expenditure 2018-19'!N318)+('[1]Actual Expenditure 2018-19'!N332)+('[1]Actual Expenditure 2018-19'!N356)+('[1]Actual Expenditure 2018-19'!N384)+('[1]Actual Expenditure 2018-19'!N405)</f>
        <v>0</v>
      </c>
      <c r="O12" s="23">
        <f>SUM('[1]Actual Expenditure 2018-19'!O16)+('[1]Actual Expenditure 2018-19'!O44)+('[1]Actual Expenditure 2018-19'!O63)+('[1]Actual Expenditure 2018-19'!O83)+('[1]Actual Expenditure 2018-19'!O115)+('[1]Actual Expenditure 2018-19'!O134)+('[1]Actual Expenditure 2018-19'!O179)+('[1]Actual Expenditure 2018-19'!O200)+('[1]Actual Expenditure 2018-19'!O224)+('[1]Actual Expenditure 2018-19'!O243)+('[1]Actual Expenditure 2018-19'!O264)+('[1]Actual Expenditure 2018-19'!O286)+('[1]Actual Expenditure 2018-19'!O302)+('[1]Actual Expenditure 2018-19'!O318)+('[1]Actual Expenditure 2018-19'!O332)+('[1]Actual Expenditure 2018-19'!O356)+('[1]Actual Expenditure 2018-19'!O384)+('[1]Actual Expenditure 2018-19'!O405)</f>
        <v>0</v>
      </c>
      <c r="P12" s="23">
        <f>SUM('[1]Actual Expenditure 2018-19'!P16)+('[1]Actual Expenditure 2018-19'!P44)+('[1]Actual Expenditure 2018-19'!P63)+('[1]Actual Expenditure 2018-19'!P83)+('[1]Actual Expenditure 2018-19'!P115)+('[1]Actual Expenditure 2018-19'!P134)+('[1]Actual Expenditure 2018-19'!P179)+('[1]Actual Expenditure 2018-19'!P200)+('[1]Actual Expenditure 2018-19'!P224)+('[1]Actual Expenditure 2018-19'!P243)+('[1]Actual Expenditure 2018-19'!P264)+('[1]Actual Expenditure 2018-19'!P286)+('[1]Actual Expenditure 2018-19'!P302)+('[1]Actual Expenditure 2018-19'!P318)+('[1]Actual Expenditure 2018-19'!P332)+('[1]Actual Expenditure 2018-19'!P356)+('[1]Actual Expenditure 2018-19'!P384)+('[1]Actual Expenditure 2018-19'!P405)</f>
        <v>0</v>
      </c>
      <c r="Q12" s="23">
        <f>SUM('[1]Actual Expenditure 2018-19'!Q16)+('[1]Actual Expenditure 2018-19'!Q44)+('[1]Actual Expenditure 2018-19'!Q63)+('[1]Actual Expenditure 2018-19'!Q83)+('[1]Actual Expenditure 2018-19'!Q115)+('[1]Actual Expenditure 2018-19'!Q134)+('[1]Actual Expenditure 2018-19'!Q179)+('[1]Actual Expenditure 2018-19'!Q200)+('[1]Actual Expenditure 2018-19'!Q224)+('[1]Actual Expenditure 2018-19'!Q243)+('[1]Actual Expenditure 2018-19'!Q264)+('[1]Actual Expenditure 2018-19'!Q286)+('[1]Actual Expenditure 2018-19'!Q302)+('[1]Actual Expenditure 2018-19'!Q318)+('[1]Actual Expenditure 2018-19'!Q332)+('[1]Actual Expenditure 2018-19'!Q356)+('[1]Actual Expenditure 2018-19'!Q384)+('[1]Actual Expenditure 2018-19'!Q405)</f>
        <v>0</v>
      </c>
      <c r="R12" s="23">
        <f>SUM('[1]Actual Expenditure 2018-19'!R16)+('[1]Actual Expenditure 2018-19'!R44)+('[1]Actual Expenditure 2018-19'!R63)+('[1]Actual Expenditure 2018-19'!R83)+('[1]Actual Expenditure 2018-19'!R115)+('[1]Actual Expenditure 2018-19'!R134)+('[1]Actual Expenditure 2018-19'!R179)+('[1]Actual Expenditure 2018-19'!R200)+('[1]Actual Expenditure 2018-19'!R224)+('[1]Actual Expenditure 2018-19'!R243)+('[1]Actual Expenditure 2018-19'!R264)+('[1]Actual Expenditure 2018-19'!R286)+('[1]Actual Expenditure 2018-19'!R302)+('[1]Actual Expenditure 2018-19'!R318)+('[1]Actual Expenditure 2018-19'!R332)+('[1]Actual Expenditure 2018-19'!R356)+('[1]Actual Expenditure 2018-19'!R384)+('[1]Actual Expenditure 2018-19'!R405)</f>
        <v>0</v>
      </c>
      <c r="S12" s="20" t="e">
        <f>F12/#REF!*100</f>
        <v>#REF!</v>
      </c>
      <c r="T12" s="20" t="e">
        <f>G12/#REF!*100</f>
        <v>#REF!</v>
      </c>
      <c r="U12" s="20" t="e">
        <f>H12/#REF!*100</f>
        <v>#REF!</v>
      </c>
      <c r="V12" s="20" t="e">
        <f>I12/#REF!*100</f>
        <v>#REF!</v>
      </c>
      <c r="W12" s="20" t="e">
        <f>J12/#REF!*100</f>
        <v>#REF!</v>
      </c>
      <c r="X12" s="20">
        <f t="shared" ref="X12:X61" si="20">L12/K12*100</f>
        <v>15.957333333333334</v>
      </c>
      <c r="Y12" s="20" t="e">
        <f>M12/#REF!*100</f>
        <v>#REF!</v>
      </c>
      <c r="Z12" s="20" t="e">
        <f>N12/#REF!*100</f>
        <v>#REF!</v>
      </c>
      <c r="AA12" s="20" t="e">
        <f>O12/#REF!*100</f>
        <v>#REF!</v>
      </c>
      <c r="AB12" s="20" t="e">
        <f>P12/#REF!*100</f>
        <v>#REF!</v>
      </c>
      <c r="AC12" s="20" t="e">
        <f>Q12/#REF!*100</f>
        <v>#REF!</v>
      </c>
      <c r="AD12" s="23">
        <f>SUM('[1]Actual Expenditure 2018-19'!AD16)+('[1]Actual Expenditure 2018-19'!AD44)+('[1]Actual Expenditure 2018-19'!AD63)+('[1]Actual Expenditure 2018-19'!AD83)+('[1]Actual Expenditure 2018-19'!AD115)+('[1]Actual Expenditure 2018-19'!AD134)+('[1]Actual Expenditure 2018-19'!AD179)+('[1]Actual Expenditure 2018-19'!AD200)+('[1]Actual Expenditure 2018-19'!AD224)+('[1]Actual Expenditure 2018-19'!AD243)+('[1]Actual Expenditure 2018-19'!AD264)+('[1]Actual Expenditure 2018-19'!AD286)+('[1]Actual Expenditure 2018-19'!AD302)+('[1]Actual Expenditure 2018-19'!AD318)+('[1]Actual Expenditure 2018-19'!AD332)+('[1]Actual Expenditure 2018-19'!AD356)+('[1]Actual Expenditure 2018-19'!AD384)+('[1]Actual Expenditure 2018-19'!AD405)</f>
        <v>0</v>
      </c>
      <c r="AE12" s="20" t="e">
        <f t="shared" si="0"/>
        <v>#DIV/0!</v>
      </c>
      <c r="AF12" s="20" t="e">
        <f t="shared" si="1"/>
        <v>#DIV/0!</v>
      </c>
      <c r="AG12" s="20" t="e">
        <f t="shared" si="2"/>
        <v>#DIV/0!</v>
      </c>
      <c r="AH12" s="20" t="e">
        <f t="shared" si="3"/>
        <v>#DIV/0!</v>
      </c>
      <c r="AI12" s="23">
        <v>17022</v>
      </c>
      <c r="AJ12" s="20">
        <f t="shared" si="4"/>
        <v>6.8087999999999997</v>
      </c>
      <c r="AK12" s="23">
        <v>37572</v>
      </c>
      <c r="AL12" s="20">
        <f t="shared" si="5"/>
        <v>15.0288</v>
      </c>
      <c r="AM12" s="23">
        <v>55225</v>
      </c>
      <c r="AN12" s="20">
        <f t="shared" si="6"/>
        <v>22.09</v>
      </c>
      <c r="AO12" s="23">
        <v>73964</v>
      </c>
      <c r="AP12" s="20">
        <f t="shared" si="7"/>
        <v>29.585599999999999</v>
      </c>
      <c r="AQ12" s="49">
        <v>92506</v>
      </c>
      <c r="AR12" s="20">
        <f t="shared" si="8"/>
        <v>37.002400000000002</v>
      </c>
      <c r="AS12" s="23">
        <v>107771</v>
      </c>
      <c r="AT12" s="20">
        <f t="shared" si="9"/>
        <v>43.108400000000003</v>
      </c>
      <c r="AU12" s="50">
        <v>125984</v>
      </c>
      <c r="AV12" s="20">
        <f t="shared" si="10"/>
        <v>50.393600000000006</v>
      </c>
      <c r="AW12" s="50">
        <v>143303</v>
      </c>
      <c r="AX12" s="20">
        <f t="shared" si="11"/>
        <v>57.321200000000005</v>
      </c>
      <c r="AY12" s="50">
        <v>158407</v>
      </c>
      <c r="AZ12" s="20">
        <f t="shared" si="12"/>
        <v>63.3628</v>
      </c>
      <c r="BA12" s="20">
        <f t="shared" si="13"/>
        <v>63.3628</v>
      </c>
      <c r="BB12" s="50">
        <v>180192</v>
      </c>
      <c r="BC12" s="20">
        <f t="shared" si="14"/>
        <v>72.076799999999992</v>
      </c>
      <c r="BD12" s="20">
        <f t="shared" si="15"/>
        <v>72.076799999999992</v>
      </c>
      <c r="BE12" s="50">
        <v>198899</v>
      </c>
      <c r="BF12" s="20">
        <f t="shared" si="16"/>
        <v>79.559600000000003</v>
      </c>
      <c r="BG12" s="20">
        <f t="shared" si="17"/>
        <v>79.559600000000003</v>
      </c>
      <c r="BH12" s="50">
        <v>0</v>
      </c>
      <c r="BI12" s="20">
        <f t="shared" si="18"/>
        <v>0</v>
      </c>
      <c r="BJ12" s="20">
        <f t="shared" si="19"/>
        <v>0</v>
      </c>
    </row>
    <row r="13" spans="1:73" ht="18">
      <c r="A13" s="23">
        <f>SUM('[1]Actual Expenditure 2018-19'!A17)+('[1]Actual Expenditure 2018-19'!A45)+('[1]Actual Expenditure 2018-19'!A64)+('[1]Actual Expenditure 2018-19'!A84)+('[1]Actual Expenditure 2018-19'!A116)+('[1]Actual Expenditure 2018-19'!A135)+('[1]Actual Expenditure 2018-19'!A180)+('[1]Actual Expenditure 2018-19'!A201)+('[1]Actual Expenditure 2018-19'!A225)+('[1]Actual Expenditure 2018-19'!A244)+('[1]Actual Expenditure 2018-19'!A265)+('[1]Actual Expenditure 2018-19'!A287)+('[1]Actual Expenditure 2018-19'!A303)+('[1]Actual Expenditure 2018-19'!A319)+('[1]Actual Expenditure 2018-19'!A333)+('[1]Actual Expenditure 2018-19'!A357)+('[1]Actual Expenditure 2018-19'!A385)+('[1]Actual Expenditure 2018-19'!A406)</f>
        <v>70000</v>
      </c>
      <c r="B13" s="23">
        <f>SUM('[1]Actual Expenditure 2018-19'!B17)+('[1]Actual Expenditure 2018-19'!B45)+('[1]Actual Expenditure 2018-19'!B64)+('[1]Actual Expenditure 2018-19'!B84)+('[1]Actual Expenditure 2018-19'!B116)+('[1]Actual Expenditure 2018-19'!B135)+('[1]Actual Expenditure 2018-19'!B180)+('[1]Actual Expenditure 2018-19'!B201)+('[1]Actual Expenditure 2018-19'!B225)+('[1]Actual Expenditure 2018-19'!B244)+('[1]Actual Expenditure 2018-19'!B265)+('[1]Actual Expenditure 2018-19'!B287)+('[1]Actual Expenditure 2018-19'!B303)+('[1]Actual Expenditure 2018-19'!B319)+('[1]Actual Expenditure 2018-19'!B333)+('[1]Actual Expenditure 2018-19'!B357)+('[1]Actual Expenditure 2018-19'!B385)+('[1]Actual Expenditure 2018-19'!B406)</f>
        <v>50000</v>
      </c>
      <c r="C13" s="9">
        <v>3</v>
      </c>
      <c r="D13" s="23" t="s">
        <v>61</v>
      </c>
      <c r="E13" s="23">
        <f>SUM('[1]Actual Expenditure 2018-19'!F17)+('[1]Actual Expenditure 2018-19'!F45)+('[1]Actual Expenditure 2018-19'!F64)+('[1]Actual Expenditure 2018-19'!F84)+('[1]Actual Expenditure 2018-19'!F116)+('[1]Actual Expenditure 2018-19'!F135)+('[1]Actual Expenditure 2018-19'!F180)+('[1]Actual Expenditure 2018-19'!F201)+('[1]Actual Expenditure 2018-19'!F225)+('[1]Actual Expenditure 2018-19'!F244)+('[1]Actual Expenditure 2018-19'!F265)+('[1]Actual Expenditure 2018-19'!F287)+('[1]Actual Expenditure 2018-19'!F303)+('[1]Actual Expenditure 2018-19'!F319)+('[1]Actual Expenditure 2018-19'!F333)+('[1]Actual Expenditure 2018-19'!F357)+('[1]Actual Expenditure 2018-19'!F385)+('[1]Actual Expenditure 2018-19'!F406)</f>
        <v>0</v>
      </c>
      <c r="F13" s="23">
        <f>SUM('[1]Actual Expenditure 2018-19'!G17)+('[1]Actual Expenditure 2018-19'!G45)+('[1]Actual Expenditure 2018-19'!G64)+('[1]Actual Expenditure 2018-19'!G84)+('[1]Actual Expenditure 2018-19'!G116)+('[1]Actual Expenditure 2018-19'!G135)+('[1]Actual Expenditure 2018-19'!G180)+('[1]Actual Expenditure 2018-19'!G201)+('[1]Actual Expenditure 2018-19'!G225)+('[1]Actual Expenditure 2018-19'!G244)+('[1]Actual Expenditure 2018-19'!G265)+('[1]Actual Expenditure 2018-19'!G287)+('[1]Actual Expenditure 2018-19'!G303)+('[1]Actual Expenditure 2018-19'!G319)+('[1]Actual Expenditure 2018-19'!G333)+('[1]Actual Expenditure 2018-19'!G357)+('[1]Actual Expenditure 2018-19'!G385)+('[1]Actual Expenditure 2018-19'!G406)</f>
        <v>349</v>
      </c>
      <c r="G13" s="23">
        <f>SUM('[1]Actual Expenditure 2018-19'!H17)+('[1]Actual Expenditure 2018-19'!H45)+('[1]Actual Expenditure 2018-19'!H64)+('[1]Actual Expenditure 2018-19'!H84)+('[1]Actual Expenditure 2018-19'!H116)+('[1]Actual Expenditure 2018-19'!H135)+('[1]Actual Expenditure 2018-19'!H180)+('[1]Actual Expenditure 2018-19'!H201)+('[1]Actual Expenditure 2018-19'!H225)+('[1]Actual Expenditure 2018-19'!H244)+('[1]Actual Expenditure 2018-19'!H265)+('[1]Actual Expenditure 2018-19'!H287)+('[1]Actual Expenditure 2018-19'!H303)+('[1]Actual Expenditure 2018-19'!H319)+('[1]Actual Expenditure 2018-19'!H333)+('[1]Actual Expenditure 2018-19'!H357)+('[1]Actual Expenditure 2018-19'!H385)+('[1]Actual Expenditure 2018-19'!H406)</f>
        <v>0</v>
      </c>
      <c r="H13" s="23">
        <f>SUM('[1]Actual Expenditure 2018-19'!I17)+('[1]Actual Expenditure 2018-19'!I45)+('[1]Actual Expenditure 2018-19'!I64)+('[1]Actual Expenditure 2018-19'!I84)+('[1]Actual Expenditure 2018-19'!I116)+('[1]Actual Expenditure 2018-19'!I135)+('[1]Actual Expenditure 2018-19'!I180)+('[1]Actual Expenditure 2018-19'!I201)+('[1]Actual Expenditure 2018-19'!I225)+('[1]Actual Expenditure 2018-19'!I244)+('[1]Actual Expenditure 2018-19'!I265)+('[1]Actual Expenditure 2018-19'!I287)+('[1]Actual Expenditure 2018-19'!I303)+('[1]Actual Expenditure 2018-19'!I319)+('[1]Actual Expenditure 2018-19'!I333)+('[1]Actual Expenditure 2018-19'!I357)+('[1]Actual Expenditure 2018-19'!I385)+('[1]Actual Expenditure 2018-19'!I406)</f>
        <v>0</v>
      </c>
      <c r="I13" s="23">
        <f>SUM('[1]Actual Expenditure 2018-19'!J17)+('[1]Actual Expenditure 2018-19'!J45)+('[1]Actual Expenditure 2018-19'!J64)+('[1]Actual Expenditure 2018-19'!J84)+('[1]Actual Expenditure 2018-19'!J116)+('[1]Actual Expenditure 2018-19'!J135)+('[1]Actual Expenditure 2018-19'!J180)+('[1]Actual Expenditure 2018-19'!J201)+('[1]Actual Expenditure 2018-19'!J225)+('[1]Actual Expenditure 2018-19'!J244)+('[1]Actual Expenditure 2018-19'!J265)+('[1]Actual Expenditure 2018-19'!J287)+('[1]Actual Expenditure 2018-19'!J303)+('[1]Actual Expenditure 2018-19'!J319)+('[1]Actual Expenditure 2018-19'!J333)+('[1]Actual Expenditure 2018-19'!J357)+('[1]Actual Expenditure 2018-19'!J385)+('[1]Actual Expenditure 2018-19'!J406)</f>
        <v>0</v>
      </c>
      <c r="J13" s="23">
        <f>SUM('[1]Actual Expenditure 2018-19'!K17)+('[1]Actual Expenditure 2018-19'!K45)+('[1]Actual Expenditure 2018-19'!K64)+('[1]Actual Expenditure 2018-19'!K84)+('[1]Actual Expenditure 2018-19'!K116)+('[1]Actual Expenditure 2018-19'!K135)+('[1]Actual Expenditure 2018-19'!K180)+('[1]Actual Expenditure 2018-19'!K201)+('[1]Actual Expenditure 2018-19'!K225)+('[1]Actual Expenditure 2018-19'!K244)+('[1]Actual Expenditure 2018-19'!K265)+('[1]Actual Expenditure 2018-19'!K287)+('[1]Actual Expenditure 2018-19'!K303)+('[1]Actual Expenditure 2018-19'!K319)+('[1]Actual Expenditure 2018-19'!K333)+('[1]Actual Expenditure 2018-19'!K357)+('[1]Actual Expenditure 2018-19'!K385)+('[1]Actual Expenditure 2018-19'!K406)</f>
        <v>3222</v>
      </c>
      <c r="K13" s="23">
        <v>30000</v>
      </c>
      <c r="L13" s="51">
        <v>279</v>
      </c>
      <c r="M13" s="23">
        <f>SUM('[1]Actual Expenditure 2018-19'!M17)+('[1]Actual Expenditure 2018-19'!M45)+('[1]Actual Expenditure 2018-19'!M64)+('[1]Actual Expenditure 2018-19'!M84)+('[1]Actual Expenditure 2018-19'!M116)+('[1]Actual Expenditure 2018-19'!M135)+('[1]Actual Expenditure 2018-19'!M180)+('[1]Actual Expenditure 2018-19'!M201)+('[1]Actual Expenditure 2018-19'!M225)+('[1]Actual Expenditure 2018-19'!M244)+('[1]Actual Expenditure 2018-19'!M265)+('[1]Actual Expenditure 2018-19'!M287)+('[1]Actual Expenditure 2018-19'!M303)+('[1]Actual Expenditure 2018-19'!M319)+('[1]Actual Expenditure 2018-19'!M333)+('[1]Actual Expenditure 2018-19'!M357)+('[1]Actual Expenditure 2018-19'!M385)+('[1]Actual Expenditure 2018-19'!M406)</f>
        <v>0</v>
      </c>
      <c r="N13" s="23">
        <f>SUM('[1]Actual Expenditure 2018-19'!N17)+('[1]Actual Expenditure 2018-19'!N45)+('[1]Actual Expenditure 2018-19'!N64)+('[1]Actual Expenditure 2018-19'!N84)+('[1]Actual Expenditure 2018-19'!N116)+('[1]Actual Expenditure 2018-19'!N135)+('[1]Actual Expenditure 2018-19'!N180)+('[1]Actual Expenditure 2018-19'!N201)+('[1]Actual Expenditure 2018-19'!N225)+('[1]Actual Expenditure 2018-19'!N244)+('[1]Actual Expenditure 2018-19'!N265)+('[1]Actual Expenditure 2018-19'!N287)+('[1]Actual Expenditure 2018-19'!N303)+('[1]Actual Expenditure 2018-19'!N319)+('[1]Actual Expenditure 2018-19'!N333)+('[1]Actual Expenditure 2018-19'!N357)+('[1]Actual Expenditure 2018-19'!N385)+('[1]Actual Expenditure 2018-19'!N406)</f>
        <v>0</v>
      </c>
      <c r="O13" s="23">
        <f>SUM('[1]Actual Expenditure 2018-19'!O17)+('[1]Actual Expenditure 2018-19'!O45)+('[1]Actual Expenditure 2018-19'!O64)+('[1]Actual Expenditure 2018-19'!O84)+('[1]Actual Expenditure 2018-19'!O116)+('[1]Actual Expenditure 2018-19'!O135)+('[1]Actual Expenditure 2018-19'!O180)+('[1]Actual Expenditure 2018-19'!O201)+('[1]Actual Expenditure 2018-19'!O225)+('[1]Actual Expenditure 2018-19'!O244)+('[1]Actual Expenditure 2018-19'!O265)+('[1]Actual Expenditure 2018-19'!O287)+('[1]Actual Expenditure 2018-19'!O303)+('[1]Actual Expenditure 2018-19'!O319)+('[1]Actual Expenditure 2018-19'!O333)+('[1]Actual Expenditure 2018-19'!O357)+('[1]Actual Expenditure 2018-19'!O385)+('[1]Actual Expenditure 2018-19'!O406)</f>
        <v>0</v>
      </c>
      <c r="P13" s="23">
        <f>SUM('[1]Actual Expenditure 2018-19'!P17)+('[1]Actual Expenditure 2018-19'!P45)+('[1]Actual Expenditure 2018-19'!P64)+('[1]Actual Expenditure 2018-19'!P84)+('[1]Actual Expenditure 2018-19'!P116)+('[1]Actual Expenditure 2018-19'!P135)+('[1]Actual Expenditure 2018-19'!P180)+('[1]Actual Expenditure 2018-19'!P201)+('[1]Actual Expenditure 2018-19'!P225)+('[1]Actual Expenditure 2018-19'!P244)+('[1]Actual Expenditure 2018-19'!P265)+('[1]Actual Expenditure 2018-19'!P287)+('[1]Actual Expenditure 2018-19'!P303)+('[1]Actual Expenditure 2018-19'!P319)+('[1]Actual Expenditure 2018-19'!P333)+('[1]Actual Expenditure 2018-19'!P357)+('[1]Actual Expenditure 2018-19'!P385)+('[1]Actual Expenditure 2018-19'!P406)</f>
        <v>0</v>
      </c>
      <c r="Q13" s="23">
        <f>SUM('[1]Actual Expenditure 2018-19'!Q17)+('[1]Actual Expenditure 2018-19'!Q45)+('[1]Actual Expenditure 2018-19'!Q64)+('[1]Actual Expenditure 2018-19'!Q84)+('[1]Actual Expenditure 2018-19'!Q116)+('[1]Actual Expenditure 2018-19'!Q135)+('[1]Actual Expenditure 2018-19'!Q180)+('[1]Actual Expenditure 2018-19'!Q201)+('[1]Actual Expenditure 2018-19'!Q225)+('[1]Actual Expenditure 2018-19'!Q244)+('[1]Actual Expenditure 2018-19'!Q265)+('[1]Actual Expenditure 2018-19'!Q287)+('[1]Actual Expenditure 2018-19'!Q303)+('[1]Actual Expenditure 2018-19'!Q319)+('[1]Actual Expenditure 2018-19'!Q333)+('[1]Actual Expenditure 2018-19'!Q357)+('[1]Actual Expenditure 2018-19'!Q385)+('[1]Actual Expenditure 2018-19'!Q406)</f>
        <v>0</v>
      </c>
      <c r="R13" s="23">
        <f>SUM('[1]Actual Expenditure 2018-19'!R17)+('[1]Actual Expenditure 2018-19'!R45)+('[1]Actual Expenditure 2018-19'!R64)+('[1]Actual Expenditure 2018-19'!R84)+('[1]Actual Expenditure 2018-19'!R116)+('[1]Actual Expenditure 2018-19'!R135)+('[1]Actual Expenditure 2018-19'!R180)+('[1]Actual Expenditure 2018-19'!R201)+('[1]Actual Expenditure 2018-19'!R225)+('[1]Actual Expenditure 2018-19'!R244)+('[1]Actual Expenditure 2018-19'!R265)+('[1]Actual Expenditure 2018-19'!R287)+('[1]Actual Expenditure 2018-19'!R303)+('[1]Actual Expenditure 2018-19'!R319)+('[1]Actual Expenditure 2018-19'!R333)+('[1]Actual Expenditure 2018-19'!R357)+('[1]Actual Expenditure 2018-19'!R385)+('[1]Actual Expenditure 2018-19'!R406)</f>
        <v>0</v>
      </c>
      <c r="S13" s="20" t="e">
        <f>F13/#REF!*100</f>
        <v>#REF!</v>
      </c>
      <c r="T13" s="20" t="e">
        <f>G13/#REF!*100</f>
        <v>#REF!</v>
      </c>
      <c r="U13" s="20" t="e">
        <f>H13/#REF!*100</f>
        <v>#REF!</v>
      </c>
      <c r="V13" s="20" t="e">
        <f>I13/#REF!*100</f>
        <v>#REF!</v>
      </c>
      <c r="W13" s="20" t="e">
        <f>J13/#REF!*100</f>
        <v>#REF!</v>
      </c>
      <c r="X13" s="20">
        <f t="shared" si="20"/>
        <v>0.92999999999999994</v>
      </c>
      <c r="Y13" s="20" t="e">
        <f>M13/#REF!*100</f>
        <v>#REF!</v>
      </c>
      <c r="Z13" s="20" t="e">
        <f>N13/#REF!*100</f>
        <v>#REF!</v>
      </c>
      <c r="AA13" s="20" t="e">
        <f>O13/#REF!*100</f>
        <v>#REF!</v>
      </c>
      <c r="AB13" s="20" t="e">
        <f>P13/#REF!*100</f>
        <v>#REF!</v>
      </c>
      <c r="AC13" s="20" t="e">
        <f>Q13/#REF!*100</f>
        <v>#REF!</v>
      </c>
      <c r="AD13" s="23">
        <f>SUM('[1]Actual Expenditure 2018-19'!AD17)+('[1]Actual Expenditure 2018-19'!AD45)+('[1]Actual Expenditure 2018-19'!AD64)+('[1]Actual Expenditure 2018-19'!AD84)+('[1]Actual Expenditure 2018-19'!AD116)+('[1]Actual Expenditure 2018-19'!AD135)+('[1]Actual Expenditure 2018-19'!AD180)+('[1]Actual Expenditure 2018-19'!AD201)+('[1]Actual Expenditure 2018-19'!AD225)+('[1]Actual Expenditure 2018-19'!AD244)+('[1]Actual Expenditure 2018-19'!AD265)+('[1]Actual Expenditure 2018-19'!AD287)+('[1]Actual Expenditure 2018-19'!AD303)+('[1]Actual Expenditure 2018-19'!AD319)+('[1]Actual Expenditure 2018-19'!AD333)+('[1]Actual Expenditure 2018-19'!AD357)+('[1]Actual Expenditure 2018-19'!AD385)+('[1]Actual Expenditure 2018-19'!AD406)</f>
        <v>0</v>
      </c>
      <c r="AE13" s="20" t="e">
        <f t="shared" si="0"/>
        <v>#DIV/0!</v>
      </c>
      <c r="AF13" s="20" t="e">
        <f t="shared" si="1"/>
        <v>#DIV/0!</v>
      </c>
      <c r="AG13" s="20" t="e">
        <f t="shared" si="2"/>
        <v>#DIV/0!</v>
      </c>
      <c r="AH13" s="20" t="e">
        <f t="shared" si="3"/>
        <v>#DIV/0!</v>
      </c>
      <c r="AI13" s="23">
        <v>245</v>
      </c>
      <c r="AJ13" s="20">
        <f t="shared" si="4"/>
        <v>0.35000000000000003</v>
      </c>
      <c r="AK13" s="23">
        <v>794</v>
      </c>
      <c r="AL13" s="20">
        <f t="shared" si="5"/>
        <v>1.1342857142857143</v>
      </c>
      <c r="AM13" s="23">
        <v>959</v>
      </c>
      <c r="AN13" s="20">
        <f t="shared" si="6"/>
        <v>1.37</v>
      </c>
      <c r="AO13" s="23">
        <v>1245</v>
      </c>
      <c r="AP13" s="20">
        <f t="shared" si="7"/>
        <v>1.7785714285714287</v>
      </c>
      <c r="AQ13" s="49">
        <v>1662</v>
      </c>
      <c r="AR13" s="20">
        <f t="shared" si="8"/>
        <v>2.3742857142857141</v>
      </c>
      <c r="AS13" s="23">
        <v>1736</v>
      </c>
      <c r="AT13" s="20">
        <f t="shared" si="9"/>
        <v>2.48</v>
      </c>
      <c r="AU13" s="50">
        <v>2349</v>
      </c>
      <c r="AV13" s="20">
        <f t="shared" si="10"/>
        <v>3.3557142857142854</v>
      </c>
      <c r="AW13" s="50">
        <v>2563</v>
      </c>
      <c r="AX13" s="20">
        <f t="shared" si="11"/>
        <v>3.6614285714285719</v>
      </c>
      <c r="AY13" s="50">
        <v>3531</v>
      </c>
      <c r="AZ13" s="20">
        <f t="shared" si="12"/>
        <v>5.0442857142857145</v>
      </c>
      <c r="BA13" s="20">
        <f t="shared" si="13"/>
        <v>7.0620000000000003</v>
      </c>
      <c r="BB13" s="50">
        <v>3971</v>
      </c>
      <c r="BC13" s="20">
        <f t="shared" si="14"/>
        <v>5.6728571428571426</v>
      </c>
      <c r="BD13" s="20">
        <f t="shared" si="15"/>
        <v>7.9420000000000002</v>
      </c>
      <c r="BE13" s="50">
        <v>4504</v>
      </c>
      <c r="BF13" s="20">
        <f t="shared" si="16"/>
        <v>6.4342857142857142</v>
      </c>
      <c r="BG13" s="20">
        <f t="shared" si="17"/>
        <v>9.0079999999999991</v>
      </c>
      <c r="BH13" s="50">
        <v>0</v>
      </c>
      <c r="BI13" s="20">
        <f t="shared" si="18"/>
        <v>0</v>
      </c>
      <c r="BJ13" s="20">
        <f t="shared" si="19"/>
        <v>0</v>
      </c>
    </row>
    <row r="14" spans="1:73" ht="18">
      <c r="A14" s="23">
        <f>SUM('[1]Actual Expenditure 2018-19'!A18)+('[1]Actual Expenditure 2018-19'!A85)+('[1]Actual Expenditure 2018-19'!A136)+('[1]Actual Expenditure 2018-19'!A266)+('[1]Actual Expenditure 2018-19'!A358)+('[1]Actual Expenditure 2018-19'!A407)</f>
        <v>1100000</v>
      </c>
      <c r="B14" s="23">
        <f>SUM('[1]Actual Expenditure 2018-19'!B18)+('[1]Actual Expenditure 2018-19'!B85)+('[1]Actual Expenditure 2018-19'!B136)+('[1]Actual Expenditure 2018-19'!B266)+('[1]Actual Expenditure 2018-19'!B358)+('[1]Actual Expenditure 2018-19'!B407)</f>
        <v>1100000</v>
      </c>
      <c r="C14" s="9">
        <v>5</v>
      </c>
      <c r="D14" s="23" t="s">
        <v>62</v>
      </c>
      <c r="E14" s="23">
        <f>SUM('[1]Actual Expenditure 2018-19'!F18)+('[1]Actual Expenditure 2018-19'!F85)+('[1]Actual Expenditure 2018-19'!F136)+('[1]Actual Expenditure 2018-19'!F266)+('[1]Actual Expenditure 2018-19'!F358)+('[1]Actual Expenditure 2018-19'!F407)</f>
        <v>0</v>
      </c>
      <c r="F14" s="23">
        <f>SUM('[1]Actual Expenditure 2018-19'!G18)+('[1]Actual Expenditure 2018-19'!G85)+('[1]Actual Expenditure 2018-19'!G136)+('[1]Actual Expenditure 2018-19'!G266)+('[1]Actual Expenditure 2018-19'!G358)+('[1]Actual Expenditure 2018-19'!G407)</f>
        <v>21638</v>
      </c>
      <c r="G14" s="23">
        <f>SUM('[1]Actual Expenditure 2018-19'!H18)+('[1]Actual Expenditure 2018-19'!H85)+('[1]Actual Expenditure 2018-19'!H136)+('[1]Actual Expenditure 2018-19'!H266)+('[1]Actual Expenditure 2018-19'!H358)+('[1]Actual Expenditure 2018-19'!H407)</f>
        <v>0</v>
      </c>
      <c r="H14" s="23">
        <f>SUM('[1]Actual Expenditure 2018-19'!I18)+('[1]Actual Expenditure 2018-19'!I85)+('[1]Actual Expenditure 2018-19'!I136)+('[1]Actual Expenditure 2018-19'!I266)+('[1]Actual Expenditure 2018-19'!I358)+('[1]Actual Expenditure 2018-19'!I407)</f>
        <v>0</v>
      </c>
      <c r="I14" s="23">
        <f>SUM('[1]Actual Expenditure 2018-19'!J18)+('[1]Actual Expenditure 2018-19'!J85)+('[1]Actual Expenditure 2018-19'!J136)+('[1]Actual Expenditure 2018-19'!J266)+('[1]Actual Expenditure 2018-19'!J358)+('[1]Actual Expenditure 2018-19'!J407)</f>
        <v>0</v>
      </c>
      <c r="J14" s="23">
        <f>SUM('[1]Actual Expenditure 2018-19'!K18)+('[1]Actual Expenditure 2018-19'!K85)+('[1]Actual Expenditure 2018-19'!K136)+('[1]Actual Expenditure 2018-19'!K266)+('[1]Actual Expenditure 2018-19'!K358)+('[1]Actual Expenditure 2018-19'!K407)</f>
        <v>163116</v>
      </c>
      <c r="K14" s="23">
        <v>1000000</v>
      </c>
      <c r="L14" s="51">
        <v>1902</v>
      </c>
      <c r="M14" s="23">
        <f>SUM('[1]Actual Expenditure 2018-19'!M18)+('[1]Actual Expenditure 2018-19'!M85)+('[1]Actual Expenditure 2018-19'!M136)+('[1]Actual Expenditure 2018-19'!M266)+('[1]Actual Expenditure 2018-19'!M358)+('[1]Actual Expenditure 2018-19'!M407)</f>
        <v>0</v>
      </c>
      <c r="N14" s="23">
        <f>SUM('[1]Actual Expenditure 2018-19'!N18)+('[1]Actual Expenditure 2018-19'!N85)+('[1]Actual Expenditure 2018-19'!N136)+('[1]Actual Expenditure 2018-19'!N266)+('[1]Actual Expenditure 2018-19'!N358)+('[1]Actual Expenditure 2018-19'!N407)</f>
        <v>0</v>
      </c>
      <c r="O14" s="23">
        <f>SUM('[1]Actual Expenditure 2018-19'!O18)+('[1]Actual Expenditure 2018-19'!O85)+('[1]Actual Expenditure 2018-19'!O136)+('[1]Actual Expenditure 2018-19'!O266)+('[1]Actual Expenditure 2018-19'!O358)+('[1]Actual Expenditure 2018-19'!O407)</f>
        <v>0</v>
      </c>
      <c r="P14" s="23">
        <f>SUM('[1]Actual Expenditure 2018-19'!P18)+('[1]Actual Expenditure 2018-19'!P85)+('[1]Actual Expenditure 2018-19'!P136)+('[1]Actual Expenditure 2018-19'!P266)+('[1]Actual Expenditure 2018-19'!P358)+('[1]Actual Expenditure 2018-19'!P407)</f>
        <v>0</v>
      </c>
      <c r="Q14" s="23">
        <f>SUM('[1]Actual Expenditure 2018-19'!Q18)+('[1]Actual Expenditure 2018-19'!Q85)+('[1]Actual Expenditure 2018-19'!Q136)+('[1]Actual Expenditure 2018-19'!Q266)+('[1]Actual Expenditure 2018-19'!Q358)+('[1]Actual Expenditure 2018-19'!Q407)</f>
        <v>0</v>
      </c>
      <c r="R14" s="23">
        <f>SUM('[1]Actual Expenditure 2018-19'!R18)+('[1]Actual Expenditure 2018-19'!R85)+('[1]Actual Expenditure 2018-19'!R136)+('[1]Actual Expenditure 2018-19'!R266)+('[1]Actual Expenditure 2018-19'!R358)+('[1]Actual Expenditure 2018-19'!R407)</f>
        <v>0</v>
      </c>
      <c r="S14" s="20" t="e">
        <f>F14/#REF!*100</f>
        <v>#REF!</v>
      </c>
      <c r="T14" s="20" t="e">
        <f>G14/#REF!*100</f>
        <v>#REF!</v>
      </c>
      <c r="U14" s="20" t="e">
        <f>H14/#REF!*100</f>
        <v>#REF!</v>
      </c>
      <c r="V14" s="20" t="e">
        <f>I14/#REF!*100</f>
        <v>#REF!</v>
      </c>
      <c r="W14" s="20" t="e">
        <f>J14/#REF!*100</f>
        <v>#REF!</v>
      </c>
      <c r="X14" s="20">
        <f t="shared" si="20"/>
        <v>0.19020000000000001</v>
      </c>
      <c r="Y14" s="20" t="e">
        <f>M14/#REF!*100</f>
        <v>#REF!</v>
      </c>
      <c r="Z14" s="20" t="e">
        <f>N14/#REF!*100</f>
        <v>#REF!</v>
      </c>
      <c r="AA14" s="20" t="e">
        <f>O14/#REF!*100</f>
        <v>#REF!</v>
      </c>
      <c r="AB14" s="20" t="e">
        <f>P14/#REF!*100</f>
        <v>#REF!</v>
      </c>
      <c r="AC14" s="20" t="e">
        <f>Q14/#REF!*100</f>
        <v>#REF!</v>
      </c>
      <c r="AD14" s="23">
        <f>SUM('[1]Actual Expenditure 2018-19'!AD18)+('[1]Actual Expenditure 2018-19'!AD85)+('[1]Actual Expenditure 2018-19'!AD136)+('[1]Actual Expenditure 2018-19'!AD266)+('[1]Actual Expenditure 2018-19'!AD358)+('[1]Actual Expenditure 2018-19'!AD407)</f>
        <v>0</v>
      </c>
      <c r="AE14" s="20" t="e">
        <f t="shared" si="0"/>
        <v>#DIV/0!</v>
      </c>
      <c r="AF14" s="20" t="e">
        <f t="shared" si="1"/>
        <v>#DIV/0!</v>
      </c>
      <c r="AG14" s="20" t="e">
        <f t="shared" si="2"/>
        <v>#DIV/0!</v>
      </c>
      <c r="AH14" s="20" t="e">
        <f t="shared" si="3"/>
        <v>#DIV/0!</v>
      </c>
      <c r="AI14" s="23">
        <v>5796</v>
      </c>
      <c r="AJ14" s="20">
        <f t="shared" si="4"/>
        <v>0.52690909090909088</v>
      </c>
      <c r="AK14" s="23">
        <v>35407</v>
      </c>
      <c r="AL14" s="20">
        <f t="shared" si="5"/>
        <v>3.2188181818181816</v>
      </c>
      <c r="AM14" s="23">
        <v>145244</v>
      </c>
      <c r="AN14" s="20">
        <f t="shared" si="6"/>
        <v>13.203999999999999</v>
      </c>
      <c r="AO14" s="23">
        <v>197877</v>
      </c>
      <c r="AP14" s="20">
        <f t="shared" si="7"/>
        <v>17.988818181818182</v>
      </c>
      <c r="AQ14" s="49">
        <v>253567</v>
      </c>
      <c r="AR14" s="20">
        <f t="shared" si="8"/>
        <v>23.051545454545455</v>
      </c>
      <c r="AS14" s="23">
        <v>291884</v>
      </c>
      <c r="AT14" s="20">
        <f t="shared" si="9"/>
        <v>26.534909090909093</v>
      </c>
      <c r="AU14" s="50">
        <v>322361</v>
      </c>
      <c r="AV14" s="20">
        <f t="shared" si="10"/>
        <v>29.305545454545456</v>
      </c>
      <c r="AW14" s="50">
        <v>370005</v>
      </c>
      <c r="AX14" s="20">
        <f t="shared" si="11"/>
        <v>33.636818181818185</v>
      </c>
      <c r="AY14" s="50">
        <v>412689</v>
      </c>
      <c r="AZ14" s="20">
        <f t="shared" si="12"/>
        <v>37.517181818181818</v>
      </c>
      <c r="BA14" s="20">
        <f t="shared" si="13"/>
        <v>37.517181818181818</v>
      </c>
      <c r="BB14" s="50">
        <v>454346</v>
      </c>
      <c r="BC14" s="20">
        <f t="shared" si="14"/>
        <v>41.304181818181817</v>
      </c>
      <c r="BD14" s="20">
        <f t="shared" si="15"/>
        <v>41.304181818181817</v>
      </c>
      <c r="BE14" s="50">
        <v>559792</v>
      </c>
      <c r="BF14" s="20">
        <f t="shared" si="16"/>
        <v>50.890181818181823</v>
      </c>
      <c r="BG14" s="20">
        <f t="shared" si="17"/>
        <v>50.890181818181823</v>
      </c>
      <c r="BH14" s="50">
        <v>0</v>
      </c>
      <c r="BI14" s="20">
        <f t="shared" si="18"/>
        <v>0</v>
      </c>
      <c r="BJ14" s="20">
        <f t="shared" si="19"/>
        <v>0</v>
      </c>
    </row>
    <row r="15" spans="1:73" ht="18">
      <c r="A15" s="23">
        <f>SUM('[1]Actual Expenditure 2018-19'!A19)+('[1]Actual Expenditure 2018-19'!A46)+('[1]Actual Expenditure 2018-19'!A65)+('[1]Actual Expenditure 2018-19'!A86)+('[1]Actual Expenditure 2018-19'!A117)+('[1]Actual Expenditure 2018-19'!A137)+('[1]Actual Expenditure 2018-19'!A181)+('[1]Actual Expenditure 2018-19'!A202)+('[1]Actual Expenditure 2018-19'!A226)+('[1]Actual Expenditure 2018-19'!A245)+('[1]Actual Expenditure 2018-19'!A267)+('[1]Actual Expenditure 2018-19'!A288)+('[1]Actual Expenditure 2018-19'!A304)+('[1]Actual Expenditure 2018-19'!A320)+('[1]Actual Expenditure 2018-19'!A334)+('[1]Actual Expenditure 2018-19'!A359)+('[1]Actual Expenditure 2018-19'!A386)+('[1]Actual Expenditure 2018-19'!A408)</f>
        <v>400000</v>
      </c>
      <c r="B15" s="23">
        <f>SUM('[1]Actual Expenditure 2018-19'!B19)+('[1]Actual Expenditure 2018-19'!B46)+('[1]Actual Expenditure 2018-19'!B65)+('[1]Actual Expenditure 2018-19'!B86)+('[1]Actual Expenditure 2018-19'!B117)+('[1]Actual Expenditure 2018-19'!B137)+('[1]Actual Expenditure 2018-19'!B181)+('[1]Actual Expenditure 2018-19'!B202)+('[1]Actual Expenditure 2018-19'!B226)+('[1]Actual Expenditure 2018-19'!B245)+('[1]Actual Expenditure 2018-19'!B267)+('[1]Actual Expenditure 2018-19'!B288)+('[1]Actual Expenditure 2018-19'!B304)+('[1]Actual Expenditure 2018-19'!B320)+('[1]Actual Expenditure 2018-19'!B334)+('[1]Actual Expenditure 2018-19'!B359)+('[1]Actual Expenditure 2018-19'!B386)+('[1]Actual Expenditure 2018-19'!B408)</f>
        <v>410000</v>
      </c>
      <c r="C15" s="9">
        <v>6</v>
      </c>
      <c r="D15" s="23" t="s">
        <v>63</v>
      </c>
      <c r="E15" s="23">
        <f>SUM('[1]Actual Expenditure 2018-19'!F19)+('[1]Actual Expenditure 2018-19'!F46)+('[1]Actual Expenditure 2018-19'!F65)+('[1]Actual Expenditure 2018-19'!F86)+('[1]Actual Expenditure 2018-19'!F117)+('[1]Actual Expenditure 2018-19'!F137)+('[1]Actual Expenditure 2018-19'!F181)+('[1]Actual Expenditure 2018-19'!F202)+('[1]Actual Expenditure 2018-19'!F226)+('[1]Actual Expenditure 2018-19'!F245)+('[1]Actual Expenditure 2018-19'!F267)+('[1]Actual Expenditure 2018-19'!F288)+('[1]Actual Expenditure 2018-19'!F304)+('[1]Actual Expenditure 2018-19'!F320)+('[1]Actual Expenditure 2018-19'!F334)+('[1]Actual Expenditure 2018-19'!F359)+('[1]Actual Expenditure 2018-19'!F386)+('[1]Actual Expenditure 2018-19'!F408)</f>
        <v>0</v>
      </c>
      <c r="F15" s="23">
        <f>SUM('[1]Actual Expenditure 2018-19'!G19)+('[1]Actual Expenditure 2018-19'!G46)+('[1]Actual Expenditure 2018-19'!G65)+('[1]Actual Expenditure 2018-19'!G86)+('[1]Actual Expenditure 2018-19'!G117)+('[1]Actual Expenditure 2018-19'!G137)+('[1]Actual Expenditure 2018-19'!G181)+('[1]Actual Expenditure 2018-19'!G202)+('[1]Actual Expenditure 2018-19'!G226)+('[1]Actual Expenditure 2018-19'!G245)+('[1]Actual Expenditure 2018-19'!G267)+('[1]Actual Expenditure 2018-19'!G288)+('[1]Actual Expenditure 2018-19'!G304)+('[1]Actual Expenditure 2018-19'!G320)+('[1]Actual Expenditure 2018-19'!G334)+('[1]Actual Expenditure 2018-19'!G359)+('[1]Actual Expenditure 2018-19'!G386)+('[1]Actual Expenditure 2018-19'!G408)</f>
        <v>14828</v>
      </c>
      <c r="G15" s="23">
        <f>SUM('[1]Actual Expenditure 2018-19'!H19)+('[1]Actual Expenditure 2018-19'!H46)+('[1]Actual Expenditure 2018-19'!H65)+('[1]Actual Expenditure 2018-19'!H86)+('[1]Actual Expenditure 2018-19'!H117)+('[1]Actual Expenditure 2018-19'!H137)+('[1]Actual Expenditure 2018-19'!H181)+('[1]Actual Expenditure 2018-19'!H202)+('[1]Actual Expenditure 2018-19'!H226)+('[1]Actual Expenditure 2018-19'!H245)+('[1]Actual Expenditure 2018-19'!H267)+('[1]Actual Expenditure 2018-19'!H288)+('[1]Actual Expenditure 2018-19'!H304)+('[1]Actual Expenditure 2018-19'!H320)+('[1]Actual Expenditure 2018-19'!H334)+('[1]Actual Expenditure 2018-19'!H359)+('[1]Actual Expenditure 2018-19'!H386)+('[1]Actual Expenditure 2018-19'!H408)</f>
        <v>0</v>
      </c>
      <c r="H15" s="23">
        <f>SUM('[1]Actual Expenditure 2018-19'!I19)+('[1]Actual Expenditure 2018-19'!I46)+('[1]Actual Expenditure 2018-19'!I65)+('[1]Actual Expenditure 2018-19'!I86)+('[1]Actual Expenditure 2018-19'!I117)+('[1]Actual Expenditure 2018-19'!I137)+('[1]Actual Expenditure 2018-19'!I181)+('[1]Actual Expenditure 2018-19'!I202)+('[1]Actual Expenditure 2018-19'!I226)+('[1]Actual Expenditure 2018-19'!I245)+('[1]Actual Expenditure 2018-19'!I267)+('[1]Actual Expenditure 2018-19'!I288)+('[1]Actual Expenditure 2018-19'!I304)+('[1]Actual Expenditure 2018-19'!I320)+('[1]Actual Expenditure 2018-19'!I334)+('[1]Actual Expenditure 2018-19'!I359)+('[1]Actual Expenditure 2018-19'!I386)+('[1]Actual Expenditure 2018-19'!I408)</f>
        <v>0</v>
      </c>
      <c r="I15" s="23">
        <f>SUM('[1]Actual Expenditure 2018-19'!J19)+('[1]Actual Expenditure 2018-19'!J46)+('[1]Actual Expenditure 2018-19'!J65)+('[1]Actual Expenditure 2018-19'!J86)+('[1]Actual Expenditure 2018-19'!J117)+('[1]Actual Expenditure 2018-19'!J137)+('[1]Actual Expenditure 2018-19'!J181)+('[1]Actual Expenditure 2018-19'!J202)+('[1]Actual Expenditure 2018-19'!J226)+('[1]Actual Expenditure 2018-19'!J245)+('[1]Actual Expenditure 2018-19'!J267)+('[1]Actual Expenditure 2018-19'!J288)+('[1]Actual Expenditure 2018-19'!J304)+('[1]Actual Expenditure 2018-19'!J320)+('[1]Actual Expenditure 2018-19'!J334)+('[1]Actual Expenditure 2018-19'!J359)+('[1]Actual Expenditure 2018-19'!J386)+('[1]Actual Expenditure 2018-19'!J408)</f>
        <v>0</v>
      </c>
      <c r="J15" s="23">
        <f>SUM('[1]Actual Expenditure 2018-19'!K19)+('[1]Actual Expenditure 2018-19'!K46)+('[1]Actual Expenditure 2018-19'!K65)+('[1]Actual Expenditure 2018-19'!K86)+('[1]Actual Expenditure 2018-19'!K117)+('[1]Actual Expenditure 2018-19'!K137)+('[1]Actual Expenditure 2018-19'!K181)+('[1]Actual Expenditure 2018-19'!K202)+('[1]Actual Expenditure 2018-19'!K226)+('[1]Actual Expenditure 2018-19'!K245)+('[1]Actual Expenditure 2018-19'!K267)+('[1]Actual Expenditure 2018-19'!K288)+('[1]Actual Expenditure 2018-19'!K304)+('[1]Actual Expenditure 2018-19'!K320)+('[1]Actual Expenditure 2018-19'!K334)+('[1]Actual Expenditure 2018-19'!K359)+('[1]Actual Expenditure 2018-19'!K386)+('[1]Actual Expenditure 2018-19'!K408)</f>
        <v>142784</v>
      </c>
      <c r="K15" s="23">
        <v>470000</v>
      </c>
      <c r="L15" s="51">
        <v>8596</v>
      </c>
      <c r="M15" s="23">
        <f>SUM('[1]Actual Expenditure 2018-19'!M19)+('[1]Actual Expenditure 2018-19'!M46)+('[1]Actual Expenditure 2018-19'!M65)+('[1]Actual Expenditure 2018-19'!M86)+('[1]Actual Expenditure 2018-19'!M117)+('[1]Actual Expenditure 2018-19'!M137)+('[1]Actual Expenditure 2018-19'!M181)+('[1]Actual Expenditure 2018-19'!M202)+('[1]Actual Expenditure 2018-19'!M226)+('[1]Actual Expenditure 2018-19'!M245)+('[1]Actual Expenditure 2018-19'!M267)+('[1]Actual Expenditure 2018-19'!M288)+('[1]Actual Expenditure 2018-19'!M304)+('[1]Actual Expenditure 2018-19'!M320)+('[1]Actual Expenditure 2018-19'!M334)+('[1]Actual Expenditure 2018-19'!M359)+('[1]Actual Expenditure 2018-19'!M386)+('[1]Actual Expenditure 2018-19'!M408)</f>
        <v>0</v>
      </c>
      <c r="N15" s="23">
        <f>SUM('[1]Actual Expenditure 2018-19'!N19)+('[1]Actual Expenditure 2018-19'!N46)+('[1]Actual Expenditure 2018-19'!N65)+('[1]Actual Expenditure 2018-19'!N86)+('[1]Actual Expenditure 2018-19'!N117)+('[1]Actual Expenditure 2018-19'!N137)+('[1]Actual Expenditure 2018-19'!N181)+('[1]Actual Expenditure 2018-19'!N202)+('[1]Actual Expenditure 2018-19'!N226)+('[1]Actual Expenditure 2018-19'!N245)+('[1]Actual Expenditure 2018-19'!N267)+('[1]Actual Expenditure 2018-19'!N288)+('[1]Actual Expenditure 2018-19'!N304)+('[1]Actual Expenditure 2018-19'!N320)+('[1]Actual Expenditure 2018-19'!N334)+('[1]Actual Expenditure 2018-19'!N359)+('[1]Actual Expenditure 2018-19'!N386)+('[1]Actual Expenditure 2018-19'!N408)</f>
        <v>0</v>
      </c>
      <c r="O15" s="23">
        <f>SUM('[1]Actual Expenditure 2018-19'!O19)+('[1]Actual Expenditure 2018-19'!O46)+('[1]Actual Expenditure 2018-19'!O65)+('[1]Actual Expenditure 2018-19'!O86)+('[1]Actual Expenditure 2018-19'!O117)+('[1]Actual Expenditure 2018-19'!O137)+('[1]Actual Expenditure 2018-19'!O181)+('[1]Actual Expenditure 2018-19'!O202)+('[1]Actual Expenditure 2018-19'!O226)+('[1]Actual Expenditure 2018-19'!O245)+('[1]Actual Expenditure 2018-19'!O267)+('[1]Actual Expenditure 2018-19'!O288)+('[1]Actual Expenditure 2018-19'!O304)+('[1]Actual Expenditure 2018-19'!O320)+('[1]Actual Expenditure 2018-19'!O334)+('[1]Actual Expenditure 2018-19'!O359)+('[1]Actual Expenditure 2018-19'!O386)+('[1]Actual Expenditure 2018-19'!O408)</f>
        <v>0</v>
      </c>
      <c r="P15" s="23">
        <f>SUM('[1]Actual Expenditure 2018-19'!P19)+('[1]Actual Expenditure 2018-19'!P46)+('[1]Actual Expenditure 2018-19'!P65)+('[1]Actual Expenditure 2018-19'!P86)+('[1]Actual Expenditure 2018-19'!P117)+('[1]Actual Expenditure 2018-19'!P137)+('[1]Actual Expenditure 2018-19'!P181)+('[1]Actual Expenditure 2018-19'!P202)+('[1]Actual Expenditure 2018-19'!P226)+('[1]Actual Expenditure 2018-19'!P245)+('[1]Actual Expenditure 2018-19'!P267)+('[1]Actual Expenditure 2018-19'!P288)+('[1]Actual Expenditure 2018-19'!P304)+('[1]Actual Expenditure 2018-19'!P320)+('[1]Actual Expenditure 2018-19'!P334)+('[1]Actual Expenditure 2018-19'!P359)+('[1]Actual Expenditure 2018-19'!P386)+('[1]Actual Expenditure 2018-19'!P408)</f>
        <v>0</v>
      </c>
      <c r="Q15" s="23">
        <f>SUM('[1]Actual Expenditure 2018-19'!Q19)+('[1]Actual Expenditure 2018-19'!Q46)+('[1]Actual Expenditure 2018-19'!Q65)+('[1]Actual Expenditure 2018-19'!Q86)+('[1]Actual Expenditure 2018-19'!Q117)+('[1]Actual Expenditure 2018-19'!Q137)+('[1]Actual Expenditure 2018-19'!Q181)+('[1]Actual Expenditure 2018-19'!Q202)+('[1]Actual Expenditure 2018-19'!Q226)+('[1]Actual Expenditure 2018-19'!Q245)+('[1]Actual Expenditure 2018-19'!Q267)+('[1]Actual Expenditure 2018-19'!Q288)+('[1]Actual Expenditure 2018-19'!Q304)+('[1]Actual Expenditure 2018-19'!Q320)+('[1]Actual Expenditure 2018-19'!Q334)+('[1]Actual Expenditure 2018-19'!Q359)+('[1]Actual Expenditure 2018-19'!Q386)+('[1]Actual Expenditure 2018-19'!Q408)</f>
        <v>0</v>
      </c>
      <c r="R15" s="23">
        <f>SUM('[1]Actual Expenditure 2018-19'!R19)+('[1]Actual Expenditure 2018-19'!R46)+('[1]Actual Expenditure 2018-19'!R65)+('[1]Actual Expenditure 2018-19'!R86)+('[1]Actual Expenditure 2018-19'!R117)+('[1]Actual Expenditure 2018-19'!R137)+('[1]Actual Expenditure 2018-19'!R181)+('[1]Actual Expenditure 2018-19'!R202)+('[1]Actual Expenditure 2018-19'!R226)+('[1]Actual Expenditure 2018-19'!R245)+('[1]Actual Expenditure 2018-19'!R267)+('[1]Actual Expenditure 2018-19'!R288)+('[1]Actual Expenditure 2018-19'!R304)+('[1]Actual Expenditure 2018-19'!R320)+('[1]Actual Expenditure 2018-19'!R334)+('[1]Actual Expenditure 2018-19'!R359)+('[1]Actual Expenditure 2018-19'!R386)+('[1]Actual Expenditure 2018-19'!R408)</f>
        <v>0</v>
      </c>
      <c r="S15" s="20" t="e">
        <f>F15/#REF!*100</f>
        <v>#REF!</v>
      </c>
      <c r="T15" s="20" t="e">
        <f>G15/#REF!*100</f>
        <v>#REF!</v>
      </c>
      <c r="U15" s="20" t="e">
        <f>H15/#REF!*100</f>
        <v>#REF!</v>
      </c>
      <c r="V15" s="20" t="e">
        <f>I15/#REF!*100</f>
        <v>#REF!</v>
      </c>
      <c r="W15" s="20" t="e">
        <f>J15/#REF!*100</f>
        <v>#REF!</v>
      </c>
      <c r="X15" s="20">
        <f t="shared" si="20"/>
        <v>1.8289361702127658</v>
      </c>
      <c r="Y15" s="20" t="e">
        <f>M15/#REF!*100</f>
        <v>#REF!</v>
      </c>
      <c r="Z15" s="20" t="e">
        <f>N15/#REF!*100</f>
        <v>#REF!</v>
      </c>
      <c r="AA15" s="20" t="e">
        <f>O15/#REF!*100</f>
        <v>#REF!</v>
      </c>
      <c r="AB15" s="20" t="e">
        <f>P15/#REF!*100</f>
        <v>#REF!</v>
      </c>
      <c r="AC15" s="20" t="e">
        <f>Q15/#REF!*100</f>
        <v>#REF!</v>
      </c>
      <c r="AD15" s="23">
        <f>SUM('[1]Actual Expenditure 2018-19'!AD19)+('[1]Actual Expenditure 2018-19'!AD46)+('[1]Actual Expenditure 2018-19'!AD65)+('[1]Actual Expenditure 2018-19'!AD86)+('[1]Actual Expenditure 2018-19'!AD117)+('[1]Actual Expenditure 2018-19'!AD137)+('[1]Actual Expenditure 2018-19'!AD181)+('[1]Actual Expenditure 2018-19'!AD202)+('[1]Actual Expenditure 2018-19'!AD226)+('[1]Actual Expenditure 2018-19'!AD245)+('[1]Actual Expenditure 2018-19'!AD267)+('[1]Actual Expenditure 2018-19'!AD288)+('[1]Actual Expenditure 2018-19'!AD304)+('[1]Actual Expenditure 2018-19'!AD320)+('[1]Actual Expenditure 2018-19'!AD334)+('[1]Actual Expenditure 2018-19'!AD359)+('[1]Actual Expenditure 2018-19'!AD386)+('[1]Actual Expenditure 2018-19'!AD408)</f>
        <v>0</v>
      </c>
      <c r="AE15" s="20" t="e">
        <f t="shared" si="0"/>
        <v>#DIV/0!</v>
      </c>
      <c r="AF15" s="20" t="e">
        <f t="shared" si="1"/>
        <v>#DIV/0!</v>
      </c>
      <c r="AG15" s="20" t="e">
        <f t="shared" si="2"/>
        <v>#DIV/0!</v>
      </c>
      <c r="AH15" s="20" t="e">
        <f t="shared" si="3"/>
        <v>#DIV/0!</v>
      </c>
      <c r="AI15" s="23">
        <v>18862</v>
      </c>
      <c r="AJ15" s="20">
        <f t="shared" si="4"/>
        <v>4.7155000000000005</v>
      </c>
      <c r="AK15" s="23">
        <v>61295</v>
      </c>
      <c r="AL15" s="20">
        <f t="shared" si="5"/>
        <v>15.32375</v>
      </c>
      <c r="AM15" s="23">
        <v>97718</v>
      </c>
      <c r="AN15" s="20">
        <f t="shared" si="6"/>
        <v>24.429500000000001</v>
      </c>
      <c r="AO15" s="23">
        <v>124971</v>
      </c>
      <c r="AP15" s="20">
        <f t="shared" si="7"/>
        <v>31.242750000000001</v>
      </c>
      <c r="AQ15" s="49">
        <v>146964</v>
      </c>
      <c r="AR15" s="20">
        <f t="shared" si="8"/>
        <v>36.741</v>
      </c>
      <c r="AS15" s="23">
        <v>165718</v>
      </c>
      <c r="AT15" s="20">
        <f t="shared" si="9"/>
        <v>41.429500000000004</v>
      </c>
      <c r="AU15" s="50">
        <v>189503</v>
      </c>
      <c r="AV15" s="20">
        <f t="shared" si="10"/>
        <v>47.375749999999996</v>
      </c>
      <c r="AW15" s="50">
        <v>205229</v>
      </c>
      <c r="AX15" s="20">
        <f t="shared" si="11"/>
        <v>51.307250000000003</v>
      </c>
      <c r="AY15" s="50">
        <v>234744</v>
      </c>
      <c r="AZ15" s="20">
        <f t="shared" si="12"/>
        <v>58.686000000000007</v>
      </c>
      <c r="BA15" s="20">
        <f t="shared" si="13"/>
        <v>57.254634146341466</v>
      </c>
      <c r="BB15" s="50">
        <v>261152</v>
      </c>
      <c r="BC15" s="20">
        <f t="shared" si="14"/>
        <v>65.287999999999997</v>
      </c>
      <c r="BD15" s="20">
        <f t="shared" si="15"/>
        <v>63.695609756097561</v>
      </c>
      <c r="BE15" s="50">
        <v>293571</v>
      </c>
      <c r="BF15" s="20">
        <f t="shared" si="16"/>
        <v>73.392749999999992</v>
      </c>
      <c r="BG15" s="20">
        <f t="shared" si="17"/>
        <v>71.60268292682926</v>
      </c>
      <c r="BH15" s="50">
        <v>0</v>
      </c>
      <c r="BI15" s="20">
        <f t="shared" si="18"/>
        <v>0</v>
      </c>
      <c r="BJ15" s="20">
        <f t="shared" si="19"/>
        <v>0</v>
      </c>
    </row>
    <row r="16" spans="1:73" ht="18">
      <c r="A16" s="23">
        <f>SUM('[1]Actual Expenditure 2018-19'!A20)+('[1]Actual Expenditure 2018-19'!A47)+('[1]Actual Expenditure 2018-19'!A66)+('[1]Actual Expenditure 2018-19'!A87)+('[1]Actual Expenditure 2018-19'!A118)+('[1]Actual Expenditure 2018-19'!A138)+('[1]Actual Expenditure 2018-19'!A182)+('[1]Actual Expenditure 2018-19'!A203)+('[1]Actual Expenditure 2018-19'!A227)+('[1]Actual Expenditure 2018-19'!A246)+('[1]Actual Expenditure 2018-19'!A268)+('[1]Actual Expenditure 2018-19'!A289)+('[1]Actual Expenditure 2018-19'!A305)+('[1]Actual Expenditure 2018-19'!A321)+('[1]Actual Expenditure 2018-19'!A335)+('[1]Actual Expenditure 2018-19'!A360)+('[1]Actual Expenditure 2018-19'!A387)+('[1]Actual Expenditure 2018-19'!A409)</f>
        <v>900000</v>
      </c>
      <c r="B16" s="23">
        <f>SUM('[1]Actual Expenditure 2018-19'!B20)+('[1]Actual Expenditure 2018-19'!B47)+('[1]Actual Expenditure 2018-19'!B66)+('[1]Actual Expenditure 2018-19'!B87)+('[1]Actual Expenditure 2018-19'!B118)+('[1]Actual Expenditure 2018-19'!B138)+('[1]Actual Expenditure 2018-19'!B182)+('[1]Actual Expenditure 2018-19'!B203)+('[1]Actual Expenditure 2018-19'!B227)+('[1]Actual Expenditure 2018-19'!B246)+('[1]Actual Expenditure 2018-19'!B268)+('[1]Actual Expenditure 2018-19'!B289)+('[1]Actual Expenditure 2018-19'!B305)+('[1]Actual Expenditure 2018-19'!B321)+('[1]Actual Expenditure 2018-19'!B335)+('[1]Actual Expenditure 2018-19'!B360)+('[1]Actual Expenditure 2018-19'!B387)+('[1]Actual Expenditure 2018-19'!B409)</f>
        <v>920000</v>
      </c>
      <c r="C16" s="9">
        <v>11</v>
      </c>
      <c r="D16" s="23" t="s">
        <v>64</v>
      </c>
      <c r="E16" s="23">
        <f>SUM('[1]Actual Expenditure 2018-19'!F20)+('[1]Actual Expenditure 2018-19'!F47)+('[1]Actual Expenditure 2018-19'!F66)+('[1]Actual Expenditure 2018-19'!F87)+('[1]Actual Expenditure 2018-19'!F118)+('[1]Actual Expenditure 2018-19'!F138)+('[1]Actual Expenditure 2018-19'!F182)+('[1]Actual Expenditure 2018-19'!F203)+('[1]Actual Expenditure 2018-19'!F227)+('[1]Actual Expenditure 2018-19'!F246)+('[1]Actual Expenditure 2018-19'!F268)+('[1]Actual Expenditure 2018-19'!F289)+('[1]Actual Expenditure 2018-19'!F305)+('[1]Actual Expenditure 2018-19'!F321)+('[1]Actual Expenditure 2018-19'!F335)+('[1]Actual Expenditure 2018-19'!F360)+('[1]Actual Expenditure 2018-19'!F387)+('[1]Actual Expenditure 2018-19'!F409)</f>
        <v>0</v>
      </c>
      <c r="F16" s="23">
        <f>SUM('[1]Actual Expenditure 2018-19'!G20)+('[1]Actual Expenditure 2018-19'!G47)+('[1]Actual Expenditure 2018-19'!G66)+('[1]Actual Expenditure 2018-19'!G87)+('[1]Actual Expenditure 2018-19'!G118)+('[1]Actual Expenditure 2018-19'!G138)+('[1]Actual Expenditure 2018-19'!G182)+('[1]Actual Expenditure 2018-19'!G203)+('[1]Actual Expenditure 2018-19'!G227)+('[1]Actual Expenditure 2018-19'!G246)+('[1]Actual Expenditure 2018-19'!G268)+('[1]Actual Expenditure 2018-19'!G289)+('[1]Actual Expenditure 2018-19'!G305)+('[1]Actual Expenditure 2018-19'!G321)+('[1]Actual Expenditure 2018-19'!G335)+('[1]Actual Expenditure 2018-19'!G360)+('[1]Actual Expenditure 2018-19'!G387)+('[1]Actual Expenditure 2018-19'!G409)</f>
        <v>37406</v>
      </c>
      <c r="G16" s="23">
        <f>SUM('[1]Actual Expenditure 2018-19'!H20)+('[1]Actual Expenditure 2018-19'!H47)+('[1]Actual Expenditure 2018-19'!H66)+('[1]Actual Expenditure 2018-19'!H87)+('[1]Actual Expenditure 2018-19'!H118)+('[1]Actual Expenditure 2018-19'!H138)+('[1]Actual Expenditure 2018-19'!H182)+('[1]Actual Expenditure 2018-19'!H203)+('[1]Actual Expenditure 2018-19'!H227)+('[1]Actual Expenditure 2018-19'!H246)+('[1]Actual Expenditure 2018-19'!H268)+('[1]Actual Expenditure 2018-19'!H289)+('[1]Actual Expenditure 2018-19'!H305)+('[1]Actual Expenditure 2018-19'!H321)+('[1]Actual Expenditure 2018-19'!H335)+('[1]Actual Expenditure 2018-19'!H360)+('[1]Actual Expenditure 2018-19'!H387)+('[1]Actual Expenditure 2018-19'!H409)</f>
        <v>0</v>
      </c>
      <c r="H16" s="23">
        <f>SUM('[1]Actual Expenditure 2018-19'!I20)+('[1]Actual Expenditure 2018-19'!I47)+('[1]Actual Expenditure 2018-19'!I66)+('[1]Actual Expenditure 2018-19'!I87)+('[1]Actual Expenditure 2018-19'!I118)+('[1]Actual Expenditure 2018-19'!I138)+('[1]Actual Expenditure 2018-19'!I182)+('[1]Actual Expenditure 2018-19'!I203)+('[1]Actual Expenditure 2018-19'!I227)+('[1]Actual Expenditure 2018-19'!I246)+('[1]Actual Expenditure 2018-19'!I268)+('[1]Actual Expenditure 2018-19'!I289)+('[1]Actual Expenditure 2018-19'!I305)+('[1]Actual Expenditure 2018-19'!I321)+('[1]Actual Expenditure 2018-19'!I335)+('[1]Actual Expenditure 2018-19'!I360)+('[1]Actual Expenditure 2018-19'!I387)+('[1]Actual Expenditure 2018-19'!I409)</f>
        <v>0</v>
      </c>
      <c r="I16" s="23">
        <f>SUM('[1]Actual Expenditure 2018-19'!J20)+('[1]Actual Expenditure 2018-19'!J47)+('[1]Actual Expenditure 2018-19'!J66)+('[1]Actual Expenditure 2018-19'!J87)+('[1]Actual Expenditure 2018-19'!J118)+('[1]Actual Expenditure 2018-19'!J138)+('[1]Actual Expenditure 2018-19'!J182)+('[1]Actual Expenditure 2018-19'!J203)+('[1]Actual Expenditure 2018-19'!J227)+('[1]Actual Expenditure 2018-19'!J246)+('[1]Actual Expenditure 2018-19'!J268)+('[1]Actual Expenditure 2018-19'!J289)+('[1]Actual Expenditure 2018-19'!J305)+('[1]Actual Expenditure 2018-19'!J321)+('[1]Actual Expenditure 2018-19'!J335)+('[1]Actual Expenditure 2018-19'!J360)+('[1]Actual Expenditure 2018-19'!J387)+('[1]Actual Expenditure 2018-19'!J409)</f>
        <v>0</v>
      </c>
      <c r="J16" s="23">
        <f>SUM('[1]Actual Expenditure 2018-19'!K20)+('[1]Actual Expenditure 2018-19'!K47)+('[1]Actual Expenditure 2018-19'!K66)+('[1]Actual Expenditure 2018-19'!K87)+('[1]Actual Expenditure 2018-19'!K118)+('[1]Actual Expenditure 2018-19'!K138)+('[1]Actual Expenditure 2018-19'!K182)+('[1]Actual Expenditure 2018-19'!K203)+('[1]Actual Expenditure 2018-19'!K227)+('[1]Actual Expenditure 2018-19'!K246)+('[1]Actual Expenditure 2018-19'!K268)+('[1]Actual Expenditure 2018-19'!K289)+('[1]Actual Expenditure 2018-19'!K305)+('[1]Actual Expenditure 2018-19'!K321)+('[1]Actual Expenditure 2018-19'!K335)+('[1]Actual Expenditure 2018-19'!K360)+('[1]Actual Expenditure 2018-19'!K387)+('[1]Actual Expenditure 2018-19'!K409)</f>
        <v>434308</v>
      </c>
      <c r="K16" s="23">
        <v>1100000</v>
      </c>
      <c r="L16" s="51">
        <v>27899</v>
      </c>
      <c r="M16" s="23">
        <f>SUM('[1]Actual Expenditure 2018-19'!M20)+('[1]Actual Expenditure 2018-19'!M47)+('[1]Actual Expenditure 2018-19'!M66)+('[1]Actual Expenditure 2018-19'!M87)+('[1]Actual Expenditure 2018-19'!M118)+('[1]Actual Expenditure 2018-19'!M138)+('[1]Actual Expenditure 2018-19'!M182)+('[1]Actual Expenditure 2018-19'!M203)+('[1]Actual Expenditure 2018-19'!M227)+('[1]Actual Expenditure 2018-19'!M246)+('[1]Actual Expenditure 2018-19'!M268)+('[1]Actual Expenditure 2018-19'!M289)+('[1]Actual Expenditure 2018-19'!M305)+('[1]Actual Expenditure 2018-19'!M321)+('[1]Actual Expenditure 2018-19'!M335)+('[1]Actual Expenditure 2018-19'!M360)+('[1]Actual Expenditure 2018-19'!M387)+('[1]Actual Expenditure 2018-19'!M409)</f>
        <v>0</v>
      </c>
      <c r="N16" s="23">
        <f>SUM('[1]Actual Expenditure 2018-19'!N20)+('[1]Actual Expenditure 2018-19'!N47)+('[1]Actual Expenditure 2018-19'!N66)+('[1]Actual Expenditure 2018-19'!N87)+('[1]Actual Expenditure 2018-19'!N118)+('[1]Actual Expenditure 2018-19'!N138)+('[1]Actual Expenditure 2018-19'!N182)+('[1]Actual Expenditure 2018-19'!N203)+('[1]Actual Expenditure 2018-19'!N227)+('[1]Actual Expenditure 2018-19'!N246)+('[1]Actual Expenditure 2018-19'!N268)+('[1]Actual Expenditure 2018-19'!N289)+('[1]Actual Expenditure 2018-19'!N305)+('[1]Actual Expenditure 2018-19'!N321)+('[1]Actual Expenditure 2018-19'!N335)+('[1]Actual Expenditure 2018-19'!N360)+('[1]Actual Expenditure 2018-19'!N387)+('[1]Actual Expenditure 2018-19'!N409)</f>
        <v>0</v>
      </c>
      <c r="O16" s="23">
        <f>SUM('[1]Actual Expenditure 2018-19'!O20)+('[1]Actual Expenditure 2018-19'!O47)+('[1]Actual Expenditure 2018-19'!O66)+('[1]Actual Expenditure 2018-19'!O87)+('[1]Actual Expenditure 2018-19'!O118)+('[1]Actual Expenditure 2018-19'!O138)+('[1]Actual Expenditure 2018-19'!O182)+('[1]Actual Expenditure 2018-19'!O203)+('[1]Actual Expenditure 2018-19'!O227)+('[1]Actual Expenditure 2018-19'!O246)+('[1]Actual Expenditure 2018-19'!O268)+('[1]Actual Expenditure 2018-19'!O289)+('[1]Actual Expenditure 2018-19'!O305)+('[1]Actual Expenditure 2018-19'!O321)+('[1]Actual Expenditure 2018-19'!O335)+('[1]Actual Expenditure 2018-19'!O360)+('[1]Actual Expenditure 2018-19'!O387)+('[1]Actual Expenditure 2018-19'!O409)</f>
        <v>0</v>
      </c>
      <c r="P16" s="23">
        <f>SUM('[1]Actual Expenditure 2018-19'!P20)+('[1]Actual Expenditure 2018-19'!P47)+('[1]Actual Expenditure 2018-19'!P66)+('[1]Actual Expenditure 2018-19'!P87)+('[1]Actual Expenditure 2018-19'!P118)+('[1]Actual Expenditure 2018-19'!P138)+('[1]Actual Expenditure 2018-19'!P182)+('[1]Actual Expenditure 2018-19'!P203)+('[1]Actual Expenditure 2018-19'!P227)+('[1]Actual Expenditure 2018-19'!P246)+('[1]Actual Expenditure 2018-19'!P268)+('[1]Actual Expenditure 2018-19'!P289)+('[1]Actual Expenditure 2018-19'!P305)+('[1]Actual Expenditure 2018-19'!P321)+('[1]Actual Expenditure 2018-19'!P335)+('[1]Actual Expenditure 2018-19'!P360)+('[1]Actual Expenditure 2018-19'!P387)+('[1]Actual Expenditure 2018-19'!P409)</f>
        <v>0</v>
      </c>
      <c r="Q16" s="23">
        <f>SUM('[1]Actual Expenditure 2018-19'!Q20)+('[1]Actual Expenditure 2018-19'!Q47)+('[1]Actual Expenditure 2018-19'!Q66)+('[1]Actual Expenditure 2018-19'!Q87)+('[1]Actual Expenditure 2018-19'!Q118)+('[1]Actual Expenditure 2018-19'!Q138)+('[1]Actual Expenditure 2018-19'!Q182)+('[1]Actual Expenditure 2018-19'!Q203)+('[1]Actual Expenditure 2018-19'!Q227)+('[1]Actual Expenditure 2018-19'!Q246)+('[1]Actual Expenditure 2018-19'!Q268)+('[1]Actual Expenditure 2018-19'!Q289)+('[1]Actual Expenditure 2018-19'!Q305)+('[1]Actual Expenditure 2018-19'!Q321)+('[1]Actual Expenditure 2018-19'!Q335)+('[1]Actual Expenditure 2018-19'!Q360)+('[1]Actual Expenditure 2018-19'!Q387)+('[1]Actual Expenditure 2018-19'!Q409)</f>
        <v>0</v>
      </c>
      <c r="R16" s="23">
        <f>SUM('[1]Actual Expenditure 2018-19'!R20)+('[1]Actual Expenditure 2018-19'!R47)+('[1]Actual Expenditure 2018-19'!R66)+('[1]Actual Expenditure 2018-19'!R87)+('[1]Actual Expenditure 2018-19'!R118)+('[1]Actual Expenditure 2018-19'!R138)+('[1]Actual Expenditure 2018-19'!R182)+('[1]Actual Expenditure 2018-19'!R203)+('[1]Actual Expenditure 2018-19'!R227)+('[1]Actual Expenditure 2018-19'!R246)+('[1]Actual Expenditure 2018-19'!R268)+('[1]Actual Expenditure 2018-19'!R289)+('[1]Actual Expenditure 2018-19'!R305)+('[1]Actual Expenditure 2018-19'!R321)+('[1]Actual Expenditure 2018-19'!R335)+('[1]Actual Expenditure 2018-19'!R360)+('[1]Actual Expenditure 2018-19'!R387)+('[1]Actual Expenditure 2018-19'!R409)</f>
        <v>0</v>
      </c>
      <c r="S16" s="20" t="e">
        <f>F16/#REF!*100</f>
        <v>#REF!</v>
      </c>
      <c r="T16" s="20" t="e">
        <f>G16/#REF!*100</f>
        <v>#REF!</v>
      </c>
      <c r="U16" s="20" t="e">
        <f>H16/#REF!*100</f>
        <v>#REF!</v>
      </c>
      <c r="V16" s="20" t="e">
        <f>I16/#REF!*100</f>
        <v>#REF!</v>
      </c>
      <c r="W16" s="20" t="e">
        <f>J16/#REF!*100</f>
        <v>#REF!</v>
      </c>
      <c r="X16" s="20">
        <f t="shared" si="20"/>
        <v>2.5362727272727272</v>
      </c>
      <c r="Y16" s="20" t="e">
        <f>M16/#REF!*100</f>
        <v>#REF!</v>
      </c>
      <c r="Z16" s="20" t="e">
        <f>N16/#REF!*100</f>
        <v>#REF!</v>
      </c>
      <c r="AA16" s="20" t="e">
        <f>O16/#REF!*100</f>
        <v>#REF!</v>
      </c>
      <c r="AB16" s="20" t="e">
        <f>P16/#REF!*100</f>
        <v>#REF!</v>
      </c>
      <c r="AC16" s="20" t="e">
        <f>Q16/#REF!*100</f>
        <v>#REF!</v>
      </c>
      <c r="AD16" s="23">
        <f>SUM('[1]Actual Expenditure 2018-19'!AD20)+('[1]Actual Expenditure 2018-19'!AD47)+('[1]Actual Expenditure 2018-19'!AD66)+('[1]Actual Expenditure 2018-19'!AD87)+('[1]Actual Expenditure 2018-19'!AD118)+('[1]Actual Expenditure 2018-19'!AD138)+('[1]Actual Expenditure 2018-19'!AD182)+('[1]Actual Expenditure 2018-19'!AD203)+('[1]Actual Expenditure 2018-19'!AD227)+('[1]Actual Expenditure 2018-19'!AD246)+('[1]Actual Expenditure 2018-19'!AD268)+('[1]Actual Expenditure 2018-19'!AD289)+('[1]Actual Expenditure 2018-19'!AD305)+('[1]Actual Expenditure 2018-19'!AD321)+('[1]Actual Expenditure 2018-19'!AD335)+('[1]Actual Expenditure 2018-19'!AD360)+('[1]Actual Expenditure 2018-19'!AD387)+('[1]Actual Expenditure 2018-19'!AD409)</f>
        <v>0</v>
      </c>
      <c r="AE16" s="20" t="e">
        <f t="shared" si="0"/>
        <v>#DIV/0!</v>
      </c>
      <c r="AF16" s="20" t="e">
        <f t="shared" si="1"/>
        <v>#DIV/0!</v>
      </c>
      <c r="AG16" s="20" t="e">
        <f t="shared" si="2"/>
        <v>#DIV/0!</v>
      </c>
      <c r="AH16" s="20" t="e">
        <f t="shared" si="3"/>
        <v>#DIV/0!</v>
      </c>
      <c r="AI16" s="23">
        <v>44414</v>
      </c>
      <c r="AJ16" s="20">
        <f t="shared" si="4"/>
        <v>4.9348888888888887</v>
      </c>
      <c r="AK16" s="23">
        <v>159802</v>
      </c>
      <c r="AL16" s="20">
        <f t="shared" si="5"/>
        <v>17.75577777777778</v>
      </c>
      <c r="AM16" s="23">
        <v>239052</v>
      </c>
      <c r="AN16" s="20">
        <f t="shared" si="6"/>
        <v>26.56133333333333</v>
      </c>
      <c r="AO16" s="23">
        <v>327336</v>
      </c>
      <c r="AP16" s="20">
        <f t="shared" si="7"/>
        <v>36.370666666666665</v>
      </c>
      <c r="AQ16" s="49">
        <v>401819</v>
      </c>
      <c r="AR16" s="20">
        <f t="shared" si="8"/>
        <v>44.646555555555558</v>
      </c>
      <c r="AS16" s="23">
        <v>465295</v>
      </c>
      <c r="AT16" s="20">
        <f t="shared" si="9"/>
        <v>51.699444444444445</v>
      </c>
      <c r="AU16" s="50">
        <v>533719</v>
      </c>
      <c r="AV16" s="20">
        <f t="shared" si="10"/>
        <v>59.30211111111111</v>
      </c>
      <c r="AW16" s="50">
        <v>576181</v>
      </c>
      <c r="AX16" s="20">
        <f t="shared" si="11"/>
        <v>64.020111111111106</v>
      </c>
      <c r="AY16" s="50">
        <v>632002</v>
      </c>
      <c r="AZ16" s="20">
        <f t="shared" si="12"/>
        <v>70.222444444444449</v>
      </c>
      <c r="BA16" s="20">
        <f t="shared" si="13"/>
        <v>68.695869565217393</v>
      </c>
      <c r="BB16" s="50">
        <v>683470</v>
      </c>
      <c r="BC16" s="20">
        <f t="shared" si="14"/>
        <v>75.941111111111113</v>
      </c>
      <c r="BD16" s="20">
        <f t="shared" si="15"/>
        <v>74.290217391304353</v>
      </c>
      <c r="BE16" s="50">
        <v>766966</v>
      </c>
      <c r="BF16" s="20">
        <f t="shared" si="16"/>
        <v>85.218444444444444</v>
      </c>
      <c r="BG16" s="20">
        <f t="shared" si="17"/>
        <v>83.365869565217395</v>
      </c>
      <c r="BH16" s="50">
        <v>0</v>
      </c>
      <c r="BI16" s="20">
        <f t="shared" si="18"/>
        <v>0</v>
      </c>
      <c r="BJ16" s="20">
        <f t="shared" si="19"/>
        <v>0</v>
      </c>
    </row>
    <row r="17" spans="1:62" ht="18">
      <c r="A17" s="23">
        <f>SUM('[1]Actual Expenditure 2018-19'!A21)+('[1]Actual Expenditure 2018-19'!A48)+('[1]Actual Expenditure 2018-19'!A88)+('[1]Actual Expenditure 2018-19'!A119)+('[1]Actual Expenditure 2018-19'!A139)+('[1]Actual Expenditure 2018-19'!A183)+('[1]Actual Expenditure 2018-19'!A204)+('[1]Actual Expenditure 2018-19'!A228)+('[1]Actual Expenditure 2018-19'!A247)+('[1]Actual Expenditure 2018-19'!A269)+('[1]Actual Expenditure 2018-19'!A322)+('[1]Actual Expenditure 2018-19'!A336)+('[1]Actual Expenditure 2018-19'!A361)+('[1]Actual Expenditure 2018-19'!A410)</f>
        <v>50000</v>
      </c>
      <c r="B17" s="23">
        <f>SUM('[1]Actual Expenditure 2018-19'!B21)+('[1]Actual Expenditure 2018-19'!B48)+('[1]Actual Expenditure 2018-19'!B88)+('[1]Actual Expenditure 2018-19'!B119)+('[1]Actual Expenditure 2018-19'!B139)+('[1]Actual Expenditure 2018-19'!B183)+('[1]Actual Expenditure 2018-19'!B204)+('[1]Actual Expenditure 2018-19'!B228)+('[1]Actual Expenditure 2018-19'!B247)+('[1]Actual Expenditure 2018-19'!B269)+('[1]Actual Expenditure 2018-19'!B322)+('[1]Actual Expenditure 2018-19'!B336)+('[1]Actual Expenditure 2018-19'!B361)+('[1]Actual Expenditure 2018-19'!B410)</f>
        <v>50000</v>
      </c>
      <c r="C17" s="9">
        <v>12</v>
      </c>
      <c r="D17" s="23" t="s">
        <v>65</v>
      </c>
      <c r="E17" s="23">
        <f>SUM('[1]Actual Expenditure 2018-19'!F21)+('[1]Actual Expenditure 2018-19'!F48)+('[1]Actual Expenditure 2018-19'!F88)+('[1]Actual Expenditure 2018-19'!F119)+('[1]Actual Expenditure 2018-19'!F139)+('[1]Actual Expenditure 2018-19'!F183)+('[1]Actual Expenditure 2018-19'!F204)+('[1]Actual Expenditure 2018-19'!F228)+('[1]Actual Expenditure 2018-19'!F247)+('[1]Actual Expenditure 2018-19'!F269)+('[1]Actual Expenditure 2018-19'!F322)+('[1]Actual Expenditure 2018-19'!F336)+('[1]Actual Expenditure 2018-19'!F361)+('[1]Actual Expenditure 2018-19'!F410)</f>
        <v>0</v>
      </c>
      <c r="F17" s="23">
        <f>SUM('[1]Actual Expenditure 2018-19'!G21)+('[1]Actual Expenditure 2018-19'!G48)+('[1]Actual Expenditure 2018-19'!G88)+('[1]Actual Expenditure 2018-19'!G119)+('[1]Actual Expenditure 2018-19'!G139)+('[1]Actual Expenditure 2018-19'!G183)+('[1]Actual Expenditure 2018-19'!G204)+('[1]Actual Expenditure 2018-19'!G228)+('[1]Actual Expenditure 2018-19'!G247)+('[1]Actual Expenditure 2018-19'!G269)+('[1]Actual Expenditure 2018-19'!G322)+('[1]Actual Expenditure 2018-19'!G336)+('[1]Actual Expenditure 2018-19'!G361)+('[1]Actual Expenditure 2018-19'!G410)</f>
        <v>116</v>
      </c>
      <c r="G17" s="23">
        <f>SUM('[1]Actual Expenditure 2018-19'!H21)+('[1]Actual Expenditure 2018-19'!H48)+('[1]Actual Expenditure 2018-19'!H88)+('[1]Actual Expenditure 2018-19'!H119)+('[1]Actual Expenditure 2018-19'!H139)+('[1]Actual Expenditure 2018-19'!H183)+('[1]Actual Expenditure 2018-19'!H204)+('[1]Actual Expenditure 2018-19'!H228)+('[1]Actual Expenditure 2018-19'!H247)+('[1]Actual Expenditure 2018-19'!H269)+('[1]Actual Expenditure 2018-19'!H322)+('[1]Actual Expenditure 2018-19'!H336)+('[1]Actual Expenditure 2018-19'!H361)+('[1]Actual Expenditure 2018-19'!H410)</f>
        <v>0</v>
      </c>
      <c r="H17" s="23">
        <f>SUM('[1]Actual Expenditure 2018-19'!I21)+('[1]Actual Expenditure 2018-19'!I48)+('[1]Actual Expenditure 2018-19'!I88)+('[1]Actual Expenditure 2018-19'!I119)+('[1]Actual Expenditure 2018-19'!I139)+('[1]Actual Expenditure 2018-19'!I183)+('[1]Actual Expenditure 2018-19'!I204)+('[1]Actual Expenditure 2018-19'!I228)+('[1]Actual Expenditure 2018-19'!I247)+('[1]Actual Expenditure 2018-19'!I269)+('[1]Actual Expenditure 2018-19'!I322)+('[1]Actual Expenditure 2018-19'!I336)+('[1]Actual Expenditure 2018-19'!I361)+('[1]Actual Expenditure 2018-19'!I410)</f>
        <v>0</v>
      </c>
      <c r="I17" s="23">
        <f>SUM('[1]Actual Expenditure 2018-19'!J21)+('[1]Actual Expenditure 2018-19'!J48)+('[1]Actual Expenditure 2018-19'!J88)+('[1]Actual Expenditure 2018-19'!J119)+('[1]Actual Expenditure 2018-19'!J139)+('[1]Actual Expenditure 2018-19'!J183)+('[1]Actual Expenditure 2018-19'!J204)+('[1]Actual Expenditure 2018-19'!J228)+('[1]Actual Expenditure 2018-19'!J247)+('[1]Actual Expenditure 2018-19'!J269)+('[1]Actual Expenditure 2018-19'!J322)+('[1]Actual Expenditure 2018-19'!J336)+('[1]Actual Expenditure 2018-19'!J361)+('[1]Actual Expenditure 2018-19'!J410)</f>
        <v>0</v>
      </c>
      <c r="J17" s="23">
        <f>SUM('[1]Actual Expenditure 2018-19'!K21)+('[1]Actual Expenditure 2018-19'!K48)+('[1]Actual Expenditure 2018-19'!K88)+('[1]Actual Expenditure 2018-19'!K119)+('[1]Actual Expenditure 2018-19'!K139)+('[1]Actual Expenditure 2018-19'!K183)+('[1]Actual Expenditure 2018-19'!K204)+('[1]Actual Expenditure 2018-19'!K228)+('[1]Actual Expenditure 2018-19'!K247)+('[1]Actual Expenditure 2018-19'!K269)+('[1]Actual Expenditure 2018-19'!K322)+('[1]Actual Expenditure 2018-19'!K336)+('[1]Actual Expenditure 2018-19'!K361)+('[1]Actual Expenditure 2018-19'!K410)</f>
        <v>5744</v>
      </c>
      <c r="K17" s="23">
        <v>55000</v>
      </c>
      <c r="L17" s="51">
        <v>0</v>
      </c>
      <c r="M17" s="23">
        <f>SUM('[1]Actual Expenditure 2018-19'!M21)+('[1]Actual Expenditure 2018-19'!M48)+('[1]Actual Expenditure 2018-19'!M88)+('[1]Actual Expenditure 2018-19'!M119)+('[1]Actual Expenditure 2018-19'!M139)+('[1]Actual Expenditure 2018-19'!M183)+('[1]Actual Expenditure 2018-19'!M204)+('[1]Actual Expenditure 2018-19'!M228)+('[1]Actual Expenditure 2018-19'!M247)+('[1]Actual Expenditure 2018-19'!M269)+('[1]Actual Expenditure 2018-19'!M322)+('[1]Actual Expenditure 2018-19'!M336)+('[1]Actual Expenditure 2018-19'!M361)+('[1]Actual Expenditure 2018-19'!M410)</f>
        <v>0</v>
      </c>
      <c r="N17" s="23">
        <f>SUM('[1]Actual Expenditure 2018-19'!N21)+('[1]Actual Expenditure 2018-19'!N48)+('[1]Actual Expenditure 2018-19'!N88)+('[1]Actual Expenditure 2018-19'!N119)+('[1]Actual Expenditure 2018-19'!N139)+('[1]Actual Expenditure 2018-19'!N183)+('[1]Actual Expenditure 2018-19'!N204)+('[1]Actual Expenditure 2018-19'!N228)+('[1]Actual Expenditure 2018-19'!N247)+('[1]Actual Expenditure 2018-19'!N269)+('[1]Actual Expenditure 2018-19'!N322)+('[1]Actual Expenditure 2018-19'!N336)+('[1]Actual Expenditure 2018-19'!N361)+('[1]Actual Expenditure 2018-19'!N410)</f>
        <v>0</v>
      </c>
      <c r="O17" s="23">
        <f>SUM('[1]Actual Expenditure 2018-19'!O21)+('[1]Actual Expenditure 2018-19'!O48)+('[1]Actual Expenditure 2018-19'!O88)+('[1]Actual Expenditure 2018-19'!O119)+('[1]Actual Expenditure 2018-19'!O139)+('[1]Actual Expenditure 2018-19'!O183)+('[1]Actual Expenditure 2018-19'!O204)+('[1]Actual Expenditure 2018-19'!O228)+('[1]Actual Expenditure 2018-19'!O247)+('[1]Actual Expenditure 2018-19'!O269)+('[1]Actual Expenditure 2018-19'!O322)+('[1]Actual Expenditure 2018-19'!O336)+('[1]Actual Expenditure 2018-19'!O361)+('[1]Actual Expenditure 2018-19'!O410)</f>
        <v>0</v>
      </c>
      <c r="P17" s="23">
        <f>SUM('[1]Actual Expenditure 2018-19'!P21)+('[1]Actual Expenditure 2018-19'!P48)+('[1]Actual Expenditure 2018-19'!P88)+('[1]Actual Expenditure 2018-19'!P119)+('[1]Actual Expenditure 2018-19'!P139)+('[1]Actual Expenditure 2018-19'!P183)+('[1]Actual Expenditure 2018-19'!P204)+('[1]Actual Expenditure 2018-19'!P228)+('[1]Actual Expenditure 2018-19'!P247)+('[1]Actual Expenditure 2018-19'!P269)+('[1]Actual Expenditure 2018-19'!P322)+('[1]Actual Expenditure 2018-19'!P336)+('[1]Actual Expenditure 2018-19'!P361)+('[1]Actual Expenditure 2018-19'!P410)</f>
        <v>0</v>
      </c>
      <c r="Q17" s="23">
        <f>SUM('[1]Actual Expenditure 2018-19'!Q21)+('[1]Actual Expenditure 2018-19'!Q48)+('[1]Actual Expenditure 2018-19'!Q88)+('[1]Actual Expenditure 2018-19'!Q119)+('[1]Actual Expenditure 2018-19'!Q139)+('[1]Actual Expenditure 2018-19'!Q183)+('[1]Actual Expenditure 2018-19'!Q204)+('[1]Actual Expenditure 2018-19'!Q228)+('[1]Actual Expenditure 2018-19'!Q247)+('[1]Actual Expenditure 2018-19'!Q269)+('[1]Actual Expenditure 2018-19'!Q322)+('[1]Actual Expenditure 2018-19'!Q336)+('[1]Actual Expenditure 2018-19'!Q361)+('[1]Actual Expenditure 2018-19'!Q410)</f>
        <v>0</v>
      </c>
      <c r="R17" s="23">
        <f>SUM('[1]Actual Expenditure 2018-19'!R21)+('[1]Actual Expenditure 2018-19'!R48)+('[1]Actual Expenditure 2018-19'!R88)+('[1]Actual Expenditure 2018-19'!R119)+('[1]Actual Expenditure 2018-19'!R139)+('[1]Actual Expenditure 2018-19'!R183)+('[1]Actual Expenditure 2018-19'!R204)+('[1]Actual Expenditure 2018-19'!R228)+('[1]Actual Expenditure 2018-19'!R247)+('[1]Actual Expenditure 2018-19'!R269)+('[1]Actual Expenditure 2018-19'!R322)+('[1]Actual Expenditure 2018-19'!R336)+('[1]Actual Expenditure 2018-19'!R361)+('[1]Actual Expenditure 2018-19'!R410)</f>
        <v>0</v>
      </c>
      <c r="S17" s="20" t="e">
        <f>F17/#REF!*100</f>
        <v>#REF!</v>
      </c>
      <c r="T17" s="20" t="e">
        <f>G17/#REF!*100</f>
        <v>#REF!</v>
      </c>
      <c r="U17" s="20" t="e">
        <f>H17/#REF!*100</f>
        <v>#REF!</v>
      </c>
      <c r="V17" s="20" t="e">
        <f>I17/#REF!*100</f>
        <v>#REF!</v>
      </c>
      <c r="W17" s="20" t="e">
        <f>J17/#REF!*100</f>
        <v>#REF!</v>
      </c>
      <c r="X17" s="20">
        <f t="shared" si="20"/>
        <v>0</v>
      </c>
      <c r="Y17" s="20" t="e">
        <f>M17/#REF!*100</f>
        <v>#REF!</v>
      </c>
      <c r="Z17" s="20" t="e">
        <f>N17/#REF!*100</f>
        <v>#REF!</v>
      </c>
      <c r="AA17" s="20" t="e">
        <f>O17/#REF!*100</f>
        <v>#REF!</v>
      </c>
      <c r="AB17" s="20" t="e">
        <f>P17/#REF!*100</f>
        <v>#REF!</v>
      </c>
      <c r="AC17" s="20" t="e">
        <f>Q17/#REF!*100</f>
        <v>#REF!</v>
      </c>
      <c r="AD17" s="20" t="e">
        <f>R17/#REF!*100</f>
        <v>#REF!</v>
      </c>
      <c r="AE17" s="20" t="e">
        <f t="shared" si="0"/>
        <v>#DIV/0!</v>
      </c>
      <c r="AF17" s="20" t="e">
        <f t="shared" si="1"/>
        <v>#DIV/0!</v>
      </c>
      <c r="AG17" s="20" t="e">
        <f t="shared" si="2"/>
        <v>#DIV/0!</v>
      </c>
      <c r="AH17" s="20" t="e">
        <f t="shared" si="3"/>
        <v>#DIV/0!</v>
      </c>
      <c r="AI17" s="23">
        <v>804</v>
      </c>
      <c r="AJ17" s="20">
        <f t="shared" si="4"/>
        <v>1.6080000000000001</v>
      </c>
      <c r="AK17" s="23">
        <v>1986</v>
      </c>
      <c r="AL17" s="20">
        <f t="shared" si="5"/>
        <v>3.972</v>
      </c>
      <c r="AM17" s="23">
        <v>2192</v>
      </c>
      <c r="AN17" s="20">
        <f t="shared" si="6"/>
        <v>4.3839999999999995</v>
      </c>
      <c r="AO17" s="23">
        <v>4023</v>
      </c>
      <c r="AP17" s="20">
        <f t="shared" si="7"/>
        <v>8.0460000000000012</v>
      </c>
      <c r="AQ17" s="49">
        <v>5458</v>
      </c>
      <c r="AR17" s="20">
        <f t="shared" si="8"/>
        <v>10.915999999999999</v>
      </c>
      <c r="AS17" s="23">
        <v>6170</v>
      </c>
      <c r="AT17" s="20">
        <f t="shared" si="9"/>
        <v>12.34</v>
      </c>
      <c r="AU17" s="50">
        <v>7797</v>
      </c>
      <c r="AV17" s="20">
        <f t="shared" si="10"/>
        <v>15.593999999999999</v>
      </c>
      <c r="AW17" s="50">
        <v>8187</v>
      </c>
      <c r="AX17" s="20">
        <f t="shared" si="11"/>
        <v>16.373999999999999</v>
      </c>
      <c r="AY17" s="50">
        <v>9301</v>
      </c>
      <c r="AZ17" s="20">
        <f t="shared" si="12"/>
        <v>18.602</v>
      </c>
      <c r="BA17" s="20">
        <f t="shared" si="13"/>
        <v>18.602</v>
      </c>
      <c r="BB17" s="50">
        <v>10632</v>
      </c>
      <c r="BC17" s="20">
        <f t="shared" si="14"/>
        <v>21.263999999999999</v>
      </c>
      <c r="BD17" s="20">
        <f t="shared" si="15"/>
        <v>21.263999999999999</v>
      </c>
      <c r="BE17" s="50">
        <v>16875</v>
      </c>
      <c r="BF17" s="20">
        <f t="shared" si="16"/>
        <v>33.75</v>
      </c>
      <c r="BG17" s="20">
        <f t="shared" si="17"/>
        <v>33.75</v>
      </c>
      <c r="BH17" s="50">
        <v>0</v>
      </c>
      <c r="BI17" s="20">
        <f t="shared" si="18"/>
        <v>0</v>
      </c>
      <c r="BJ17" s="20">
        <f t="shared" si="19"/>
        <v>0</v>
      </c>
    </row>
    <row r="18" spans="1:62" ht="18">
      <c r="A18" s="23">
        <f>SUM('[1]Actual Expenditure 2018-19'!A22)+('[1]Actual Expenditure 2018-19'!A49)+('[1]Actual Expenditure 2018-19'!A67)+('[1]Actual Expenditure 2018-19'!A89)+('[1]Actual Expenditure 2018-19'!A120)+('[1]Actual Expenditure 2018-19'!A140)+('[1]Actual Expenditure 2018-19'!A184)+('[1]Actual Expenditure 2018-19'!A205)+('[1]Actual Expenditure 2018-19'!A229)+('[1]Actual Expenditure 2018-19'!A248)+('[1]Actual Expenditure 2018-19'!A270)+('[1]Actual Expenditure 2018-19'!A290)+('[1]Actual Expenditure 2018-19'!A306)+('[1]Actual Expenditure 2018-19'!A323)+('[1]Actual Expenditure 2018-19'!A337)+('[1]Actual Expenditure 2018-19'!A362)+('[1]Actual Expenditure 2018-19'!A388)+('[1]Actual Expenditure 2018-19'!A411)</f>
        <v>6300000</v>
      </c>
      <c r="B18" s="23">
        <f>SUM('[1]Actual Expenditure 2018-19'!B22)+('[1]Actual Expenditure 2018-19'!B49)+('[1]Actual Expenditure 2018-19'!B67)+('[1]Actual Expenditure 2018-19'!B89)+('[1]Actual Expenditure 2018-19'!B120)+('[1]Actual Expenditure 2018-19'!B140)+('[1]Actual Expenditure 2018-19'!B184)+('[1]Actual Expenditure 2018-19'!B205)+('[1]Actual Expenditure 2018-19'!B229)+('[1]Actual Expenditure 2018-19'!B248)+('[1]Actual Expenditure 2018-19'!B270)+('[1]Actual Expenditure 2018-19'!B290)+('[1]Actual Expenditure 2018-19'!B306)+('[1]Actual Expenditure 2018-19'!B323)+('[1]Actual Expenditure 2018-19'!B337)+('[1]Actual Expenditure 2018-19'!B362)+('[1]Actual Expenditure 2018-19'!B388)+('[1]Actual Expenditure 2018-19'!B411)</f>
        <v>6300000</v>
      </c>
      <c r="C18" s="9">
        <v>13</v>
      </c>
      <c r="D18" s="23" t="s">
        <v>66</v>
      </c>
      <c r="E18" s="23">
        <f>SUM('[1]Actual Expenditure 2018-19'!F22)+('[1]Actual Expenditure 2018-19'!F49)+('[1]Actual Expenditure 2018-19'!F67)+('[1]Actual Expenditure 2018-19'!F89)+('[1]Actual Expenditure 2018-19'!F120)+('[1]Actual Expenditure 2018-19'!F140)+('[1]Actual Expenditure 2018-19'!F184)+('[1]Actual Expenditure 2018-19'!F205)+('[1]Actual Expenditure 2018-19'!F229)+('[1]Actual Expenditure 2018-19'!F248)+('[1]Actual Expenditure 2018-19'!F270)+('[1]Actual Expenditure 2018-19'!F290)+('[1]Actual Expenditure 2018-19'!F306)+('[1]Actual Expenditure 2018-19'!F323)+('[1]Actual Expenditure 2018-19'!F337)+('[1]Actual Expenditure 2018-19'!F362)+('[1]Actual Expenditure 2018-19'!F388)+('[1]Actual Expenditure 2018-19'!F411)</f>
        <v>0</v>
      </c>
      <c r="F18" s="23">
        <f>SUM('[1]Actual Expenditure 2018-19'!G22)+('[1]Actual Expenditure 2018-19'!G49)+('[1]Actual Expenditure 2018-19'!G67)+('[1]Actual Expenditure 2018-19'!G89)+('[1]Actual Expenditure 2018-19'!G120)+('[1]Actual Expenditure 2018-19'!G140)+('[1]Actual Expenditure 2018-19'!G184)+('[1]Actual Expenditure 2018-19'!G205)+('[1]Actual Expenditure 2018-19'!G229)+('[1]Actual Expenditure 2018-19'!G248)+('[1]Actual Expenditure 2018-19'!G270)+('[1]Actual Expenditure 2018-19'!G290)+('[1]Actual Expenditure 2018-19'!G306)+('[1]Actual Expenditure 2018-19'!G323)+('[1]Actual Expenditure 2018-19'!G337)+('[1]Actual Expenditure 2018-19'!G362)+('[1]Actual Expenditure 2018-19'!G388)+('[1]Actual Expenditure 2018-19'!G411)</f>
        <v>204280</v>
      </c>
      <c r="G18" s="23">
        <f>SUM('[1]Actual Expenditure 2018-19'!H22)+('[1]Actual Expenditure 2018-19'!H49)+('[1]Actual Expenditure 2018-19'!H67)+('[1]Actual Expenditure 2018-19'!H89)+('[1]Actual Expenditure 2018-19'!H120)+('[1]Actual Expenditure 2018-19'!H140)+('[1]Actual Expenditure 2018-19'!H184)+('[1]Actual Expenditure 2018-19'!H205)+('[1]Actual Expenditure 2018-19'!H229)+('[1]Actual Expenditure 2018-19'!H248)+('[1]Actual Expenditure 2018-19'!H270)+('[1]Actual Expenditure 2018-19'!H290)+('[1]Actual Expenditure 2018-19'!H306)+('[1]Actual Expenditure 2018-19'!H323)+('[1]Actual Expenditure 2018-19'!H337)+('[1]Actual Expenditure 2018-19'!H362)+('[1]Actual Expenditure 2018-19'!H388)+('[1]Actual Expenditure 2018-19'!H411)</f>
        <v>0</v>
      </c>
      <c r="H18" s="23">
        <f>SUM('[1]Actual Expenditure 2018-19'!I22)+('[1]Actual Expenditure 2018-19'!I49)+('[1]Actual Expenditure 2018-19'!I67)+('[1]Actual Expenditure 2018-19'!I89)+('[1]Actual Expenditure 2018-19'!I120)+('[1]Actual Expenditure 2018-19'!I140)+('[1]Actual Expenditure 2018-19'!I184)+('[1]Actual Expenditure 2018-19'!I205)+('[1]Actual Expenditure 2018-19'!I229)+('[1]Actual Expenditure 2018-19'!I248)+('[1]Actual Expenditure 2018-19'!I270)+('[1]Actual Expenditure 2018-19'!I290)+('[1]Actual Expenditure 2018-19'!I306)+('[1]Actual Expenditure 2018-19'!I323)+('[1]Actual Expenditure 2018-19'!I337)+('[1]Actual Expenditure 2018-19'!I362)+('[1]Actual Expenditure 2018-19'!I388)+('[1]Actual Expenditure 2018-19'!I411)</f>
        <v>0</v>
      </c>
      <c r="I18" s="23">
        <f>SUM('[1]Actual Expenditure 2018-19'!J22)+('[1]Actual Expenditure 2018-19'!J49)+('[1]Actual Expenditure 2018-19'!J67)+('[1]Actual Expenditure 2018-19'!J89)+('[1]Actual Expenditure 2018-19'!J120)+('[1]Actual Expenditure 2018-19'!J140)+('[1]Actual Expenditure 2018-19'!J184)+('[1]Actual Expenditure 2018-19'!J205)+('[1]Actual Expenditure 2018-19'!J229)+('[1]Actual Expenditure 2018-19'!J248)+('[1]Actual Expenditure 2018-19'!J270)+('[1]Actual Expenditure 2018-19'!J290)+('[1]Actual Expenditure 2018-19'!J306)+('[1]Actual Expenditure 2018-19'!J323)+('[1]Actual Expenditure 2018-19'!J337)+('[1]Actual Expenditure 2018-19'!J362)+('[1]Actual Expenditure 2018-19'!J388)+('[1]Actual Expenditure 2018-19'!J411)</f>
        <v>0</v>
      </c>
      <c r="J18" s="23">
        <f>SUM('[1]Actual Expenditure 2018-19'!K22)+('[1]Actual Expenditure 2018-19'!K49)+('[1]Actual Expenditure 2018-19'!K67)+('[1]Actual Expenditure 2018-19'!K89)+('[1]Actual Expenditure 2018-19'!K120)+('[1]Actual Expenditure 2018-19'!K140)+('[1]Actual Expenditure 2018-19'!K184)+('[1]Actual Expenditure 2018-19'!K205)+('[1]Actual Expenditure 2018-19'!K229)+('[1]Actual Expenditure 2018-19'!K248)+('[1]Actual Expenditure 2018-19'!K270)+('[1]Actual Expenditure 2018-19'!K290)+('[1]Actual Expenditure 2018-19'!K306)+('[1]Actual Expenditure 2018-19'!K323)+('[1]Actual Expenditure 2018-19'!K337)+('[1]Actual Expenditure 2018-19'!K362)+('[1]Actual Expenditure 2018-19'!K388)+('[1]Actual Expenditure 2018-19'!K411)</f>
        <v>2326195</v>
      </c>
      <c r="K18" s="23">
        <v>6552500</v>
      </c>
      <c r="L18" s="51">
        <v>672347</v>
      </c>
      <c r="M18" s="23">
        <f>SUM('[1]Actual Expenditure 2018-19'!M22)+('[1]Actual Expenditure 2018-19'!M49)+('[1]Actual Expenditure 2018-19'!M67)+('[1]Actual Expenditure 2018-19'!M89)+('[1]Actual Expenditure 2018-19'!M120)+('[1]Actual Expenditure 2018-19'!M140)+('[1]Actual Expenditure 2018-19'!M184)+('[1]Actual Expenditure 2018-19'!M205)+('[1]Actual Expenditure 2018-19'!M229)+('[1]Actual Expenditure 2018-19'!M248)+('[1]Actual Expenditure 2018-19'!M270)+('[1]Actual Expenditure 2018-19'!M290)+('[1]Actual Expenditure 2018-19'!M306)+('[1]Actual Expenditure 2018-19'!M323)+('[1]Actual Expenditure 2018-19'!M337)+('[1]Actual Expenditure 2018-19'!M362)+('[1]Actual Expenditure 2018-19'!M388)+('[1]Actual Expenditure 2018-19'!M411)</f>
        <v>0</v>
      </c>
      <c r="N18" s="23">
        <f>SUM('[1]Actual Expenditure 2018-19'!N22)+('[1]Actual Expenditure 2018-19'!N49)+('[1]Actual Expenditure 2018-19'!N67)+('[1]Actual Expenditure 2018-19'!N89)+('[1]Actual Expenditure 2018-19'!N120)+('[1]Actual Expenditure 2018-19'!N140)+('[1]Actual Expenditure 2018-19'!N184)+('[1]Actual Expenditure 2018-19'!N205)+('[1]Actual Expenditure 2018-19'!N229)+('[1]Actual Expenditure 2018-19'!N248)+('[1]Actual Expenditure 2018-19'!N270)+('[1]Actual Expenditure 2018-19'!N290)+('[1]Actual Expenditure 2018-19'!N306)+('[1]Actual Expenditure 2018-19'!N323)+('[1]Actual Expenditure 2018-19'!N337)+('[1]Actual Expenditure 2018-19'!N362)+('[1]Actual Expenditure 2018-19'!N388)+('[1]Actual Expenditure 2018-19'!N411)</f>
        <v>0</v>
      </c>
      <c r="O18" s="23">
        <f>SUM('[1]Actual Expenditure 2018-19'!O22)+('[1]Actual Expenditure 2018-19'!O49)+('[1]Actual Expenditure 2018-19'!O67)+('[1]Actual Expenditure 2018-19'!O89)+('[1]Actual Expenditure 2018-19'!O120)+('[1]Actual Expenditure 2018-19'!O140)+('[1]Actual Expenditure 2018-19'!O184)+('[1]Actual Expenditure 2018-19'!O205)+('[1]Actual Expenditure 2018-19'!O229)+('[1]Actual Expenditure 2018-19'!O248)+('[1]Actual Expenditure 2018-19'!O270)+('[1]Actual Expenditure 2018-19'!O290)+('[1]Actual Expenditure 2018-19'!O306)+('[1]Actual Expenditure 2018-19'!O323)+('[1]Actual Expenditure 2018-19'!O337)+('[1]Actual Expenditure 2018-19'!O362)+('[1]Actual Expenditure 2018-19'!O388)+('[1]Actual Expenditure 2018-19'!O411)</f>
        <v>0</v>
      </c>
      <c r="P18" s="23">
        <f>SUM('[1]Actual Expenditure 2018-19'!P22)+('[1]Actual Expenditure 2018-19'!P49)+('[1]Actual Expenditure 2018-19'!P67)+('[1]Actual Expenditure 2018-19'!P89)+('[1]Actual Expenditure 2018-19'!P120)+('[1]Actual Expenditure 2018-19'!P140)+('[1]Actual Expenditure 2018-19'!P184)+('[1]Actual Expenditure 2018-19'!P205)+('[1]Actual Expenditure 2018-19'!P229)+('[1]Actual Expenditure 2018-19'!P248)+('[1]Actual Expenditure 2018-19'!P270)+('[1]Actual Expenditure 2018-19'!P290)+('[1]Actual Expenditure 2018-19'!P306)+('[1]Actual Expenditure 2018-19'!P323)+('[1]Actual Expenditure 2018-19'!P337)+('[1]Actual Expenditure 2018-19'!P362)+('[1]Actual Expenditure 2018-19'!P388)+('[1]Actual Expenditure 2018-19'!P411)</f>
        <v>0</v>
      </c>
      <c r="Q18" s="23">
        <f>SUM('[1]Actual Expenditure 2018-19'!Q22)+('[1]Actual Expenditure 2018-19'!Q49)+('[1]Actual Expenditure 2018-19'!Q67)+('[1]Actual Expenditure 2018-19'!Q89)+('[1]Actual Expenditure 2018-19'!Q120)+('[1]Actual Expenditure 2018-19'!Q140)+('[1]Actual Expenditure 2018-19'!Q184)+('[1]Actual Expenditure 2018-19'!Q205)+('[1]Actual Expenditure 2018-19'!Q229)+('[1]Actual Expenditure 2018-19'!Q248)+('[1]Actual Expenditure 2018-19'!Q270)+('[1]Actual Expenditure 2018-19'!Q290)+('[1]Actual Expenditure 2018-19'!Q306)+('[1]Actual Expenditure 2018-19'!Q323)+('[1]Actual Expenditure 2018-19'!Q337)+('[1]Actual Expenditure 2018-19'!Q362)+('[1]Actual Expenditure 2018-19'!Q388)+('[1]Actual Expenditure 2018-19'!Q411)</f>
        <v>0</v>
      </c>
      <c r="R18" s="23">
        <f>SUM('[1]Actual Expenditure 2018-19'!R22)+('[1]Actual Expenditure 2018-19'!R49)+('[1]Actual Expenditure 2018-19'!R67)+('[1]Actual Expenditure 2018-19'!R89)+('[1]Actual Expenditure 2018-19'!R120)+('[1]Actual Expenditure 2018-19'!R140)+('[1]Actual Expenditure 2018-19'!R184)+('[1]Actual Expenditure 2018-19'!R205)+('[1]Actual Expenditure 2018-19'!R229)+('[1]Actual Expenditure 2018-19'!R248)+('[1]Actual Expenditure 2018-19'!R270)+('[1]Actual Expenditure 2018-19'!R290)+('[1]Actual Expenditure 2018-19'!R306)+('[1]Actual Expenditure 2018-19'!R323)+('[1]Actual Expenditure 2018-19'!R337)+('[1]Actual Expenditure 2018-19'!R362)+('[1]Actual Expenditure 2018-19'!R388)+('[1]Actual Expenditure 2018-19'!R411)</f>
        <v>0</v>
      </c>
      <c r="S18" s="20" t="e">
        <f>F18/#REF!*100</f>
        <v>#REF!</v>
      </c>
      <c r="T18" s="20" t="e">
        <f>G18/#REF!*100</f>
        <v>#REF!</v>
      </c>
      <c r="U18" s="20" t="e">
        <f>H18/#REF!*100</f>
        <v>#REF!</v>
      </c>
      <c r="V18" s="20" t="e">
        <f>I18/#REF!*100</f>
        <v>#REF!</v>
      </c>
      <c r="W18" s="20" t="e">
        <f>J18/#REF!*100</f>
        <v>#REF!</v>
      </c>
      <c r="X18" s="20">
        <f t="shared" si="20"/>
        <v>10.260923311713087</v>
      </c>
      <c r="Y18" s="20" t="e">
        <f>M18/#REF!*100</f>
        <v>#REF!</v>
      </c>
      <c r="Z18" s="20" t="e">
        <f>N18/#REF!*100</f>
        <v>#REF!</v>
      </c>
      <c r="AA18" s="20" t="e">
        <f>O18/#REF!*100</f>
        <v>#REF!</v>
      </c>
      <c r="AB18" s="20" t="e">
        <f>P18/#REF!*100</f>
        <v>#REF!</v>
      </c>
      <c r="AC18" s="20" t="e">
        <f>Q18/#REF!*100</f>
        <v>#REF!</v>
      </c>
      <c r="AD18" s="20" t="e">
        <f>R18/#REF!*100</f>
        <v>#REF!</v>
      </c>
      <c r="AE18" s="20" t="e">
        <f t="shared" si="0"/>
        <v>#DIV/0!</v>
      </c>
      <c r="AF18" s="20" t="e">
        <f t="shared" si="1"/>
        <v>#DIV/0!</v>
      </c>
      <c r="AG18" s="20" t="e">
        <f t="shared" si="2"/>
        <v>#DIV/0!</v>
      </c>
      <c r="AH18" s="20" t="e">
        <f t="shared" si="3"/>
        <v>#DIV/0!</v>
      </c>
      <c r="AI18" s="23">
        <v>175983</v>
      </c>
      <c r="AJ18" s="20">
        <f t="shared" si="4"/>
        <v>2.7933809523809523</v>
      </c>
      <c r="AK18" s="23">
        <v>552036</v>
      </c>
      <c r="AL18" s="20">
        <f t="shared" si="5"/>
        <v>8.7624761904761908</v>
      </c>
      <c r="AM18" s="23">
        <v>972728</v>
      </c>
      <c r="AN18" s="20">
        <f t="shared" si="6"/>
        <v>15.440126984126984</v>
      </c>
      <c r="AO18" s="23">
        <v>1443492</v>
      </c>
      <c r="AP18" s="20">
        <f t="shared" si="7"/>
        <v>22.912571428571429</v>
      </c>
      <c r="AQ18" s="49">
        <v>1908014</v>
      </c>
      <c r="AR18" s="20">
        <f t="shared" si="8"/>
        <v>30.285936507936505</v>
      </c>
      <c r="AS18" s="23">
        <v>2330782</v>
      </c>
      <c r="AT18" s="20">
        <f t="shared" si="9"/>
        <v>36.996539682539684</v>
      </c>
      <c r="AU18" s="50">
        <v>2794029</v>
      </c>
      <c r="AV18" s="20">
        <f t="shared" si="10"/>
        <v>44.349666666666664</v>
      </c>
      <c r="AW18" s="50">
        <v>3181381</v>
      </c>
      <c r="AX18" s="20">
        <f t="shared" si="11"/>
        <v>50.498111111111108</v>
      </c>
      <c r="AY18" s="50">
        <v>3650004</v>
      </c>
      <c r="AZ18" s="20">
        <f t="shared" si="12"/>
        <v>57.936571428571426</v>
      </c>
      <c r="BA18" s="20">
        <f t="shared" si="13"/>
        <v>57.936571428571426</v>
      </c>
      <c r="BB18" s="50">
        <v>4170412</v>
      </c>
      <c r="BC18" s="20">
        <f t="shared" si="14"/>
        <v>66.197015873015872</v>
      </c>
      <c r="BD18" s="20">
        <f t="shared" si="15"/>
        <v>66.197015873015872</v>
      </c>
      <c r="BE18" s="50">
        <v>4706584</v>
      </c>
      <c r="BF18" s="20">
        <f t="shared" si="16"/>
        <v>74.707682539682537</v>
      </c>
      <c r="BG18" s="20">
        <f t="shared" si="17"/>
        <v>74.707682539682537</v>
      </c>
      <c r="BH18" s="50">
        <v>0</v>
      </c>
      <c r="BI18" s="20">
        <f t="shared" si="18"/>
        <v>0</v>
      </c>
      <c r="BJ18" s="20">
        <f t="shared" si="19"/>
        <v>0</v>
      </c>
    </row>
    <row r="19" spans="1:62" ht="18">
      <c r="A19" s="23">
        <f>SUM('[1]Actual Expenditure 2018-19'!A23)+('[1]Actual Expenditure 2018-19'!A50)+('[1]Actual Expenditure 2018-19'!A90)+('[1]Actual Expenditure 2018-19'!A121)+('[1]Actual Expenditure 2018-19'!A141)+('[1]Actual Expenditure 2018-19'!A185)+('[1]Actual Expenditure 2018-19'!A206)+('[1]Actual Expenditure 2018-19'!A230)+('[1]Actual Expenditure 2018-19'!A249)+('[1]Actual Expenditure 2018-19'!A271)+('[1]Actual Expenditure 2018-19'!A307)+('[1]Actual Expenditure 2018-19'!A324)+('[1]Actual Expenditure 2018-19'!A338)+('[1]Actual Expenditure 2018-19'!A363)+('[1]Actual Expenditure 2018-19'!A389)+('[1]Actual Expenditure 2018-19'!A412)</f>
        <v>4102000</v>
      </c>
      <c r="B19" s="23">
        <f>SUM('[1]Actual Expenditure 2018-19'!B23)+('[1]Actual Expenditure 2018-19'!B50)+('[1]Actual Expenditure 2018-19'!B90)+('[1]Actual Expenditure 2018-19'!B121)+('[1]Actual Expenditure 2018-19'!B141)+('[1]Actual Expenditure 2018-19'!B185)+('[1]Actual Expenditure 2018-19'!B206)+('[1]Actual Expenditure 2018-19'!B230)+('[1]Actual Expenditure 2018-19'!B249)+('[1]Actual Expenditure 2018-19'!B271)+('[1]Actual Expenditure 2018-19'!B307)+('[1]Actual Expenditure 2018-19'!B324)+('[1]Actual Expenditure 2018-19'!B338)+('[1]Actual Expenditure 2018-19'!B363)+('[1]Actual Expenditure 2018-19'!B389)+('[1]Actual Expenditure 2018-19'!B412)</f>
        <v>3729000</v>
      </c>
      <c r="C19" s="9">
        <v>14</v>
      </c>
      <c r="D19" s="23" t="s">
        <v>67</v>
      </c>
      <c r="E19" s="23">
        <f>SUM('[1]Actual Expenditure 2018-19'!F23)+('[1]Actual Expenditure 2018-19'!F50)+('[1]Actual Expenditure 2018-19'!F90)+('[1]Actual Expenditure 2018-19'!F141)+('[1]Actual Expenditure 2018-19'!F185)+('[1]Actual Expenditure 2018-19'!F206)+('[1]Actual Expenditure 2018-19'!F230)+('[1]Actual Expenditure 2018-19'!F249)+('[1]Actual Expenditure 2018-19'!F271)+('[1]Actual Expenditure 2018-19'!F307)+('[1]Actual Expenditure 2018-19'!F324)+('[1]Actual Expenditure 2018-19'!F338)+('[1]Actual Expenditure 2018-19'!F363)+('[1]Actual Expenditure 2018-19'!F389)+('[1]Actual Expenditure 2018-19'!F412)</f>
        <v>0</v>
      </c>
      <c r="F19" s="23">
        <f>SUM('[1]Actual Expenditure 2018-19'!G23)+('[1]Actual Expenditure 2018-19'!G50)+('[1]Actual Expenditure 2018-19'!G90)+('[1]Actual Expenditure 2018-19'!G121)+('[1]Actual Expenditure 2018-19'!G141)+('[1]Actual Expenditure 2018-19'!G185)+('[1]Actual Expenditure 2018-19'!G206)+('[1]Actual Expenditure 2018-19'!G230)+('[1]Actual Expenditure 2018-19'!G249)+('[1]Actual Expenditure 2018-19'!G271)+('[1]Actual Expenditure 2018-19'!G307)+('[1]Actual Expenditure 2018-19'!G324)+('[1]Actual Expenditure 2018-19'!G338)+('[1]Actual Expenditure 2018-19'!G363)+('[1]Actual Expenditure 2018-19'!G389)+('[1]Actual Expenditure 2018-19'!G412)</f>
        <v>135357</v>
      </c>
      <c r="G19" s="23">
        <f>SUM('[1]Actual Expenditure 2018-19'!H23)+('[1]Actual Expenditure 2018-19'!H50)+('[1]Actual Expenditure 2018-19'!H90)+('[1]Actual Expenditure 2018-19'!H121)+('[1]Actual Expenditure 2018-19'!H141)+('[1]Actual Expenditure 2018-19'!H185)+('[1]Actual Expenditure 2018-19'!H206)+('[1]Actual Expenditure 2018-19'!H230)+('[1]Actual Expenditure 2018-19'!H249)+('[1]Actual Expenditure 2018-19'!H271)+('[1]Actual Expenditure 2018-19'!H307)+('[1]Actual Expenditure 2018-19'!H324)+('[1]Actual Expenditure 2018-19'!H338)+('[1]Actual Expenditure 2018-19'!H363)+('[1]Actual Expenditure 2018-19'!H389)+('[1]Actual Expenditure 2018-19'!H412)</f>
        <v>0</v>
      </c>
      <c r="H19" s="23">
        <f>SUM('[1]Actual Expenditure 2018-19'!I23)+('[1]Actual Expenditure 2018-19'!I50)+('[1]Actual Expenditure 2018-19'!I90)+('[1]Actual Expenditure 2018-19'!I141)+('[1]Actual Expenditure 2018-19'!I185)+('[1]Actual Expenditure 2018-19'!I206)+('[1]Actual Expenditure 2018-19'!I230)+('[1]Actual Expenditure 2018-19'!I249)+('[1]Actual Expenditure 2018-19'!I271)+('[1]Actual Expenditure 2018-19'!I307)+('[1]Actual Expenditure 2018-19'!I324)+('[1]Actual Expenditure 2018-19'!I338)+('[1]Actual Expenditure 2018-19'!I363)+('[1]Actual Expenditure 2018-19'!I389)+('[1]Actual Expenditure 2018-19'!I412)</f>
        <v>0</v>
      </c>
      <c r="I19" s="23">
        <f>SUM('[1]Actual Expenditure 2018-19'!J23)+('[1]Actual Expenditure 2018-19'!J50)+('[1]Actual Expenditure 2018-19'!J90)+('[1]Actual Expenditure 2018-19'!J121)+('[1]Actual Expenditure 2018-19'!J141)+('[1]Actual Expenditure 2018-19'!J185)+('[1]Actual Expenditure 2018-19'!J206)+('[1]Actual Expenditure 2018-19'!J230)+('[1]Actual Expenditure 2018-19'!J249)+('[1]Actual Expenditure 2018-19'!J271)+('[1]Actual Expenditure 2018-19'!J307)+('[1]Actual Expenditure 2018-19'!J324)+('[1]Actual Expenditure 2018-19'!J338)+('[1]Actual Expenditure 2018-19'!J363)+('[1]Actual Expenditure 2018-19'!J389)+('[1]Actual Expenditure 2018-19'!J412)</f>
        <v>0</v>
      </c>
      <c r="J19" s="23">
        <f>SUM('[1]Actual Expenditure 2018-19'!K23)+('[1]Actual Expenditure 2018-19'!K50)+('[1]Actual Expenditure 2018-19'!K90)+('[1]Actual Expenditure 2018-19'!K121)+('[1]Actual Expenditure 2018-19'!K141)+('[1]Actual Expenditure 2018-19'!K185)+('[1]Actual Expenditure 2018-19'!K206)+('[1]Actual Expenditure 2018-19'!K230)+('[1]Actual Expenditure 2018-19'!K249)+('[1]Actual Expenditure 2018-19'!K271)+('[1]Actual Expenditure 2018-19'!K307)+('[1]Actual Expenditure 2018-19'!K324)+('[1]Actual Expenditure 2018-19'!K338)+('[1]Actual Expenditure 2018-19'!K363)+('[1]Actual Expenditure 2018-19'!K389)+('[1]Actual Expenditure 2018-19'!K412)</f>
        <v>1338922</v>
      </c>
      <c r="K19" s="23">
        <v>3990000</v>
      </c>
      <c r="L19" s="51">
        <v>269852</v>
      </c>
      <c r="M19" s="23">
        <f>SUM('[1]Actual Expenditure 2018-19'!M23)+('[1]Actual Expenditure 2018-19'!M50)+('[1]Actual Expenditure 2018-19'!M90)+('[1]Actual Expenditure 2018-19'!M121)+('[1]Actual Expenditure 2018-19'!M141)+('[1]Actual Expenditure 2018-19'!M185)+('[1]Actual Expenditure 2018-19'!M206)+('[1]Actual Expenditure 2018-19'!M230)+('[1]Actual Expenditure 2018-19'!M249)+('[1]Actual Expenditure 2018-19'!M271)+('[1]Actual Expenditure 2018-19'!M307)+('[1]Actual Expenditure 2018-19'!M324)+('[1]Actual Expenditure 2018-19'!M338)+('[1]Actual Expenditure 2018-19'!M363)+('[1]Actual Expenditure 2018-19'!M389)+('[1]Actual Expenditure 2018-19'!M412)</f>
        <v>0</v>
      </c>
      <c r="N19" s="23">
        <f>SUM('[1]Actual Expenditure 2018-19'!N23)+('[1]Actual Expenditure 2018-19'!N50)+('[1]Actual Expenditure 2018-19'!N90)+('[1]Actual Expenditure 2018-19'!N121)+('[1]Actual Expenditure 2018-19'!N141)+('[1]Actual Expenditure 2018-19'!N185)+('[1]Actual Expenditure 2018-19'!N206)+('[1]Actual Expenditure 2018-19'!N230)+('[1]Actual Expenditure 2018-19'!N249)+('[1]Actual Expenditure 2018-19'!N271)+('[1]Actual Expenditure 2018-19'!N307)+('[1]Actual Expenditure 2018-19'!N324)+('[1]Actual Expenditure 2018-19'!N338)+('[1]Actual Expenditure 2018-19'!N363)+('[1]Actual Expenditure 2018-19'!N389)+('[1]Actual Expenditure 2018-19'!N412)</f>
        <v>0</v>
      </c>
      <c r="O19" s="23">
        <f>SUM('[1]Actual Expenditure 2018-19'!O23)+('[1]Actual Expenditure 2018-19'!O50)+('[1]Actual Expenditure 2018-19'!O90)+('[1]Actual Expenditure 2018-19'!O121)+('[1]Actual Expenditure 2018-19'!O141)+('[1]Actual Expenditure 2018-19'!O185)+('[1]Actual Expenditure 2018-19'!O206)+('[1]Actual Expenditure 2018-19'!O230)+('[1]Actual Expenditure 2018-19'!O249)+('[1]Actual Expenditure 2018-19'!O271)+('[1]Actual Expenditure 2018-19'!O307)+('[1]Actual Expenditure 2018-19'!O324)+('[1]Actual Expenditure 2018-19'!O338)+('[1]Actual Expenditure 2018-19'!O363)+('[1]Actual Expenditure 2018-19'!O389)+('[1]Actual Expenditure 2018-19'!O412)</f>
        <v>0</v>
      </c>
      <c r="P19" s="23">
        <f>SUM('[1]Actual Expenditure 2018-19'!P23)+('[1]Actual Expenditure 2018-19'!P50)+('[1]Actual Expenditure 2018-19'!P90)+('[1]Actual Expenditure 2018-19'!P121)+('[1]Actual Expenditure 2018-19'!P141)+('[1]Actual Expenditure 2018-19'!P185)+('[1]Actual Expenditure 2018-19'!P206)+('[1]Actual Expenditure 2018-19'!P230)+('[1]Actual Expenditure 2018-19'!P249)+('[1]Actual Expenditure 2018-19'!P271)+('[1]Actual Expenditure 2018-19'!P307)+('[1]Actual Expenditure 2018-19'!P324)+('[1]Actual Expenditure 2018-19'!P338)+('[1]Actual Expenditure 2018-19'!P363)+('[1]Actual Expenditure 2018-19'!P389)+('[1]Actual Expenditure 2018-19'!P412)</f>
        <v>0</v>
      </c>
      <c r="Q19" s="23">
        <f>SUM('[1]Actual Expenditure 2018-19'!Q23)+('[1]Actual Expenditure 2018-19'!Q50)+('[1]Actual Expenditure 2018-19'!Q90)+('[1]Actual Expenditure 2018-19'!Q121)+('[1]Actual Expenditure 2018-19'!Q141)+('[1]Actual Expenditure 2018-19'!Q185)+('[1]Actual Expenditure 2018-19'!Q206)+('[1]Actual Expenditure 2018-19'!Q230)+('[1]Actual Expenditure 2018-19'!Q249)+('[1]Actual Expenditure 2018-19'!Q271)+('[1]Actual Expenditure 2018-19'!Q307)+('[1]Actual Expenditure 2018-19'!Q324)+('[1]Actual Expenditure 2018-19'!Q338)+('[1]Actual Expenditure 2018-19'!Q363)+('[1]Actual Expenditure 2018-19'!Q389)+('[1]Actual Expenditure 2018-19'!Q412)</f>
        <v>0</v>
      </c>
      <c r="R19" s="23">
        <f>SUM('[1]Actual Expenditure 2018-19'!R23)+('[1]Actual Expenditure 2018-19'!R50)+('[1]Actual Expenditure 2018-19'!R90)+('[1]Actual Expenditure 2018-19'!R141)+('[1]Actual Expenditure 2018-19'!R185)+('[1]Actual Expenditure 2018-19'!R206)+('[1]Actual Expenditure 2018-19'!R230)+('[1]Actual Expenditure 2018-19'!R249)+('[1]Actual Expenditure 2018-19'!R271)+('[1]Actual Expenditure 2018-19'!R307)+('[1]Actual Expenditure 2018-19'!R324)+('[1]Actual Expenditure 2018-19'!R338)+('[1]Actual Expenditure 2018-19'!R363)+('[1]Actual Expenditure 2018-19'!R389)+('[1]Actual Expenditure 2018-19'!R412)</f>
        <v>0</v>
      </c>
      <c r="S19" s="20" t="e">
        <f>F19/#REF!*100</f>
        <v>#REF!</v>
      </c>
      <c r="T19" s="20" t="e">
        <f>G19/#REF!*100</f>
        <v>#REF!</v>
      </c>
      <c r="U19" s="20" t="e">
        <f>H19/#REF!*100</f>
        <v>#REF!</v>
      </c>
      <c r="V19" s="20" t="e">
        <f>I19/#REF!*100</f>
        <v>#REF!</v>
      </c>
      <c r="W19" s="20" t="e">
        <f>J19/#REF!*100</f>
        <v>#REF!</v>
      </c>
      <c r="X19" s="20">
        <f t="shared" si="20"/>
        <v>6.7632080200501248</v>
      </c>
      <c r="Y19" s="20" t="e">
        <f>M19/#REF!*100</f>
        <v>#REF!</v>
      </c>
      <c r="Z19" s="20" t="e">
        <f>N19/#REF!*100</f>
        <v>#REF!</v>
      </c>
      <c r="AA19" s="20" t="e">
        <f>O19/#REF!*100</f>
        <v>#REF!</v>
      </c>
      <c r="AB19" s="20" t="e">
        <f>P19/#REF!*100</f>
        <v>#REF!</v>
      </c>
      <c r="AC19" s="20" t="e">
        <f>Q19/#REF!*100</f>
        <v>#REF!</v>
      </c>
      <c r="AD19" s="20" t="e">
        <f>R19/#REF!*100</f>
        <v>#REF!</v>
      </c>
      <c r="AE19" s="20" t="e">
        <f t="shared" si="0"/>
        <v>#DIV/0!</v>
      </c>
      <c r="AF19" s="20" t="e">
        <f t="shared" si="1"/>
        <v>#DIV/0!</v>
      </c>
      <c r="AG19" s="20" t="e">
        <f t="shared" si="2"/>
        <v>#DIV/0!</v>
      </c>
      <c r="AH19" s="20" t="e">
        <f t="shared" si="3"/>
        <v>#DIV/0!</v>
      </c>
      <c r="AI19" s="23">
        <v>49730</v>
      </c>
      <c r="AJ19" s="20">
        <f t="shared" si="4"/>
        <v>1.212335446123842</v>
      </c>
      <c r="AK19" s="23">
        <v>318801</v>
      </c>
      <c r="AL19" s="20">
        <f t="shared" si="5"/>
        <v>7.7718430034129691</v>
      </c>
      <c r="AM19" s="23">
        <v>529283</v>
      </c>
      <c r="AN19" s="20">
        <f t="shared" si="6"/>
        <v>12.903047294002926</v>
      </c>
      <c r="AO19" s="23">
        <v>739017</v>
      </c>
      <c r="AP19" s="20">
        <f t="shared" si="7"/>
        <v>18.016016577279377</v>
      </c>
      <c r="AQ19" s="49">
        <v>984989</v>
      </c>
      <c r="AR19" s="20">
        <f t="shared" si="8"/>
        <v>24.012408581179912</v>
      </c>
      <c r="AS19" s="23">
        <v>1352205</v>
      </c>
      <c r="AT19" s="20">
        <f t="shared" si="9"/>
        <v>32.964529497805948</v>
      </c>
      <c r="AU19" s="50">
        <v>1557912</v>
      </c>
      <c r="AV19" s="20">
        <f t="shared" si="10"/>
        <v>37.979327157484157</v>
      </c>
      <c r="AW19" s="50">
        <v>1814086</v>
      </c>
      <c r="AX19" s="20">
        <f t="shared" si="11"/>
        <v>44.224427108727447</v>
      </c>
      <c r="AY19" s="50">
        <v>2281811</v>
      </c>
      <c r="AZ19" s="20">
        <f t="shared" si="12"/>
        <v>55.626791808873719</v>
      </c>
      <c r="BA19" s="20">
        <f t="shared" si="13"/>
        <v>61.190962724591046</v>
      </c>
      <c r="BB19" s="50">
        <v>2499714</v>
      </c>
      <c r="BC19" s="20">
        <f t="shared" si="14"/>
        <v>60.938907849829349</v>
      </c>
      <c r="BD19" s="20">
        <f t="shared" si="15"/>
        <v>67.034432823813347</v>
      </c>
      <c r="BE19" s="50">
        <v>2840118</v>
      </c>
      <c r="BF19" s="20">
        <f t="shared" si="16"/>
        <v>69.237396392003902</v>
      </c>
      <c r="BG19" s="20">
        <f t="shared" si="17"/>
        <v>76.162992759452948</v>
      </c>
      <c r="BH19" s="50">
        <v>0</v>
      </c>
      <c r="BI19" s="20">
        <f t="shared" si="18"/>
        <v>0</v>
      </c>
      <c r="BJ19" s="20">
        <f t="shared" si="19"/>
        <v>0</v>
      </c>
    </row>
    <row r="20" spans="1:62" ht="18">
      <c r="A20" s="23">
        <f>SUM('[1]Actual Expenditure 2018-19'!A24)+('[1]Actual Expenditure 2018-19'!A91)+('[1]Actual Expenditure 2018-19'!A122)+('[1]Actual Expenditure 2018-19'!A142)+('[1]Actual Expenditure 2018-19'!A186)+('[1]Actual Expenditure 2018-19'!A207)+('[1]Actual Expenditure 2018-19'!A250)+('[1]Actual Expenditure 2018-19'!A272)+('[1]Actual Expenditure 2018-19'!A339)+('[1]Actual Expenditure 2018-19'!A364)</f>
        <v>25000</v>
      </c>
      <c r="B20" s="23">
        <f>SUM('[1]Actual Expenditure 2018-19'!B24)+('[1]Actual Expenditure 2018-19'!B91)+('[1]Actual Expenditure 2018-19'!B122)+('[1]Actual Expenditure 2018-19'!B142)+('[1]Actual Expenditure 2018-19'!B186)+('[1]Actual Expenditure 2018-19'!B207)+('[1]Actual Expenditure 2018-19'!B250)+('[1]Actual Expenditure 2018-19'!B272)+('[1]Actual Expenditure 2018-19'!B339)+('[1]Actual Expenditure 2018-19'!B364)</f>
        <v>25000</v>
      </c>
      <c r="C20" s="9">
        <v>16</v>
      </c>
      <c r="D20" s="23" t="s">
        <v>68</v>
      </c>
      <c r="E20" s="23">
        <f>SUM('[1]Actual Expenditure 2018-19'!F24)+('[1]Actual Expenditure 2018-19'!F91)+('[1]Actual Expenditure 2018-19'!F122)+('[1]Actual Expenditure 2018-19'!F142)+('[1]Actual Expenditure 2018-19'!F186)+('[1]Actual Expenditure 2018-19'!F207)+('[1]Actual Expenditure 2018-19'!F250)+('[1]Actual Expenditure 2018-19'!F272)+('[1]Actual Expenditure 2018-19'!F339)+('[1]Actual Expenditure 2018-19'!F364)</f>
        <v>0</v>
      </c>
      <c r="F20" s="23">
        <f>SUM('[1]Actual Expenditure 2018-19'!G24)+('[1]Actual Expenditure 2018-19'!G91)+('[1]Actual Expenditure 2018-19'!G122)+('[1]Actual Expenditure 2018-19'!G142)+('[1]Actual Expenditure 2018-19'!G186)+('[1]Actual Expenditure 2018-19'!G207)+('[1]Actual Expenditure 2018-19'!G250)+('[1]Actual Expenditure 2018-19'!G272)+('[1]Actual Expenditure 2018-19'!G339)+('[1]Actual Expenditure 2018-19'!G364)</f>
        <v>0</v>
      </c>
      <c r="G20" s="23">
        <f>SUM('[1]Actual Expenditure 2018-19'!H24)+('[1]Actual Expenditure 2018-19'!H91)+('[1]Actual Expenditure 2018-19'!H122)+('[1]Actual Expenditure 2018-19'!H142)+('[1]Actual Expenditure 2018-19'!H186)+('[1]Actual Expenditure 2018-19'!H207)+('[1]Actual Expenditure 2018-19'!H250)+('[1]Actual Expenditure 2018-19'!H272)+('[1]Actual Expenditure 2018-19'!H339)+('[1]Actual Expenditure 2018-19'!H364)</f>
        <v>0</v>
      </c>
      <c r="H20" s="23">
        <f>SUM('[1]Actual Expenditure 2018-19'!I24)+('[1]Actual Expenditure 2018-19'!I91)+('[1]Actual Expenditure 2018-19'!I122)+('[1]Actual Expenditure 2018-19'!I142)+('[1]Actual Expenditure 2018-19'!I186)+('[1]Actual Expenditure 2018-19'!I207)+('[1]Actual Expenditure 2018-19'!I250)+('[1]Actual Expenditure 2018-19'!I272)+('[1]Actual Expenditure 2018-19'!I339)+('[1]Actual Expenditure 2018-19'!I364)</f>
        <v>0</v>
      </c>
      <c r="I20" s="23">
        <f>SUM('[1]Actual Expenditure 2018-19'!J24)+('[1]Actual Expenditure 2018-19'!J91)+('[1]Actual Expenditure 2018-19'!J122)+('[1]Actual Expenditure 2018-19'!J142)+('[1]Actual Expenditure 2018-19'!J186)+('[1]Actual Expenditure 2018-19'!J207)+('[1]Actual Expenditure 2018-19'!J250)+('[1]Actual Expenditure 2018-19'!J272)+('[1]Actual Expenditure 2018-19'!J339)+('[1]Actual Expenditure 2018-19'!J364)</f>
        <v>8</v>
      </c>
      <c r="J20" s="23">
        <f>SUM('[1]Actual Expenditure 2018-19'!K24)+('[1]Actual Expenditure 2018-19'!K91)+('[1]Actual Expenditure 2018-19'!K122)+('[1]Actual Expenditure 2018-19'!K142)+('[1]Actual Expenditure 2018-19'!K186)+('[1]Actual Expenditure 2018-19'!K207)+('[1]Actual Expenditure 2018-19'!K250)+('[1]Actual Expenditure 2018-19'!K272)+('[1]Actual Expenditure 2018-19'!K339)+('[1]Actual Expenditure 2018-19'!K364)</f>
        <v>4408</v>
      </c>
      <c r="K20" s="23">
        <v>30000</v>
      </c>
      <c r="L20" s="51">
        <v>192</v>
      </c>
      <c r="M20" s="23">
        <f>SUM('[1]Actual Expenditure 2018-19'!M24)+('[1]Actual Expenditure 2018-19'!M91)+('[1]Actual Expenditure 2018-19'!M122)+('[1]Actual Expenditure 2018-19'!M142)+('[1]Actual Expenditure 2018-19'!M186)+('[1]Actual Expenditure 2018-19'!M207)+('[1]Actual Expenditure 2018-19'!M250)+('[1]Actual Expenditure 2018-19'!M272)+('[1]Actual Expenditure 2018-19'!M339)+('[1]Actual Expenditure 2018-19'!M364)</f>
        <v>0</v>
      </c>
      <c r="N20" s="23">
        <f>SUM('[1]Actual Expenditure 2018-19'!N24)+('[1]Actual Expenditure 2018-19'!N91)+('[1]Actual Expenditure 2018-19'!N122)+('[1]Actual Expenditure 2018-19'!N142)+('[1]Actual Expenditure 2018-19'!N186)+('[1]Actual Expenditure 2018-19'!N207)+('[1]Actual Expenditure 2018-19'!N250)+('[1]Actual Expenditure 2018-19'!N272)+('[1]Actual Expenditure 2018-19'!N339)+('[1]Actual Expenditure 2018-19'!N364)</f>
        <v>0</v>
      </c>
      <c r="O20" s="23">
        <f>SUM('[1]Actual Expenditure 2018-19'!O24)+('[1]Actual Expenditure 2018-19'!O91)+('[1]Actual Expenditure 2018-19'!O122)+('[1]Actual Expenditure 2018-19'!O142)+('[1]Actual Expenditure 2018-19'!O186)+('[1]Actual Expenditure 2018-19'!O207)+('[1]Actual Expenditure 2018-19'!O250)+('[1]Actual Expenditure 2018-19'!O272)+('[1]Actual Expenditure 2018-19'!O339)+('[1]Actual Expenditure 2018-19'!O364)</f>
        <v>0</v>
      </c>
      <c r="P20" s="23">
        <f>SUM('[1]Actual Expenditure 2018-19'!P24)+('[1]Actual Expenditure 2018-19'!P91)+('[1]Actual Expenditure 2018-19'!P122)+('[1]Actual Expenditure 2018-19'!P142)+('[1]Actual Expenditure 2018-19'!P186)+('[1]Actual Expenditure 2018-19'!P207)+('[1]Actual Expenditure 2018-19'!P250)+('[1]Actual Expenditure 2018-19'!P272)+('[1]Actual Expenditure 2018-19'!P339)+('[1]Actual Expenditure 2018-19'!P364)</f>
        <v>0</v>
      </c>
      <c r="Q20" s="23">
        <f>SUM('[1]Actual Expenditure 2018-19'!Q24)+('[1]Actual Expenditure 2018-19'!Q52)+('[1]Actual Expenditure 2018-19'!Q91)+('[1]Actual Expenditure 2018-19'!Q122)+('[1]Actual Expenditure 2018-19'!Q142)+('[1]Actual Expenditure 2018-19'!Q186)+('[1]Actual Expenditure 2018-19'!Q207)+('[1]Actual Expenditure 2018-19'!Q231)+('[1]Actual Expenditure 2018-19'!Q250)+('[1]Actual Expenditure 2018-19'!Q272)+('[1]Actual Expenditure 2018-19'!Q308)+('[1]Actual Expenditure 2018-19'!Q325)+('[1]Actual Expenditure 2018-19'!Q339)+('[1]Actual Expenditure 2018-19'!Q364)+('[1]Actual Expenditure 2018-19'!Q390)+('[1]Actual Expenditure 2018-19'!Q413)</f>
        <v>0</v>
      </c>
      <c r="R20" s="23">
        <f>SUM('[1]Actual Expenditure 2018-19'!R24)+('[1]Actual Expenditure 2018-19'!R91)+('[1]Actual Expenditure 2018-19'!R122)+('[1]Actual Expenditure 2018-19'!R142)+('[1]Actual Expenditure 2018-19'!R186)+('[1]Actual Expenditure 2018-19'!R207)+('[1]Actual Expenditure 2018-19'!R250)+('[1]Actual Expenditure 2018-19'!R272)+('[1]Actual Expenditure 2018-19'!R339)+('[1]Actual Expenditure 2018-19'!R364)</f>
        <v>0</v>
      </c>
      <c r="S20" s="20" t="e">
        <f>F20/#REF!*100</f>
        <v>#REF!</v>
      </c>
      <c r="T20" s="20" t="e">
        <f>G20/#REF!*100</f>
        <v>#REF!</v>
      </c>
      <c r="U20" s="20" t="e">
        <f>H20/#REF!*100</f>
        <v>#REF!</v>
      </c>
      <c r="V20" s="20" t="e">
        <f>I20/#REF!*100</f>
        <v>#REF!</v>
      </c>
      <c r="W20" s="20" t="e">
        <f>J20/#REF!*100</f>
        <v>#REF!</v>
      </c>
      <c r="X20" s="20">
        <f t="shared" si="20"/>
        <v>0.64</v>
      </c>
      <c r="Y20" s="20" t="e">
        <f>M20/#REF!*100</f>
        <v>#REF!</v>
      </c>
      <c r="Z20" s="20" t="e">
        <f>N20/#REF!*100</f>
        <v>#REF!</v>
      </c>
      <c r="AA20" s="20" t="e">
        <f>O20/#REF!*100</f>
        <v>#REF!</v>
      </c>
      <c r="AB20" s="20" t="e">
        <f>P20/#REF!*100</f>
        <v>#REF!</v>
      </c>
      <c r="AC20" s="20" t="e">
        <f>Q20/#REF!*100</f>
        <v>#REF!</v>
      </c>
      <c r="AD20" s="20" t="e">
        <f>R20/#REF!*100</f>
        <v>#REF!</v>
      </c>
      <c r="AE20" s="20" t="e">
        <f t="shared" si="0"/>
        <v>#DIV/0!</v>
      </c>
      <c r="AF20" s="20" t="e">
        <f t="shared" si="1"/>
        <v>#DIV/0!</v>
      </c>
      <c r="AG20" s="20" t="e">
        <f t="shared" si="2"/>
        <v>#DIV/0!</v>
      </c>
      <c r="AH20" s="20" t="e">
        <f t="shared" si="3"/>
        <v>#DIV/0!</v>
      </c>
      <c r="AI20" s="23">
        <v>117</v>
      </c>
      <c r="AJ20" s="20">
        <f t="shared" si="4"/>
        <v>0.46800000000000003</v>
      </c>
      <c r="AK20" s="23">
        <v>369</v>
      </c>
      <c r="AL20" s="20">
        <f t="shared" si="5"/>
        <v>1.476</v>
      </c>
      <c r="AM20" s="23">
        <v>584</v>
      </c>
      <c r="AN20" s="20">
        <f t="shared" si="6"/>
        <v>2.3359999999999999</v>
      </c>
      <c r="AO20" s="23">
        <v>1141</v>
      </c>
      <c r="AP20" s="20">
        <f t="shared" si="7"/>
        <v>4.5640000000000001</v>
      </c>
      <c r="AQ20" s="49">
        <v>1502</v>
      </c>
      <c r="AR20" s="20">
        <f t="shared" si="8"/>
        <v>6.008</v>
      </c>
      <c r="AS20" s="23">
        <v>3389</v>
      </c>
      <c r="AT20" s="20">
        <f t="shared" si="9"/>
        <v>13.556000000000001</v>
      </c>
      <c r="AU20" s="50">
        <v>4152</v>
      </c>
      <c r="AV20" s="20">
        <f t="shared" si="10"/>
        <v>16.608000000000001</v>
      </c>
      <c r="AW20" s="50">
        <v>4632</v>
      </c>
      <c r="AX20" s="20">
        <f t="shared" si="11"/>
        <v>18.527999999999999</v>
      </c>
      <c r="AY20" s="50">
        <v>4814</v>
      </c>
      <c r="AZ20" s="20">
        <f t="shared" si="12"/>
        <v>19.256</v>
      </c>
      <c r="BA20" s="20">
        <f t="shared" si="13"/>
        <v>19.256</v>
      </c>
      <c r="BB20" s="50">
        <v>5795</v>
      </c>
      <c r="BC20" s="20">
        <f t="shared" si="14"/>
        <v>23.18</v>
      </c>
      <c r="BD20" s="20">
        <f t="shared" si="15"/>
        <v>23.18</v>
      </c>
      <c r="BE20" s="50">
        <v>9319</v>
      </c>
      <c r="BF20" s="20">
        <f t="shared" si="16"/>
        <v>37.275999999999996</v>
      </c>
      <c r="BG20" s="20">
        <f t="shared" si="17"/>
        <v>37.275999999999996</v>
      </c>
      <c r="BH20" s="50">
        <v>0</v>
      </c>
      <c r="BI20" s="20">
        <f t="shared" si="18"/>
        <v>0</v>
      </c>
      <c r="BJ20" s="20">
        <f t="shared" si="19"/>
        <v>0</v>
      </c>
    </row>
    <row r="21" spans="1:62" ht="18">
      <c r="A21" s="23">
        <f>SUM('[1]Actual Expenditure 2018-19'!A25)+('[1]Actual Expenditure 2018-19'!A69)+('[1]Actual Expenditure 2018-19'!A92)+('[1]Actual Expenditure 2018-19'!A143)+('[1]Actual Expenditure 2018-19'!A187)+('[1]Actual Expenditure 2018-19'!A208)+('[1]Actual Expenditure 2018-19'!A251)+('[1]Actual Expenditure 2018-19'!A273)+('[1]Actual Expenditure 2018-19'!A292)+('[1]Actual Expenditure 2018-19'!A340)+('[1]Actual Expenditure 2018-19'!A365)+('[1]Actual Expenditure 2018-19'!A391)</f>
        <v>350000</v>
      </c>
      <c r="B21" s="23">
        <f>SUM('[1]Actual Expenditure 2018-19'!B25)+('[1]Actual Expenditure 2018-19'!B69)+('[1]Actual Expenditure 2018-19'!B92)+('[1]Actual Expenditure 2018-19'!B143)+('[1]Actual Expenditure 2018-19'!B187)+('[1]Actual Expenditure 2018-19'!B208)+('[1]Actual Expenditure 2018-19'!B251)+('[1]Actual Expenditure 2018-19'!B273)+('[1]Actual Expenditure 2018-19'!B292)+('[1]Actual Expenditure 2018-19'!B340)+('[1]Actual Expenditure 2018-19'!B365)+('[1]Actual Expenditure 2018-19'!B391)</f>
        <v>350000</v>
      </c>
      <c r="C21" s="9">
        <v>20</v>
      </c>
      <c r="D21" s="23" t="s">
        <v>69</v>
      </c>
      <c r="E21" s="23">
        <f>SUM('[1]Actual Expenditure 2018-19'!F25)+('[1]Actual Expenditure 2018-19'!F69)+('[1]Actual Expenditure 2018-19'!F92)+('[1]Actual Expenditure 2018-19'!F143)+('[1]Actual Expenditure 2018-19'!F187)+('[1]Actual Expenditure 2018-19'!F208)+('[1]Actual Expenditure 2018-19'!F251)+('[1]Actual Expenditure 2018-19'!F292)+('[1]Actual Expenditure 2018-19'!F340)+('[1]Actual Expenditure 2018-19'!F365)+('[1]Actual Expenditure 2018-19'!F391)</f>
        <v>0</v>
      </c>
      <c r="F21" s="23">
        <f>SUM('[1]Actual Expenditure 2018-19'!G25)+('[1]Actual Expenditure 2018-19'!G51)+('[1]Actual Expenditure 2018-19'!G69)+('[1]Actual Expenditure 2018-19'!G92)+('[1]Actual Expenditure 2018-19'!G143)+('[1]Actual Expenditure 2018-19'!G187)+('[1]Actual Expenditure 2018-19'!G208)+('[1]Actual Expenditure 2018-19'!G251)+('[1]Actual Expenditure 2018-19'!G273)+('[1]Actual Expenditure 2018-19'!G292)+('[1]Actual Expenditure 2018-19'!G340)+('[1]Actual Expenditure 2018-19'!G365)+('[1]Actual Expenditure 2018-19'!G391)</f>
        <v>1361</v>
      </c>
      <c r="G21" s="23">
        <f>SUM('[1]Actual Expenditure 2018-19'!H25)+('[1]Actual Expenditure 2018-19'!H69)+('[1]Actual Expenditure 2018-19'!H92)+('[1]Actual Expenditure 2018-19'!H143)+('[1]Actual Expenditure 2018-19'!H187)+('[1]Actual Expenditure 2018-19'!H208)+('[1]Actual Expenditure 2018-19'!H251)+('[1]Actual Expenditure 2018-19'!H273)+('[1]Actual Expenditure 2018-19'!H292)+('[1]Actual Expenditure 2018-19'!H340)+('[1]Actual Expenditure 2018-19'!H365)+('[1]Actual Expenditure 2018-19'!H391)</f>
        <v>0</v>
      </c>
      <c r="H21" s="23">
        <f>SUM('[1]Actual Expenditure 2018-19'!I25)+('[1]Actual Expenditure 2018-19'!I69)+('[1]Actual Expenditure 2018-19'!I92)+('[1]Actual Expenditure 2018-19'!I143)+('[1]Actual Expenditure 2018-19'!I187)+('[1]Actual Expenditure 2018-19'!I208)+('[1]Actual Expenditure 2018-19'!I251)+('[1]Actual Expenditure 2018-19'!I292)+('[1]Actual Expenditure 2018-19'!I340)+('[1]Actual Expenditure 2018-19'!I365)+('[1]Actual Expenditure 2018-19'!I391)</f>
        <v>0</v>
      </c>
      <c r="I21" s="23">
        <f>SUM('[1]Actual Expenditure 2018-19'!J25)+('[1]Actual Expenditure 2018-19'!J69)+('[1]Actual Expenditure 2018-19'!J92)+('[1]Actual Expenditure 2018-19'!J143)+('[1]Actual Expenditure 2018-19'!J187)+('[1]Actual Expenditure 2018-19'!J208)+('[1]Actual Expenditure 2018-19'!J251)+('[1]Actual Expenditure 2018-19'!J273)+('[1]Actual Expenditure 2018-19'!J292)+('[1]Actual Expenditure 2018-19'!J340)+('[1]Actual Expenditure 2018-19'!J365)+('[1]Actual Expenditure 2018-19'!J391)</f>
        <v>0</v>
      </c>
      <c r="J21" s="23">
        <f>SUM('[1]Actual Expenditure 2018-19'!K25)+('[1]Actual Expenditure 2018-19'!K69)+('[1]Actual Expenditure 2018-19'!K92)+('[1]Actual Expenditure 2018-19'!K143)+('[1]Actual Expenditure 2018-19'!K187)+('[1]Actual Expenditure 2018-19'!K208)+('[1]Actual Expenditure 2018-19'!K251)+('[1]Actual Expenditure 2018-19'!K273)+('[1]Actual Expenditure 2018-19'!K292)+('[1]Actual Expenditure 2018-19'!K340)+('[1]Actual Expenditure 2018-19'!K365)+('[1]Actual Expenditure 2018-19'!K391)</f>
        <v>29737</v>
      </c>
      <c r="K21" s="23">
        <v>300000</v>
      </c>
      <c r="L21" s="51">
        <v>1307</v>
      </c>
      <c r="M21" s="23">
        <f>SUM('[1]Actual Expenditure 2018-19'!M25)+('[1]Actual Expenditure 2018-19'!M69)+('[1]Actual Expenditure 2018-19'!M92)+('[1]Actual Expenditure 2018-19'!M143)+('[1]Actual Expenditure 2018-19'!M187)+('[1]Actual Expenditure 2018-19'!M208)+('[1]Actual Expenditure 2018-19'!M251)+('[1]Actual Expenditure 2018-19'!M273)+('[1]Actual Expenditure 2018-19'!M292)+('[1]Actual Expenditure 2018-19'!M340)+('[1]Actual Expenditure 2018-19'!M365)+('[1]Actual Expenditure 2018-19'!M391)</f>
        <v>0</v>
      </c>
      <c r="N21" s="23">
        <f>SUM('[1]Actual Expenditure 2018-19'!N25)+('[1]Actual Expenditure 2018-19'!N69)+('[1]Actual Expenditure 2018-19'!N92)+('[1]Actual Expenditure 2018-19'!N143)+('[1]Actual Expenditure 2018-19'!N187)+('[1]Actual Expenditure 2018-19'!N208)+('[1]Actual Expenditure 2018-19'!N251)+('[1]Actual Expenditure 2018-19'!N273)+('[1]Actual Expenditure 2018-19'!N292)+('[1]Actual Expenditure 2018-19'!N340)+('[1]Actual Expenditure 2018-19'!N365)+('[1]Actual Expenditure 2018-19'!N391)</f>
        <v>0</v>
      </c>
      <c r="O21" s="23">
        <f>SUM('[1]Actual Expenditure 2018-19'!O25)+('[1]Actual Expenditure 2018-19'!O69)+('[1]Actual Expenditure 2018-19'!O92)+('[1]Actual Expenditure 2018-19'!O143)+('[1]Actual Expenditure 2018-19'!O187)+('[1]Actual Expenditure 2018-19'!O208)+('[1]Actual Expenditure 2018-19'!O251)+('[1]Actual Expenditure 2018-19'!O273)+('[1]Actual Expenditure 2018-19'!O292)+('[1]Actual Expenditure 2018-19'!O340)+('[1]Actual Expenditure 2018-19'!O365)+('[1]Actual Expenditure 2018-19'!O391)</f>
        <v>0</v>
      </c>
      <c r="P21" s="23">
        <f>SUM('[1]Actual Expenditure 2018-19'!P25)+('[1]Actual Expenditure 2018-19'!P69)+('[1]Actual Expenditure 2018-19'!P92)+('[1]Actual Expenditure 2018-19'!P143)+('[1]Actual Expenditure 2018-19'!P187)+('[1]Actual Expenditure 2018-19'!P208)+('[1]Actual Expenditure 2018-19'!P251)+('[1]Actual Expenditure 2018-19'!P273)+('[1]Actual Expenditure 2018-19'!P292)+('[1]Actual Expenditure 2018-19'!P340)+('[1]Actual Expenditure 2018-19'!P365)+('[1]Actual Expenditure 2018-19'!P391)</f>
        <v>0</v>
      </c>
      <c r="Q21" s="23">
        <f>SUM('[1]Actual Expenditure 2018-19'!Q25)+('[1]Actual Expenditure 2018-19'!Q69)+('[1]Actual Expenditure 2018-19'!Q92)+('[1]Actual Expenditure 2018-19'!Q143)+('[1]Actual Expenditure 2018-19'!Q187)+('[1]Actual Expenditure 2018-19'!Q208)+('[1]Actual Expenditure 2018-19'!Q251)+('[1]Actual Expenditure 2018-19'!Q273)+('[1]Actual Expenditure 2018-19'!Q292)+('[1]Actual Expenditure 2018-19'!Q340)+('[1]Actual Expenditure 2018-19'!Q365)+('[1]Actual Expenditure 2018-19'!Q391)</f>
        <v>0</v>
      </c>
      <c r="R21" s="23">
        <f>SUM('[1]Actual Expenditure 2018-19'!R25)+('[1]Actual Expenditure 2018-19'!R69)+('[1]Actual Expenditure 2018-19'!R92)+('[1]Actual Expenditure 2018-19'!R143)+('[1]Actual Expenditure 2018-19'!R187)+('[1]Actual Expenditure 2018-19'!R208)+('[1]Actual Expenditure 2018-19'!R251)+('[1]Actual Expenditure 2018-19'!R292)+('[1]Actual Expenditure 2018-19'!R340)+('[1]Actual Expenditure 2018-19'!R365)+('[1]Actual Expenditure 2018-19'!R391)</f>
        <v>0</v>
      </c>
      <c r="S21" s="20" t="e">
        <f>F21/#REF!*100</f>
        <v>#REF!</v>
      </c>
      <c r="T21" s="20" t="e">
        <f>G21/#REF!*100</f>
        <v>#REF!</v>
      </c>
      <c r="U21" s="20" t="e">
        <f>H21/#REF!*100</f>
        <v>#REF!</v>
      </c>
      <c r="V21" s="20" t="e">
        <f>I21/#REF!*100</f>
        <v>#REF!</v>
      </c>
      <c r="W21" s="20" t="e">
        <f>J21/#REF!*100</f>
        <v>#REF!</v>
      </c>
      <c r="X21" s="20">
        <f t="shared" si="20"/>
        <v>0.43566666666666665</v>
      </c>
      <c r="Y21" s="20" t="e">
        <f>M21/#REF!*100</f>
        <v>#REF!</v>
      </c>
      <c r="Z21" s="20" t="e">
        <f>N21/#REF!*100</f>
        <v>#REF!</v>
      </c>
      <c r="AA21" s="20" t="e">
        <f>O21/#REF!*100</f>
        <v>#REF!</v>
      </c>
      <c r="AB21" s="20" t="e">
        <f>P21/#REF!*100</f>
        <v>#REF!</v>
      </c>
      <c r="AC21" s="20" t="e">
        <f>Q21/#REF!*100</f>
        <v>#REF!</v>
      </c>
      <c r="AD21" s="20" t="e">
        <f>R21/#REF!*100</f>
        <v>#REF!</v>
      </c>
      <c r="AE21" s="20" t="e">
        <f t="shared" si="0"/>
        <v>#DIV/0!</v>
      </c>
      <c r="AF21" s="20" t="e">
        <f t="shared" si="1"/>
        <v>#DIV/0!</v>
      </c>
      <c r="AG21" s="20" t="e">
        <f t="shared" si="2"/>
        <v>#DIV/0!</v>
      </c>
      <c r="AH21" s="20" t="e">
        <f t="shared" si="3"/>
        <v>#DIV/0!</v>
      </c>
      <c r="AI21" s="23">
        <v>2043</v>
      </c>
      <c r="AJ21" s="20">
        <f t="shared" si="4"/>
        <v>0.58371428571428563</v>
      </c>
      <c r="AK21" s="23">
        <v>9222</v>
      </c>
      <c r="AL21" s="20">
        <f t="shared" si="5"/>
        <v>2.6348571428571428</v>
      </c>
      <c r="AM21" s="23">
        <v>14886</v>
      </c>
      <c r="AN21" s="20">
        <f t="shared" si="6"/>
        <v>4.2531428571428576</v>
      </c>
      <c r="AO21" s="23">
        <v>21110</v>
      </c>
      <c r="AP21" s="20">
        <f t="shared" si="7"/>
        <v>6.031428571428572</v>
      </c>
      <c r="AQ21" s="49">
        <v>31043</v>
      </c>
      <c r="AR21" s="20">
        <f t="shared" si="8"/>
        <v>8.8694285714285712</v>
      </c>
      <c r="AS21" s="23">
        <v>42218</v>
      </c>
      <c r="AT21" s="20">
        <f t="shared" si="9"/>
        <v>12.062285714285714</v>
      </c>
      <c r="AU21" s="50">
        <v>72933</v>
      </c>
      <c r="AV21" s="20">
        <f t="shared" si="10"/>
        <v>20.838000000000001</v>
      </c>
      <c r="AW21" s="50">
        <v>90870</v>
      </c>
      <c r="AX21" s="20">
        <f t="shared" si="11"/>
        <v>25.962857142857143</v>
      </c>
      <c r="AY21" s="50">
        <v>97738</v>
      </c>
      <c r="AZ21" s="20">
        <f t="shared" si="12"/>
        <v>27.925142857142859</v>
      </c>
      <c r="BA21" s="20">
        <f t="shared" si="13"/>
        <v>27.925142857142859</v>
      </c>
      <c r="BB21" s="50">
        <v>190736</v>
      </c>
      <c r="BC21" s="20">
        <f t="shared" si="14"/>
        <v>54.496000000000002</v>
      </c>
      <c r="BD21" s="20">
        <f t="shared" si="15"/>
        <v>54.496000000000002</v>
      </c>
      <c r="BE21" s="50">
        <v>205999</v>
      </c>
      <c r="BF21" s="20">
        <f t="shared" si="16"/>
        <v>58.856857142857145</v>
      </c>
      <c r="BG21" s="20">
        <f t="shared" si="17"/>
        <v>58.856857142857145</v>
      </c>
      <c r="BH21" s="50">
        <v>0</v>
      </c>
      <c r="BI21" s="20">
        <f t="shared" si="18"/>
        <v>0</v>
      </c>
      <c r="BJ21" s="20">
        <f t="shared" si="19"/>
        <v>0</v>
      </c>
    </row>
    <row r="22" spans="1:62" ht="18">
      <c r="A22" s="23">
        <f>SUM('[1]Actual Expenditure 2018-19'!A209)+SUM('[1]Actual Expenditure 2018-19'!A252)+SUM('[1]Actual Expenditure 2018-19'!A274)+SUM('[1]Actual Expenditure 2018-19'!A341)+SUM('[1]Actual Expenditure 2018-19'!A366)</f>
        <v>1700000</v>
      </c>
      <c r="B22" s="23">
        <f>SUM('[1]Actual Expenditure 2018-19'!B209)+SUM('[1]Actual Expenditure 2018-19'!B252)+SUM('[1]Actual Expenditure 2018-19'!B274)+SUM('[1]Actual Expenditure 2018-19'!B341)+SUM('[1]Actual Expenditure 2018-19'!B366)</f>
        <v>1250000</v>
      </c>
      <c r="C22" s="9">
        <v>26</v>
      </c>
      <c r="D22" s="23" t="s">
        <v>70</v>
      </c>
      <c r="E22" s="23">
        <f>SUM('[1]Actual Expenditure 2018-19'!F209)+('[1]Actual Expenditure 2018-19'!F252)+('[1]Actual Expenditure 2018-19'!F274)+('[1]Actual Expenditure 2018-19'!F341)+SUM('[1]Actual Expenditure 2018-19'!F366)</f>
        <v>0</v>
      </c>
      <c r="F22" s="23">
        <f>SUM('[1]Actual Expenditure 2018-19'!G209)+('[1]Actual Expenditure 2018-19'!G252)+('[1]Actual Expenditure 2018-19'!G274)+('[1]Actual Expenditure 2018-19'!G341)+SUM('[1]Actual Expenditure 2018-19'!G366)</f>
        <v>297</v>
      </c>
      <c r="G22" s="23">
        <f>SUM('[1]Actual Expenditure 2018-19'!H209)+('[1]Actual Expenditure 2018-19'!H252)+('[1]Actual Expenditure 2018-19'!H274)+('[1]Actual Expenditure 2018-19'!H341)+SUM('[1]Actual Expenditure 2018-19'!H366)</f>
        <v>0</v>
      </c>
      <c r="H22" s="23">
        <f>SUM('[1]Actual Expenditure 2018-19'!I209)+('[1]Actual Expenditure 2018-19'!I252)+('[1]Actual Expenditure 2018-19'!I274)+('[1]Actual Expenditure 2018-19'!I341)+SUM('[1]Actual Expenditure 2018-19'!I366)</f>
        <v>0</v>
      </c>
      <c r="I22" s="23">
        <f>SUM('[1]Actual Expenditure 2018-19'!J209)+('[1]Actual Expenditure 2018-19'!J252)+('[1]Actual Expenditure 2018-19'!J274)+('[1]Actual Expenditure 2018-19'!J341)+SUM('[1]Actual Expenditure 2018-19'!J366)</f>
        <v>0</v>
      </c>
      <c r="J22" s="23">
        <f>SUM('[1]Actual Expenditure 2018-19'!K209)+('[1]Actual Expenditure 2018-19'!K252)+('[1]Actual Expenditure 2018-19'!K274)+('[1]Actual Expenditure 2018-19'!K341)+SUM('[1]Actual Expenditure 2018-19'!K366)</f>
        <v>5113</v>
      </c>
      <c r="K22" s="23">
        <v>1050000</v>
      </c>
      <c r="L22" s="51">
        <v>75</v>
      </c>
      <c r="M22" s="23">
        <f>SUM('[1]Actual Expenditure 2018-19'!M209)+('[1]Actual Expenditure 2018-19'!M252)+('[1]Actual Expenditure 2018-19'!M274)+('[1]Actual Expenditure 2018-19'!M341)+SUM('[1]Actual Expenditure 2018-19'!M366)</f>
        <v>0</v>
      </c>
      <c r="N22" s="23">
        <f>SUM('[1]Actual Expenditure 2018-19'!N209)+('[1]Actual Expenditure 2018-19'!N252)+('[1]Actual Expenditure 2018-19'!N274)+('[1]Actual Expenditure 2018-19'!N341)+SUM('[1]Actual Expenditure 2018-19'!N366)</f>
        <v>0</v>
      </c>
      <c r="O22" s="23">
        <f>SUM('[1]Actual Expenditure 2018-19'!O209)+('[1]Actual Expenditure 2018-19'!O252)+('[1]Actual Expenditure 2018-19'!O274)+('[1]Actual Expenditure 2018-19'!O341)+SUM('[1]Actual Expenditure 2018-19'!O366)</f>
        <v>0</v>
      </c>
      <c r="P22" s="23">
        <f>SUM('[1]Actual Expenditure 2018-19'!P209)+('[1]Actual Expenditure 2018-19'!P252)+('[1]Actual Expenditure 2018-19'!P274)+('[1]Actual Expenditure 2018-19'!P341)+SUM('[1]Actual Expenditure 2018-19'!P366)</f>
        <v>0</v>
      </c>
      <c r="Q22" s="23">
        <f>SUM('[1]Actual Expenditure 2018-19'!Q209)+('[1]Actual Expenditure 2018-19'!Q252)+('[1]Actual Expenditure 2018-19'!Q274)+('[1]Actual Expenditure 2018-19'!Q341)+SUM('[1]Actual Expenditure 2018-19'!Q366)</f>
        <v>0</v>
      </c>
      <c r="R22" s="23">
        <f>SUM('[1]Actual Expenditure 2018-19'!R209)+('[1]Actual Expenditure 2018-19'!R252)+('[1]Actual Expenditure 2018-19'!R274)+('[1]Actual Expenditure 2018-19'!R341)+SUM('[1]Actual Expenditure 2018-19'!R366)</f>
        <v>0</v>
      </c>
      <c r="S22" s="20" t="e">
        <f>F22/#REF!*100</f>
        <v>#REF!</v>
      </c>
      <c r="T22" s="20" t="e">
        <f>G22/#REF!*100</f>
        <v>#REF!</v>
      </c>
      <c r="U22" s="20" t="e">
        <f>H22/#REF!*100</f>
        <v>#REF!</v>
      </c>
      <c r="V22" s="20" t="e">
        <f>I22/#REF!*100</f>
        <v>#REF!</v>
      </c>
      <c r="W22" s="20" t="e">
        <f>J22/#REF!*100</f>
        <v>#REF!</v>
      </c>
      <c r="X22" s="20">
        <f t="shared" si="20"/>
        <v>7.1428571428571435E-3</v>
      </c>
      <c r="Y22" s="20" t="e">
        <f>M22/#REF!*100</f>
        <v>#REF!</v>
      </c>
      <c r="Z22" s="20" t="e">
        <f>N22/#REF!*100</f>
        <v>#REF!</v>
      </c>
      <c r="AA22" s="20" t="e">
        <f>O22/#REF!*100</f>
        <v>#REF!</v>
      </c>
      <c r="AB22" s="20" t="e">
        <f>P22/#REF!*100</f>
        <v>#REF!</v>
      </c>
      <c r="AC22" s="20" t="e">
        <f>Q22/#REF!*100</f>
        <v>#REF!</v>
      </c>
      <c r="AD22" s="20" t="e">
        <f>R22/#REF!*100</f>
        <v>#REF!</v>
      </c>
      <c r="AE22" s="20" t="e">
        <f t="shared" si="0"/>
        <v>#DIV/0!</v>
      </c>
      <c r="AF22" s="20" t="e">
        <f t="shared" si="1"/>
        <v>#DIV/0!</v>
      </c>
      <c r="AG22" s="20" t="e">
        <f t="shared" si="2"/>
        <v>#DIV/0!</v>
      </c>
      <c r="AH22" s="20" t="e">
        <f t="shared" si="3"/>
        <v>#DIV/0!</v>
      </c>
      <c r="AI22" s="23">
        <v>650</v>
      </c>
      <c r="AJ22" s="20">
        <f t="shared" si="4"/>
        <v>3.8235294117647062E-2</v>
      </c>
      <c r="AK22" s="23">
        <v>1843</v>
      </c>
      <c r="AL22" s="20">
        <f t="shared" si="5"/>
        <v>0.10841176470588235</v>
      </c>
      <c r="AM22" s="23">
        <v>3337</v>
      </c>
      <c r="AN22" s="20">
        <f t="shared" si="6"/>
        <v>0.19629411764705884</v>
      </c>
      <c r="AO22" s="23">
        <v>25960</v>
      </c>
      <c r="AP22" s="20">
        <f t="shared" si="7"/>
        <v>1.5270588235294118</v>
      </c>
      <c r="AQ22" s="49">
        <v>140765</v>
      </c>
      <c r="AR22" s="20">
        <f t="shared" si="8"/>
        <v>8.2802941176470597</v>
      </c>
      <c r="AS22" s="23">
        <v>174796</v>
      </c>
      <c r="AT22" s="20">
        <f t="shared" si="9"/>
        <v>10.282117647058824</v>
      </c>
      <c r="AU22" s="50">
        <v>270629</v>
      </c>
      <c r="AV22" s="20">
        <f t="shared" si="10"/>
        <v>15.91935294117647</v>
      </c>
      <c r="AW22" s="50">
        <v>342586</v>
      </c>
      <c r="AX22" s="20">
        <f t="shared" si="11"/>
        <v>20.152117647058823</v>
      </c>
      <c r="AY22" s="50">
        <v>582189</v>
      </c>
      <c r="AZ22" s="20">
        <f t="shared" si="12"/>
        <v>34.246411764705883</v>
      </c>
      <c r="BA22" s="20">
        <f t="shared" si="13"/>
        <v>46.575119999999998</v>
      </c>
      <c r="BB22" s="50">
        <v>616719</v>
      </c>
      <c r="BC22" s="20">
        <f t="shared" si="14"/>
        <v>36.277588235294118</v>
      </c>
      <c r="BD22" s="20">
        <f t="shared" si="15"/>
        <v>49.337519999999998</v>
      </c>
      <c r="BE22" s="50">
        <v>695365</v>
      </c>
      <c r="BF22" s="20">
        <f t="shared" si="16"/>
        <v>40.903823529411767</v>
      </c>
      <c r="BG22" s="20">
        <f t="shared" si="17"/>
        <v>55.629199999999997</v>
      </c>
      <c r="BH22" s="50">
        <v>0</v>
      </c>
      <c r="BI22" s="20">
        <f t="shared" si="18"/>
        <v>0</v>
      </c>
      <c r="BJ22" s="20">
        <f t="shared" si="19"/>
        <v>0</v>
      </c>
    </row>
    <row r="23" spans="1:62" ht="18">
      <c r="A23" s="23">
        <f>SUM('[1]Actual Expenditure 2018-19'!A26)+('[1]Actual Expenditure 2018-19'!A52)+('[1]Actual Expenditure 2018-19'!A93)+('[1]Actual Expenditure 2018-19'!A123)+('[1]Actual Expenditure 2018-19'!A144)+('[1]Actual Expenditure 2018-19'!A427)+('[1]Actual Expenditure 2018-19'!A456)</f>
        <v>700000</v>
      </c>
      <c r="B23" s="23">
        <f>SUM('[1]Actual Expenditure 2018-19'!B26)+('[1]Actual Expenditure 2018-19'!B52)+('[1]Actual Expenditure 2018-19'!B93)+('[1]Actual Expenditure 2018-19'!B123)+('[1]Actual Expenditure 2018-19'!B144)+('[1]Actual Expenditure 2018-19'!B427)+('[1]Actual Expenditure 2018-19'!B456)</f>
        <v>766000</v>
      </c>
      <c r="C23" s="9">
        <v>27</v>
      </c>
      <c r="D23" s="23" t="s">
        <v>71</v>
      </c>
      <c r="E23" s="23">
        <f>SUM('[1]Actual Expenditure 2018-19'!F26)+('[1]Actual Expenditure 2018-19'!F93)+('[1]Actual Expenditure 2018-19'!F144)+('[1]Actual Expenditure 2018-19'!F427)+('[1]Actual Expenditure 2018-19'!F456)</f>
        <v>0</v>
      </c>
      <c r="F23" s="23">
        <f>SUM('[1]Actual Expenditure 2018-19'!G26)+('[1]Actual Expenditure 2018-19'!G52)+('[1]Actual Expenditure 2018-19'!G93)+('[1]Actual Expenditure 2018-19'!G123)+('[1]Actual Expenditure 2018-19'!G144)+('[1]Actual Expenditure 2018-19'!G427)+('[1]Actual Expenditure 2018-19'!G456)</f>
        <v>577</v>
      </c>
      <c r="G23" s="23">
        <f>SUM('[1]Actual Expenditure 2018-19'!H26)+('[1]Actual Expenditure 2018-19'!H52)+('[1]Actual Expenditure 2018-19'!H93)+('[1]Actual Expenditure 2018-19'!H123)+('[1]Actual Expenditure 2018-19'!H144)+('[1]Actual Expenditure 2018-19'!H427)+('[1]Actual Expenditure 2018-19'!H456)</f>
        <v>0</v>
      </c>
      <c r="H23" s="23">
        <f>SUM('[1]Actual Expenditure 2018-19'!I26)+('[1]Actual Expenditure 2018-19'!I52)+('[1]Actual Expenditure 2018-19'!I93)+('[1]Actual Expenditure 2018-19'!I123)+('[1]Actual Expenditure 2018-19'!I144)+('[1]Actual Expenditure 2018-19'!I427)+('[1]Actual Expenditure 2018-19'!I456)</f>
        <v>0</v>
      </c>
      <c r="I23" s="23">
        <f>SUM('[1]Actual Expenditure 2018-19'!J26)+('[1]Actual Expenditure 2018-19'!J52)+('[1]Actual Expenditure 2018-19'!J93)+('[1]Actual Expenditure 2018-19'!J123)+('[1]Actual Expenditure 2018-19'!J144)+('[1]Actual Expenditure 2018-19'!J427)+('[1]Actual Expenditure 2018-19'!J456)</f>
        <v>0</v>
      </c>
      <c r="J23" s="23">
        <f>SUM('[1]Actual Expenditure 2018-19'!K26)+('[1]Actual Expenditure 2018-19'!K52)+('[1]Actual Expenditure 2018-19'!K93)+('[1]Actual Expenditure 2018-19'!K123)+('[1]Actual Expenditure 2018-19'!K144)+('[1]Actual Expenditure 2018-19'!K427)+('[1]Actual Expenditure 2018-19'!K456)</f>
        <v>19077</v>
      </c>
      <c r="K23" s="23">
        <v>950000</v>
      </c>
      <c r="L23" s="51">
        <v>758</v>
      </c>
      <c r="M23" s="23">
        <f>SUM('[1]Actual Expenditure 2018-19'!M26)+('[1]Actual Expenditure 2018-19'!M52)+('[1]Actual Expenditure 2018-19'!M93)+('[1]Actual Expenditure 2018-19'!M123)+('[1]Actual Expenditure 2018-19'!M144)+('[1]Actual Expenditure 2018-19'!M427)+('[1]Actual Expenditure 2018-19'!M456)</f>
        <v>0</v>
      </c>
      <c r="N23" s="23">
        <f>SUM('[1]Actual Expenditure 2018-19'!N26)+('[1]Actual Expenditure 2018-19'!N52)+('[1]Actual Expenditure 2018-19'!N93)+('[1]Actual Expenditure 2018-19'!N123)+('[1]Actual Expenditure 2018-19'!N144)+('[1]Actual Expenditure 2018-19'!N427)+('[1]Actual Expenditure 2018-19'!N456)</f>
        <v>0</v>
      </c>
      <c r="O23" s="23">
        <f>SUM('[1]Actual Expenditure 2018-19'!O26)+('[1]Actual Expenditure 2018-19'!O52)+('[1]Actual Expenditure 2018-19'!O93)+('[1]Actual Expenditure 2018-19'!O123)+('[1]Actual Expenditure 2018-19'!O144)+('[1]Actual Expenditure 2018-19'!O427)+('[1]Actual Expenditure 2018-19'!O456)</f>
        <v>0</v>
      </c>
      <c r="P23" s="23">
        <f>SUM('[1]Actual Expenditure 2018-19'!P26)+('[1]Actual Expenditure 2018-19'!P52)+('[1]Actual Expenditure 2018-19'!P93)+('[1]Actual Expenditure 2018-19'!P123)+('[1]Actual Expenditure 2018-19'!P144)+('[1]Actual Expenditure 2018-19'!P427)+('[1]Actual Expenditure 2018-19'!P456)</f>
        <v>0</v>
      </c>
      <c r="Q23" s="23">
        <f>SUM('[1]Actual Expenditure 2018-19'!Q26)+('[1]Actual Expenditure 2018-19'!Q52)+('[1]Actual Expenditure 2018-19'!Q93)+('[1]Actual Expenditure 2018-19'!Q123)+('[1]Actual Expenditure 2018-19'!Q144)+('[1]Actual Expenditure 2018-19'!Q427)+('[1]Actual Expenditure 2018-19'!Q456)</f>
        <v>0</v>
      </c>
      <c r="R23" s="23">
        <f>SUM('[1]Actual Expenditure 2018-19'!R26)+('[1]Actual Expenditure 2018-19'!R52)+('[1]Actual Expenditure 2018-19'!R93)+('[1]Actual Expenditure 2018-19'!R144)+('[1]Actual Expenditure 2018-19'!R427)+('[1]Actual Expenditure 2018-19'!R456)</f>
        <v>0</v>
      </c>
      <c r="S23" s="20" t="e">
        <f>F23/#REF!*100</f>
        <v>#REF!</v>
      </c>
      <c r="T23" s="20" t="e">
        <f>G23/#REF!*100</f>
        <v>#REF!</v>
      </c>
      <c r="U23" s="20" t="e">
        <f>H23/#REF!*100</f>
        <v>#REF!</v>
      </c>
      <c r="V23" s="20" t="e">
        <f>I23/#REF!*100</f>
        <v>#REF!</v>
      </c>
      <c r="W23" s="20" t="e">
        <f>J23/#REF!*100</f>
        <v>#REF!</v>
      </c>
      <c r="X23" s="20">
        <f t="shared" si="20"/>
        <v>7.9789473684210535E-2</v>
      </c>
      <c r="Y23" s="20" t="e">
        <f>M23/#REF!*100</f>
        <v>#REF!</v>
      </c>
      <c r="Z23" s="20" t="e">
        <f>N23/#REF!*100</f>
        <v>#REF!</v>
      </c>
      <c r="AA23" s="20" t="e">
        <f>O23/#REF!*100</f>
        <v>#REF!</v>
      </c>
      <c r="AB23" s="20" t="e">
        <f>P23/#REF!*100</f>
        <v>#REF!</v>
      </c>
      <c r="AC23" s="20" t="e">
        <f>Q23/#REF!*100</f>
        <v>#REF!</v>
      </c>
      <c r="AD23" s="20" t="e">
        <f>R23/#REF!*100</f>
        <v>#REF!</v>
      </c>
      <c r="AE23" s="20" t="e">
        <f t="shared" si="0"/>
        <v>#DIV/0!</v>
      </c>
      <c r="AF23" s="20" t="e">
        <f t="shared" si="1"/>
        <v>#DIV/0!</v>
      </c>
      <c r="AG23" s="20" t="e">
        <f t="shared" si="2"/>
        <v>#DIV/0!</v>
      </c>
      <c r="AH23" s="20" t="e">
        <f t="shared" si="3"/>
        <v>#DIV/0!</v>
      </c>
      <c r="AI23" s="23">
        <v>1421</v>
      </c>
      <c r="AJ23" s="20">
        <f t="shared" si="4"/>
        <v>0.20300000000000001</v>
      </c>
      <c r="AK23" s="23">
        <v>3162</v>
      </c>
      <c r="AL23" s="20">
        <f t="shared" si="5"/>
        <v>0.45171428571428568</v>
      </c>
      <c r="AM23" s="23">
        <v>4562</v>
      </c>
      <c r="AN23" s="20">
        <f t="shared" si="6"/>
        <v>0.65171428571428569</v>
      </c>
      <c r="AO23" s="23">
        <v>35492</v>
      </c>
      <c r="AP23" s="20">
        <f t="shared" si="7"/>
        <v>5.0702857142857143</v>
      </c>
      <c r="AQ23" s="49">
        <v>119474</v>
      </c>
      <c r="AR23" s="20">
        <f t="shared" si="8"/>
        <v>17.067714285714285</v>
      </c>
      <c r="AS23" s="23">
        <v>127528</v>
      </c>
      <c r="AT23" s="20">
        <f t="shared" si="9"/>
        <v>18.218285714285713</v>
      </c>
      <c r="AU23" s="50">
        <v>168733</v>
      </c>
      <c r="AV23" s="20">
        <f t="shared" si="10"/>
        <v>24.104714285714284</v>
      </c>
      <c r="AW23" s="50">
        <v>187551</v>
      </c>
      <c r="AX23" s="20">
        <f t="shared" si="11"/>
        <v>26.792999999999999</v>
      </c>
      <c r="AY23" s="50">
        <v>231250</v>
      </c>
      <c r="AZ23" s="20">
        <f t="shared" si="12"/>
        <v>33.035714285714285</v>
      </c>
      <c r="BA23" s="20">
        <f t="shared" si="13"/>
        <v>30.189295039164492</v>
      </c>
      <c r="BB23" s="50">
        <v>264564</v>
      </c>
      <c r="BC23" s="20">
        <f t="shared" si="14"/>
        <v>37.79485714285714</v>
      </c>
      <c r="BD23" s="20">
        <f t="shared" si="15"/>
        <v>34.538381201044388</v>
      </c>
      <c r="BE23" s="50">
        <v>350103</v>
      </c>
      <c r="BF23" s="20">
        <f t="shared" si="16"/>
        <v>50.014714285714291</v>
      </c>
      <c r="BG23" s="20">
        <f t="shared" si="17"/>
        <v>45.705352480417751</v>
      </c>
      <c r="BH23" s="50">
        <v>0</v>
      </c>
      <c r="BI23" s="20">
        <f t="shared" si="18"/>
        <v>0</v>
      </c>
      <c r="BJ23" s="20">
        <f t="shared" si="19"/>
        <v>0</v>
      </c>
    </row>
    <row r="24" spans="1:62" ht="18">
      <c r="A24" s="23">
        <f>SUM('[1]Actual Expenditure 2018-19'!A27)+('[1]Actual Expenditure 2018-19'!A94)+('[1]Actual Expenditure 2018-19'!A145)+('[1]Actual Expenditure 2018-19'!A188)+('[1]Actual Expenditure 2018-19'!A210)+('[1]Actual Expenditure 2018-19'!A231)+('[1]Actual Expenditure 2018-19'!A275)+('[1]Actual Expenditure 2018-19'!A367)+('[1]Actual Expenditure 2018-19'!A413)</f>
        <v>400000</v>
      </c>
      <c r="B24" s="23">
        <f>SUM('[1]Actual Expenditure 2018-19'!B27)+('[1]Actual Expenditure 2018-19'!B94)+('[1]Actual Expenditure 2018-19'!B145)+('[1]Actual Expenditure 2018-19'!B188)+('[1]Actual Expenditure 2018-19'!B210)+('[1]Actual Expenditure 2018-19'!B231)+('[1]Actual Expenditure 2018-19'!B275)+('[1]Actual Expenditure 2018-19'!B367)+('[1]Actual Expenditure 2018-19'!B413)</f>
        <v>400000</v>
      </c>
      <c r="C24" s="9">
        <v>28</v>
      </c>
      <c r="D24" s="23" t="s">
        <v>72</v>
      </c>
      <c r="E24" s="23">
        <f>SUM('[1]Actual Expenditure 2018-19'!F27)+('[1]Actual Expenditure 2018-19'!F94)+('[1]Actual Expenditure 2018-19'!F145)+('[1]Actual Expenditure 2018-19'!F188)+('[1]Actual Expenditure 2018-19'!F210)+('[1]Actual Expenditure 2018-19'!F275)+('[1]Actual Expenditure 2018-19'!F367)+('[1]Actual Expenditure 2018-19'!F413)</f>
        <v>0</v>
      </c>
      <c r="F24" s="23">
        <f>SUM('[1]Actual Expenditure 2018-19'!G27)+('[1]Actual Expenditure 2018-19'!G94)+('[1]Actual Expenditure 2018-19'!G145)+('[1]Actual Expenditure 2018-19'!G188)+('[1]Actual Expenditure 2018-19'!G210)+('[1]Actual Expenditure 2018-19'!G231)+('[1]Actual Expenditure 2018-19'!G275)+('[1]Actual Expenditure 2018-19'!G367)+('[1]Actual Expenditure 2018-19'!G413)</f>
        <v>5987</v>
      </c>
      <c r="G24" s="23">
        <f>SUM('[1]Actual Expenditure 2018-19'!H27)+('[1]Actual Expenditure 2018-19'!H94)+('[1]Actual Expenditure 2018-19'!H145)+('[1]Actual Expenditure 2018-19'!H188)+('[1]Actual Expenditure 2018-19'!H210)+('[1]Actual Expenditure 2018-19'!H231)+('[1]Actual Expenditure 2018-19'!H275)+('[1]Actual Expenditure 2018-19'!H367)+('[1]Actual Expenditure 2018-19'!H413)</f>
        <v>0</v>
      </c>
      <c r="H24" s="23">
        <f>SUM('[1]Actual Expenditure 2018-19'!I27)+('[1]Actual Expenditure 2018-19'!I94)+('[1]Actual Expenditure 2018-19'!I145)+('[1]Actual Expenditure 2018-19'!I188)+('[1]Actual Expenditure 2018-19'!I210)+('[1]Actual Expenditure 2018-19'!I231)+('[1]Actual Expenditure 2018-19'!I275)+('[1]Actual Expenditure 2018-19'!I367)+('[1]Actual Expenditure 2018-19'!I413)</f>
        <v>0</v>
      </c>
      <c r="I24" s="23">
        <f>SUM('[1]Actual Expenditure 2018-19'!J27)+('[1]Actual Expenditure 2018-19'!J94)+('[1]Actual Expenditure 2018-19'!J145)+('[1]Actual Expenditure 2018-19'!J188)+('[1]Actual Expenditure 2018-19'!J210)+('[1]Actual Expenditure 2018-19'!J231)+('[1]Actual Expenditure 2018-19'!J275)+('[1]Actual Expenditure 2018-19'!J367)+('[1]Actual Expenditure 2018-19'!J413)</f>
        <v>0</v>
      </c>
      <c r="J24" s="23">
        <f>SUM('[1]Actual Expenditure 2018-19'!K27)+('[1]Actual Expenditure 2018-19'!K94)+('[1]Actual Expenditure 2018-19'!K145)+('[1]Actual Expenditure 2018-19'!K188)+('[1]Actual Expenditure 2018-19'!K210)+('[1]Actual Expenditure 2018-19'!K231)+('[1]Actual Expenditure 2018-19'!K275)+('[1]Actual Expenditure 2018-19'!K367)+('[1]Actual Expenditure 2018-19'!K413)</f>
        <v>85290</v>
      </c>
      <c r="K24" s="23">
        <v>500000</v>
      </c>
      <c r="L24" s="51">
        <v>8538</v>
      </c>
      <c r="M24" s="23">
        <f>SUM('[1]Actual Expenditure 2018-19'!M27)+('[1]Actual Expenditure 2018-19'!M94)+('[1]Actual Expenditure 2018-19'!M145)+('[1]Actual Expenditure 2018-19'!M188)+('[1]Actual Expenditure 2018-19'!M210)+('[1]Actual Expenditure 2018-19'!M231)+('[1]Actual Expenditure 2018-19'!M275)+('[1]Actual Expenditure 2018-19'!M367)+('[1]Actual Expenditure 2018-19'!M413)</f>
        <v>0</v>
      </c>
      <c r="N24" s="23">
        <f>SUM('[1]Actual Expenditure 2018-19'!N27)+('[1]Actual Expenditure 2018-19'!N94)+('[1]Actual Expenditure 2018-19'!N145)+('[1]Actual Expenditure 2018-19'!N188)+('[1]Actual Expenditure 2018-19'!N210)+('[1]Actual Expenditure 2018-19'!N231)+('[1]Actual Expenditure 2018-19'!N275)+('[1]Actual Expenditure 2018-19'!N367)+('[1]Actual Expenditure 2018-19'!N413)</f>
        <v>0</v>
      </c>
      <c r="O24" s="23">
        <f>SUM('[1]Actual Expenditure 2018-19'!O27)+('[1]Actual Expenditure 2018-19'!O94)+('[1]Actual Expenditure 2018-19'!O145)+('[1]Actual Expenditure 2018-19'!O188)+('[1]Actual Expenditure 2018-19'!O210)+('[1]Actual Expenditure 2018-19'!O231)+('[1]Actual Expenditure 2018-19'!O275)+('[1]Actual Expenditure 2018-19'!O367)+('[1]Actual Expenditure 2018-19'!O413)</f>
        <v>0</v>
      </c>
      <c r="P24" s="23">
        <f>SUM('[1]Actual Expenditure 2018-19'!P27)+('[1]Actual Expenditure 2018-19'!P94)+('[1]Actual Expenditure 2018-19'!P145)+('[1]Actual Expenditure 2018-19'!P188)+('[1]Actual Expenditure 2018-19'!P210)+('[1]Actual Expenditure 2018-19'!P231)+('[1]Actual Expenditure 2018-19'!P275)+('[1]Actual Expenditure 2018-19'!P367)+('[1]Actual Expenditure 2018-19'!P413)</f>
        <v>0</v>
      </c>
      <c r="Q24" s="23">
        <f>SUM('[1]Actual Expenditure 2018-19'!Q27)+('[1]Actual Expenditure 2018-19'!Q94)+('[1]Actual Expenditure 2018-19'!Q145)+('[1]Actual Expenditure 2018-19'!Q188)+('[1]Actual Expenditure 2018-19'!Q210)+('[1]Actual Expenditure 2018-19'!Q231)+('[1]Actual Expenditure 2018-19'!Q275)+('[1]Actual Expenditure 2018-19'!Q367)+('[1]Actual Expenditure 2018-19'!Q413)</f>
        <v>0</v>
      </c>
      <c r="R24" s="23">
        <f>SUM('[1]Actual Expenditure 2018-19'!R27)+('[1]Actual Expenditure 2018-19'!R94)+('[1]Actual Expenditure 2018-19'!R145)+('[1]Actual Expenditure 2018-19'!R188)+('[1]Actual Expenditure 2018-19'!R210)+('[1]Actual Expenditure 2018-19'!R275)+('[1]Actual Expenditure 2018-19'!R367)+('[1]Actual Expenditure 2018-19'!R413)</f>
        <v>0</v>
      </c>
      <c r="S24" s="20" t="e">
        <f>F24/#REF!*100</f>
        <v>#REF!</v>
      </c>
      <c r="T24" s="20" t="e">
        <f>G24/#REF!*100</f>
        <v>#REF!</v>
      </c>
      <c r="U24" s="20" t="e">
        <f>H24/#REF!*100</f>
        <v>#REF!</v>
      </c>
      <c r="V24" s="20" t="e">
        <f>I24/#REF!*100</f>
        <v>#REF!</v>
      </c>
      <c r="W24" s="20" t="e">
        <f>J24/#REF!*100</f>
        <v>#REF!</v>
      </c>
      <c r="X24" s="20">
        <f t="shared" si="20"/>
        <v>1.7076</v>
      </c>
      <c r="Y24" s="20" t="e">
        <f>M24/#REF!*100</f>
        <v>#REF!</v>
      </c>
      <c r="Z24" s="20" t="e">
        <f>N24/#REF!*100</f>
        <v>#REF!</v>
      </c>
      <c r="AA24" s="20" t="e">
        <f>O24/#REF!*100</f>
        <v>#REF!</v>
      </c>
      <c r="AB24" s="20" t="e">
        <f>P24/#REF!*100</f>
        <v>#REF!</v>
      </c>
      <c r="AC24" s="20" t="e">
        <f>Q24/#REF!*100</f>
        <v>#REF!</v>
      </c>
      <c r="AD24" s="20" t="e">
        <f>R24/#REF!*100</f>
        <v>#REF!</v>
      </c>
      <c r="AE24" s="20" t="e">
        <f t="shared" si="0"/>
        <v>#DIV/0!</v>
      </c>
      <c r="AF24" s="20" t="e">
        <f t="shared" si="1"/>
        <v>#DIV/0!</v>
      </c>
      <c r="AG24" s="20" t="e">
        <f t="shared" si="2"/>
        <v>#DIV/0!</v>
      </c>
      <c r="AH24" s="20" t="e">
        <f t="shared" si="3"/>
        <v>#DIV/0!</v>
      </c>
      <c r="AI24" s="23">
        <v>14018</v>
      </c>
      <c r="AJ24" s="20">
        <f t="shared" si="4"/>
        <v>3.5045000000000002</v>
      </c>
      <c r="AK24" s="23">
        <v>34557</v>
      </c>
      <c r="AL24" s="20">
        <f t="shared" si="5"/>
        <v>8.6392500000000005</v>
      </c>
      <c r="AM24" s="23">
        <v>45960</v>
      </c>
      <c r="AN24" s="20">
        <f t="shared" si="6"/>
        <v>11.49</v>
      </c>
      <c r="AO24" s="23">
        <v>83869</v>
      </c>
      <c r="AP24" s="20">
        <f t="shared" si="7"/>
        <v>20.96725</v>
      </c>
      <c r="AQ24" s="49">
        <v>105812</v>
      </c>
      <c r="AR24" s="20">
        <f t="shared" si="8"/>
        <v>26.452999999999999</v>
      </c>
      <c r="AS24" s="23">
        <v>129256</v>
      </c>
      <c r="AT24" s="20">
        <f t="shared" si="9"/>
        <v>32.314</v>
      </c>
      <c r="AU24" s="50">
        <v>146708</v>
      </c>
      <c r="AV24" s="20">
        <f t="shared" si="10"/>
        <v>36.677</v>
      </c>
      <c r="AW24" s="50">
        <v>161718</v>
      </c>
      <c r="AX24" s="20">
        <f t="shared" si="11"/>
        <v>40.429500000000004</v>
      </c>
      <c r="AY24" s="50">
        <v>182785</v>
      </c>
      <c r="AZ24" s="20">
        <f t="shared" si="12"/>
        <v>45.696249999999999</v>
      </c>
      <c r="BA24" s="20">
        <f t="shared" si="13"/>
        <v>45.696249999999999</v>
      </c>
      <c r="BB24" s="50">
        <v>210097</v>
      </c>
      <c r="BC24" s="20">
        <f t="shared" si="14"/>
        <v>52.524249999999995</v>
      </c>
      <c r="BD24" s="20">
        <f t="shared" si="15"/>
        <v>52.524249999999995</v>
      </c>
      <c r="BE24" s="50">
        <v>247104</v>
      </c>
      <c r="BF24" s="20">
        <f t="shared" si="16"/>
        <v>61.775999999999996</v>
      </c>
      <c r="BG24" s="20">
        <f t="shared" si="17"/>
        <v>61.775999999999996</v>
      </c>
      <c r="BH24" s="50">
        <v>0</v>
      </c>
      <c r="BI24" s="20">
        <f t="shared" si="18"/>
        <v>0</v>
      </c>
      <c r="BJ24" s="20">
        <f t="shared" si="19"/>
        <v>0</v>
      </c>
    </row>
    <row r="25" spans="1:62" ht="18">
      <c r="A25" s="23">
        <f>SUM('[1]Actual Expenditure 2018-19'!A28)+('[1]Actual Expenditure 2018-19'!A95)+('[1]Actual Expenditure 2018-19'!A428)</f>
        <v>1500</v>
      </c>
      <c r="B25" s="23">
        <f>SUM('[1]Actual Expenditure 2018-19'!B28)+('[1]Actual Expenditure 2018-19'!B95)+('[1]Actual Expenditure 2018-19'!B428)</f>
        <v>1500</v>
      </c>
      <c r="C25" s="9">
        <v>31</v>
      </c>
      <c r="D25" s="23" t="s">
        <v>73</v>
      </c>
      <c r="E25" s="23">
        <f>SUM('[1]Actual Expenditure 2018-19'!F28)+('[1]Actual Expenditure 2018-19'!F95)+('[1]Actual Expenditure 2018-19'!F428)</f>
        <v>0</v>
      </c>
      <c r="F25" s="23">
        <f>SUM('[1]Actual Expenditure 2018-19'!G28)+('[1]Actual Expenditure 2018-19'!G95)+('[1]Actual Expenditure 2018-19'!G428)</f>
        <v>0</v>
      </c>
      <c r="G25" s="23">
        <f>SUM('[1]Actual Expenditure 2018-19'!H28)+('[1]Actual Expenditure 2018-19'!H95)+('[1]Actual Expenditure 2018-19'!H428)</f>
        <v>0</v>
      </c>
      <c r="H25" s="23">
        <f>SUM('[1]Actual Expenditure 2018-19'!I28)+('[1]Actual Expenditure 2018-19'!I95)+('[1]Actual Expenditure 2018-19'!I428)</f>
        <v>0</v>
      </c>
      <c r="I25" s="23">
        <f>SUM('[1]Actual Expenditure 2018-19'!J28)+('[1]Actual Expenditure 2018-19'!J95)+('[1]Actual Expenditure 2018-19'!J428)</f>
        <v>0</v>
      </c>
      <c r="J25" s="23">
        <f>SUM('[1]Actual Expenditure 2018-19'!K28)+('[1]Actual Expenditure 2018-19'!K95)+('[1]Actual Expenditure 2018-19'!K428)</f>
        <v>20</v>
      </c>
      <c r="K25" s="23">
        <v>1500</v>
      </c>
      <c r="L25" s="52">
        <v>3</v>
      </c>
      <c r="M25" s="23">
        <f>SUM('[1]Actual Expenditure 2018-19'!M28)+('[1]Actual Expenditure 2018-19'!M95)+('[1]Actual Expenditure 2018-19'!M428)</f>
        <v>0</v>
      </c>
      <c r="N25" s="23">
        <f>SUM('[1]Actual Expenditure 2018-19'!N28)+('[1]Actual Expenditure 2018-19'!N95)+('[1]Actual Expenditure 2018-19'!N428)</f>
        <v>0</v>
      </c>
      <c r="O25" s="23">
        <f>SUM('[1]Actual Expenditure 2018-19'!O28)+('[1]Actual Expenditure 2018-19'!O95)+('[1]Actual Expenditure 2018-19'!O428)</f>
        <v>0</v>
      </c>
      <c r="P25" s="23">
        <f>SUM('[1]Actual Expenditure 2018-19'!P28)+('[1]Actual Expenditure 2018-19'!P95)+('[1]Actual Expenditure 2018-19'!P428)</f>
        <v>0</v>
      </c>
      <c r="Q25" s="23">
        <f>SUM('[1]Actual Expenditure 2018-19'!Q28)+('[1]Actual Expenditure 2018-19'!Q95)+('[1]Actual Expenditure 2018-19'!Q428)</f>
        <v>6</v>
      </c>
      <c r="R25" s="23">
        <f>SUM('[1]Actual Expenditure 2018-19'!R28)+('[1]Actual Expenditure 2018-19'!R95)+('[1]Actual Expenditure 2018-19'!R428)</f>
        <v>0</v>
      </c>
      <c r="S25" s="20" t="e">
        <f>F25/#REF!*100</f>
        <v>#REF!</v>
      </c>
      <c r="T25" s="20" t="e">
        <f>G25/#REF!*100</f>
        <v>#REF!</v>
      </c>
      <c r="U25" s="20" t="e">
        <f>H25/#REF!*100</f>
        <v>#REF!</v>
      </c>
      <c r="V25" s="20" t="e">
        <f>I25/#REF!*100</f>
        <v>#REF!</v>
      </c>
      <c r="W25" s="20" t="e">
        <f>J25/#REF!*100</f>
        <v>#REF!</v>
      </c>
      <c r="X25" s="20">
        <f t="shared" si="20"/>
        <v>0.2</v>
      </c>
      <c r="Y25" s="20" t="e">
        <f>M25/#REF!*100</f>
        <v>#REF!</v>
      </c>
      <c r="Z25" s="20" t="e">
        <f>N25/#REF!*100</f>
        <v>#REF!</v>
      </c>
      <c r="AA25" s="20" t="e">
        <f>O25/#REF!*100</f>
        <v>#REF!</v>
      </c>
      <c r="AB25" s="20" t="e">
        <f>P25/#REF!*100</f>
        <v>#REF!</v>
      </c>
      <c r="AC25" s="20" t="e">
        <f>Q25/#REF!*100</f>
        <v>#REF!</v>
      </c>
      <c r="AD25" s="20" t="e">
        <f>R25/#REF!*100</f>
        <v>#REF!</v>
      </c>
      <c r="AE25" s="20" t="e">
        <f t="shared" si="0"/>
        <v>#DIV/0!</v>
      </c>
      <c r="AF25" s="20" t="e">
        <f t="shared" si="1"/>
        <v>#DIV/0!</v>
      </c>
      <c r="AG25" s="20" t="e">
        <f t="shared" si="2"/>
        <v>#DIV/0!</v>
      </c>
      <c r="AH25" s="20" t="e">
        <f t="shared" si="3"/>
        <v>#DIV/0!</v>
      </c>
      <c r="AI25" s="23">
        <v>0</v>
      </c>
      <c r="AJ25" s="20">
        <f t="shared" si="4"/>
        <v>0</v>
      </c>
      <c r="AK25" s="23">
        <v>0</v>
      </c>
      <c r="AL25" s="20">
        <f t="shared" si="5"/>
        <v>0</v>
      </c>
      <c r="AM25" s="23">
        <v>11</v>
      </c>
      <c r="AN25" s="20">
        <f t="shared" si="6"/>
        <v>0.73333333333333328</v>
      </c>
      <c r="AO25" s="23">
        <v>11</v>
      </c>
      <c r="AP25" s="20">
        <f t="shared" si="7"/>
        <v>0.73333333333333328</v>
      </c>
      <c r="AQ25" s="49">
        <v>26</v>
      </c>
      <c r="AR25" s="20">
        <f t="shared" si="8"/>
        <v>1.7333333333333332</v>
      </c>
      <c r="AS25" s="23">
        <v>26</v>
      </c>
      <c r="AT25" s="20">
        <f t="shared" si="9"/>
        <v>1.7333333333333332</v>
      </c>
      <c r="AU25" s="50">
        <v>36</v>
      </c>
      <c r="AV25" s="20">
        <f t="shared" si="10"/>
        <v>2.4</v>
      </c>
      <c r="AW25" s="50">
        <v>36</v>
      </c>
      <c r="AX25" s="20">
        <f t="shared" si="11"/>
        <v>2.4</v>
      </c>
      <c r="AY25" s="50">
        <v>36</v>
      </c>
      <c r="AZ25" s="20">
        <f t="shared" si="12"/>
        <v>2.4</v>
      </c>
      <c r="BA25" s="20">
        <f t="shared" si="13"/>
        <v>2.4</v>
      </c>
      <c r="BB25" s="50">
        <v>36</v>
      </c>
      <c r="BC25" s="20">
        <f t="shared" si="14"/>
        <v>2.4</v>
      </c>
      <c r="BD25" s="20">
        <f t="shared" si="15"/>
        <v>2.4</v>
      </c>
      <c r="BE25" s="50">
        <v>74</v>
      </c>
      <c r="BF25" s="20">
        <f t="shared" si="16"/>
        <v>4.9333333333333336</v>
      </c>
      <c r="BG25" s="20">
        <f t="shared" si="17"/>
        <v>4.9333333333333336</v>
      </c>
      <c r="BH25" s="50">
        <v>0</v>
      </c>
      <c r="BI25" s="20">
        <f t="shared" si="18"/>
        <v>0</v>
      </c>
      <c r="BJ25" s="20">
        <f t="shared" si="19"/>
        <v>0</v>
      </c>
    </row>
    <row r="26" spans="1:62" ht="18">
      <c r="A26" s="23">
        <f>SUM('[1]Actual Expenditure 2018-19'!A29)+('[1]Actual Expenditure 2018-19'!A96)+('[1]Actual Expenditure 2018-19'!A124)+('[1]Actual Expenditure 2018-19'!A146)+('[1]Actual Expenditure 2018-19'!A189)+('[1]Actual Expenditure 2018-19'!A232)+('[1]Actual Expenditure 2018-19'!A253)+('[1]Actual Expenditure 2018-19'!A276)+('[1]Actual Expenditure 2018-19'!A342)+('[1]Actual Expenditure 2018-19'!A368)+('[1]Actual Expenditure 2018-19'!A414)</f>
        <v>150000</v>
      </c>
      <c r="B26" s="23">
        <f>SUM('[1]Actual Expenditure 2018-19'!B29)+('[1]Actual Expenditure 2018-19'!B96)+('[1]Actual Expenditure 2018-19'!B124)+('[1]Actual Expenditure 2018-19'!B146)+('[1]Actual Expenditure 2018-19'!B189)+('[1]Actual Expenditure 2018-19'!B232)+('[1]Actual Expenditure 2018-19'!B276)+('[1]Actual Expenditure 2018-19'!B342)+('[1]Actual Expenditure 2018-19'!B368)+('[1]Actual Expenditure 2018-19'!B414)</f>
        <v>150000</v>
      </c>
      <c r="C26" s="9">
        <v>41</v>
      </c>
      <c r="D26" s="23" t="s">
        <v>74</v>
      </c>
      <c r="E26" s="23">
        <f>SUM('[1]Actual Expenditure 2018-19'!F29)+('[1]Actual Expenditure 2018-19'!F96)+('[1]Actual Expenditure 2018-19'!F124)+('[1]Actual Expenditure 2018-19'!F146)+('[1]Actual Expenditure 2018-19'!F189)+('[1]Actual Expenditure 2018-19'!F232)+('[1]Actual Expenditure 2018-19'!F253)+('[1]Actual Expenditure 2018-19'!F276)+('[1]Actual Expenditure 2018-19'!F342)+('[1]Actual Expenditure 2018-19'!F368)+('[1]Actual Expenditure 2018-19'!F414)</f>
        <v>0</v>
      </c>
      <c r="F26" s="23">
        <f>SUM('[1]Actual Expenditure 2018-19'!G29)+('[1]Actual Expenditure 2018-19'!G96)+('[1]Actual Expenditure 2018-19'!G124)+('[1]Actual Expenditure 2018-19'!G146)+('[1]Actual Expenditure 2018-19'!G189)+('[1]Actual Expenditure 2018-19'!G232)+('[1]Actual Expenditure 2018-19'!G253)+('[1]Actual Expenditure 2018-19'!G276)+('[1]Actual Expenditure 2018-19'!G342)+('[1]Actual Expenditure 2018-19'!G368)+('[1]Actual Expenditure 2018-19'!G414)</f>
        <v>640</v>
      </c>
      <c r="G26" s="23">
        <f>SUM('[1]Actual Expenditure 2018-19'!H29)+('[1]Actual Expenditure 2018-19'!H96)+('[1]Actual Expenditure 2018-19'!H124)+('[1]Actual Expenditure 2018-19'!H146)+('[1]Actual Expenditure 2018-19'!H189)+('[1]Actual Expenditure 2018-19'!H232)+('[1]Actual Expenditure 2018-19'!H253)+('[1]Actual Expenditure 2018-19'!H276)+('[1]Actual Expenditure 2018-19'!H342)+('[1]Actual Expenditure 2018-19'!H368)+('[1]Actual Expenditure 2018-19'!H414)</f>
        <v>0</v>
      </c>
      <c r="H26" s="23">
        <f>SUM('[1]Actual Expenditure 2018-19'!I29)+('[1]Actual Expenditure 2018-19'!I96)+('[1]Actual Expenditure 2018-19'!I124)+('[1]Actual Expenditure 2018-19'!I146)+('[1]Actual Expenditure 2018-19'!I189)+('[1]Actual Expenditure 2018-19'!I232)+('[1]Actual Expenditure 2018-19'!I253)+('[1]Actual Expenditure 2018-19'!I276)+('[1]Actual Expenditure 2018-19'!I342)+('[1]Actual Expenditure 2018-19'!I368)+('[1]Actual Expenditure 2018-19'!I414)</f>
        <v>0</v>
      </c>
      <c r="I26" s="23">
        <f>SUM('[1]Actual Expenditure 2018-19'!J29)+('[1]Actual Expenditure 2018-19'!J96)+('[1]Actual Expenditure 2018-19'!J124)+('[1]Actual Expenditure 2018-19'!J146)+('[1]Actual Expenditure 2018-19'!J189)+('[1]Actual Expenditure 2018-19'!J232)+('[1]Actual Expenditure 2018-19'!J253)+('[1]Actual Expenditure 2018-19'!J276)+('[1]Actual Expenditure 2018-19'!J342)+('[1]Actual Expenditure 2018-19'!J368)+('[1]Actual Expenditure 2018-19'!J414)</f>
        <v>0</v>
      </c>
      <c r="J26" s="23">
        <f>SUM('[1]Actual Expenditure 2018-19'!K29)+('[1]Actual Expenditure 2018-19'!K96)+('[1]Actual Expenditure 2018-19'!K124)+('[1]Actual Expenditure 2018-19'!K146)+('[1]Actual Expenditure 2018-19'!K189)+('[1]Actual Expenditure 2018-19'!K232)+('[1]Actual Expenditure 2018-19'!K253)+('[1]Actual Expenditure 2018-19'!K276)+('[1]Actual Expenditure 2018-19'!K342)+('[1]Actual Expenditure 2018-19'!K368)+('[1]Actual Expenditure 2018-19'!K414)</f>
        <v>68573</v>
      </c>
      <c r="K26" s="23">
        <v>180000</v>
      </c>
      <c r="L26" s="51">
        <v>1242</v>
      </c>
      <c r="M26" s="23">
        <f>SUM('[1]Actual Expenditure 2018-19'!M29)+('[1]Actual Expenditure 2018-19'!M96)+('[1]Actual Expenditure 2018-19'!M124)+('[1]Actual Expenditure 2018-19'!M146)+('[1]Actual Expenditure 2018-19'!M189)+('[1]Actual Expenditure 2018-19'!M232)+('[1]Actual Expenditure 2018-19'!M253)+('[1]Actual Expenditure 2018-19'!M276)+('[1]Actual Expenditure 2018-19'!M342)+('[1]Actual Expenditure 2018-19'!M368)+('[1]Actual Expenditure 2018-19'!M414)</f>
        <v>0</v>
      </c>
      <c r="N26" s="23">
        <f>SUM('[1]Actual Expenditure 2018-19'!N29)+('[1]Actual Expenditure 2018-19'!N96)+('[1]Actual Expenditure 2018-19'!N124)+('[1]Actual Expenditure 2018-19'!N146)+('[1]Actual Expenditure 2018-19'!N189)+('[1]Actual Expenditure 2018-19'!N232)+('[1]Actual Expenditure 2018-19'!N253)+('[1]Actual Expenditure 2018-19'!N276)+('[1]Actual Expenditure 2018-19'!N342)+('[1]Actual Expenditure 2018-19'!N368)+('[1]Actual Expenditure 2018-19'!N414)</f>
        <v>0</v>
      </c>
      <c r="O26" s="23">
        <f>SUM('[1]Actual Expenditure 2018-19'!O29)+('[1]Actual Expenditure 2018-19'!O96)+('[1]Actual Expenditure 2018-19'!O124)+('[1]Actual Expenditure 2018-19'!O146)+('[1]Actual Expenditure 2018-19'!O189)+('[1]Actual Expenditure 2018-19'!O232)+('[1]Actual Expenditure 2018-19'!O253)+('[1]Actual Expenditure 2018-19'!O276)+('[1]Actual Expenditure 2018-19'!O342)+('[1]Actual Expenditure 2018-19'!O368)+('[1]Actual Expenditure 2018-19'!O414)</f>
        <v>0</v>
      </c>
      <c r="P26" s="23">
        <f>SUM('[1]Actual Expenditure 2018-19'!P29)+('[1]Actual Expenditure 2018-19'!P96)+('[1]Actual Expenditure 2018-19'!P124)+('[1]Actual Expenditure 2018-19'!P146)+('[1]Actual Expenditure 2018-19'!P189)+('[1]Actual Expenditure 2018-19'!P232)+('[1]Actual Expenditure 2018-19'!P253)+('[1]Actual Expenditure 2018-19'!P276)+('[1]Actual Expenditure 2018-19'!P342)+('[1]Actual Expenditure 2018-19'!P368)+('[1]Actual Expenditure 2018-19'!P414)</f>
        <v>0</v>
      </c>
      <c r="Q26" s="23">
        <f>SUM('[1]Actual Expenditure 2018-19'!Q29)+('[1]Actual Expenditure 2018-19'!Q96)+('[1]Actual Expenditure 2018-19'!Q124)+('[1]Actual Expenditure 2018-19'!Q146)+('[1]Actual Expenditure 2018-19'!Q189)+('[1]Actual Expenditure 2018-19'!Q232)+('[1]Actual Expenditure 2018-19'!Q253)+('[1]Actual Expenditure 2018-19'!Q276)+('[1]Actual Expenditure 2018-19'!Q342)+('[1]Actual Expenditure 2018-19'!Q368)+('[1]Actual Expenditure 2018-19'!Q414)</f>
        <v>0</v>
      </c>
      <c r="R26" s="23">
        <f>SUM('[1]Actual Expenditure 2018-19'!R29)+('[1]Actual Expenditure 2018-19'!R96)+('[1]Actual Expenditure 2018-19'!R124)+('[1]Actual Expenditure 2018-19'!R146)+('[1]Actual Expenditure 2018-19'!R189)+('[1]Actual Expenditure 2018-19'!R232)+('[1]Actual Expenditure 2018-19'!R253)+('[1]Actual Expenditure 2018-19'!R276)+('[1]Actual Expenditure 2018-19'!R342)+('[1]Actual Expenditure 2018-19'!R368)+('[1]Actual Expenditure 2018-19'!R414)</f>
        <v>0</v>
      </c>
      <c r="S26" s="20" t="e">
        <f>F26/#REF!*100</f>
        <v>#REF!</v>
      </c>
      <c r="T26" s="20" t="e">
        <f>G26/#REF!*100</f>
        <v>#REF!</v>
      </c>
      <c r="U26" s="20" t="e">
        <f>H26/#REF!*100</f>
        <v>#REF!</v>
      </c>
      <c r="V26" s="20" t="e">
        <f>I26/#REF!*100</f>
        <v>#REF!</v>
      </c>
      <c r="W26" s="20" t="e">
        <f>J26/#REF!*100</f>
        <v>#REF!</v>
      </c>
      <c r="X26" s="20">
        <f t="shared" si="20"/>
        <v>0.69</v>
      </c>
      <c r="Y26" s="20" t="e">
        <f>M26/#REF!*100</f>
        <v>#REF!</v>
      </c>
      <c r="Z26" s="20" t="e">
        <f>N26/#REF!*100</f>
        <v>#REF!</v>
      </c>
      <c r="AA26" s="20" t="e">
        <f>O26/#REF!*100</f>
        <v>#REF!</v>
      </c>
      <c r="AB26" s="20" t="e">
        <f>P26/#REF!*100</f>
        <v>#REF!</v>
      </c>
      <c r="AC26" s="20" t="e">
        <f>Q26/#REF!*100</f>
        <v>#REF!</v>
      </c>
      <c r="AD26" s="20" t="e">
        <f>R26/#REF!*100</f>
        <v>#REF!</v>
      </c>
      <c r="AE26" s="20" t="e">
        <f t="shared" si="0"/>
        <v>#DIV/0!</v>
      </c>
      <c r="AF26" s="20" t="e">
        <f t="shared" si="1"/>
        <v>#DIV/0!</v>
      </c>
      <c r="AG26" s="20" t="e">
        <f t="shared" si="2"/>
        <v>#DIV/0!</v>
      </c>
      <c r="AH26" s="20" t="e">
        <f t="shared" si="3"/>
        <v>#DIV/0!</v>
      </c>
      <c r="AI26" s="23">
        <v>1097</v>
      </c>
      <c r="AJ26" s="20">
        <f t="shared" si="4"/>
        <v>0.73133333333333328</v>
      </c>
      <c r="AK26" s="23">
        <v>6022</v>
      </c>
      <c r="AL26" s="20">
        <f t="shared" si="5"/>
        <v>4.0146666666666668</v>
      </c>
      <c r="AM26" s="23">
        <v>20475</v>
      </c>
      <c r="AN26" s="20">
        <f t="shared" si="6"/>
        <v>13.65</v>
      </c>
      <c r="AO26" s="23">
        <v>27419</v>
      </c>
      <c r="AP26" s="20">
        <f t="shared" si="7"/>
        <v>18.279333333333334</v>
      </c>
      <c r="AQ26" s="49">
        <v>57844</v>
      </c>
      <c r="AR26" s="20">
        <f t="shared" si="8"/>
        <v>38.562666666666665</v>
      </c>
      <c r="AS26" s="23">
        <v>62360</v>
      </c>
      <c r="AT26" s="20">
        <f t="shared" si="9"/>
        <v>41.573333333333338</v>
      </c>
      <c r="AU26" s="50">
        <v>70809</v>
      </c>
      <c r="AV26" s="20">
        <f t="shared" si="10"/>
        <v>47.205999999999996</v>
      </c>
      <c r="AW26" s="50">
        <v>87320</v>
      </c>
      <c r="AX26" s="20">
        <f t="shared" si="11"/>
        <v>58.213333333333331</v>
      </c>
      <c r="AY26" s="50">
        <v>92815</v>
      </c>
      <c r="AZ26" s="20">
        <f t="shared" si="12"/>
        <v>61.876666666666665</v>
      </c>
      <c r="BA26" s="20">
        <f t="shared" si="13"/>
        <v>61.876666666666665</v>
      </c>
      <c r="BB26" s="50">
        <v>101685</v>
      </c>
      <c r="BC26" s="20">
        <f t="shared" si="14"/>
        <v>67.789999999999992</v>
      </c>
      <c r="BD26" s="20">
        <f t="shared" si="15"/>
        <v>67.789999999999992</v>
      </c>
      <c r="BE26" s="50">
        <v>124477</v>
      </c>
      <c r="BF26" s="20">
        <f t="shared" si="16"/>
        <v>82.984666666666669</v>
      </c>
      <c r="BG26" s="20">
        <f t="shared" si="17"/>
        <v>82.984666666666669</v>
      </c>
      <c r="BH26" s="50">
        <v>0</v>
      </c>
      <c r="BI26" s="20">
        <f t="shared" si="18"/>
        <v>0</v>
      </c>
      <c r="BJ26" s="20">
        <f t="shared" si="19"/>
        <v>0</v>
      </c>
    </row>
    <row r="27" spans="1:62" ht="18">
      <c r="A27" s="23"/>
      <c r="B27" s="23"/>
      <c r="C27" s="9"/>
      <c r="D27" s="23" t="s">
        <v>75</v>
      </c>
      <c r="E27" s="23"/>
      <c r="F27" s="23"/>
      <c r="G27" s="23"/>
      <c r="H27" s="23"/>
      <c r="I27" s="23"/>
      <c r="J27" s="23"/>
      <c r="K27" s="23"/>
      <c r="L27" s="52"/>
      <c r="M27" s="23"/>
      <c r="N27" s="23"/>
      <c r="O27" s="23"/>
      <c r="P27" s="23"/>
      <c r="Q27" s="23"/>
      <c r="R27" s="23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3"/>
      <c r="AJ27" s="23"/>
      <c r="AK27" s="23"/>
      <c r="AL27" s="23"/>
      <c r="AM27" s="23"/>
      <c r="AN27" s="20"/>
      <c r="AO27" s="23"/>
      <c r="AP27" s="20"/>
      <c r="AQ27" s="49"/>
      <c r="AR27" s="20"/>
      <c r="AS27" s="23"/>
      <c r="AT27" s="20"/>
      <c r="AU27" s="50"/>
      <c r="AV27" s="20" t="s">
        <v>76</v>
      </c>
      <c r="AW27" s="50"/>
      <c r="AX27" s="20"/>
      <c r="AY27" s="50"/>
      <c r="AZ27" s="20"/>
      <c r="BA27" s="20"/>
      <c r="BB27" s="50"/>
      <c r="BC27" s="20"/>
      <c r="BD27" s="20"/>
      <c r="BE27" s="50"/>
      <c r="BF27" s="20"/>
      <c r="BG27" s="20"/>
      <c r="BH27" s="50"/>
      <c r="BI27" s="20"/>
      <c r="BJ27" s="20"/>
    </row>
    <row r="28" spans="1:62" ht="18">
      <c r="A28" s="23">
        <f>SUM('[1]Actual Expenditure 2018-19'!A466)</f>
        <v>5000</v>
      </c>
      <c r="B28" s="23">
        <f>SUM('[1]Actual Expenditure 2018-19'!B466)</f>
        <v>5000</v>
      </c>
      <c r="C28" s="9">
        <v>50</v>
      </c>
      <c r="D28" s="11" t="s">
        <v>77</v>
      </c>
      <c r="E28" s="23">
        <f>SUM('[1]Actual Expenditure 2018-19'!F466)</f>
        <v>0</v>
      </c>
      <c r="F28" s="23">
        <f>SUM('[1]Actual Expenditure 2018-19'!G466)</f>
        <v>0</v>
      </c>
      <c r="G28" s="23">
        <f>SUM('[1]Actual Expenditure 2018-19'!H466)</f>
        <v>0</v>
      </c>
      <c r="H28" s="23">
        <f>SUM('[1]Actual Expenditure 2018-19'!I466)</f>
        <v>0</v>
      </c>
      <c r="I28" s="23">
        <f>SUM('[1]Actual Expenditure 2018-19'!J466)</f>
        <v>0</v>
      </c>
      <c r="J28" s="23">
        <f>SUM('[1]Actual Expenditure 2018-19'!K466)</f>
        <v>0</v>
      </c>
      <c r="K28" s="23">
        <v>5000</v>
      </c>
      <c r="L28" s="51">
        <v>0</v>
      </c>
      <c r="M28" s="23">
        <f>SUM('[1]Actual Expenditure 2018-19'!M466)</f>
        <v>0</v>
      </c>
      <c r="N28" s="23">
        <f>SUM('[1]Actual Expenditure 2018-19'!N466)</f>
        <v>0</v>
      </c>
      <c r="O28" s="23">
        <f>SUM('[1]Actual Expenditure 2018-19'!O466)</f>
        <v>0</v>
      </c>
      <c r="P28" s="23">
        <f>SUM('[1]Actual Expenditure 2018-19'!P466)</f>
        <v>0</v>
      </c>
      <c r="Q28" s="23">
        <f>SUM('[1]Actual Expenditure 2018-19'!Q466)</f>
        <v>0</v>
      </c>
      <c r="R28" s="23">
        <f>SUM('[1]Actual Expenditure 2018-19'!R466)</f>
        <v>0</v>
      </c>
      <c r="S28" s="20" t="e">
        <f>F28/#REF!*100</f>
        <v>#REF!</v>
      </c>
      <c r="T28" s="20" t="e">
        <f>G28/#REF!*100</f>
        <v>#REF!</v>
      </c>
      <c r="U28" s="20" t="e">
        <f>H28/#REF!*100</f>
        <v>#REF!</v>
      </c>
      <c r="V28" s="20" t="e">
        <f>I28/#REF!*100</f>
        <v>#REF!</v>
      </c>
      <c r="W28" s="20" t="e">
        <f>J28/#REF!*100</f>
        <v>#REF!</v>
      </c>
      <c r="X28" s="20">
        <f t="shared" si="20"/>
        <v>0</v>
      </c>
      <c r="Y28" s="20" t="e">
        <f>M28/#REF!*100</f>
        <v>#REF!</v>
      </c>
      <c r="Z28" s="20" t="e">
        <f>N28/#REF!*100</f>
        <v>#REF!</v>
      </c>
      <c r="AA28" s="20" t="e">
        <f>O28/#REF!*100</f>
        <v>#REF!</v>
      </c>
      <c r="AB28" s="20" t="e">
        <f>P28/#REF!*100</f>
        <v>#REF!</v>
      </c>
      <c r="AC28" s="20" t="e">
        <f>Q28/#REF!*100</f>
        <v>#REF!</v>
      </c>
      <c r="AD28" s="20" t="e">
        <f>R28/#REF!*100</f>
        <v>#REF!</v>
      </c>
      <c r="AE28" s="20" t="e">
        <f>O28/E28*100</f>
        <v>#DIV/0!</v>
      </c>
      <c r="AF28" s="20" t="e">
        <f>P28/E28*100</f>
        <v>#DIV/0!</v>
      </c>
      <c r="AG28" s="20" t="e">
        <f>Q28/E28*100</f>
        <v>#DIV/0!</v>
      </c>
      <c r="AH28" s="20" t="e">
        <f>R28/E28*100</f>
        <v>#DIV/0!</v>
      </c>
      <c r="AI28" s="23">
        <v>0</v>
      </c>
      <c r="AJ28" s="20">
        <f>AI28/A28*100</f>
        <v>0</v>
      </c>
      <c r="AK28" s="23">
        <v>0</v>
      </c>
      <c r="AL28" s="20">
        <f>AK28/A28*100</f>
        <v>0</v>
      </c>
      <c r="AM28" s="23">
        <v>0</v>
      </c>
      <c r="AN28" s="20">
        <f>AM28/A28*100</f>
        <v>0</v>
      </c>
      <c r="AO28" s="23">
        <v>0</v>
      </c>
      <c r="AP28" s="20">
        <f>AO28/A28*100</f>
        <v>0</v>
      </c>
      <c r="AQ28" s="49">
        <v>0</v>
      </c>
      <c r="AR28" s="20">
        <f>AQ28/A28*100</f>
        <v>0</v>
      </c>
      <c r="AS28" s="23">
        <v>0</v>
      </c>
      <c r="AT28" s="20">
        <f>AS28/A28*100</f>
        <v>0</v>
      </c>
      <c r="AU28" s="50">
        <v>0</v>
      </c>
      <c r="AV28" s="20">
        <f>AU28/A28*100</f>
        <v>0</v>
      </c>
      <c r="AW28" s="50">
        <v>0</v>
      </c>
      <c r="AX28" s="20">
        <f>AW28/A28*100</f>
        <v>0</v>
      </c>
      <c r="AY28" s="50">
        <v>0</v>
      </c>
      <c r="AZ28" s="20">
        <f>AY28/A28*100</f>
        <v>0</v>
      </c>
      <c r="BA28" s="20">
        <f>AY28/B28*100</f>
        <v>0</v>
      </c>
      <c r="BB28" s="50">
        <v>193</v>
      </c>
      <c r="BC28" s="20">
        <f>BB28/A28*100</f>
        <v>3.8600000000000003</v>
      </c>
      <c r="BD28" s="20">
        <f>BB28/B28*100</f>
        <v>3.8600000000000003</v>
      </c>
      <c r="BE28" s="50">
        <v>193</v>
      </c>
      <c r="BF28" s="20">
        <f>BE28/A28*100</f>
        <v>3.8600000000000003</v>
      </c>
      <c r="BG28" s="20">
        <f>BE28/B28*100</f>
        <v>3.8600000000000003</v>
      </c>
      <c r="BH28" s="50">
        <v>0</v>
      </c>
      <c r="BI28" s="20">
        <f>BH28/A28*100</f>
        <v>0</v>
      </c>
      <c r="BJ28" s="20">
        <f>BH28/B28*100</f>
        <v>0</v>
      </c>
    </row>
    <row r="29" spans="1:62" ht="18">
      <c r="A29" s="23">
        <f>SUM('[1]Actual Expenditure 2018-19'!A32)+('[1]Actual Expenditure 2018-19'!A99)+('[1]Actual Expenditure 2018-19'!A149)+('[1]Actual Expenditure 2018-19'!A167)+('[1]Actual Expenditure 2018-19'!A190)+('[1]Actual Expenditure 2018-19'!A213)+('[1]Actual Expenditure 2018-19'!A233)+('[1]Actual Expenditure 2018-19'!A254)+('[1]Actual Expenditure 2018-19'!A371)+('[1]Actual Expenditure 2018-19'!A417)+('[1]Actual Expenditure 2018-19'!A432)</f>
        <v>61500</v>
      </c>
      <c r="B29" s="23">
        <f>SUM('[1]Actual Expenditure 2018-19'!B32)+('[1]Actual Expenditure 2018-19'!B99)+('[1]Actual Expenditure 2018-19'!B149)+('[1]Actual Expenditure 2018-19'!B167)+('[1]Actual Expenditure 2018-19'!B190)+('[1]Actual Expenditure 2018-19'!B213)+('[1]Actual Expenditure 2018-19'!B233)+('[1]Actual Expenditure 2018-19'!B254)+('[1]Actual Expenditure 2018-19'!B371)+('[1]Actual Expenditure 2018-19'!B417)+('[1]Actual Expenditure 2018-19'!B432)</f>
        <v>61500</v>
      </c>
      <c r="C29" s="9">
        <v>50</v>
      </c>
      <c r="D29" s="11" t="s">
        <v>78</v>
      </c>
      <c r="E29" s="23">
        <f>SUM('[1]Actual Expenditure 2018-19'!F32)+('[1]Actual Expenditure 2018-19'!F99)+('[1]Actual Expenditure 2018-19'!F149)+('[1]Actual Expenditure 2018-19'!F167)+('[1]Actual Expenditure 2018-19'!F190)+('[1]Actual Expenditure 2018-19'!F213)+('[1]Actual Expenditure 2018-19'!F233)+('[1]Actual Expenditure 2018-19'!F254)+('[1]Actual Expenditure 2018-19'!F371)+('[1]Actual Expenditure 2018-19'!F417)+('[1]Actual Expenditure 2018-19'!F432)</f>
        <v>0</v>
      </c>
      <c r="F29" s="23">
        <f>SUM('[1]Actual Expenditure 2018-19'!G32)+('[1]Actual Expenditure 2018-19'!G99)+('[1]Actual Expenditure 2018-19'!G149)+('[1]Actual Expenditure 2018-19'!G167)+('[1]Actual Expenditure 2018-19'!G190)+('[1]Actual Expenditure 2018-19'!G213)+('[1]Actual Expenditure 2018-19'!G233)+('[1]Actual Expenditure 2018-19'!G254)+('[1]Actual Expenditure 2018-19'!G371)+('[1]Actual Expenditure 2018-19'!G417)+('[1]Actual Expenditure 2018-19'!G432)</f>
        <v>0</v>
      </c>
      <c r="G29" s="23">
        <f>SUM('[1]Actual Expenditure 2018-19'!H32)+('[1]Actual Expenditure 2018-19'!H99)+('[1]Actual Expenditure 2018-19'!H149)+('[1]Actual Expenditure 2018-19'!H167)+('[1]Actual Expenditure 2018-19'!H190)+('[1]Actual Expenditure 2018-19'!H213)+('[1]Actual Expenditure 2018-19'!H233)+('[1]Actual Expenditure 2018-19'!H254)+('[1]Actual Expenditure 2018-19'!H371)+('[1]Actual Expenditure 2018-19'!H417)+('[1]Actual Expenditure 2018-19'!H432)</f>
        <v>0</v>
      </c>
      <c r="H29" s="23">
        <f>SUM('[1]Actual Expenditure 2018-19'!I32)+('[1]Actual Expenditure 2018-19'!I99)+('[1]Actual Expenditure 2018-19'!I149)+('[1]Actual Expenditure 2018-19'!I167)+('[1]Actual Expenditure 2018-19'!I190)+('[1]Actual Expenditure 2018-19'!I213)+('[1]Actual Expenditure 2018-19'!I233)+('[1]Actual Expenditure 2018-19'!I254)+('[1]Actual Expenditure 2018-19'!I371)+('[1]Actual Expenditure 2018-19'!I417)+('[1]Actual Expenditure 2018-19'!I432)</f>
        <v>0</v>
      </c>
      <c r="I29" s="23">
        <f>SUM('[1]Actual Expenditure 2018-19'!J32)+('[1]Actual Expenditure 2018-19'!J99)+('[1]Actual Expenditure 2018-19'!J149)+('[1]Actual Expenditure 2018-19'!J167)+('[1]Actual Expenditure 2018-19'!J190)+('[1]Actual Expenditure 2018-19'!J213)+('[1]Actual Expenditure 2018-19'!J233)+('[1]Actual Expenditure 2018-19'!J254)+('[1]Actual Expenditure 2018-19'!J371)+('[1]Actual Expenditure 2018-19'!J417)+('[1]Actual Expenditure 2018-19'!J432)</f>
        <v>0</v>
      </c>
      <c r="J29" s="23">
        <f>SUM('[1]Actual Expenditure 2018-19'!K32)+('[1]Actual Expenditure 2018-19'!K99)+('[1]Actual Expenditure 2018-19'!K149)+('[1]Actual Expenditure 2018-19'!K167)+('[1]Actual Expenditure 2018-19'!K190)+('[1]Actual Expenditure 2018-19'!K213)+('[1]Actual Expenditure 2018-19'!K233)+('[1]Actual Expenditure 2018-19'!K254)+('[1]Actual Expenditure 2018-19'!K371)+('[1]Actual Expenditure 2018-19'!K417)+('[1]Actual Expenditure 2018-19'!K432)</f>
        <v>17322</v>
      </c>
      <c r="K29" s="23">
        <v>63500</v>
      </c>
      <c r="L29" s="51">
        <v>0</v>
      </c>
      <c r="M29" s="23">
        <f>SUM('[1]Actual Expenditure 2018-19'!M32)+('[1]Actual Expenditure 2018-19'!M99)+('[1]Actual Expenditure 2018-19'!M149)+('[1]Actual Expenditure 2018-19'!M167)+('[1]Actual Expenditure 2018-19'!M190)+('[1]Actual Expenditure 2018-19'!M213)+('[1]Actual Expenditure 2018-19'!M233)+('[1]Actual Expenditure 2018-19'!M254)+('[1]Actual Expenditure 2018-19'!M371)+('[1]Actual Expenditure 2018-19'!M417)+('[1]Actual Expenditure 2018-19'!M432)</f>
        <v>0</v>
      </c>
      <c r="N29" s="23">
        <f>SUM('[1]Actual Expenditure 2018-19'!N32)+('[1]Actual Expenditure 2018-19'!N99)+('[1]Actual Expenditure 2018-19'!N149)+('[1]Actual Expenditure 2018-19'!N167)+('[1]Actual Expenditure 2018-19'!N190)+('[1]Actual Expenditure 2018-19'!N213)+('[1]Actual Expenditure 2018-19'!N233)+('[1]Actual Expenditure 2018-19'!N254)+('[1]Actual Expenditure 2018-19'!N371)+('[1]Actual Expenditure 2018-19'!N417)+('[1]Actual Expenditure 2018-19'!N432)</f>
        <v>0</v>
      </c>
      <c r="O29" s="23">
        <f>SUM('[1]Actual Expenditure 2018-19'!O32)+('[1]Actual Expenditure 2018-19'!O99)+('[1]Actual Expenditure 2018-19'!O149)+('[1]Actual Expenditure 2018-19'!O167)+('[1]Actual Expenditure 2018-19'!O190)+('[1]Actual Expenditure 2018-19'!O213)+('[1]Actual Expenditure 2018-19'!O233)+('[1]Actual Expenditure 2018-19'!O254)+('[1]Actual Expenditure 2018-19'!O371)+('[1]Actual Expenditure 2018-19'!O417)+('[1]Actual Expenditure 2018-19'!O432)</f>
        <v>0</v>
      </c>
      <c r="P29" s="23">
        <f>SUM('[1]Actual Expenditure 2018-19'!P32)+('[1]Actual Expenditure 2018-19'!P99)+('[1]Actual Expenditure 2018-19'!P149)+('[1]Actual Expenditure 2018-19'!P167)+('[1]Actual Expenditure 2018-19'!P190)+('[1]Actual Expenditure 2018-19'!P213)+('[1]Actual Expenditure 2018-19'!P233)+('[1]Actual Expenditure 2018-19'!P254)+('[1]Actual Expenditure 2018-19'!P371)+('[1]Actual Expenditure 2018-19'!P417)+('[1]Actual Expenditure 2018-19'!P432)</f>
        <v>0</v>
      </c>
      <c r="Q29" s="23">
        <f>SUM('[1]Actual Expenditure 2018-19'!Q32)+('[1]Actual Expenditure 2018-19'!Q99)+('[1]Actual Expenditure 2018-19'!Q149)+('[1]Actual Expenditure 2018-19'!Q167)+('[1]Actual Expenditure 2018-19'!Q190)+('[1]Actual Expenditure 2018-19'!Q213)+('[1]Actual Expenditure 2018-19'!Q233)+('[1]Actual Expenditure 2018-19'!Q254)+('[1]Actual Expenditure 2018-19'!Q371)+('[1]Actual Expenditure 2018-19'!Q417)+('[1]Actual Expenditure 2018-19'!Q432)</f>
        <v>0</v>
      </c>
      <c r="R29" s="23">
        <f>SUM('[1]Actual Expenditure 2018-19'!R32)+('[1]Actual Expenditure 2018-19'!R99)+('[1]Actual Expenditure 2018-19'!R149)+('[1]Actual Expenditure 2018-19'!R167)+('[1]Actual Expenditure 2018-19'!R190)+('[1]Actual Expenditure 2018-19'!R213)+('[1]Actual Expenditure 2018-19'!R233)+('[1]Actual Expenditure 2018-19'!R254)+('[1]Actual Expenditure 2018-19'!R371)+('[1]Actual Expenditure 2018-19'!R417)+('[1]Actual Expenditure 2018-19'!R432)</f>
        <v>0</v>
      </c>
      <c r="S29" s="20" t="e">
        <f>F29/#REF!*100</f>
        <v>#REF!</v>
      </c>
      <c r="T29" s="20" t="e">
        <f>G29/#REF!*100</f>
        <v>#REF!</v>
      </c>
      <c r="U29" s="20" t="e">
        <f>H29/#REF!*100</f>
        <v>#REF!</v>
      </c>
      <c r="V29" s="20" t="e">
        <f>I29/#REF!*100</f>
        <v>#REF!</v>
      </c>
      <c r="W29" s="20" t="e">
        <f>J29/#REF!*100</f>
        <v>#REF!</v>
      </c>
      <c r="X29" s="20">
        <f t="shared" si="20"/>
        <v>0</v>
      </c>
      <c r="Y29" s="20" t="e">
        <f>M29/#REF!*100</f>
        <v>#REF!</v>
      </c>
      <c r="Z29" s="20" t="e">
        <f>N29/#REF!*100</f>
        <v>#REF!</v>
      </c>
      <c r="AA29" s="20" t="e">
        <f>O29/#REF!*100</f>
        <v>#REF!</v>
      </c>
      <c r="AB29" s="20" t="e">
        <f>P29/#REF!*100</f>
        <v>#REF!</v>
      </c>
      <c r="AC29" s="20" t="e">
        <f>Q29/#REF!*100</f>
        <v>#REF!</v>
      </c>
      <c r="AD29" s="20" t="e">
        <f>R29/#REF!*100</f>
        <v>#REF!</v>
      </c>
      <c r="AE29" s="20" t="e">
        <f>O29/E29*100</f>
        <v>#DIV/0!</v>
      </c>
      <c r="AF29" s="20" t="e">
        <f>P29/E29*100</f>
        <v>#DIV/0!</v>
      </c>
      <c r="AG29" s="20" t="e">
        <f>Q29/E29*100</f>
        <v>#DIV/0!</v>
      </c>
      <c r="AH29" s="20" t="e">
        <f>R29/E29*100</f>
        <v>#DIV/0!</v>
      </c>
      <c r="AI29" s="23">
        <v>0</v>
      </c>
      <c r="AJ29" s="20">
        <f>AI29/A29*100</f>
        <v>0</v>
      </c>
      <c r="AK29" s="23">
        <v>428</v>
      </c>
      <c r="AL29" s="20">
        <f>AK29/A29*100</f>
        <v>0.69593495934959348</v>
      </c>
      <c r="AM29" s="23">
        <v>460</v>
      </c>
      <c r="AN29" s="20">
        <f>AM29/A29*100</f>
        <v>0.74796747967479671</v>
      </c>
      <c r="AO29" s="23">
        <v>890</v>
      </c>
      <c r="AP29" s="20">
        <f>AO29/A29*100</f>
        <v>1.4471544715447153</v>
      </c>
      <c r="AQ29" s="49">
        <v>13481</v>
      </c>
      <c r="AR29" s="20">
        <f>AQ29/A29*100</f>
        <v>21.920325203252034</v>
      </c>
      <c r="AS29" s="23">
        <v>13953</v>
      </c>
      <c r="AT29" s="20">
        <f>AS29/A29*100</f>
        <v>22.68780487804878</v>
      </c>
      <c r="AU29" s="50">
        <v>14440</v>
      </c>
      <c r="AV29" s="20">
        <f>AU29/A29*100</f>
        <v>23.479674796747968</v>
      </c>
      <c r="AW29" s="50">
        <v>14440</v>
      </c>
      <c r="AX29" s="20">
        <f>AW29/A29*100</f>
        <v>23.479674796747968</v>
      </c>
      <c r="AY29" s="50">
        <v>39749</v>
      </c>
      <c r="AZ29" s="20">
        <f>AY29/A29*100</f>
        <v>64.632520325203245</v>
      </c>
      <c r="BA29" s="20">
        <f>AY29/B29*100</f>
        <v>64.632520325203245</v>
      </c>
      <c r="BB29" s="50">
        <v>39817</v>
      </c>
      <c r="BC29" s="20">
        <f>BB29/A29*100</f>
        <v>64.743089430894301</v>
      </c>
      <c r="BD29" s="20">
        <f>BB29/B29*100</f>
        <v>64.743089430894301</v>
      </c>
      <c r="BE29" s="50">
        <v>40035</v>
      </c>
      <c r="BF29" s="20">
        <f>BE29/A29*100</f>
        <v>65.097560975609753</v>
      </c>
      <c r="BG29" s="20">
        <f>BE29/B29*100</f>
        <v>65.097560975609753</v>
      </c>
      <c r="BH29" s="50">
        <v>0</v>
      </c>
      <c r="BI29" s="20">
        <f>BH29/A29*100</f>
        <v>0</v>
      </c>
      <c r="BJ29" s="20">
        <f>BH29/B29*100</f>
        <v>0</v>
      </c>
    </row>
    <row r="30" spans="1:62" ht="18">
      <c r="A30" s="23">
        <f>SUM('[1]Actual Expenditure 2018-19'!A111)+('[1]Actual Expenditure 2018-19'!A163)+('[1]Actual Expenditure 2018-19'!A442)+('[1]Actual Expenditure 2018-19'!A444)</f>
        <v>380000</v>
      </c>
      <c r="B30" s="23">
        <f>SUM('[1]Actual Expenditure 2018-19'!B111)+('[1]Actual Expenditure 2018-19'!B163)+('[1]Actual Expenditure 2018-19'!B442)+('[1]Actual Expenditure 2018-19'!B444)</f>
        <v>380000</v>
      </c>
      <c r="C30" s="9">
        <v>63</v>
      </c>
      <c r="D30" s="23" t="s">
        <v>79</v>
      </c>
      <c r="E30" s="23">
        <f>SUM('[1]Actual Expenditure 2018-19'!F111)+('[1]Actual Expenditure 2018-19'!F163)+('[1]Actual Expenditure 2018-19'!F442)+('[1]Actual Expenditure 2018-19'!F444)</f>
        <v>0</v>
      </c>
      <c r="F30" s="23">
        <f>SUM('[1]Actual Expenditure 2018-19'!G111)+('[1]Actual Expenditure 2018-19'!G163)+('[1]Actual Expenditure 2018-19'!G442)+('[1]Actual Expenditure 2018-19'!G444)</f>
        <v>0</v>
      </c>
      <c r="G30" s="23">
        <f>SUM('[1]Actual Expenditure 2018-19'!H111)+('[1]Actual Expenditure 2018-19'!H163)+('[1]Actual Expenditure 2018-19'!H442)+('[1]Actual Expenditure 2018-19'!H444)</f>
        <v>0</v>
      </c>
      <c r="H30" s="23">
        <f>SUM('[1]Actual Expenditure 2018-19'!I111)+('[1]Actual Expenditure 2018-19'!I163)+('[1]Actual Expenditure 2018-19'!I442)+('[1]Actual Expenditure 2018-19'!I444)</f>
        <v>0</v>
      </c>
      <c r="I30" s="23">
        <f>SUM('[1]Actual Expenditure 2018-19'!J111)+('[1]Actual Expenditure 2018-19'!J163)+('[1]Actual Expenditure 2018-19'!J442)+('[1]Actual Expenditure 2018-19'!J444)</f>
        <v>0</v>
      </c>
      <c r="J30" s="23">
        <f>SUM('[1]Actual Expenditure 2018-19'!K111)+('[1]Actual Expenditure 2018-19'!K163)+('[1]Actual Expenditure 2018-19'!K442)+('[1]Actual Expenditure 2018-19'!K444)</f>
        <v>0</v>
      </c>
      <c r="K30" s="23">
        <v>100000</v>
      </c>
      <c r="L30" s="52">
        <v>0</v>
      </c>
      <c r="M30" s="23">
        <f>SUM('[1]Actual Expenditure 2018-19'!M111)+('[1]Actual Expenditure 2018-19'!M163)+('[1]Actual Expenditure 2018-19'!M442)+('[1]Actual Expenditure 2018-19'!M444)</f>
        <v>0</v>
      </c>
      <c r="N30" s="23">
        <f>SUM('[1]Actual Expenditure 2018-19'!N111)+('[1]Actual Expenditure 2018-19'!N163)+('[1]Actual Expenditure 2018-19'!N442)+('[1]Actual Expenditure 2018-19'!N444)</f>
        <v>0</v>
      </c>
      <c r="O30" s="23">
        <f>SUM('[1]Actual Expenditure 2018-19'!O111)+('[1]Actual Expenditure 2018-19'!O163)+('[1]Actual Expenditure 2018-19'!O442)+('[1]Actual Expenditure 2018-19'!O444)</f>
        <v>0</v>
      </c>
      <c r="P30" s="23">
        <f>SUM('[1]Actual Expenditure 2018-19'!P111)+('[1]Actual Expenditure 2018-19'!P163)+('[1]Actual Expenditure 2018-19'!P442)+('[1]Actual Expenditure 2018-19'!P444)</f>
        <v>0</v>
      </c>
      <c r="Q30" s="23">
        <f>SUM('[1]Actual Expenditure 2018-19'!Q111)+('[1]Actual Expenditure 2018-19'!Q163)+('[1]Actual Expenditure 2018-19'!Q442)+('[1]Actual Expenditure 2018-19'!Q444)</f>
        <v>0</v>
      </c>
      <c r="R30" s="23">
        <f>SUM('[1]Actual Expenditure 2018-19'!R111)+('[1]Actual Expenditure 2018-19'!R163)+('[1]Actual Expenditure 2018-19'!R442)+('[1]Actual Expenditure 2018-19'!R444)</f>
        <v>0</v>
      </c>
      <c r="S30" s="20"/>
      <c r="T30" s="20"/>
      <c r="U30" s="20"/>
      <c r="V30" s="20"/>
      <c r="W30" s="20"/>
      <c r="X30" s="20">
        <f t="shared" si="20"/>
        <v>0</v>
      </c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3">
        <v>0</v>
      </c>
      <c r="AJ30" s="20"/>
      <c r="AK30" s="23">
        <v>0</v>
      </c>
      <c r="AL30" s="20"/>
      <c r="AM30" s="23">
        <v>0</v>
      </c>
      <c r="AN30" s="20"/>
      <c r="AO30" s="23">
        <v>0</v>
      </c>
      <c r="AP30" s="20">
        <f>AO30/A30*100</f>
        <v>0</v>
      </c>
      <c r="AQ30" s="49">
        <v>0</v>
      </c>
      <c r="AR30" s="20">
        <f>AQ30/A30*100</f>
        <v>0</v>
      </c>
      <c r="AS30" s="23">
        <v>0</v>
      </c>
      <c r="AT30" s="20">
        <f>AS30/A30*100</f>
        <v>0</v>
      </c>
      <c r="AU30" s="50">
        <v>0</v>
      </c>
      <c r="AV30" s="20">
        <f>AU30/A30*100</f>
        <v>0</v>
      </c>
      <c r="AW30" s="50">
        <v>0</v>
      </c>
      <c r="AX30" s="20">
        <f>AW30/A30*100</f>
        <v>0</v>
      </c>
      <c r="AY30" s="50">
        <v>0</v>
      </c>
      <c r="AZ30" s="20">
        <f>AY30/A30*100</f>
        <v>0</v>
      </c>
      <c r="BA30" s="20">
        <f>AY30/B30*100</f>
        <v>0</v>
      </c>
      <c r="BB30" s="50">
        <v>0</v>
      </c>
      <c r="BC30" s="20">
        <f>BB30/A30*100</f>
        <v>0</v>
      </c>
      <c r="BD30" s="20">
        <f>BB30/B30*100</f>
        <v>0</v>
      </c>
      <c r="BE30" s="50">
        <v>0</v>
      </c>
      <c r="BF30" s="20">
        <f>BE30/A30*100</f>
        <v>0</v>
      </c>
      <c r="BG30" s="20">
        <f>BE30/B30*100</f>
        <v>0</v>
      </c>
      <c r="BH30" s="50">
        <v>0</v>
      </c>
      <c r="BI30" s="20">
        <f>BH30/A30*100</f>
        <v>0</v>
      </c>
      <c r="BJ30" s="20">
        <f>BH30/B30*100</f>
        <v>0</v>
      </c>
    </row>
    <row r="31" spans="1:62" ht="18">
      <c r="A31" s="23"/>
      <c r="B31" s="23"/>
      <c r="C31" s="9"/>
      <c r="D31" s="23" t="s">
        <v>80</v>
      </c>
      <c r="E31" s="23"/>
      <c r="F31" s="23"/>
      <c r="G31" s="23"/>
      <c r="H31" s="23"/>
      <c r="I31" s="23"/>
      <c r="J31" s="23"/>
      <c r="K31" s="23"/>
      <c r="L31" s="52"/>
      <c r="M31" s="23"/>
      <c r="N31" s="23"/>
      <c r="O31" s="23"/>
      <c r="P31" s="23"/>
      <c r="Q31" s="23"/>
      <c r="R31" s="23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3"/>
      <c r="AJ31" s="20"/>
      <c r="AK31" s="23"/>
      <c r="AL31" s="20"/>
      <c r="AM31" s="23"/>
      <c r="AN31" s="20"/>
      <c r="AO31" s="23"/>
      <c r="AP31" s="20"/>
      <c r="AQ31" s="49"/>
      <c r="AR31" s="20"/>
      <c r="AS31" s="23"/>
      <c r="AT31" s="20"/>
      <c r="AU31" s="50"/>
      <c r="AV31" s="20"/>
      <c r="AW31" s="50"/>
      <c r="AX31" s="20"/>
      <c r="AY31" s="50"/>
      <c r="AZ31" s="20"/>
      <c r="BA31" s="20"/>
      <c r="BB31" s="50"/>
      <c r="BC31" s="20"/>
      <c r="BD31" s="20"/>
      <c r="BE31" s="50"/>
      <c r="BF31" s="20"/>
      <c r="BG31" s="20"/>
      <c r="BH31" s="50"/>
      <c r="BI31" s="20"/>
      <c r="BJ31" s="20"/>
    </row>
    <row r="32" spans="1:62" ht="18">
      <c r="A32" s="23">
        <f>SUM('[1]Actual Expenditure 2018-19'!A35)+('[1]Actual Expenditure 2018-19'!A55)+('[1]Actual Expenditure 2018-19'!A71)+('[1]Actual Expenditure 2018-19'!A102)+('[1]Actual Expenditure 2018-19'!A127)+('[1]Actual Expenditure 2018-19'!A151)+('[1]Actual Expenditure 2018-19'!A192)+('[1]Actual Expenditure 2018-19'!A215)+('[1]Actual Expenditure 2018-19'!A235)+('[1]Actual Expenditure 2018-19'!A256)+('[1]Actual Expenditure 2018-19'!A278)+('[1]Actual Expenditure 2018-19'!A294)+('[1]Actual Expenditure 2018-19'!A309)+('[1]Actual Expenditure 2018-19'!A344)+('[1]Actual Expenditure 2018-19'!A374)+('[1]Actual Expenditure 2018-19'!A393)+('[1]Actual Expenditure 2018-19'!A420)</f>
        <v>490000</v>
      </c>
      <c r="B32" s="23">
        <f>SUM('[1]Actual Expenditure 2018-19'!B35)+('[1]Actual Expenditure 2018-19'!B55)+('[1]Actual Expenditure 2018-19'!B71)+('[1]Actual Expenditure 2018-19'!B102)+('[1]Actual Expenditure 2018-19'!B127)+('[1]Actual Expenditure 2018-19'!B151)+('[1]Actual Expenditure 2018-19'!B192)+('[1]Actual Expenditure 2018-19'!B215)+('[1]Actual Expenditure 2018-19'!B235)+('[1]Actual Expenditure 2018-19'!B256)+('[1]Actual Expenditure 2018-19'!B278)+('[1]Actual Expenditure 2018-19'!B294)+('[1]Actual Expenditure 2018-19'!B309)+('[1]Actual Expenditure 2018-19'!B344)+('[1]Actual Expenditure 2018-19'!B374)+('[1]Actual Expenditure 2018-19'!B393)+('[1]Actual Expenditure 2018-19'!B420)</f>
        <v>490000</v>
      </c>
      <c r="C32" s="9">
        <v>96.13</v>
      </c>
      <c r="D32" s="11" t="s">
        <v>81</v>
      </c>
      <c r="E32" s="23">
        <f>SUM('[1]Actual Expenditure 2018-19'!F35)+('[1]Actual Expenditure 2018-19'!F55)+('[1]Actual Expenditure 2018-19'!F71)+('[1]Actual Expenditure 2018-19'!F102)+('[1]Actual Expenditure 2018-19'!F127)+('[1]Actual Expenditure 2018-19'!F151)+('[1]Actual Expenditure 2018-19'!F192)+('[1]Actual Expenditure 2018-19'!F215)+('[1]Actual Expenditure 2018-19'!F235)+('[1]Actual Expenditure 2018-19'!F256)+('[1]Actual Expenditure 2018-19'!F278)+('[1]Actual Expenditure 2018-19'!F294)+('[1]Actual Expenditure 2018-19'!F309)+('[1]Actual Expenditure 2018-19'!F344)+('[1]Actual Expenditure 2018-19'!F374)+('[1]Actual Expenditure 2018-19'!F393)+('[1]Actual Expenditure 2018-19'!F420)</f>
        <v>0</v>
      </c>
      <c r="F32" s="23">
        <f>SUM('[1]Actual Expenditure 2018-19'!G35)+('[1]Actual Expenditure 2018-19'!G55)+('[1]Actual Expenditure 2018-19'!G71)+('[1]Actual Expenditure 2018-19'!G102)+('[1]Actual Expenditure 2018-19'!G127)+('[1]Actual Expenditure 2018-19'!G151)+('[1]Actual Expenditure 2018-19'!G192)+('[1]Actual Expenditure 2018-19'!G215)+('[1]Actual Expenditure 2018-19'!G235)+('[1]Actual Expenditure 2018-19'!G256)+('[1]Actual Expenditure 2018-19'!G278)+('[1]Actual Expenditure 2018-19'!G294)+('[1]Actual Expenditure 2018-19'!G309)+('[1]Actual Expenditure 2018-19'!G344)+('[1]Actual Expenditure 2018-19'!G374)+('[1]Actual Expenditure 2018-19'!G393)+('[1]Actual Expenditure 2018-19'!G420)</f>
        <v>6110</v>
      </c>
      <c r="G32" s="23">
        <f>SUM('[1]Actual Expenditure 2018-19'!H35)+('[1]Actual Expenditure 2018-19'!H55)+('[1]Actual Expenditure 2018-19'!H71)+('[1]Actual Expenditure 2018-19'!H102)+('[1]Actual Expenditure 2018-19'!H127)+('[1]Actual Expenditure 2018-19'!H151)+('[1]Actual Expenditure 2018-19'!H192)+('[1]Actual Expenditure 2018-19'!H215)+('[1]Actual Expenditure 2018-19'!H235)+('[1]Actual Expenditure 2018-19'!H256)+('[1]Actual Expenditure 2018-19'!H278)+('[1]Actual Expenditure 2018-19'!H294)+('[1]Actual Expenditure 2018-19'!H309)+('[1]Actual Expenditure 2018-19'!H344)+('[1]Actual Expenditure 2018-19'!H374)+('[1]Actual Expenditure 2018-19'!H393)+('[1]Actual Expenditure 2018-19'!H420)</f>
        <v>0</v>
      </c>
      <c r="H32" s="23">
        <f>SUM('[1]Actual Expenditure 2018-19'!I35)+('[1]Actual Expenditure 2018-19'!I55)+('[1]Actual Expenditure 2018-19'!I71)+('[1]Actual Expenditure 2018-19'!I102)+('[1]Actual Expenditure 2018-19'!I127)+('[1]Actual Expenditure 2018-19'!I151)+('[1]Actual Expenditure 2018-19'!I192)+('[1]Actual Expenditure 2018-19'!I215)+('[1]Actual Expenditure 2018-19'!I235)+('[1]Actual Expenditure 2018-19'!I256)+('[1]Actual Expenditure 2018-19'!I278)+('[1]Actual Expenditure 2018-19'!I294)+('[1]Actual Expenditure 2018-19'!I309)+('[1]Actual Expenditure 2018-19'!I344)+('[1]Actual Expenditure 2018-19'!I374)+('[1]Actual Expenditure 2018-19'!I393)+('[1]Actual Expenditure 2018-19'!I420)</f>
        <v>0</v>
      </c>
      <c r="I32" s="23">
        <f>SUM('[1]Actual Expenditure 2018-19'!J35)+('[1]Actual Expenditure 2018-19'!J55)+('[1]Actual Expenditure 2018-19'!J71)+('[1]Actual Expenditure 2018-19'!J102)+('[1]Actual Expenditure 2018-19'!J127)+('[1]Actual Expenditure 2018-19'!J151)+('[1]Actual Expenditure 2018-19'!J192)+('[1]Actual Expenditure 2018-19'!J215)+('[1]Actual Expenditure 2018-19'!J235)+('[1]Actual Expenditure 2018-19'!J256)+('[1]Actual Expenditure 2018-19'!J278)+('[1]Actual Expenditure 2018-19'!J294)+('[1]Actual Expenditure 2018-19'!J309)+('[1]Actual Expenditure 2018-19'!J344)+('[1]Actual Expenditure 2018-19'!J374)+('[1]Actual Expenditure 2018-19'!J393)+('[1]Actual Expenditure 2018-19'!J420)</f>
        <v>0</v>
      </c>
      <c r="J32" s="23">
        <f>SUM('[1]Actual Expenditure 2018-19'!K35)+('[1]Actual Expenditure 2018-19'!K55)+('[1]Actual Expenditure 2018-19'!K71)+('[1]Actual Expenditure 2018-19'!K102)+('[1]Actual Expenditure 2018-19'!K127)+('[1]Actual Expenditure 2018-19'!K151)+('[1]Actual Expenditure 2018-19'!K192)+('[1]Actual Expenditure 2018-19'!K215)+('[1]Actual Expenditure 2018-19'!K235)+('[1]Actual Expenditure 2018-19'!K256)+('[1]Actual Expenditure 2018-19'!K278)+('[1]Actual Expenditure 2018-19'!K294)+('[1]Actual Expenditure 2018-19'!K309)+('[1]Actual Expenditure 2018-19'!K344)+('[1]Actual Expenditure 2018-19'!K374)+('[1]Actual Expenditure 2018-19'!K393)+('[1]Actual Expenditure 2018-19'!K420)</f>
        <v>73770</v>
      </c>
      <c r="K32" s="23">
        <v>600000</v>
      </c>
      <c r="L32" s="52">
        <v>8936</v>
      </c>
      <c r="M32" s="23">
        <f>SUM('[1]Actual Expenditure 2018-19'!M35)+('[1]Actual Expenditure 2018-19'!M55)+('[1]Actual Expenditure 2018-19'!M71)+('[1]Actual Expenditure 2018-19'!M102)+('[1]Actual Expenditure 2018-19'!M127)+('[1]Actual Expenditure 2018-19'!M151)+('[1]Actual Expenditure 2018-19'!M192)+('[1]Actual Expenditure 2018-19'!M215)+('[1]Actual Expenditure 2018-19'!M235)+('[1]Actual Expenditure 2018-19'!M256)+('[1]Actual Expenditure 2018-19'!M278)+('[1]Actual Expenditure 2018-19'!M294)+('[1]Actual Expenditure 2018-19'!M309)+('[1]Actual Expenditure 2018-19'!M344)+('[1]Actual Expenditure 2018-19'!M374)+('[1]Actual Expenditure 2018-19'!M393)+('[1]Actual Expenditure 2018-19'!M420)</f>
        <v>0</v>
      </c>
      <c r="N32" s="23">
        <f>SUM('[1]Actual Expenditure 2018-19'!N35)+('[1]Actual Expenditure 2018-19'!N55)+('[1]Actual Expenditure 2018-19'!N71)+('[1]Actual Expenditure 2018-19'!N102)+('[1]Actual Expenditure 2018-19'!N127)+('[1]Actual Expenditure 2018-19'!N151)+('[1]Actual Expenditure 2018-19'!N192)+('[1]Actual Expenditure 2018-19'!N215)+('[1]Actual Expenditure 2018-19'!N235)+('[1]Actual Expenditure 2018-19'!N256)+('[1]Actual Expenditure 2018-19'!N278)+('[1]Actual Expenditure 2018-19'!N294)+('[1]Actual Expenditure 2018-19'!N309)+('[1]Actual Expenditure 2018-19'!N344)+('[1]Actual Expenditure 2018-19'!N374)+('[1]Actual Expenditure 2018-19'!N393)+('[1]Actual Expenditure 2018-19'!N420)</f>
        <v>0</v>
      </c>
      <c r="O32" s="23">
        <f>SUM('[1]Actual Expenditure 2018-19'!O35)+('[1]Actual Expenditure 2018-19'!O55)+('[1]Actual Expenditure 2018-19'!O71)+('[1]Actual Expenditure 2018-19'!O102)+('[1]Actual Expenditure 2018-19'!O127)+('[1]Actual Expenditure 2018-19'!O151)+('[1]Actual Expenditure 2018-19'!O192)+('[1]Actual Expenditure 2018-19'!O215)+('[1]Actual Expenditure 2018-19'!O235)+('[1]Actual Expenditure 2018-19'!O256)+('[1]Actual Expenditure 2018-19'!O278)+('[1]Actual Expenditure 2018-19'!O294)+('[1]Actual Expenditure 2018-19'!O309)+('[1]Actual Expenditure 2018-19'!O344)+('[1]Actual Expenditure 2018-19'!O374)+('[1]Actual Expenditure 2018-19'!O393)+('[1]Actual Expenditure 2018-19'!O420)</f>
        <v>0</v>
      </c>
      <c r="P32" s="23">
        <f>SUM('[1]Actual Expenditure 2018-19'!P35)+('[1]Actual Expenditure 2018-19'!P55)+('[1]Actual Expenditure 2018-19'!P71)+('[1]Actual Expenditure 2018-19'!P102)+('[1]Actual Expenditure 2018-19'!P127)+('[1]Actual Expenditure 2018-19'!P151)+('[1]Actual Expenditure 2018-19'!P192)+('[1]Actual Expenditure 2018-19'!P215)+('[1]Actual Expenditure 2018-19'!P235)+('[1]Actual Expenditure 2018-19'!P256)+('[1]Actual Expenditure 2018-19'!P278)+('[1]Actual Expenditure 2018-19'!P294)+('[1]Actual Expenditure 2018-19'!P309)+('[1]Actual Expenditure 2018-19'!P344)+('[1]Actual Expenditure 2018-19'!P374)+('[1]Actual Expenditure 2018-19'!P393)+('[1]Actual Expenditure 2018-19'!P420)</f>
        <v>0</v>
      </c>
      <c r="Q32" s="23">
        <f>SUM('[1]Actual Expenditure 2018-19'!Q35)+('[1]Actual Expenditure 2018-19'!Q55)+('[1]Actual Expenditure 2018-19'!Q71)+('[1]Actual Expenditure 2018-19'!Q102)+('[1]Actual Expenditure 2018-19'!Q127)+('[1]Actual Expenditure 2018-19'!Q151)+('[1]Actual Expenditure 2018-19'!Q192)+('[1]Actual Expenditure 2018-19'!Q215)+('[1]Actual Expenditure 2018-19'!Q235)+('[1]Actual Expenditure 2018-19'!Q256)+('[1]Actual Expenditure 2018-19'!Q278)+('[1]Actual Expenditure 2018-19'!Q294)+('[1]Actual Expenditure 2018-19'!Q309)+('[1]Actual Expenditure 2018-19'!Q344)+('[1]Actual Expenditure 2018-19'!Q374)+('[1]Actual Expenditure 2018-19'!Q393)+('[1]Actual Expenditure 2018-19'!Q420)</f>
        <v>0</v>
      </c>
      <c r="R32" s="23">
        <f>SUM('[1]Actual Expenditure 2018-19'!R35)+('[1]Actual Expenditure 2018-19'!R55)+('[1]Actual Expenditure 2018-19'!R71)+('[1]Actual Expenditure 2018-19'!R102)+('[1]Actual Expenditure 2018-19'!R127)+('[1]Actual Expenditure 2018-19'!R151)+('[1]Actual Expenditure 2018-19'!R192)+('[1]Actual Expenditure 2018-19'!R215)+('[1]Actual Expenditure 2018-19'!R235)+('[1]Actual Expenditure 2018-19'!R256)+('[1]Actual Expenditure 2018-19'!R278)+('[1]Actual Expenditure 2018-19'!R294)+('[1]Actual Expenditure 2018-19'!R309)+('[1]Actual Expenditure 2018-19'!R344)+('[1]Actual Expenditure 2018-19'!R374)+('[1]Actual Expenditure 2018-19'!R393)+('[1]Actual Expenditure 2018-19'!R420)</f>
        <v>0</v>
      </c>
      <c r="S32" s="20" t="e">
        <f>F32/#REF!*100</f>
        <v>#REF!</v>
      </c>
      <c r="T32" s="20"/>
      <c r="U32" s="20"/>
      <c r="V32" s="20"/>
      <c r="W32" s="20" t="e">
        <f>J32/#REF!*100</f>
        <v>#REF!</v>
      </c>
      <c r="X32" s="20">
        <f t="shared" si="20"/>
        <v>1.4893333333333334</v>
      </c>
      <c r="Y32" s="20" t="e">
        <f>M32/#REF!*100</f>
        <v>#REF!</v>
      </c>
      <c r="Z32" s="20"/>
      <c r="AA32" s="20" t="e">
        <f>O32/#REF!*100</f>
        <v>#REF!</v>
      </c>
      <c r="AB32" s="20"/>
      <c r="AC32" s="20"/>
      <c r="AD32" s="20"/>
      <c r="AE32" s="20"/>
      <c r="AF32" s="20"/>
      <c r="AG32" s="20"/>
      <c r="AH32" s="20"/>
      <c r="AI32" s="23">
        <v>714</v>
      </c>
      <c r="AJ32" s="20">
        <f>AI32/A32*100</f>
        <v>0.14571428571428571</v>
      </c>
      <c r="AK32" s="23">
        <v>3504</v>
      </c>
      <c r="AL32" s="20">
        <f>AK32/A32*100</f>
        <v>0.71510204081632656</v>
      </c>
      <c r="AM32" s="23">
        <v>7258</v>
      </c>
      <c r="AN32" s="20">
        <f>AM32/A32*100</f>
        <v>1.4812244897959184</v>
      </c>
      <c r="AO32" s="23">
        <v>14371</v>
      </c>
      <c r="AP32" s="20">
        <f>AO32/A32*100</f>
        <v>2.9328571428571428</v>
      </c>
      <c r="AQ32" s="49">
        <v>26211</v>
      </c>
      <c r="AR32" s="20">
        <f>AQ32/A32*100</f>
        <v>5.3491836734693878</v>
      </c>
      <c r="AS32" s="23">
        <v>35334</v>
      </c>
      <c r="AT32" s="20">
        <f>AS32/A32*100</f>
        <v>7.2110204081632654</v>
      </c>
      <c r="AU32" s="50">
        <v>45223</v>
      </c>
      <c r="AV32" s="20">
        <f>AU32/A32*100</f>
        <v>9.2291836734693877</v>
      </c>
      <c r="AW32" s="50">
        <v>57495</v>
      </c>
      <c r="AX32" s="20">
        <f>AW32/A32*100</f>
        <v>11.733673469387755</v>
      </c>
      <c r="AY32" s="50">
        <v>74232</v>
      </c>
      <c r="AZ32" s="20">
        <f>AY32/A32*100</f>
        <v>15.14938775510204</v>
      </c>
      <c r="BA32" s="20">
        <f>AY32/B32*100</f>
        <v>15.14938775510204</v>
      </c>
      <c r="BB32" s="50">
        <v>96457</v>
      </c>
      <c r="BC32" s="20">
        <f>BB32/A32*100</f>
        <v>19.685102040816325</v>
      </c>
      <c r="BD32" s="20">
        <f>BB32/B32*100</f>
        <v>19.685102040816325</v>
      </c>
      <c r="BE32" s="50">
        <v>124610</v>
      </c>
      <c r="BF32" s="20">
        <f>BE32/A32*100</f>
        <v>25.430612244897961</v>
      </c>
      <c r="BG32" s="20">
        <f>BE32/B32*100</f>
        <v>25.430612244897961</v>
      </c>
      <c r="BH32" s="50"/>
      <c r="BI32" s="20">
        <f>BH32/A32*100</f>
        <v>0</v>
      </c>
      <c r="BJ32" s="20">
        <f>BH32/B32*100</f>
        <v>0</v>
      </c>
    </row>
    <row r="33" spans="1:62" ht="18">
      <c r="A33" s="23"/>
      <c r="B33" s="23"/>
      <c r="C33" s="9"/>
      <c r="D33" s="23" t="s">
        <v>82</v>
      </c>
      <c r="E33" s="23"/>
      <c r="F33" s="23"/>
      <c r="G33" s="23"/>
      <c r="H33" s="23"/>
      <c r="I33" s="23"/>
      <c r="J33" s="23"/>
      <c r="K33" s="23"/>
      <c r="L33" s="52"/>
      <c r="M33" s="23">
        <f>SUM('[1]Actual Expenditure 2018-19'!M36)+('[1]Actual Expenditure 2018-19'!M56)+('[1]Actual Expenditure 2018-19'!M72)+('[1]Actual Expenditure 2018-19'!M103)+('[1]Actual Expenditure 2018-19'!M128)+('[1]Actual Expenditure 2018-19'!M152)+('[1]Actual Expenditure 2018-19'!M193)+('[1]Actual Expenditure 2018-19'!M216)+('[1]Actual Expenditure 2018-19'!M236)+('[1]Actual Expenditure 2018-19'!M257)+('[1]Actual Expenditure 2018-19'!M279)+('[1]Actual Expenditure 2018-19'!M295)+('[1]Actual Expenditure 2018-19'!M310)+('[1]Actual Expenditure 2018-19'!M325)+('[1]Actual Expenditure 2018-19'!M345)+('[1]Actual Expenditure 2018-19'!M375)+('[1]Actual Expenditure 2018-19'!M394)+('[1]Actual Expenditure 2018-19'!M421)</f>
        <v>0</v>
      </c>
      <c r="N33" s="23"/>
      <c r="O33" s="23"/>
      <c r="P33" s="23"/>
      <c r="Q33" s="23"/>
      <c r="R33" s="23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3"/>
      <c r="AJ33" s="23"/>
      <c r="AK33" s="23"/>
      <c r="AL33" s="23"/>
      <c r="AM33" s="23"/>
      <c r="AN33" s="20"/>
      <c r="AO33" s="23"/>
      <c r="AP33" s="20"/>
      <c r="AQ33" s="49"/>
      <c r="AR33" s="20"/>
      <c r="AS33" s="23"/>
      <c r="AT33" s="20"/>
      <c r="AU33" s="50"/>
      <c r="AV33" s="20" t="s">
        <v>76</v>
      </c>
      <c r="AW33" s="50"/>
      <c r="AX33" s="20"/>
      <c r="AY33" s="50"/>
      <c r="AZ33" s="20"/>
      <c r="BA33" s="20"/>
      <c r="BB33" s="50"/>
      <c r="BC33" s="20"/>
      <c r="BD33" s="20"/>
      <c r="BE33" s="50"/>
      <c r="BF33" s="20"/>
      <c r="BG33" s="20"/>
      <c r="BH33" s="50"/>
      <c r="BI33" s="20"/>
      <c r="BJ33" s="20"/>
    </row>
    <row r="34" spans="1:62" ht="18">
      <c r="A34" s="23">
        <f>SUM('[1]Actual Expenditure 2018-19'!A37)+('[1]Actual Expenditure 2018-19'!A57)+('[1]Actual Expenditure 2018-19'!A73)+('[1]Actual Expenditure 2018-19'!A104)+('[1]Actual Expenditure 2018-19'!A129)+('[1]Actual Expenditure 2018-19'!A153)+('[1]Actual Expenditure 2018-19'!A194)+('[1]Actual Expenditure 2018-19'!A217)+('[1]Actual Expenditure 2018-19'!A237)+('[1]Actual Expenditure 2018-19'!A258)+('[1]Actual Expenditure 2018-19'!A280)+('[1]Actual Expenditure 2018-19'!A296)+('[1]Actual Expenditure 2018-19'!A311)+('[1]Actual Expenditure 2018-19'!A326)+('[1]Actual Expenditure 2018-19'!A346)+('[1]Actual Expenditure 2018-19'!A376)+('[1]Actual Expenditure 2018-19'!A395)+('[1]Actual Expenditure 2018-19'!A422)</f>
        <v>5100000</v>
      </c>
      <c r="B34" s="23">
        <f>SUM('[1]Actual Expenditure 2018-19'!B37)+('[1]Actual Expenditure 2018-19'!B57)+('[1]Actual Expenditure 2018-19'!B73)+('[1]Actual Expenditure 2018-19'!B104)+('[1]Actual Expenditure 2018-19'!B129)+('[1]Actual Expenditure 2018-19'!B153)+('[1]Actual Expenditure 2018-19'!B194)+('[1]Actual Expenditure 2018-19'!B217)+('[1]Actual Expenditure 2018-19'!B237)+('[1]Actual Expenditure 2018-19'!B258)+('[1]Actual Expenditure 2018-19'!B280)+('[1]Actual Expenditure 2018-19'!B296)+('[1]Actual Expenditure 2018-19'!B311)+('[1]Actual Expenditure 2018-19'!B326)+('[1]Actual Expenditure 2018-19'!B346)+('[1]Actual Expenditure 2018-19'!B376)+('[1]Actual Expenditure 2018-19'!B395)+('[1]Actual Expenditure 2018-19'!B422)</f>
        <v>5186900</v>
      </c>
      <c r="C34" s="9">
        <v>99.13</v>
      </c>
      <c r="D34" s="11" t="s">
        <v>81</v>
      </c>
      <c r="E34" s="23">
        <f>SUM('[1]Actual Expenditure 2018-19'!F37)+('[1]Actual Expenditure 2018-19'!F57)+('[1]Actual Expenditure 2018-19'!F73)+('[1]Actual Expenditure 2018-19'!F104)+('[1]Actual Expenditure 2018-19'!F129)+('[1]Actual Expenditure 2018-19'!F153)+('[1]Actual Expenditure 2018-19'!F194)+('[1]Actual Expenditure 2018-19'!F217)+('[1]Actual Expenditure 2018-19'!F237)+('[1]Actual Expenditure 2018-19'!F258)+('[1]Actual Expenditure 2018-19'!F280)+('[1]Actual Expenditure 2018-19'!F296)+('[1]Actual Expenditure 2018-19'!F311)+('[1]Actual Expenditure 2018-19'!F326)+('[1]Actual Expenditure 2018-19'!F346)+('[1]Actual Expenditure 2018-19'!F376)+('[1]Actual Expenditure 2018-19'!F395)+('[1]Actual Expenditure 2018-19'!F422)</f>
        <v>0</v>
      </c>
      <c r="F34" s="23">
        <f>SUM('[1]Actual Expenditure 2018-19'!G37)+('[1]Actual Expenditure 2018-19'!G57)+('[1]Actual Expenditure 2018-19'!G73)+('[1]Actual Expenditure 2018-19'!G104)+('[1]Actual Expenditure 2018-19'!G129)+('[1]Actual Expenditure 2018-19'!G153)+('[1]Actual Expenditure 2018-19'!G194)+('[1]Actual Expenditure 2018-19'!G217)+('[1]Actual Expenditure 2018-19'!G237)+('[1]Actual Expenditure 2018-19'!G258)+('[1]Actual Expenditure 2018-19'!G280)+('[1]Actual Expenditure 2018-19'!G296)+('[1]Actual Expenditure 2018-19'!G311)+('[1]Actual Expenditure 2018-19'!G326)+('[1]Actual Expenditure 2018-19'!G346)+('[1]Actual Expenditure 2018-19'!G376)+('[1]Actual Expenditure 2018-19'!G395)+('[1]Actual Expenditure 2018-19'!G422)</f>
        <v>4106</v>
      </c>
      <c r="G34" s="23">
        <f>SUM('[1]Actual Expenditure 2018-19'!H37)+('[1]Actual Expenditure 2018-19'!H57)+('[1]Actual Expenditure 2018-19'!H73)+('[1]Actual Expenditure 2018-19'!H104)+('[1]Actual Expenditure 2018-19'!H129)+('[1]Actual Expenditure 2018-19'!H153)+('[1]Actual Expenditure 2018-19'!H194)+('[1]Actual Expenditure 2018-19'!H217)+('[1]Actual Expenditure 2018-19'!H237)+('[1]Actual Expenditure 2018-19'!H258)+('[1]Actual Expenditure 2018-19'!H280)+('[1]Actual Expenditure 2018-19'!H296)+('[1]Actual Expenditure 2018-19'!H311)+('[1]Actual Expenditure 2018-19'!H326)+('[1]Actual Expenditure 2018-19'!H346)+('[1]Actual Expenditure 2018-19'!H376)+('[1]Actual Expenditure 2018-19'!H395)+('[1]Actual Expenditure 2018-19'!H422)</f>
        <v>0</v>
      </c>
      <c r="H34" s="23">
        <f>SUM('[1]Actual Expenditure 2018-19'!I37)+('[1]Actual Expenditure 2018-19'!I57)+('[1]Actual Expenditure 2018-19'!I73)+('[1]Actual Expenditure 2018-19'!I104)+('[1]Actual Expenditure 2018-19'!I129)+('[1]Actual Expenditure 2018-19'!I153)+('[1]Actual Expenditure 2018-19'!I194)+('[1]Actual Expenditure 2018-19'!I217)+('[1]Actual Expenditure 2018-19'!I237)+('[1]Actual Expenditure 2018-19'!I258)+('[1]Actual Expenditure 2018-19'!I280)+('[1]Actual Expenditure 2018-19'!I296)+('[1]Actual Expenditure 2018-19'!I311)+('[1]Actual Expenditure 2018-19'!I326)+('[1]Actual Expenditure 2018-19'!I346)+('[1]Actual Expenditure 2018-19'!I376)+('[1]Actual Expenditure 2018-19'!I395)+('[1]Actual Expenditure 2018-19'!I422)</f>
        <v>0</v>
      </c>
      <c r="I34" s="23">
        <f>SUM('[1]Actual Expenditure 2018-19'!J37)+('[1]Actual Expenditure 2018-19'!J57)+('[1]Actual Expenditure 2018-19'!J73)+('[1]Actual Expenditure 2018-19'!J104)+('[1]Actual Expenditure 2018-19'!J129)+('[1]Actual Expenditure 2018-19'!J153)+('[1]Actual Expenditure 2018-19'!J194)+('[1]Actual Expenditure 2018-19'!J217)+('[1]Actual Expenditure 2018-19'!J237)+('[1]Actual Expenditure 2018-19'!J258)+('[1]Actual Expenditure 2018-19'!J280)+('[1]Actual Expenditure 2018-19'!J296)+('[1]Actual Expenditure 2018-19'!J311)+('[1]Actual Expenditure 2018-19'!J326)+('[1]Actual Expenditure 2018-19'!J346)+('[1]Actual Expenditure 2018-19'!J376)+('[1]Actual Expenditure 2018-19'!J395)+('[1]Actual Expenditure 2018-19'!J422)</f>
        <v>0</v>
      </c>
      <c r="J34" s="23">
        <f>SUM('[1]Actual Expenditure 2018-19'!K37)+('[1]Actual Expenditure 2018-19'!K57)+('[1]Actual Expenditure 2018-19'!K73)+('[1]Actual Expenditure 2018-19'!K104)+('[1]Actual Expenditure 2018-19'!K129)+('[1]Actual Expenditure 2018-19'!K153)+('[1]Actual Expenditure 2018-19'!K194)+('[1]Actual Expenditure 2018-19'!K217)+('[1]Actual Expenditure 2018-19'!K237)+('[1]Actual Expenditure 2018-19'!K258)+('[1]Actual Expenditure 2018-19'!K280)+('[1]Actual Expenditure 2018-19'!K296)+('[1]Actual Expenditure 2018-19'!K311)+('[1]Actual Expenditure 2018-19'!K326)+('[1]Actual Expenditure 2018-19'!K346)+('[1]Actual Expenditure 2018-19'!K376)+('[1]Actual Expenditure 2018-19'!K395)+('[1]Actual Expenditure 2018-19'!K422)</f>
        <v>841230</v>
      </c>
      <c r="K34" s="23">
        <v>5110000</v>
      </c>
      <c r="L34" s="52">
        <v>107044</v>
      </c>
      <c r="M34" s="23">
        <f>SUM('[1]Actual Expenditure 2018-19'!M37)+('[1]Actual Expenditure 2018-19'!M57)+('[1]Actual Expenditure 2018-19'!M73)+('[1]Actual Expenditure 2018-19'!M104)+('[1]Actual Expenditure 2018-19'!M129)+('[1]Actual Expenditure 2018-19'!M153)+('[1]Actual Expenditure 2018-19'!M194)+('[1]Actual Expenditure 2018-19'!M217)+('[1]Actual Expenditure 2018-19'!M237)+('[1]Actual Expenditure 2018-19'!M258)+('[1]Actual Expenditure 2018-19'!M280)+('[1]Actual Expenditure 2018-19'!M296)+('[1]Actual Expenditure 2018-19'!M311)+('[1]Actual Expenditure 2018-19'!M326)+('[1]Actual Expenditure 2018-19'!M346)+('[1]Actual Expenditure 2018-19'!M376)+('[1]Actual Expenditure 2018-19'!M395)+('[1]Actual Expenditure 2018-19'!M422)</f>
        <v>0</v>
      </c>
      <c r="N34" s="23">
        <f>SUM('[1]Actual Expenditure 2018-19'!N37)+('[1]Actual Expenditure 2018-19'!N57)+('[1]Actual Expenditure 2018-19'!N73)+('[1]Actual Expenditure 2018-19'!N104)+('[1]Actual Expenditure 2018-19'!N129)+('[1]Actual Expenditure 2018-19'!N153)+('[1]Actual Expenditure 2018-19'!N194)+('[1]Actual Expenditure 2018-19'!N217)+('[1]Actual Expenditure 2018-19'!N237)+('[1]Actual Expenditure 2018-19'!N258)+('[1]Actual Expenditure 2018-19'!N280)+('[1]Actual Expenditure 2018-19'!N296)+('[1]Actual Expenditure 2018-19'!N311)+('[1]Actual Expenditure 2018-19'!N326)+('[1]Actual Expenditure 2018-19'!N346)+('[1]Actual Expenditure 2018-19'!N376)+('[1]Actual Expenditure 2018-19'!N395)+('[1]Actual Expenditure 2018-19'!N422)</f>
        <v>0</v>
      </c>
      <c r="O34" s="23">
        <f>SUM('[1]Actual Expenditure 2018-19'!O37)+('[1]Actual Expenditure 2018-19'!O57)+('[1]Actual Expenditure 2018-19'!O73)+('[1]Actual Expenditure 2018-19'!O104)+('[1]Actual Expenditure 2018-19'!O129)+('[1]Actual Expenditure 2018-19'!O153)+('[1]Actual Expenditure 2018-19'!O194)+('[1]Actual Expenditure 2018-19'!O217)+('[1]Actual Expenditure 2018-19'!O237)+('[1]Actual Expenditure 2018-19'!O258)+('[1]Actual Expenditure 2018-19'!O280)+('[1]Actual Expenditure 2018-19'!O296)+('[1]Actual Expenditure 2018-19'!O311)+('[1]Actual Expenditure 2018-19'!O326)+('[1]Actual Expenditure 2018-19'!O346)+('[1]Actual Expenditure 2018-19'!O376)+('[1]Actual Expenditure 2018-19'!O395)+('[1]Actual Expenditure 2018-19'!O422)</f>
        <v>0</v>
      </c>
      <c r="P34" s="23">
        <f>SUM('[1]Actual Expenditure 2018-19'!P37)+('[1]Actual Expenditure 2018-19'!P57)+('[1]Actual Expenditure 2018-19'!P73)+('[1]Actual Expenditure 2018-19'!P104)+('[1]Actual Expenditure 2018-19'!P129)+('[1]Actual Expenditure 2018-19'!P153)+('[1]Actual Expenditure 2018-19'!P194)+('[1]Actual Expenditure 2018-19'!P217)+('[1]Actual Expenditure 2018-19'!P237)+('[1]Actual Expenditure 2018-19'!P258)+('[1]Actual Expenditure 2018-19'!P280)+('[1]Actual Expenditure 2018-19'!P296)+('[1]Actual Expenditure 2018-19'!P311)+('[1]Actual Expenditure 2018-19'!P326)+('[1]Actual Expenditure 2018-19'!P346)+('[1]Actual Expenditure 2018-19'!P376)+('[1]Actual Expenditure 2018-19'!P395)+('[1]Actual Expenditure 2018-19'!P422)</f>
        <v>0</v>
      </c>
      <c r="Q34" s="23">
        <f>SUM('[1]Actual Expenditure 2018-19'!Q37)+('[1]Actual Expenditure 2018-19'!Q57)+('[1]Actual Expenditure 2018-19'!Q73)+('[1]Actual Expenditure 2018-19'!Q104)+('[1]Actual Expenditure 2018-19'!Q129)+('[1]Actual Expenditure 2018-19'!Q153)+('[1]Actual Expenditure 2018-19'!Q194)+('[1]Actual Expenditure 2018-19'!Q217)+('[1]Actual Expenditure 2018-19'!Q237)+('[1]Actual Expenditure 2018-19'!Q258)+('[1]Actual Expenditure 2018-19'!Q280)+('[1]Actual Expenditure 2018-19'!Q296)+('[1]Actual Expenditure 2018-19'!Q311)+('[1]Actual Expenditure 2018-19'!Q326)+('[1]Actual Expenditure 2018-19'!Q346)+('[1]Actual Expenditure 2018-19'!Q376)+('[1]Actual Expenditure 2018-19'!Q395)+('[1]Actual Expenditure 2018-19'!Q422)</f>
        <v>0</v>
      </c>
      <c r="R34" s="23">
        <f>SUM('[1]Actual Expenditure 2018-19'!R37)+('[1]Actual Expenditure 2018-19'!R57)+('[1]Actual Expenditure 2018-19'!R73)+('[1]Actual Expenditure 2018-19'!R104)+('[1]Actual Expenditure 2018-19'!R129)+('[1]Actual Expenditure 2018-19'!R153)+('[1]Actual Expenditure 2018-19'!R194)+('[1]Actual Expenditure 2018-19'!R217)+('[1]Actual Expenditure 2018-19'!R237)+('[1]Actual Expenditure 2018-19'!R258)+('[1]Actual Expenditure 2018-19'!R280)+('[1]Actual Expenditure 2018-19'!R296)+('[1]Actual Expenditure 2018-19'!R311)+('[1]Actual Expenditure 2018-19'!R326)+('[1]Actual Expenditure 2018-19'!R346)+('[1]Actual Expenditure 2018-19'!R376)+('[1]Actual Expenditure 2018-19'!R395)+('[1]Actual Expenditure 2018-19'!R422)</f>
        <v>0</v>
      </c>
      <c r="S34" s="20" t="e">
        <f>F34/#REF!*100</f>
        <v>#REF!</v>
      </c>
      <c r="T34" s="20" t="e">
        <f>G34/#REF!*100</f>
        <v>#REF!</v>
      </c>
      <c r="U34" s="20" t="e">
        <f>H34/#REF!*100</f>
        <v>#REF!</v>
      </c>
      <c r="V34" s="20" t="e">
        <f>I34/#REF!*100</f>
        <v>#REF!</v>
      </c>
      <c r="W34" s="20" t="e">
        <f>J34/#REF!*100</f>
        <v>#REF!</v>
      </c>
      <c r="X34" s="20">
        <f t="shared" si="20"/>
        <v>2.094794520547945</v>
      </c>
      <c r="Y34" s="20" t="e">
        <f>M34/#REF!*100</f>
        <v>#REF!</v>
      </c>
      <c r="Z34" s="20" t="e">
        <f>N34/#REF!*100</f>
        <v>#REF!</v>
      </c>
      <c r="AA34" s="20" t="e">
        <f>O34/#REF!*100</f>
        <v>#REF!</v>
      </c>
      <c r="AB34" s="20" t="e">
        <f>P34/#REF!*100</f>
        <v>#REF!</v>
      </c>
      <c r="AC34" s="20" t="e">
        <f>Q34/#REF!*100</f>
        <v>#REF!</v>
      </c>
      <c r="AD34" s="20" t="e">
        <f>R34/#REF!*100</f>
        <v>#REF!</v>
      </c>
      <c r="AE34" s="20" t="e">
        <f>O34/E34*100</f>
        <v>#DIV/0!</v>
      </c>
      <c r="AF34" s="20" t="e">
        <f>P34/E34*100</f>
        <v>#DIV/0!</v>
      </c>
      <c r="AG34" s="20" t="e">
        <f>Q34/E34*100</f>
        <v>#DIV/0!</v>
      </c>
      <c r="AH34" s="20" t="e">
        <f>R34/E34*100</f>
        <v>#DIV/0!</v>
      </c>
      <c r="AI34" s="23">
        <v>6836</v>
      </c>
      <c r="AJ34" s="20">
        <f>AI34/A34*100</f>
        <v>0.13403921568627453</v>
      </c>
      <c r="AK34" s="23">
        <v>40660</v>
      </c>
      <c r="AL34" s="20">
        <f>AK34/A34*100</f>
        <v>0.79725490196078441</v>
      </c>
      <c r="AM34" s="23">
        <v>504372</v>
      </c>
      <c r="AN34" s="20">
        <f>AM34/A34*100</f>
        <v>9.8896470588235292</v>
      </c>
      <c r="AO34" s="23">
        <v>696111</v>
      </c>
      <c r="AP34" s="20">
        <f>AO34/A34*100</f>
        <v>13.649235294117648</v>
      </c>
      <c r="AQ34" s="49">
        <v>933078</v>
      </c>
      <c r="AR34" s="20">
        <f>AQ34/A34*100</f>
        <v>18.29564705882353</v>
      </c>
      <c r="AS34" s="23">
        <v>1373750</v>
      </c>
      <c r="AT34" s="20">
        <f>AS34/A34*100</f>
        <v>26.936274509803919</v>
      </c>
      <c r="AU34" s="50">
        <v>1450662</v>
      </c>
      <c r="AV34" s="20">
        <f>AU34/A34*100</f>
        <v>28.444352941176472</v>
      </c>
      <c r="AW34" s="50">
        <v>1717987</v>
      </c>
      <c r="AX34" s="20">
        <f>AW34/A34*100</f>
        <v>33.686019607843136</v>
      </c>
      <c r="AY34" s="50">
        <v>2513731</v>
      </c>
      <c r="AZ34" s="20">
        <f>AY34/A34*100</f>
        <v>49.288843137254901</v>
      </c>
      <c r="BA34" s="20">
        <f>AY34/B34*100</f>
        <v>48.463070427422934</v>
      </c>
      <c r="BB34" s="50">
        <v>2724038</v>
      </c>
      <c r="BC34" s="20">
        <f>BB34/A34*100</f>
        <v>53.412509803921573</v>
      </c>
      <c r="BD34" s="20">
        <f>BB34/B34*100</f>
        <v>52.517650234243959</v>
      </c>
      <c r="BE34" s="50">
        <v>3143353</v>
      </c>
      <c r="BF34" s="20">
        <f>BE34/A34*100</f>
        <v>61.634372549019609</v>
      </c>
      <c r="BG34" s="20">
        <f>BE34/B34*100</f>
        <v>60.60176598739131</v>
      </c>
      <c r="BH34" s="50">
        <v>0</v>
      </c>
      <c r="BI34" s="20">
        <f>BH34/A34*100</f>
        <v>0</v>
      </c>
      <c r="BJ34" s="20">
        <f>BH34/B34*100</f>
        <v>0</v>
      </c>
    </row>
    <row r="35" spans="1:62" ht="18">
      <c r="A35" s="23">
        <f>SUM('[1]Actual Expenditure 2018-19'!A347)</f>
        <v>2400000</v>
      </c>
      <c r="B35" s="23">
        <f>SUM('[1]Actual Expenditure 2018-19'!B347)</f>
        <v>1190000</v>
      </c>
      <c r="C35" s="9"/>
      <c r="D35" s="11" t="s">
        <v>83</v>
      </c>
      <c r="E35" s="23">
        <f>SUM('[1]Actual Expenditure 2018-19'!F347)</f>
        <v>0</v>
      </c>
      <c r="F35" s="23">
        <f>SUM('[1]Actual Expenditure 2018-19'!G347)</f>
        <v>0</v>
      </c>
      <c r="G35" s="23">
        <f>SUM('[1]Actual Expenditure 2018-19'!H347)</f>
        <v>0</v>
      </c>
      <c r="H35" s="23">
        <f>SUM('[1]Actual Expenditure 2018-19'!I347)</f>
        <v>0</v>
      </c>
      <c r="I35" s="23">
        <f>SUM('[1]Actual Expenditure 2018-19'!J347)</f>
        <v>0</v>
      </c>
      <c r="J35" s="23">
        <f>SUM('[1]Actual Expenditure 2018-19'!K347)</f>
        <v>0</v>
      </c>
      <c r="K35" s="23">
        <v>0</v>
      </c>
      <c r="L35" s="51"/>
      <c r="M35" s="23">
        <f>SUM('[1]Actual Expenditure 2018-19'!M347)</f>
        <v>0</v>
      </c>
      <c r="N35" s="23">
        <f>SUM('[1]Actual Expenditure 2018-19'!N347)</f>
        <v>0</v>
      </c>
      <c r="O35" s="23">
        <f>SUM('[1]Actual Expenditure 2018-19'!O347)</f>
        <v>0</v>
      </c>
      <c r="P35" s="23">
        <f>SUM('[1]Actual Expenditure 2018-19'!P347)</f>
        <v>0</v>
      </c>
      <c r="Q35" s="23">
        <f>SUM('[1]Actual Expenditure 2018-19'!Q347)</f>
        <v>0</v>
      </c>
      <c r="R35" s="23">
        <f>SUM('[1]Actual Expenditure 2018-19'!R347)</f>
        <v>0</v>
      </c>
      <c r="S35" s="20"/>
      <c r="T35" s="20"/>
      <c r="U35" s="20"/>
      <c r="V35" s="20"/>
      <c r="W35" s="20"/>
      <c r="X35" s="20"/>
      <c r="Y35" s="20"/>
      <c r="Z35" s="20"/>
      <c r="AA35" s="20" t="e">
        <f>O35/#REF!*100</f>
        <v>#REF!</v>
      </c>
      <c r="AB35" s="20"/>
      <c r="AC35" s="20"/>
      <c r="AD35" s="20"/>
      <c r="AE35" s="20"/>
      <c r="AF35" s="20"/>
      <c r="AG35" s="20"/>
      <c r="AH35" s="20"/>
      <c r="AI35" s="23"/>
      <c r="AJ35" s="23"/>
      <c r="AK35" s="23"/>
      <c r="AL35" s="23"/>
      <c r="AM35" s="23"/>
      <c r="AN35" s="20"/>
      <c r="AO35" s="23">
        <v>1187600</v>
      </c>
      <c r="AP35" s="20">
        <f>AO35/A35*100</f>
        <v>49.483333333333334</v>
      </c>
      <c r="AQ35" s="49">
        <v>1187600</v>
      </c>
      <c r="AR35" s="20">
        <f>AQ35/A35*100</f>
        <v>49.483333333333334</v>
      </c>
      <c r="AS35" s="23">
        <v>1187600</v>
      </c>
      <c r="AT35" s="20">
        <f>AS35/A35*100</f>
        <v>49.483333333333334</v>
      </c>
      <c r="AU35" s="50">
        <v>1187600</v>
      </c>
      <c r="AV35" s="20">
        <f>AU35/A35*100</f>
        <v>49.483333333333334</v>
      </c>
      <c r="AW35" s="50">
        <v>1187600</v>
      </c>
      <c r="AX35" s="20">
        <f>AW35/A35*100</f>
        <v>49.483333333333334</v>
      </c>
      <c r="AY35" s="50">
        <v>1187600</v>
      </c>
      <c r="AZ35" s="20">
        <f>AY35/A35*100</f>
        <v>49.483333333333334</v>
      </c>
      <c r="BA35" s="20">
        <f>AY35/B35*100</f>
        <v>99.798319327731093</v>
      </c>
      <c r="BB35" s="50">
        <v>1187600</v>
      </c>
      <c r="BC35" s="20">
        <f>BB35/A35*100</f>
        <v>49.483333333333334</v>
      </c>
      <c r="BD35" s="20">
        <f>BB35/B35*100</f>
        <v>99.798319327731093</v>
      </c>
      <c r="BE35" s="50">
        <v>1187600</v>
      </c>
      <c r="BF35" s="20">
        <f>BE35/A35*100</f>
        <v>49.483333333333334</v>
      </c>
      <c r="BG35" s="20">
        <f>BE35/B35*100</f>
        <v>99.798319327731093</v>
      </c>
      <c r="BH35" s="50"/>
      <c r="BI35" s="20">
        <f>BH35/A35*100</f>
        <v>0</v>
      </c>
      <c r="BJ35" s="20">
        <f>BH35/B35*100</f>
        <v>0</v>
      </c>
    </row>
    <row r="36" spans="1:62" ht="18">
      <c r="A36" s="23"/>
      <c r="B36" s="23"/>
      <c r="C36" s="9"/>
      <c r="D36" s="11"/>
      <c r="E36" s="23"/>
      <c r="F36" s="23"/>
      <c r="G36" s="23"/>
      <c r="H36" s="23"/>
      <c r="I36" s="23"/>
      <c r="J36" s="23"/>
      <c r="K36" s="23"/>
      <c r="L36" s="52"/>
      <c r="M36" s="23"/>
      <c r="N36" s="23"/>
      <c r="O36" s="23"/>
      <c r="P36" s="23"/>
      <c r="Q36" s="23"/>
      <c r="R36" s="23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3"/>
      <c r="AJ36" s="23"/>
      <c r="AK36" s="23"/>
      <c r="AL36" s="23"/>
      <c r="AM36" s="23"/>
      <c r="AN36" s="20"/>
      <c r="AO36" s="23"/>
      <c r="AP36" s="20"/>
      <c r="AQ36" s="49"/>
      <c r="AR36" s="20"/>
      <c r="AS36" s="23"/>
      <c r="AT36" s="20"/>
      <c r="AU36" s="50"/>
      <c r="AV36" s="20"/>
      <c r="AW36" s="50"/>
      <c r="AX36" s="20"/>
      <c r="AY36" s="50"/>
      <c r="AZ36" s="20"/>
      <c r="BA36" s="20"/>
      <c r="BB36" s="50"/>
      <c r="BC36" s="20"/>
      <c r="BD36" s="20"/>
      <c r="BE36" s="50"/>
      <c r="BF36" s="20"/>
      <c r="BG36" s="20"/>
      <c r="BH36" s="50"/>
      <c r="BI36" s="20"/>
      <c r="BJ36" s="20"/>
    </row>
    <row r="37" spans="1:62" ht="18">
      <c r="A37" s="23">
        <f>SUM(A11:A35)</f>
        <v>74185000</v>
      </c>
      <c r="B37" s="23">
        <f>SUM(B11:B35)</f>
        <v>72186500</v>
      </c>
      <c r="C37" s="9"/>
      <c r="D37" s="23" t="s">
        <v>84</v>
      </c>
      <c r="E37" s="23">
        <f>SUM(E11:E34)</f>
        <v>0</v>
      </c>
      <c r="F37" s="23">
        <f>SUM(F11:F35)</f>
        <v>4698363</v>
      </c>
      <c r="G37" s="23">
        <f>SUM(G11:G34)</f>
        <v>0</v>
      </c>
      <c r="H37" s="23">
        <f>SUM(H11:H34)</f>
        <v>0</v>
      </c>
      <c r="I37" s="23">
        <f t="shared" ref="I37:O37" si="21">SUM(I11:I35)</f>
        <v>8</v>
      </c>
      <c r="J37" s="23">
        <f t="shared" si="21"/>
        <v>31323428</v>
      </c>
      <c r="K37" s="23">
        <f>SUM(K11:K35)</f>
        <v>78205000</v>
      </c>
      <c r="L37" s="52">
        <f t="shared" si="21"/>
        <v>13368812</v>
      </c>
      <c r="M37" s="23">
        <f t="shared" si="21"/>
        <v>0</v>
      </c>
      <c r="N37" s="23">
        <f t="shared" si="21"/>
        <v>0</v>
      </c>
      <c r="O37" s="23">
        <f t="shared" si="21"/>
        <v>0</v>
      </c>
      <c r="P37" s="23">
        <f>SUM(P11:P35)</f>
        <v>0</v>
      </c>
      <c r="Q37" s="23">
        <f>SUM(Q11:Q35)</f>
        <v>6</v>
      </c>
      <c r="R37" s="23">
        <f>SUM(R11:R34)</f>
        <v>0</v>
      </c>
      <c r="S37" s="20" t="e">
        <f>F37/#REF!*100</f>
        <v>#REF!</v>
      </c>
      <c r="T37" s="20" t="e">
        <f>G37/#REF!*100</f>
        <v>#REF!</v>
      </c>
      <c r="U37" s="20" t="e">
        <f>H37/#REF!*100</f>
        <v>#REF!</v>
      </c>
      <c r="V37" s="20" t="e">
        <f>I37/#REF!*100</f>
        <v>#REF!</v>
      </c>
      <c r="W37" s="20" t="e">
        <f>J37/#REF!*100</f>
        <v>#REF!</v>
      </c>
      <c r="X37" s="20">
        <f t="shared" si="20"/>
        <v>17.094574515695925</v>
      </c>
      <c r="Y37" s="20" t="e">
        <f>M37/#REF!*100</f>
        <v>#REF!</v>
      </c>
      <c r="Z37" s="20" t="e">
        <f>N37/#REF!*100</f>
        <v>#REF!</v>
      </c>
      <c r="AA37" s="20" t="e">
        <f>O37/#REF!*100</f>
        <v>#REF!</v>
      </c>
      <c r="AB37" s="20" t="e">
        <f>P37/#REF!*100</f>
        <v>#REF!</v>
      </c>
      <c r="AC37" s="20" t="e">
        <f>Q37/#REF!*100</f>
        <v>#REF!</v>
      </c>
      <c r="AD37" s="20" t="e">
        <f>R37/#REF!*100</f>
        <v>#REF!</v>
      </c>
      <c r="AE37" s="20" t="e">
        <f>O37/E37*100</f>
        <v>#DIV/0!</v>
      </c>
      <c r="AF37" s="20" t="e">
        <f>P37/E37*100</f>
        <v>#DIV/0!</v>
      </c>
      <c r="AG37" s="20" t="e">
        <f>Q37/E37*100</f>
        <v>#DIV/0!</v>
      </c>
      <c r="AH37" s="20" t="e">
        <f>R37/E37*100</f>
        <v>#DIV/0!</v>
      </c>
      <c r="AI37" s="53">
        <f>SUM(AI11:AI34)</f>
        <v>8107007</v>
      </c>
      <c r="AJ37" s="20">
        <f>AI37/A37*100</f>
        <v>10.928094628294129</v>
      </c>
      <c r="AK37" s="54">
        <f>SUM(AK11:AK34)</f>
        <v>13147184</v>
      </c>
      <c r="AL37" s="20">
        <f>AK37/A37*100</f>
        <v>17.722159466199365</v>
      </c>
      <c r="AM37" s="54">
        <f>SUM(AM11:AM34)</f>
        <v>18522892</v>
      </c>
      <c r="AN37" s="20">
        <f>AM37/A37*100</f>
        <v>24.968513850508863</v>
      </c>
      <c r="AO37" s="54">
        <f>SUM(AO11:AO35)</f>
        <v>25084919</v>
      </c>
      <c r="AP37" s="20">
        <f>AO37/A37*100</f>
        <v>33.814004178742337</v>
      </c>
      <c r="AQ37" s="54">
        <f>SUM(AQ11:AQ35)</f>
        <v>30559102</v>
      </c>
      <c r="AR37" s="20">
        <f>AQ37/A37*100</f>
        <v>41.193101031205771</v>
      </c>
      <c r="AS37" s="54">
        <f>SUM(AS11:AS35)</f>
        <v>36148011</v>
      </c>
      <c r="AT37" s="20">
        <f>AS37/A37*100</f>
        <v>48.726846397519715</v>
      </c>
      <c r="AU37" s="50">
        <f>SUM(AU11:AU35)</f>
        <v>41655258</v>
      </c>
      <c r="AV37" s="20">
        <f>AU37/A37*100</f>
        <v>56.15051290692189</v>
      </c>
      <c r="AW37" s="50">
        <f>SUM(AW11:AW35)</f>
        <v>46935970</v>
      </c>
      <c r="AX37" s="20">
        <f>AW37/A37*100</f>
        <v>63.268814450360587</v>
      </c>
      <c r="AY37" s="50">
        <f>SUM(AY11:AY35)</f>
        <v>53356836</v>
      </c>
      <c r="AZ37" s="20">
        <f>AY37/A37*100</f>
        <v>71.924022376491209</v>
      </c>
      <c r="BA37" s="20">
        <f>AY37/B37*100</f>
        <v>73.915255622588717</v>
      </c>
      <c r="BB37" s="50">
        <f>SUM(BB11:BB35)</f>
        <v>58762414</v>
      </c>
      <c r="BC37" s="20">
        <f>BB37/A37*100</f>
        <v>79.210640965154681</v>
      </c>
      <c r="BD37" s="20">
        <f>BB37/B37*100</f>
        <v>81.403605937398268</v>
      </c>
      <c r="BE37" s="50">
        <f>SUM(BE11:BE35)</f>
        <v>64514950</v>
      </c>
      <c r="BF37" s="20">
        <f>BE37/A37*100</f>
        <v>86.964952483655722</v>
      </c>
      <c r="BG37" s="20">
        <f>BE37/B37*100</f>
        <v>89.372597369314207</v>
      </c>
      <c r="BH37" s="50">
        <f>SUM(BH11:BH34)</f>
        <v>0</v>
      </c>
      <c r="BI37" s="20">
        <f>BH37/A37*100</f>
        <v>0</v>
      </c>
      <c r="BJ37" s="20">
        <f>BH37/B37*100</f>
        <v>0</v>
      </c>
    </row>
    <row r="38" spans="1:62" ht="18">
      <c r="A38" s="23">
        <f>SUM(A28)</f>
        <v>5000</v>
      </c>
      <c r="B38" s="23">
        <f>SUM(B28)</f>
        <v>5000</v>
      </c>
      <c r="C38" s="9"/>
      <c r="D38" s="23" t="s">
        <v>85</v>
      </c>
      <c r="E38" s="23">
        <f t="shared" ref="E38:R38" si="22">SUM(E28)</f>
        <v>0</v>
      </c>
      <c r="F38" s="23">
        <f>SUM(F28)</f>
        <v>0</v>
      </c>
      <c r="G38" s="23">
        <f>SUM(G28)</f>
        <v>0</v>
      </c>
      <c r="H38" s="23">
        <f>SUM(H28)</f>
        <v>0</v>
      </c>
      <c r="I38" s="23">
        <f t="shared" si="22"/>
        <v>0</v>
      </c>
      <c r="J38" s="23">
        <f t="shared" si="22"/>
        <v>0</v>
      </c>
      <c r="K38" s="23">
        <f>SUM(K28)</f>
        <v>5000</v>
      </c>
      <c r="L38" s="52">
        <f t="shared" si="22"/>
        <v>0</v>
      </c>
      <c r="M38" s="23">
        <f t="shared" si="22"/>
        <v>0</v>
      </c>
      <c r="N38" s="23">
        <f t="shared" si="22"/>
        <v>0</v>
      </c>
      <c r="O38" s="23">
        <f>SUM(O28)</f>
        <v>0</v>
      </c>
      <c r="P38" s="23">
        <f>SUM(P28)</f>
        <v>0</v>
      </c>
      <c r="Q38" s="23">
        <f t="shared" si="22"/>
        <v>0</v>
      </c>
      <c r="R38" s="23">
        <f t="shared" si="22"/>
        <v>0</v>
      </c>
      <c r="S38" s="20" t="e">
        <f>F38/#REF!*100</f>
        <v>#REF!</v>
      </c>
      <c r="T38" s="20" t="e">
        <f>G38/#REF!*100</f>
        <v>#REF!</v>
      </c>
      <c r="U38" s="20" t="e">
        <f>H38/#REF!*100</f>
        <v>#REF!</v>
      </c>
      <c r="V38" s="20" t="e">
        <f>I38/#REF!*100</f>
        <v>#REF!</v>
      </c>
      <c r="W38" s="20" t="e">
        <f>J38/#REF!*100</f>
        <v>#REF!</v>
      </c>
      <c r="X38" s="20">
        <f t="shared" si="20"/>
        <v>0</v>
      </c>
      <c r="Y38" s="20" t="e">
        <f>M38/#REF!*100</f>
        <v>#REF!</v>
      </c>
      <c r="Z38" s="20" t="e">
        <f>N38/#REF!*100</f>
        <v>#REF!</v>
      </c>
      <c r="AA38" s="20" t="e">
        <f>O38/#REF!*100</f>
        <v>#REF!</v>
      </c>
      <c r="AB38" s="20" t="e">
        <f>P38/#REF!*100</f>
        <v>#REF!</v>
      </c>
      <c r="AC38" s="20" t="e">
        <f>Q38/#REF!*100</f>
        <v>#REF!</v>
      </c>
      <c r="AD38" s="20" t="e">
        <f>R38/#REF!*100</f>
        <v>#REF!</v>
      </c>
      <c r="AE38" s="20" t="e">
        <f>O38/E38*100</f>
        <v>#DIV/0!</v>
      </c>
      <c r="AF38" s="20" t="e">
        <f>P38/E38*100</f>
        <v>#DIV/0!</v>
      </c>
      <c r="AG38" s="20" t="e">
        <f>Q38/E38*100</f>
        <v>#DIV/0!</v>
      </c>
      <c r="AH38" s="20" t="e">
        <f>R38/E38*100</f>
        <v>#DIV/0!</v>
      </c>
      <c r="AI38" s="53">
        <f>SUM(AI28)</f>
        <v>0</v>
      </c>
      <c r="AJ38" s="20">
        <f>AI38/A38*100</f>
        <v>0</v>
      </c>
      <c r="AK38" s="54">
        <f>SUM(AK28)</f>
        <v>0</v>
      </c>
      <c r="AL38" s="20">
        <f>AK38/A38*100</f>
        <v>0</v>
      </c>
      <c r="AM38" s="54">
        <f>SUM(AM28)</f>
        <v>0</v>
      </c>
      <c r="AN38" s="20">
        <f>AM38/A38*100</f>
        <v>0</v>
      </c>
      <c r="AO38" s="54">
        <f>SUM(AO28)</f>
        <v>0</v>
      </c>
      <c r="AP38" s="20">
        <f>AO38/A38*100</f>
        <v>0</v>
      </c>
      <c r="AQ38" s="54">
        <f>SUM(AQ28)</f>
        <v>0</v>
      </c>
      <c r="AR38" s="20">
        <f>AQ38/A38*100</f>
        <v>0</v>
      </c>
      <c r="AS38" s="54">
        <f>SUM(AS28)</f>
        <v>0</v>
      </c>
      <c r="AT38" s="20">
        <f>AS38/A38*100</f>
        <v>0</v>
      </c>
      <c r="AU38" s="50">
        <f>SUM(AU28)</f>
        <v>0</v>
      </c>
      <c r="AV38" s="20">
        <f>AU38/A38*100</f>
        <v>0</v>
      </c>
      <c r="AW38" s="50">
        <f>SUM(AW28)</f>
        <v>0</v>
      </c>
      <c r="AX38" s="20">
        <f>AW38/A38*100</f>
        <v>0</v>
      </c>
      <c r="AY38" s="50">
        <f>SUM(AY28)</f>
        <v>0</v>
      </c>
      <c r="AZ38" s="20">
        <f>AY38/A38*100</f>
        <v>0</v>
      </c>
      <c r="BA38" s="20">
        <f>AY38/B38*100</f>
        <v>0</v>
      </c>
      <c r="BB38" s="50">
        <f>SUM(BB28)</f>
        <v>193</v>
      </c>
      <c r="BC38" s="20">
        <f>BB38/A38*100</f>
        <v>3.8600000000000003</v>
      </c>
      <c r="BD38" s="20">
        <f>BB38/B38*100</f>
        <v>3.8600000000000003</v>
      </c>
      <c r="BE38" s="50">
        <f>SUM(BE28)</f>
        <v>193</v>
      </c>
      <c r="BF38" s="20">
        <f>BE38/A38*100</f>
        <v>3.8600000000000003</v>
      </c>
      <c r="BG38" s="20">
        <f>BE38/B38*100</f>
        <v>3.8600000000000003</v>
      </c>
      <c r="BH38" s="50">
        <f>SUM(BH28)</f>
        <v>0</v>
      </c>
      <c r="BI38" s="20">
        <f>BH38/A38*100</f>
        <v>0</v>
      </c>
      <c r="BJ38" s="20">
        <f>BH38/B38*100</f>
        <v>0</v>
      </c>
    </row>
    <row r="39" spans="1:62" ht="18">
      <c r="A39" s="23">
        <f>SUM(A37-A38)</f>
        <v>74180000</v>
      </c>
      <c r="B39" s="23">
        <f>SUM(B37-B38)</f>
        <v>72181500</v>
      </c>
      <c r="C39" s="9"/>
      <c r="D39" s="23" t="s">
        <v>86</v>
      </c>
      <c r="E39" s="23">
        <f t="shared" ref="E39:R39" si="23">SUM(E37-E38)</f>
        <v>0</v>
      </c>
      <c r="F39" s="23">
        <f>SUM(F37-F38)</f>
        <v>4698363</v>
      </c>
      <c r="G39" s="23">
        <f>SUM(G37-G38)</f>
        <v>0</v>
      </c>
      <c r="H39" s="23">
        <f>SUM(H37-H38)</f>
        <v>0</v>
      </c>
      <c r="I39" s="23">
        <f t="shared" si="23"/>
        <v>8</v>
      </c>
      <c r="J39" s="23">
        <f t="shared" si="23"/>
        <v>31323428</v>
      </c>
      <c r="K39" s="23">
        <f>SUM(K37-K38)</f>
        <v>78200000</v>
      </c>
      <c r="L39" s="52">
        <f t="shared" si="23"/>
        <v>13368812</v>
      </c>
      <c r="M39" s="23">
        <f t="shared" si="23"/>
        <v>0</v>
      </c>
      <c r="N39" s="23">
        <f t="shared" si="23"/>
        <v>0</v>
      </c>
      <c r="O39" s="23">
        <f>SUM(O37-O38)</f>
        <v>0</v>
      </c>
      <c r="P39" s="23">
        <f>SUM(P37-P38)</f>
        <v>0</v>
      </c>
      <c r="Q39" s="23">
        <f>SUM(Q37-Q38)</f>
        <v>6</v>
      </c>
      <c r="R39" s="23">
        <f t="shared" si="23"/>
        <v>0</v>
      </c>
      <c r="S39" s="20" t="e">
        <f>F39/#REF!*100</f>
        <v>#REF!</v>
      </c>
      <c r="T39" s="20" t="e">
        <f>G39/#REF!*100</f>
        <v>#REF!</v>
      </c>
      <c r="U39" s="20" t="e">
        <f>H39/#REF!*100</f>
        <v>#REF!</v>
      </c>
      <c r="V39" s="20" t="e">
        <f>I39/#REF!*100</f>
        <v>#REF!</v>
      </c>
      <c r="W39" s="20" t="e">
        <f>J39/#REF!*100</f>
        <v>#REF!</v>
      </c>
      <c r="X39" s="20">
        <f t="shared" si="20"/>
        <v>17.095667519181585</v>
      </c>
      <c r="Y39" s="20" t="e">
        <f>M39/#REF!*100</f>
        <v>#REF!</v>
      </c>
      <c r="Z39" s="20" t="e">
        <f>N39/#REF!*100</f>
        <v>#REF!</v>
      </c>
      <c r="AA39" s="20" t="e">
        <f>O39/#REF!*100</f>
        <v>#REF!</v>
      </c>
      <c r="AB39" s="20" t="e">
        <f>P39/#REF!*100</f>
        <v>#REF!</v>
      </c>
      <c r="AC39" s="20" t="e">
        <f>Q39/#REF!*100</f>
        <v>#REF!</v>
      </c>
      <c r="AD39" s="20" t="e">
        <f>R39/#REF!*100</f>
        <v>#REF!</v>
      </c>
      <c r="AE39" s="20" t="e">
        <f>O39/E39*100</f>
        <v>#DIV/0!</v>
      </c>
      <c r="AF39" s="20" t="e">
        <f>P39/E39*100</f>
        <v>#DIV/0!</v>
      </c>
      <c r="AG39" s="20" t="e">
        <f>Q39/E39*100</f>
        <v>#DIV/0!</v>
      </c>
      <c r="AH39" s="20" t="e">
        <f>R39/E39*100</f>
        <v>#DIV/0!</v>
      </c>
      <c r="AI39" s="53">
        <f>SUM(AI37-AI38)</f>
        <v>8107007</v>
      </c>
      <c r="AJ39" s="20">
        <f>AI39/A39*100</f>
        <v>10.928831221353464</v>
      </c>
      <c r="AK39" s="54">
        <f>SUM(AK37-AK38)</f>
        <v>13147184</v>
      </c>
      <c r="AL39" s="20">
        <f>AK39/A39*100</f>
        <v>17.723354003774602</v>
      </c>
      <c r="AM39" s="54">
        <f>SUM(AM37-AM38)</f>
        <v>18522892</v>
      </c>
      <c r="AN39" s="20">
        <f>AM39/A39*100</f>
        <v>24.970196818549475</v>
      </c>
      <c r="AO39" s="54">
        <f>SUM(AO37-AO38)</f>
        <v>25084919</v>
      </c>
      <c r="AP39" s="20">
        <f>AO39/A39*100</f>
        <v>33.816283364788355</v>
      </c>
      <c r="AQ39" s="54">
        <f>SUM(AQ37-AQ38)</f>
        <v>30559102</v>
      </c>
      <c r="AR39" s="20">
        <f>AQ39/A39*100</f>
        <v>41.195877595039093</v>
      </c>
      <c r="AS39" s="54">
        <f>SUM(AS37-AS38)</f>
        <v>36148011</v>
      </c>
      <c r="AT39" s="20">
        <f>AS39/A39*100</f>
        <v>48.730130763008901</v>
      </c>
      <c r="AU39" s="50">
        <f>SUM(AU37-AU38)</f>
        <v>41655258</v>
      </c>
      <c r="AV39" s="20">
        <f>AU39/A39*100</f>
        <v>56.154297654354266</v>
      </c>
      <c r="AW39" s="50">
        <f>SUM(AW37-AW38)</f>
        <v>46935970</v>
      </c>
      <c r="AX39" s="20">
        <f>AW39/A39*100</f>
        <v>63.27307899703424</v>
      </c>
      <c r="AY39" s="50">
        <f>SUM(AY37-AY38)</f>
        <v>53356836</v>
      </c>
      <c r="AZ39" s="20">
        <f>AY39/A39*100</f>
        <v>71.928870315448918</v>
      </c>
      <c r="BA39" s="20">
        <f>AY39/B39*100</f>
        <v>73.920375719540317</v>
      </c>
      <c r="BB39" s="50">
        <f>SUM(BB37-BB38)</f>
        <v>58762221</v>
      </c>
      <c r="BC39" s="20">
        <f>BB39/A39*100</f>
        <v>79.215719870585062</v>
      </c>
      <c r="BD39" s="20">
        <f>BB39/B39*100</f>
        <v>81.4089773695476</v>
      </c>
      <c r="BE39" s="50">
        <f>SUM(BE37-BE38)</f>
        <v>64514757</v>
      </c>
      <c r="BF39" s="20">
        <f>BE39/A39*100</f>
        <v>86.970554057697484</v>
      </c>
      <c r="BG39" s="20">
        <f>BE39/B39*100</f>
        <v>89.378520812119447</v>
      </c>
      <c r="BH39" s="50">
        <f>SUM(BH37-BH38)</f>
        <v>0</v>
      </c>
      <c r="BI39" s="20">
        <f>BH39/A39*100</f>
        <v>0</v>
      </c>
      <c r="BJ39" s="20">
        <f>BH39/B39*100</f>
        <v>0</v>
      </c>
    </row>
    <row r="40" spans="1:62" ht="18">
      <c r="A40" s="23"/>
      <c r="B40" s="23"/>
      <c r="C40" s="9"/>
      <c r="D40" s="23" t="s">
        <v>87</v>
      </c>
      <c r="E40" s="23"/>
      <c r="F40" s="23"/>
      <c r="G40" s="23"/>
      <c r="H40" s="23"/>
      <c r="I40" s="23"/>
      <c r="J40" s="23"/>
      <c r="K40" s="23"/>
      <c r="L40" s="52"/>
      <c r="M40" s="23"/>
      <c r="N40" s="23"/>
      <c r="O40" s="23"/>
      <c r="P40" s="23"/>
      <c r="Q40" s="23"/>
      <c r="R40" s="23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3"/>
      <c r="AJ40" s="23"/>
      <c r="AK40" s="23"/>
      <c r="AL40" s="23"/>
      <c r="AM40" s="23"/>
      <c r="AN40" s="20"/>
      <c r="AO40" s="23"/>
      <c r="AP40" s="20"/>
      <c r="AQ40" s="23"/>
      <c r="AR40" s="20"/>
      <c r="AS40" s="23"/>
      <c r="AT40" s="20"/>
      <c r="AU40" s="50"/>
      <c r="AV40" s="20" t="s">
        <v>76</v>
      </c>
      <c r="AW40" s="50"/>
      <c r="AX40" s="20"/>
      <c r="AY40" s="50"/>
      <c r="AZ40" s="20"/>
      <c r="BA40" s="20"/>
      <c r="BB40" s="50"/>
      <c r="BC40" s="20"/>
      <c r="BD40" s="20"/>
      <c r="BE40" s="50"/>
      <c r="BF40" s="20"/>
      <c r="BG40" s="20"/>
      <c r="BH40" s="50"/>
      <c r="BI40" s="20"/>
      <c r="BJ40" s="20"/>
    </row>
    <row r="41" spans="1:62" ht="18">
      <c r="A41" s="23"/>
      <c r="B41" s="23"/>
      <c r="C41" s="9"/>
      <c r="D41" s="23" t="s">
        <v>88</v>
      </c>
      <c r="E41" s="23"/>
      <c r="F41" s="23"/>
      <c r="G41" s="23"/>
      <c r="H41" s="23"/>
      <c r="I41" s="23"/>
      <c r="J41" s="23"/>
      <c r="K41" s="23"/>
      <c r="L41" s="52"/>
      <c r="M41" s="23"/>
      <c r="N41" s="23"/>
      <c r="O41" s="23"/>
      <c r="P41" s="23"/>
      <c r="Q41" s="23"/>
      <c r="R41" s="23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3"/>
      <c r="AJ41" s="23"/>
      <c r="AK41" s="23"/>
      <c r="AL41" s="23"/>
      <c r="AM41" s="23"/>
      <c r="AN41" s="20"/>
      <c r="AO41" s="23"/>
      <c r="AP41" s="20"/>
      <c r="AQ41" s="23"/>
      <c r="AR41" s="20"/>
      <c r="AS41" s="23"/>
      <c r="AT41" s="20"/>
      <c r="AU41" s="50"/>
      <c r="AV41" s="20" t="s">
        <v>76</v>
      </c>
      <c r="AW41" s="50"/>
      <c r="AX41" s="20"/>
      <c r="AY41" s="50"/>
      <c r="AZ41" s="20"/>
      <c r="BA41" s="20"/>
      <c r="BB41" s="50"/>
      <c r="BC41" s="20"/>
      <c r="BD41" s="20"/>
      <c r="BE41" s="50"/>
      <c r="BF41" s="20"/>
      <c r="BG41" s="20"/>
      <c r="BH41" s="50"/>
      <c r="BI41" s="20"/>
      <c r="BJ41" s="20"/>
    </row>
    <row r="42" spans="1:62" ht="18">
      <c r="A42" s="23"/>
      <c r="B42" s="23"/>
      <c r="C42" s="9"/>
      <c r="D42" s="23" t="s">
        <v>89</v>
      </c>
      <c r="E42" s="23"/>
      <c r="F42" s="23"/>
      <c r="G42" s="23"/>
      <c r="H42" s="23"/>
      <c r="I42" s="23"/>
      <c r="J42" s="23"/>
      <c r="K42" s="23"/>
      <c r="L42" s="52"/>
      <c r="M42" s="23"/>
      <c r="N42" s="23"/>
      <c r="O42" s="23"/>
      <c r="P42" s="23"/>
      <c r="Q42" s="23"/>
      <c r="R42" s="23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3"/>
      <c r="AJ42" s="23"/>
      <c r="AK42" s="23"/>
      <c r="AL42" s="23"/>
      <c r="AM42" s="23"/>
      <c r="AN42" s="20"/>
      <c r="AO42" s="23"/>
      <c r="AP42" s="20"/>
      <c r="AQ42" s="23"/>
      <c r="AR42" s="20"/>
      <c r="AS42" s="23"/>
      <c r="AT42" s="20"/>
      <c r="AU42" s="50"/>
      <c r="AV42" s="20" t="s">
        <v>76</v>
      </c>
      <c r="AW42" s="50"/>
      <c r="AX42" s="20"/>
      <c r="AY42" s="50"/>
      <c r="AZ42" s="20"/>
      <c r="BA42" s="20"/>
      <c r="BB42" s="50"/>
      <c r="BC42" s="20"/>
      <c r="BD42" s="20"/>
      <c r="BE42" s="50"/>
      <c r="BF42" s="20"/>
      <c r="BG42" s="20"/>
      <c r="BH42" s="50"/>
      <c r="BI42" s="20"/>
      <c r="BJ42" s="20"/>
    </row>
    <row r="43" spans="1:62" ht="18">
      <c r="A43" s="23">
        <f>SUM('[1]Actual Expenditure 2018-19'!A485)</f>
        <v>0</v>
      </c>
      <c r="B43" s="23">
        <f>SUM('[1]Actual Expenditure 2018-19'!B485)</f>
        <v>0</v>
      </c>
      <c r="C43" s="9"/>
      <c r="D43" s="23" t="s">
        <v>90</v>
      </c>
      <c r="E43" s="23">
        <f>SUM('[1]Actual Expenditure 2018-19'!F485)</f>
        <v>0</v>
      </c>
      <c r="F43" s="23">
        <f>SUM('[1]Actual Expenditure 2018-19'!G485)</f>
        <v>0</v>
      </c>
      <c r="G43" s="23">
        <f>SUM('[1]Actual Expenditure 2018-19'!H485)</f>
        <v>0</v>
      </c>
      <c r="H43" s="23">
        <f>SUM('[1]Actual Expenditure 2018-19'!I485)</f>
        <v>0</v>
      </c>
      <c r="I43" s="23">
        <f>SUM('[1]Actual Expenditure 2018-19'!J485)</f>
        <v>0</v>
      </c>
      <c r="J43" s="23">
        <f>SUM('[1]Actual Expenditure 2018-19'!K485)</f>
        <v>0</v>
      </c>
      <c r="K43" s="23"/>
      <c r="L43" s="52"/>
      <c r="M43" s="23">
        <f>SUM('[1]Actual Expenditure 2018-19'!M485)</f>
        <v>0</v>
      </c>
      <c r="N43" s="23">
        <f>SUM('[1]Actual Expenditure 2018-19'!N485)</f>
        <v>0</v>
      </c>
      <c r="O43" s="23">
        <f>SUM('[1]Actual Expenditure 2018-19'!O485)</f>
        <v>0</v>
      </c>
      <c r="P43" s="23">
        <f>SUM('[1]Actual Expenditure 2018-19'!P485)</f>
        <v>0</v>
      </c>
      <c r="Q43" s="23">
        <f>SUM('[1]Actual Expenditure 2018-19'!Q485)</f>
        <v>0</v>
      </c>
      <c r="R43" s="23">
        <f>SUM('[1]Actual Expenditure 2018-19'!R485)</f>
        <v>0</v>
      </c>
      <c r="S43" s="55">
        <v>0</v>
      </c>
      <c r="T43" s="20" t="e">
        <f>G43/#REF!*100</f>
        <v>#REF!</v>
      </c>
      <c r="U43" s="20" t="e">
        <f>H43/#REF!*100</f>
        <v>#REF!</v>
      </c>
      <c r="V43" s="20" t="e">
        <f>I43/#REF!*100</f>
        <v>#REF!</v>
      </c>
      <c r="W43" s="20" t="e">
        <f>J43/#REF!*100</f>
        <v>#REF!</v>
      </c>
      <c r="X43" s="20"/>
      <c r="Y43" s="20" t="e">
        <f>M43/#REF!*100</f>
        <v>#REF!</v>
      </c>
      <c r="Z43" s="20" t="e">
        <f>N43/#REF!*100</f>
        <v>#REF!</v>
      </c>
      <c r="AA43" s="20" t="e">
        <f>O43/#REF!*100</f>
        <v>#REF!</v>
      </c>
      <c r="AB43" s="20" t="e">
        <f>P43/#REF!*100</f>
        <v>#REF!</v>
      </c>
      <c r="AC43" s="20" t="e">
        <f>Q43/#REF!*100</f>
        <v>#REF!</v>
      </c>
      <c r="AD43" s="20" t="e">
        <f>R43/#REF!*100</f>
        <v>#REF!</v>
      </c>
      <c r="AE43" s="20" t="e">
        <f>O43/E43*100</f>
        <v>#DIV/0!</v>
      </c>
      <c r="AF43" s="20" t="e">
        <f>P43/E43*100</f>
        <v>#DIV/0!</v>
      </c>
      <c r="AG43" s="20" t="e">
        <f>Q43/E43*100</f>
        <v>#DIV/0!</v>
      </c>
      <c r="AH43" s="20" t="e">
        <f>R43/E43*100</f>
        <v>#DIV/0!</v>
      </c>
      <c r="AI43" s="23">
        <v>0</v>
      </c>
      <c r="AJ43" s="20">
        <v>0</v>
      </c>
      <c r="AK43" s="23">
        <v>0</v>
      </c>
      <c r="AL43" s="20" t="e">
        <f>AK43/A43*100</f>
        <v>#DIV/0!</v>
      </c>
      <c r="AM43" s="23">
        <v>0</v>
      </c>
      <c r="AN43" s="20" t="e">
        <f>AM43/A43*100</f>
        <v>#DIV/0!</v>
      </c>
      <c r="AO43" s="23">
        <v>0</v>
      </c>
      <c r="AP43" s="20" t="e">
        <f>AO43/A43*100</f>
        <v>#DIV/0!</v>
      </c>
      <c r="AQ43" s="23">
        <v>0</v>
      </c>
      <c r="AR43" s="20" t="e">
        <f>AQ43/A43*100</f>
        <v>#DIV/0!</v>
      </c>
      <c r="AS43" s="23">
        <v>0</v>
      </c>
      <c r="AT43" s="20" t="e">
        <f>AS43/A43*100</f>
        <v>#DIV/0!</v>
      </c>
      <c r="AU43" s="50">
        <v>0</v>
      </c>
      <c r="AV43" s="20" t="e">
        <f>AU43/A43*100</f>
        <v>#DIV/0!</v>
      </c>
      <c r="AW43" s="50">
        <v>0</v>
      </c>
      <c r="AX43" s="20" t="e">
        <f>AW43/A43*100</f>
        <v>#DIV/0!</v>
      </c>
      <c r="AY43" s="50">
        <v>0</v>
      </c>
      <c r="AZ43" s="20" t="e">
        <f>AY43/A43*100</f>
        <v>#DIV/0!</v>
      </c>
      <c r="BA43" s="20" t="e">
        <f>AY43/B43*100</f>
        <v>#DIV/0!</v>
      </c>
      <c r="BB43" s="50">
        <v>0</v>
      </c>
      <c r="BC43" s="20" t="e">
        <f>BB43/A43*100</f>
        <v>#DIV/0!</v>
      </c>
      <c r="BD43" s="20" t="e">
        <f>BB43/B43*100</f>
        <v>#DIV/0!</v>
      </c>
      <c r="BE43" s="50">
        <v>0</v>
      </c>
      <c r="BF43" s="20" t="e">
        <f>BE43/A43*100</f>
        <v>#DIV/0!</v>
      </c>
      <c r="BG43" s="20" t="e">
        <f>BE43/B43*100</f>
        <v>#DIV/0!</v>
      </c>
      <c r="BH43" s="50">
        <v>0</v>
      </c>
      <c r="BI43" s="20" t="e">
        <f>BH43/A43*100</f>
        <v>#DIV/0!</v>
      </c>
      <c r="BJ43" s="20" t="e">
        <f>BH43/B43*100</f>
        <v>#DIV/0!</v>
      </c>
    </row>
    <row r="44" spans="1:62" ht="18">
      <c r="A44" s="23">
        <f>SUM('[1]Actual Expenditure 2018-19'!A477)</f>
        <v>100000</v>
      </c>
      <c r="B44" s="23">
        <f>SUM('[1]Actual Expenditure 2018-19'!B477)</f>
        <v>100000</v>
      </c>
      <c r="C44" s="9"/>
      <c r="D44" s="23" t="s">
        <v>91</v>
      </c>
      <c r="E44" s="23">
        <f>SUM('[1]Actual Expenditure 2018-19'!F477)</f>
        <v>0</v>
      </c>
      <c r="F44" s="23">
        <f>SUM('[1]Actual Expenditure 2018-19'!G477)</f>
        <v>0</v>
      </c>
      <c r="G44" s="23">
        <f>SUM('[1]Actual Expenditure 2018-19'!H477)</f>
        <v>0</v>
      </c>
      <c r="H44" s="23">
        <f>SUM('[1]Actual Expenditure 2018-19'!I477)</f>
        <v>0</v>
      </c>
      <c r="I44" s="23">
        <f>SUM('[1]Actual Expenditure 2018-19'!J477)</f>
        <v>0</v>
      </c>
      <c r="J44" s="23">
        <f>SUM('[1]Actual Expenditure 2018-19'!K477)</f>
        <v>0</v>
      </c>
      <c r="K44" s="23">
        <v>0</v>
      </c>
      <c r="L44" s="52">
        <f>SUM('[1]Actual Expenditure 2018-19'!L477)</f>
        <v>0</v>
      </c>
      <c r="M44" s="23">
        <f>SUM('[1]Actual Expenditure 2018-19'!M477)</f>
        <v>0</v>
      </c>
      <c r="N44" s="23">
        <f>SUM('[1]Actual Expenditure 2018-19'!N477)</f>
        <v>0</v>
      </c>
      <c r="O44" s="23">
        <f>SUM('[1]Actual Expenditure 2018-19'!O477)</f>
        <v>0</v>
      </c>
      <c r="P44" s="23">
        <f>SUM('[1]Actual Expenditure 2018-19'!P477)</f>
        <v>0</v>
      </c>
      <c r="Q44" s="23">
        <f>SUM('[1]Actual Expenditure 2018-19'!Q477)</f>
        <v>0</v>
      </c>
      <c r="R44" s="23">
        <f>SUM('[1]Actual Expenditure 2018-19'!R477)</f>
        <v>0</v>
      </c>
      <c r="S44" s="20" t="e">
        <f>F44/#REF!*100</f>
        <v>#REF!</v>
      </c>
      <c r="T44" s="20" t="e">
        <f>G44/#REF!*100</f>
        <v>#REF!</v>
      </c>
      <c r="U44" s="20" t="e">
        <f>H44/#REF!*100</f>
        <v>#REF!</v>
      </c>
      <c r="V44" s="20" t="e">
        <f>I44/#REF!*100</f>
        <v>#REF!</v>
      </c>
      <c r="W44" s="20" t="e">
        <f>J44/#REF!*100</f>
        <v>#REF!</v>
      </c>
      <c r="X44" s="20">
        <v>0</v>
      </c>
      <c r="Y44" s="20" t="e">
        <f>M44/#REF!*100</f>
        <v>#REF!</v>
      </c>
      <c r="Z44" s="20" t="e">
        <f>N44/#REF!*100</f>
        <v>#REF!</v>
      </c>
      <c r="AA44" s="20" t="e">
        <f>O44/#REF!*100</f>
        <v>#REF!</v>
      </c>
      <c r="AB44" s="20" t="e">
        <f>P44/#REF!*100</f>
        <v>#REF!</v>
      </c>
      <c r="AC44" s="20" t="e">
        <f>Q44/#REF!*100</f>
        <v>#REF!</v>
      </c>
      <c r="AD44" s="20" t="e">
        <f>R44/#REF!*100</f>
        <v>#REF!</v>
      </c>
      <c r="AE44" s="20" t="e">
        <f>O44/E44*100</f>
        <v>#DIV/0!</v>
      </c>
      <c r="AF44" s="20" t="e">
        <f>P44/E44*100</f>
        <v>#DIV/0!</v>
      </c>
      <c r="AG44" s="20" t="e">
        <f>Q44/E44*100</f>
        <v>#DIV/0!</v>
      </c>
      <c r="AH44" s="20" t="e">
        <f>R44/E44*100</f>
        <v>#DIV/0!</v>
      </c>
      <c r="AI44" s="23">
        <v>0</v>
      </c>
      <c r="AJ44" s="20">
        <f>AI44/A44*100</f>
        <v>0</v>
      </c>
      <c r="AK44" s="23">
        <v>0</v>
      </c>
      <c r="AL44" s="20">
        <f>AK44/A44*100</f>
        <v>0</v>
      </c>
      <c r="AM44" s="23">
        <v>0</v>
      </c>
      <c r="AN44" s="20">
        <f>AM44/A44*100</f>
        <v>0</v>
      </c>
      <c r="AO44" s="23">
        <v>0</v>
      </c>
      <c r="AP44" s="20">
        <f>AO44/A44*100</f>
        <v>0</v>
      </c>
      <c r="AQ44" s="23">
        <v>0</v>
      </c>
      <c r="AR44" s="20">
        <f>AQ44/A44*100</f>
        <v>0</v>
      </c>
      <c r="AS44" s="23">
        <v>0</v>
      </c>
      <c r="AT44" s="20">
        <f>AS44/A44*100</f>
        <v>0</v>
      </c>
      <c r="AU44" s="50">
        <v>0</v>
      </c>
      <c r="AV44" s="20">
        <f>AU44/A44*100</f>
        <v>0</v>
      </c>
      <c r="AW44" s="50">
        <v>0</v>
      </c>
      <c r="AX44" s="20">
        <f>AW44/A44*100</f>
        <v>0</v>
      </c>
      <c r="AY44" s="50">
        <v>0</v>
      </c>
      <c r="AZ44" s="20">
        <f>AY44/A44*100</f>
        <v>0</v>
      </c>
      <c r="BA44" s="20">
        <f>AY44/B44*100</f>
        <v>0</v>
      </c>
      <c r="BB44" s="50">
        <v>0</v>
      </c>
      <c r="BC44" s="20">
        <f>BB44/A44*100</f>
        <v>0</v>
      </c>
      <c r="BD44" s="20">
        <f>BB44/B44*100</f>
        <v>0</v>
      </c>
      <c r="BE44" s="50">
        <v>0</v>
      </c>
      <c r="BF44" s="20">
        <f>BE44/A44*100</f>
        <v>0</v>
      </c>
      <c r="BG44" s="20">
        <f>BE44/B44*100</f>
        <v>0</v>
      </c>
      <c r="BH44" s="50">
        <v>0</v>
      </c>
      <c r="BI44" s="20">
        <f>BH44/A44*100</f>
        <v>0</v>
      </c>
      <c r="BJ44" s="20">
        <f>BH44/B44*100</f>
        <v>0</v>
      </c>
    </row>
    <row r="45" spans="1:62" ht="18">
      <c r="A45" s="23"/>
      <c r="B45" s="23"/>
      <c r="C45" s="9"/>
      <c r="D45" s="23"/>
      <c r="E45" s="23"/>
      <c r="F45" s="23"/>
      <c r="G45" s="23"/>
      <c r="H45" s="23"/>
      <c r="I45" s="23"/>
      <c r="J45" s="23"/>
      <c r="K45" s="23"/>
      <c r="L45" s="52"/>
      <c r="M45" s="23"/>
      <c r="N45" s="23"/>
      <c r="O45" s="23"/>
      <c r="P45" s="23"/>
      <c r="Q45" s="23"/>
      <c r="R45" s="23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3"/>
      <c r="AJ45" s="23"/>
      <c r="AK45" s="23"/>
      <c r="AL45" s="23"/>
      <c r="AM45" s="23"/>
      <c r="AN45" s="20"/>
      <c r="AO45" s="23"/>
      <c r="AP45" s="20"/>
      <c r="AQ45" s="23"/>
      <c r="AR45" s="20"/>
      <c r="AS45" s="23"/>
      <c r="AT45" s="20"/>
      <c r="AU45" s="50"/>
      <c r="AV45" s="20" t="s">
        <v>76</v>
      </c>
      <c r="AW45" s="50"/>
      <c r="AX45" s="20"/>
      <c r="AY45" s="50"/>
      <c r="AZ45" s="20"/>
      <c r="BA45" s="20"/>
      <c r="BB45" s="50"/>
      <c r="BC45" s="20"/>
      <c r="BD45" s="20"/>
      <c r="BE45" s="50"/>
      <c r="BF45" s="20"/>
      <c r="BG45" s="20"/>
      <c r="BH45" s="50"/>
      <c r="BI45" s="20"/>
      <c r="BJ45" s="20"/>
    </row>
    <row r="46" spans="1:62" ht="18">
      <c r="A46" s="23">
        <f>SUM('[1]Actual Expenditure 2018-19'!A480)</f>
        <v>950000</v>
      </c>
      <c r="B46" s="23">
        <f>SUM('[1]Actual Expenditure 2018-19'!B480)</f>
        <v>890000</v>
      </c>
      <c r="C46" s="9"/>
      <c r="D46" s="23" t="s">
        <v>92</v>
      </c>
      <c r="E46" s="23">
        <f>SUM('[1]Actual Expenditure 2018-19'!F480)</f>
        <v>0</v>
      </c>
      <c r="F46" s="23">
        <f>SUM('[1]Actual Expenditure 2018-19'!G480)</f>
        <v>0</v>
      </c>
      <c r="G46" s="23">
        <f>SUM('[1]Actual Expenditure 2018-19'!H480)</f>
        <v>0</v>
      </c>
      <c r="H46" s="23">
        <f>SUM('[1]Actual Expenditure 2018-19'!I480)</f>
        <v>0</v>
      </c>
      <c r="I46" s="23">
        <f>SUM('[1]Actual Expenditure 2018-19'!J480)</f>
        <v>0</v>
      </c>
      <c r="J46" s="23">
        <f>SUM('[1]Actual Expenditure 2018-19'!K480)</f>
        <v>0</v>
      </c>
      <c r="K46" s="23">
        <v>1050000</v>
      </c>
      <c r="L46" s="52">
        <v>0</v>
      </c>
      <c r="M46" s="23">
        <f>SUM('[1]Actual Expenditure 2018-19'!M480)</f>
        <v>0</v>
      </c>
      <c r="N46" s="23">
        <f>SUM('[1]Actual Expenditure 2018-19'!N480)</f>
        <v>0</v>
      </c>
      <c r="O46" s="23">
        <f>SUM('[1]Actual Expenditure 2018-19'!O480)</f>
        <v>0</v>
      </c>
      <c r="P46" s="23">
        <f>SUM('[1]Actual Expenditure 2018-19'!P480)</f>
        <v>0</v>
      </c>
      <c r="Q46" s="23">
        <f>SUM('[1]Actual Expenditure 2018-19'!Q480)</f>
        <v>0</v>
      </c>
      <c r="R46" s="23">
        <f>SUM('[1]Actual Expenditure 2018-19'!R480)</f>
        <v>0</v>
      </c>
      <c r="S46" s="20" t="e">
        <f>F46/#REF!*100</f>
        <v>#REF!</v>
      </c>
      <c r="T46" s="20" t="e">
        <f>G46/#REF!*100</f>
        <v>#REF!</v>
      </c>
      <c r="U46" s="20" t="e">
        <f>H46/#REF!*100</f>
        <v>#REF!</v>
      </c>
      <c r="V46" s="20" t="e">
        <f>I46/#REF!*100</f>
        <v>#REF!</v>
      </c>
      <c r="W46" s="20" t="e">
        <f>J46/#REF!*100</f>
        <v>#REF!</v>
      </c>
      <c r="X46" s="20">
        <f t="shared" si="20"/>
        <v>0</v>
      </c>
      <c r="Y46" s="20" t="e">
        <f>M46/#REF!*100</f>
        <v>#REF!</v>
      </c>
      <c r="Z46" s="20" t="e">
        <f>N46/#REF!*100</f>
        <v>#REF!</v>
      </c>
      <c r="AA46" s="20" t="e">
        <f>O46/#REF!*100</f>
        <v>#REF!</v>
      </c>
      <c r="AB46" s="20" t="e">
        <f>P46/#REF!*100</f>
        <v>#REF!</v>
      </c>
      <c r="AC46" s="20" t="e">
        <f>Q46/#REF!*100</f>
        <v>#REF!</v>
      </c>
      <c r="AD46" s="20" t="e">
        <f>R46/#REF!*100</f>
        <v>#REF!</v>
      </c>
      <c r="AE46" s="20" t="e">
        <f>O46/E46*100</f>
        <v>#DIV/0!</v>
      </c>
      <c r="AF46" s="20" t="e">
        <f>P46/E46*100</f>
        <v>#DIV/0!</v>
      </c>
      <c r="AG46" s="20" t="e">
        <f>Q46/E46*100</f>
        <v>#DIV/0!</v>
      </c>
      <c r="AH46" s="20" t="e">
        <f>R46/E46*100</f>
        <v>#DIV/0!</v>
      </c>
      <c r="AI46" s="23">
        <v>0</v>
      </c>
      <c r="AJ46" s="20">
        <f>AI46/A46*100</f>
        <v>0</v>
      </c>
      <c r="AK46" s="23">
        <v>0</v>
      </c>
      <c r="AL46" s="20">
        <f>AK46/A46*100</f>
        <v>0</v>
      </c>
      <c r="AM46" s="23">
        <v>0</v>
      </c>
      <c r="AN46" s="20">
        <f>AM46/A46*100</f>
        <v>0</v>
      </c>
      <c r="AO46" s="23">
        <v>0</v>
      </c>
      <c r="AP46" s="20">
        <f>AO46/A46*100</f>
        <v>0</v>
      </c>
      <c r="AQ46" s="23">
        <v>27880</v>
      </c>
      <c r="AR46" s="20">
        <f>AQ46/A46*100</f>
        <v>2.9347368421052633</v>
      </c>
      <c r="AS46" s="23">
        <v>27880</v>
      </c>
      <c r="AT46" s="20">
        <f>AS46/A46*100</f>
        <v>2.9347368421052633</v>
      </c>
      <c r="AU46" s="50">
        <v>27880</v>
      </c>
      <c r="AV46" s="20">
        <f>AU46/A46*100</f>
        <v>2.9347368421052633</v>
      </c>
      <c r="AW46" s="50">
        <v>27880</v>
      </c>
      <c r="AX46" s="20">
        <f>AW46/A46*100</f>
        <v>2.9347368421052633</v>
      </c>
      <c r="AY46" s="50">
        <v>515608</v>
      </c>
      <c r="AZ46" s="20">
        <f>AY46/A46*100</f>
        <v>54.274526315789473</v>
      </c>
      <c r="BA46" s="20">
        <f>AY46/B46*100</f>
        <v>57.93348314606741</v>
      </c>
      <c r="BB46" s="50">
        <v>698070</v>
      </c>
      <c r="BC46" s="20">
        <f>BB46/A46*100</f>
        <v>73.481052631578947</v>
      </c>
      <c r="BD46" s="20">
        <f>BB46/B46*100</f>
        <v>78.434831460674161</v>
      </c>
      <c r="BE46" s="50">
        <v>760596</v>
      </c>
      <c r="BF46" s="20">
        <f>BE46/A46*100</f>
        <v>80.062736842105267</v>
      </c>
      <c r="BG46" s="20">
        <f>BE46/B46*100</f>
        <v>85.46022471910112</v>
      </c>
      <c r="BH46" s="50">
        <v>0</v>
      </c>
      <c r="BI46" s="20">
        <f>BH46/A46*100</f>
        <v>0</v>
      </c>
      <c r="BJ46" s="20">
        <f>BH46/B46*100</f>
        <v>0</v>
      </c>
    </row>
    <row r="47" spans="1:62" ht="18">
      <c r="A47" s="23">
        <f>SUM(A43:A46)</f>
        <v>1050000</v>
      </c>
      <c r="B47" s="23">
        <f>SUM(B43:B46)</f>
        <v>990000</v>
      </c>
      <c r="C47" s="9">
        <v>4047</v>
      </c>
      <c r="D47" s="23" t="s">
        <v>93</v>
      </c>
      <c r="E47" s="23">
        <f t="shared" ref="E47:R47" si="24">SUM(E43:E46)</f>
        <v>0</v>
      </c>
      <c r="F47" s="23">
        <f t="shared" si="24"/>
        <v>0</v>
      </c>
      <c r="G47" s="23">
        <f t="shared" si="24"/>
        <v>0</v>
      </c>
      <c r="H47" s="23">
        <f t="shared" si="24"/>
        <v>0</v>
      </c>
      <c r="I47" s="23">
        <f t="shared" si="24"/>
        <v>0</v>
      </c>
      <c r="J47" s="23">
        <f t="shared" si="24"/>
        <v>0</v>
      </c>
      <c r="K47" s="23">
        <f t="shared" si="24"/>
        <v>1050000</v>
      </c>
      <c r="L47" s="52">
        <f t="shared" si="24"/>
        <v>0</v>
      </c>
      <c r="M47" s="23">
        <f t="shared" si="24"/>
        <v>0</v>
      </c>
      <c r="N47" s="23">
        <f t="shared" si="24"/>
        <v>0</v>
      </c>
      <c r="O47" s="23">
        <f t="shared" si="24"/>
        <v>0</v>
      </c>
      <c r="P47" s="23">
        <f t="shared" si="24"/>
        <v>0</v>
      </c>
      <c r="Q47" s="23">
        <f t="shared" si="24"/>
        <v>0</v>
      </c>
      <c r="R47" s="23">
        <f t="shared" si="24"/>
        <v>0</v>
      </c>
      <c r="S47" s="20" t="e">
        <f>F47/#REF!*100</f>
        <v>#REF!</v>
      </c>
      <c r="T47" s="20" t="e">
        <f>G47/#REF!*100</f>
        <v>#REF!</v>
      </c>
      <c r="U47" s="20" t="e">
        <f>H47/#REF!*100</f>
        <v>#REF!</v>
      </c>
      <c r="V47" s="20" t="e">
        <f>I47/#REF!*100</f>
        <v>#REF!</v>
      </c>
      <c r="W47" s="20" t="e">
        <f>J47/#REF!*100</f>
        <v>#REF!</v>
      </c>
      <c r="X47" s="20">
        <f t="shared" si="20"/>
        <v>0</v>
      </c>
      <c r="Y47" s="20" t="e">
        <f>M47/#REF!*100</f>
        <v>#REF!</v>
      </c>
      <c r="Z47" s="20" t="e">
        <f>N47/#REF!*100</f>
        <v>#REF!</v>
      </c>
      <c r="AA47" s="20" t="e">
        <f>O47/#REF!*100</f>
        <v>#REF!</v>
      </c>
      <c r="AB47" s="20" t="e">
        <f>P47/#REF!*100</f>
        <v>#REF!</v>
      </c>
      <c r="AC47" s="20" t="e">
        <f>Q47/#REF!*100</f>
        <v>#REF!</v>
      </c>
      <c r="AD47" s="20" t="e">
        <f>R47/#REF!*100</f>
        <v>#REF!</v>
      </c>
      <c r="AE47" s="20" t="e">
        <f>O47/E47*100</f>
        <v>#DIV/0!</v>
      </c>
      <c r="AF47" s="20" t="e">
        <f>P47/E47*100</f>
        <v>#DIV/0!</v>
      </c>
      <c r="AG47" s="20" t="e">
        <f>Q47/E47*100</f>
        <v>#DIV/0!</v>
      </c>
      <c r="AH47" s="20" t="e">
        <f>R47/E47*100</f>
        <v>#DIV/0!</v>
      </c>
      <c r="AI47" s="23">
        <f>SUM(AI43:AI46)</f>
        <v>0</v>
      </c>
      <c r="AJ47" s="20">
        <f>AI47/A47*100</f>
        <v>0</v>
      </c>
      <c r="AK47" s="54">
        <f>SUM(AK43:AK46)</f>
        <v>0</v>
      </c>
      <c r="AL47" s="20">
        <f>AK47/A47*100</f>
        <v>0</v>
      </c>
      <c r="AM47" s="54">
        <f>SUM(AM43:AM46)</f>
        <v>0</v>
      </c>
      <c r="AN47" s="20">
        <f>AM47/A47*100</f>
        <v>0</v>
      </c>
      <c r="AO47" s="54">
        <f>SUM(AO43:AO46)</f>
        <v>0</v>
      </c>
      <c r="AP47" s="20">
        <f>AO47/A47*100</f>
        <v>0</v>
      </c>
      <c r="AQ47" s="54">
        <f>SUM(AQ43:AQ46)</f>
        <v>27880</v>
      </c>
      <c r="AR47" s="20">
        <f>AQ47/A47*100</f>
        <v>2.6552380952380954</v>
      </c>
      <c r="AS47" s="54">
        <f>SUM(AS43:AS46)</f>
        <v>27880</v>
      </c>
      <c r="AT47" s="20">
        <f>AS47/A47*100</f>
        <v>2.6552380952380954</v>
      </c>
      <c r="AU47" s="50">
        <f>SUM(AU43:AU46)</f>
        <v>27880</v>
      </c>
      <c r="AV47" s="20">
        <f>AU47/A47*100</f>
        <v>2.6552380952380954</v>
      </c>
      <c r="AW47" s="50">
        <f>SUM(AW43:AW46)</f>
        <v>27880</v>
      </c>
      <c r="AX47" s="20">
        <f>AW47/A47*100</f>
        <v>2.6552380952380954</v>
      </c>
      <c r="AY47" s="50">
        <f>SUM(AY43:AY46)</f>
        <v>515608</v>
      </c>
      <c r="AZ47" s="20">
        <f>AY47/A47*100</f>
        <v>49.10552380952381</v>
      </c>
      <c r="BA47" s="20">
        <f>AY47/B47*100</f>
        <v>52.081616161616161</v>
      </c>
      <c r="BB47" s="50">
        <f>SUM(BB43:BB46)</f>
        <v>698070</v>
      </c>
      <c r="BC47" s="20">
        <f>BB47/A47*100</f>
        <v>66.482857142857142</v>
      </c>
      <c r="BD47" s="20">
        <f>BB47/B47*100</f>
        <v>70.512121212121215</v>
      </c>
      <c r="BE47" s="50">
        <f>SUM(BE43:BE46)</f>
        <v>760596</v>
      </c>
      <c r="BF47" s="20">
        <f>BE47/A47*100</f>
        <v>72.437714285714279</v>
      </c>
      <c r="BG47" s="20">
        <f>BE47/B47*100</f>
        <v>76.827878787878788</v>
      </c>
      <c r="BH47" s="50">
        <f>SUM(BH43:BH46)</f>
        <v>0</v>
      </c>
      <c r="BI47" s="20">
        <f>BH47/A47*100</f>
        <v>0</v>
      </c>
      <c r="BJ47" s="20">
        <f>BH47/B47*100</f>
        <v>0</v>
      </c>
    </row>
    <row r="48" spans="1:62" ht="18">
      <c r="A48" s="56"/>
      <c r="B48" s="56"/>
      <c r="C48" s="67"/>
      <c r="D48" s="23" t="s">
        <v>94</v>
      </c>
      <c r="E48" s="56"/>
      <c r="F48" s="56"/>
      <c r="G48" s="56"/>
      <c r="H48" s="56"/>
      <c r="I48" s="56"/>
      <c r="J48" s="56"/>
      <c r="K48" s="56"/>
      <c r="L48" s="57"/>
      <c r="M48" s="56"/>
      <c r="N48" s="56"/>
      <c r="O48" s="56"/>
      <c r="P48" s="56"/>
      <c r="Q48" s="56"/>
      <c r="R48" s="56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3"/>
      <c r="AJ48" s="23"/>
      <c r="AK48" s="23"/>
      <c r="AL48" s="23"/>
      <c r="AM48" s="23"/>
      <c r="AN48" s="20"/>
      <c r="AO48" s="23"/>
      <c r="AP48" s="20"/>
      <c r="AQ48" s="23"/>
      <c r="AR48" s="20"/>
      <c r="AS48" s="23"/>
      <c r="AT48" s="20"/>
      <c r="AU48" s="50"/>
      <c r="AV48" s="20" t="s">
        <v>76</v>
      </c>
      <c r="AW48" s="50"/>
      <c r="AX48" s="20"/>
      <c r="AY48" s="50"/>
      <c r="AZ48" s="20"/>
      <c r="BA48" s="20"/>
      <c r="BB48" s="50"/>
      <c r="BC48" s="20"/>
      <c r="BD48" s="20"/>
      <c r="BE48" s="50"/>
      <c r="BF48" s="20"/>
      <c r="BG48" s="20"/>
      <c r="BH48" s="50"/>
      <c r="BI48" s="20"/>
      <c r="BJ48" s="20"/>
    </row>
    <row r="49" spans="1:69" ht="18">
      <c r="A49" s="23"/>
      <c r="B49" s="23"/>
      <c r="C49" s="9"/>
      <c r="D49" s="23" t="s">
        <v>95</v>
      </c>
      <c r="E49" s="23"/>
      <c r="F49" s="23"/>
      <c r="G49" s="23"/>
      <c r="H49" s="23"/>
      <c r="I49" s="23"/>
      <c r="J49" s="23"/>
      <c r="K49" s="23"/>
      <c r="L49" s="52"/>
      <c r="M49" s="23"/>
      <c r="N49" s="23"/>
      <c r="O49" s="23"/>
      <c r="P49" s="23"/>
      <c r="Q49" s="23"/>
      <c r="R49" s="23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3"/>
      <c r="AJ49" s="23"/>
      <c r="AK49" s="23"/>
      <c r="AL49" s="23"/>
      <c r="AM49" s="23"/>
      <c r="AN49" s="20"/>
      <c r="AO49" s="23"/>
      <c r="AP49" s="20"/>
      <c r="AQ49" s="23"/>
      <c r="AR49" s="20"/>
      <c r="AS49" s="23"/>
      <c r="AT49" s="20"/>
      <c r="AU49" s="50"/>
      <c r="AV49" s="20" t="s">
        <v>76</v>
      </c>
      <c r="AW49" s="50"/>
      <c r="AX49" s="20"/>
      <c r="AY49" s="50"/>
      <c r="AZ49" s="20"/>
      <c r="BA49" s="20"/>
      <c r="BB49" s="50"/>
      <c r="BC49" s="20"/>
      <c r="BD49" s="20"/>
      <c r="BE49" s="50"/>
      <c r="BF49" s="20"/>
      <c r="BG49" s="20"/>
      <c r="BH49" s="50"/>
      <c r="BI49" s="20"/>
      <c r="BJ49" s="20"/>
    </row>
    <row r="50" spans="1:69" ht="18">
      <c r="A50" s="23">
        <f>SUM('[1]Actual Expenditure 2018-19'!A500)</f>
        <v>1810000</v>
      </c>
      <c r="B50" s="23">
        <f>SUM('[1]Actual Expenditure 2018-19'!B500)</f>
        <v>1870100</v>
      </c>
      <c r="C50" s="9">
        <v>4059</v>
      </c>
      <c r="D50" s="23" t="s">
        <v>96</v>
      </c>
      <c r="E50" s="23">
        <f>SUM('[1]Actual Expenditure 2018-19'!F500)</f>
        <v>0</v>
      </c>
      <c r="F50" s="23">
        <f>SUM('[1]Actual Expenditure 2018-19'!G500)</f>
        <v>0</v>
      </c>
      <c r="G50" s="23">
        <f>SUM('[1]Actual Expenditure 2018-19'!H500)</f>
        <v>0</v>
      </c>
      <c r="H50" s="23">
        <f>SUM('[1]Actual Expenditure 2018-19'!I500)</f>
        <v>0</v>
      </c>
      <c r="I50" s="23">
        <f>SUM('[1]Actual Expenditure 2018-19'!J500)</f>
        <v>0</v>
      </c>
      <c r="J50" s="23">
        <f>SUM('[1]Actual Expenditure 2018-19'!K500)</f>
        <v>76010</v>
      </c>
      <c r="K50" s="23">
        <v>1500000</v>
      </c>
      <c r="L50" s="52">
        <v>0</v>
      </c>
      <c r="M50" s="23">
        <f>SUM('[1]Actual Expenditure 2018-19'!M500)</f>
        <v>0</v>
      </c>
      <c r="N50" s="23">
        <f>SUM('[1]Actual Expenditure 2018-19'!N500)</f>
        <v>0</v>
      </c>
      <c r="O50" s="23">
        <f>SUM('[1]Actual Expenditure 2018-19'!O500)</f>
        <v>0</v>
      </c>
      <c r="P50" s="23">
        <f>SUM('[1]Actual Expenditure 2018-19'!P500)</f>
        <v>0</v>
      </c>
      <c r="Q50" s="23">
        <f>SUM('[1]Actual Expenditure 2018-19'!Q500)</f>
        <v>0</v>
      </c>
      <c r="R50" s="23">
        <f>SUM('[1]Actual Expenditure 2018-19'!R500)</f>
        <v>0</v>
      </c>
      <c r="S50" s="20" t="e">
        <f>F50/#REF!*100</f>
        <v>#REF!</v>
      </c>
      <c r="T50" s="20" t="e">
        <f>G50/#REF!*100</f>
        <v>#REF!</v>
      </c>
      <c r="U50" s="20" t="e">
        <f>H50/#REF!*100</f>
        <v>#REF!</v>
      </c>
      <c r="V50" s="20" t="e">
        <f>I50/#REF!*100</f>
        <v>#REF!</v>
      </c>
      <c r="W50" s="20" t="e">
        <f>J50/#REF!*100</f>
        <v>#REF!</v>
      </c>
      <c r="X50" s="20">
        <f t="shared" si="20"/>
        <v>0</v>
      </c>
      <c r="Y50" s="20" t="e">
        <f>M50/#REF!*100</f>
        <v>#REF!</v>
      </c>
      <c r="Z50" s="20" t="e">
        <f>N50/#REF!*100</f>
        <v>#REF!</v>
      </c>
      <c r="AA50" s="20" t="e">
        <f>O50/#REF!*100</f>
        <v>#REF!</v>
      </c>
      <c r="AB50" s="20" t="e">
        <f>P50/#REF!*100</f>
        <v>#REF!</v>
      </c>
      <c r="AC50" s="20" t="e">
        <f>Q50/#REF!*100</f>
        <v>#REF!</v>
      </c>
      <c r="AD50" s="20" t="e">
        <f>R50/#REF!*100</f>
        <v>#REF!</v>
      </c>
      <c r="AE50" s="20" t="e">
        <f>O50/E50*100</f>
        <v>#DIV/0!</v>
      </c>
      <c r="AF50" s="20" t="e">
        <f>P50/E50*100</f>
        <v>#DIV/0!</v>
      </c>
      <c r="AG50" s="20" t="e">
        <f>Q50/E50*100</f>
        <v>#DIV/0!</v>
      </c>
      <c r="AH50" s="20" t="e">
        <f>R50/E50*100</f>
        <v>#DIV/0!</v>
      </c>
      <c r="AI50" s="23">
        <v>0</v>
      </c>
      <c r="AJ50" s="20">
        <f>AI50/A50*100</f>
        <v>0</v>
      </c>
      <c r="AK50" s="23">
        <v>0</v>
      </c>
      <c r="AL50" s="20">
        <f>AK50/A50*100</f>
        <v>0</v>
      </c>
      <c r="AM50" s="23">
        <v>0</v>
      </c>
      <c r="AN50" s="20">
        <f>AM50/A50*100</f>
        <v>0</v>
      </c>
      <c r="AO50" s="23">
        <v>0</v>
      </c>
      <c r="AP50" s="20">
        <f>AO50/A50*100</f>
        <v>0</v>
      </c>
      <c r="AQ50" s="23">
        <v>41181</v>
      </c>
      <c r="AR50" s="20">
        <f>AQ50/A50*100</f>
        <v>2.2751933701657459</v>
      </c>
      <c r="AS50" s="23">
        <v>49350</v>
      </c>
      <c r="AT50" s="20">
        <f>AS50/A50*100</f>
        <v>2.7265193370165743</v>
      </c>
      <c r="AU50" s="50">
        <v>96573</v>
      </c>
      <c r="AV50" s="20">
        <f>AU50/A50*100</f>
        <v>5.3355248618784534</v>
      </c>
      <c r="AW50" s="50">
        <v>102803</v>
      </c>
      <c r="AX50" s="20">
        <f>AW50/A50*100</f>
        <v>5.6797237569060774</v>
      </c>
      <c r="AY50" s="50">
        <v>172509</v>
      </c>
      <c r="AZ50" s="20">
        <f>AY50/A50*100</f>
        <v>9.5308839779005528</v>
      </c>
      <c r="BA50" s="20">
        <f>AY50/B50*100</f>
        <v>9.2245869204855353</v>
      </c>
      <c r="BB50" s="50">
        <v>308995</v>
      </c>
      <c r="BC50" s="20">
        <f>BB50/A50*100</f>
        <v>17.071546961325968</v>
      </c>
      <c r="BD50" s="20">
        <f>BB50/B50*100</f>
        <v>16.522913213197153</v>
      </c>
      <c r="BE50" s="50">
        <v>524708</v>
      </c>
      <c r="BF50" s="20">
        <f>BE50/A50*100</f>
        <v>28.98939226519337</v>
      </c>
      <c r="BG50" s="20">
        <f>BE50/B50*100</f>
        <v>28.05775092241057</v>
      </c>
      <c r="BH50" s="50">
        <v>0</v>
      </c>
      <c r="BI50" s="20">
        <f>BH50/A50*100</f>
        <v>0</v>
      </c>
      <c r="BJ50" s="20">
        <f>BH50/B50*100</f>
        <v>0</v>
      </c>
    </row>
    <row r="51" spans="1:69" ht="18">
      <c r="A51" s="56"/>
      <c r="B51" s="56"/>
      <c r="C51" s="67"/>
      <c r="D51" s="23" t="s">
        <v>97</v>
      </c>
      <c r="E51" s="56"/>
      <c r="F51" s="56"/>
      <c r="G51" s="56"/>
      <c r="H51" s="56"/>
      <c r="I51" s="56"/>
      <c r="J51" s="56"/>
      <c r="K51" s="56"/>
      <c r="L51" s="57"/>
      <c r="M51" s="56"/>
      <c r="N51" s="56"/>
      <c r="O51" s="56"/>
      <c r="P51" s="56"/>
      <c r="Q51" s="56"/>
      <c r="R51" s="56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3"/>
      <c r="AJ51" s="23"/>
      <c r="AK51" s="23"/>
      <c r="AL51" s="23"/>
      <c r="AM51" s="23"/>
      <c r="AN51" s="20"/>
      <c r="AO51" s="23"/>
      <c r="AP51" s="20"/>
      <c r="AQ51" s="23"/>
      <c r="AR51" s="20"/>
      <c r="AS51" s="23"/>
      <c r="AT51" s="20"/>
      <c r="AU51" s="50"/>
      <c r="AV51" s="20" t="s">
        <v>76</v>
      </c>
      <c r="AW51" s="50"/>
      <c r="AX51" s="20"/>
      <c r="AY51" s="50"/>
      <c r="AZ51" s="20"/>
      <c r="BA51" s="20"/>
      <c r="BB51" s="50"/>
      <c r="BC51" s="20"/>
      <c r="BD51" s="20"/>
      <c r="BE51" s="50"/>
      <c r="BF51" s="20"/>
      <c r="BG51" s="20"/>
      <c r="BH51" s="50"/>
      <c r="BI51" s="20"/>
      <c r="BJ51" s="20"/>
    </row>
    <row r="52" spans="1:69" ht="18">
      <c r="A52" s="56"/>
      <c r="B52" s="56"/>
      <c r="C52" s="67"/>
      <c r="D52" s="23" t="s">
        <v>98</v>
      </c>
      <c r="E52" s="56"/>
      <c r="F52" s="56"/>
      <c r="G52" s="56"/>
      <c r="H52" s="56"/>
      <c r="I52" s="56"/>
      <c r="J52" s="56"/>
      <c r="K52" s="56"/>
      <c r="L52" s="57"/>
      <c r="M52" s="56"/>
      <c r="N52" s="56"/>
      <c r="O52" s="56"/>
      <c r="P52" s="56"/>
      <c r="Q52" s="56"/>
      <c r="R52" s="56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3"/>
      <c r="AJ52" s="23"/>
      <c r="AK52" s="23"/>
      <c r="AL52" s="23"/>
      <c r="AM52" s="23"/>
      <c r="AN52" s="20"/>
      <c r="AO52" s="23"/>
      <c r="AP52" s="20"/>
      <c r="AQ52" s="23"/>
      <c r="AR52" s="20"/>
      <c r="AS52" s="23"/>
      <c r="AT52" s="20"/>
      <c r="AU52" s="50"/>
      <c r="AV52" s="20" t="s">
        <v>76</v>
      </c>
      <c r="AW52" s="50"/>
      <c r="AX52" s="20"/>
      <c r="AY52" s="50"/>
      <c r="AZ52" s="20"/>
      <c r="BA52" s="20"/>
      <c r="BB52" s="50"/>
      <c r="BC52" s="20"/>
      <c r="BD52" s="20"/>
      <c r="BE52" s="50"/>
      <c r="BF52" s="20"/>
      <c r="BG52" s="20"/>
      <c r="BH52" s="50"/>
      <c r="BI52" s="20"/>
      <c r="BJ52" s="20"/>
    </row>
    <row r="53" spans="1:69" ht="18">
      <c r="A53" s="23">
        <f>SUM('[1]Actual Expenditure 2018-19'!A511)</f>
        <v>1210000</v>
      </c>
      <c r="B53" s="23">
        <f>SUM('[1]Actual Expenditure 2018-19'!B511)</f>
        <v>1210000</v>
      </c>
      <c r="C53" s="9">
        <v>4216</v>
      </c>
      <c r="D53" s="23" t="s">
        <v>96</v>
      </c>
      <c r="E53" s="23">
        <f>SUM('[1]Actual Expenditure 2018-19'!F511)</f>
        <v>0</v>
      </c>
      <c r="F53" s="23">
        <f>SUM('[1]Actual Expenditure 2018-19'!G511)</f>
        <v>0</v>
      </c>
      <c r="G53" s="23">
        <f>SUM('[1]Actual Expenditure 2018-19'!H511)</f>
        <v>0</v>
      </c>
      <c r="H53" s="23">
        <f>SUM('[1]Actual Expenditure 2018-19'!I511)</f>
        <v>0</v>
      </c>
      <c r="I53" s="23">
        <f>SUM('[1]Actual Expenditure 2018-19'!J511)</f>
        <v>0</v>
      </c>
      <c r="J53" s="23">
        <f>SUM('[1]Actual Expenditure 2018-19'!K511)</f>
        <v>111987</v>
      </c>
      <c r="K53" s="23">
        <v>1830000</v>
      </c>
      <c r="L53" s="52">
        <v>0</v>
      </c>
      <c r="M53" s="23">
        <f>SUM('[1]Actual Expenditure 2018-19'!M511)</f>
        <v>0</v>
      </c>
      <c r="N53" s="23">
        <f>SUM('[1]Actual Expenditure 2018-19'!N511)</f>
        <v>0</v>
      </c>
      <c r="O53" s="23">
        <f>SUM('[1]Actual Expenditure 2018-19'!O511)</f>
        <v>0</v>
      </c>
      <c r="P53" s="23">
        <f>SUM('[1]Actual Expenditure 2018-19'!P511)</f>
        <v>0</v>
      </c>
      <c r="Q53" s="23">
        <f>SUM('[1]Actual Expenditure 2018-19'!Q511)</f>
        <v>0</v>
      </c>
      <c r="R53" s="23">
        <f>SUM('[1]Actual Expenditure 2018-19'!R511)</f>
        <v>0</v>
      </c>
      <c r="S53" s="20" t="e">
        <f>F53/#REF!*100</f>
        <v>#REF!</v>
      </c>
      <c r="T53" s="20" t="e">
        <f>G53/#REF!*100</f>
        <v>#REF!</v>
      </c>
      <c r="U53" s="20" t="e">
        <f>H53/#REF!*100</f>
        <v>#REF!</v>
      </c>
      <c r="V53" s="20" t="e">
        <f>I53/#REF!*100</f>
        <v>#REF!</v>
      </c>
      <c r="W53" s="20" t="e">
        <f>J53/#REF!*100</f>
        <v>#REF!</v>
      </c>
      <c r="X53" s="20">
        <f t="shared" si="20"/>
        <v>0</v>
      </c>
      <c r="Y53" s="20" t="e">
        <f>M53/#REF!*100</f>
        <v>#REF!</v>
      </c>
      <c r="Z53" s="20" t="e">
        <f>N53/#REF!*100</f>
        <v>#REF!</v>
      </c>
      <c r="AA53" s="20" t="e">
        <f>O53/#REF!*100</f>
        <v>#REF!</v>
      </c>
      <c r="AB53" s="20" t="e">
        <f>P53/#REF!*100</f>
        <v>#REF!</v>
      </c>
      <c r="AC53" s="20" t="e">
        <f>Q53/#REF!*100</f>
        <v>#REF!</v>
      </c>
      <c r="AD53" s="20" t="e">
        <f>R53/#REF!*100</f>
        <v>#REF!</v>
      </c>
      <c r="AE53" s="20" t="e">
        <f>O53/E53*100</f>
        <v>#DIV/0!</v>
      </c>
      <c r="AF53" s="20" t="e">
        <f>P53/E53*100</f>
        <v>#DIV/0!</v>
      </c>
      <c r="AG53" s="20" t="e">
        <f>Q53/E53*100</f>
        <v>#DIV/0!</v>
      </c>
      <c r="AH53" s="20" t="e">
        <f>R53/E53*100</f>
        <v>#DIV/0!</v>
      </c>
      <c r="AI53" s="23">
        <v>0</v>
      </c>
      <c r="AJ53" s="20">
        <f>AI53/A53*100</f>
        <v>0</v>
      </c>
      <c r="AK53" s="23">
        <v>0</v>
      </c>
      <c r="AL53" s="20">
        <f>AK53/A53*100</f>
        <v>0</v>
      </c>
      <c r="AM53" s="23">
        <v>951</v>
      </c>
      <c r="AN53" s="20">
        <f>AM53/A53*100</f>
        <v>7.8595041322314055E-2</v>
      </c>
      <c r="AO53" s="23">
        <v>951</v>
      </c>
      <c r="AP53" s="20">
        <f>AO53/A53*100</f>
        <v>7.8595041322314055E-2</v>
      </c>
      <c r="AQ53" s="23">
        <v>0</v>
      </c>
      <c r="AR53" s="20">
        <f>AQ53/A53*100</f>
        <v>0</v>
      </c>
      <c r="AS53" s="23">
        <v>0</v>
      </c>
      <c r="AT53" s="20">
        <f>AS53/A53*100</f>
        <v>0</v>
      </c>
      <c r="AU53" s="50">
        <v>32940</v>
      </c>
      <c r="AV53" s="20">
        <f>AU53/A53*100</f>
        <v>2.7223140495867773</v>
      </c>
      <c r="AW53" s="50">
        <v>33176</v>
      </c>
      <c r="AX53" s="20">
        <f>AW53/A53*100</f>
        <v>2.7418181818181817</v>
      </c>
      <c r="AY53" s="50">
        <v>34098</v>
      </c>
      <c r="AZ53" s="20">
        <f>AY53/A53*100</f>
        <v>2.8180165289256198</v>
      </c>
      <c r="BA53" s="20">
        <f>AY53/B53*100</f>
        <v>2.8180165289256198</v>
      </c>
      <c r="BB53" s="50">
        <v>154116</v>
      </c>
      <c r="BC53" s="20">
        <f>BB53/A53*100</f>
        <v>12.73685950413223</v>
      </c>
      <c r="BD53" s="20">
        <f>BB53/B53*100</f>
        <v>12.73685950413223</v>
      </c>
      <c r="BE53" s="50">
        <v>162990</v>
      </c>
      <c r="BF53" s="20">
        <f>BE53/A53*100</f>
        <v>13.470247933884297</v>
      </c>
      <c r="BG53" s="20">
        <f>BE53/B53*100</f>
        <v>13.470247933884297</v>
      </c>
      <c r="BH53" s="50">
        <v>0</v>
      </c>
      <c r="BI53" s="20">
        <f>BH53/A53*100</f>
        <v>0</v>
      </c>
      <c r="BJ53" s="20">
        <f>BH53/B53*100</f>
        <v>0</v>
      </c>
    </row>
    <row r="54" spans="1:69" ht="18">
      <c r="A54" s="56"/>
      <c r="B54" s="56"/>
      <c r="C54" s="67"/>
      <c r="D54" s="23"/>
      <c r="E54" s="56"/>
      <c r="F54" s="56"/>
      <c r="G54" s="56"/>
      <c r="H54" s="56"/>
      <c r="I54" s="56"/>
      <c r="J54" s="56"/>
      <c r="K54" s="56"/>
      <c r="L54" s="57"/>
      <c r="M54" s="56"/>
      <c r="N54" s="56"/>
      <c r="O54" s="56"/>
      <c r="P54" s="56"/>
      <c r="Q54" s="56"/>
      <c r="R54" s="56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3"/>
      <c r="AJ54" s="23"/>
      <c r="AK54" s="23"/>
      <c r="AL54" s="23"/>
      <c r="AM54" s="23"/>
      <c r="AN54" s="20"/>
      <c r="AO54" s="23"/>
      <c r="AP54" s="20"/>
      <c r="AQ54" s="23"/>
      <c r="AR54" s="20"/>
      <c r="AS54" s="23"/>
      <c r="AT54" s="20"/>
      <c r="AU54" s="50"/>
      <c r="AV54" s="20" t="s">
        <v>76</v>
      </c>
      <c r="AW54" s="50"/>
      <c r="AX54" s="20"/>
      <c r="AY54" s="50"/>
      <c r="AZ54" s="20"/>
      <c r="BA54" s="20"/>
      <c r="BB54" s="50"/>
      <c r="BC54" s="20"/>
      <c r="BD54" s="20"/>
      <c r="BE54" s="50"/>
      <c r="BF54" s="20"/>
      <c r="BG54" s="20"/>
      <c r="BH54" s="50"/>
      <c r="BI54" s="20"/>
      <c r="BJ54" s="20"/>
    </row>
    <row r="55" spans="1:69" ht="18">
      <c r="A55" s="23">
        <f>SUM(A47:A53)</f>
        <v>4070000</v>
      </c>
      <c r="B55" s="23">
        <f>SUM(B47:B53)</f>
        <v>4070100</v>
      </c>
      <c r="C55" s="23"/>
      <c r="D55" s="23" t="s">
        <v>99</v>
      </c>
      <c r="E55" s="23">
        <f t="shared" ref="E55:R55" si="25">SUM(E47:E53)</f>
        <v>0</v>
      </c>
      <c r="F55" s="23">
        <f t="shared" si="25"/>
        <v>0</v>
      </c>
      <c r="G55" s="23">
        <f t="shared" si="25"/>
        <v>0</v>
      </c>
      <c r="H55" s="23">
        <f t="shared" si="25"/>
        <v>0</v>
      </c>
      <c r="I55" s="23">
        <f t="shared" si="25"/>
        <v>0</v>
      </c>
      <c r="J55" s="23">
        <f t="shared" si="25"/>
        <v>187997</v>
      </c>
      <c r="K55" s="23">
        <f t="shared" si="25"/>
        <v>4380000</v>
      </c>
      <c r="L55" s="52">
        <f t="shared" si="25"/>
        <v>0</v>
      </c>
      <c r="M55" s="23">
        <f t="shared" si="25"/>
        <v>0</v>
      </c>
      <c r="N55" s="23">
        <f t="shared" si="25"/>
        <v>0</v>
      </c>
      <c r="O55" s="23">
        <f t="shared" si="25"/>
        <v>0</v>
      </c>
      <c r="P55" s="23">
        <f t="shared" si="25"/>
        <v>0</v>
      </c>
      <c r="Q55" s="23">
        <f t="shared" si="25"/>
        <v>0</v>
      </c>
      <c r="R55" s="23">
        <f t="shared" si="25"/>
        <v>0</v>
      </c>
      <c r="S55" s="20" t="e">
        <f>F55/#REF!*100</f>
        <v>#REF!</v>
      </c>
      <c r="T55" s="20" t="e">
        <f>G55/#REF!*100</f>
        <v>#REF!</v>
      </c>
      <c r="U55" s="20" t="e">
        <f>H55/#REF!*100</f>
        <v>#REF!</v>
      </c>
      <c r="V55" s="20" t="e">
        <f>I55/#REF!*100</f>
        <v>#REF!</v>
      </c>
      <c r="W55" s="20" t="e">
        <f>J55/#REF!*100</f>
        <v>#REF!</v>
      </c>
      <c r="X55" s="20">
        <f t="shared" si="20"/>
        <v>0</v>
      </c>
      <c r="Y55" s="20" t="e">
        <f>M55/#REF!*100</f>
        <v>#REF!</v>
      </c>
      <c r="Z55" s="20" t="e">
        <f>N55/#REF!*100</f>
        <v>#REF!</v>
      </c>
      <c r="AA55" s="20" t="e">
        <f>O55/#REF!*100</f>
        <v>#REF!</v>
      </c>
      <c r="AB55" s="20" t="e">
        <f>P55/#REF!*100</f>
        <v>#REF!</v>
      </c>
      <c r="AC55" s="20" t="e">
        <f>Q55/#REF!*100</f>
        <v>#REF!</v>
      </c>
      <c r="AD55" s="20" t="e">
        <f>R55/#REF!*100</f>
        <v>#REF!</v>
      </c>
      <c r="AE55" s="20" t="e">
        <f>O55/E55*100</f>
        <v>#DIV/0!</v>
      </c>
      <c r="AF55" s="20" t="e">
        <f>P55/E55*100</f>
        <v>#DIV/0!</v>
      </c>
      <c r="AG55" s="20" t="e">
        <f>Q55/E55*100</f>
        <v>#DIV/0!</v>
      </c>
      <c r="AH55" s="20" t="e">
        <f>R55/E55*100</f>
        <v>#DIV/0!</v>
      </c>
      <c r="AI55" s="23">
        <f>SUM(AI47:AI53)</f>
        <v>0</v>
      </c>
      <c r="AJ55" s="20">
        <f>AI55/A55*100</f>
        <v>0</v>
      </c>
      <c r="AK55" s="54">
        <f>SUM(AK47:AK53)</f>
        <v>0</v>
      </c>
      <c r="AL55" s="20">
        <f>AK55/A55*100</f>
        <v>0</v>
      </c>
      <c r="AM55" s="54">
        <f>SUM(AM47:AM53)</f>
        <v>951</v>
      </c>
      <c r="AN55" s="20">
        <f>AM55/A55*100</f>
        <v>2.3366093366093365E-2</v>
      </c>
      <c r="AO55" s="54">
        <f>SUM(AO47:AO53)</f>
        <v>951</v>
      </c>
      <c r="AP55" s="20">
        <f>AO55/A55*100</f>
        <v>2.3366093366093365E-2</v>
      </c>
      <c r="AQ55" s="54">
        <f>SUM(AQ47:AQ53)</f>
        <v>69061</v>
      </c>
      <c r="AR55" s="20">
        <f>AQ55/A55*100</f>
        <v>1.6968304668304668</v>
      </c>
      <c r="AS55" s="54">
        <f>SUM(AS47:AS53)</f>
        <v>77230</v>
      </c>
      <c r="AT55" s="20">
        <f>AS55/A55*100</f>
        <v>1.8975429975429976</v>
      </c>
      <c r="AU55" s="50">
        <f>SUM(AU47:AU53)</f>
        <v>157393</v>
      </c>
      <c r="AV55" s="20">
        <f>AU55/A55*100</f>
        <v>3.8671498771498771</v>
      </c>
      <c r="AW55" s="50">
        <f>SUM(AW47:AW53)</f>
        <v>163859</v>
      </c>
      <c r="AX55" s="20">
        <f>AW55/A55*100</f>
        <v>4.0260196560196562</v>
      </c>
      <c r="AY55" s="50">
        <f>SUM(AY47:AY53)</f>
        <v>722215</v>
      </c>
      <c r="AZ55" s="20">
        <f>AY55/A55*100</f>
        <v>17.744840294840294</v>
      </c>
      <c r="BA55" s="20">
        <f>AY55/B55*100</f>
        <v>17.744404314390312</v>
      </c>
      <c r="BB55" s="50">
        <f>SUM(BB47:BB53)</f>
        <v>1161181</v>
      </c>
      <c r="BC55" s="20">
        <f>BB55/A55*100</f>
        <v>28.5302457002457</v>
      </c>
      <c r="BD55" s="20">
        <f>BB55/B55*100</f>
        <v>28.529544728630746</v>
      </c>
      <c r="BE55" s="50">
        <f>SUM(BE47:BE53)</f>
        <v>1448294</v>
      </c>
      <c r="BF55" s="20">
        <f>BE55/A55*100</f>
        <v>35.584619164619163</v>
      </c>
      <c r="BG55" s="20">
        <f>BE55/B55*100</f>
        <v>35.583744871133391</v>
      </c>
      <c r="BH55" s="50">
        <f>SUM(BH47:BH53)</f>
        <v>0</v>
      </c>
      <c r="BI55" s="20">
        <f>BH55/A55*100</f>
        <v>0</v>
      </c>
      <c r="BJ55" s="20">
        <f>BH55/B55*100</f>
        <v>0</v>
      </c>
    </row>
    <row r="56" spans="1:69" ht="18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52"/>
      <c r="M56" s="23"/>
      <c r="N56" s="23"/>
      <c r="O56" s="23"/>
      <c r="P56" s="23"/>
      <c r="Q56" s="23"/>
      <c r="R56" s="23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3"/>
      <c r="AJ56" s="23"/>
      <c r="AK56" s="23"/>
      <c r="AL56" s="23"/>
      <c r="AM56" s="23"/>
      <c r="AN56" s="20"/>
      <c r="AO56" s="23"/>
      <c r="AP56" s="20"/>
      <c r="AQ56" s="23"/>
      <c r="AR56" s="20"/>
      <c r="AS56" s="23"/>
      <c r="AT56" s="20"/>
      <c r="AU56" s="50"/>
      <c r="AV56" s="20" t="s">
        <v>76</v>
      </c>
      <c r="AW56" s="50"/>
      <c r="AX56" s="20"/>
      <c r="AY56" s="50"/>
      <c r="AZ56" s="20"/>
      <c r="BA56" s="20"/>
      <c r="BB56" s="50"/>
      <c r="BC56" s="20"/>
      <c r="BD56" s="20"/>
      <c r="BE56" s="50"/>
      <c r="BF56" s="20"/>
      <c r="BG56" s="20"/>
      <c r="BH56" s="50"/>
      <c r="BI56" s="20"/>
      <c r="BJ56" s="20"/>
    </row>
    <row r="57" spans="1:69" ht="18">
      <c r="A57" s="23"/>
      <c r="B57" s="23"/>
      <c r="C57" s="23"/>
      <c r="D57" s="56"/>
      <c r="E57" s="23"/>
      <c r="F57" s="23"/>
      <c r="G57" s="23"/>
      <c r="H57" s="23"/>
      <c r="I57" s="23"/>
      <c r="J57" s="23"/>
      <c r="K57" s="23"/>
      <c r="L57" s="52"/>
      <c r="M57" s="23"/>
      <c r="N57" s="23"/>
      <c r="O57" s="23"/>
      <c r="P57" s="23"/>
      <c r="Q57" s="23"/>
      <c r="R57" s="23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3"/>
      <c r="AJ57" s="23"/>
      <c r="AK57" s="23"/>
      <c r="AL57" s="23"/>
      <c r="AM57" s="23"/>
      <c r="AN57" s="20"/>
      <c r="AO57" s="23"/>
      <c r="AP57" s="20"/>
      <c r="AQ57" s="23"/>
      <c r="AR57" s="20"/>
      <c r="AS57" s="23"/>
      <c r="AT57" s="20"/>
      <c r="AU57" s="50"/>
      <c r="AV57" s="20" t="s">
        <v>76</v>
      </c>
      <c r="AW57" s="50"/>
      <c r="AX57" s="20"/>
      <c r="AY57" s="50"/>
      <c r="AZ57" s="20"/>
      <c r="BA57" s="20"/>
      <c r="BB57" s="50"/>
      <c r="BC57" s="20"/>
      <c r="BD57" s="20"/>
      <c r="BE57" s="50"/>
      <c r="BF57" s="20"/>
      <c r="BG57" s="20"/>
      <c r="BH57" s="50"/>
      <c r="BI57" s="20"/>
      <c r="BJ57" s="20"/>
    </row>
    <row r="58" spans="1:69" ht="1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52"/>
      <c r="M58" s="23"/>
      <c r="N58" s="23"/>
      <c r="O58" s="23"/>
      <c r="P58" s="23"/>
      <c r="Q58" s="23"/>
      <c r="R58" s="23"/>
      <c r="S58" s="55">
        <v>0</v>
      </c>
      <c r="T58" s="20" t="e">
        <f>G58/#REF!*100</f>
        <v>#REF!</v>
      </c>
      <c r="U58" s="20" t="e">
        <f>H58/#REF!*100</f>
        <v>#REF!</v>
      </c>
      <c r="V58" s="20" t="e">
        <f>I58/#REF!*100</f>
        <v>#REF!</v>
      </c>
      <c r="W58" s="20" t="e">
        <f>J58/#REF!*100</f>
        <v>#REF!</v>
      </c>
      <c r="X58" s="20"/>
      <c r="Y58" s="20" t="e">
        <f>M58/#REF!*100</f>
        <v>#REF!</v>
      </c>
      <c r="Z58" s="20" t="e">
        <f>N58/#REF!*100</f>
        <v>#REF!</v>
      </c>
      <c r="AA58" s="20" t="e">
        <f>O58/#REF!*100</f>
        <v>#REF!</v>
      </c>
      <c r="AB58" s="20" t="e">
        <f>P58/#REF!*100</f>
        <v>#REF!</v>
      </c>
      <c r="AC58" s="20" t="e">
        <f>Q58/#REF!*100</f>
        <v>#REF!</v>
      </c>
      <c r="AD58" s="20" t="e">
        <f>R58/#REF!*100</f>
        <v>#REF!</v>
      </c>
      <c r="AE58" s="20" t="e">
        <f>O58/E58*100</f>
        <v>#DIV/0!</v>
      </c>
      <c r="AF58" s="20" t="e">
        <f>P58/E58*100</f>
        <v>#DIV/0!</v>
      </c>
      <c r="AG58" s="20" t="e">
        <f>Q58/E58*100</f>
        <v>#DIV/0!</v>
      </c>
      <c r="AH58" s="20" t="e">
        <f>R58/E58*100</f>
        <v>#DIV/0!</v>
      </c>
      <c r="AI58" s="23"/>
      <c r="AJ58" s="58">
        <v>0</v>
      </c>
      <c r="AK58" s="23"/>
      <c r="AL58" s="23" t="e">
        <f>AK58/A58*100</f>
        <v>#DIV/0!</v>
      </c>
      <c r="AM58" s="23"/>
      <c r="AN58" s="20" t="e">
        <f>AM58/A58*100</f>
        <v>#DIV/0!</v>
      </c>
      <c r="AO58" s="23"/>
      <c r="AP58" s="20" t="e">
        <f>AO58/A58*100</f>
        <v>#DIV/0!</v>
      </c>
      <c r="AQ58" s="23"/>
      <c r="AR58" s="20" t="e">
        <f>AQ58/A58*100</f>
        <v>#DIV/0!</v>
      </c>
      <c r="AS58" s="23"/>
      <c r="AT58" s="20" t="e">
        <f>AS58/A58*100</f>
        <v>#DIV/0!</v>
      </c>
      <c r="AU58" s="50"/>
      <c r="AV58" s="20" t="e">
        <f>AU58/A58*100</f>
        <v>#DIV/0!</v>
      </c>
      <c r="AW58" s="50"/>
      <c r="AX58" s="20" t="e">
        <f>AW58/A58*100</f>
        <v>#DIV/0!</v>
      </c>
      <c r="AY58" s="50"/>
      <c r="AZ58" s="20" t="e">
        <f>AY58/A58*100</f>
        <v>#DIV/0!</v>
      </c>
      <c r="BA58" s="20" t="e">
        <f>AY58/B58*100</f>
        <v>#DIV/0!</v>
      </c>
      <c r="BB58" s="50"/>
      <c r="BC58" s="20" t="e">
        <f>BB58/A58*100</f>
        <v>#DIV/0!</v>
      </c>
      <c r="BD58" s="20" t="e">
        <f>BB58/B58*100</f>
        <v>#DIV/0!</v>
      </c>
      <c r="BE58" s="50"/>
      <c r="BF58" s="20" t="e">
        <f>BE58/A58*100</f>
        <v>#DIV/0!</v>
      </c>
      <c r="BG58" s="20" t="e">
        <f>BE58/B58*100</f>
        <v>#DIV/0!</v>
      </c>
      <c r="BH58" s="50"/>
      <c r="BI58" s="20" t="e">
        <f>BH58/A58*100</f>
        <v>#DIV/0!</v>
      </c>
      <c r="BJ58" s="20" t="e">
        <f>BH58/B58*100</f>
        <v>#DIV/0!</v>
      </c>
      <c r="BQ58" s="5" t="s">
        <v>100</v>
      </c>
    </row>
    <row r="59" spans="1:69" ht="18">
      <c r="A59" s="23">
        <f>SUM(A37+A55)</f>
        <v>78255000</v>
      </c>
      <c r="B59" s="23">
        <f>SUM(B37+B55)</f>
        <v>76256600</v>
      </c>
      <c r="C59" s="23"/>
      <c r="D59" s="23" t="s">
        <v>101</v>
      </c>
      <c r="E59" s="23">
        <f t="shared" ref="E59:R59" si="26">SUM(E37+E55)</f>
        <v>0</v>
      </c>
      <c r="F59" s="23">
        <f t="shared" si="26"/>
        <v>4698363</v>
      </c>
      <c r="G59" s="23">
        <f t="shared" si="26"/>
        <v>0</v>
      </c>
      <c r="H59" s="23">
        <f t="shared" si="26"/>
        <v>0</v>
      </c>
      <c r="I59" s="23">
        <f t="shared" si="26"/>
        <v>8</v>
      </c>
      <c r="J59" s="23">
        <f t="shared" si="26"/>
        <v>31511425</v>
      </c>
      <c r="K59" s="23">
        <f t="shared" si="26"/>
        <v>82585000</v>
      </c>
      <c r="L59" s="52">
        <f t="shared" si="26"/>
        <v>13368812</v>
      </c>
      <c r="M59" s="23">
        <f t="shared" si="26"/>
        <v>0</v>
      </c>
      <c r="N59" s="23">
        <f t="shared" si="26"/>
        <v>0</v>
      </c>
      <c r="O59" s="23">
        <f t="shared" si="26"/>
        <v>0</v>
      </c>
      <c r="P59" s="23">
        <f t="shared" si="26"/>
        <v>0</v>
      </c>
      <c r="Q59" s="23">
        <f t="shared" si="26"/>
        <v>6</v>
      </c>
      <c r="R59" s="23">
        <f t="shared" si="26"/>
        <v>0</v>
      </c>
      <c r="S59" s="20" t="e">
        <f>F59/#REF!*100</f>
        <v>#REF!</v>
      </c>
      <c r="T59" s="20" t="e">
        <f>G59/#REF!*100</f>
        <v>#REF!</v>
      </c>
      <c r="U59" s="20" t="e">
        <f>H59/#REF!*100</f>
        <v>#REF!</v>
      </c>
      <c r="V59" s="20" t="e">
        <f>I59/#REF!*100</f>
        <v>#REF!</v>
      </c>
      <c r="W59" s="20" t="e">
        <f>J59/#REF!*100</f>
        <v>#REF!</v>
      </c>
      <c r="X59" s="20">
        <f t="shared" si="20"/>
        <v>16.187942120239754</v>
      </c>
      <c r="Y59" s="20" t="e">
        <f>M59/#REF!*100</f>
        <v>#REF!</v>
      </c>
      <c r="Z59" s="20" t="e">
        <f>N59/#REF!*100</f>
        <v>#REF!</v>
      </c>
      <c r="AA59" s="20" t="e">
        <f>O59/#REF!*100</f>
        <v>#REF!</v>
      </c>
      <c r="AB59" s="20" t="e">
        <f>P59/#REF!*100</f>
        <v>#REF!</v>
      </c>
      <c r="AC59" s="20" t="e">
        <f>Q59/#REF!*100</f>
        <v>#REF!</v>
      </c>
      <c r="AD59" s="20" t="e">
        <f>R59/#REF!*100</f>
        <v>#REF!</v>
      </c>
      <c r="AE59" s="20" t="e">
        <f>O59/E59*100</f>
        <v>#DIV/0!</v>
      </c>
      <c r="AF59" s="20" t="e">
        <f>P59/E59*100</f>
        <v>#DIV/0!</v>
      </c>
      <c r="AG59" s="20" t="e">
        <f>Q59/E59*100</f>
        <v>#DIV/0!</v>
      </c>
      <c r="AH59" s="20" t="e">
        <f>R59/E59*100</f>
        <v>#DIV/0!</v>
      </c>
      <c r="AI59" s="23">
        <f>SUM(AI37+AI55)</f>
        <v>8107007</v>
      </c>
      <c r="AJ59" s="20">
        <f>AI59/A59*100</f>
        <v>10.35973036866654</v>
      </c>
      <c r="AK59" s="54">
        <f>SUM(AK37+AK55)</f>
        <v>13147184</v>
      </c>
      <c r="AL59" s="20">
        <f>AK59/A59*100</f>
        <v>16.800439588524696</v>
      </c>
      <c r="AM59" s="54">
        <f>SUM(AM37+AM55)</f>
        <v>18523843</v>
      </c>
      <c r="AN59" s="20">
        <f>AM59/A59*100</f>
        <v>23.671130279215387</v>
      </c>
      <c r="AO59" s="54">
        <f>SUM(AO37+AO55)</f>
        <v>25085870</v>
      </c>
      <c r="AP59" s="20">
        <f>AO59/A59*100</f>
        <v>32.056571465082101</v>
      </c>
      <c r="AQ59" s="54">
        <f>SUM(AQ37+AQ55)</f>
        <v>30628163</v>
      </c>
      <c r="AR59" s="20">
        <f>AQ59/A59*100</f>
        <v>39.138921474666155</v>
      </c>
      <c r="AS59" s="54">
        <f>SUM(AS37+AS55)</f>
        <v>36225241</v>
      </c>
      <c r="AT59" s="20">
        <f>AS59/A59*100</f>
        <v>46.291279790428725</v>
      </c>
      <c r="AU59" s="50">
        <f>SUM(AU37+AU55)</f>
        <v>41812651</v>
      </c>
      <c r="AV59" s="20">
        <f>AU59/A59*100</f>
        <v>53.431283624049584</v>
      </c>
      <c r="AW59" s="50">
        <f>SUM(AW37+AW55)</f>
        <v>47099829</v>
      </c>
      <c r="AX59" s="20">
        <f>AW59/A59*100</f>
        <v>60.187628905501242</v>
      </c>
      <c r="AY59" s="50">
        <f>SUM(AY37+AY55)</f>
        <v>54079051</v>
      </c>
      <c r="AZ59" s="20">
        <f>AY59/A59*100</f>
        <v>69.106192575554275</v>
      </c>
      <c r="BA59" s="20">
        <f>AY59/B59*100</f>
        <v>70.917207166330513</v>
      </c>
      <c r="BB59" s="50">
        <f>SUM(BB37+BB55)</f>
        <v>59923595</v>
      </c>
      <c r="BC59" s="20">
        <f>BB59/A59*100</f>
        <v>76.574781164142863</v>
      </c>
      <c r="BD59" s="20">
        <f>BB59/B59*100</f>
        <v>78.581519501262846</v>
      </c>
      <c r="BE59" s="50">
        <f>SUM(BE37+BE55)</f>
        <v>65963244</v>
      </c>
      <c r="BF59" s="20">
        <f>BE59/A59*100</f>
        <v>84.292689285029709</v>
      </c>
      <c r="BG59" s="20">
        <f>BE59/B59*100</f>
        <v>86.501685100043801</v>
      </c>
      <c r="BH59" s="50">
        <f>SUM(BH37+BH55)</f>
        <v>0</v>
      </c>
      <c r="BI59" s="20">
        <f>BH59/A59*100</f>
        <v>0</v>
      </c>
      <c r="BJ59" s="20">
        <f>BH59/B59*100</f>
        <v>0</v>
      </c>
    </row>
    <row r="60" spans="1:69" ht="39.75" customHeight="1">
      <c r="A60" s="23">
        <f>SUM(A38)</f>
        <v>5000</v>
      </c>
      <c r="B60" s="23">
        <f>SUM(B38)</f>
        <v>5000</v>
      </c>
      <c r="C60" s="23"/>
      <c r="D60" s="23" t="s">
        <v>102</v>
      </c>
      <c r="E60" s="23">
        <f t="shared" ref="E60:R60" si="27">SUM(E38)</f>
        <v>0</v>
      </c>
      <c r="F60" s="23">
        <f t="shared" si="27"/>
        <v>0</v>
      </c>
      <c r="G60" s="23">
        <f t="shared" si="27"/>
        <v>0</v>
      </c>
      <c r="H60" s="23">
        <f t="shared" si="27"/>
        <v>0</v>
      </c>
      <c r="I60" s="23">
        <f t="shared" si="27"/>
        <v>0</v>
      </c>
      <c r="J60" s="23">
        <f t="shared" si="27"/>
        <v>0</v>
      </c>
      <c r="K60" s="23">
        <f t="shared" si="27"/>
        <v>5000</v>
      </c>
      <c r="L60" s="52">
        <f t="shared" si="27"/>
        <v>0</v>
      </c>
      <c r="M60" s="23">
        <f t="shared" si="27"/>
        <v>0</v>
      </c>
      <c r="N60" s="23">
        <f t="shared" si="27"/>
        <v>0</v>
      </c>
      <c r="O60" s="23">
        <f t="shared" si="27"/>
        <v>0</v>
      </c>
      <c r="P60" s="23">
        <f t="shared" si="27"/>
        <v>0</v>
      </c>
      <c r="Q60" s="23">
        <f t="shared" si="27"/>
        <v>0</v>
      </c>
      <c r="R60" s="23">
        <f t="shared" si="27"/>
        <v>0</v>
      </c>
      <c r="S60" s="20" t="e">
        <f>F60/#REF!*100</f>
        <v>#REF!</v>
      </c>
      <c r="T60" s="20" t="e">
        <f>G60/#REF!*100</f>
        <v>#REF!</v>
      </c>
      <c r="U60" s="20" t="e">
        <f>H60/#REF!*100</f>
        <v>#REF!</v>
      </c>
      <c r="V60" s="20" t="e">
        <f>I60/#REF!*100</f>
        <v>#REF!</v>
      </c>
      <c r="W60" s="20" t="e">
        <f>J60/#REF!*100</f>
        <v>#REF!</v>
      </c>
      <c r="X60" s="20">
        <f t="shared" si="20"/>
        <v>0</v>
      </c>
      <c r="Y60" s="20" t="e">
        <f>M60/#REF!*100</f>
        <v>#REF!</v>
      </c>
      <c r="Z60" s="20" t="e">
        <f>N60/#REF!*100</f>
        <v>#REF!</v>
      </c>
      <c r="AA60" s="20" t="e">
        <f>O60/#REF!*100</f>
        <v>#REF!</v>
      </c>
      <c r="AB60" s="20" t="e">
        <f>P60/#REF!*100</f>
        <v>#REF!</v>
      </c>
      <c r="AC60" s="20" t="e">
        <f>Q60/#REF!*100</f>
        <v>#REF!</v>
      </c>
      <c r="AD60" s="20" t="e">
        <f>R60/#REF!*100</f>
        <v>#REF!</v>
      </c>
      <c r="AE60" s="20" t="e">
        <f>O60/E60*100</f>
        <v>#DIV/0!</v>
      </c>
      <c r="AF60" s="20" t="e">
        <f>P60/E60*100</f>
        <v>#DIV/0!</v>
      </c>
      <c r="AG60" s="20" t="e">
        <f>Q60/E60*100</f>
        <v>#DIV/0!</v>
      </c>
      <c r="AH60" s="20" t="e">
        <f>R60/E60*100</f>
        <v>#DIV/0!</v>
      </c>
      <c r="AI60" s="23">
        <f>SUM(AI38)</f>
        <v>0</v>
      </c>
      <c r="AJ60" s="20">
        <f>AI60/A60*100</f>
        <v>0</v>
      </c>
      <c r="AK60" s="54">
        <f>SUM(AK38)</f>
        <v>0</v>
      </c>
      <c r="AL60" s="20">
        <f>AK60/A60*100</f>
        <v>0</v>
      </c>
      <c r="AM60" s="54">
        <f>SUM(AM38)</f>
        <v>0</v>
      </c>
      <c r="AN60" s="20">
        <f>AM60/A60*100</f>
        <v>0</v>
      </c>
      <c r="AO60" s="54">
        <f>SUM(AO38)</f>
        <v>0</v>
      </c>
      <c r="AP60" s="20">
        <f>AO60/A60*100</f>
        <v>0</v>
      </c>
      <c r="AQ60" s="54">
        <f>SUM(AQ38)</f>
        <v>0</v>
      </c>
      <c r="AR60" s="20">
        <f>AQ60/A60*100</f>
        <v>0</v>
      </c>
      <c r="AS60" s="54">
        <f>SUM(AS38)</f>
        <v>0</v>
      </c>
      <c r="AT60" s="20">
        <f>AS60/A60*100</f>
        <v>0</v>
      </c>
      <c r="AU60" s="50">
        <f>SUM(AU38)</f>
        <v>0</v>
      </c>
      <c r="AV60" s="20">
        <f>AU60/A60*100</f>
        <v>0</v>
      </c>
      <c r="AW60" s="50">
        <f>SUM(AW38)</f>
        <v>0</v>
      </c>
      <c r="AX60" s="20">
        <f>AW60/A60*100</f>
        <v>0</v>
      </c>
      <c r="AY60" s="50">
        <f>SUM(AY38)</f>
        <v>0</v>
      </c>
      <c r="AZ60" s="20">
        <f>AY60/A60*100</f>
        <v>0</v>
      </c>
      <c r="BA60" s="20">
        <f>AY60/B60*100</f>
        <v>0</v>
      </c>
      <c r="BB60" s="50">
        <f>SUM(BB38)</f>
        <v>193</v>
      </c>
      <c r="BC60" s="20">
        <f>BB60/A60*100</f>
        <v>3.8600000000000003</v>
      </c>
      <c r="BD60" s="20">
        <f>BB60/B60*100</f>
        <v>3.8600000000000003</v>
      </c>
      <c r="BE60" s="50">
        <f>SUM(BE38)</f>
        <v>193</v>
      </c>
      <c r="BF60" s="20">
        <f>BE60/A60*100</f>
        <v>3.8600000000000003</v>
      </c>
      <c r="BG60" s="20">
        <f>BE60/B60*100</f>
        <v>3.8600000000000003</v>
      </c>
      <c r="BH60" s="50">
        <f>SUM(BH38)</f>
        <v>0</v>
      </c>
      <c r="BI60" s="20">
        <f>BH60/A60*100</f>
        <v>0</v>
      </c>
      <c r="BJ60" s="20">
        <f>BH60/B60*100</f>
        <v>0</v>
      </c>
    </row>
    <row r="61" spans="1:69" ht="18">
      <c r="A61" s="23">
        <f>SUM(A59-A60)</f>
        <v>78250000</v>
      </c>
      <c r="B61" s="23">
        <f>SUM(B59-B60)</f>
        <v>76251600</v>
      </c>
      <c r="C61" s="23"/>
      <c r="D61" s="23" t="s">
        <v>86</v>
      </c>
      <c r="E61" s="23">
        <f t="shared" ref="E61:R61" si="28">SUM(E59-E60)</f>
        <v>0</v>
      </c>
      <c r="F61" s="23">
        <f t="shared" si="28"/>
        <v>4698363</v>
      </c>
      <c r="G61" s="23">
        <f t="shared" si="28"/>
        <v>0</v>
      </c>
      <c r="H61" s="23">
        <f t="shared" si="28"/>
        <v>0</v>
      </c>
      <c r="I61" s="23">
        <f t="shared" si="28"/>
        <v>8</v>
      </c>
      <c r="J61" s="23">
        <f t="shared" si="28"/>
        <v>31511425</v>
      </c>
      <c r="K61" s="23">
        <f t="shared" si="28"/>
        <v>82580000</v>
      </c>
      <c r="L61" s="52">
        <f t="shared" si="28"/>
        <v>13368812</v>
      </c>
      <c r="M61" s="23">
        <f t="shared" si="28"/>
        <v>0</v>
      </c>
      <c r="N61" s="23">
        <f t="shared" si="28"/>
        <v>0</v>
      </c>
      <c r="O61" s="23">
        <f t="shared" si="28"/>
        <v>0</v>
      </c>
      <c r="P61" s="23">
        <f t="shared" si="28"/>
        <v>0</v>
      </c>
      <c r="Q61" s="23">
        <f t="shared" si="28"/>
        <v>6</v>
      </c>
      <c r="R61" s="23">
        <f t="shared" si="28"/>
        <v>0</v>
      </c>
      <c r="S61" s="20" t="e">
        <f>F61/#REF!*100</f>
        <v>#REF!</v>
      </c>
      <c r="T61" s="20" t="e">
        <f>G61/#REF!*100</f>
        <v>#REF!</v>
      </c>
      <c r="U61" s="20" t="e">
        <f>H61/#REF!*100</f>
        <v>#REF!</v>
      </c>
      <c r="V61" s="20" t="e">
        <f>I61/#REF!*100</f>
        <v>#REF!</v>
      </c>
      <c r="W61" s="20" t="e">
        <f>J61/#REF!*100</f>
        <v>#REF!</v>
      </c>
      <c r="X61" s="20">
        <f t="shared" si="20"/>
        <v>16.188922257205135</v>
      </c>
      <c r="Y61" s="20" t="e">
        <f>M61/#REF!*100</f>
        <v>#REF!</v>
      </c>
      <c r="Z61" s="20" t="e">
        <f>N61/#REF!*100</f>
        <v>#REF!</v>
      </c>
      <c r="AA61" s="20" t="e">
        <f>O61/#REF!*100</f>
        <v>#REF!</v>
      </c>
      <c r="AB61" s="20" t="e">
        <f>P61/#REF!*100</f>
        <v>#REF!</v>
      </c>
      <c r="AC61" s="20" t="e">
        <f>Q61/#REF!*100</f>
        <v>#REF!</v>
      </c>
      <c r="AD61" s="20" t="e">
        <f>R61/#REF!*100</f>
        <v>#REF!</v>
      </c>
      <c r="AE61" s="20" t="e">
        <f>O61/E61*100</f>
        <v>#DIV/0!</v>
      </c>
      <c r="AF61" s="20" t="e">
        <f>P61/E61*100</f>
        <v>#DIV/0!</v>
      </c>
      <c r="AG61" s="20" t="e">
        <f>Q61/E61*100</f>
        <v>#DIV/0!</v>
      </c>
      <c r="AH61" s="20" t="e">
        <f>R61/E61*100</f>
        <v>#DIV/0!</v>
      </c>
      <c r="AI61" s="23">
        <f>SUM(AI59-AI60)</f>
        <v>8107007</v>
      </c>
      <c r="AJ61" s="20">
        <f>AI61/A61*100</f>
        <v>10.36039233226837</v>
      </c>
      <c r="AK61" s="54">
        <f>SUM(AK59-AK60)</f>
        <v>13147184</v>
      </c>
      <c r="AL61" s="20">
        <f>AK61/A61*100</f>
        <v>16.801513099041536</v>
      </c>
      <c r="AM61" s="54">
        <f>SUM(AM59-AM60)</f>
        <v>18523843</v>
      </c>
      <c r="AN61" s="20">
        <f>AM61/A61*100</f>
        <v>23.6726428115016</v>
      </c>
      <c r="AO61" s="54">
        <f>SUM(AO59-AO60)</f>
        <v>25085870</v>
      </c>
      <c r="AP61" s="20">
        <f>AO61/A61*100</f>
        <v>32.058619808306709</v>
      </c>
      <c r="AQ61" s="54">
        <f>SUM(AQ59-AQ60)</f>
        <v>30628163</v>
      </c>
      <c r="AR61" s="20">
        <f>AQ61/A61*100</f>
        <v>39.141422364217256</v>
      </c>
      <c r="AS61" s="54">
        <f>SUM(AS59-AS60)</f>
        <v>36225241</v>
      </c>
      <c r="AT61" s="20">
        <f>AS61/A61*100</f>
        <v>46.294237699680515</v>
      </c>
      <c r="AU61" s="50">
        <f>SUM(AU59-AU60)</f>
        <v>41812651</v>
      </c>
      <c r="AV61" s="20">
        <f>AU61/A61*100</f>
        <v>53.434697763578278</v>
      </c>
      <c r="AW61" s="50">
        <f>SUM(AW59-AW60)</f>
        <v>47099829</v>
      </c>
      <c r="AX61" s="20">
        <f>AW61/A61*100</f>
        <v>60.191474760383393</v>
      </c>
      <c r="AY61" s="50">
        <f>SUM(AY59-AY60)</f>
        <v>54079051</v>
      </c>
      <c r="AZ61" s="20">
        <f>AY61/A61*100</f>
        <v>69.110608306709267</v>
      </c>
      <c r="BA61" s="20">
        <f>AY61/B61*100</f>
        <v>70.921857377418959</v>
      </c>
      <c r="BB61" s="50">
        <f>SUM(BB59-BB60)</f>
        <v>59923402</v>
      </c>
      <c r="BC61" s="20">
        <f>BB61/A61*100</f>
        <v>76.579427476038347</v>
      </c>
      <c r="BD61" s="20">
        <f>BB61/B61*100</f>
        <v>78.586419170220694</v>
      </c>
      <c r="BE61" s="50">
        <f>SUM(BE59-BE60)</f>
        <v>65963051</v>
      </c>
      <c r="BF61" s="20">
        <f>BE61/A61*100</f>
        <v>84.297828753993613</v>
      </c>
      <c r="BG61" s="20">
        <f>BE61/B61*100</f>
        <v>86.507104113225168</v>
      </c>
      <c r="BH61" s="50">
        <f>SUM(BH59-BH60)</f>
        <v>0</v>
      </c>
      <c r="BI61" s="20">
        <f>BH61/A61*100</f>
        <v>0</v>
      </c>
      <c r="BJ61" s="20">
        <f>BH61/B61*100</f>
        <v>0</v>
      </c>
    </row>
    <row r="62" spans="1:69" ht="18">
      <c r="A62" s="59"/>
      <c r="B62" s="3"/>
      <c r="C62" s="3"/>
      <c r="D62" s="1"/>
      <c r="E62" s="60"/>
      <c r="F62" s="60"/>
      <c r="G62" s="60"/>
      <c r="H62" s="60"/>
      <c r="I62" s="60"/>
      <c r="J62" s="60"/>
      <c r="K62" s="60"/>
      <c r="L62" s="61"/>
      <c r="M62" s="60"/>
      <c r="N62" s="60"/>
      <c r="O62" s="60"/>
      <c r="P62" s="60"/>
      <c r="Q62" s="60"/>
      <c r="R62" s="6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</row>
    <row r="63" spans="1:69" ht="15">
      <c r="A63" s="1"/>
    </row>
    <row r="64" spans="1:69" ht="15">
      <c r="A64" s="1"/>
    </row>
    <row r="65" spans="1:1" ht="15">
      <c r="A65" s="1"/>
    </row>
    <row r="66" spans="1:1" ht="15">
      <c r="A66" s="1"/>
    </row>
    <row r="67" spans="1:1" ht="15">
      <c r="A67" s="1"/>
    </row>
    <row r="68" spans="1:1" ht="15">
      <c r="A68" s="1"/>
    </row>
    <row r="69" spans="1:1" ht="15">
      <c r="A69" s="1"/>
    </row>
    <row r="70" spans="1:1" ht="15">
      <c r="A70" s="1"/>
    </row>
    <row r="71" spans="1:1" ht="15.75">
      <c r="A71" s="64"/>
    </row>
    <row r="72" spans="1:1" ht="15.75">
      <c r="A72" s="64"/>
    </row>
    <row r="73" spans="1:1" ht="15">
      <c r="A73" s="65"/>
    </row>
    <row r="74" spans="1:1" ht="15.75">
      <c r="A74" s="64"/>
    </row>
    <row r="75" spans="1:1" ht="15">
      <c r="A75" s="1"/>
    </row>
    <row r="76" spans="1:1" ht="15">
      <c r="A76" s="1"/>
    </row>
    <row r="77" spans="1:1" ht="15">
      <c r="A77" s="1"/>
    </row>
    <row r="78" spans="1:1" ht="15">
      <c r="A78" s="1"/>
    </row>
    <row r="79" spans="1:1" ht="15">
      <c r="A79" s="1"/>
    </row>
    <row r="80" spans="1:1" ht="15">
      <c r="A80" s="1"/>
    </row>
    <row r="81" spans="1:1" ht="15">
      <c r="A81" s="1"/>
    </row>
    <row r="82" spans="1:1" ht="15.75">
      <c r="A82" s="64"/>
    </row>
    <row r="83" spans="1:1" ht="15">
      <c r="A83" s="1"/>
    </row>
    <row r="84" spans="1:1" ht="15">
      <c r="A84" s="1"/>
    </row>
    <row r="85" spans="1:1" ht="15">
      <c r="A85" s="1"/>
    </row>
    <row r="86" spans="1:1" ht="15">
      <c r="A86" s="1"/>
    </row>
    <row r="87" spans="1:1" ht="15">
      <c r="A87" s="1"/>
    </row>
    <row r="88" spans="1:1" ht="15">
      <c r="A88" s="1"/>
    </row>
    <row r="89" spans="1:1" ht="15.75">
      <c r="A89" s="64"/>
    </row>
    <row r="90" spans="1:1" ht="15.75">
      <c r="A90" s="64"/>
    </row>
    <row r="91" spans="1:1" ht="15">
      <c r="A91" s="65"/>
    </row>
    <row r="92" spans="1:1" ht="15.75">
      <c r="A92" s="64"/>
    </row>
    <row r="93" spans="1:1" ht="15">
      <c r="A93" s="1"/>
    </row>
    <row r="94" spans="1:1" ht="15">
      <c r="A94" s="1"/>
    </row>
    <row r="95" spans="1:1" ht="15">
      <c r="A95" s="1"/>
    </row>
    <row r="96" spans="1:1" ht="15">
      <c r="A96" s="1"/>
    </row>
  </sheetData>
  <mergeCells count="1">
    <mergeCell ref="E3:BK3"/>
  </mergeCells>
  <printOptions horizontalCentered="1" gridLines="1"/>
  <pageMargins left="0.51181102362204722" right="0.51181102362204722" top="0.15748031496062992" bottom="0.15748031496062992" header="0.19685039370078741" footer="0.15748031496062992"/>
  <pageSetup paperSize="9" scale="53" fitToWidth="2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upto 31.03.2020 (e-lekha) </vt:lpstr>
      <vt:lpstr>'upto 31.03.2020 (e-lekha)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</dc:creator>
  <cp:lastModifiedBy>vinay kumar</cp:lastModifiedBy>
  <dcterms:created xsi:type="dcterms:W3CDTF">2020-04-01T06:45:52Z</dcterms:created>
  <dcterms:modified xsi:type="dcterms:W3CDTF">2020-06-06T07:01:43Z</dcterms:modified>
</cp:coreProperties>
</file>