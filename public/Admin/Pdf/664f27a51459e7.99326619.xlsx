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xr:revisionPtr revIDLastSave="0" documentId="13_ncr:1000001_{F83AFEEA-CAA9-864E-B8DB-0F6EE82AD3C4}" xr6:coauthVersionLast="45" xr6:coauthVersionMax="45" xr10:uidLastSave="{00000000-0000-0000-0000-000000000000}"/>
  <bookViews>
    <workbookView xWindow="90" yWindow="135" windowWidth="19095" windowHeight="6315" xr2:uid="{00000000-000D-0000-FFFF-FFFF00000000}"/>
  </bookViews>
  <sheets>
    <sheet name="Upto August, 2020" sheetId="1" r:id="rId1"/>
  </sheets>
  <externalReferences>
    <externalReference r:id="rId2"/>
  </externalReferences>
  <definedNames>
    <definedName name="_xlnm.Print_Area" localSheetId="0">'Upto August, 2020'!$A$1:$E$65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3" i="1" l="1"/>
  <c r="C63" i="1"/>
  <c r="C46" i="1"/>
  <c r="C52" i="1"/>
  <c r="E50" i="1"/>
  <c r="E48" i="1"/>
  <c r="D45" i="1"/>
  <c r="E45" i="1"/>
  <c r="D44" i="1"/>
  <c r="D46" i="1"/>
  <c r="D38" i="1"/>
  <c r="D57" i="1"/>
  <c r="D37" i="1"/>
  <c r="E34" i="1"/>
  <c r="E32" i="1"/>
  <c r="E30" i="1"/>
  <c r="E29" i="1"/>
  <c r="C28" i="1"/>
  <c r="C38" i="1"/>
  <c r="E26" i="1"/>
  <c r="E25" i="1"/>
  <c r="E24" i="1"/>
  <c r="E23" i="1"/>
  <c r="E22" i="1"/>
  <c r="E21" i="1"/>
  <c r="E20" i="1"/>
  <c r="E19" i="1"/>
  <c r="E18" i="1"/>
  <c r="C17" i="1"/>
  <c r="C37" i="1"/>
  <c r="E16" i="1"/>
  <c r="E15" i="1"/>
  <c r="E14" i="1"/>
  <c r="E13" i="1"/>
  <c r="E12" i="1"/>
  <c r="E11" i="1"/>
  <c r="D39" i="1"/>
  <c r="C39" i="1"/>
  <c r="E39" i="1"/>
  <c r="C56" i="1"/>
  <c r="E37" i="1"/>
  <c r="D52" i="1"/>
  <c r="E52" i="1"/>
  <c r="E46" i="1"/>
  <c r="C57" i="1"/>
  <c r="E57" i="1"/>
  <c r="E38" i="1"/>
  <c r="D56" i="1"/>
  <c r="E17" i="1"/>
  <c r="E28" i="1"/>
  <c r="E63" i="1"/>
  <c r="C58" i="1"/>
  <c r="C64" i="1"/>
  <c r="C65" i="1"/>
  <c r="E56" i="1"/>
  <c r="D58" i="1"/>
  <c r="E58" i="1"/>
  <c r="D64" i="1"/>
  <c r="E64" i="1"/>
  <c r="D65" i="1"/>
  <c r="E65" i="1"/>
</calcChain>
</file>

<file path=xl/sharedStrings.xml><?xml version="1.0" encoding="utf-8"?>
<sst xmlns="http://schemas.openxmlformats.org/spreadsheetml/2006/main" count="66" uniqueCount="63">
  <si>
    <t>Grant No.33-Indirect Taxes</t>
  </si>
  <si>
    <t xml:space="preserve">Object  Headwise  Expenditure </t>
  </si>
  <si>
    <t>(Rs in thousands)</t>
  </si>
  <si>
    <t xml:space="preserve">             Description</t>
  </si>
  <si>
    <t xml:space="preserve">BE   </t>
  </si>
  <si>
    <t>Actuals</t>
  </si>
  <si>
    <t xml:space="preserve">% of BE </t>
  </si>
  <si>
    <t>Code</t>
  </si>
  <si>
    <t>2020-21</t>
  </si>
  <si>
    <t>upto 30.08.2020</t>
  </si>
  <si>
    <t xml:space="preserve">                     </t>
  </si>
  <si>
    <t>REVENUE SECTION</t>
  </si>
  <si>
    <t xml:space="preserve">   </t>
  </si>
  <si>
    <t>01</t>
  </si>
  <si>
    <t>Salaries</t>
  </si>
  <si>
    <t>02</t>
  </si>
  <si>
    <t>Wages</t>
  </si>
  <si>
    <t>03</t>
  </si>
  <si>
    <t>Overtime Allowance</t>
  </si>
  <si>
    <t>05</t>
  </si>
  <si>
    <t>Rewards</t>
  </si>
  <si>
    <t>06</t>
  </si>
  <si>
    <t>Medical Treatment</t>
  </si>
  <si>
    <t>Domestic Travel Expenses</t>
  </si>
  <si>
    <t>Foreign Travel Expenses</t>
  </si>
  <si>
    <t>Office Expenses</t>
  </si>
  <si>
    <t>Rent, Rates &amp; Taxes</t>
  </si>
  <si>
    <t>Publications</t>
  </si>
  <si>
    <t>Other Administrative Expenses</t>
  </si>
  <si>
    <t>Advertising &amp; Publicity</t>
  </si>
  <si>
    <t>Minor Works</t>
  </si>
  <si>
    <t>Professional Services</t>
  </si>
  <si>
    <t>Grants-in-Aid-General</t>
  </si>
  <si>
    <t>Secret Service Expenditure</t>
  </si>
  <si>
    <t>Other Charges</t>
  </si>
  <si>
    <t xml:space="preserve">       (Charged)</t>
  </si>
  <si>
    <t xml:space="preserve">       (Voted)</t>
  </si>
  <si>
    <t>Inter Accounts Transfer (Custom Welfare Fund)</t>
  </si>
  <si>
    <t>Swachhta Action Plan</t>
  </si>
  <si>
    <t xml:space="preserve">       Office Expenses</t>
  </si>
  <si>
    <t xml:space="preserve">Information Technology </t>
  </si>
  <si>
    <t>Other Charges (Voted)</t>
  </si>
  <si>
    <t>Total - Revenue Section</t>
  </si>
  <si>
    <t>Charged</t>
  </si>
  <si>
    <t>Voted</t>
  </si>
  <si>
    <t xml:space="preserve">CAPITAL SECTION </t>
  </si>
  <si>
    <t>Major Head 4047:-</t>
  </si>
  <si>
    <t>Acquisition of Ships &amp; Fleets</t>
  </si>
  <si>
    <t xml:space="preserve">Acquisition of Anti Smuggling Equipment </t>
  </si>
  <si>
    <t>Total - Major Head '4047'</t>
  </si>
  <si>
    <t>Major Head 4059</t>
  </si>
  <si>
    <t>Major Head 4216</t>
  </si>
  <si>
    <t>Total Capital Section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</si>
  <si>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</si>
  <si>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Grand Total</t>
  </si>
  <si>
    <t xml:space="preserve">Charged </t>
  </si>
  <si>
    <t>Deduct Recoveries MH -2037 Custom</t>
  </si>
  <si>
    <t>Deduct Recoveries MH -2042 CGST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</si>
  <si>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</si>
  <si>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Salary</t>
  </si>
  <si>
    <t>Non Salary</t>
  </si>
  <si>
    <t>Total</t>
  </si>
  <si>
    <t>Upto the 31st August,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</si>
</sst>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8"/>
      <color indexed="10"/>
      <name val="Arial"/>
      <family val="2"/>
    </font>
    <font>
      <sz val="18"/>
      <color indexed="14"/>
      <name val="Arial"/>
      <family val="2"/>
    </font>
    <font>
      <b/>
      <sz val="18"/>
      <color indexed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2" borderId="1" xfId="1" applyFont="1" applyFill="1" applyBorder="1"/>
    <xf numFmtId="0" fontId="2" fillId="3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0" fontId="2" fillId="3" borderId="1" xfId="1" applyFont="1" applyFill="1" applyBorder="1"/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right"/>
    </xf>
    <xf numFmtId="0" fontId="3" fillId="3" borderId="1" xfId="1" applyFont="1" applyFill="1" applyBorder="1" applyAlignment="1">
      <alignment horizontal="left"/>
    </xf>
    <xf numFmtId="0" fontId="3" fillId="3" borderId="1" xfId="1" applyFont="1" applyFill="1" applyBorder="1"/>
    <xf numFmtId="9" fontId="3" fillId="3" borderId="1" xfId="2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2" fillId="4" borderId="1" xfId="1" applyFont="1" applyFill="1" applyBorder="1"/>
    <xf numFmtId="0" fontId="3" fillId="4" borderId="1" xfId="1" applyFont="1" applyFill="1" applyBorder="1" applyAlignment="1"/>
    <xf numFmtId="0" fontId="3" fillId="0" borderId="1" xfId="1" applyFont="1" applyBorder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2" fillId="0" borderId="1" xfId="1" quotePrefix="1" applyFont="1" applyBorder="1" applyAlignment="1">
      <alignment horizontal="center"/>
    </xf>
    <xf numFmtId="1" fontId="2" fillId="2" borderId="1" xfId="1" applyNumberFormat="1" applyFont="1" applyFill="1" applyBorder="1"/>
    <xf numFmtId="2" fontId="2" fillId="0" borderId="1" xfId="1" applyNumberFormat="1" applyFont="1" applyBorder="1"/>
    <xf numFmtId="0" fontId="2" fillId="0" borderId="1" xfId="1" applyFont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3" fillId="4" borderId="1" xfId="1" applyFont="1" applyFill="1" applyBorder="1"/>
    <xf numFmtId="2" fontId="3" fillId="4" borderId="1" xfId="1" applyNumberFormat="1" applyFont="1" applyFill="1" applyBorder="1"/>
    <xf numFmtId="2" fontId="2" fillId="4" borderId="1" xfId="1" applyNumberFormat="1" applyFont="1" applyFill="1" applyBorder="1"/>
    <xf numFmtId="0" fontId="4" fillId="0" borderId="1" xfId="1" applyFont="1" applyBorder="1" applyAlignment="1">
      <alignment horizontal="center"/>
    </xf>
    <xf numFmtId="2" fontId="3" fillId="0" borderId="1" xfId="1" applyNumberFormat="1" applyFont="1" applyBorder="1"/>
    <xf numFmtId="0" fontId="2" fillId="0" borderId="1" xfId="1" quotePrefix="1" applyFont="1" applyBorder="1" applyAlignment="1">
      <alignment horizontal="left"/>
    </xf>
    <xf numFmtId="0" fontId="4" fillId="0" borderId="1" xfId="1" applyFont="1" applyBorder="1"/>
    <xf numFmtId="0" fontId="4" fillId="2" borderId="1" xfId="1" applyFont="1" applyFill="1" applyBorder="1"/>
    <xf numFmtId="0" fontId="2" fillId="4" borderId="1" xfId="1" applyFont="1" applyFill="1" applyBorder="1" applyAlignment="1">
      <alignment horizontal="left"/>
    </xf>
    <xf numFmtId="0" fontId="5" fillId="0" borderId="1" xfId="1" applyFont="1" applyBorder="1"/>
    <xf numFmtId="0" fontId="5" fillId="0" borderId="1" xfId="1" applyFont="1" applyFill="1" applyBorder="1"/>
    <xf numFmtId="0" fontId="3" fillId="0" borderId="5" xfId="1" applyFont="1" applyBorder="1" applyAlignment="1">
      <alignment horizontal="left"/>
    </xf>
    <xf numFmtId="0" fontId="3" fillId="0" borderId="5" xfId="1" applyFont="1" applyBorder="1"/>
    <xf numFmtId="0" fontId="6" fillId="0" borderId="5" xfId="1" applyFont="1" applyBorder="1"/>
    <xf numFmtId="0" fontId="6" fillId="0" borderId="5" xfId="1" applyFont="1" applyFill="1" applyBorder="1"/>
    <xf numFmtId="2" fontId="3" fillId="0" borderId="5" xfId="1" applyNumberFormat="1" applyFont="1" applyBorder="1"/>
    <xf numFmtId="0" fontId="2" fillId="0" borderId="6" xfId="1" applyFont="1" applyBorder="1"/>
    <xf numFmtId="0" fontId="2" fillId="0" borderId="7" xfId="1" applyFont="1" applyBorder="1"/>
    <xf numFmtId="1" fontId="2" fillId="2" borderId="7" xfId="1" applyNumberFormat="1" applyFont="1" applyFill="1" applyBorder="1"/>
    <xf numFmtId="2" fontId="2" fillId="0" borderId="8" xfId="1" applyNumberFormat="1" applyFont="1" applyBorder="1"/>
    <xf numFmtId="0" fontId="2" fillId="0" borderId="4" xfId="1" applyFont="1" applyBorder="1"/>
    <xf numFmtId="0" fontId="2" fillId="0" borderId="9" xfId="1" applyFont="1" applyBorder="1"/>
    <xf numFmtId="2" fontId="2" fillId="0" borderId="10" xfId="1" applyNumberFormat="1" applyFont="1" applyBorder="1"/>
    <xf numFmtId="0" fontId="2" fillId="0" borderId="11" xfId="1" applyFont="1" applyBorder="1"/>
    <xf numFmtId="0" fontId="3" fillId="0" borderId="12" xfId="1" applyFont="1" applyBorder="1"/>
    <xf numFmtId="2" fontId="3" fillId="0" borderId="13" xfId="1" applyNumberFormat="1" applyFont="1" applyBorder="1"/>
    <xf numFmtId="0" fontId="2" fillId="0" borderId="14" xfId="1" applyFont="1" applyBorder="1"/>
    <xf numFmtId="0" fontId="2" fillId="2" borderId="14" xfId="1" applyFont="1" applyFill="1" applyBorder="1"/>
    <xf numFmtId="0" fontId="3" fillId="3" borderId="2" xfId="1" applyFont="1" applyFill="1" applyBorder="1" applyAlignment="1">
      <alignment horizontal="right"/>
    </xf>
    <xf numFmtId="0" fontId="3" fillId="3" borderId="3" xfId="1" applyFont="1" applyFill="1" applyBorder="1" applyAlignment="1">
      <alignment horizontal="right"/>
    </xf>
    <xf numFmtId="0" fontId="3" fillId="3" borderId="4" xfId="1" applyFont="1" applyFill="1" applyBorder="1" applyAlignment="1">
      <alignment horizontal="right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Reports%20Folder/Actual%20Expenditure%202019-20-%20Grant%20No.%2035-Indirect%20Taxes%20(as%20per%20E-lekha)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ual Expenditure 2018-19"/>
      <sheetName val="Object Head wise Statement"/>
      <sheetName val="CGST"/>
      <sheetName val="Customs"/>
      <sheetName val="Total RE &amp; B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>
        <row r="15">
          <cell r="A15">
            <v>5503550</v>
          </cell>
        </row>
        <row r="21">
          <cell r="E21">
            <v>2800</v>
          </cell>
        </row>
        <row r="48">
          <cell r="E48">
            <v>200</v>
          </cell>
        </row>
        <row r="88">
          <cell r="E88">
            <v>1000</v>
          </cell>
        </row>
        <row r="119">
          <cell r="E119">
            <v>500</v>
          </cell>
        </row>
        <row r="139">
          <cell r="E139">
            <v>12000</v>
          </cell>
        </row>
        <row r="183">
          <cell r="E183">
            <v>2700</v>
          </cell>
        </row>
        <row r="204">
          <cell r="E204">
            <v>22500</v>
          </cell>
        </row>
        <row r="228">
          <cell r="E228">
            <v>1000</v>
          </cell>
        </row>
        <row r="247">
          <cell r="E247">
            <v>300</v>
          </cell>
        </row>
        <row r="269">
          <cell r="E269">
            <v>0</v>
          </cell>
        </row>
        <row r="322">
          <cell r="E322">
            <v>0</v>
          </cell>
        </row>
        <row r="336">
          <cell r="E336">
            <v>3500</v>
          </cell>
        </row>
        <row r="361">
          <cell r="E361">
            <v>8500</v>
          </cell>
        </row>
        <row r="410">
          <cell r="E410">
            <v>0</v>
          </cell>
        </row>
        <row r="466">
          <cell r="E466">
            <v>5000</v>
          </cell>
        </row>
        <row r="477">
          <cell r="L477">
            <v>0</v>
          </cell>
        </row>
        <row r="480">
          <cell r="L48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view="pageBreakPreview" zoomScale="77" zoomScaleNormal="77" zoomScaleSheetLayoutView="77" workbookViewId="0">
      <selection activeCell="B7" sqref="B7"/>
    </sheetView>
  </sheetViews>
  <sheetFormatPr defaultColWidth="8.875" defaultRowHeight="22.5" x14ac:dyDescent="0.25"/>
  <cols>
    <col min="1" max="1" width="13.5859375" style="2" customWidth="1"/>
    <col min="2" max="2" width="71.02734375" style="2" customWidth="1"/>
    <col min="3" max="3" width="20.3125" style="2" customWidth="1"/>
    <col min="4" max="4" width="26.23046875" style="3" customWidth="1"/>
    <col min="5" max="5" width="27.0390625" style="2" customWidth="1"/>
    <col min="6" max="11" width="9.14453125" style="2" customWidth="1"/>
    <col min="12" max="192" width="8.875" style="2"/>
    <col min="193" max="194" width="8.875" style="2" customWidth="1"/>
    <col min="195" max="195" width="16.140625" style="2" customWidth="1"/>
    <col min="196" max="196" width="68.73828125" style="2" customWidth="1"/>
    <col min="197" max="197" width="24.48046875" style="2" customWidth="1"/>
    <col min="198" max="203" width="8.875" style="2" customWidth="1"/>
    <col min="204" max="204" width="20.04296875" style="2" customWidth="1"/>
    <col min="205" max="215" width="8.875" style="2" customWidth="1"/>
    <col min="216" max="216" width="15.73828125" style="2" customWidth="1"/>
    <col min="217" max="255" width="8.875" style="2" customWidth="1"/>
    <col min="256" max="267" width="9.14453125" style="2" customWidth="1"/>
    <col min="268" max="448" width="8.875" style="2"/>
    <col min="449" max="450" width="8.875" style="2" customWidth="1"/>
    <col min="451" max="451" width="16.140625" style="2" customWidth="1"/>
    <col min="452" max="452" width="68.73828125" style="2" customWidth="1"/>
    <col min="453" max="453" width="24.48046875" style="2" customWidth="1"/>
    <col min="454" max="459" width="8.875" style="2" customWidth="1"/>
    <col min="460" max="460" width="20.04296875" style="2" customWidth="1"/>
    <col min="461" max="471" width="8.875" style="2" customWidth="1"/>
    <col min="472" max="472" width="15.73828125" style="2" customWidth="1"/>
    <col min="473" max="511" width="8.875" style="2" customWidth="1"/>
    <col min="512" max="523" width="9.14453125" style="2" customWidth="1"/>
    <col min="524" max="704" width="8.875" style="2"/>
    <col min="705" max="706" width="8.875" style="2" customWidth="1"/>
    <col min="707" max="707" width="16.140625" style="2" customWidth="1"/>
    <col min="708" max="708" width="68.73828125" style="2" customWidth="1"/>
    <col min="709" max="709" width="24.48046875" style="2" customWidth="1"/>
    <col min="710" max="715" width="8.875" style="2" customWidth="1"/>
    <col min="716" max="716" width="20.04296875" style="2" customWidth="1"/>
    <col min="717" max="727" width="8.875" style="2" customWidth="1"/>
    <col min="728" max="728" width="15.73828125" style="2" customWidth="1"/>
    <col min="729" max="767" width="8.875" style="2" customWidth="1"/>
    <col min="768" max="779" width="9.14453125" style="2" customWidth="1"/>
    <col min="780" max="960" width="8.875" style="2"/>
    <col min="961" max="962" width="8.875" style="2" customWidth="1"/>
    <col min="963" max="963" width="16.140625" style="2" customWidth="1"/>
    <col min="964" max="964" width="68.73828125" style="2" customWidth="1"/>
    <col min="965" max="965" width="24.48046875" style="2" customWidth="1"/>
    <col min="966" max="971" width="8.875" style="2" customWidth="1"/>
    <col min="972" max="972" width="20.04296875" style="2" customWidth="1"/>
    <col min="973" max="983" width="8.875" style="2" customWidth="1"/>
    <col min="984" max="984" width="15.73828125" style="2" customWidth="1"/>
    <col min="985" max="1023" width="8.875" style="2" customWidth="1"/>
    <col min="1024" max="1035" width="9.14453125" style="2" customWidth="1"/>
    <col min="1036" max="1216" width="8.875" style="2"/>
    <col min="1217" max="1218" width="8.875" style="2" customWidth="1"/>
    <col min="1219" max="1219" width="16.140625" style="2" customWidth="1"/>
    <col min="1220" max="1220" width="68.73828125" style="2" customWidth="1"/>
    <col min="1221" max="1221" width="24.48046875" style="2" customWidth="1"/>
    <col min="1222" max="1227" width="8.875" style="2" customWidth="1"/>
    <col min="1228" max="1228" width="20.04296875" style="2" customWidth="1"/>
    <col min="1229" max="1239" width="8.875" style="2" customWidth="1"/>
    <col min="1240" max="1240" width="15.73828125" style="2" customWidth="1"/>
    <col min="1241" max="1279" width="8.875" style="2" customWidth="1"/>
    <col min="1280" max="1291" width="9.14453125" style="2" customWidth="1"/>
    <col min="1292" max="1472" width="8.875" style="2"/>
    <col min="1473" max="1474" width="8.875" style="2" customWidth="1"/>
    <col min="1475" max="1475" width="16.140625" style="2" customWidth="1"/>
    <col min="1476" max="1476" width="68.73828125" style="2" customWidth="1"/>
    <col min="1477" max="1477" width="24.48046875" style="2" customWidth="1"/>
    <col min="1478" max="1483" width="8.875" style="2" customWidth="1"/>
    <col min="1484" max="1484" width="20.04296875" style="2" customWidth="1"/>
    <col min="1485" max="1495" width="8.875" style="2" customWidth="1"/>
    <col min="1496" max="1496" width="15.73828125" style="2" customWidth="1"/>
    <col min="1497" max="1535" width="8.875" style="2" customWidth="1"/>
    <col min="1536" max="1547" width="9.14453125" style="2" customWidth="1"/>
    <col min="1548" max="1728" width="8.875" style="2"/>
    <col min="1729" max="1730" width="8.875" style="2" customWidth="1"/>
    <col min="1731" max="1731" width="16.140625" style="2" customWidth="1"/>
    <col min="1732" max="1732" width="68.73828125" style="2" customWidth="1"/>
    <col min="1733" max="1733" width="24.48046875" style="2" customWidth="1"/>
    <col min="1734" max="1739" width="8.875" style="2" customWidth="1"/>
    <col min="1740" max="1740" width="20.04296875" style="2" customWidth="1"/>
    <col min="1741" max="1751" width="8.875" style="2" customWidth="1"/>
    <col min="1752" max="1752" width="15.73828125" style="2" customWidth="1"/>
    <col min="1753" max="1791" width="8.875" style="2" customWidth="1"/>
    <col min="1792" max="1803" width="9.14453125" style="2" customWidth="1"/>
    <col min="1804" max="1984" width="8.875" style="2"/>
    <col min="1985" max="1986" width="8.875" style="2" customWidth="1"/>
    <col min="1987" max="1987" width="16.140625" style="2" customWidth="1"/>
    <col min="1988" max="1988" width="68.73828125" style="2" customWidth="1"/>
    <col min="1989" max="1989" width="24.48046875" style="2" customWidth="1"/>
    <col min="1990" max="1995" width="8.875" style="2" customWidth="1"/>
    <col min="1996" max="1996" width="20.04296875" style="2" customWidth="1"/>
    <col min="1997" max="2007" width="8.875" style="2" customWidth="1"/>
    <col min="2008" max="2008" width="15.73828125" style="2" customWidth="1"/>
    <col min="2009" max="2047" width="8.875" style="2" customWidth="1"/>
    <col min="2048" max="2059" width="9.14453125" style="2" customWidth="1"/>
    <col min="2060" max="2240" width="8.875" style="2"/>
    <col min="2241" max="2242" width="8.875" style="2" customWidth="1"/>
    <col min="2243" max="2243" width="16.140625" style="2" customWidth="1"/>
    <col min="2244" max="2244" width="68.73828125" style="2" customWidth="1"/>
    <col min="2245" max="2245" width="24.48046875" style="2" customWidth="1"/>
    <col min="2246" max="2251" width="8.875" style="2" customWidth="1"/>
    <col min="2252" max="2252" width="20.04296875" style="2" customWidth="1"/>
    <col min="2253" max="2263" width="8.875" style="2" customWidth="1"/>
    <col min="2264" max="2264" width="15.73828125" style="2" customWidth="1"/>
    <col min="2265" max="2303" width="8.875" style="2" customWidth="1"/>
    <col min="2304" max="2315" width="9.14453125" style="2" customWidth="1"/>
    <col min="2316" max="2496" width="8.875" style="2"/>
    <col min="2497" max="2498" width="8.875" style="2" customWidth="1"/>
    <col min="2499" max="2499" width="16.140625" style="2" customWidth="1"/>
    <col min="2500" max="2500" width="68.73828125" style="2" customWidth="1"/>
    <col min="2501" max="2501" width="24.48046875" style="2" customWidth="1"/>
    <col min="2502" max="2507" width="8.875" style="2" customWidth="1"/>
    <col min="2508" max="2508" width="20.04296875" style="2" customWidth="1"/>
    <col min="2509" max="2519" width="8.875" style="2" customWidth="1"/>
    <col min="2520" max="2520" width="15.73828125" style="2" customWidth="1"/>
    <col min="2521" max="2559" width="8.875" style="2" customWidth="1"/>
    <col min="2560" max="2571" width="9.14453125" style="2" customWidth="1"/>
    <col min="2572" max="2752" width="8.875" style="2"/>
    <col min="2753" max="2754" width="8.875" style="2" customWidth="1"/>
    <col min="2755" max="2755" width="16.140625" style="2" customWidth="1"/>
    <col min="2756" max="2756" width="68.73828125" style="2" customWidth="1"/>
    <col min="2757" max="2757" width="24.48046875" style="2" customWidth="1"/>
    <col min="2758" max="2763" width="8.875" style="2" customWidth="1"/>
    <col min="2764" max="2764" width="20.04296875" style="2" customWidth="1"/>
    <col min="2765" max="2775" width="8.875" style="2" customWidth="1"/>
    <col min="2776" max="2776" width="15.73828125" style="2" customWidth="1"/>
    <col min="2777" max="2815" width="8.875" style="2" customWidth="1"/>
    <col min="2816" max="2827" width="9.14453125" style="2" customWidth="1"/>
    <col min="2828" max="3008" width="8.875" style="2"/>
    <col min="3009" max="3010" width="8.875" style="2" customWidth="1"/>
    <col min="3011" max="3011" width="16.140625" style="2" customWidth="1"/>
    <col min="3012" max="3012" width="68.73828125" style="2" customWidth="1"/>
    <col min="3013" max="3013" width="24.48046875" style="2" customWidth="1"/>
    <col min="3014" max="3019" width="8.875" style="2" customWidth="1"/>
    <col min="3020" max="3020" width="20.04296875" style="2" customWidth="1"/>
    <col min="3021" max="3031" width="8.875" style="2" customWidth="1"/>
    <col min="3032" max="3032" width="15.73828125" style="2" customWidth="1"/>
    <col min="3033" max="3071" width="8.875" style="2" customWidth="1"/>
    <col min="3072" max="3083" width="9.14453125" style="2" customWidth="1"/>
    <col min="3084" max="3264" width="8.875" style="2"/>
    <col min="3265" max="3266" width="8.875" style="2" customWidth="1"/>
    <col min="3267" max="3267" width="16.140625" style="2" customWidth="1"/>
    <col min="3268" max="3268" width="68.73828125" style="2" customWidth="1"/>
    <col min="3269" max="3269" width="24.48046875" style="2" customWidth="1"/>
    <col min="3270" max="3275" width="8.875" style="2" customWidth="1"/>
    <col min="3276" max="3276" width="20.04296875" style="2" customWidth="1"/>
    <col min="3277" max="3287" width="8.875" style="2" customWidth="1"/>
    <col min="3288" max="3288" width="15.73828125" style="2" customWidth="1"/>
    <col min="3289" max="3327" width="8.875" style="2" customWidth="1"/>
    <col min="3328" max="3339" width="9.14453125" style="2" customWidth="1"/>
    <col min="3340" max="3520" width="8.875" style="2"/>
    <col min="3521" max="3522" width="8.875" style="2" customWidth="1"/>
    <col min="3523" max="3523" width="16.140625" style="2" customWidth="1"/>
    <col min="3524" max="3524" width="68.73828125" style="2" customWidth="1"/>
    <col min="3525" max="3525" width="24.48046875" style="2" customWidth="1"/>
    <col min="3526" max="3531" width="8.875" style="2" customWidth="1"/>
    <col min="3532" max="3532" width="20.04296875" style="2" customWidth="1"/>
    <col min="3533" max="3543" width="8.875" style="2" customWidth="1"/>
    <col min="3544" max="3544" width="15.73828125" style="2" customWidth="1"/>
    <col min="3545" max="3583" width="8.875" style="2" customWidth="1"/>
    <col min="3584" max="3595" width="9.14453125" style="2" customWidth="1"/>
    <col min="3596" max="3776" width="8.875" style="2"/>
    <col min="3777" max="3778" width="8.875" style="2" customWidth="1"/>
    <col min="3779" max="3779" width="16.140625" style="2" customWidth="1"/>
    <col min="3780" max="3780" width="68.73828125" style="2" customWidth="1"/>
    <col min="3781" max="3781" width="24.48046875" style="2" customWidth="1"/>
    <col min="3782" max="3787" width="8.875" style="2" customWidth="1"/>
    <col min="3788" max="3788" width="20.04296875" style="2" customWidth="1"/>
    <col min="3789" max="3799" width="8.875" style="2" customWidth="1"/>
    <col min="3800" max="3800" width="15.73828125" style="2" customWidth="1"/>
    <col min="3801" max="3839" width="8.875" style="2" customWidth="1"/>
    <col min="3840" max="3851" width="9.14453125" style="2" customWidth="1"/>
    <col min="3852" max="4032" width="8.875" style="2"/>
    <col min="4033" max="4034" width="8.875" style="2" customWidth="1"/>
    <col min="4035" max="4035" width="16.140625" style="2" customWidth="1"/>
    <col min="4036" max="4036" width="68.73828125" style="2" customWidth="1"/>
    <col min="4037" max="4037" width="24.48046875" style="2" customWidth="1"/>
    <col min="4038" max="4043" width="8.875" style="2" customWidth="1"/>
    <col min="4044" max="4044" width="20.04296875" style="2" customWidth="1"/>
    <col min="4045" max="4055" width="8.875" style="2" customWidth="1"/>
    <col min="4056" max="4056" width="15.73828125" style="2" customWidth="1"/>
    <col min="4057" max="4095" width="8.875" style="2" customWidth="1"/>
    <col min="4096" max="4107" width="9.14453125" style="2" customWidth="1"/>
    <col min="4108" max="4288" width="8.875" style="2"/>
    <col min="4289" max="4290" width="8.875" style="2" customWidth="1"/>
    <col min="4291" max="4291" width="16.140625" style="2" customWidth="1"/>
    <col min="4292" max="4292" width="68.73828125" style="2" customWidth="1"/>
    <col min="4293" max="4293" width="24.48046875" style="2" customWidth="1"/>
    <col min="4294" max="4299" width="8.875" style="2" customWidth="1"/>
    <col min="4300" max="4300" width="20.04296875" style="2" customWidth="1"/>
    <col min="4301" max="4311" width="8.875" style="2" customWidth="1"/>
    <col min="4312" max="4312" width="15.73828125" style="2" customWidth="1"/>
    <col min="4313" max="4351" width="8.875" style="2" customWidth="1"/>
    <col min="4352" max="4363" width="9.14453125" style="2" customWidth="1"/>
    <col min="4364" max="4544" width="8.875" style="2"/>
    <col min="4545" max="4546" width="8.875" style="2" customWidth="1"/>
    <col min="4547" max="4547" width="16.140625" style="2" customWidth="1"/>
    <col min="4548" max="4548" width="68.73828125" style="2" customWidth="1"/>
    <col min="4549" max="4549" width="24.48046875" style="2" customWidth="1"/>
    <col min="4550" max="4555" width="8.875" style="2" customWidth="1"/>
    <col min="4556" max="4556" width="20.04296875" style="2" customWidth="1"/>
    <col min="4557" max="4567" width="8.875" style="2" customWidth="1"/>
    <col min="4568" max="4568" width="15.73828125" style="2" customWidth="1"/>
    <col min="4569" max="4607" width="8.875" style="2" customWidth="1"/>
    <col min="4608" max="4619" width="9.14453125" style="2" customWidth="1"/>
    <col min="4620" max="4800" width="8.875" style="2"/>
    <col min="4801" max="4802" width="8.875" style="2" customWidth="1"/>
    <col min="4803" max="4803" width="16.140625" style="2" customWidth="1"/>
    <col min="4804" max="4804" width="68.73828125" style="2" customWidth="1"/>
    <col min="4805" max="4805" width="24.48046875" style="2" customWidth="1"/>
    <col min="4806" max="4811" width="8.875" style="2" customWidth="1"/>
    <col min="4812" max="4812" width="20.04296875" style="2" customWidth="1"/>
    <col min="4813" max="4823" width="8.875" style="2" customWidth="1"/>
    <col min="4824" max="4824" width="15.73828125" style="2" customWidth="1"/>
    <col min="4825" max="4863" width="8.875" style="2" customWidth="1"/>
    <col min="4864" max="4875" width="9.14453125" style="2" customWidth="1"/>
    <col min="4876" max="5056" width="8.875" style="2"/>
    <col min="5057" max="5058" width="8.875" style="2" customWidth="1"/>
    <col min="5059" max="5059" width="16.140625" style="2" customWidth="1"/>
    <col min="5060" max="5060" width="68.73828125" style="2" customWidth="1"/>
    <col min="5061" max="5061" width="24.48046875" style="2" customWidth="1"/>
    <col min="5062" max="5067" width="8.875" style="2" customWidth="1"/>
    <col min="5068" max="5068" width="20.04296875" style="2" customWidth="1"/>
    <col min="5069" max="5079" width="8.875" style="2" customWidth="1"/>
    <col min="5080" max="5080" width="15.73828125" style="2" customWidth="1"/>
    <col min="5081" max="5119" width="8.875" style="2" customWidth="1"/>
    <col min="5120" max="5131" width="9.14453125" style="2" customWidth="1"/>
    <col min="5132" max="5312" width="8.875" style="2"/>
    <col min="5313" max="5314" width="8.875" style="2" customWidth="1"/>
    <col min="5315" max="5315" width="16.140625" style="2" customWidth="1"/>
    <col min="5316" max="5316" width="68.73828125" style="2" customWidth="1"/>
    <col min="5317" max="5317" width="24.48046875" style="2" customWidth="1"/>
    <col min="5318" max="5323" width="8.875" style="2" customWidth="1"/>
    <col min="5324" max="5324" width="20.04296875" style="2" customWidth="1"/>
    <col min="5325" max="5335" width="8.875" style="2" customWidth="1"/>
    <col min="5336" max="5336" width="15.73828125" style="2" customWidth="1"/>
    <col min="5337" max="5375" width="8.875" style="2" customWidth="1"/>
    <col min="5376" max="5387" width="9.14453125" style="2" customWidth="1"/>
    <col min="5388" max="5568" width="8.875" style="2"/>
    <col min="5569" max="5570" width="8.875" style="2" customWidth="1"/>
    <col min="5571" max="5571" width="16.140625" style="2" customWidth="1"/>
    <col min="5572" max="5572" width="68.73828125" style="2" customWidth="1"/>
    <col min="5573" max="5573" width="24.48046875" style="2" customWidth="1"/>
    <col min="5574" max="5579" width="8.875" style="2" customWidth="1"/>
    <col min="5580" max="5580" width="20.04296875" style="2" customWidth="1"/>
    <col min="5581" max="5591" width="8.875" style="2" customWidth="1"/>
    <col min="5592" max="5592" width="15.73828125" style="2" customWidth="1"/>
    <col min="5593" max="5631" width="8.875" style="2" customWidth="1"/>
    <col min="5632" max="5643" width="9.14453125" style="2" customWidth="1"/>
    <col min="5644" max="5824" width="8.875" style="2"/>
    <col min="5825" max="5826" width="8.875" style="2" customWidth="1"/>
    <col min="5827" max="5827" width="16.140625" style="2" customWidth="1"/>
    <col min="5828" max="5828" width="68.73828125" style="2" customWidth="1"/>
    <col min="5829" max="5829" width="24.48046875" style="2" customWidth="1"/>
    <col min="5830" max="5835" width="8.875" style="2" customWidth="1"/>
    <col min="5836" max="5836" width="20.04296875" style="2" customWidth="1"/>
    <col min="5837" max="5847" width="8.875" style="2" customWidth="1"/>
    <col min="5848" max="5848" width="15.73828125" style="2" customWidth="1"/>
    <col min="5849" max="5887" width="8.875" style="2" customWidth="1"/>
    <col min="5888" max="5899" width="9.14453125" style="2" customWidth="1"/>
    <col min="5900" max="6080" width="8.875" style="2"/>
    <col min="6081" max="6082" width="8.875" style="2" customWidth="1"/>
    <col min="6083" max="6083" width="16.140625" style="2" customWidth="1"/>
    <col min="6084" max="6084" width="68.73828125" style="2" customWidth="1"/>
    <col min="6085" max="6085" width="24.48046875" style="2" customWidth="1"/>
    <col min="6086" max="6091" width="8.875" style="2" customWidth="1"/>
    <col min="6092" max="6092" width="20.04296875" style="2" customWidth="1"/>
    <col min="6093" max="6103" width="8.875" style="2" customWidth="1"/>
    <col min="6104" max="6104" width="15.73828125" style="2" customWidth="1"/>
    <col min="6105" max="6143" width="8.875" style="2" customWidth="1"/>
    <col min="6144" max="6155" width="9.14453125" style="2" customWidth="1"/>
    <col min="6156" max="6336" width="8.875" style="2"/>
    <col min="6337" max="6338" width="8.875" style="2" customWidth="1"/>
    <col min="6339" max="6339" width="16.140625" style="2" customWidth="1"/>
    <col min="6340" max="6340" width="68.73828125" style="2" customWidth="1"/>
    <col min="6341" max="6341" width="24.48046875" style="2" customWidth="1"/>
    <col min="6342" max="6347" width="8.875" style="2" customWidth="1"/>
    <col min="6348" max="6348" width="20.04296875" style="2" customWidth="1"/>
    <col min="6349" max="6359" width="8.875" style="2" customWidth="1"/>
    <col min="6360" max="6360" width="15.73828125" style="2" customWidth="1"/>
    <col min="6361" max="6399" width="8.875" style="2" customWidth="1"/>
    <col min="6400" max="6411" width="9.14453125" style="2" customWidth="1"/>
    <col min="6412" max="6592" width="8.875" style="2"/>
    <col min="6593" max="6594" width="8.875" style="2" customWidth="1"/>
    <col min="6595" max="6595" width="16.140625" style="2" customWidth="1"/>
    <col min="6596" max="6596" width="68.73828125" style="2" customWidth="1"/>
    <col min="6597" max="6597" width="24.48046875" style="2" customWidth="1"/>
    <col min="6598" max="6603" width="8.875" style="2" customWidth="1"/>
    <col min="6604" max="6604" width="20.04296875" style="2" customWidth="1"/>
    <col min="6605" max="6615" width="8.875" style="2" customWidth="1"/>
    <col min="6616" max="6616" width="15.73828125" style="2" customWidth="1"/>
    <col min="6617" max="6655" width="8.875" style="2" customWidth="1"/>
    <col min="6656" max="6667" width="9.14453125" style="2" customWidth="1"/>
    <col min="6668" max="6848" width="8.875" style="2"/>
    <col min="6849" max="6850" width="8.875" style="2" customWidth="1"/>
    <col min="6851" max="6851" width="16.140625" style="2" customWidth="1"/>
    <col min="6852" max="6852" width="68.73828125" style="2" customWidth="1"/>
    <col min="6853" max="6853" width="24.48046875" style="2" customWidth="1"/>
    <col min="6854" max="6859" width="8.875" style="2" customWidth="1"/>
    <col min="6860" max="6860" width="20.04296875" style="2" customWidth="1"/>
    <col min="6861" max="6871" width="8.875" style="2" customWidth="1"/>
    <col min="6872" max="6872" width="15.73828125" style="2" customWidth="1"/>
    <col min="6873" max="6911" width="8.875" style="2" customWidth="1"/>
    <col min="6912" max="6923" width="9.14453125" style="2" customWidth="1"/>
    <col min="6924" max="7104" width="8.875" style="2"/>
    <col min="7105" max="7106" width="8.875" style="2" customWidth="1"/>
    <col min="7107" max="7107" width="16.140625" style="2" customWidth="1"/>
    <col min="7108" max="7108" width="68.73828125" style="2" customWidth="1"/>
    <col min="7109" max="7109" width="24.48046875" style="2" customWidth="1"/>
    <col min="7110" max="7115" width="8.875" style="2" customWidth="1"/>
    <col min="7116" max="7116" width="20.04296875" style="2" customWidth="1"/>
    <col min="7117" max="7127" width="8.875" style="2" customWidth="1"/>
    <col min="7128" max="7128" width="15.73828125" style="2" customWidth="1"/>
    <col min="7129" max="7167" width="8.875" style="2" customWidth="1"/>
    <col min="7168" max="7179" width="9.14453125" style="2" customWidth="1"/>
    <col min="7180" max="7360" width="8.875" style="2"/>
    <col min="7361" max="7362" width="8.875" style="2" customWidth="1"/>
    <col min="7363" max="7363" width="16.140625" style="2" customWidth="1"/>
    <col min="7364" max="7364" width="68.73828125" style="2" customWidth="1"/>
    <col min="7365" max="7365" width="24.48046875" style="2" customWidth="1"/>
    <col min="7366" max="7371" width="8.875" style="2" customWidth="1"/>
    <col min="7372" max="7372" width="20.04296875" style="2" customWidth="1"/>
    <col min="7373" max="7383" width="8.875" style="2" customWidth="1"/>
    <col min="7384" max="7384" width="15.73828125" style="2" customWidth="1"/>
    <col min="7385" max="7423" width="8.875" style="2" customWidth="1"/>
    <col min="7424" max="7435" width="9.14453125" style="2" customWidth="1"/>
    <col min="7436" max="7616" width="8.875" style="2"/>
    <col min="7617" max="7618" width="8.875" style="2" customWidth="1"/>
    <col min="7619" max="7619" width="16.140625" style="2" customWidth="1"/>
    <col min="7620" max="7620" width="68.73828125" style="2" customWidth="1"/>
    <col min="7621" max="7621" width="24.48046875" style="2" customWidth="1"/>
    <col min="7622" max="7627" width="8.875" style="2" customWidth="1"/>
    <col min="7628" max="7628" width="20.04296875" style="2" customWidth="1"/>
    <col min="7629" max="7639" width="8.875" style="2" customWidth="1"/>
    <col min="7640" max="7640" width="15.73828125" style="2" customWidth="1"/>
    <col min="7641" max="7679" width="8.875" style="2" customWidth="1"/>
    <col min="7680" max="7691" width="9.14453125" style="2" customWidth="1"/>
    <col min="7692" max="7872" width="8.875" style="2"/>
    <col min="7873" max="7874" width="8.875" style="2" customWidth="1"/>
    <col min="7875" max="7875" width="16.140625" style="2" customWidth="1"/>
    <col min="7876" max="7876" width="68.73828125" style="2" customWidth="1"/>
    <col min="7877" max="7877" width="24.48046875" style="2" customWidth="1"/>
    <col min="7878" max="7883" width="8.875" style="2" customWidth="1"/>
    <col min="7884" max="7884" width="20.04296875" style="2" customWidth="1"/>
    <col min="7885" max="7895" width="8.875" style="2" customWidth="1"/>
    <col min="7896" max="7896" width="15.73828125" style="2" customWidth="1"/>
    <col min="7897" max="7935" width="8.875" style="2" customWidth="1"/>
    <col min="7936" max="7947" width="9.14453125" style="2" customWidth="1"/>
    <col min="7948" max="8128" width="8.875" style="2"/>
    <col min="8129" max="8130" width="8.875" style="2" customWidth="1"/>
    <col min="8131" max="8131" width="16.140625" style="2" customWidth="1"/>
    <col min="8132" max="8132" width="68.73828125" style="2" customWidth="1"/>
    <col min="8133" max="8133" width="24.48046875" style="2" customWidth="1"/>
    <col min="8134" max="8139" width="8.875" style="2" customWidth="1"/>
    <col min="8140" max="8140" width="20.04296875" style="2" customWidth="1"/>
    <col min="8141" max="8151" width="8.875" style="2" customWidth="1"/>
    <col min="8152" max="8152" width="15.73828125" style="2" customWidth="1"/>
    <col min="8153" max="8191" width="8.875" style="2" customWidth="1"/>
    <col min="8192" max="8203" width="9.14453125" style="2" customWidth="1"/>
    <col min="8204" max="8384" width="8.875" style="2"/>
    <col min="8385" max="8386" width="8.875" style="2" customWidth="1"/>
    <col min="8387" max="8387" width="16.140625" style="2" customWidth="1"/>
    <col min="8388" max="8388" width="68.73828125" style="2" customWidth="1"/>
    <col min="8389" max="8389" width="24.48046875" style="2" customWidth="1"/>
    <col min="8390" max="8395" width="8.875" style="2" customWidth="1"/>
    <col min="8396" max="8396" width="20.04296875" style="2" customWidth="1"/>
    <col min="8397" max="8407" width="8.875" style="2" customWidth="1"/>
    <col min="8408" max="8408" width="15.73828125" style="2" customWidth="1"/>
    <col min="8409" max="8447" width="8.875" style="2" customWidth="1"/>
    <col min="8448" max="8459" width="9.14453125" style="2" customWidth="1"/>
    <col min="8460" max="8640" width="8.875" style="2"/>
    <col min="8641" max="8642" width="8.875" style="2" customWidth="1"/>
    <col min="8643" max="8643" width="16.140625" style="2" customWidth="1"/>
    <col min="8644" max="8644" width="68.73828125" style="2" customWidth="1"/>
    <col min="8645" max="8645" width="24.48046875" style="2" customWidth="1"/>
    <col min="8646" max="8651" width="8.875" style="2" customWidth="1"/>
    <col min="8652" max="8652" width="20.04296875" style="2" customWidth="1"/>
    <col min="8653" max="8663" width="8.875" style="2" customWidth="1"/>
    <col min="8664" max="8664" width="15.73828125" style="2" customWidth="1"/>
    <col min="8665" max="8703" width="8.875" style="2" customWidth="1"/>
    <col min="8704" max="8715" width="9.14453125" style="2" customWidth="1"/>
    <col min="8716" max="8896" width="8.875" style="2"/>
    <col min="8897" max="8898" width="8.875" style="2" customWidth="1"/>
    <col min="8899" max="8899" width="16.140625" style="2" customWidth="1"/>
    <col min="8900" max="8900" width="68.73828125" style="2" customWidth="1"/>
    <col min="8901" max="8901" width="24.48046875" style="2" customWidth="1"/>
    <col min="8902" max="8907" width="8.875" style="2" customWidth="1"/>
    <col min="8908" max="8908" width="20.04296875" style="2" customWidth="1"/>
    <col min="8909" max="8919" width="8.875" style="2" customWidth="1"/>
    <col min="8920" max="8920" width="15.73828125" style="2" customWidth="1"/>
    <col min="8921" max="8959" width="8.875" style="2" customWidth="1"/>
    <col min="8960" max="8971" width="9.14453125" style="2" customWidth="1"/>
    <col min="8972" max="9152" width="8.875" style="2"/>
    <col min="9153" max="9154" width="8.875" style="2" customWidth="1"/>
    <col min="9155" max="9155" width="16.140625" style="2" customWidth="1"/>
    <col min="9156" max="9156" width="68.73828125" style="2" customWidth="1"/>
    <col min="9157" max="9157" width="24.48046875" style="2" customWidth="1"/>
    <col min="9158" max="9163" width="8.875" style="2" customWidth="1"/>
    <col min="9164" max="9164" width="20.04296875" style="2" customWidth="1"/>
    <col min="9165" max="9175" width="8.875" style="2" customWidth="1"/>
    <col min="9176" max="9176" width="15.73828125" style="2" customWidth="1"/>
    <col min="9177" max="9215" width="8.875" style="2" customWidth="1"/>
    <col min="9216" max="9227" width="9.14453125" style="2" customWidth="1"/>
    <col min="9228" max="9408" width="8.875" style="2"/>
    <col min="9409" max="9410" width="8.875" style="2" customWidth="1"/>
    <col min="9411" max="9411" width="16.140625" style="2" customWidth="1"/>
    <col min="9412" max="9412" width="68.73828125" style="2" customWidth="1"/>
    <col min="9413" max="9413" width="24.48046875" style="2" customWidth="1"/>
    <col min="9414" max="9419" width="8.875" style="2" customWidth="1"/>
    <col min="9420" max="9420" width="20.04296875" style="2" customWidth="1"/>
    <col min="9421" max="9431" width="8.875" style="2" customWidth="1"/>
    <col min="9432" max="9432" width="15.73828125" style="2" customWidth="1"/>
    <col min="9433" max="9471" width="8.875" style="2" customWidth="1"/>
    <col min="9472" max="9483" width="9.14453125" style="2" customWidth="1"/>
    <col min="9484" max="9664" width="8.875" style="2"/>
    <col min="9665" max="9666" width="8.875" style="2" customWidth="1"/>
    <col min="9667" max="9667" width="16.140625" style="2" customWidth="1"/>
    <col min="9668" max="9668" width="68.73828125" style="2" customWidth="1"/>
    <col min="9669" max="9669" width="24.48046875" style="2" customWidth="1"/>
    <col min="9670" max="9675" width="8.875" style="2" customWidth="1"/>
    <col min="9676" max="9676" width="20.04296875" style="2" customWidth="1"/>
    <col min="9677" max="9687" width="8.875" style="2" customWidth="1"/>
    <col min="9688" max="9688" width="15.73828125" style="2" customWidth="1"/>
    <col min="9689" max="9727" width="8.875" style="2" customWidth="1"/>
    <col min="9728" max="9739" width="9.14453125" style="2" customWidth="1"/>
    <col min="9740" max="9920" width="8.875" style="2"/>
    <col min="9921" max="9922" width="8.875" style="2" customWidth="1"/>
    <col min="9923" max="9923" width="16.140625" style="2" customWidth="1"/>
    <col min="9924" max="9924" width="68.73828125" style="2" customWidth="1"/>
    <col min="9925" max="9925" width="24.48046875" style="2" customWidth="1"/>
    <col min="9926" max="9931" width="8.875" style="2" customWidth="1"/>
    <col min="9932" max="9932" width="20.04296875" style="2" customWidth="1"/>
    <col min="9933" max="9943" width="8.875" style="2" customWidth="1"/>
    <col min="9944" max="9944" width="15.73828125" style="2" customWidth="1"/>
    <col min="9945" max="9983" width="8.875" style="2" customWidth="1"/>
    <col min="9984" max="9995" width="9.14453125" style="2" customWidth="1"/>
    <col min="9996" max="10176" width="8.875" style="2"/>
    <col min="10177" max="10178" width="8.875" style="2" customWidth="1"/>
    <col min="10179" max="10179" width="16.140625" style="2" customWidth="1"/>
    <col min="10180" max="10180" width="68.73828125" style="2" customWidth="1"/>
    <col min="10181" max="10181" width="24.48046875" style="2" customWidth="1"/>
    <col min="10182" max="10187" width="8.875" style="2" customWidth="1"/>
    <col min="10188" max="10188" width="20.04296875" style="2" customWidth="1"/>
    <col min="10189" max="10199" width="8.875" style="2" customWidth="1"/>
    <col min="10200" max="10200" width="15.73828125" style="2" customWidth="1"/>
    <col min="10201" max="10239" width="8.875" style="2" customWidth="1"/>
    <col min="10240" max="10251" width="9.14453125" style="2" customWidth="1"/>
    <col min="10252" max="10432" width="8.875" style="2"/>
    <col min="10433" max="10434" width="8.875" style="2" customWidth="1"/>
    <col min="10435" max="10435" width="16.140625" style="2" customWidth="1"/>
    <col min="10436" max="10436" width="68.73828125" style="2" customWidth="1"/>
    <col min="10437" max="10437" width="24.48046875" style="2" customWidth="1"/>
    <col min="10438" max="10443" width="8.875" style="2" customWidth="1"/>
    <col min="10444" max="10444" width="20.04296875" style="2" customWidth="1"/>
    <col min="10445" max="10455" width="8.875" style="2" customWidth="1"/>
    <col min="10456" max="10456" width="15.73828125" style="2" customWidth="1"/>
    <col min="10457" max="10495" width="8.875" style="2" customWidth="1"/>
    <col min="10496" max="10507" width="9.14453125" style="2" customWidth="1"/>
    <col min="10508" max="10688" width="8.875" style="2"/>
    <col min="10689" max="10690" width="8.875" style="2" customWidth="1"/>
    <col min="10691" max="10691" width="16.140625" style="2" customWidth="1"/>
    <col min="10692" max="10692" width="68.73828125" style="2" customWidth="1"/>
    <col min="10693" max="10693" width="24.48046875" style="2" customWidth="1"/>
    <col min="10694" max="10699" width="8.875" style="2" customWidth="1"/>
    <col min="10700" max="10700" width="20.04296875" style="2" customWidth="1"/>
    <col min="10701" max="10711" width="8.875" style="2" customWidth="1"/>
    <col min="10712" max="10712" width="15.73828125" style="2" customWidth="1"/>
    <col min="10713" max="10751" width="8.875" style="2" customWidth="1"/>
    <col min="10752" max="10763" width="9.14453125" style="2" customWidth="1"/>
    <col min="10764" max="10944" width="8.875" style="2"/>
    <col min="10945" max="10946" width="8.875" style="2" customWidth="1"/>
    <col min="10947" max="10947" width="16.140625" style="2" customWidth="1"/>
    <col min="10948" max="10948" width="68.73828125" style="2" customWidth="1"/>
    <col min="10949" max="10949" width="24.48046875" style="2" customWidth="1"/>
    <col min="10950" max="10955" width="8.875" style="2" customWidth="1"/>
    <col min="10956" max="10956" width="20.04296875" style="2" customWidth="1"/>
    <col min="10957" max="10967" width="8.875" style="2" customWidth="1"/>
    <col min="10968" max="10968" width="15.73828125" style="2" customWidth="1"/>
    <col min="10969" max="11007" width="8.875" style="2" customWidth="1"/>
    <col min="11008" max="11019" width="9.14453125" style="2" customWidth="1"/>
    <col min="11020" max="11200" width="8.875" style="2"/>
    <col min="11201" max="11202" width="8.875" style="2" customWidth="1"/>
    <col min="11203" max="11203" width="16.140625" style="2" customWidth="1"/>
    <col min="11204" max="11204" width="68.73828125" style="2" customWidth="1"/>
    <col min="11205" max="11205" width="24.48046875" style="2" customWidth="1"/>
    <col min="11206" max="11211" width="8.875" style="2" customWidth="1"/>
    <col min="11212" max="11212" width="20.04296875" style="2" customWidth="1"/>
    <col min="11213" max="11223" width="8.875" style="2" customWidth="1"/>
    <col min="11224" max="11224" width="15.73828125" style="2" customWidth="1"/>
    <col min="11225" max="11263" width="8.875" style="2" customWidth="1"/>
    <col min="11264" max="11275" width="9.14453125" style="2" customWidth="1"/>
    <col min="11276" max="11456" width="8.875" style="2"/>
    <col min="11457" max="11458" width="8.875" style="2" customWidth="1"/>
    <col min="11459" max="11459" width="16.140625" style="2" customWidth="1"/>
    <col min="11460" max="11460" width="68.73828125" style="2" customWidth="1"/>
    <col min="11461" max="11461" width="24.48046875" style="2" customWidth="1"/>
    <col min="11462" max="11467" width="8.875" style="2" customWidth="1"/>
    <col min="11468" max="11468" width="20.04296875" style="2" customWidth="1"/>
    <col min="11469" max="11479" width="8.875" style="2" customWidth="1"/>
    <col min="11480" max="11480" width="15.73828125" style="2" customWidth="1"/>
    <col min="11481" max="11519" width="8.875" style="2" customWidth="1"/>
    <col min="11520" max="11531" width="9.14453125" style="2" customWidth="1"/>
    <col min="11532" max="11712" width="8.875" style="2"/>
    <col min="11713" max="11714" width="8.875" style="2" customWidth="1"/>
    <col min="11715" max="11715" width="16.140625" style="2" customWidth="1"/>
    <col min="11716" max="11716" width="68.73828125" style="2" customWidth="1"/>
    <col min="11717" max="11717" width="24.48046875" style="2" customWidth="1"/>
    <col min="11718" max="11723" width="8.875" style="2" customWidth="1"/>
    <col min="11724" max="11724" width="20.04296875" style="2" customWidth="1"/>
    <col min="11725" max="11735" width="8.875" style="2" customWidth="1"/>
    <col min="11736" max="11736" width="15.73828125" style="2" customWidth="1"/>
    <col min="11737" max="11775" width="8.875" style="2" customWidth="1"/>
    <col min="11776" max="11787" width="9.14453125" style="2" customWidth="1"/>
    <col min="11788" max="11968" width="8.875" style="2"/>
    <col min="11969" max="11970" width="8.875" style="2" customWidth="1"/>
    <col min="11971" max="11971" width="16.140625" style="2" customWidth="1"/>
    <col min="11972" max="11972" width="68.73828125" style="2" customWidth="1"/>
    <col min="11973" max="11973" width="24.48046875" style="2" customWidth="1"/>
    <col min="11974" max="11979" width="8.875" style="2" customWidth="1"/>
    <col min="11980" max="11980" width="20.04296875" style="2" customWidth="1"/>
    <col min="11981" max="11991" width="8.875" style="2" customWidth="1"/>
    <col min="11992" max="11992" width="15.73828125" style="2" customWidth="1"/>
    <col min="11993" max="12031" width="8.875" style="2" customWidth="1"/>
    <col min="12032" max="12043" width="9.14453125" style="2" customWidth="1"/>
    <col min="12044" max="12224" width="8.875" style="2"/>
    <col min="12225" max="12226" width="8.875" style="2" customWidth="1"/>
    <col min="12227" max="12227" width="16.140625" style="2" customWidth="1"/>
    <col min="12228" max="12228" width="68.73828125" style="2" customWidth="1"/>
    <col min="12229" max="12229" width="24.48046875" style="2" customWidth="1"/>
    <col min="12230" max="12235" width="8.875" style="2" customWidth="1"/>
    <col min="12236" max="12236" width="20.04296875" style="2" customWidth="1"/>
    <col min="12237" max="12247" width="8.875" style="2" customWidth="1"/>
    <col min="12248" max="12248" width="15.73828125" style="2" customWidth="1"/>
    <col min="12249" max="12287" width="8.875" style="2" customWidth="1"/>
    <col min="12288" max="12299" width="9.14453125" style="2" customWidth="1"/>
    <col min="12300" max="12480" width="8.875" style="2"/>
    <col min="12481" max="12482" width="8.875" style="2" customWidth="1"/>
    <col min="12483" max="12483" width="16.140625" style="2" customWidth="1"/>
    <col min="12484" max="12484" width="68.73828125" style="2" customWidth="1"/>
    <col min="12485" max="12485" width="24.48046875" style="2" customWidth="1"/>
    <col min="12486" max="12491" width="8.875" style="2" customWidth="1"/>
    <col min="12492" max="12492" width="20.04296875" style="2" customWidth="1"/>
    <col min="12493" max="12503" width="8.875" style="2" customWidth="1"/>
    <col min="12504" max="12504" width="15.73828125" style="2" customWidth="1"/>
    <col min="12505" max="12543" width="8.875" style="2" customWidth="1"/>
    <col min="12544" max="12555" width="9.14453125" style="2" customWidth="1"/>
    <col min="12556" max="12736" width="8.875" style="2"/>
    <col min="12737" max="12738" width="8.875" style="2" customWidth="1"/>
    <col min="12739" max="12739" width="16.140625" style="2" customWidth="1"/>
    <col min="12740" max="12740" width="68.73828125" style="2" customWidth="1"/>
    <col min="12741" max="12741" width="24.48046875" style="2" customWidth="1"/>
    <col min="12742" max="12747" width="8.875" style="2" customWidth="1"/>
    <col min="12748" max="12748" width="20.04296875" style="2" customWidth="1"/>
    <col min="12749" max="12759" width="8.875" style="2" customWidth="1"/>
    <col min="12760" max="12760" width="15.73828125" style="2" customWidth="1"/>
    <col min="12761" max="12799" width="8.875" style="2" customWidth="1"/>
    <col min="12800" max="12811" width="9.14453125" style="2" customWidth="1"/>
    <col min="12812" max="12992" width="8.875" style="2"/>
    <col min="12993" max="12994" width="8.875" style="2" customWidth="1"/>
    <col min="12995" max="12995" width="16.140625" style="2" customWidth="1"/>
    <col min="12996" max="12996" width="68.73828125" style="2" customWidth="1"/>
    <col min="12997" max="12997" width="24.48046875" style="2" customWidth="1"/>
    <col min="12998" max="13003" width="8.875" style="2" customWidth="1"/>
    <col min="13004" max="13004" width="20.04296875" style="2" customWidth="1"/>
    <col min="13005" max="13015" width="8.875" style="2" customWidth="1"/>
    <col min="13016" max="13016" width="15.73828125" style="2" customWidth="1"/>
    <col min="13017" max="13055" width="8.875" style="2" customWidth="1"/>
    <col min="13056" max="13067" width="9.14453125" style="2" customWidth="1"/>
    <col min="13068" max="13248" width="8.875" style="2"/>
    <col min="13249" max="13250" width="8.875" style="2" customWidth="1"/>
    <col min="13251" max="13251" width="16.140625" style="2" customWidth="1"/>
    <col min="13252" max="13252" width="68.73828125" style="2" customWidth="1"/>
    <col min="13253" max="13253" width="24.48046875" style="2" customWidth="1"/>
    <col min="13254" max="13259" width="8.875" style="2" customWidth="1"/>
    <col min="13260" max="13260" width="20.04296875" style="2" customWidth="1"/>
    <col min="13261" max="13271" width="8.875" style="2" customWidth="1"/>
    <col min="13272" max="13272" width="15.73828125" style="2" customWidth="1"/>
    <col min="13273" max="13311" width="8.875" style="2" customWidth="1"/>
    <col min="13312" max="13323" width="9.14453125" style="2" customWidth="1"/>
    <col min="13324" max="13504" width="8.875" style="2"/>
    <col min="13505" max="13506" width="8.875" style="2" customWidth="1"/>
    <col min="13507" max="13507" width="16.140625" style="2" customWidth="1"/>
    <col min="13508" max="13508" width="68.73828125" style="2" customWidth="1"/>
    <col min="13509" max="13509" width="24.48046875" style="2" customWidth="1"/>
    <col min="13510" max="13515" width="8.875" style="2" customWidth="1"/>
    <col min="13516" max="13516" width="20.04296875" style="2" customWidth="1"/>
    <col min="13517" max="13527" width="8.875" style="2" customWidth="1"/>
    <col min="13528" max="13528" width="15.73828125" style="2" customWidth="1"/>
    <col min="13529" max="13567" width="8.875" style="2" customWidth="1"/>
    <col min="13568" max="13579" width="9.14453125" style="2" customWidth="1"/>
    <col min="13580" max="13760" width="8.875" style="2"/>
    <col min="13761" max="13762" width="8.875" style="2" customWidth="1"/>
    <col min="13763" max="13763" width="16.140625" style="2" customWidth="1"/>
    <col min="13764" max="13764" width="68.73828125" style="2" customWidth="1"/>
    <col min="13765" max="13765" width="24.48046875" style="2" customWidth="1"/>
    <col min="13766" max="13771" width="8.875" style="2" customWidth="1"/>
    <col min="13772" max="13772" width="20.04296875" style="2" customWidth="1"/>
    <col min="13773" max="13783" width="8.875" style="2" customWidth="1"/>
    <col min="13784" max="13784" width="15.73828125" style="2" customWidth="1"/>
    <col min="13785" max="13823" width="8.875" style="2" customWidth="1"/>
    <col min="13824" max="13835" width="9.14453125" style="2" customWidth="1"/>
    <col min="13836" max="14016" width="8.875" style="2"/>
    <col min="14017" max="14018" width="8.875" style="2" customWidth="1"/>
    <col min="14019" max="14019" width="16.140625" style="2" customWidth="1"/>
    <col min="14020" max="14020" width="68.73828125" style="2" customWidth="1"/>
    <col min="14021" max="14021" width="24.48046875" style="2" customWidth="1"/>
    <col min="14022" max="14027" width="8.875" style="2" customWidth="1"/>
    <col min="14028" max="14028" width="20.04296875" style="2" customWidth="1"/>
    <col min="14029" max="14039" width="8.875" style="2" customWidth="1"/>
    <col min="14040" max="14040" width="15.73828125" style="2" customWidth="1"/>
    <col min="14041" max="14079" width="8.875" style="2" customWidth="1"/>
    <col min="14080" max="14091" width="9.14453125" style="2" customWidth="1"/>
    <col min="14092" max="14272" width="8.875" style="2"/>
    <col min="14273" max="14274" width="8.875" style="2" customWidth="1"/>
    <col min="14275" max="14275" width="16.140625" style="2" customWidth="1"/>
    <col min="14276" max="14276" width="68.73828125" style="2" customWidth="1"/>
    <col min="14277" max="14277" width="24.48046875" style="2" customWidth="1"/>
    <col min="14278" max="14283" width="8.875" style="2" customWidth="1"/>
    <col min="14284" max="14284" width="20.04296875" style="2" customWidth="1"/>
    <col min="14285" max="14295" width="8.875" style="2" customWidth="1"/>
    <col min="14296" max="14296" width="15.73828125" style="2" customWidth="1"/>
    <col min="14297" max="14335" width="8.875" style="2" customWidth="1"/>
    <col min="14336" max="14347" width="9.14453125" style="2" customWidth="1"/>
    <col min="14348" max="14528" width="8.875" style="2"/>
    <col min="14529" max="14530" width="8.875" style="2" customWidth="1"/>
    <col min="14531" max="14531" width="16.140625" style="2" customWidth="1"/>
    <col min="14532" max="14532" width="68.73828125" style="2" customWidth="1"/>
    <col min="14533" max="14533" width="24.48046875" style="2" customWidth="1"/>
    <col min="14534" max="14539" width="8.875" style="2" customWidth="1"/>
    <col min="14540" max="14540" width="20.04296875" style="2" customWidth="1"/>
    <col min="14541" max="14551" width="8.875" style="2" customWidth="1"/>
    <col min="14552" max="14552" width="15.73828125" style="2" customWidth="1"/>
    <col min="14553" max="14591" width="8.875" style="2" customWidth="1"/>
    <col min="14592" max="14603" width="9.14453125" style="2" customWidth="1"/>
    <col min="14604" max="14784" width="8.875" style="2"/>
    <col min="14785" max="14786" width="8.875" style="2" customWidth="1"/>
    <col min="14787" max="14787" width="16.140625" style="2" customWidth="1"/>
    <col min="14788" max="14788" width="68.73828125" style="2" customWidth="1"/>
    <col min="14789" max="14789" width="24.48046875" style="2" customWidth="1"/>
    <col min="14790" max="14795" width="8.875" style="2" customWidth="1"/>
    <col min="14796" max="14796" width="20.04296875" style="2" customWidth="1"/>
    <col min="14797" max="14807" width="8.875" style="2" customWidth="1"/>
    <col min="14808" max="14808" width="15.73828125" style="2" customWidth="1"/>
    <col min="14809" max="14847" width="8.875" style="2" customWidth="1"/>
    <col min="14848" max="14859" width="9.14453125" style="2" customWidth="1"/>
    <col min="14860" max="15040" width="8.875" style="2"/>
    <col min="15041" max="15042" width="8.875" style="2" customWidth="1"/>
    <col min="15043" max="15043" width="16.140625" style="2" customWidth="1"/>
    <col min="15044" max="15044" width="68.73828125" style="2" customWidth="1"/>
    <col min="15045" max="15045" width="24.48046875" style="2" customWidth="1"/>
    <col min="15046" max="15051" width="8.875" style="2" customWidth="1"/>
    <col min="15052" max="15052" width="20.04296875" style="2" customWidth="1"/>
    <col min="15053" max="15063" width="8.875" style="2" customWidth="1"/>
    <col min="15064" max="15064" width="15.73828125" style="2" customWidth="1"/>
    <col min="15065" max="15103" width="8.875" style="2" customWidth="1"/>
    <col min="15104" max="15115" width="9.14453125" style="2" customWidth="1"/>
    <col min="15116" max="15296" width="8.875" style="2"/>
    <col min="15297" max="15298" width="8.875" style="2" customWidth="1"/>
    <col min="15299" max="15299" width="16.140625" style="2" customWidth="1"/>
    <col min="15300" max="15300" width="68.73828125" style="2" customWidth="1"/>
    <col min="15301" max="15301" width="24.48046875" style="2" customWidth="1"/>
    <col min="15302" max="15307" width="8.875" style="2" customWidth="1"/>
    <col min="15308" max="15308" width="20.04296875" style="2" customWidth="1"/>
    <col min="15309" max="15319" width="8.875" style="2" customWidth="1"/>
    <col min="15320" max="15320" width="15.73828125" style="2" customWidth="1"/>
    <col min="15321" max="15359" width="8.875" style="2" customWidth="1"/>
    <col min="15360" max="15371" width="9.14453125" style="2" customWidth="1"/>
    <col min="15372" max="15552" width="8.875" style="2"/>
    <col min="15553" max="15554" width="8.875" style="2" customWidth="1"/>
    <col min="15555" max="15555" width="16.140625" style="2" customWidth="1"/>
    <col min="15556" max="15556" width="68.73828125" style="2" customWidth="1"/>
    <col min="15557" max="15557" width="24.48046875" style="2" customWidth="1"/>
    <col min="15558" max="15563" width="8.875" style="2" customWidth="1"/>
    <col min="15564" max="15564" width="20.04296875" style="2" customWidth="1"/>
    <col min="15565" max="15575" width="8.875" style="2" customWidth="1"/>
    <col min="15576" max="15576" width="15.73828125" style="2" customWidth="1"/>
    <col min="15577" max="15615" width="8.875" style="2" customWidth="1"/>
    <col min="15616" max="15627" width="9.14453125" style="2" customWidth="1"/>
    <col min="15628" max="15808" width="8.875" style="2"/>
    <col min="15809" max="15810" width="8.875" style="2" customWidth="1"/>
    <col min="15811" max="15811" width="16.140625" style="2" customWidth="1"/>
    <col min="15812" max="15812" width="68.73828125" style="2" customWidth="1"/>
    <col min="15813" max="15813" width="24.48046875" style="2" customWidth="1"/>
    <col min="15814" max="15819" width="8.875" style="2" customWidth="1"/>
    <col min="15820" max="15820" width="20.04296875" style="2" customWidth="1"/>
    <col min="15821" max="15831" width="8.875" style="2" customWidth="1"/>
    <col min="15832" max="15832" width="15.73828125" style="2" customWidth="1"/>
    <col min="15833" max="15871" width="8.875" style="2" customWidth="1"/>
    <col min="15872" max="15883" width="9.14453125" style="2" customWidth="1"/>
    <col min="15884" max="16064" width="8.875" style="2"/>
    <col min="16065" max="16066" width="8.875" style="2" customWidth="1"/>
    <col min="16067" max="16067" width="16.140625" style="2" customWidth="1"/>
    <col min="16068" max="16068" width="68.73828125" style="2" customWidth="1"/>
    <col min="16069" max="16069" width="24.48046875" style="2" customWidth="1"/>
    <col min="16070" max="16075" width="8.875" style="2" customWidth="1"/>
    <col min="16076" max="16076" width="20.04296875" style="2" customWidth="1"/>
    <col min="16077" max="16087" width="8.875" style="2" customWidth="1"/>
    <col min="16088" max="16088" width="15.73828125" style="2" customWidth="1"/>
    <col min="16089" max="16127" width="8.875" style="2" customWidth="1"/>
    <col min="16128" max="16139" width="9.14453125" style="2" customWidth="1"/>
    <col min="16140" max="16384" width="8.875" style="2"/>
  </cols>
  <sheetData>
    <row r="1" spans="1:10" x14ac:dyDescent="0.25">
      <c r="A1" s="1"/>
    </row>
    <row r="2" spans="1:10" x14ac:dyDescent="0.25">
      <c r="A2" s="4"/>
      <c r="B2" s="5" t="s">
        <v>0</v>
      </c>
      <c r="C2" s="6"/>
      <c r="D2" s="6"/>
      <c r="E2" s="6"/>
    </row>
    <row r="3" spans="1:10" x14ac:dyDescent="0.25">
      <c r="A3" s="4"/>
      <c r="B3" s="7" t="s">
        <v>1</v>
      </c>
      <c r="C3" s="52" t="s">
        <v>2</v>
      </c>
      <c r="D3" s="53"/>
      <c r="E3" s="54"/>
    </row>
    <row r="4" spans="1:10" x14ac:dyDescent="0.25">
      <c r="A4" s="4"/>
      <c r="B4" s="5" t="s">
        <v>62</v>
      </c>
      <c r="C4" s="6"/>
      <c r="D4" s="5"/>
      <c r="E4" s="6"/>
    </row>
    <row r="5" spans="1:10" ht="10.9" customHeight="1" x14ac:dyDescent="0.25">
      <c r="A5" s="4"/>
      <c r="B5" s="6"/>
      <c r="C5" s="8"/>
      <c r="D5" s="5"/>
      <c r="E5" s="6"/>
    </row>
    <row r="6" spans="1:10" x14ac:dyDescent="0.25">
      <c r="A6" s="9"/>
      <c r="B6" s="10" t="s">
        <v>3</v>
      </c>
      <c r="C6" s="5" t="s">
        <v>4</v>
      </c>
      <c r="D6" s="5" t="s">
        <v>5</v>
      </c>
      <c r="E6" s="11" t="s">
        <v>6</v>
      </c>
    </row>
    <row r="7" spans="1:10" x14ac:dyDescent="0.25">
      <c r="A7" s="5" t="s">
        <v>7</v>
      </c>
      <c r="B7" s="5"/>
      <c r="C7" s="5" t="s">
        <v>8</v>
      </c>
      <c r="D7" s="5" t="s">
        <v>9</v>
      </c>
      <c r="E7" s="5" t="s">
        <v>9</v>
      </c>
    </row>
    <row r="8" spans="1:10" ht="9.6" customHeight="1" x14ac:dyDescent="0.25">
      <c r="A8" s="12"/>
      <c r="B8" s="12" t="s">
        <v>10</v>
      </c>
      <c r="C8" s="12"/>
      <c r="D8" s="13"/>
      <c r="E8" s="12"/>
    </row>
    <row r="9" spans="1:10" ht="25.9" customHeight="1" x14ac:dyDescent="0.25">
      <c r="A9" s="14"/>
      <c r="B9" s="15" t="s">
        <v>11</v>
      </c>
      <c r="C9" s="15"/>
      <c r="D9" s="15"/>
      <c r="E9" s="15"/>
      <c r="J9" s="2" t="s">
        <v>12</v>
      </c>
    </row>
    <row r="10" spans="1:10" ht="14.45" customHeight="1" x14ac:dyDescent="0.25">
      <c r="A10" s="16"/>
      <c r="B10" s="17"/>
      <c r="C10" s="17"/>
      <c r="D10" s="18"/>
      <c r="E10" s="17"/>
    </row>
    <row r="11" spans="1:10" ht="25.9" customHeight="1" x14ac:dyDescent="0.25">
      <c r="A11" s="19" t="s">
        <v>13</v>
      </c>
      <c r="B11" s="2" t="s">
        <v>14</v>
      </c>
      <c r="C11" s="2">
        <v>55817500</v>
      </c>
      <c r="D11" s="20">
        <v>25147438</v>
      </c>
      <c r="E11" s="21">
        <f t="shared" ref="E11:E58" si="0">D11/C11*100</f>
        <v>45.052963676266408</v>
      </c>
    </row>
    <row r="12" spans="1:10" ht="25.9" customHeight="1" x14ac:dyDescent="0.25">
      <c r="A12" s="19" t="s">
        <v>15</v>
      </c>
      <c r="B12" s="2" t="s">
        <v>16</v>
      </c>
      <c r="C12" s="2">
        <v>300000</v>
      </c>
      <c r="D12" s="20">
        <v>117548</v>
      </c>
      <c r="E12" s="21">
        <f t="shared" si="0"/>
        <v>39.182666666666663</v>
      </c>
    </row>
    <row r="13" spans="1:10" ht="25.9" customHeight="1" x14ac:dyDescent="0.25">
      <c r="A13" s="19" t="s">
        <v>17</v>
      </c>
      <c r="B13" s="2" t="s">
        <v>18</v>
      </c>
      <c r="C13" s="2">
        <v>30000</v>
      </c>
      <c r="D13" s="20">
        <v>1210</v>
      </c>
      <c r="E13" s="21">
        <f t="shared" si="0"/>
        <v>4.0333333333333332</v>
      </c>
    </row>
    <row r="14" spans="1:10" ht="25.9" customHeight="1" x14ac:dyDescent="0.25">
      <c r="A14" s="19" t="s">
        <v>19</v>
      </c>
      <c r="B14" s="2" t="s">
        <v>20</v>
      </c>
      <c r="C14" s="2">
        <v>1000000</v>
      </c>
      <c r="D14" s="20">
        <v>92571</v>
      </c>
      <c r="E14" s="21">
        <f t="shared" si="0"/>
        <v>9.2570999999999994</v>
      </c>
    </row>
    <row r="15" spans="1:10" ht="25.9" customHeight="1" x14ac:dyDescent="0.25">
      <c r="A15" s="19" t="s">
        <v>21</v>
      </c>
      <c r="B15" s="2" t="s">
        <v>22</v>
      </c>
      <c r="C15" s="2">
        <v>470000</v>
      </c>
      <c r="D15" s="20">
        <v>76753</v>
      </c>
      <c r="E15" s="21">
        <f t="shared" si="0"/>
        <v>16.330425531914894</v>
      </c>
    </row>
    <row r="16" spans="1:10" ht="25.9" customHeight="1" x14ac:dyDescent="0.25">
      <c r="A16" s="22">
        <v>11</v>
      </c>
      <c r="B16" s="2" t="s">
        <v>23</v>
      </c>
      <c r="C16" s="2">
        <v>1100000</v>
      </c>
      <c r="D16" s="20">
        <v>163184</v>
      </c>
      <c r="E16" s="21">
        <f t="shared" si="0"/>
        <v>14.83490909090909</v>
      </c>
    </row>
    <row r="17" spans="1:5" ht="25.9" customHeight="1" x14ac:dyDescent="0.25">
      <c r="A17" s="22">
        <v>12</v>
      </c>
      <c r="B17" s="2" t="s">
        <v>24</v>
      </c>
      <c r="C17" s="2">
        <f>SUM('[1]Actual Expenditure 2018-19'!E21)+('[1]Actual Expenditure 2018-19'!E48)+('[1]Actual Expenditure 2018-19'!E88)+('[1]Actual Expenditure 2018-19'!E119)+('[1]Actual Expenditure 2018-19'!E139)+('[1]Actual Expenditure 2018-19'!E183)+('[1]Actual Expenditure 2018-19'!E204)+('[1]Actual Expenditure 2018-19'!E228)+('[1]Actual Expenditure 2018-19'!E247)+('[1]Actual Expenditure 2018-19'!E269)+('[1]Actual Expenditure 2018-19'!E322)+('[1]Actual Expenditure 2018-19'!E336)+('[1]Actual Expenditure 2018-19'!E361)+('[1]Actual Expenditure 2018-19'!E410)</f>
        <v>55000</v>
      </c>
      <c r="D17" s="20">
        <v>677</v>
      </c>
      <c r="E17" s="21">
        <f t="shared" si="0"/>
        <v>1.230909090909091</v>
      </c>
    </row>
    <row r="18" spans="1:5" ht="25.9" customHeight="1" x14ac:dyDescent="0.25">
      <c r="A18" s="22">
        <v>13</v>
      </c>
      <c r="B18" s="2" t="s">
        <v>25</v>
      </c>
      <c r="C18" s="2">
        <v>6552500</v>
      </c>
      <c r="D18" s="20">
        <v>2088869</v>
      </c>
      <c r="E18" s="21">
        <f t="shared" si="0"/>
        <v>31.878962228157192</v>
      </c>
    </row>
    <row r="19" spans="1:5" ht="25.9" customHeight="1" x14ac:dyDescent="0.25">
      <c r="A19" s="22">
        <v>14</v>
      </c>
      <c r="B19" s="2" t="s">
        <v>26</v>
      </c>
      <c r="C19" s="2">
        <v>3990000</v>
      </c>
      <c r="D19" s="20">
        <v>1188576</v>
      </c>
      <c r="E19" s="21">
        <f t="shared" si="0"/>
        <v>29.788872180451126</v>
      </c>
    </row>
    <row r="20" spans="1:5" ht="25.9" customHeight="1" x14ac:dyDescent="0.25">
      <c r="A20" s="22">
        <v>16</v>
      </c>
      <c r="B20" s="2" t="s">
        <v>27</v>
      </c>
      <c r="C20" s="2">
        <v>30000</v>
      </c>
      <c r="D20" s="20">
        <v>1763</v>
      </c>
      <c r="E20" s="21">
        <f t="shared" si="0"/>
        <v>5.8766666666666669</v>
      </c>
    </row>
    <row r="21" spans="1:5" ht="25.9" customHeight="1" x14ac:dyDescent="0.25">
      <c r="A21" s="22">
        <v>20</v>
      </c>
      <c r="B21" s="2" t="s">
        <v>28</v>
      </c>
      <c r="C21" s="2">
        <v>300000</v>
      </c>
      <c r="D21" s="20">
        <v>18670</v>
      </c>
      <c r="E21" s="21">
        <f t="shared" si="0"/>
        <v>6.2233333333333336</v>
      </c>
    </row>
    <row r="22" spans="1:5" ht="25.9" customHeight="1" x14ac:dyDescent="0.25">
      <c r="A22" s="22">
        <v>26</v>
      </c>
      <c r="B22" s="2" t="s">
        <v>29</v>
      </c>
      <c r="C22" s="2">
        <v>1050000</v>
      </c>
      <c r="D22" s="20">
        <v>71025</v>
      </c>
      <c r="E22" s="21">
        <f t="shared" si="0"/>
        <v>6.7642857142857142</v>
      </c>
    </row>
    <row r="23" spans="1:5" ht="25.9" customHeight="1" x14ac:dyDescent="0.25">
      <c r="A23" s="22">
        <v>27</v>
      </c>
      <c r="B23" s="2" t="s">
        <v>30</v>
      </c>
      <c r="C23" s="2">
        <v>950000</v>
      </c>
      <c r="D23" s="20">
        <v>19293</v>
      </c>
      <c r="E23" s="21">
        <f t="shared" si="0"/>
        <v>2.030842105263158</v>
      </c>
    </row>
    <row r="24" spans="1:5" ht="25.9" customHeight="1" x14ac:dyDescent="0.25">
      <c r="A24" s="22">
        <v>28</v>
      </c>
      <c r="B24" s="2" t="s">
        <v>31</v>
      </c>
      <c r="C24" s="2">
        <v>500000</v>
      </c>
      <c r="D24" s="20">
        <v>71941</v>
      </c>
      <c r="E24" s="21">
        <f t="shared" si="0"/>
        <v>14.388200000000001</v>
      </c>
    </row>
    <row r="25" spans="1:5" ht="25.9" customHeight="1" x14ac:dyDescent="0.25">
      <c r="A25" s="22">
        <v>31</v>
      </c>
      <c r="B25" s="2" t="s">
        <v>32</v>
      </c>
      <c r="C25" s="2">
        <v>1500</v>
      </c>
      <c r="D25" s="3">
        <v>3</v>
      </c>
      <c r="E25" s="21">
        <f t="shared" si="0"/>
        <v>0.2</v>
      </c>
    </row>
    <row r="26" spans="1:5" ht="25.9" customHeight="1" x14ac:dyDescent="0.25">
      <c r="A26" s="22">
        <v>41</v>
      </c>
      <c r="B26" s="2" t="s">
        <v>33</v>
      </c>
      <c r="C26" s="2">
        <v>180000</v>
      </c>
      <c r="D26" s="20">
        <v>79048</v>
      </c>
      <c r="E26" s="21">
        <f t="shared" si="0"/>
        <v>43.915555555555557</v>
      </c>
    </row>
    <row r="27" spans="1:5" ht="25.9" customHeight="1" x14ac:dyDescent="0.25">
      <c r="A27" s="22">
        <v>50</v>
      </c>
      <c r="B27" s="2" t="s">
        <v>34</v>
      </c>
      <c r="E27" s="21"/>
    </row>
    <row r="28" spans="1:5" ht="25.9" customHeight="1" x14ac:dyDescent="0.25">
      <c r="A28" s="22"/>
      <c r="B28" s="2" t="s">
        <v>35</v>
      </c>
      <c r="C28" s="2">
        <f>SUM('[1]Actual Expenditure 2018-19'!E466)</f>
        <v>5000</v>
      </c>
      <c r="D28" s="20">
        <v>0</v>
      </c>
      <c r="E28" s="21">
        <f t="shared" si="0"/>
        <v>0</v>
      </c>
    </row>
    <row r="29" spans="1:5" ht="25.9" customHeight="1" x14ac:dyDescent="0.25">
      <c r="A29" s="22"/>
      <c r="B29" s="2" t="s">
        <v>36</v>
      </c>
      <c r="C29" s="2">
        <v>63500</v>
      </c>
      <c r="D29" s="20">
        <v>10891</v>
      </c>
      <c r="E29" s="21">
        <f t="shared" si="0"/>
        <v>17.151181102362205</v>
      </c>
    </row>
    <row r="30" spans="1:5" ht="25.9" customHeight="1" x14ac:dyDescent="0.25">
      <c r="A30" s="22">
        <v>63</v>
      </c>
      <c r="B30" s="2" t="s">
        <v>37</v>
      </c>
      <c r="C30" s="2">
        <v>100000</v>
      </c>
      <c r="D30" s="3">
        <v>0</v>
      </c>
      <c r="E30" s="21">
        <f t="shared" si="0"/>
        <v>0</v>
      </c>
    </row>
    <row r="31" spans="1:5" ht="25.9" customHeight="1" x14ac:dyDescent="0.25">
      <c r="A31" s="22">
        <v>96</v>
      </c>
      <c r="B31" s="2" t="s">
        <v>38</v>
      </c>
      <c r="E31" s="21"/>
    </row>
    <row r="32" spans="1:5" ht="25.9" customHeight="1" x14ac:dyDescent="0.25">
      <c r="A32" s="22"/>
      <c r="B32" s="2" t="s">
        <v>39</v>
      </c>
      <c r="C32" s="2">
        <v>600000</v>
      </c>
      <c r="D32" s="3">
        <v>43971</v>
      </c>
      <c r="E32" s="21">
        <f t="shared" si="0"/>
        <v>7.3285</v>
      </c>
    </row>
    <row r="33" spans="1:5" ht="25.9" customHeight="1" x14ac:dyDescent="0.25">
      <c r="A33" s="22">
        <v>99</v>
      </c>
      <c r="B33" s="2" t="s">
        <v>40</v>
      </c>
      <c r="E33" s="21"/>
    </row>
    <row r="34" spans="1:5" ht="25.9" customHeight="1" x14ac:dyDescent="0.25">
      <c r="A34" s="22"/>
      <c r="B34" s="2" t="s">
        <v>39</v>
      </c>
      <c r="C34" s="2">
        <v>5110000</v>
      </c>
      <c r="D34" s="3">
        <v>1229410</v>
      </c>
      <c r="E34" s="21">
        <f t="shared" si="0"/>
        <v>24.05890410958904</v>
      </c>
    </row>
    <row r="35" spans="1:5" ht="25.9" customHeight="1" x14ac:dyDescent="0.25">
      <c r="A35" s="22"/>
      <c r="B35" s="2" t="s">
        <v>41</v>
      </c>
      <c r="C35" s="2">
        <v>0</v>
      </c>
      <c r="D35" s="20">
        <v>0</v>
      </c>
      <c r="E35" s="21">
        <v>0</v>
      </c>
    </row>
    <row r="36" spans="1:5" ht="25.9" customHeight="1" x14ac:dyDescent="0.25">
      <c r="A36" s="22"/>
      <c r="E36" s="21"/>
    </row>
    <row r="37" spans="1:5" ht="25.9" customHeight="1" x14ac:dyDescent="0.25">
      <c r="A37" s="23"/>
      <c r="B37" s="14" t="s">
        <v>42</v>
      </c>
      <c r="C37" s="24">
        <f>SUM(C11:C35)</f>
        <v>78205000</v>
      </c>
      <c r="D37" s="24">
        <f>SUM(D11:D35)</f>
        <v>30422841</v>
      </c>
      <c r="E37" s="25">
        <f t="shared" si="0"/>
        <v>38.901401444920403</v>
      </c>
    </row>
    <row r="38" spans="1:5" ht="25.9" customHeight="1" x14ac:dyDescent="0.25">
      <c r="A38" s="23"/>
      <c r="B38" s="14" t="s">
        <v>43</v>
      </c>
      <c r="C38" s="14">
        <f>SUM(C28)</f>
        <v>5000</v>
      </c>
      <c r="D38" s="14">
        <f t="shared" ref="D38" si="1">SUM(D28)</f>
        <v>0</v>
      </c>
      <c r="E38" s="26">
        <f t="shared" si="0"/>
        <v>0</v>
      </c>
    </row>
    <row r="39" spans="1:5" ht="25.9" customHeight="1" x14ac:dyDescent="0.25">
      <c r="A39" s="23"/>
      <c r="B39" s="14" t="s">
        <v>44</v>
      </c>
      <c r="C39" s="24">
        <f>SUM(C37-C38)</f>
        <v>78200000</v>
      </c>
      <c r="D39" s="24">
        <f t="shared" ref="D39" si="2">SUM(D37-D38)</f>
        <v>30422841</v>
      </c>
      <c r="E39" s="25">
        <f t="shared" si="0"/>
        <v>38.903888746803069</v>
      </c>
    </row>
    <row r="40" spans="1:5" ht="12" customHeight="1" x14ac:dyDescent="0.25">
      <c r="A40" s="22"/>
      <c r="E40" s="21"/>
    </row>
    <row r="41" spans="1:5" ht="25.9" customHeight="1" x14ac:dyDescent="0.25">
      <c r="A41" s="23"/>
      <c r="B41" s="24" t="s">
        <v>45</v>
      </c>
      <c r="C41" s="14"/>
      <c r="D41" s="14"/>
      <c r="E41" s="26"/>
    </row>
    <row r="42" spans="1:5" ht="13.15" customHeight="1" x14ac:dyDescent="0.25">
      <c r="A42" s="22"/>
      <c r="E42" s="21"/>
    </row>
    <row r="43" spans="1:5" ht="25.9" customHeight="1" x14ac:dyDescent="0.25">
      <c r="A43" s="22"/>
      <c r="B43" s="17" t="s">
        <v>46</v>
      </c>
      <c r="E43" s="21"/>
    </row>
    <row r="44" spans="1:5" ht="25.9" customHeight="1" x14ac:dyDescent="0.25">
      <c r="A44" s="22">
        <v>54</v>
      </c>
      <c r="B44" s="2" t="s">
        <v>47</v>
      </c>
      <c r="C44" s="2">
        <v>0</v>
      </c>
      <c r="D44" s="3">
        <f>SUM('[1]Actual Expenditure 2018-19'!L477)</f>
        <v>0</v>
      </c>
      <c r="E44" s="21">
        <v>0</v>
      </c>
    </row>
    <row r="45" spans="1:5" ht="25.9" customHeight="1" x14ac:dyDescent="0.25">
      <c r="A45" s="19">
        <v>54</v>
      </c>
      <c r="B45" s="2" t="s">
        <v>48</v>
      </c>
      <c r="C45" s="2">
        <v>1050000</v>
      </c>
      <c r="D45" s="3">
        <f>SUM('[1]Actual Expenditure 2018-19'!L480)</f>
        <v>0</v>
      </c>
      <c r="E45" s="21">
        <f t="shared" si="0"/>
        <v>0</v>
      </c>
    </row>
    <row r="46" spans="1:5" ht="25.9" customHeight="1" x14ac:dyDescent="0.25">
      <c r="A46" s="27"/>
      <c r="B46" s="17" t="s">
        <v>49</v>
      </c>
      <c r="C46" s="17">
        <f>SUM(C44:C45)</f>
        <v>1050000</v>
      </c>
      <c r="D46" s="18">
        <f>SUM(D44:D45)</f>
        <v>0</v>
      </c>
      <c r="E46" s="28">
        <f t="shared" si="0"/>
        <v>0</v>
      </c>
    </row>
    <row r="47" spans="1:5" ht="25.9" customHeight="1" x14ac:dyDescent="0.25">
      <c r="A47" s="27"/>
      <c r="E47" s="21"/>
    </row>
    <row r="48" spans="1:5" ht="25.9" customHeight="1" x14ac:dyDescent="0.25">
      <c r="A48" s="29"/>
      <c r="B48" s="17" t="s">
        <v>50</v>
      </c>
      <c r="C48" s="2">
        <v>1500000</v>
      </c>
      <c r="D48" s="3">
        <v>0</v>
      </c>
      <c r="E48" s="21">
        <f t="shared" si="0"/>
        <v>0</v>
      </c>
    </row>
    <row r="49" spans="1:6" ht="25.9" customHeight="1" x14ac:dyDescent="0.25">
      <c r="A49" s="29"/>
      <c r="E49" s="21"/>
    </row>
    <row r="50" spans="1:6" ht="25.9" customHeight="1" x14ac:dyDescent="0.25">
      <c r="A50" s="29"/>
      <c r="B50" s="17" t="s">
        <v>51</v>
      </c>
      <c r="C50" s="2">
        <v>1830000</v>
      </c>
      <c r="D50" s="3">
        <v>98041</v>
      </c>
      <c r="E50" s="21">
        <f t="shared" si="0"/>
        <v>5.3574316939890707</v>
      </c>
    </row>
    <row r="51" spans="1:6" ht="25.9" customHeight="1" x14ac:dyDescent="0.25">
      <c r="A51" s="29"/>
      <c r="C51" s="30"/>
      <c r="D51" s="31"/>
      <c r="E51" s="21"/>
    </row>
    <row r="52" spans="1:6" ht="25.9" customHeight="1" x14ac:dyDescent="0.25">
      <c r="A52" s="32"/>
      <c r="B52" s="24" t="s">
        <v>52</v>
      </c>
      <c r="C52" s="24">
        <f>SUM(C46:C50)</f>
        <v>4380000</v>
      </c>
      <c r="D52" s="24">
        <f>SUM(D46:D50)</f>
        <v>98041</v>
      </c>
      <c r="E52" s="25">
        <f t="shared" si="0"/>
        <v>2.2383789954337896</v>
      </c>
    </row>
    <row r="53" spans="1:6" ht="25.9" customHeight="1" x14ac:dyDescent="0.25">
      <c r="A53" s="1"/>
      <c r="E53" s="21"/>
    </row>
    <row r="54" spans="1:6" ht="25.9" customHeight="1" x14ac:dyDescent="0.25">
      <c r="A54" s="30"/>
      <c r="B54" s="30"/>
      <c r="E54" s="21"/>
    </row>
    <row r="55" spans="1:6" ht="25.9" customHeight="1" x14ac:dyDescent="0.25">
      <c r="A55" s="22"/>
      <c r="E55" s="21"/>
      <c r="F55" s="2" t="s">
        <v>53</v>
      </c>
    </row>
    <row r="56" spans="1:6" ht="25.9" customHeight="1" x14ac:dyDescent="0.25">
      <c r="A56" s="32"/>
      <c r="B56" s="24" t="s">
        <v>54</v>
      </c>
      <c r="C56" s="24">
        <f>SUM(C37+C52)</f>
        <v>82585000</v>
      </c>
      <c r="D56" s="24">
        <f>SUM(D37+D52)</f>
        <v>30520882</v>
      </c>
      <c r="E56" s="25">
        <f t="shared" si="0"/>
        <v>36.956931646182724</v>
      </c>
    </row>
    <row r="57" spans="1:6" ht="25.9" customHeight="1" x14ac:dyDescent="0.25">
      <c r="A57" s="32"/>
      <c r="B57" s="14" t="s">
        <v>55</v>
      </c>
      <c r="C57" s="14">
        <f>SUM(C38)</f>
        <v>5000</v>
      </c>
      <c r="D57" s="14">
        <f>SUM(D38)</f>
        <v>0</v>
      </c>
      <c r="E57" s="26">
        <f t="shared" si="0"/>
        <v>0</v>
      </c>
    </row>
    <row r="58" spans="1:6" ht="25.9" customHeight="1" x14ac:dyDescent="0.25">
      <c r="A58" s="32"/>
      <c r="B58" s="24" t="s">
        <v>44</v>
      </c>
      <c r="C58" s="24">
        <f t="shared" ref="C58:D58" si="3">SUM(C56-C57)</f>
        <v>82580000</v>
      </c>
      <c r="D58" s="24">
        <f t="shared" si="3"/>
        <v>30520882</v>
      </c>
      <c r="E58" s="25">
        <f t="shared" si="0"/>
        <v>36.959169290385077</v>
      </c>
    </row>
    <row r="59" spans="1:6" ht="25.9" customHeight="1" x14ac:dyDescent="0.25">
      <c r="A59" s="1"/>
      <c r="C59" s="33"/>
      <c r="D59" s="34"/>
      <c r="E59" s="21"/>
    </row>
    <row r="60" spans="1:6" ht="25.9" customHeight="1" x14ac:dyDescent="0.25">
      <c r="A60" s="1"/>
      <c r="B60" s="2" t="s">
        <v>56</v>
      </c>
      <c r="C60" s="33"/>
      <c r="D60" s="34">
        <v>0</v>
      </c>
      <c r="E60" s="21"/>
    </row>
    <row r="61" spans="1:6" ht="25.9" customHeight="1" x14ac:dyDescent="0.25">
      <c r="A61" s="1"/>
      <c r="B61" s="2" t="s">
        <v>57</v>
      </c>
      <c r="C61" s="33"/>
      <c r="D61" s="34">
        <v>0</v>
      </c>
      <c r="E61" s="21"/>
    </row>
    <row r="62" spans="1:6" ht="25.9" customHeight="1" thickBot="1" x14ac:dyDescent="0.3">
      <c r="A62" s="35"/>
      <c r="B62" s="36"/>
      <c r="C62" s="37"/>
      <c r="D62" s="38" t="s">
        <v>58</v>
      </c>
      <c r="E62" s="39"/>
    </row>
    <row r="63" spans="1:6" x14ac:dyDescent="0.25">
      <c r="A63" s="40"/>
      <c r="B63" s="41" t="s">
        <v>59</v>
      </c>
      <c r="C63" s="41">
        <f>C11</f>
        <v>55817500</v>
      </c>
      <c r="D63" s="42">
        <f>D11</f>
        <v>25147438</v>
      </c>
      <c r="E63" s="43">
        <f>D63/C63*100</f>
        <v>45.052963676266408</v>
      </c>
      <c r="F63" s="44"/>
    </row>
    <row r="64" spans="1:6" x14ac:dyDescent="0.25">
      <c r="A64" s="45"/>
      <c r="B64" s="2" t="s">
        <v>60</v>
      </c>
      <c r="C64" s="2">
        <f>C56-C11</f>
        <v>26767500</v>
      </c>
      <c r="D64" s="20">
        <f>D58-D63</f>
        <v>5373444</v>
      </c>
      <c r="E64" s="46">
        <f>D64/C64*100</f>
        <v>20.074508265620622</v>
      </c>
      <c r="F64" s="44"/>
    </row>
    <row r="65" spans="1:6" ht="23.25" thickBot="1" x14ac:dyDescent="0.3">
      <c r="A65" s="47"/>
      <c r="B65" s="48" t="s">
        <v>61</v>
      </c>
      <c r="C65" s="48">
        <f>C63+C64</f>
        <v>82585000</v>
      </c>
      <c r="D65" s="48">
        <f>D63+D64</f>
        <v>30520882</v>
      </c>
      <c r="E65" s="49">
        <f>D65/C65*100</f>
        <v>36.956931646182724</v>
      </c>
      <c r="F65" s="44"/>
    </row>
    <row r="66" spans="1:6" x14ac:dyDescent="0.25">
      <c r="A66" s="50"/>
      <c r="B66" s="50"/>
      <c r="C66" s="50"/>
      <c r="D66" s="51"/>
      <c r="E66" s="50"/>
    </row>
  </sheetData>
  <mergeCells count="1">
    <mergeCell ref="C3:E3"/>
  </mergeCells>
  <printOptions horizontalCentered="1" gridLines="1"/>
  <pageMargins left="0.51181102362204722" right="0.51181102362204722" top="0.15748031496062992" bottom="0.15748031496062992" header="0.19685039370078741" footer="0.15748031496062992"/>
  <pageSetup paperSize="9" scale="50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Upto August, 2020</vt:lpstr>
      <vt:lpstr>Upto August, 2020!Print_Area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2020-09-02T10:28:55Z</dcterms:created>
  <dcterms:modified xsi:type="dcterms:W3CDTF">2020-09-03T08:55:05Z</dcterms:modified>
</cp:coreProperties>
</file>