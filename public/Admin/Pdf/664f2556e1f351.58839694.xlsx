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2.02.2020\"/>
    </mc:Choice>
  </mc:AlternateContent>
  <xr:revisionPtr revIDLastSave="0" documentId="13_ncr:1_{365ED92A-2B35-48AB-9C51-37435AF1B66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Object Head wise Statement" sheetId="2" r:id="rId1"/>
  </sheets>
  <externalReferences>
    <externalReference r:id="rId2"/>
  </externalReferences>
  <definedNames>
    <definedName name="_xlnm.Print_Area" localSheetId="0">'Object Head wise Statement'!$C$1:$BK$77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14" i="2" l="1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30" i="2"/>
  <c r="Y31" i="2"/>
  <c r="Y34" i="2"/>
  <c r="Y36" i="2"/>
  <c r="Y37" i="2"/>
  <c r="Y52" i="2"/>
  <c r="Y55" i="2"/>
  <c r="Y13" i="2"/>
  <c r="L49" i="2"/>
  <c r="L57" i="2" s="1"/>
  <c r="L40" i="2"/>
  <c r="L62" i="2" s="1"/>
  <c r="L39" i="2"/>
  <c r="L41" i="2" l="1"/>
  <c r="L61" i="2"/>
  <c r="L63" i="2" s="1"/>
  <c r="BI77" i="2" l="1"/>
  <c r="BF77" i="2"/>
  <c r="BC77" i="2"/>
  <c r="AZ77" i="2"/>
  <c r="AX77" i="2"/>
  <c r="AV77" i="2"/>
  <c r="AT77" i="2"/>
  <c r="AR77" i="2"/>
  <c r="AP77" i="2"/>
  <c r="AN77" i="2"/>
  <c r="AL77" i="2"/>
  <c r="AJ77" i="2"/>
  <c r="V75" i="2"/>
  <c r="V77" i="2" s="1"/>
  <c r="S75" i="2"/>
  <c r="R75" i="2"/>
  <c r="Q75" i="2"/>
  <c r="P75" i="2"/>
  <c r="O75" i="2"/>
  <c r="N75" i="2"/>
  <c r="M75" i="2"/>
  <c r="K75" i="2"/>
  <c r="J75" i="2"/>
  <c r="I75" i="2"/>
  <c r="H75" i="2"/>
  <c r="G75" i="2"/>
  <c r="F75" i="2"/>
  <c r="E75" i="2"/>
  <c r="B75" i="2"/>
  <c r="A75" i="2"/>
  <c r="S72" i="2"/>
  <c r="R72" i="2"/>
  <c r="Q72" i="2"/>
  <c r="P72" i="2"/>
  <c r="O72" i="2"/>
  <c r="O77" i="2" s="1"/>
  <c r="N72" i="2"/>
  <c r="M72" i="2"/>
  <c r="K72" i="2"/>
  <c r="J72" i="2"/>
  <c r="J77" i="2" s="1"/>
  <c r="I72" i="2"/>
  <c r="H72" i="2"/>
  <c r="G72" i="2"/>
  <c r="F72" i="2"/>
  <c r="E72" i="2"/>
  <c r="S69" i="2"/>
  <c r="R69" i="2"/>
  <c r="Q69" i="2"/>
  <c r="Q77" i="2" s="1"/>
  <c r="P69" i="2"/>
  <c r="O69" i="2"/>
  <c r="N69" i="2"/>
  <c r="M77" i="2"/>
  <c r="K69" i="2"/>
  <c r="J69" i="2"/>
  <c r="I69" i="2"/>
  <c r="H69" i="2"/>
  <c r="H77" i="2" s="1"/>
  <c r="G69" i="2"/>
  <c r="F69" i="2"/>
  <c r="E69" i="2"/>
  <c r="B69" i="2"/>
  <c r="B77" i="2" s="1"/>
  <c r="A69" i="2"/>
  <c r="BK60" i="2"/>
  <c r="BJ60" i="2"/>
  <c r="BH60" i="2"/>
  <c r="BG60" i="2"/>
  <c r="BE60" i="2"/>
  <c r="BD60" i="2"/>
  <c r="BB60" i="2"/>
  <c r="BA60" i="2"/>
  <c r="AY60" i="2"/>
  <c r="AW60" i="2"/>
  <c r="AU60" i="2"/>
  <c r="AS60" i="2"/>
  <c r="AQ60" i="2"/>
  <c r="AO60" i="2"/>
  <c r="AM60" i="2"/>
  <c r="AI60" i="2"/>
  <c r="AH60" i="2"/>
  <c r="AG60" i="2"/>
  <c r="AF60" i="2"/>
  <c r="AE60" i="2"/>
  <c r="AD60" i="2"/>
  <c r="AC60" i="2"/>
  <c r="AB60" i="2"/>
  <c r="AA60" i="2"/>
  <c r="Z60" i="2"/>
  <c r="X60" i="2"/>
  <c r="W60" i="2"/>
  <c r="V60" i="2"/>
  <c r="U60" i="2"/>
  <c r="S55" i="2"/>
  <c r="R55" i="2"/>
  <c r="Q55" i="2"/>
  <c r="P55" i="2"/>
  <c r="O55" i="2"/>
  <c r="N55" i="2"/>
  <c r="K55" i="2"/>
  <c r="J55" i="2"/>
  <c r="I55" i="2"/>
  <c r="H55" i="2"/>
  <c r="G55" i="2"/>
  <c r="F55" i="2"/>
  <c r="E55" i="2"/>
  <c r="B55" i="2"/>
  <c r="BK55" i="2" s="1"/>
  <c r="A55" i="2"/>
  <c r="BJ55" i="2" s="1"/>
  <c r="S52" i="2"/>
  <c r="R52" i="2"/>
  <c r="Q52" i="2"/>
  <c r="P52" i="2"/>
  <c r="O52" i="2"/>
  <c r="N52" i="2"/>
  <c r="K52" i="2"/>
  <c r="J52" i="2"/>
  <c r="I52" i="2"/>
  <c r="H52" i="2"/>
  <c r="G52" i="2"/>
  <c r="F52" i="2"/>
  <c r="E52" i="2"/>
  <c r="B52" i="2"/>
  <c r="BK52" i="2" s="1"/>
  <c r="A52" i="2"/>
  <c r="BJ52" i="2" s="1"/>
  <c r="BI49" i="2"/>
  <c r="BF49" i="2"/>
  <c r="BF57" i="2" s="1"/>
  <c r="BC49" i="2"/>
  <c r="BC57" i="2" s="1"/>
  <c r="AZ49" i="2"/>
  <c r="AX49" i="2"/>
  <c r="AX57" i="2" s="1"/>
  <c r="AV49" i="2"/>
  <c r="AV57" i="2" s="1"/>
  <c r="AT49" i="2"/>
  <c r="AT57" i="2" s="1"/>
  <c r="AR49" i="2"/>
  <c r="AR57" i="2" s="1"/>
  <c r="AP49" i="2"/>
  <c r="AP57" i="2" s="1"/>
  <c r="AN49" i="2"/>
  <c r="AN57" i="2" s="1"/>
  <c r="AL49" i="2"/>
  <c r="AL57" i="2" s="1"/>
  <c r="AJ49" i="2"/>
  <c r="AJ57" i="2" s="1"/>
  <c r="S48" i="2"/>
  <c r="R48" i="2"/>
  <c r="Q48" i="2"/>
  <c r="P48" i="2"/>
  <c r="O48" i="2"/>
  <c r="N48" i="2"/>
  <c r="M48" i="2"/>
  <c r="Y48" i="2" s="1"/>
  <c r="K48" i="2"/>
  <c r="J48" i="2"/>
  <c r="I48" i="2"/>
  <c r="H48" i="2"/>
  <c r="G48" i="2"/>
  <c r="F48" i="2"/>
  <c r="E48" i="2"/>
  <c r="B48" i="2"/>
  <c r="BK48" i="2" s="1"/>
  <c r="A48" i="2"/>
  <c r="BJ48" i="2" s="1"/>
  <c r="S46" i="2"/>
  <c r="R46" i="2"/>
  <c r="Q46" i="2"/>
  <c r="P46" i="2"/>
  <c r="O46" i="2"/>
  <c r="N46" i="2"/>
  <c r="M46" i="2"/>
  <c r="K46" i="2"/>
  <c r="J46" i="2"/>
  <c r="W46" i="2" s="1"/>
  <c r="I46" i="2"/>
  <c r="H46" i="2"/>
  <c r="G46" i="2"/>
  <c r="F46" i="2"/>
  <c r="E46" i="2"/>
  <c r="B46" i="2"/>
  <c r="BK46" i="2" s="1"/>
  <c r="A46" i="2"/>
  <c r="BJ46" i="2" s="1"/>
  <c r="S45" i="2"/>
  <c r="R45" i="2"/>
  <c r="R49" i="2" s="1"/>
  <c r="Q45" i="2"/>
  <c r="P45" i="2"/>
  <c r="O45" i="2"/>
  <c r="N45" i="2"/>
  <c r="N49" i="2" s="1"/>
  <c r="M45" i="2"/>
  <c r="K45" i="2"/>
  <c r="J45" i="2"/>
  <c r="I45" i="2"/>
  <c r="I49" i="2" s="1"/>
  <c r="H45" i="2"/>
  <c r="H49" i="2" s="1"/>
  <c r="G45" i="2"/>
  <c r="F45" i="2"/>
  <c r="E45" i="2"/>
  <c r="E49" i="2" s="1"/>
  <c r="B45" i="2"/>
  <c r="BK45" i="2" s="1"/>
  <c r="A45" i="2"/>
  <c r="BJ45" i="2" s="1"/>
  <c r="BI40" i="2"/>
  <c r="BI62" i="2" s="1"/>
  <c r="BF40" i="2"/>
  <c r="BC40" i="2"/>
  <c r="AZ40" i="2"/>
  <c r="AZ62" i="2" s="1"/>
  <c r="AX40" i="2"/>
  <c r="AX62" i="2" s="1"/>
  <c r="AV40" i="2"/>
  <c r="AV62" i="2" s="1"/>
  <c r="AT40" i="2"/>
  <c r="AT62" i="2" s="1"/>
  <c r="AR40" i="2"/>
  <c r="AR62" i="2" s="1"/>
  <c r="AP40" i="2"/>
  <c r="AP62" i="2" s="1"/>
  <c r="AN40" i="2"/>
  <c r="AN62" i="2" s="1"/>
  <c r="AL40" i="2"/>
  <c r="AL62" i="2" s="1"/>
  <c r="AJ40" i="2"/>
  <c r="AJ62" i="2" s="1"/>
  <c r="BI39" i="2"/>
  <c r="BF39" i="2"/>
  <c r="BC39" i="2"/>
  <c r="AZ39" i="2"/>
  <c r="AX39" i="2"/>
  <c r="AX61" i="2" s="1"/>
  <c r="AV39" i="2"/>
  <c r="AT39" i="2"/>
  <c r="AT61" i="2" s="1"/>
  <c r="AR39" i="2"/>
  <c r="AP39" i="2"/>
  <c r="AP61" i="2" s="1"/>
  <c r="AN39" i="2"/>
  <c r="AL39" i="2"/>
  <c r="AL61" i="2" s="1"/>
  <c r="AJ39" i="2"/>
  <c r="S37" i="2"/>
  <c r="R37" i="2"/>
  <c r="Q37" i="2"/>
  <c r="P37" i="2"/>
  <c r="O37" i="2"/>
  <c r="N37" i="2"/>
  <c r="K37" i="2"/>
  <c r="J37" i="2"/>
  <c r="I37" i="2"/>
  <c r="H37" i="2"/>
  <c r="G37" i="2"/>
  <c r="F37" i="2"/>
  <c r="E37" i="2"/>
  <c r="B37" i="2"/>
  <c r="BH37" i="2" s="1"/>
  <c r="A37" i="2"/>
  <c r="AU37" i="2" s="1"/>
  <c r="S36" i="2"/>
  <c r="R36" i="2"/>
  <c r="Q36" i="2"/>
  <c r="P36" i="2"/>
  <c r="O36" i="2"/>
  <c r="N36" i="2"/>
  <c r="K36" i="2"/>
  <c r="J36" i="2"/>
  <c r="I36" i="2"/>
  <c r="H36" i="2"/>
  <c r="G36" i="2"/>
  <c r="F36" i="2"/>
  <c r="E36" i="2"/>
  <c r="B36" i="2"/>
  <c r="A36" i="2"/>
  <c r="AY36" i="2" s="1"/>
  <c r="N35" i="2"/>
  <c r="S34" i="2"/>
  <c r="R34" i="2"/>
  <c r="Q34" i="2"/>
  <c r="P34" i="2"/>
  <c r="O34" i="2"/>
  <c r="N34" i="2"/>
  <c r="K34" i="2"/>
  <c r="J34" i="2"/>
  <c r="I34" i="2"/>
  <c r="H34" i="2"/>
  <c r="G34" i="2"/>
  <c r="F34" i="2"/>
  <c r="E34" i="2"/>
  <c r="B34" i="2"/>
  <c r="BH34" i="2" s="1"/>
  <c r="A34" i="2"/>
  <c r="AY34" i="2" s="1"/>
  <c r="S32" i="2"/>
  <c r="R32" i="2"/>
  <c r="Q32" i="2"/>
  <c r="P32" i="2"/>
  <c r="O32" i="2"/>
  <c r="N32" i="2"/>
  <c r="K32" i="2"/>
  <c r="J32" i="2"/>
  <c r="I32" i="2"/>
  <c r="H32" i="2"/>
  <c r="G32" i="2"/>
  <c r="F32" i="2"/>
  <c r="E32" i="2"/>
  <c r="B32" i="2"/>
  <c r="BK32" i="2" s="1"/>
  <c r="A32" i="2"/>
  <c r="BG32" i="2" s="1"/>
  <c r="S31" i="2"/>
  <c r="R31" i="2"/>
  <c r="Q31" i="2"/>
  <c r="P31" i="2"/>
  <c r="O31" i="2"/>
  <c r="N31" i="2"/>
  <c r="K31" i="2"/>
  <c r="J31" i="2"/>
  <c r="I31" i="2"/>
  <c r="H31" i="2"/>
  <c r="G31" i="2"/>
  <c r="F31" i="2"/>
  <c r="AF31" i="2" s="1"/>
  <c r="E31" i="2"/>
  <c r="B31" i="2"/>
  <c r="BH31" i="2" s="1"/>
  <c r="A31" i="2"/>
  <c r="BG31" i="2" s="1"/>
  <c r="S30" i="2"/>
  <c r="S40" i="2" s="1"/>
  <c r="R30" i="2"/>
  <c r="Q30" i="2"/>
  <c r="P30" i="2"/>
  <c r="P40" i="2" s="1"/>
  <c r="O30" i="2"/>
  <c r="O40" i="2" s="1"/>
  <c r="N30" i="2"/>
  <c r="K30" i="2"/>
  <c r="K40" i="2" s="1"/>
  <c r="J30" i="2"/>
  <c r="J40" i="2" s="1"/>
  <c r="I30" i="2"/>
  <c r="H30" i="2"/>
  <c r="G30" i="2"/>
  <c r="G40" i="2" s="1"/>
  <c r="F30" i="2"/>
  <c r="F40" i="2" s="1"/>
  <c r="F62" i="2" s="1"/>
  <c r="E30" i="2"/>
  <c r="E40" i="2" s="1"/>
  <c r="E62" i="2" s="1"/>
  <c r="B30" i="2"/>
  <c r="BH30" i="2" s="1"/>
  <c r="A30" i="2"/>
  <c r="AS30" i="2" s="1"/>
  <c r="S28" i="2"/>
  <c r="R28" i="2"/>
  <c r="Q28" i="2"/>
  <c r="P28" i="2"/>
  <c r="O28" i="2"/>
  <c r="N28" i="2"/>
  <c r="K28" i="2"/>
  <c r="J28" i="2"/>
  <c r="I28" i="2"/>
  <c r="H28" i="2"/>
  <c r="G28" i="2"/>
  <c r="F28" i="2"/>
  <c r="E28" i="2"/>
  <c r="B28" i="2"/>
  <c r="BH28" i="2" s="1"/>
  <c r="A28" i="2"/>
  <c r="BG28" i="2" s="1"/>
  <c r="S27" i="2"/>
  <c r="R27" i="2"/>
  <c r="Q27" i="2"/>
  <c r="P27" i="2"/>
  <c r="O27" i="2"/>
  <c r="N27" i="2"/>
  <c r="K27" i="2"/>
  <c r="J27" i="2"/>
  <c r="I27" i="2"/>
  <c r="H27" i="2"/>
  <c r="G27" i="2"/>
  <c r="F27" i="2"/>
  <c r="AF27" i="2" s="1"/>
  <c r="E27" i="2"/>
  <c r="B27" i="2"/>
  <c r="BH27" i="2" s="1"/>
  <c r="A27" i="2"/>
  <c r="AS27" i="2" s="1"/>
  <c r="S26" i="2"/>
  <c r="R26" i="2"/>
  <c r="Q26" i="2"/>
  <c r="P26" i="2"/>
  <c r="O26" i="2"/>
  <c r="N26" i="2"/>
  <c r="K26" i="2"/>
  <c r="J26" i="2"/>
  <c r="I26" i="2"/>
  <c r="H26" i="2"/>
  <c r="G26" i="2"/>
  <c r="F26" i="2"/>
  <c r="E26" i="2"/>
  <c r="B26" i="2"/>
  <c r="BH26" i="2" s="1"/>
  <c r="A26" i="2"/>
  <c r="BG26" i="2" s="1"/>
  <c r="S25" i="2"/>
  <c r="R25" i="2"/>
  <c r="Q25" i="2"/>
  <c r="P25" i="2"/>
  <c r="O25" i="2"/>
  <c r="N25" i="2"/>
  <c r="K25" i="2"/>
  <c r="X25" i="2" s="1"/>
  <c r="J25" i="2"/>
  <c r="I25" i="2"/>
  <c r="H25" i="2"/>
  <c r="G25" i="2"/>
  <c r="F25" i="2"/>
  <c r="AF25" i="2" s="1"/>
  <c r="E25" i="2"/>
  <c r="B25" i="2"/>
  <c r="BH25" i="2" s="1"/>
  <c r="A25" i="2"/>
  <c r="AS25" i="2" s="1"/>
  <c r="S24" i="2"/>
  <c r="R24" i="2"/>
  <c r="Q24" i="2"/>
  <c r="P24" i="2"/>
  <c r="O24" i="2"/>
  <c r="N24" i="2"/>
  <c r="K24" i="2"/>
  <c r="J24" i="2"/>
  <c r="I24" i="2"/>
  <c r="H24" i="2"/>
  <c r="G24" i="2"/>
  <c r="F24" i="2"/>
  <c r="AF24" i="2" s="1"/>
  <c r="E24" i="2"/>
  <c r="B24" i="2"/>
  <c r="BH24" i="2" s="1"/>
  <c r="A24" i="2"/>
  <c r="AY24" i="2" s="1"/>
  <c r="S23" i="2"/>
  <c r="R23" i="2"/>
  <c r="Q23" i="2"/>
  <c r="P23" i="2"/>
  <c r="O23" i="2"/>
  <c r="N23" i="2"/>
  <c r="K23" i="2"/>
  <c r="J23" i="2"/>
  <c r="I23" i="2"/>
  <c r="H23" i="2"/>
  <c r="G23" i="2"/>
  <c r="F23" i="2"/>
  <c r="AF23" i="2" s="1"/>
  <c r="E23" i="2"/>
  <c r="B23" i="2"/>
  <c r="BH23" i="2" s="1"/>
  <c r="A23" i="2"/>
  <c r="AQ23" i="2" s="1"/>
  <c r="S22" i="2"/>
  <c r="R22" i="2"/>
  <c r="Q22" i="2"/>
  <c r="P22" i="2"/>
  <c r="O22" i="2"/>
  <c r="N22" i="2"/>
  <c r="K22" i="2"/>
  <c r="J22" i="2"/>
  <c r="I22" i="2"/>
  <c r="H22" i="2"/>
  <c r="G22" i="2"/>
  <c r="F22" i="2"/>
  <c r="E22" i="2"/>
  <c r="B22" i="2"/>
  <c r="A22" i="2"/>
  <c r="AU22" i="2" s="1"/>
  <c r="S21" i="2"/>
  <c r="R21" i="2"/>
  <c r="Q21" i="2"/>
  <c r="P21" i="2"/>
  <c r="O21" i="2"/>
  <c r="N21" i="2"/>
  <c r="K21" i="2"/>
  <c r="J21" i="2"/>
  <c r="I21" i="2"/>
  <c r="H21" i="2"/>
  <c r="G21" i="2"/>
  <c r="F21" i="2"/>
  <c r="E21" i="2"/>
  <c r="B21" i="2"/>
  <c r="BH21" i="2" s="1"/>
  <c r="A21" i="2"/>
  <c r="BG21" i="2" s="1"/>
  <c r="S20" i="2"/>
  <c r="R20" i="2"/>
  <c r="Q20" i="2"/>
  <c r="P20" i="2"/>
  <c r="O20" i="2"/>
  <c r="N20" i="2"/>
  <c r="K20" i="2"/>
  <c r="J20" i="2"/>
  <c r="I20" i="2"/>
  <c r="H20" i="2"/>
  <c r="G20" i="2"/>
  <c r="F20" i="2"/>
  <c r="E20" i="2"/>
  <c r="B20" i="2"/>
  <c r="BH20" i="2" s="1"/>
  <c r="A20" i="2"/>
  <c r="BG20" i="2" s="1"/>
  <c r="S19" i="2"/>
  <c r="R19" i="2"/>
  <c r="Q19" i="2"/>
  <c r="P19" i="2"/>
  <c r="O19" i="2"/>
  <c r="N19" i="2"/>
  <c r="K19" i="2"/>
  <c r="J19" i="2"/>
  <c r="I19" i="2"/>
  <c r="H19" i="2"/>
  <c r="G19" i="2"/>
  <c r="F19" i="2"/>
  <c r="E19" i="2"/>
  <c r="B19" i="2"/>
  <c r="BH19" i="2" s="1"/>
  <c r="A19" i="2"/>
  <c r="BG19" i="2" s="1"/>
  <c r="AE18" i="2"/>
  <c r="S18" i="2"/>
  <c r="R18" i="2"/>
  <c r="Q18" i="2"/>
  <c r="P18" i="2"/>
  <c r="O18" i="2"/>
  <c r="N18" i="2"/>
  <c r="K18" i="2"/>
  <c r="J18" i="2"/>
  <c r="I18" i="2"/>
  <c r="H18" i="2"/>
  <c r="G18" i="2"/>
  <c r="F18" i="2"/>
  <c r="E18" i="2"/>
  <c r="B18" i="2"/>
  <c r="BH18" i="2" s="1"/>
  <c r="A18" i="2"/>
  <c r="BG18" i="2" s="1"/>
  <c r="AE17" i="2"/>
  <c r="S17" i="2"/>
  <c r="R17" i="2"/>
  <c r="Q17" i="2"/>
  <c r="P17" i="2"/>
  <c r="O17" i="2"/>
  <c r="N17" i="2"/>
  <c r="K17" i="2"/>
  <c r="J17" i="2"/>
  <c r="I17" i="2"/>
  <c r="H17" i="2"/>
  <c r="G17" i="2"/>
  <c r="F17" i="2"/>
  <c r="E17" i="2"/>
  <c r="B17" i="2"/>
  <c r="BH17" i="2" s="1"/>
  <c r="A17" i="2"/>
  <c r="BG17" i="2" s="1"/>
  <c r="AE16" i="2"/>
  <c r="S16" i="2"/>
  <c r="R16" i="2"/>
  <c r="Q16" i="2"/>
  <c r="P16" i="2"/>
  <c r="O16" i="2"/>
  <c r="N16" i="2"/>
  <c r="K16" i="2"/>
  <c r="J16" i="2"/>
  <c r="I16" i="2"/>
  <c r="H16" i="2"/>
  <c r="G16" i="2"/>
  <c r="F16" i="2"/>
  <c r="E16" i="2"/>
  <c r="B16" i="2"/>
  <c r="BH16" i="2" s="1"/>
  <c r="A16" i="2"/>
  <c r="BG16" i="2" s="1"/>
  <c r="AE15" i="2"/>
  <c r="S15" i="2"/>
  <c r="R15" i="2"/>
  <c r="Q15" i="2"/>
  <c r="P15" i="2"/>
  <c r="O15" i="2"/>
  <c r="N15" i="2"/>
  <c r="K15" i="2"/>
  <c r="J15" i="2"/>
  <c r="I15" i="2"/>
  <c r="H15" i="2"/>
  <c r="G15" i="2"/>
  <c r="F15" i="2"/>
  <c r="E15" i="2"/>
  <c r="B15" i="2"/>
  <c r="BH15" i="2" s="1"/>
  <c r="A15" i="2"/>
  <c r="BG15" i="2" s="1"/>
  <c r="AE14" i="2"/>
  <c r="S14" i="2"/>
  <c r="R14" i="2"/>
  <c r="Q14" i="2"/>
  <c r="P14" i="2"/>
  <c r="O14" i="2"/>
  <c r="N14" i="2"/>
  <c r="K14" i="2"/>
  <c r="J14" i="2"/>
  <c r="I14" i="2"/>
  <c r="H14" i="2"/>
  <c r="G14" i="2"/>
  <c r="F14" i="2"/>
  <c r="E14" i="2"/>
  <c r="B14" i="2"/>
  <c r="BH14" i="2" s="1"/>
  <c r="A14" i="2"/>
  <c r="BG14" i="2" s="1"/>
  <c r="AE13" i="2"/>
  <c r="S13" i="2"/>
  <c r="R13" i="2"/>
  <c r="Q13" i="2"/>
  <c r="P13" i="2"/>
  <c r="O13" i="2"/>
  <c r="N13" i="2"/>
  <c r="K13" i="2"/>
  <c r="J13" i="2"/>
  <c r="I13" i="2"/>
  <c r="H13" i="2"/>
  <c r="G13" i="2"/>
  <c r="F13" i="2"/>
  <c r="E13" i="2"/>
  <c r="B13" i="2"/>
  <c r="A13" i="2"/>
  <c r="BJ13" i="2" s="1"/>
  <c r="AA46" i="2" l="1"/>
  <c r="W48" i="2"/>
  <c r="W20" i="2"/>
  <c r="T27" i="2"/>
  <c r="X27" i="2"/>
  <c r="AA48" i="2"/>
  <c r="A77" i="2"/>
  <c r="G77" i="2"/>
  <c r="U27" i="2"/>
  <c r="X24" i="2"/>
  <c r="U25" i="2"/>
  <c r="E57" i="2"/>
  <c r="I57" i="2"/>
  <c r="W22" i="2"/>
  <c r="H57" i="2"/>
  <c r="AI23" i="2"/>
  <c r="BG30" i="2"/>
  <c r="BK34" i="2"/>
  <c r="AW37" i="2"/>
  <c r="BG25" i="2"/>
  <c r="BE26" i="2"/>
  <c r="BG27" i="2"/>
  <c r="BE28" i="2"/>
  <c r="AY30" i="2"/>
  <c r="BE34" i="2"/>
  <c r="AH36" i="2"/>
  <c r="F77" i="2"/>
  <c r="S77" i="2"/>
  <c r="AU20" i="2"/>
  <c r="AU46" i="2"/>
  <c r="AA55" i="2"/>
  <c r="O39" i="2"/>
  <c r="O41" i="2" s="1"/>
  <c r="AM20" i="2"/>
  <c r="AM22" i="2"/>
  <c r="U24" i="2"/>
  <c r="AY25" i="2"/>
  <c r="AY27" i="2"/>
  <c r="U30" i="2"/>
  <c r="AB37" i="2"/>
  <c r="BH45" i="2"/>
  <c r="U55" i="2"/>
  <c r="Q39" i="2"/>
  <c r="T14" i="2"/>
  <c r="X14" i="2"/>
  <c r="AG14" i="2"/>
  <c r="T15" i="2"/>
  <c r="X15" i="2"/>
  <c r="AG15" i="2"/>
  <c r="T16" i="2"/>
  <c r="X16" i="2"/>
  <c r="AG16" i="2"/>
  <c r="T17" i="2"/>
  <c r="X17" i="2"/>
  <c r="AG17" i="2"/>
  <c r="T18" i="2"/>
  <c r="X18" i="2"/>
  <c r="AG18" i="2"/>
  <c r="T19" i="2"/>
  <c r="X19" i="2"/>
  <c r="AG19" i="2"/>
  <c r="U20" i="2"/>
  <c r="Z20" i="2"/>
  <c r="AG21" i="2"/>
  <c r="U22" i="2"/>
  <c r="Z22" i="2"/>
  <c r="BJ22" i="2"/>
  <c r="BK23" i="2"/>
  <c r="W24" i="2"/>
  <c r="AB24" i="2"/>
  <c r="AA25" i="2"/>
  <c r="T26" i="2"/>
  <c r="X26" i="2"/>
  <c r="BK26" i="2"/>
  <c r="AA27" i="2"/>
  <c r="X28" i="2"/>
  <c r="BK28" i="2"/>
  <c r="AQ30" i="2"/>
  <c r="X31" i="2"/>
  <c r="Z34" i="2"/>
  <c r="AF36" i="2"/>
  <c r="BE37" i="2"/>
  <c r="F49" i="2"/>
  <c r="F57" i="2" s="1"/>
  <c r="J49" i="2"/>
  <c r="J57" i="2" s="1"/>
  <c r="AU48" i="2"/>
  <c r="W52" i="2"/>
  <c r="AU52" i="2"/>
  <c r="W55" i="2"/>
  <c r="AU55" i="2"/>
  <c r="E77" i="2"/>
  <c r="I77" i="2"/>
  <c r="N77" i="2"/>
  <c r="R77" i="2"/>
  <c r="X45" i="2"/>
  <c r="K49" i="2"/>
  <c r="K57" i="2" s="1"/>
  <c r="AW22" i="2"/>
  <c r="AA52" i="2"/>
  <c r="S39" i="2"/>
  <c r="AI39" i="2" s="1"/>
  <c r="AI14" i="2"/>
  <c r="AI15" i="2"/>
  <c r="AI16" i="2"/>
  <c r="AI17" i="2"/>
  <c r="AI18" i="2"/>
  <c r="AI19" i="2"/>
  <c r="AI21" i="2"/>
  <c r="Z24" i="2"/>
  <c r="AI31" i="2"/>
  <c r="U52" i="2"/>
  <c r="T23" i="2"/>
  <c r="X23" i="2"/>
  <c r="AS24" i="2"/>
  <c r="W25" i="2"/>
  <c r="AQ25" i="2"/>
  <c r="W27" i="2"/>
  <c r="AQ27" i="2"/>
  <c r="G49" i="2"/>
  <c r="G57" i="2" s="1"/>
  <c r="T57" i="2" s="1"/>
  <c r="AB45" i="2"/>
  <c r="BB45" i="2"/>
  <c r="U48" i="2"/>
  <c r="AG48" i="2"/>
  <c r="T52" i="2"/>
  <c r="X52" i="2"/>
  <c r="AG55" i="2"/>
  <c r="AM13" i="2"/>
  <c r="AM14" i="2"/>
  <c r="AM15" i="2"/>
  <c r="AM16" i="2"/>
  <c r="AM17" i="2"/>
  <c r="AM18" i="2"/>
  <c r="AQ19" i="2"/>
  <c r="AH20" i="2"/>
  <c r="V21" i="2"/>
  <c r="AA21" i="2"/>
  <c r="AY21" i="2"/>
  <c r="AF22" i="2"/>
  <c r="AY23" i="2"/>
  <c r="BK24" i="2"/>
  <c r="AI25" i="2"/>
  <c r="AB26" i="2"/>
  <c r="AI27" i="2"/>
  <c r="T28" i="2"/>
  <c r="AB28" i="2"/>
  <c r="V31" i="2"/>
  <c r="AA31" i="2"/>
  <c r="AY31" i="2"/>
  <c r="BE32" i="2"/>
  <c r="AW34" i="2"/>
  <c r="AU45" i="2"/>
  <c r="AI46" i="2"/>
  <c r="AI52" i="2"/>
  <c r="F39" i="2"/>
  <c r="J39" i="2"/>
  <c r="J41" i="2" s="1"/>
  <c r="AY13" i="2"/>
  <c r="W14" i="2"/>
  <c r="AF14" i="2"/>
  <c r="AY14" i="2"/>
  <c r="W15" i="2"/>
  <c r="AF15" i="2"/>
  <c r="AY15" i="2"/>
  <c r="W16" i="2"/>
  <c r="AF16" i="2"/>
  <c r="AY16" i="2"/>
  <c r="W17" i="2"/>
  <c r="AF17" i="2"/>
  <c r="AY17" i="2"/>
  <c r="W18" i="2"/>
  <c r="AF18" i="2"/>
  <c r="AY18" i="2"/>
  <c r="W19" i="2"/>
  <c r="AF19" i="2"/>
  <c r="AM19" i="2"/>
  <c r="T20" i="2"/>
  <c r="X20" i="2"/>
  <c r="AG20" i="2"/>
  <c r="AQ20" i="2"/>
  <c r="U21" i="2"/>
  <c r="Z21" i="2"/>
  <c r="AH21" i="2"/>
  <c r="AU21" i="2"/>
  <c r="V22" i="2"/>
  <c r="AA22" i="2"/>
  <c r="AI22" i="2"/>
  <c r="BA22" i="2"/>
  <c r="W23" i="2"/>
  <c r="AB23" i="2"/>
  <c r="T24" i="2"/>
  <c r="AQ24" i="2"/>
  <c r="BG24" i="2"/>
  <c r="V25" i="2"/>
  <c r="Z25" i="2"/>
  <c r="BK25" i="2"/>
  <c r="AF26" i="2"/>
  <c r="W26" i="2"/>
  <c r="AA26" i="2"/>
  <c r="AI26" i="2"/>
  <c r="AY26" i="2"/>
  <c r="V27" i="2"/>
  <c r="Z27" i="2"/>
  <c r="BK27" i="2"/>
  <c r="AF28" i="2"/>
  <c r="W28" i="2"/>
  <c r="AA28" i="2"/>
  <c r="AI28" i="2"/>
  <c r="AY28" i="2"/>
  <c r="X30" i="2"/>
  <c r="BE30" i="2"/>
  <c r="U31" i="2"/>
  <c r="Z31" i="2"/>
  <c r="AS31" i="2"/>
  <c r="BK31" i="2"/>
  <c r="AO34" i="2"/>
  <c r="BJ34" i="2"/>
  <c r="U36" i="2"/>
  <c r="AG36" i="2"/>
  <c r="AS37" i="2"/>
  <c r="BD37" i="2"/>
  <c r="BK37" i="2"/>
  <c r="AG45" i="2"/>
  <c r="O49" i="2"/>
  <c r="AA49" i="2" s="1"/>
  <c r="S49" i="2"/>
  <c r="AS45" i="2"/>
  <c r="BG45" i="2"/>
  <c r="V46" i="2"/>
  <c r="Z46" i="2"/>
  <c r="AH46" i="2"/>
  <c r="T48" i="2"/>
  <c r="X48" i="2"/>
  <c r="AF48" i="2"/>
  <c r="AM48" i="2"/>
  <c r="V52" i="2"/>
  <c r="Z52" i="2"/>
  <c r="AH52" i="2"/>
  <c r="T55" i="2"/>
  <c r="X55" i="2"/>
  <c r="AF55" i="2"/>
  <c r="AM55" i="2"/>
  <c r="AU13" i="2"/>
  <c r="V14" i="2"/>
  <c r="AA14" i="2"/>
  <c r="AU14" i="2"/>
  <c r="V15" i="2"/>
  <c r="AA15" i="2"/>
  <c r="AU15" i="2"/>
  <c r="V16" i="2"/>
  <c r="AA16" i="2"/>
  <c r="AU16" i="2"/>
  <c r="V17" i="2"/>
  <c r="AA17" i="2"/>
  <c r="AU17" i="2"/>
  <c r="V18" i="2"/>
  <c r="AA18" i="2"/>
  <c r="AU18" i="2"/>
  <c r="V19" i="2"/>
  <c r="AA19" i="2"/>
  <c r="AY19" i="2"/>
  <c r="AF20" i="2"/>
  <c r="T21" i="2"/>
  <c r="X21" i="2"/>
  <c r="AQ21" i="2"/>
  <c r="AH22" i="2"/>
  <c r="V23" i="2"/>
  <c r="AA23" i="2"/>
  <c r="BE24" i="2"/>
  <c r="V26" i="2"/>
  <c r="Z26" i="2"/>
  <c r="AS26" i="2"/>
  <c r="V28" i="2"/>
  <c r="Z28" i="2"/>
  <c r="AS28" i="2"/>
  <c r="T31" i="2"/>
  <c r="AQ31" i="2"/>
  <c r="T34" i="2"/>
  <c r="X34" i="2"/>
  <c r="AB34" i="2"/>
  <c r="T36" i="2"/>
  <c r="X36" i="2"/>
  <c r="AQ37" i="2"/>
  <c r="BA37" i="2"/>
  <c r="BJ37" i="2"/>
  <c r="AM45" i="2"/>
  <c r="U49" i="2"/>
  <c r="M49" i="2"/>
  <c r="Y49" i="2" s="1"/>
  <c r="Q49" i="2"/>
  <c r="AG49" i="2" s="1"/>
  <c r="AI48" i="2"/>
  <c r="AG52" i="2"/>
  <c r="AI55" i="2"/>
  <c r="K77" i="2"/>
  <c r="P77" i="2"/>
  <c r="B39" i="2"/>
  <c r="BH39" i="2" s="1"/>
  <c r="H39" i="2"/>
  <c r="AQ13" i="2"/>
  <c r="U14" i="2"/>
  <c r="Z14" i="2"/>
  <c r="AH14" i="2"/>
  <c r="AQ14" i="2"/>
  <c r="U15" i="2"/>
  <c r="Z15" i="2"/>
  <c r="AH15" i="2"/>
  <c r="AQ15" i="2"/>
  <c r="U16" i="2"/>
  <c r="Z16" i="2"/>
  <c r="AH16" i="2"/>
  <c r="AQ16" i="2"/>
  <c r="U17" i="2"/>
  <c r="Z17" i="2"/>
  <c r="AH17" i="2"/>
  <c r="AQ17" i="2"/>
  <c r="U18" i="2"/>
  <c r="Z18" i="2"/>
  <c r="AH18" i="2"/>
  <c r="AQ18" i="2"/>
  <c r="U19" i="2"/>
  <c r="Z19" i="2"/>
  <c r="AH19" i="2"/>
  <c r="AU19" i="2"/>
  <c r="V20" i="2"/>
  <c r="AA20" i="2"/>
  <c r="AI20" i="2"/>
  <c r="AY20" i="2"/>
  <c r="W21" i="2"/>
  <c r="AF21" i="2"/>
  <c r="AM21" i="2"/>
  <c r="T22" i="2"/>
  <c r="X22" i="2"/>
  <c r="AG22" i="2"/>
  <c r="AQ22" i="2"/>
  <c r="U23" i="2"/>
  <c r="Z23" i="2"/>
  <c r="BE23" i="2"/>
  <c r="V24" i="2"/>
  <c r="AA24" i="2"/>
  <c r="AI24" i="2"/>
  <c r="T25" i="2"/>
  <c r="AB25" i="2"/>
  <c r="BE25" i="2"/>
  <c r="U26" i="2"/>
  <c r="AQ26" i="2"/>
  <c r="AB27" i="2"/>
  <c r="BE27" i="2"/>
  <c r="U28" i="2"/>
  <c r="AQ28" i="2"/>
  <c r="V30" i="2"/>
  <c r="Z30" i="2"/>
  <c r="BK30" i="2"/>
  <c r="W31" i="2"/>
  <c r="AB31" i="2"/>
  <c r="BE31" i="2"/>
  <c r="BD34" i="2"/>
  <c r="W36" i="2"/>
  <c r="AA36" i="2"/>
  <c r="AI36" i="2"/>
  <c r="AY37" i="2"/>
  <c r="BG37" i="2"/>
  <c r="BA45" i="2"/>
  <c r="P49" i="2"/>
  <c r="P57" i="2" s="1"/>
  <c r="AM46" i="2"/>
  <c r="V48" i="2"/>
  <c r="Z48" i="2"/>
  <c r="AH48" i="2"/>
  <c r="AF52" i="2"/>
  <c r="AM52" i="2"/>
  <c r="V55" i="2"/>
  <c r="Z55" i="2"/>
  <c r="AH55" i="2"/>
  <c r="M39" i="2"/>
  <c r="Y39" i="2" s="1"/>
  <c r="F41" i="2"/>
  <c r="AL63" i="2"/>
  <c r="AT63" i="2"/>
  <c r="AU23" i="2"/>
  <c r="AM23" i="2"/>
  <c r="BJ23" i="2"/>
  <c r="BD23" i="2"/>
  <c r="AW23" i="2"/>
  <c r="AO23" i="2"/>
  <c r="AU24" i="2"/>
  <c r="AM24" i="2"/>
  <c r="BJ24" i="2"/>
  <c r="BD24" i="2"/>
  <c r="AW24" i="2"/>
  <c r="AO24" i="2"/>
  <c r="AU25" i="2"/>
  <c r="AM25" i="2"/>
  <c r="BJ25" i="2"/>
  <c r="BD25" i="2"/>
  <c r="AW25" i="2"/>
  <c r="AO25" i="2"/>
  <c r="AU26" i="2"/>
  <c r="AM26" i="2"/>
  <c r="BJ26" i="2"/>
  <c r="BD26" i="2"/>
  <c r="AW26" i="2"/>
  <c r="AO26" i="2"/>
  <c r="AU27" i="2"/>
  <c r="AM27" i="2"/>
  <c r="BJ27" i="2"/>
  <c r="BD27" i="2"/>
  <c r="AW27" i="2"/>
  <c r="AO27" i="2"/>
  <c r="AU28" i="2"/>
  <c r="AM28" i="2"/>
  <c r="BJ28" i="2"/>
  <c r="BD28" i="2"/>
  <c r="AW28" i="2"/>
  <c r="AO28" i="2"/>
  <c r="A40" i="2"/>
  <c r="BD40" i="2" s="1"/>
  <c r="AU30" i="2"/>
  <c r="AM30" i="2"/>
  <c r="BJ30" i="2"/>
  <c r="BD30" i="2"/>
  <c r="AW30" i="2"/>
  <c r="AO30" i="2"/>
  <c r="G62" i="2"/>
  <c r="T62" i="2" s="1"/>
  <c r="T40" i="2"/>
  <c r="K62" i="2"/>
  <c r="X62" i="2" s="1"/>
  <c r="X40" i="2"/>
  <c r="P62" i="2"/>
  <c r="AF40" i="2"/>
  <c r="AB40" i="2"/>
  <c r="AU31" i="2"/>
  <c r="AM31" i="2"/>
  <c r="BJ31" i="2"/>
  <c r="BD31" i="2"/>
  <c r="AW31" i="2"/>
  <c r="AO31" i="2"/>
  <c r="BH32" i="2"/>
  <c r="BB32" i="2"/>
  <c r="W13" i="2"/>
  <c r="AA13" i="2"/>
  <c r="AI13" i="2"/>
  <c r="BE13" i="2"/>
  <c r="BK13" i="2"/>
  <c r="BE14" i="2"/>
  <c r="BK14" i="2"/>
  <c r="BE15" i="2"/>
  <c r="BK15" i="2"/>
  <c r="BE16" i="2"/>
  <c r="BK16" i="2"/>
  <c r="BE17" i="2"/>
  <c r="BK17" i="2"/>
  <c r="BE18" i="2"/>
  <c r="BK18" i="2"/>
  <c r="AE19" i="2"/>
  <c r="BE19" i="2"/>
  <c r="BK19" i="2"/>
  <c r="AE20" i="2"/>
  <c r="BE20" i="2"/>
  <c r="BK20" i="2"/>
  <c r="AE21" i="2"/>
  <c r="BE21" i="2"/>
  <c r="BK21" i="2"/>
  <c r="AE22" i="2"/>
  <c r="AG23" i="2"/>
  <c r="AE23" i="2"/>
  <c r="AG24" i="2"/>
  <c r="AE24" i="2"/>
  <c r="AG25" i="2"/>
  <c r="AE25" i="2"/>
  <c r="AG26" i="2"/>
  <c r="AE26" i="2"/>
  <c r="AG27" i="2"/>
  <c r="AE27" i="2"/>
  <c r="AG28" i="2"/>
  <c r="AE28" i="2"/>
  <c r="AG30" i="2"/>
  <c r="W30" i="2"/>
  <c r="AE30" i="2"/>
  <c r="AG31" i="2"/>
  <c r="AE31" i="2"/>
  <c r="AY32" i="2"/>
  <c r="E39" i="2"/>
  <c r="I39" i="2"/>
  <c r="N39" i="2"/>
  <c r="R39" i="2"/>
  <c r="V13" i="2"/>
  <c r="Z13" i="2"/>
  <c r="AD13" i="2"/>
  <c r="AH13" i="2"/>
  <c r="AO13" i="2"/>
  <c r="AW13" i="2"/>
  <c r="BD13" i="2"/>
  <c r="AD14" i="2"/>
  <c r="AO14" i="2"/>
  <c r="AW14" i="2"/>
  <c r="BD14" i="2"/>
  <c r="BJ14" i="2"/>
  <c r="AD15" i="2"/>
  <c r="AO15" i="2"/>
  <c r="AW15" i="2"/>
  <c r="BD15" i="2"/>
  <c r="BJ15" i="2"/>
  <c r="AD16" i="2"/>
  <c r="AO16" i="2"/>
  <c r="AW16" i="2"/>
  <c r="BD16" i="2"/>
  <c r="BJ16" i="2"/>
  <c r="AD17" i="2"/>
  <c r="AO17" i="2"/>
  <c r="AW17" i="2"/>
  <c r="BD17" i="2"/>
  <c r="BJ17" i="2"/>
  <c r="AD18" i="2"/>
  <c r="AO18" i="2"/>
  <c r="AW18" i="2"/>
  <c r="BD18" i="2"/>
  <c r="BJ18" i="2"/>
  <c r="AD19" i="2"/>
  <c r="AO19" i="2"/>
  <c r="AW19" i="2"/>
  <c r="BD19" i="2"/>
  <c r="BJ19" i="2"/>
  <c r="AD20" i="2"/>
  <c r="AO20" i="2"/>
  <c r="AW20" i="2"/>
  <c r="BD20" i="2"/>
  <c r="BJ20" i="2"/>
  <c r="AD21" i="2"/>
  <c r="AO21" i="2"/>
  <c r="AW21" i="2"/>
  <c r="BD21" i="2"/>
  <c r="BJ21" i="2"/>
  <c r="AD22" i="2"/>
  <c r="AO22" i="2"/>
  <c r="AY22" i="2"/>
  <c r="BG22" i="2"/>
  <c r="AK23" i="2"/>
  <c r="BA23" i="2"/>
  <c r="AK24" i="2"/>
  <c r="BA24" i="2"/>
  <c r="AK25" i="2"/>
  <c r="BA25" i="2"/>
  <c r="AK26" i="2"/>
  <c r="BA26" i="2"/>
  <c r="AK27" i="2"/>
  <c r="BA27" i="2"/>
  <c r="AK28" i="2"/>
  <c r="BA28" i="2"/>
  <c r="T30" i="2"/>
  <c r="AB30" i="2"/>
  <c r="AK30" i="2"/>
  <c r="BA30" i="2"/>
  <c r="AK31" i="2"/>
  <c r="BA31" i="2"/>
  <c r="AS32" i="2"/>
  <c r="V36" i="2"/>
  <c r="Z36" i="2"/>
  <c r="AJ61" i="2"/>
  <c r="AR61" i="2"/>
  <c r="BH22" i="2"/>
  <c r="BB22" i="2"/>
  <c r="J62" i="2"/>
  <c r="W62" i="2" s="1"/>
  <c r="W40" i="2"/>
  <c r="O62" i="2"/>
  <c r="AA62" i="2" s="1"/>
  <c r="AA40" i="2"/>
  <c r="S62" i="2"/>
  <c r="AI40" i="2"/>
  <c r="AE40" i="2"/>
  <c r="AU32" i="2"/>
  <c r="BJ32" i="2"/>
  <c r="BD32" i="2"/>
  <c r="AW32" i="2"/>
  <c r="BK36" i="2"/>
  <c r="BE36" i="2"/>
  <c r="BH36" i="2"/>
  <c r="BB36" i="2"/>
  <c r="AP63" i="2"/>
  <c r="AX63" i="2"/>
  <c r="W57" i="2"/>
  <c r="W49" i="2"/>
  <c r="O57" i="2"/>
  <c r="S57" i="2"/>
  <c r="AE49" i="2"/>
  <c r="BG34" i="2"/>
  <c r="BA34" i="2"/>
  <c r="AS34" i="2"/>
  <c r="AK34" i="2"/>
  <c r="AU34" i="2"/>
  <c r="AM34" i="2"/>
  <c r="V49" i="2"/>
  <c r="N57" i="2"/>
  <c r="Z49" i="2"/>
  <c r="R57" i="2"/>
  <c r="AD49" i="2"/>
  <c r="U13" i="2"/>
  <c r="AC13" i="2"/>
  <c r="AG13" i="2"/>
  <c r="BB13" i="2"/>
  <c r="BH13" i="2"/>
  <c r="AC14" i="2"/>
  <c r="BB14" i="2"/>
  <c r="AC15" i="2"/>
  <c r="BB15" i="2"/>
  <c r="AC16" i="2"/>
  <c r="BB16" i="2"/>
  <c r="AC17" i="2"/>
  <c r="BB17" i="2"/>
  <c r="AC18" i="2"/>
  <c r="BB18" i="2"/>
  <c r="AC19" i="2"/>
  <c r="BB19" i="2"/>
  <c r="AC20" i="2"/>
  <c r="BB20" i="2"/>
  <c r="AC21" i="2"/>
  <c r="BB21" i="2"/>
  <c r="AC22" i="2"/>
  <c r="BE22" i="2"/>
  <c r="AA30" i="2"/>
  <c r="AI30" i="2"/>
  <c r="AQ32" i="2"/>
  <c r="A39" i="2"/>
  <c r="AW39" i="2" s="1"/>
  <c r="G39" i="2"/>
  <c r="K39" i="2"/>
  <c r="P39" i="2"/>
  <c r="T13" i="2"/>
  <c r="X13" i="2"/>
  <c r="AB13" i="2"/>
  <c r="AF13" i="2"/>
  <c r="AK13" i="2"/>
  <c r="AS13" i="2"/>
  <c r="BA13" i="2"/>
  <c r="BG13" i="2"/>
  <c r="AB14" i="2"/>
  <c r="AK14" i="2"/>
  <c r="AS14" i="2"/>
  <c r="BA14" i="2"/>
  <c r="AB15" i="2"/>
  <c r="AK15" i="2"/>
  <c r="AS15" i="2"/>
  <c r="BA15" i="2"/>
  <c r="AB16" i="2"/>
  <c r="AK16" i="2"/>
  <c r="AS16" i="2"/>
  <c r="BA16" i="2"/>
  <c r="AB17" i="2"/>
  <c r="AK17" i="2"/>
  <c r="AS17" i="2"/>
  <c r="BA17" i="2"/>
  <c r="AB18" i="2"/>
  <c r="AK18" i="2"/>
  <c r="AS18" i="2"/>
  <c r="BA18" i="2"/>
  <c r="AB19" i="2"/>
  <c r="AK19" i="2"/>
  <c r="AS19" i="2"/>
  <c r="BA19" i="2"/>
  <c r="AB20" i="2"/>
  <c r="AK20" i="2"/>
  <c r="AS20" i="2"/>
  <c r="BA20" i="2"/>
  <c r="AB21" i="2"/>
  <c r="AK21" i="2"/>
  <c r="AS21" i="2"/>
  <c r="BA21" i="2"/>
  <c r="AB22" i="2"/>
  <c r="AK22" i="2"/>
  <c r="AS22" i="2"/>
  <c r="BD22" i="2"/>
  <c r="BK22" i="2"/>
  <c r="AH23" i="2"/>
  <c r="AS23" i="2"/>
  <c r="BG23" i="2"/>
  <c r="AH24" i="2"/>
  <c r="AH25" i="2"/>
  <c r="AH26" i="2"/>
  <c r="AH27" i="2"/>
  <c r="AH28" i="2"/>
  <c r="AH30" i="2"/>
  <c r="AF30" i="2"/>
  <c r="AH31" i="2"/>
  <c r="BA32" i="2"/>
  <c r="AQ34" i="2"/>
  <c r="AN61" i="2"/>
  <c r="AV61" i="2"/>
  <c r="AD36" i="2"/>
  <c r="AO36" i="2"/>
  <c r="AW36" i="2"/>
  <c r="BD36" i="2"/>
  <c r="BJ36" i="2"/>
  <c r="BC41" i="2"/>
  <c r="AF45" i="2"/>
  <c r="U46" i="2"/>
  <c r="AC46" i="2"/>
  <c r="AG46" i="2"/>
  <c r="BB46" i="2"/>
  <c r="BH46" i="2"/>
  <c r="AC48" i="2"/>
  <c r="BB48" i="2"/>
  <c r="BH48" i="2"/>
  <c r="B49" i="2"/>
  <c r="AC52" i="2"/>
  <c r="BB52" i="2"/>
  <c r="BH52" i="2"/>
  <c r="AC55" i="2"/>
  <c r="BB55" i="2"/>
  <c r="BH55" i="2"/>
  <c r="BI57" i="2"/>
  <c r="BI61" i="2" s="1"/>
  <c r="BC61" i="2"/>
  <c r="BC62" i="2"/>
  <c r="AC36" i="2"/>
  <c r="AM36" i="2"/>
  <c r="AU36" i="2"/>
  <c r="I40" i="2"/>
  <c r="N40" i="2"/>
  <c r="R40" i="2"/>
  <c r="AL41" i="2"/>
  <c r="AP41" i="2"/>
  <c r="AT41" i="2"/>
  <c r="AX41" i="2"/>
  <c r="BF41" i="2"/>
  <c r="W45" i="2"/>
  <c r="AA45" i="2"/>
  <c r="AE45" i="2"/>
  <c r="AI45" i="2"/>
  <c r="T46" i="2"/>
  <c r="X46" i="2"/>
  <c r="AB46" i="2"/>
  <c r="AF46" i="2"/>
  <c r="AK46" i="2"/>
  <c r="AS46" i="2"/>
  <c r="BA46" i="2"/>
  <c r="BG46" i="2"/>
  <c r="AB48" i="2"/>
  <c r="AK48" i="2"/>
  <c r="AS48" i="2"/>
  <c r="BA48" i="2"/>
  <c r="BG48" i="2"/>
  <c r="A49" i="2"/>
  <c r="AU49" i="2" s="1"/>
  <c r="AB52" i="2"/>
  <c r="AK52" i="2"/>
  <c r="AS52" i="2"/>
  <c r="BA52" i="2"/>
  <c r="BG52" i="2"/>
  <c r="AB55" i="2"/>
  <c r="AK55" i="2"/>
  <c r="AS55" i="2"/>
  <c r="BA55" i="2"/>
  <c r="BG55" i="2"/>
  <c r="AZ57" i="2"/>
  <c r="AZ61" i="2" s="1"/>
  <c r="BF61" i="2"/>
  <c r="BF62" i="2"/>
  <c r="AD23" i="2"/>
  <c r="AD24" i="2"/>
  <c r="AD25" i="2"/>
  <c r="AD26" i="2"/>
  <c r="AD27" i="2"/>
  <c r="AD28" i="2"/>
  <c r="AD30" i="2"/>
  <c r="AD31" i="2"/>
  <c r="BB34" i="2"/>
  <c r="AB36" i="2"/>
  <c r="AK36" i="2"/>
  <c r="AS36" i="2"/>
  <c r="BA36" i="2"/>
  <c r="BG36" i="2"/>
  <c r="BB37" i="2"/>
  <c r="B40" i="2"/>
  <c r="BH40" i="2" s="1"/>
  <c r="H40" i="2"/>
  <c r="M40" i="2"/>
  <c r="Y40" i="2" s="1"/>
  <c r="Q40" i="2"/>
  <c r="BI41" i="2"/>
  <c r="V45" i="2"/>
  <c r="Z45" i="2"/>
  <c r="AD45" i="2"/>
  <c r="AH45" i="2"/>
  <c r="AQ45" i="2"/>
  <c r="AY45" i="2"/>
  <c r="BE45" i="2"/>
  <c r="AE46" i="2"/>
  <c r="AQ46" i="2"/>
  <c r="AY46" i="2"/>
  <c r="BE46" i="2"/>
  <c r="AE48" i="2"/>
  <c r="AQ48" i="2"/>
  <c r="AY48" i="2"/>
  <c r="BE48" i="2"/>
  <c r="AE52" i="2"/>
  <c r="AQ52" i="2"/>
  <c r="AY52" i="2"/>
  <c r="BE52" i="2"/>
  <c r="AE55" i="2"/>
  <c r="AQ55" i="2"/>
  <c r="AY55" i="2"/>
  <c r="BE55" i="2"/>
  <c r="AC23" i="2"/>
  <c r="BB23" i="2"/>
  <c r="AC24" i="2"/>
  <c r="BB24" i="2"/>
  <c r="AC25" i="2"/>
  <c r="BB25" i="2"/>
  <c r="AC26" i="2"/>
  <c r="BB26" i="2"/>
  <c r="AC27" i="2"/>
  <c r="BB27" i="2"/>
  <c r="AC28" i="2"/>
  <c r="BB28" i="2"/>
  <c r="AC30" i="2"/>
  <c r="BB30" i="2"/>
  <c r="AC31" i="2"/>
  <c r="BB31" i="2"/>
  <c r="AE36" i="2"/>
  <c r="AQ36" i="2"/>
  <c r="AJ41" i="2"/>
  <c r="AN41" i="2"/>
  <c r="AR41" i="2"/>
  <c r="AV41" i="2"/>
  <c r="AZ41" i="2"/>
  <c r="U45" i="2"/>
  <c r="AC45" i="2"/>
  <c r="AO45" i="2"/>
  <c r="AW45" i="2"/>
  <c r="BD45" i="2"/>
  <c r="AD46" i="2"/>
  <c r="AO46" i="2"/>
  <c r="AW46" i="2"/>
  <c r="BD46" i="2"/>
  <c r="AD48" i="2"/>
  <c r="AO48" i="2"/>
  <c r="AW48" i="2"/>
  <c r="BD48" i="2"/>
  <c r="AD52" i="2"/>
  <c r="AO52" i="2"/>
  <c r="AW52" i="2"/>
  <c r="BD52" i="2"/>
  <c r="AD55" i="2"/>
  <c r="AO55" i="2"/>
  <c r="AW55" i="2"/>
  <c r="BD55" i="2"/>
  <c r="V57" i="2" l="1"/>
  <c r="U39" i="2"/>
  <c r="U57" i="2"/>
  <c r="AS39" i="2"/>
  <c r="AA57" i="2"/>
  <c r="X57" i="2"/>
  <c r="Z57" i="2"/>
  <c r="AQ49" i="2"/>
  <c r="AS40" i="2"/>
  <c r="BK39" i="2"/>
  <c r="T49" i="2"/>
  <c r="AG39" i="2"/>
  <c r="S61" i="2"/>
  <c r="AW40" i="2"/>
  <c r="S41" i="2"/>
  <c r="AI41" i="2" s="1"/>
  <c r="BA40" i="2"/>
  <c r="AK40" i="2"/>
  <c r="Q57" i="2"/>
  <c r="Q61" i="2" s="1"/>
  <c r="AO40" i="2"/>
  <c r="AC49" i="2"/>
  <c r="X49" i="2"/>
  <c r="Q41" i="2"/>
  <c r="AG41" i="2" s="1"/>
  <c r="M57" i="2"/>
  <c r="Y57" i="2" s="1"/>
  <c r="F61" i="2"/>
  <c r="F63" i="2" s="1"/>
  <c r="AY49" i="2"/>
  <c r="BA39" i="2"/>
  <c r="AK39" i="2"/>
  <c r="BJ49" i="2"/>
  <c r="AB49" i="2"/>
  <c r="O61" i="2"/>
  <c r="O63" i="2" s="1"/>
  <c r="BG49" i="2"/>
  <c r="AM49" i="2"/>
  <c r="BE39" i="2"/>
  <c r="AO39" i="2"/>
  <c r="BB39" i="2"/>
  <c r="BD39" i="2"/>
  <c r="BE40" i="2"/>
  <c r="BI63" i="2"/>
  <c r="R62" i="2"/>
  <c r="AH40" i="2"/>
  <c r="AD40" i="2"/>
  <c r="AH57" i="2"/>
  <c r="AD57" i="2"/>
  <c r="AZ63" i="2"/>
  <c r="E61" i="2"/>
  <c r="E63" i="2" s="1"/>
  <c r="E41" i="2"/>
  <c r="AF57" i="2"/>
  <c r="AB57" i="2"/>
  <c r="S63" i="2"/>
  <c r="M62" i="2"/>
  <c r="Y62" i="2" s="1"/>
  <c r="I61" i="2"/>
  <c r="I41" i="2"/>
  <c r="V39" i="2"/>
  <c r="Q62" i="2"/>
  <c r="AG40" i="2"/>
  <c r="AC40" i="2"/>
  <c r="I62" i="2"/>
  <c r="V62" i="2" s="1"/>
  <c r="V40" i="2"/>
  <c r="AV63" i="2"/>
  <c r="A41" i="2"/>
  <c r="AS41" i="2" s="1"/>
  <c r="BJ39" i="2"/>
  <c r="BG39" i="2"/>
  <c r="AY39" i="2"/>
  <c r="AU39" i="2"/>
  <c r="AQ39" i="2"/>
  <c r="AM39" i="2"/>
  <c r="AJ63" i="2"/>
  <c r="N61" i="2"/>
  <c r="N41" i="2"/>
  <c r="Z39" i="2"/>
  <c r="AF62" i="2"/>
  <c r="AB62" i="2"/>
  <c r="AH49" i="2"/>
  <c r="AF49" i="2"/>
  <c r="AI49" i="2"/>
  <c r="M41" i="2"/>
  <c r="Y41" i="2" s="1"/>
  <c r="H61" i="2"/>
  <c r="J61" i="2"/>
  <c r="H62" i="2"/>
  <c r="U62" i="2" s="1"/>
  <c r="U40" i="2"/>
  <c r="K61" i="2"/>
  <c r="K41" i="2"/>
  <c r="X39" i="2"/>
  <c r="AI62" i="2"/>
  <c r="AE62" i="2"/>
  <c r="BC63" i="2"/>
  <c r="BH49" i="2"/>
  <c r="B57" i="2"/>
  <c r="BE49" i="2"/>
  <c r="AN63" i="2"/>
  <c r="P61" i="2"/>
  <c r="P41" i="2"/>
  <c r="AF39" i="2"/>
  <c r="AB39" i="2"/>
  <c r="AI57" i="2"/>
  <c r="AE57" i="2"/>
  <c r="B62" i="2"/>
  <c r="BB40" i="2"/>
  <c r="BK40" i="2"/>
  <c r="BF63" i="2"/>
  <c r="A57" i="2"/>
  <c r="BD49" i="2"/>
  <c r="BA49" i="2"/>
  <c r="AW49" i="2"/>
  <c r="AS49" i="2"/>
  <c r="AO49" i="2"/>
  <c r="AK49" i="2"/>
  <c r="N62" i="2"/>
  <c r="Z62" i="2" s="1"/>
  <c r="Z40" i="2"/>
  <c r="G61" i="2"/>
  <c r="G41" i="2"/>
  <c r="T39" i="2"/>
  <c r="AR63" i="2"/>
  <c r="R61" i="2"/>
  <c r="R41" i="2"/>
  <c r="AH39" i="2"/>
  <c r="AD39" i="2"/>
  <c r="A62" i="2"/>
  <c r="BD62" i="2" s="1"/>
  <c r="BJ40" i="2"/>
  <c r="BG40" i="2"/>
  <c r="AY40" i="2"/>
  <c r="AU40" i="2"/>
  <c r="AQ40" i="2"/>
  <c r="AM40" i="2"/>
  <c r="W39" i="2"/>
  <c r="BK49" i="2"/>
  <c r="AC39" i="2"/>
  <c r="H41" i="2"/>
  <c r="B41" i="2"/>
  <c r="BK41" i="2" s="1"/>
  <c r="BB49" i="2"/>
  <c r="AE39" i="2"/>
  <c r="AA39" i="2"/>
  <c r="AA63" i="2" l="1"/>
  <c r="AI61" i="2"/>
  <c r="M61" i="2"/>
  <c r="Y61" i="2" s="1"/>
  <c r="Q63" i="2"/>
  <c r="BG41" i="2"/>
  <c r="AK41" i="2"/>
  <c r="AU41" i="2"/>
  <c r="BE41" i="2"/>
  <c r="AG57" i="2"/>
  <c r="AW41" i="2"/>
  <c r="BD41" i="2"/>
  <c r="AC41" i="2"/>
  <c r="AC57" i="2"/>
  <c r="AG61" i="2"/>
  <c r="AA61" i="2"/>
  <c r="U41" i="2"/>
  <c r="AE41" i="2"/>
  <c r="AE61" i="2"/>
  <c r="BH41" i="2"/>
  <c r="X41" i="2"/>
  <c r="R63" i="2"/>
  <c r="AH61" i="2"/>
  <c r="AD61" i="2"/>
  <c r="AQ57" i="2"/>
  <c r="AM57" i="2"/>
  <c r="AK57" i="2"/>
  <c r="AY57" i="2"/>
  <c r="BG57" i="2"/>
  <c r="AS57" i="2"/>
  <c r="BD57" i="2"/>
  <c r="AW57" i="2"/>
  <c r="AO57" i="2"/>
  <c r="AU57" i="2"/>
  <c r="I63" i="2"/>
  <c r="V63" i="2" s="1"/>
  <c r="V61" i="2"/>
  <c r="AH41" i="2"/>
  <c r="AD41" i="2"/>
  <c r="G63" i="2"/>
  <c r="T63" i="2" s="1"/>
  <c r="T61" i="2"/>
  <c r="H63" i="2"/>
  <c r="U63" i="2" s="1"/>
  <c r="U61" i="2"/>
  <c r="AG63" i="2"/>
  <c r="AC63" i="2"/>
  <c r="BB62" i="2"/>
  <c r="BK62" i="2"/>
  <c r="P63" i="2"/>
  <c r="AF61" i="2"/>
  <c r="AB61" i="2"/>
  <c r="BE57" i="2"/>
  <c r="B61" i="2"/>
  <c r="BH57" i="2"/>
  <c r="N63" i="2"/>
  <c r="Z63" i="2" s="1"/>
  <c r="Z61" i="2"/>
  <c r="AF41" i="2"/>
  <c r="AB41" i="2"/>
  <c r="K63" i="2"/>
  <c r="X63" i="2" s="1"/>
  <c r="X61" i="2"/>
  <c r="AG62" i="2"/>
  <c r="AC62" i="2"/>
  <c r="AI63" i="2"/>
  <c r="AE63" i="2"/>
  <c r="BG62" i="2"/>
  <c r="A61" i="2"/>
  <c r="BJ57" i="2"/>
  <c r="BA41" i="2"/>
  <c r="V41" i="2"/>
  <c r="W41" i="2"/>
  <c r="T41" i="2"/>
  <c r="BK57" i="2"/>
  <c r="AQ41" i="2"/>
  <c r="AM41" i="2"/>
  <c r="BB57" i="2"/>
  <c r="BB41" i="2"/>
  <c r="BJ41" i="2"/>
  <c r="AO41" i="2"/>
  <c r="AY41" i="2"/>
  <c r="BH62" i="2"/>
  <c r="AA41" i="2"/>
  <c r="Z41" i="2"/>
  <c r="BE62" i="2"/>
  <c r="BA57" i="2"/>
  <c r="AC61" i="2"/>
  <c r="BA62" i="2"/>
  <c r="AU62" i="2"/>
  <c r="BJ62" i="2"/>
  <c r="AY62" i="2"/>
  <c r="AK62" i="2"/>
  <c r="AM62" i="2"/>
  <c r="AS62" i="2"/>
  <c r="AQ62" i="2"/>
  <c r="AW62" i="2"/>
  <c r="AO62" i="2"/>
  <c r="J63" i="2"/>
  <c r="W63" i="2" s="1"/>
  <c r="W61" i="2"/>
  <c r="AH62" i="2"/>
  <c r="AD62" i="2"/>
  <c r="M63" i="2" l="1"/>
  <c r="Y63" i="2" s="1"/>
  <c r="AH63" i="2"/>
  <c r="AD63" i="2"/>
  <c r="B63" i="2"/>
  <c r="BK61" i="2"/>
  <c r="BE61" i="2"/>
  <c r="BB61" i="2"/>
  <c r="BH61" i="2"/>
  <c r="AF63" i="2"/>
  <c r="AB63" i="2"/>
  <c r="A63" i="2"/>
  <c r="AU61" i="2"/>
  <c r="AQ61" i="2"/>
  <c r="AY61" i="2"/>
  <c r="AM61" i="2"/>
  <c r="AW61" i="2"/>
  <c r="BG61" i="2"/>
  <c r="AS61" i="2"/>
  <c r="BJ61" i="2"/>
  <c r="BD61" i="2"/>
  <c r="BA61" i="2"/>
  <c r="AK61" i="2"/>
  <c r="AO61" i="2"/>
  <c r="AU63" i="2" l="1"/>
  <c r="AQ63" i="2"/>
  <c r="AY63" i="2"/>
  <c r="AM63" i="2"/>
  <c r="BG63" i="2"/>
  <c r="BD63" i="2"/>
  <c r="BJ63" i="2"/>
  <c r="AK63" i="2"/>
  <c r="AW63" i="2"/>
  <c r="BA63" i="2"/>
  <c r="AO63" i="2"/>
  <c r="AS63" i="2"/>
  <c r="BE63" i="2"/>
  <c r="BK63" i="2"/>
  <c r="BH63" i="2"/>
  <c r="BB63" i="2"/>
</calcChain>
</file>

<file path=xl/sharedStrings.xml><?xml version="1.0" encoding="utf-8"?>
<sst xmlns="http://schemas.openxmlformats.org/spreadsheetml/2006/main" count="252" uniqueCount="128">
  <si>
    <t xml:space="preserve">Object  Headwise  Expenditure </t>
  </si>
  <si>
    <t>(Rs. In thousands)</t>
  </si>
  <si>
    <t>(Rs. in thousands)</t>
  </si>
  <si>
    <t xml:space="preserve"> </t>
  </si>
  <si>
    <t xml:space="preserve">BE   </t>
  </si>
  <si>
    <t xml:space="preserve">RE   </t>
  </si>
  <si>
    <t xml:space="preserve">             Description</t>
  </si>
  <si>
    <t>Actuals</t>
  </si>
  <si>
    <t xml:space="preserve">% of BE </t>
  </si>
  <si>
    <t xml:space="preserve">% of RE </t>
  </si>
  <si>
    <t>2018-19</t>
  </si>
  <si>
    <t>Code</t>
  </si>
  <si>
    <t>2019-20</t>
  </si>
  <si>
    <t>upto 4/19</t>
  </si>
  <si>
    <t>upto 5/19</t>
  </si>
  <si>
    <t>upto6/19</t>
  </si>
  <si>
    <t>upto 7/19</t>
  </si>
  <si>
    <t>upto 8/19</t>
  </si>
  <si>
    <t>upto 10/19</t>
  </si>
  <si>
    <t>upto 11/19</t>
  </si>
  <si>
    <t>upto 12/19</t>
  </si>
  <si>
    <t>upto 1/20</t>
  </si>
  <si>
    <t>upto 2/20</t>
  </si>
  <si>
    <t>upto 3/20</t>
  </si>
  <si>
    <t>upto04/19</t>
  </si>
  <si>
    <t>upto05/19</t>
  </si>
  <si>
    <t>upto 6/19</t>
  </si>
  <si>
    <t>upto07/19</t>
  </si>
  <si>
    <t>upto08/19</t>
  </si>
  <si>
    <t>upto10/19</t>
  </si>
  <si>
    <t>upto11/19</t>
  </si>
  <si>
    <t>upto12/19</t>
  </si>
  <si>
    <t>upto 01/20</t>
  </si>
  <si>
    <t>upto02/20</t>
  </si>
  <si>
    <t>upto03/20</t>
  </si>
  <si>
    <t>upto01/20</t>
  </si>
  <si>
    <t>CPPY</t>
  </si>
  <si>
    <t xml:space="preserve">                     </t>
  </si>
  <si>
    <t>(upto 4/18)</t>
  </si>
  <si>
    <t>(upto 5/18)</t>
  </si>
  <si>
    <t>(upto 6/18)</t>
  </si>
  <si>
    <t>(upto6/18)</t>
  </si>
  <si>
    <t>(upto 7/18)</t>
  </si>
  <si>
    <t>(upto7/178</t>
  </si>
  <si>
    <t>(upto 8/18)</t>
  </si>
  <si>
    <t>(upto8/18)</t>
  </si>
  <si>
    <t>(upto 9/18)</t>
  </si>
  <si>
    <t>(upto9/18)</t>
  </si>
  <si>
    <t>(upto 10/18)</t>
  </si>
  <si>
    <t>(upto10/18)</t>
  </si>
  <si>
    <t>(upto 11/18)</t>
  </si>
  <si>
    <t>(upto11/18)</t>
  </si>
  <si>
    <t>(upto 12/18)</t>
  </si>
  <si>
    <t>(upto12/18)</t>
  </si>
  <si>
    <t>(upto01/19)</t>
  </si>
  <si>
    <t>(upto01/19</t>
  </si>
  <si>
    <t>(upto02/19)</t>
  </si>
  <si>
    <t>(upto03/19)</t>
  </si>
  <si>
    <t>REVENUE SECTION</t>
  </si>
  <si>
    <t xml:space="preserve">   </t>
  </si>
  <si>
    <t xml:space="preserve">Major Head '2037'-Customs,'2038'-UED,'2216'- </t>
  </si>
  <si>
    <t>Housing and '3606'-Aid Material  &amp; Equipment.</t>
  </si>
  <si>
    <t>01</t>
  </si>
  <si>
    <t>Salaries</t>
  </si>
  <si>
    <t>02</t>
  </si>
  <si>
    <t>Wages</t>
  </si>
  <si>
    <t>03</t>
  </si>
  <si>
    <t>Overtime Allowance</t>
  </si>
  <si>
    <t>05</t>
  </si>
  <si>
    <t>Rewards</t>
  </si>
  <si>
    <t>06</t>
  </si>
  <si>
    <t>Medical Treatment</t>
  </si>
  <si>
    <t>Domestic Travel Expenses</t>
  </si>
  <si>
    <t>Foreign Travel Expenses</t>
  </si>
  <si>
    <t>Office Expenses</t>
  </si>
  <si>
    <t>Rent, Rates &amp; Taxes</t>
  </si>
  <si>
    <t>Publications</t>
  </si>
  <si>
    <t>Other Administrative Expenses</t>
  </si>
  <si>
    <t>Advertising &amp; Publicity</t>
  </si>
  <si>
    <t>Minor Works</t>
  </si>
  <si>
    <t>Professional Services</t>
  </si>
  <si>
    <t>Grants-in-Aid-General</t>
  </si>
  <si>
    <t>Secret Service Expenditure</t>
  </si>
  <si>
    <t>Other Charges</t>
  </si>
  <si>
    <t xml:space="preserve">       (Charged)</t>
  </si>
  <si>
    <t xml:space="preserve">       (Voted)</t>
  </si>
  <si>
    <t>Inter Accounts Transfer</t>
  </si>
  <si>
    <t>Swachhta Action Plan</t>
  </si>
  <si>
    <t xml:space="preserve">       Office Expenses</t>
  </si>
  <si>
    <t xml:space="preserve">Information Technology </t>
  </si>
  <si>
    <t>Other Charges (Voted)</t>
  </si>
  <si>
    <t>Total - Revenue Section</t>
  </si>
  <si>
    <t>Charged</t>
  </si>
  <si>
    <t>Voted</t>
  </si>
  <si>
    <t xml:space="preserve">CAPITAL SECTION </t>
  </si>
  <si>
    <t>I. Major Head '4047'</t>
  </si>
  <si>
    <t xml:space="preserve">     Customs</t>
  </si>
  <si>
    <t xml:space="preserve">Major Works </t>
  </si>
  <si>
    <t>Acquisition of Ships &amp; Fleets</t>
  </si>
  <si>
    <t xml:space="preserve">Acquisition of Anti Smuggling Equipment </t>
  </si>
  <si>
    <t>Total - Major Head '4047'</t>
  </si>
  <si>
    <t>II. Major Head 4059</t>
  </si>
  <si>
    <t xml:space="preserve">Purchase of Ready Built Non-Residential </t>
  </si>
  <si>
    <t xml:space="preserve">Accommodation </t>
  </si>
  <si>
    <t>.</t>
  </si>
  <si>
    <t xml:space="preserve">III. Major Head 4216 </t>
  </si>
  <si>
    <t xml:space="preserve">Purchase of Ready Built Residential </t>
  </si>
  <si>
    <t>Total Capital Section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</si>
  <si>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</si>
  <si>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Grand Total</t>
  </si>
  <si>
    <t xml:space="preserve">Charged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</si>
  <si>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</si>
  <si>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Details of Recoveries adjusted in accounts</t>
  </si>
  <si>
    <t xml:space="preserve">in reduction of expenditure </t>
  </si>
  <si>
    <t xml:space="preserve">Customs </t>
  </si>
  <si>
    <t xml:space="preserve">Deduct Recoveries </t>
  </si>
  <si>
    <t>Union Excise Duties (Major Head)</t>
  </si>
  <si>
    <t>00.911</t>
  </si>
  <si>
    <t>Deduct Recoveries of Over Payment</t>
  </si>
  <si>
    <t>00.00.70</t>
  </si>
  <si>
    <t>Deduct Recoveries</t>
  </si>
  <si>
    <t>Total Major Head '2038'</t>
  </si>
  <si>
    <t>Aid Material &amp;Equipment</t>
  </si>
  <si>
    <t>Total</t>
  </si>
  <si>
    <t xml:space="preserve">RBE </t>
  </si>
  <si>
    <t>Upto the January, 2020</t>
  </si>
  <si>
    <t>% of RBE</t>
  </si>
  <si>
    <t>Grant No.33-Indirect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</si>
</sst>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rgb="FF000000"/>
      <name val="Calibri"/>
      <family val="2"/>
      <scheme val="minor"/>
    </font>
    <font>
      <sz val="10"/>
      <name val="Arial"/>
    </font>
    <font>
      <sz val="12"/>
      <name val="Arial"/>
      <family val="2"/>
    </font>
    <font>
      <sz val="12"/>
      <color indexed="12"/>
      <name val="Arial"/>
      <family val="2"/>
    </font>
    <font>
      <sz val="10"/>
      <color indexed="6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4"/>
      <color indexed="12"/>
      <name val="Arial"/>
      <family val="2"/>
    </font>
    <font>
      <sz val="14"/>
      <color indexed="60"/>
      <name val="Arial"/>
      <family val="2"/>
    </font>
    <font>
      <b/>
      <sz val="12"/>
      <color indexed="14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4"/>
      <color rgb="FFFF0000"/>
      <name val="Arial"/>
      <family val="2"/>
    </font>
    <font>
      <b/>
      <sz val="14"/>
      <color theme="1"/>
      <name val="Arial"/>
      <family val="2"/>
    </font>
    <font>
      <b/>
      <sz val="14"/>
      <color indexed="10"/>
      <name val="Arial"/>
      <family val="2"/>
    </font>
    <font>
      <sz val="12"/>
      <color indexed="53"/>
      <name val="Arial"/>
      <family val="2"/>
    </font>
    <font>
      <sz val="12"/>
      <color indexed="14"/>
      <name val="Arial"/>
      <family val="2"/>
    </font>
    <font>
      <sz val="14"/>
      <color indexed="14"/>
      <name val="Arial"/>
      <family val="2"/>
    </font>
    <font>
      <b/>
      <sz val="11"/>
      <color indexed="14"/>
      <name val="Arial"/>
      <family val="2"/>
    </font>
    <font>
      <sz val="11"/>
      <color indexed="14"/>
      <name val="Arial"/>
      <family val="2"/>
    </font>
    <font>
      <b/>
      <sz val="12"/>
      <color indexed="10"/>
      <name val="Arial"/>
      <family val="2"/>
    </font>
    <font>
      <b/>
      <sz val="11"/>
      <color indexed="10"/>
      <name val="Arial"/>
      <family val="2"/>
    </font>
    <font>
      <sz val="12"/>
      <color indexed="60"/>
      <name val="Arial"/>
      <family val="2"/>
    </font>
    <font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2">
    <xf numFmtId="0" fontId="0" fillId="0" borderId="0" xfId="0" applyFont="1" applyFill="1" applyBorder="1"/>
    <xf numFmtId="0" fontId="2" fillId="0" borderId="1" xfId="1" applyFont="1" applyBorder="1"/>
    <xf numFmtId="0" fontId="2" fillId="0" borderId="2" xfId="1" applyFont="1" applyBorder="1"/>
    <xf numFmtId="0" fontId="2" fillId="0" borderId="1" xfId="1" applyFont="1" applyBorder="1" applyAlignment="1">
      <alignment horizontal="left"/>
    </xf>
    <xf numFmtId="0" fontId="3" fillId="0" borderId="1" xfId="1" applyFont="1" applyBorder="1"/>
    <xf numFmtId="0" fontId="1" fillId="0" borderId="1" xfId="1" applyBorder="1"/>
    <xf numFmtId="0" fontId="4" fillId="0" borderId="1" xfId="1" applyFont="1" applyBorder="1"/>
    <xf numFmtId="0" fontId="1" fillId="0" borderId="1" xfId="1" applyFill="1" applyBorder="1"/>
    <xf numFmtId="0" fontId="5" fillId="0" borderId="1" xfId="1" applyFont="1" applyBorder="1"/>
    <xf numFmtId="0" fontId="6" fillId="0" borderId="1" xfId="1" applyFont="1" applyBorder="1" applyAlignment="1">
      <alignment horizontal="center"/>
    </xf>
    <xf numFmtId="0" fontId="7" fillId="0" borderId="1" xfId="1" applyFont="1" applyBorder="1"/>
    <xf numFmtId="0" fontId="8" fillId="0" borderId="1" xfId="1" applyFont="1" applyBorder="1"/>
    <xf numFmtId="0" fontId="7" fillId="0" borderId="3" xfId="1" applyFont="1" applyBorder="1"/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left" indent="1"/>
    </xf>
    <xf numFmtId="0" fontId="9" fillId="0" borderId="1" xfId="1" applyFont="1" applyBorder="1"/>
    <xf numFmtId="0" fontId="2" fillId="0" borderId="4" xfId="1" applyFont="1" applyBorder="1"/>
    <xf numFmtId="0" fontId="2" fillId="0" borderId="5" xfId="1" applyFont="1" applyBorder="1"/>
    <xf numFmtId="0" fontId="7" fillId="0" borderId="1" xfId="1" applyFont="1" applyBorder="1" applyAlignment="1">
      <alignment horizontal="right"/>
    </xf>
    <xf numFmtId="0" fontId="7" fillId="0" borderId="4" xfId="1" applyFont="1" applyBorder="1"/>
    <xf numFmtId="0" fontId="7" fillId="0" borderId="4" xfId="1" applyFont="1" applyFill="1" applyBorder="1"/>
    <xf numFmtId="2" fontId="6" fillId="0" borderId="1" xfId="1" applyNumberFormat="1" applyFont="1" applyBorder="1"/>
    <xf numFmtId="0" fontId="10" fillId="0" borderId="6" xfId="1" applyFont="1" applyBorder="1" applyAlignment="1">
      <alignment horizontal="center"/>
    </xf>
    <xf numFmtId="0" fontId="11" fillId="0" borderId="7" xfId="1" applyFont="1" applyBorder="1" applyAlignment="1">
      <alignment horizontal="center"/>
    </xf>
    <xf numFmtId="0" fontId="6" fillId="0" borderId="1" xfId="1" applyFont="1" applyBorder="1" applyAlignment="1">
      <alignment horizontal="left"/>
    </xf>
    <xf numFmtId="0" fontId="6" fillId="0" borderId="1" xfId="1" applyFont="1" applyBorder="1"/>
    <xf numFmtId="9" fontId="6" fillId="0" borderId="1" xfId="2" applyFont="1" applyBorder="1" applyAlignment="1">
      <alignment horizontal="center"/>
    </xf>
    <xf numFmtId="0" fontId="6" fillId="0" borderId="8" xfId="1" applyFont="1" applyBorder="1"/>
    <xf numFmtId="9" fontId="6" fillId="0" borderId="9" xfId="2" applyFont="1" applyBorder="1" applyAlignment="1">
      <alignment horizontal="center"/>
    </xf>
    <xf numFmtId="0" fontId="6" fillId="0" borderId="10" xfId="1" applyFont="1" applyBorder="1"/>
    <xf numFmtId="0" fontId="6" fillId="0" borderId="10" xfId="1" applyFont="1" applyFill="1" applyBorder="1"/>
    <xf numFmtId="0" fontId="10" fillId="0" borderId="1" xfId="1" applyFont="1" applyBorder="1" applyAlignment="1">
      <alignment horizontal="center"/>
    </xf>
    <xf numFmtId="0" fontId="11" fillId="0" borderId="11" xfId="1" applyFont="1" applyBorder="1" applyAlignment="1">
      <alignment horizontal="center"/>
    </xf>
    <xf numFmtId="0" fontId="6" fillId="0" borderId="12" xfId="1" applyFont="1" applyBorder="1"/>
    <xf numFmtId="0" fontId="6" fillId="0" borderId="3" xfId="1" applyFont="1" applyBorder="1"/>
    <xf numFmtId="0" fontId="6" fillId="0" borderId="13" xfId="1" applyFont="1" applyBorder="1"/>
    <xf numFmtId="0" fontId="6" fillId="0" borderId="13" xfId="1" applyFont="1" applyFill="1" applyBorder="1"/>
    <xf numFmtId="0" fontId="12" fillId="0" borderId="14" xfId="1" applyFont="1" applyBorder="1" applyAlignment="1">
      <alignment horizontal="center"/>
    </xf>
    <xf numFmtId="0" fontId="11" fillId="0" borderId="15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6" fillId="0" borderId="16" xfId="1" applyFont="1" applyBorder="1"/>
    <xf numFmtId="0" fontId="6" fillId="0" borderId="17" xfId="1" applyFont="1" applyBorder="1" applyAlignment="1">
      <alignment horizontal="center"/>
    </xf>
    <xf numFmtId="0" fontId="6" fillId="0" borderId="18" xfId="1" applyFont="1" applyBorder="1"/>
    <xf numFmtId="0" fontId="6" fillId="0" borderId="18" xfId="1" applyFont="1" applyFill="1" applyBorder="1"/>
    <xf numFmtId="0" fontId="2" fillId="0" borderId="19" xfId="1" applyFont="1" applyBorder="1"/>
    <xf numFmtId="0" fontId="2" fillId="0" borderId="20" xfId="1" applyFont="1" applyBorder="1"/>
    <xf numFmtId="0" fontId="7" fillId="0" borderId="1" xfId="1" applyFont="1" applyBorder="1" applyAlignment="1">
      <alignment horizontal="left"/>
    </xf>
    <xf numFmtId="0" fontId="13" fillId="0" borderId="1" xfId="1" applyFont="1" applyBorder="1"/>
    <xf numFmtId="0" fontId="13" fillId="0" borderId="1" xfId="1" applyFont="1" applyFill="1" applyBorder="1"/>
    <xf numFmtId="0" fontId="2" fillId="0" borderId="1" xfId="1" applyFont="1" applyBorder="1" applyAlignment="1">
      <alignment horizontal="right"/>
    </xf>
    <xf numFmtId="0" fontId="6" fillId="0" borderId="1" xfId="1" quotePrefix="1" applyFont="1" applyBorder="1" applyAlignment="1">
      <alignment horizontal="center"/>
    </xf>
    <xf numFmtId="0" fontId="6" fillId="0" borderId="1" xfId="1" applyFont="1" applyFill="1" applyBorder="1"/>
    <xf numFmtId="1" fontId="6" fillId="0" borderId="1" xfId="1" applyNumberFormat="1" applyFont="1" applyBorder="1"/>
    <xf numFmtId="2" fontId="6" fillId="0" borderId="1" xfId="1" applyNumberFormat="1" applyFont="1" applyBorder="1" applyAlignment="1">
      <alignment horizontal="right"/>
    </xf>
    <xf numFmtId="0" fontId="15" fillId="0" borderId="1" xfId="1" applyFont="1" applyBorder="1"/>
    <xf numFmtId="0" fontId="14" fillId="0" borderId="1" xfId="1" applyFont="1" applyBorder="1"/>
    <xf numFmtId="0" fontId="6" fillId="0" borderId="1" xfId="1" quotePrefix="1" applyFont="1" applyBorder="1" applyAlignment="1">
      <alignment horizontal="left"/>
    </xf>
    <xf numFmtId="0" fontId="16" fillId="0" borderId="1" xfId="1" applyFont="1" applyBorder="1" applyAlignment="1">
      <alignment horizontal="center"/>
    </xf>
    <xf numFmtId="0" fontId="16" fillId="0" borderId="1" xfId="1" applyFont="1" applyBorder="1"/>
    <xf numFmtId="0" fontId="6" fillId="0" borderId="1" xfId="1" applyFont="1" applyBorder="1" applyAlignment="1">
      <alignment horizontal="right"/>
    </xf>
    <xf numFmtId="0" fontId="17" fillId="0" borderId="1" xfId="1" applyFont="1" applyBorder="1"/>
    <xf numFmtId="0" fontId="18" fillId="0" borderId="1" xfId="1" applyFont="1" applyBorder="1"/>
    <xf numFmtId="0" fontId="19" fillId="0" borderId="1" xfId="1" applyFont="1" applyBorder="1"/>
    <xf numFmtId="0" fontId="20" fillId="0" borderId="1" xfId="1" applyFont="1" applyBorder="1"/>
    <xf numFmtId="0" fontId="7" fillId="0" borderId="1" xfId="1" quotePrefix="1" applyFont="1" applyBorder="1" applyAlignment="1">
      <alignment horizontal="right"/>
    </xf>
    <xf numFmtId="0" fontId="21" fillId="0" borderId="1" xfId="1" applyFont="1" applyBorder="1"/>
    <xf numFmtId="0" fontId="7" fillId="0" borderId="1" xfId="1" quotePrefix="1" applyFont="1" applyBorder="1" applyAlignment="1">
      <alignment horizontal="left"/>
    </xf>
    <xf numFmtId="0" fontId="22" fillId="0" borderId="1" xfId="1" applyFont="1" applyBorder="1"/>
    <xf numFmtId="0" fontId="23" fillId="0" borderId="1" xfId="1" applyFont="1" applyBorder="1"/>
    <xf numFmtId="0" fontId="24" fillId="0" borderId="1" xfId="1" applyFont="1" applyBorder="1"/>
    <xf numFmtId="0" fontId="25" fillId="0" borderId="1" xfId="1" applyFont="1" applyBorder="1"/>
    <xf numFmtId="1" fontId="6" fillId="2" borderId="1" xfId="1" applyNumberFormat="1" applyFont="1" applyFill="1" applyBorder="1"/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0105C"/>
      <rgbColor rgb="00FFFFFF"/>
      <rgbColor rgb="00E0ECFC"/>
      <rgbColor rgb="00184F97"/>
      <rgbColor rgb="001C62BF"/>
      <rgbColor rgb="002171DA"/>
      <rgbColor rgb="000A4A9D"/>
      <rgbColor rgb="00FFFFF0"/>
      <rgbColor rgb="00FF4500"/>
      <rgbColor rgb="00FFA500"/>
      <rgbColor rgb="0090EE9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s%20Folder/Actual%20Expenditure%202019-20-%20Grant%20No.%2035-Indirect%20Taxes%20(as%20per%20E-lekha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ual Expenditure 2018-19"/>
      <sheetName val="Object Head wise Statement"/>
      <sheetName val="CGST"/>
      <sheetName val="Customs"/>
      <sheetName val="Total RE &amp; B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</sheetNames>
    <sheetDataSet>
      <sheetData sheetId="0">
        <row r="15">
          <cell r="A15">
            <v>5503550</v>
          </cell>
          <cell r="B15">
            <v>5933400</v>
          </cell>
          <cell r="E15">
            <v>6094750</v>
          </cell>
          <cell r="G15">
            <v>481748</v>
          </cell>
          <cell r="H15">
            <v>0</v>
          </cell>
          <cell r="I15">
            <v>0</v>
          </cell>
          <cell r="J15">
            <v>0</v>
          </cell>
          <cell r="K15">
            <v>2892764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11300</v>
          </cell>
          <cell r="B16">
            <v>9800</v>
          </cell>
          <cell r="E16">
            <v>13600</v>
          </cell>
          <cell r="G16">
            <v>1403</v>
          </cell>
          <cell r="H16">
            <v>0</v>
          </cell>
          <cell r="I16">
            <v>0</v>
          </cell>
          <cell r="J16">
            <v>0</v>
          </cell>
          <cell r="K16">
            <v>7023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A17">
            <v>4920</v>
          </cell>
          <cell r="B17">
            <v>2570</v>
          </cell>
          <cell r="E17">
            <v>2500</v>
          </cell>
          <cell r="G17">
            <v>-7</v>
          </cell>
          <cell r="H17">
            <v>0</v>
          </cell>
          <cell r="I17">
            <v>0</v>
          </cell>
          <cell r="J17">
            <v>0</v>
          </cell>
          <cell r="K17">
            <v>121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41750</v>
          </cell>
          <cell r="B18">
            <v>36550</v>
          </cell>
          <cell r="E18">
            <v>56800</v>
          </cell>
          <cell r="G18">
            <v>47</v>
          </cell>
          <cell r="H18">
            <v>0</v>
          </cell>
          <cell r="I18">
            <v>0</v>
          </cell>
          <cell r="J18">
            <v>0</v>
          </cell>
          <cell r="K18">
            <v>7605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42200</v>
          </cell>
          <cell r="B19">
            <v>47033</v>
          </cell>
          <cell r="E19">
            <v>52700</v>
          </cell>
          <cell r="G19">
            <v>2479</v>
          </cell>
          <cell r="H19">
            <v>0</v>
          </cell>
          <cell r="I19">
            <v>0</v>
          </cell>
          <cell r="J19">
            <v>0</v>
          </cell>
          <cell r="K19">
            <v>18482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57100</v>
          </cell>
          <cell r="B20">
            <v>71400</v>
          </cell>
          <cell r="E20">
            <v>67400</v>
          </cell>
          <cell r="G20">
            <v>2840</v>
          </cell>
          <cell r="H20">
            <v>0</v>
          </cell>
          <cell r="I20">
            <v>0</v>
          </cell>
          <cell r="J20">
            <v>0</v>
          </cell>
          <cell r="K20">
            <v>36689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2500</v>
          </cell>
          <cell r="B21">
            <v>4841</v>
          </cell>
          <cell r="E21">
            <v>2800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647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734700</v>
          </cell>
          <cell r="B22">
            <v>730424</v>
          </cell>
          <cell r="E22">
            <v>590700</v>
          </cell>
          <cell r="G22">
            <v>20641</v>
          </cell>
          <cell r="H22">
            <v>0</v>
          </cell>
          <cell r="I22">
            <v>0</v>
          </cell>
          <cell r="J22">
            <v>0</v>
          </cell>
          <cell r="K22">
            <v>223745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108000</v>
          </cell>
          <cell r="B23">
            <v>98670</v>
          </cell>
          <cell r="E23">
            <v>150050</v>
          </cell>
          <cell r="G23">
            <v>327</v>
          </cell>
          <cell r="H23">
            <v>0</v>
          </cell>
          <cell r="I23">
            <v>0</v>
          </cell>
          <cell r="J23">
            <v>0</v>
          </cell>
          <cell r="K23">
            <v>29418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850</v>
          </cell>
          <cell r="B24">
            <v>841</v>
          </cell>
          <cell r="E24">
            <v>830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230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5550</v>
          </cell>
          <cell r="B25">
            <v>19100</v>
          </cell>
          <cell r="E25">
            <v>3810</v>
          </cell>
          <cell r="G25">
            <v>55</v>
          </cell>
          <cell r="H25">
            <v>0</v>
          </cell>
          <cell r="I25">
            <v>0</v>
          </cell>
          <cell r="J25">
            <v>0</v>
          </cell>
          <cell r="K25">
            <v>1441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</row>
        <row r="26">
          <cell r="A26">
            <v>13400</v>
          </cell>
          <cell r="B26">
            <v>14500</v>
          </cell>
          <cell r="E26">
            <v>63400</v>
          </cell>
          <cell r="G26">
            <v>66</v>
          </cell>
          <cell r="H26">
            <v>0</v>
          </cell>
          <cell r="I26">
            <v>0</v>
          </cell>
          <cell r="J26">
            <v>0</v>
          </cell>
          <cell r="K26">
            <v>307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7">
          <cell r="A27">
            <v>104950</v>
          </cell>
          <cell r="B27">
            <v>108700</v>
          </cell>
          <cell r="E27">
            <v>102200</v>
          </cell>
          <cell r="G27">
            <v>104</v>
          </cell>
          <cell r="H27">
            <v>0</v>
          </cell>
          <cell r="I27">
            <v>0</v>
          </cell>
          <cell r="J27">
            <v>0</v>
          </cell>
          <cell r="K27">
            <v>15263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A28">
            <v>235</v>
          </cell>
          <cell r="B28">
            <v>275</v>
          </cell>
          <cell r="E28">
            <v>260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M28">
            <v>0</v>
          </cell>
          <cell r="N28">
            <v>0</v>
          </cell>
          <cell r="O28">
            <v>0</v>
          </cell>
          <cell r="Q28">
            <v>0</v>
          </cell>
        </row>
        <row r="29">
          <cell r="A29">
            <v>6495</v>
          </cell>
          <cell r="B29">
            <v>7795</v>
          </cell>
          <cell r="E29">
            <v>9000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2934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2">
          <cell r="A32">
            <v>4892</v>
          </cell>
          <cell r="B32">
            <v>4676</v>
          </cell>
          <cell r="E32">
            <v>4986</v>
          </cell>
          <cell r="H32">
            <v>0</v>
          </cell>
          <cell r="I32">
            <v>0</v>
          </cell>
          <cell r="J32">
            <v>0</v>
          </cell>
          <cell r="K32">
            <v>545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5">
          <cell r="A35">
            <v>62900</v>
          </cell>
          <cell r="B35">
            <v>61900</v>
          </cell>
          <cell r="E35">
            <v>57700</v>
          </cell>
          <cell r="G35">
            <v>731</v>
          </cell>
          <cell r="H35">
            <v>0</v>
          </cell>
          <cell r="I35">
            <v>0</v>
          </cell>
          <cell r="J35">
            <v>0</v>
          </cell>
          <cell r="K35">
            <v>15200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7">
          <cell r="A37">
            <v>114500</v>
          </cell>
          <cell r="B37">
            <v>112100</v>
          </cell>
          <cell r="E37">
            <v>104600</v>
          </cell>
          <cell r="G37">
            <v>516</v>
          </cell>
          <cell r="H37">
            <v>0</v>
          </cell>
          <cell r="I37">
            <v>0</v>
          </cell>
          <cell r="J37">
            <v>0</v>
          </cell>
          <cell r="K37">
            <v>34409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43">
          <cell r="A43">
            <v>90000</v>
          </cell>
          <cell r="B43">
            <v>90000</v>
          </cell>
          <cell r="E43">
            <v>90000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42132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A44">
            <v>600</v>
          </cell>
          <cell r="B44">
            <v>1100</v>
          </cell>
          <cell r="E44">
            <v>600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194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A45">
            <v>20</v>
          </cell>
          <cell r="B45">
            <v>20</v>
          </cell>
          <cell r="E45">
            <v>20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-13</v>
          </cell>
          <cell r="M45">
            <v>0</v>
          </cell>
          <cell r="N45">
            <v>0</v>
          </cell>
          <cell r="O45">
            <v>0</v>
          </cell>
        </row>
        <row r="46">
          <cell r="A46">
            <v>1500</v>
          </cell>
          <cell r="B46">
            <v>1500</v>
          </cell>
          <cell r="E46">
            <v>1500</v>
          </cell>
          <cell r="G46">
            <v>374</v>
          </cell>
          <cell r="H46">
            <v>0</v>
          </cell>
          <cell r="I46">
            <v>0</v>
          </cell>
          <cell r="J46">
            <v>0</v>
          </cell>
          <cell r="K46">
            <v>824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A47">
            <v>1500</v>
          </cell>
          <cell r="B47">
            <v>1800</v>
          </cell>
          <cell r="E47">
            <v>1800</v>
          </cell>
          <cell r="G47">
            <v>97</v>
          </cell>
          <cell r="H47">
            <v>0</v>
          </cell>
          <cell r="I47">
            <v>0</v>
          </cell>
          <cell r="J47">
            <v>0</v>
          </cell>
          <cell r="K47">
            <v>1278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A48">
            <v>200</v>
          </cell>
          <cell r="B48">
            <v>200</v>
          </cell>
          <cell r="E48">
            <v>200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68</v>
          </cell>
          <cell r="M48">
            <v>0</v>
          </cell>
          <cell r="N48">
            <v>0</v>
          </cell>
          <cell r="O48">
            <v>0</v>
          </cell>
        </row>
        <row r="49">
          <cell r="A49">
            <v>579900</v>
          </cell>
          <cell r="B49">
            <v>226000</v>
          </cell>
          <cell r="E49">
            <v>324400</v>
          </cell>
          <cell r="G49">
            <v>383</v>
          </cell>
          <cell r="H49">
            <v>0</v>
          </cell>
          <cell r="I49">
            <v>0</v>
          </cell>
          <cell r="J49">
            <v>0</v>
          </cell>
          <cell r="K49">
            <v>30405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A50">
            <v>100</v>
          </cell>
          <cell r="B50">
            <v>100</v>
          </cell>
          <cell r="E50">
            <v>100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69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E51">
            <v>10000</v>
          </cell>
        </row>
        <row r="52">
          <cell r="A52">
            <v>20000</v>
          </cell>
          <cell r="B52">
            <v>20000</v>
          </cell>
          <cell r="E52">
            <v>5000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1334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5">
          <cell r="A55">
            <v>2800</v>
          </cell>
          <cell r="B55">
            <v>2800</v>
          </cell>
          <cell r="E55">
            <v>2800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584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7">
          <cell r="A57">
            <v>500</v>
          </cell>
          <cell r="B57">
            <v>300</v>
          </cell>
          <cell r="E57">
            <v>500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506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62">
          <cell r="A62">
            <v>130000</v>
          </cell>
          <cell r="B62">
            <v>115000</v>
          </cell>
          <cell r="E62">
            <v>130000</v>
          </cell>
          <cell r="G62">
            <v>8721</v>
          </cell>
          <cell r="H62">
            <v>0</v>
          </cell>
          <cell r="I62">
            <v>0</v>
          </cell>
          <cell r="J62">
            <v>0</v>
          </cell>
          <cell r="K62">
            <v>49809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A63">
            <v>0</v>
          </cell>
          <cell r="B63">
            <v>0</v>
          </cell>
          <cell r="E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A64">
            <v>30</v>
          </cell>
          <cell r="B64">
            <v>0</v>
          </cell>
          <cell r="E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A65">
            <v>1200</v>
          </cell>
          <cell r="B65">
            <v>1200</v>
          </cell>
          <cell r="E65">
            <v>1200</v>
          </cell>
          <cell r="G65">
            <v>3</v>
          </cell>
          <cell r="H65">
            <v>0</v>
          </cell>
          <cell r="I65">
            <v>0</v>
          </cell>
          <cell r="J65">
            <v>0</v>
          </cell>
          <cell r="K65">
            <v>565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A66">
            <v>1500</v>
          </cell>
          <cell r="B66">
            <v>1500</v>
          </cell>
          <cell r="E66">
            <v>1500</v>
          </cell>
          <cell r="G66">
            <v>26</v>
          </cell>
          <cell r="H66">
            <v>0</v>
          </cell>
          <cell r="I66">
            <v>0</v>
          </cell>
          <cell r="J66">
            <v>0</v>
          </cell>
          <cell r="K66">
            <v>673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A67">
            <v>4000</v>
          </cell>
          <cell r="B67">
            <v>4000</v>
          </cell>
          <cell r="E67">
            <v>4500</v>
          </cell>
          <cell r="G67">
            <v>41</v>
          </cell>
          <cell r="H67">
            <v>0</v>
          </cell>
          <cell r="I67">
            <v>0</v>
          </cell>
          <cell r="J67">
            <v>0</v>
          </cell>
          <cell r="K67">
            <v>1298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9">
          <cell r="A69">
            <v>0</v>
          </cell>
          <cell r="E69">
            <v>400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M69">
            <v>0</v>
          </cell>
          <cell r="N69">
            <v>0</v>
          </cell>
          <cell r="O69">
            <v>0</v>
          </cell>
        </row>
        <row r="71">
          <cell r="A71">
            <v>400</v>
          </cell>
          <cell r="B71">
            <v>400</v>
          </cell>
          <cell r="E71">
            <v>450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7</v>
          </cell>
          <cell r="M71">
            <v>0</v>
          </cell>
          <cell r="N71">
            <v>0</v>
          </cell>
          <cell r="O71">
            <v>0</v>
          </cell>
          <cell r="Q71">
            <v>0</v>
          </cell>
        </row>
        <row r="73">
          <cell r="A73">
            <v>1600</v>
          </cell>
          <cell r="B73">
            <v>1600</v>
          </cell>
          <cell r="E73">
            <v>1800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184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82">
          <cell r="A82">
            <v>8340000</v>
          </cell>
          <cell r="B82">
            <v>8405000</v>
          </cell>
          <cell r="E82">
            <v>8935000</v>
          </cell>
          <cell r="G82">
            <v>796544</v>
          </cell>
          <cell r="H82">
            <v>0</v>
          </cell>
          <cell r="I82">
            <v>0</v>
          </cell>
          <cell r="J82">
            <v>0</v>
          </cell>
          <cell r="K82">
            <v>4883051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>
            <v>68100</v>
          </cell>
          <cell r="B83">
            <v>69100</v>
          </cell>
          <cell r="E83">
            <v>75800</v>
          </cell>
          <cell r="G83">
            <v>5066</v>
          </cell>
          <cell r="H83">
            <v>0</v>
          </cell>
          <cell r="I83">
            <v>0</v>
          </cell>
          <cell r="J83">
            <v>0</v>
          </cell>
          <cell r="K83">
            <v>28985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A84">
            <v>38800</v>
          </cell>
          <cell r="B84">
            <v>26380</v>
          </cell>
          <cell r="E84">
            <v>26250</v>
          </cell>
          <cell r="G84">
            <v>317</v>
          </cell>
          <cell r="H84">
            <v>0</v>
          </cell>
          <cell r="I84">
            <v>0</v>
          </cell>
          <cell r="J84">
            <v>0</v>
          </cell>
          <cell r="K84">
            <v>1062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A85">
            <v>58250</v>
          </cell>
          <cell r="B85">
            <v>63450</v>
          </cell>
          <cell r="E85">
            <v>93200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18838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A86">
            <v>55150</v>
          </cell>
          <cell r="B86">
            <v>61617</v>
          </cell>
          <cell r="E86">
            <v>64150</v>
          </cell>
          <cell r="G86">
            <v>2529</v>
          </cell>
          <cell r="H86">
            <v>0</v>
          </cell>
          <cell r="I86">
            <v>0</v>
          </cell>
          <cell r="J86">
            <v>0</v>
          </cell>
          <cell r="K86">
            <v>21102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A87">
            <v>129300</v>
          </cell>
          <cell r="B87">
            <v>139200</v>
          </cell>
          <cell r="E87">
            <v>139800</v>
          </cell>
          <cell r="G87">
            <v>6351</v>
          </cell>
          <cell r="H87">
            <v>0</v>
          </cell>
          <cell r="I87">
            <v>0</v>
          </cell>
          <cell r="J87">
            <v>0</v>
          </cell>
          <cell r="K87">
            <v>63465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A88">
            <v>800</v>
          </cell>
          <cell r="B88">
            <v>1459</v>
          </cell>
          <cell r="E88">
            <v>1000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  <row r="89">
          <cell r="A89">
            <v>755000</v>
          </cell>
          <cell r="B89">
            <v>869875</v>
          </cell>
          <cell r="E89">
            <v>741200</v>
          </cell>
          <cell r="G89">
            <v>24230</v>
          </cell>
          <cell r="H89">
            <v>0</v>
          </cell>
          <cell r="I89">
            <v>0</v>
          </cell>
          <cell r="J89">
            <v>0</v>
          </cell>
          <cell r="K89">
            <v>291673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A90">
            <v>391270</v>
          </cell>
          <cell r="B90">
            <v>351100</v>
          </cell>
          <cell r="E90">
            <v>379720</v>
          </cell>
          <cell r="G90">
            <v>2560</v>
          </cell>
          <cell r="H90">
            <v>0</v>
          </cell>
          <cell r="I90">
            <v>0</v>
          </cell>
          <cell r="J90">
            <v>0</v>
          </cell>
          <cell r="K90">
            <v>50063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A91">
            <v>350</v>
          </cell>
          <cell r="B91">
            <v>359</v>
          </cell>
          <cell r="E91">
            <v>370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62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A92">
            <v>2450</v>
          </cell>
          <cell r="B92">
            <v>5000</v>
          </cell>
          <cell r="E92">
            <v>2790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242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A93">
            <v>31600</v>
          </cell>
          <cell r="B93">
            <v>30500</v>
          </cell>
          <cell r="E93">
            <v>26600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1342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A94">
            <v>54850</v>
          </cell>
          <cell r="B94">
            <v>71300</v>
          </cell>
          <cell r="E94">
            <v>57600</v>
          </cell>
          <cell r="G94">
            <v>251</v>
          </cell>
          <cell r="H94">
            <v>0</v>
          </cell>
          <cell r="I94">
            <v>0</v>
          </cell>
          <cell r="J94">
            <v>0</v>
          </cell>
          <cell r="K94">
            <v>16648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A95">
            <v>265</v>
          </cell>
          <cell r="B95">
            <v>225</v>
          </cell>
          <cell r="E95">
            <v>240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M95">
            <v>0</v>
          </cell>
          <cell r="N95">
            <v>0</v>
          </cell>
          <cell r="O95">
            <v>0</v>
          </cell>
          <cell r="Q95">
            <v>6</v>
          </cell>
        </row>
        <row r="96">
          <cell r="A96">
            <v>23130</v>
          </cell>
          <cell r="B96">
            <v>21830</v>
          </cell>
          <cell r="E96">
            <v>25625</v>
          </cell>
          <cell r="G96">
            <v>50</v>
          </cell>
          <cell r="H96">
            <v>0</v>
          </cell>
          <cell r="I96">
            <v>0</v>
          </cell>
          <cell r="J96">
            <v>0</v>
          </cell>
          <cell r="K96">
            <v>6794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</row>
        <row r="99">
          <cell r="A99">
            <v>1108</v>
          </cell>
          <cell r="B99">
            <v>1324</v>
          </cell>
          <cell r="E99">
            <v>2014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174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2">
          <cell r="A102">
            <v>54300</v>
          </cell>
          <cell r="B102">
            <v>56000</v>
          </cell>
          <cell r="E102">
            <v>61950</v>
          </cell>
          <cell r="G102">
            <v>204</v>
          </cell>
          <cell r="H102">
            <v>0</v>
          </cell>
          <cell r="I102">
            <v>0</v>
          </cell>
          <cell r="J102">
            <v>0</v>
          </cell>
          <cell r="K102">
            <v>6952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</row>
        <row r="104">
          <cell r="A104">
            <v>50700</v>
          </cell>
          <cell r="B104">
            <v>52500</v>
          </cell>
          <cell r="E104">
            <v>54400</v>
          </cell>
          <cell r="G104">
            <v>618</v>
          </cell>
          <cell r="H104">
            <v>0</v>
          </cell>
          <cell r="I104">
            <v>0</v>
          </cell>
          <cell r="J104">
            <v>0</v>
          </cell>
          <cell r="K104">
            <v>7732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11">
          <cell r="A111">
            <v>100000</v>
          </cell>
          <cell r="B111">
            <v>100000</v>
          </cell>
          <cell r="E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</row>
        <row r="114">
          <cell r="A114">
            <v>65000</v>
          </cell>
          <cell r="B114">
            <v>65000</v>
          </cell>
          <cell r="E114">
            <v>75000</v>
          </cell>
          <cell r="G114">
            <v>5246</v>
          </cell>
          <cell r="H114">
            <v>0</v>
          </cell>
          <cell r="I114">
            <v>0</v>
          </cell>
          <cell r="J114">
            <v>0</v>
          </cell>
          <cell r="K114">
            <v>35449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A115">
            <v>0</v>
          </cell>
          <cell r="B115">
            <v>0</v>
          </cell>
          <cell r="E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R115">
            <v>0</v>
          </cell>
        </row>
        <row r="116">
          <cell r="A116">
            <v>30</v>
          </cell>
          <cell r="B116">
            <v>30</v>
          </cell>
          <cell r="E116">
            <v>30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M116">
            <v>0</v>
          </cell>
          <cell r="N116">
            <v>0</v>
          </cell>
          <cell r="O116">
            <v>0</v>
          </cell>
          <cell r="R116">
            <v>0</v>
          </cell>
        </row>
        <row r="117">
          <cell r="A117">
            <v>1800</v>
          </cell>
          <cell r="B117">
            <v>1800</v>
          </cell>
          <cell r="E117">
            <v>1800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646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A118">
            <v>3000</v>
          </cell>
          <cell r="B118">
            <v>3000</v>
          </cell>
          <cell r="E118">
            <v>3500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743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A119">
            <v>500</v>
          </cell>
          <cell r="B119">
            <v>500</v>
          </cell>
          <cell r="E119">
            <v>500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187</v>
          </cell>
          <cell r="M119">
            <v>0</v>
          </cell>
          <cell r="N119">
            <v>0</v>
          </cell>
          <cell r="O119">
            <v>0</v>
          </cell>
          <cell r="R119">
            <v>0</v>
          </cell>
        </row>
        <row r="120">
          <cell r="A120">
            <v>53000</v>
          </cell>
          <cell r="B120">
            <v>53000</v>
          </cell>
          <cell r="E120">
            <v>53000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4147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A121">
            <v>130</v>
          </cell>
          <cell r="B121">
            <v>130</v>
          </cell>
          <cell r="E121">
            <v>130</v>
          </cell>
          <cell r="G121">
            <v>0</v>
          </cell>
          <cell r="H121">
            <v>0</v>
          </cell>
          <cell r="J121">
            <v>0</v>
          </cell>
          <cell r="K121">
            <v>9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A122">
            <v>0</v>
          </cell>
          <cell r="B122">
            <v>0</v>
          </cell>
          <cell r="E122">
            <v>0</v>
          </cell>
          <cell r="Q122">
            <v>0</v>
          </cell>
          <cell r="R122">
            <v>0</v>
          </cell>
        </row>
        <row r="123">
          <cell r="A123">
            <v>300000</v>
          </cell>
          <cell r="B123">
            <v>300000</v>
          </cell>
          <cell r="E123">
            <v>300000</v>
          </cell>
          <cell r="G123">
            <v>0</v>
          </cell>
          <cell r="H123">
            <v>0</v>
          </cell>
          <cell r="I123">
            <v>0</v>
          </cell>
          <cell r="K123">
            <v>5070</v>
          </cell>
        </row>
        <row r="124">
          <cell r="A124">
            <v>25</v>
          </cell>
          <cell r="B124">
            <v>25</v>
          </cell>
          <cell r="E124">
            <v>25</v>
          </cell>
          <cell r="G124">
            <v>0</v>
          </cell>
          <cell r="H124">
            <v>0</v>
          </cell>
          <cell r="R124">
            <v>0</v>
          </cell>
        </row>
        <row r="127">
          <cell r="A127">
            <v>500</v>
          </cell>
          <cell r="B127">
            <v>500</v>
          </cell>
          <cell r="E127">
            <v>500</v>
          </cell>
          <cell r="G127">
            <v>0</v>
          </cell>
          <cell r="H127">
            <v>0</v>
          </cell>
          <cell r="J127">
            <v>0</v>
          </cell>
          <cell r="K127">
            <v>0</v>
          </cell>
        </row>
        <row r="129">
          <cell r="A129">
            <v>1200</v>
          </cell>
          <cell r="B129">
            <v>1200</v>
          </cell>
          <cell r="E129">
            <v>1200</v>
          </cell>
          <cell r="G129">
            <v>0</v>
          </cell>
          <cell r="H129">
            <v>0</v>
          </cell>
          <cell r="K129">
            <v>82</v>
          </cell>
          <cell r="R129">
            <v>0</v>
          </cell>
        </row>
        <row r="133">
          <cell r="A133">
            <v>553000</v>
          </cell>
          <cell r="B133">
            <v>521500</v>
          </cell>
          <cell r="E133">
            <v>603000</v>
          </cell>
          <cell r="G133">
            <v>51143</v>
          </cell>
          <cell r="H133">
            <v>0</v>
          </cell>
          <cell r="I133">
            <v>0</v>
          </cell>
          <cell r="J133">
            <v>0</v>
          </cell>
          <cell r="K133">
            <v>275340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A134">
            <v>0</v>
          </cell>
          <cell r="B134">
            <v>0</v>
          </cell>
          <cell r="E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M134">
            <v>0</v>
          </cell>
          <cell r="N134">
            <v>0</v>
          </cell>
          <cell r="O134">
            <v>0</v>
          </cell>
          <cell r="R134">
            <v>0</v>
          </cell>
        </row>
        <row r="135">
          <cell r="A135">
            <v>1200</v>
          </cell>
          <cell r="B135">
            <v>1000</v>
          </cell>
          <cell r="E135">
            <v>1200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138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A136">
            <v>450000</v>
          </cell>
          <cell r="B136">
            <v>450000</v>
          </cell>
          <cell r="E136">
            <v>470000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20983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A137">
            <v>8150</v>
          </cell>
          <cell r="B137">
            <v>6850</v>
          </cell>
          <cell r="E137">
            <v>8650</v>
          </cell>
          <cell r="G137">
            <v>2</v>
          </cell>
          <cell r="H137">
            <v>0</v>
          </cell>
          <cell r="I137">
            <v>0</v>
          </cell>
          <cell r="J137">
            <v>0</v>
          </cell>
          <cell r="K137">
            <v>895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A138">
            <v>27600</v>
          </cell>
          <cell r="B138">
            <v>33100</v>
          </cell>
          <cell r="E138">
            <v>36000</v>
          </cell>
          <cell r="G138">
            <v>718</v>
          </cell>
          <cell r="H138">
            <v>0</v>
          </cell>
          <cell r="I138">
            <v>0</v>
          </cell>
          <cell r="J138">
            <v>0</v>
          </cell>
          <cell r="K138">
            <v>17747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A139">
            <v>11000</v>
          </cell>
          <cell r="B139">
            <v>10500</v>
          </cell>
          <cell r="E139">
            <v>12000</v>
          </cell>
          <cell r="H139">
            <v>0</v>
          </cell>
          <cell r="I139">
            <v>0</v>
          </cell>
          <cell r="J139">
            <v>0</v>
          </cell>
          <cell r="K139">
            <v>1484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A140">
            <v>273400</v>
          </cell>
          <cell r="B140">
            <v>266701</v>
          </cell>
          <cell r="E140">
            <v>276200</v>
          </cell>
          <cell r="G140">
            <v>3320</v>
          </cell>
          <cell r="H140">
            <v>0</v>
          </cell>
          <cell r="I140">
            <v>0</v>
          </cell>
          <cell r="J140">
            <v>0</v>
          </cell>
          <cell r="K140">
            <v>97105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A141">
            <v>238000</v>
          </cell>
          <cell r="B141">
            <v>200000</v>
          </cell>
          <cell r="E141">
            <v>220000</v>
          </cell>
          <cell r="G141">
            <v>2968</v>
          </cell>
          <cell r="H141">
            <v>0</v>
          </cell>
          <cell r="I141">
            <v>0</v>
          </cell>
          <cell r="J141">
            <v>0</v>
          </cell>
          <cell r="K141">
            <v>34275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A142">
            <v>1800</v>
          </cell>
          <cell r="B142">
            <v>1800</v>
          </cell>
          <cell r="E142">
            <v>1800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857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A143">
            <v>12000</v>
          </cell>
          <cell r="B143">
            <v>10100</v>
          </cell>
          <cell r="E143">
            <v>13000</v>
          </cell>
          <cell r="G143">
            <v>4</v>
          </cell>
          <cell r="H143">
            <v>0</v>
          </cell>
          <cell r="I143">
            <v>0</v>
          </cell>
          <cell r="J143">
            <v>0</v>
          </cell>
          <cell r="K143">
            <v>1633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A144">
            <v>5000</v>
          </cell>
          <cell r="B144">
            <v>5000</v>
          </cell>
          <cell r="E144">
            <v>5000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84</v>
          </cell>
          <cell r="M144">
            <v>0</v>
          </cell>
          <cell r="N144">
            <v>0</v>
          </cell>
          <cell r="O144">
            <v>0</v>
          </cell>
          <cell r="Q144">
            <v>0</v>
          </cell>
          <cell r="R144">
            <v>0</v>
          </cell>
        </row>
        <row r="145">
          <cell r="A145">
            <v>40200</v>
          </cell>
          <cell r="B145">
            <v>40000</v>
          </cell>
          <cell r="E145">
            <v>40200</v>
          </cell>
          <cell r="G145">
            <v>122</v>
          </cell>
          <cell r="H145">
            <v>0</v>
          </cell>
          <cell r="I145">
            <v>0</v>
          </cell>
          <cell r="J145">
            <v>0</v>
          </cell>
          <cell r="K145">
            <v>8049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</row>
        <row r="146">
          <cell r="A146">
            <v>65350</v>
          </cell>
          <cell r="B146">
            <v>65350</v>
          </cell>
          <cell r="E146">
            <v>75350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38623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9">
          <cell r="A149">
            <v>0</v>
          </cell>
          <cell r="E149">
            <v>0</v>
          </cell>
          <cell r="H149">
            <v>0</v>
          </cell>
          <cell r="I149">
            <v>0</v>
          </cell>
          <cell r="J149">
            <v>0</v>
          </cell>
          <cell r="M149">
            <v>0</v>
          </cell>
          <cell r="N149">
            <v>0</v>
          </cell>
          <cell r="O149">
            <v>0</v>
          </cell>
          <cell r="R149">
            <v>0</v>
          </cell>
        </row>
        <row r="151">
          <cell r="A151">
            <v>19100</v>
          </cell>
          <cell r="B151">
            <v>18400</v>
          </cell>
          <cell r="E151">
            <v>26600</v>
          </cell>
          <cell r="G151">
            <v>59</v>
          </cell>
          <cell r="H151">
            <v>0</v>
          </cell>
          <cell r="I151">
            <v>0</v>
          </cell>
          <cell r="J151">
            <v>0</v>
          </cell>
          <cell r="K151">
            <v>2354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</row>
        <row r="153">
          <cell r="A153">
            <v>31500</v>
          </cell>
          <cell r="B153">
            <v>32300</v>
          </cell>
          <cell r="E153">
            <v>37500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4598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</row>
        <row r="163">
          <cell r="A163">
            <v>380000</v>
          </cell>
          <cell r="B163">
            <v>380000</v>
          </cell>
          <cell r="E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</row>
        <row r="167">
          <cell r="A167">
            <v>50000</v>
          </cell>
          <cell r="B167">
            <v>50000</v>
          </cell>
          <cell r="E167">
            <v>50000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16500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9">
          <cell r="A169">
            <v>68450</v>
          </cell>
          <cell r="B169">
            <v>70100</v>
          </cell>
          <cell r="E169">
            <v>72250</v>
          </cell>
          <cell r="G169">
            <v>3759</v>
          </cell>
          <cell r="H169">
            <v>0</v>
          </cell>
          <cell r="I169">
            <v>0</v>
          </cell>
          <cell r="J169">
            <v>0</v>
          </cell>
          <cell r="K169">
            <v>23288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8">
          <cell r="A178">
            <v>764000</v>
          </cell>
          <cell r="B178">
            <v>633500</v>
          </cell>
          <cell r="E178">
            <v>783000</v>
          </cell>
          <cell r="G178">
            <v>68086</v>
          </cell>
          <cell r="H178">
            <v>0</v>
          </cell>
          <cell r="I178">
            <v>0</v>
          </cell>
          <cell r="J178">
            <v>0</v>
          </cell>
          <cell r="K178">
            <v>377152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A179">
            <v>0</v>
          </cell>
          <cell r="B179">
            <v>0</v>
          </cell>
          <cell r="E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M179">
            <v>0</v>
          </cell>
          <cell r="N179">
            <v>0</v>
          </cell>
          <cell r="O179">
            <v>0</v>
          </cell>
          <cell r="R179">
            <v>0</v>
          </cell>
        </row>
        <row r="180">
          <cell r="A180">
            <v>260</v>
          </cell>
          <cell r="B180">
            <v>240</v>
          </cell>
          <cell r="E180">
            <v>240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A181">
            <v>9250</v>
          </cell>
          <cell r="B181">
            <v>10000</v>
          </cell>
          <cell r="E181">
            <v>10400</v>
          </cell>
          <cell r="G181">
            <v>178</v>
          </cell>
          <cell r="H181">
            <v>0</v>
          </cell>
          <cell r="I181">
            <v>0</v>
          </cell>
          <cell r="J181">
            <v>0</v>
          </cell>
          <cell r="K181">
            <v>2449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A182">
            <v>22700</v>
          </cell>
          <cell r="B182">
            <v>25300</v>
          </cell>
          <cell r="E182">
            <v>27500</v>
          </cell>
          <cell r="G182">
            <v>684</v>
          </cell>
          <cell r="H182">
            <v>0</v>
          </cell>
          <cell r="I182">
            <v>0</v>
          </cell>
          <cell r="J182">
            <v>0</v>
          </cell>
          <cell r="K182">
            <v>11430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A183">
            <v>2600</v>
          </cell>
          <cell r="B183">
            <v>2600</v>
          </cell>
          <cell r="E183">
            <v>2700</v>
          </cell>
          <cell r="G183">
            <v>116</v>
          </cell>
          <cell r="H183">
            <v>0</v>
          </cell>
          <cell r="I183">
            <v>0</v>
          </cell>
          <cell r="J183">
            <v>0</v>
          </cell>
          <cell r="K183">
            <v>1153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A184">
            <v>143550</v>
          </cell>
          <cell r="B184">
            <v>171350</v>
          </cell>
          <cell r="E184">
            <v>179150</v>
          </cell>
          <cell r="G184">
            <v>5746</v>
          </cell>
          <cell r="H184">
            <v>0</v>
          </cell>
          <cell r="I184">
            <v>0</v>
          </cell>
          <cell r="J184">
            <v>0</v>
          </cell>
          <cell r="K184">
            <v>54347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A185">
            <v>197000</v>
          </cell>
          <cell r="B185">
            <v>142100</v>
          </cell>
          <cell r="E185">
            <v>127600</v>
          </cell>
          <cell r="G185">
            <v>331</v>
          </cell>
          <cell r="H185">
            <v>0</v>
          </cell>
          <cell r="I185">
            <v>0</v>
          </cell>
          <cell r="J185">
            <v>0</v>
          </cell>
          <cell r="K185">
            <v>36525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</row>
        <row r="186">
          <cell r="A186">
            <v>400</v>
          </cell>
          <cell r="B186">
            <v>775</v>
          </cell>
          <cell r="E186">
            <v>500</v>
          </cell>
          <cell r="G186">
            <v>0</v>
          </cell>
          <cell r="H186">
            <v>0</v>
          </cell>
          <cell r="J186">
            <v>8</v>
          </cell>
          <cell r="K186">
            <v>81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</row>
        <row r="187">
          <cell r="A187">
            <v>100</v>
          </cell>
          <cell r="B187">
            <v>500</v>
          </cell>
          <cell r="E187">
            <v>1100</v>
          </cell>
          <cell r="G187">
            <v>89</v>
          </cell>
          <cell r="H187">
            <v>0</v>
          </cell>
          <cell r="I187">
            <v>0</v>
          </cell>
          <cell r="J187">
            <v>0</v>
          </cell>
          <cell r="K187">
            <v>485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</row>
        <row r="188">
          <cell r="A188">
            <v>7220</v>
          </cell>
          <cell r="B188">
            <v>9070</v>
          </cell>
          <cell r="E188">
            <v>9070</v>
          </cell>
          <cell r="G188">
            <v>271</v>
          </cell>
          <cell r="H188">
            <v>0</v>
          </cell>
          <cell r="I188">
            <v>0</v>
          </cell>
          <cell r="J188">
            <v>0</v>
          </cell>
          <cell r="K188">
            <v>2589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</row>
        <row r="189">
          <cell r="A189">
            <v>0</v>
          </cell>
          <cell r="E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M189">
            <v>0</v>
          </cell>
          <cell r="N189">
            <v>0</v>
          </cell>
          <cell r="O189">
            <v>0</v>
          </cell>
          <cell r="R189">
            <v>0</v>
          </cell>
        </row>
        <row r="190">
          <cell r="R190">
            <v>0</v>
          </cell>
        </row>
        <row r="192">
          <cell r="A192">
            <v>11310</v>
          </cell>
          <cell r="B192">
            <v>11910</v>
          </cell>
          <cell r="E192">
            <v>12110</v>
          </cell>
          <cell r="G192">
            <v>3308</v>
          </cell>
          <cell r="H192">
            <v>0</v>
          </cell>
          <cell r="I192">
            <v>0</v>
          </cell>
          <cell r="J192">
            <v>0</v>
          </cell>
          <cell r="K192">
            <v>3989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</row>
        <row r="194">
          <cell r="A194">
            <v>19900</v>
          </cell>
          <cell r="B194">
            <v>67900</v>
          </cell>
          <cell r="E194">
            <v>23300</v>
          </cell>
          <cell r="G194">
            <v>169</v>
          </cell>
          <cell r="H194">
            <v>0</v>
          </cell>
          <cell r="I194">
            <v>0</v>
          </cell>
          <cell r="J194">
            <v>0</v>
          </cell>
          <cell r="K194">
            <v>6384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</row>
        <row r="199">
          <cell r="A199">
            <v>500000</v>
          </cell>
          <cell r="B199">
            <v>360000</v>
          </cell>
          <cell r="E199">
            <v>400000</v>
          </cell>
          <cell r="G199">
            <v>25028</v>
          </cell>
          <cell r="H199">
            <v>0</v>
          </cell>
          <cell r="I199">
            <v>0</v>
          </cell>
          <cell r="J199">
            <v>0</v>
          </cell>
          <cell r="K199">
            <v>153302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</row>
        <row r="200">
          <cell r="A200">
            <v>4000</v>
          </cell>
          <cell r="B200">
            <v>4000</v>
          </cell>
          <cell r="E200">
            <v>4000</v>
          </cell>
          <cell r="G200">
            <v>267</v>
          </cell>
          <cell r="H200">
            <v>0</v>
          </cell>
          <cell r="I200">
            <v>0</v>
          </cell>
          <cell r="J200">
            <v>0</v>
          </cell>
          <cell r="K200">
            <v>1351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</row>
        <row r="201">
          <cell r="A201">
            <v>200</v>
          </cell>
          <cell r="B201">
            <v>200</v>
          </cell>
          <cell r="E201">
            <v>100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M201">
            <v>0</v>
          </cell>
          <cell r="N201">
            <v>0</v>
          </cell>
          <cell r="O201">
            <v>0</v>
          </cell>
        </row>
        <row r="202">
          <cell r="A202">
            <v>5000</v>
          </cell>
          <cell r="B202">
            <v>4000</v>
          </cell>
          <cell r="E202">
            <v>4000</v>
          </cell>
          <cell r="G202">
            <v>9</v>
          </cell>
          <cell r="H202">
            <v>0</v>
          </cell>
          <cell r="I202">
            <v>0</v>
          </cell>
          <cell r="J202">
            <v>0</v>
          </cell>
          <cell r="K202">
            <v>824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</row>
        <row r="203">
          <cell r="A203">
            <v>100000</v>
          </cell>
          <cell r="B203">
            <v>55000</v>
          </cell>
          <cell r="E203">
            <v>70000</v>
          </cell>
          <cell r="G203">
            <v>427</v>
          </cell>
          <cell r="H203">
            <v>0</v>
          </cell>
          <cell r="I203">
            <v>0</v>
          </cell>
          <cell r="J203">
            <v>0</v>
          </cell>
          <cell r="K203">
            <v>14217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</row>
        <row r="204">
          <cell r="A204">
            <v>25000</v>
          </cell>
          <cell r="B204">
            <v>21500</v>
          </cell>
          <cell r="E204">
            <v>22500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445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</row>
        <row r="205">
          <cell r="A205">
            <v>225000</v>
          </cell>
          <cell r="B205">
            <v>229502</v>
          </cell>
          <cell r="E205">
            <v>237000</v>
          </cell>
          <cell r="G205">
            <v>5201</v>
          </cell>
          <cell r="H205">
            <v>0</v>
          </cell>
          <cell r="I205">
            <v>0</v>
          </cell>
          <cell r="J205">
            <v>0</v>
          </cell>
          <cell r="K205">
            <v>69121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</row>
        <row r="206">
          <cell r="A206">
            <v>100000</v>
          </cell>
          <cell r="B206">
            <v>55000</v>
          </cell>
          <cell r="E206">
            <v>70000</v>
          </cell>
          <cell r="G206">
            <v>1523</v>
          </cell>
          <cell r="H206">
            <v>0</v>
          </cell>
          <cell r="I206">
            <v>0</v>
          </cell>
          <cell r="J206">
            <v>0</v>
          </cell>
          <cell r="K206">
            <v>14572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</row>
        <row r="207">
          <cell r="A207">
            <v>100</v>
          </cell>
          <cell r="B207">
            <v>100</v>
          </cell>
          <cell r="E207">
            <v>100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M207">
            <v>0</v>
          </cell>
          <cell r="N207">
            <v>0</v>
          </cell>
        </row>
        <row r="208">
          <cell r="A208">
            <v>300000</v>
          </cell>
          <cell r="B208">
            <v>280000</v>
          </cell>
          <cell r="E208">
            <v>300000</v>
          </cell>
          <cell r="G208">
            <v>1068</v>
          </cell>
          <cell r="H208">
            <v>0</v>
          </cell>
          <cell r="I208">
            <v>0</v>
          </cell>
          <cell r="J208">
            <v>0</v>
          </cell>
          <cell r="K208">
            <v>14681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</row>
        <row r="209">
          <cell r="A209">
            <v>400</v>
          </cell>
          <cell r="B209">
            <v>400</v>
          </cell>
          <cell r="E209">
            <v>400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</row>
        <row r="210">
          <cell r="A210">
            <v>1000</v>
          </cell>
          <cell r="B210">
            <v>1000</v>
          </cell>
          <cell r="E210">
            <v>1500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M210">
            <v>0</v>
          </cell>
          <cell r="N210">
            <v>0</v>
          </cell>
        </row>
        <row r="213">
          <cell r="A213">
            <v>2500</v>
          </cell>
          <cell r="B213">
            <v>2500</v>
          </cell>
          <cell r="E213">
            <v>2500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M213">
            <v>0</v>
          </cell>
          <cell r="N213">
            <v>0</v>
          </cell>
        </row>
        <row r="215">
          <cell r="A215">
            <v>20000</v>
          </cell>
          <cell r="B215">
            <v>20000</v>
          </cell>
          <cell r="E215">
            <v>20000</v>
          </cell>
          <cell r="G215">
            <v>26</v>
          </cell>
          <cell r="H215">
            <v>0</v>
          </cell>
          <cell r="I215">
            <v>0</v>
          </cell>
          <cell r="J215">
            <v>0</v>
          </cell>
          <cell r="K215">
            <v>1160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</row>
        <row r="217">
          <cell r="A217">
            <v>15000</v>
          </cell>
          <cell r="B217">
            <v>15000</v>
          </cell>
          <cell r="E217">
            <v>20000</v>
          </cell>
          <cell r="G217">
            <v>61</v>
          </cell>
          <cell r="H217">
            <v>0</v>
          </cell>
          <cell r="I217">
            <v>0</v>
          </cell>
          <cell r="J217">
            <v>0</v>
          </cell>
          <cell r="K217">
            <v>1048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</row>
        <row r="223">
          <cell r="A223">
            <v>210000</v>
          </cell>
          <cell r="B223">
            <v>210000</v>
          </cell>
          <cell r="E223">
            <v>250000</v>
          </cell>
          <cell r="G223">
            <v>8391</v>
          </cell>
          <cell r="H223">
            <v>0</v>
          </cell>
          <cell r="I223">
            <v>0</v>
          </cell>
          <cell r="J223">
            <v>0</v>
          </cell>
          <cell r="K223">
            <v>81268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</row>
        <row r="224">
          <cell r="A224">
            <v>0</v>
          </cell>
          <cell r="B224">
            <v>0</v>
          </cell>
          <cell r="E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M224">
            <v>0</v>
          </cell>
          <cell r="N224">
            <v>0</v>
          </cell>
        </row>
        <row r="225">
          <cell r="A225">
            <v>100</v>
          </cell>
          <cell r="B225">
            <v>70</v>
          </cell>
          <cell r="E225">
            <v>100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-3</v>
          </cell>
          <cell r="M225">
            <v>0</v>
          </cell>
          <cell r="N225">
            <v>0</v>
          </cell>
        </row>
        <row r="226">
          <cell r="A226">
            <v>1800</v>
          </cell>
          <cell r="B226">
            <v>1800</v>
          </cell>
          <cell r="E226">
            <v>2000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593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</row>
        <row r="227">
          <cell r="A227">
            <v>7000</v>
          </cell>
          <cell r="B227">
            <v>8000</v>
          </cell>
          <cell r="E227">
            <v>9000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3423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</row>
        <row r="228">
          <cell r="A228">
            <v>1000</v>
          </cell>
          <cell r="B228">
            <v>1000</v>
          </cell>
          <cell r="E228">
            <v>1000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277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</row>
        <row r="229">
          <cell r="A229">
            <v>39000</v>
          </cell>
          <cell r="B229">
            <v>41750</v>
          </cell>
          <cell r="E229">
            <v>45000</v>
          </cell>
          <cell r="G229">
            <v>2431</v>
          </cell>
          <cell r="H229">
            <v>0</v>
          </cell>
          <cell r="I229">
            <v>0</v>
          </cell>
          <cell r="J229">
            <v>0</v>
          </cell>
          <cell r="K229">
            <v>16530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</row>
        <row r="230">
          <cell r="A230">
            <v>120000</v>
          </cell>
          <cell r="B230">
            <v>120000</v>
          </cell>
          <cell r="E230">
            <v>130000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39661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</row>
        <row r="231">
          <cell r="A231">
            <v>1000</v>
          </cell>
          <cell r="B231">
            <v>1000</v>
          </cell>
          <cell r="E231">
            <v>1000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M231">
            <v>0</v>
          </cell>
          <cell r="N231">
            <v>0</v>
          </cell>
          <cell r="O231">
            <v>0</v>
          </cell>
          <cell r="Q231">
            <v>0</v>
          </cell>
        </row>
        <row r="232">
          <cell r="A232">
            <v>840</v>
          </cell>
          <cell r="B232">
            <v>840</v>
          </cell>
          <cell r="E232">
            <v>1000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220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</row>
        <row r="235">
          <cell r="A235">
            <v>3000</v>
          </cell>
          <cell r="B235">
            <v>3000</v>
          </cell>
          <cell r="E235">
            <v>3000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482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</row>
        <row r="237">
          <cell r="A237">
            <v>5500</v>
          </cell>
          <cell r="B237">
            <v>5500</v>
          </cell>
          <cell r="E237">
            <v>6000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1581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</row>
        <row r="242">
          <cell r="A242">
            <v>220000</v>
          </cell>
          <cell r="B242">
            <v>100000</v>
          </cell>
          <cell r="E242">
            <v>150000</v>
          </cell>
          <cell r="G242">
            <v>5760</v>
          </cell>
          <cell r="H242">
            <v>0</v>
          </cell>
          <cell r="I242">
            <v>0</v>
          </cell>
          <cell r="J242">
            <v>0</v>
          </cell>
          <cell r="K242">
            <v>34701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</row>
        <row r="243">
          <cell r="A243">
            <v>0</v>
          </cell>
          <cell r="B243">
            <v>0</v>
          </cell>
          <cell r="E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M243">
            <v>0</v>
          </cell>
          <cell r="N243">
            <v>0</v>
          </cell>
          <cell r="O243">
            <v>0</v>
          </cell>
        </row>
        <row r="244">
          <cell r="A244">
            <v>130</v>
          </cell>
          <cell r="B244">
            <v>100</v>
          </cell>
          <cell r="E244">
            <v>100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18</v>
          </cell>
          <cell r="M244">
            <v>0</v>
          </cell>
          <cell r="N244">
            <v>0</v>
          </cell>
          <cell r="O244">
            <v>0</v>
          </cell>
        </row>
        <row r="245">
          <cell r="A245">
            <v>1700</v>
          </cell>
          <cell r="B245">
            <v>1700</v>
          </cell>
          <cell r="E245">
            <v>1700</v>
          </cell>
          <cell r="G245">
            <v>266</v>
          </cell>
          <cell r="H245">
            <v>0</v>
          </cell>
          <cell r="I245">
            <v>0</v>
          </cell>
          <cell r="J245">
            <v>0</v>
          </cell>
          <cell r="K245">
            <v>883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A246">
            <v>1700</v>
          </cell>
          <cell r="B246">
            <v>2500</v>
          </cell>
          <cell r="E246">
            <v>3000</v>
          </cell>
          <cell r="G246">
            <v>314</v>
          </cell>
          <cell r="H246">
            <v>0</v>
          </cell>
          <cell r="I246">
            <v>0</v>
          </cell>
          <cell r="J246">
            <v>0</v>
          </cell>
          <cell r="K246">
            <v>1555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</row>
        <row r="247">
          <cell r="A247">
            <v>300</v>
          </cell>
          <cell r="B247">
            <v>300</v>
          </cell>
          <cell r="E247">
            <v>300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M247">
            <v>0</v>
          </cell>
          <cell r="N247">
            <v>0</v>
          </cell>
          <cell r="O247">
            <v>0</v>
          </cell>
        </row>
        <row r="248">
          <cell r="A248">
            <v>24500</v>
          </cell>
          <cell r="B248">
            <v>28000</v>
          </cell>
          <cell r="E248">
            <v>35000</v>
          </cell>
          <cell r="G248">
            <v>1135</v>
          </cell>
          <cell r="H248">
            <v>0</v>
          </cell>
          <cell r="I248">
            <v>0</v>
          </cell>
          <cell r="J248">
            <v>0</v>
          </cell>
          <cell r="K248">
            <v>10241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49">
          <cell r="A249">
            <v>8400</v>
          </cell>
          <cell r="B249">
            <v>4800</v>
          </cell>
          <cell r="E249">
            <v>6000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760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</row>
        <row r="250">
          <cell r="A250">
            <v>17000</v>
          </cell>
          <cell r="B250">
            <v>10300</v>
          </cell>
          <cell r="E250">
            <v>12000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2889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  <row r="251">
          <cell r="A251">
            <v>0</v>
          </cell>
          <cell r="B251">
            <v>0</v>
          </cell>
          <cell r="E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M251">
            <v>0</v>
          </cell>
          <cell r="N251">
            <v>0</v>
          </cell>
          <cell r="O251">
            <v>0</v>
          </cell>
        </row>
        <row r="252">
          <cell r="A252">
            <v>1650000</v>
          </cell>
          <cell r="B252">
            <v>1200000</v>
          </cell>
          <cell r="E252">
            <v>1400000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1398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</row>
        <row r="253">
          <cell r="A253">
            <v>200</v>
          </cell>
          <cell r="E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M253">
            <v>0</v>
          </cell>
          <cell r="N253">
            <v>0</v>
          </cell>
          <cell r="O253">
            <v>0</v>
          </cell>
        </row>
        <row r="254">
          <cell r="B254">
            <v>0</v>
          </cell>
        </row>
        <row r="256">
          <cell r="A256">
            <v>1800</v>
          </cell>
          <cell r="B256">
            <v>2000</v>
          </cell>
          <cell r="E256">
            <v>2000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97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</row>
        <row r="258">
          <cell r="A258">
            <v>3000</v>
          </cell>
          <cell r="B258">
            <v>3000</v>
          </cell>
          <cell r="E258">
            <v>3500</v>
          </cell>
          <cell r="G258">
            <v>472</v>
          </cell>
          <cell r="H258">
            <v>0</v>
          </cell>
          <cell r="I258">
            <v>0</v>
          </cell>
          <cell r="J258">
            <v>0</v>
          </cell>
          <cell r="K258">
            <v>972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</row>
        <row r="263">
          <cell r="A263">
            <v>800000</v>
          </cell>
          <cell r="B263">
            <v>500000</v>
          </cell>
          <cell r="E263">
            <v>500000</v>
          </cell>
          <cell r="G263">
            <v>29669</v>
          </cell>
          <cell r="H263">
            <v>0</v>
          </cell>
          <cell r="I263">
            <v>0</v>
          </cell>
          <cell r="J263">
            <v>0</v>
          </cell>
          <cell r="K263">
            <v>176422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</row>
        <row r="264">
          <cell r="A264">
            <v>500</v>
          </cell>
          <cell r="B264">
            <v>0</v>
          </cell>
          <cell r="E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</row>
        <row r="265">
          <cell r="A265">
            <v>0</v>
          </cell>
          <cell r="B265">
            <v>500</v>
          </cell>
          <cell r="E265">
            <v>500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66</v>
          </cell>
          <cell r="M265">
            <v>0</v>
          </cell>
          <cell r="N265">
            <v>0</v>
          </cell>
          <cell r="O265">
            <v>0</v>
          </cell>
        </row>
        <row r="266">
          <cell r="A266">
            <v>400000</v>
          </cell>
          <cell r="B266">
            <v>400000</v>
          </cell>
          <cell r="E266">
            <v>450000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45603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</row>
        <row r="267">
          <cell r="A267">
            <v>10000</v>
          </cell>
          <cell r="B267">
            <v>5000</v>
          </cell>
          <cell r="E267">
            <v>10000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893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</row>
        <row r="268">
          <cell r="A268">
            <v>30000</v>
          </cell>
          <cell r="B268">
            <v>32500</v>
          </cell>
          <cell r="E268">
            <v>35000</v>
          </cell>
          <cell r="G268">
            <v>109</v>
          </cell>
          <cell r="H268">
            <v>0</v>
          </cell>
          <cell r="I268">
            <v>0</v>
          </cell>
          <cell r="J268">
            <v>0</v>
          </cell>
          <cell r="K268">
            <v>5692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</row>
        <row r="269">
          <cell r="A269">
            <v>200</v>
          </cell>
          <cell r="B269">
            <v>200</v>
          </cell>
          <cell r="E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A270">
            <v>280000</v>
          </cell>
          <cell r="B270">
            <v>240385</v>
          </cell>
          <cell r="E270">
            <v>350000</v>
          </cell>
          <cell r="G270">
            <v>2428</v>
          </cell>
          <cell r="H270">
            <v>0</v>
          </cell>
          <cell r="I270">
            <v>0</v>
          </cell>
          <cell r="J270">
            <v>0</v>
          </cell>
          <cell r="K270">
            <v>65790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</row>
        <row r="271">
          <cell r="A271">
            <v>320000</v>
          </cell>
          <cell r="B271">
            <v>230000</v>
          </cell>
          <cell r="E271">
            <v>320000</v>
          </cell>
          <cell r="G271">
            <v>1216</v>
          </cell>
          <cell r="H271">
            <v>0</v>
          </cell>
          <cell r="I271">
            <v>0</v>
          </cell>
          <cell r="J271">
            <v>0</v>
          </cell>
          <cell r="K271">
            <v>46555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</row>
        <row r="272">
          <cell r="A272">
            <v>200</v>
          </cell>
          <cell r="B272">
            <v>0</v>
          </cell>
          <cell r="E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A273">
            <v>1000</v>
          </cell>
          <cell r="B273">
            <v>500</v>
          </cell>
          <cell r="E273">
            <v>500</v>
          </cell>
          <cell r="G273">
            <v>0</v>
          </cell>
          <cell r="H273">
            <v>0</v>
          </cell>
          <cell r="J273">
            <v>0</v>
          </cell>
          <cell r="K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</row>
        <row r="274">
          <cell r="A274">
            <v>200</v>
          </cell>
          <cell r="B274">
            <v>200</v>
          </cell>
          <cell r="E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M274">
            <v>0</v>
          </cell>
          <cell r="N274">
            <v>0</v>
          </cell>
          <cell r="O274">
            <v>0</v>
          </cell>
        </row>
        <row r="275">
          <cell r="A275">
            <v>10000</v>
          </cell>
          <cell r="B275">
            <v>10000</v>
          </cell>
          <cell r="E275">
            <v>15000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1872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</row>
        <row r="276">
          <cell r="A276">
            <v>30000</v>
          </cell>
          <cell r="B276">
            <v>30000</v>
          </cell>
          <cell r="E276">
            <v>35000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8525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</row>
        <row r="278">
          <cell r="A278">
            <v>10000</v>
          </cell>
          <cell r="B278">
            <v>10000</v>
          </cell>
          <cell r="E278">
            <v>10000</v>
          </cell>
          <cell r="G278">
            <v>36</v>
          </cell>
          <cell r="H278">
            <v>0</v>
          </cell>
          <cell r="I278">
            <v>0</v>
          </cell>
          <cell r="J278">
            <v>0</v>
          </cell>
          <cell r="K278">
            <v>1274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</row>
        <row r="280">
          <cell r="A280">
            <v>30000</v>
          </cell>
          <cell r="B280">
            <v>30000</v>
          </cell>
          <cell r="E280">
            <v>35000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5139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</row>
        <row r="285">
          <cell r="A285">
            <v>6500</v>
          </cell>
          <cell r="B285">
            <v>6600</v>
          </cell>
          <cell r="E285">
            <v>7200</v>
          </cell>
          <cell r="G285">
            <v>490</v>
          </cell>
          <cell r="H285">
            <v>0</v>
          </cell>
          <cell r="I285">
            <v>0</v>
          </cell>
          <cell r="J285">
            <v>0</v>
          </cell>
          <cell r="K285">
            <v>2770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</row>
        <row r="286">
          <cell r="A286">
            <v>0</v>
          </cell>
          <cell r="B286">
            <v>0</v>
          </cell>
          <cell r="E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M286">
            <v>0</v>
          </cell>
          <cell r="N286">
            <v>0</v>
          </cell>
          <cell r="O286">
            <v>0</v>
          </cell>
        </row>
        <row r="287">
          <cell r="A287">
            <v>0</v>
          </cell>
          <cell r="B287">
            <v>0</v>
          </cell>
          <cell r="E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M287">
            <v>0</v>
          </cell>
          <cell r="N287">
            <v>0</v>
          </cell>
          <cell r="O287">
            <v>0</v>
          </cell>
        </row>
        <row r="288">
          <cell r="A288">
            <v>120</v>
          </cell>
          <cell r="B288">
            <v>120</v>
          </cell>
          <cell r="E288">
            <v>140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42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</row>
        <row r="289">
          <cell r="A289">
            <v>130</v>
          </cell>
          <cell r="B289">
            <v>150</v>
          </cell>
          <cell r="E289">
            <v>170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46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</row>
        <row r="290">
          <cell r="A290">
            <v>220</v>
          </cell>
          <cell r="B290">
            <v>250</v>
          </cell>
          <cell r="E290">
            <v>300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109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</row>
        <row r="294">
          <cell r="A294">
            <v>20</v>
          </cell>
          <cell r="B294">
            <v>20</v>
          </cell>
          <cell r="E294">
            <v>30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M294">
            <v>0</v>
          </cell>
          <cell r="N294">
            <v>0</v>
          </cell>
          <cell r="O294">
            <v>0</v>
          </cell>
        </row>
        <row r="296">
          <cell r="A296">
            <v>200</v>
          </cell>
          <cell r="B296">
            <v>200</v>
          </cell>
          <cell r="E296">
            <v>200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9</v>
          </cell>
          <cell r="M296">
            <v>0</v>
          </cell>
          <cell r="N296">
            <v>0</v>
          </cell>
          <cell r="O296">
            <v>0</v>
          </cell>
        </row>
        <row r="301">
          <cell r="A301">
            <v>78000</v>
          </cell>
          <cell r="B301">
            <v>64000</v>
          </cell>
          <cell r="E301">
            <v>77500</v>
          </cell>
          <cell r="G301">
            <v>3289</v>
          </cell>
          <cell r="H301">
            <v>0</v>
          </cell>
          <cell r="I301">
            <v>0</v>
          </cell>
          <cell r="J301">
            <v>0</v>
          </cell>
          <cell r="K301">
            <v>20248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</row>
        <row r="302">
          <cell r="A302">
            <v>0</v>
          </cell>
          <cell r="B302">
            <v>0</v>
          </cell>
          <cell r="E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A303">
            <v>0</v>
          </cell>
          <cell r="B303">
            <v>0</v>
          </cell>
          <cell r="E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>
            <v>1000</v>
          </cell>
          <cell r="B304">
            <v>1600</v>
          </cell>
          <cell r="E304">
            <v>1000</v>
          </cell>
          <cell r="G304">
            <v>4</v>
          </cell>
          <cell r="H304">
            <v>0</v>
          </cell>
          <cell r="I304">
            <v>0</v>
          </cell>
          <cell r="J304">
            <v>0</v>
          </cell>
          <cell r="K304">
            <v>84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</row>
        <row r="305">
          <cell r="A305">
            <v>4500</v>
          </cell>
          <cell r="B305">
            <v>3200</v>
          </cell>
          <cell r="E305">
            <v>4250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1437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</row>
        <row r="306">
          <cell r="A306">
            <v>24000</v>
          </cell>
          <cell r="B306">
            <v>22700</v>
          </cell>
          <cell r="E306">
            <v>24800</v>
          </cell>
          <cell r="G306">
            <v>1358</v>
          </cell>
          <cell r="H306">
            <v>0</v>
          </cell>
          <cell r="I306">
            <v>0</v>
          </cell>
          <cell r="J306">
            <v>0</v>
          </cell>
          <cell r="K306">
            <v>8966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</row>
        <row r="307">
          <cell r="A307">
            <v>83200</v>
          </cell>
          <cell r="B307">
            <v>63200</v>
          </cell>
          <cell r="E307">
            <v>73200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14207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</row>
        <row r="309">
          <cell r="A309">
            <v>1500</v>
          </cell>
          <cell r="B309">
            <v>1500</v>
          </cell>
          <cell r="E309">
            <v>1500</v>
          </cell>
          <cell r="G309">
            <v>47</v>
          </cell>
          <cell r="H309">
            <v>0</v>
          </cell>
          <cell r="I309">
            <v>0</v>
          </cell>
          <cell r="J309">
            <v>0</v>
          </cell>
          <cell r="K309">
            <v>319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</row>
        <row r="311">
          <cell r="A311">
            <v>3000</v>
          </cell>
          <cell r="B311">
            <v>2350</v>
          </cell>
          <cell r="E311">
            <v>2850</v>
          </cell>
          <cell r="G311">
            <v>99</v>
          </cell>
          <cell r="H311">
            <v>0</v>
          </cell>
          <cell r="I311">
            <v>0</v>
          </cell>
          <cell r="J311">
            <v>0</v>
          </cell>
          <cell r="K311">
            <v>512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</row>
        <row r="317">
          <cell r="A317">
            <v>0</v>
          </cell>
          <cell r="B317">
            <v>0</v>
          </cell>
          <cell r="E317">
            <v>0</v>
          </cell>
        </row>
        <row r="318">
          <cell r="A318">
            <v>0</v>
          </cell>
          <cell r="B318">
            <v>0</v>
          </cell>
          <cell r="E318">
            <v>0</v>
          </cell>
        </row>
        <row r="319">
          <cell r="A319">
            <v>0</v>
          </cell>
          <cell r="B319">
            <v>0</v>
          </cell>
          <cell r="E319">
            <v>0</v>
          </cell>
        </row>
        <row r="320">
          <cell r="A320">
            <v>0</v>
          </cell>
          <cell r="B320">
            <v>0</v>
          </cell>
          <cell r="E320">
            <v>0</v>
          </cell>
        </row>
        <row r="321">
          <cell r="A321">
            <v>0</v>
          </cell>
          <cell r="B321">
            <v>0</v>
          </cell>
          <cell r="E321">
            <v>0</v>
          </cell>
        </row>
        <row r="322">
          <cell r="A322">
            <v>0</v>
          </cell>
          <cell r="B322">
            <v>0</v>
          </cell>
          <cell r="E322">
            <v>0</v>
          </cell>
        </row>
        <row r="323">
          <cell r="A323">
            <v>0</v>
          </cell>
          <cell r="B323">
            <v>0</v>
          </cell>
          <cell r="E323">
            <v>0</v>
          </cell>
        </row>
        <row r="324">
          <cell r="A324">
            <v>0</v>
          </cell>
          <cell r="B324">
            <v>0</v>
          </cell>
          <cell r="E324">
            <v>0</v>
          </cell>
        </row>
        <row r="326">
          <cell r="A326">
            <v>0</v>
          </cell>
          <cell r="B326">
            <v>0</v>
          </cell>
          <cell r="E326">
            <v>0</v>
          </cell>
        </row>
        <row r="331">
          <cell r="A331">
            <v>350000</v>
          </cell>
          <cell r="B331">
            <v>314300</v>
          </cell>
          <cell r="E331">
            <v>355000</v>
          </cell>
          <cell r="G331">
            <v>16791</v>
          </cell>
          <cell r="H331">
            <v>0</v>
          </cell>
          <cell r="I331">
            <v>0</v>
          </cell>
          <cell r="J331">
            <v>0</v>
          </cell>
          <cell r="K331">
            <v>102088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</row>
        <row r="332">
          <cell r="A332">
            <v>0</v>
          </cell>
          <cell r="B332">
            <v>0</v>
          </cell>
          <cell r="E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A333">
            <v>70</v>
          </cell>
          <cell r="B333">
            <v>70</v>
          </cell>
          <cell r="E333">
            <v>30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M333">
            <v>0</v>
          </cell>
          <cell r="N333">
            <v>0</v>
          </cell>
          <cell r="O333">
            <v>0</v>
          </cell>
        </row>
        <row r="334">
          <cell r="A334">
            <v>6300</v>
          </cell>
          <cell r="B334">
            <v>5300</v>
          </cell>
          <cell r="E334">
            <v>5500</v>
          </cell>
          <cell r="G334">
            <v>5</v>
          </cell>
          <cell r="H334">
            <v>0</v>
          </cell>
          <cell r="I334">
            <v>0</v>
          </cell>
          <cell r="J334">
            <v>0</v>
          </cell>
          <cell r="K334">
            <v>996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</row>
        <row r="335">
          <cell r="A335">
            <v>17800</v>
          </cell>
          <cell r="B335">
            <v>19800</v>
          </cell>
          <cell r="E335">
            <v>20800</v>
          </cell>
          <cell r="G335">
            <v>1</v>
          </cell>
          <cell r="H335">
            <v>0</v>
          </cell>
          <cell r="I335">
            <v>0</v>
          </cell>
          <cell r="J335">
            <v>0</v>
          </cell>
          <cell r="K335">
            <v>5168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</row>
        <row r="336">
          <cell r="A336">
            <v>3500</v>
          </cell>
          <cell r="B336">
            <v>3300</v>
          </cell>
          <cell r="E336">
            <v>3500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366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</row>
        <row r="337">
          <cell r="A337">
            <v>209550</v>
          </cell>
          <cell r="B337">
            <v>171400</v>
          </cell>
          <cell r="E337">
            <v>176700</v>
          </cell>
          <cell r="G337">
            <v>771</v>
          </cell>
          <cell r="H337">
            <v>0</v>
          </cell>
          <cell r="I337">
            <v>0</v>
          </cell>
          <cell r="J337">
            <v>0</v>
          </cell>
          <cell r="K337">
            <v>38907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</row>
        <row r="338">
          <cell r="A338">
            <v>345000</v>
          </cell>
          <cell r="B338">
            <v>341000</v>
          </cell>
          <cell r="E338">
            <v>320000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28030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</row>
        <row r="339">
          <cell r="A339">
            <v>100</v>
          </cell>
          <cell r="B339">
            <v>100</v>
          </cell>
          <cell r="E339">
            <v>100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4</v>
          </cell>
          <cell r="M339">
            <v>0</v>
          </cell>
          <cell r="N339">
            <v>0</v>
          </cell>
          <cell r="O339">
            <v>0</v>
          </cell>
        </row>
        <row r="340">
          <cell r="A340">
            <v>3000</v>
          </cell>
          <cell r="B340">
            <v>3200</v>
          </cell>
          <cell r="E340">
            <v>4000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932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</row>
        <row r="341">
          <cell r="A341">
            <v>500</v>
          </cell>
          <cell r="B341">
            <v>500</v>
          </cell>
          <cell r="E341">
            <v>500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</row>
        <row r="342">
          <cell r="A342">
            <v>500</v>
          </cell>
          <cell r="B342">
            <v>500</v>
          </cell>
          <cell r="E342">
            <v>600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200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</row>
        <row r="344">
          <cell r="A344">
            <v>13350</v>
          </cell>
          <cell r="B344">
            <v>7350</v>
          </cell>
          <cell r="E344">
            <v>15150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316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</row>
        <row r="346">
          <cell r="A346">
            <v>4211880</v>
          </cell>
          <cell r="B346">
            <v>4346600</v>
          </cell>
          <cell r="E346">
            <v>4174400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703085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</row>
        <row r="347">
          <cell r="A347">
            <v>2400000</v>
          </cell>
          <cell r="B347">
            <v>1190000</v>
          </cell>
          <cell r="E347">
            <v>2400000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</row>
        <row r="355">
          <cell r="A355">
            <v>30801400</v>
          </cell>
          <cell r="B355">
            <v>31078600</v>
          </cell>
          <cell r="E355">
            <v>32325000</v>
          </cell>
          <cell r="G355">
            <v>2693967</v>
          </cell>
          <cell r="H355">
            <v>0</v>
          </cell>
          <cell r="I355">
            <v>0</v>
          </cell>
          <cell r="J355">
            <v>0</v>
          </cell>
          <cell r="K355">
            <v>16210867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</row>
        <row r="356">
          <cell r="A356">
            <v>164660</v>
          </cell>
          <cell r="B356">
            <v>166000</v>
          </cell>
          <cell r="E356">
            <v>156000</v>
          </cell>
          <cell r="G356">
            <v>10277</v>
          </cell>
          <cell r="H356">
            <v>0</v>
          </cell>
          <cell r="I356">
            <v>0</v>
          </cell>
          <cell r="J356">
            <v>0</v>
          </cell>
          <cell r="K356">
            <v>74820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</row>
        <row r="357">
          <cell r="A357">
            <v>22540</v>
          </cell>
          <cell r="B357">
            <v>18820</v>
          </cell>
          <cell r="E357">
            <v>18330</v>
          </cell>
          <cell r="G357">
            <v>39</v>
          </cell>
          <cell r="H357">
            <v>0</v>
          </cell>
          <cell r="I357">
            <v>0</v>
          </cell>
          <cell r="J357">
            <v>0</v>
          </cell>
          <cell r="K357">
            <v>1833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</row>
        <row r="358">
          <cell r="A358">
            <v>148800</v>
          </cell>
          <cell r="B358">
            <v>150000</v>
          </cell>
          <cell r="E358">
            <v>130000</v>
          </cell>
          <cell r="G358">
            <v>21591</v>
          </cell>
          <cell r="H358">
            <v>0</v>
          </cell>
          <cell r="I358">
            <v>0</v>
          </cell>
          <cell r="J358">
            <v>0</v>
          </cell>
          <cell r="K358">
            <v>70087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</row>
        <row r="359">
          <cell r="A359">
            <v>245830</v>
          </cell>
          <cell r="B359">
            <v>252480</v>
          </cell>
          <cell r="E359">
            <v>246260</v>
          </cell>
          <cell r="G359">
            <v>8727</v>
          </cell>
          <cell r="H359">
            <v>0</v>
          </cell>
          <cell r="I359">
            <v>0</v>
          </cell>
          <cell r="J359">
            <v>0</v>
          </cell>
          <cell r="K359">
            <v>90943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</row>
        <row r="360">
          <cell r="A360">
            <v>486670</v>
          </cell>
          <cell r="B360">
            <v>513550</v>
          </cell>
          <cell r="E360">
            <v>529280</v>
          </cell>
          <cell r="G360">
            <v>25746</v>
          </cell>
          <cell r="H360">
            <v>0</v>
          </cell>
          <cell r="I360">
            <v>0</v>
          </cell>
          <cell r="J360">
            <v>0</v>
          </cell>
          <cell r="K360">
            <v>267610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</row>
        <row r="361">
          <cell r="A361">
            <v>2400</v>
          </cell>
          <cell r="B361">
            <v>3600</v>
          </cell>
          <cell r="E361">
            <v>8500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1117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</row>
        <row r="362">
          <cell r="A362">
            <v>2930780</v>
          </cell>
          <cell r="B362">
            <v>3224263</v>
          </cell>
          <cell r="E362">
            <v>2681650</v>
          </cell>
          <cell r="G362">
            <v>136224</v>
          </cell>
          <cell r="H362">
            <v>0</v>
          </cell>
          <cell r="I362">
            <v>0</v>
          </cell>
          <cell r="J362">
            <v>0</v>
          </cell>
          <cell r="K362">
            <v>1407606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</row>
        <row r="363">
          <cell r="A363">
            <v>2188650</v>
          </cell>
          <cell r="B363">
            <v>2122650</v>
          </cell>
          <cell r="E363">
            <v>1702950</v>
          </cell>
          <cell r="G363">
            <v>126412</v>
          </cell>
          <cell r="H363">
            <v>0</v>
          </cell>
          <cell r="I363">
            <v>0</v>
          </cell>
          <cell r="J363">
            <v>0</v>
          </cell>
          <cell r="K363">
            <v>1044720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</row>
        <row r="364">
          <cell r="A364">
            <v>4200</v>
          </cell>
          <cell r="B364">
            <v>10725</v>
          </cell>
          <cell r="E364">
            <v>9300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285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</row>
        <row r="365">
          <cell r="A365">
            <v>25900</v>
          </cell>
          <cell r="B365">
            <v>31600</v>
          </cell>
          <cell r="E365">
            <v>43400</v>
          </cell>
          <cell r="G365">
            <v>145</v>
          </cell>
          <cell r="H365">
            <v>0</v>
          </cell>
          <cell r="I365">
            <v>0</v>
          </cell>
          <cell r="J365">
            <v>0</v>
          </cell>
          <cell r="K365">
            <v>10301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</row>
        <row r="366">
          <cell r="A366">
            <v>48900</v>
          </cell>
          <cell r="B366">
            <v>48900</v>
          </cell>
          <cell r="E366">
            <v>49100</v>
          </cell>
          <cell r="G366">
            <v>297</v>
          </cell>
          <cell r="H366">
            <v>0</v>
          </cell>
          <cell r="I366">
            <v>0</v>
          </cell>
          <cell r="J366">
            <v>0</v>
          </cell>
          <cell r="K366">
            <v>3715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</row>
        <row r="367">
          <cell r="A367">
            <v>180780</v>
          </cell>
          <cell r="B367">
            <v>158930</v>
          </cell>
          <cell r="E367">
            <v>173430</v>
          </cell>
          <cell r="G367">
            <v>5239</v>
          </cell>
          <cell r="H367">
            <v>0</v>
          </cell>
          <cell r="I367">
            <v>0</v>
          </cell>
          <cell r="J367">
            <v>0</v>
          </cell>
          <cell r="K367">
            <v>40869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</row>
        <row r="368">
          <cell r="A368">
            <v>23400</v>
          </cell>
          <cell r="B368">
            <v>23660</v>
          </cell>
          <cell r="E368">
            <v>33400</v>
          </cell>
          <cell r="G368">
            <v>590</v>
          </cell>
          <cell r="H368">
            <v>0</v>
          </cell>
          <cell r="I368">
            <v>0</v>
          </cell>
          <cell r="J368">
            <v>0</v>
          </cell>
          <cell r="K368">
            <v>11277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</row>
        <row r="371">
          <cell r="A371">
            <v>3000</v>
          </cell>
          <cell r="B371">
            <v>3000</v>
          </cell>
          <cell r="E371">
            <v>3500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103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</row>
        <row r="374">
          <cell r="A374">
            <v>286820</v>
          </cell>
          <cell r="B374">
            <v>292220</v>
          </cell>
          <cell r="E374">
            <v>284010</v>
          </cell>
          <cell r="G374">
            <v>1699</v>
          </cell>
          <cell r="H374">
            <v>0</v>
          </cell>
          <cell r="I374">
            <v>0</v>
          </cell>
          <cell r="J374">
            <v>0</v>
          </cell>
          <cell r="K374">
            <v>40837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</row>
        <row r="376">
          <cell r="A376">
            <v>511020</v>
          </cell>
          <cell r="B376">
            <v>416350</v>
          </cell>
          <cell r="E376">
            <v>374750</v>
          </cell>
          <cell r="G376">
            <v>2141</v>
          </cell>
          <cell r="H376">
            <v>0</v>
          </cell>
          <cell r="I376">
            <v>0</v>
          </cell>
          <cell r="J376">
            <v>0</v>
          </cell>
          <cell r="K376">
            <v>72200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</row>
        <row r="383">
          <cell r="A383">
            <v>600000</v>
          </cell>
          <cell r="B383">
            <v>580000</v>
          </cell>
          <cell r="E383">
            <v>640000</v>
          </cell>
          <cell r="G383">
            <v>45683</v>
          </cell>
          <cell r="H383">
            <v>0</v>
          </cell>
          <cell r="I383">
            <v>0</v>
          </cell>
          <cell r="J383">
            <v>0</v>
          </cell>
          <cell r="K383">
            <v>266715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</row>
        <row r="384">
          <cell r="A384">
            <v>40</v>
          </cell>
          <cell r="B384">
            <v>0</v>
          </cell>
          <cell r="E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M384">
            <v>0</v>
          </cell>
          <cell r="N384">
            <v>0</v>
          </cell>
          <cell r="O384">
            <v>0</v>
          </cell>
        </row>
        <row r="385">
          <cell r="A385">
            <v>200</v>
          </cell>
          <cell r="B385">
            <v>0</v>
          </cell>
          <cell r="E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M385">
            <v>0</v>
          </cell>
          <cell r="N385">
            <v>0</v>
          </cell>
          <cell r="O385">
            <v>0</v>
          </cell>
        </row>
        <row r="386">
          <cell r="A386">
            <v>8000</v>
          </cell>
          <cell r="B386">
            <v>8000</v>
          </cell>
          <cell r="E386">
            <v>9000</v>
          </cell>
          <cell r="G386">
            <v>252</v>
          </cell>
          <cell r="H386">
            <v>0</v>
          </cell>
          <cell r="I386">
            <v>0</v>
          </cell>
          <cell r="J386">
            <v>0</v>
          </cell>
          <cell r="K386">
            <v>2563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</row>
        <row r="387">
          <cell r="A387">
            <v>9000</v>
          </cell>
          <cell r="B387">
            <v>10000</v>
          </cell>
          <cell r="E387">
            <v>11000</v>
          </cell>
          <cell r="G387">
            <v>93</v>
          </cell>
          <cell r="H387">
            <v>0</v>
          </cell>
          <cell r="I387">
            <v>0</v>
          </cell>
          <cell r="J387">
            <v>0</v>
          </cell>
          <cell r="K387">
            <v>3135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</row>
        <row r="388">
          <cell r="A388">
            <v>20400</v>
          </cell>
          <cell r="B388">
            <v>20400</v>
          </cell>
          <cell r="E388">
            <v>20400</v>
          </cell>
          <cell r="G388">
            <v>371</v>
          </cell>
          <cell r="H388">
            <v>0</v>
          </cell>
          <cell r="I388">
            <v>0</v>
          </cell>
          <cell r="J388">
            <v>0</v>
          </cell>
          <cell r="K388">
            <v>6205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</row>
        <row r="389">
          <cell r="A389">
            <v>250</v>
          </cell>
          <cell r="B389">
            <v>250</v>
          </cell>
          <cell r="E389">
            <v>250</v>
          </cell>
          <cell r="G389">
            <v>20</v>
          </cell>
          <cell r="H389">
            <v>0</v>
          </cell>
          <cell r="I389">
            <v>0</v>
          </cell>
          <cell r="J389">
            <v>0</v>
          </cell>
          <cell r="K389">
            <v>58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</row>
        <row r="390">
          <cell r="E390">
            <v>0</v>
          </cell>
        </row>
        <row r="391">
          <cell r="A391">
            <v>0</v>
          </cell>
          <cell r="E391">
            <v>1000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22</v>
          </cell>
          <cell r="M391">
            <v>0</v>
          </cell>
          <cell r="N391">
            <v>0</v>
          </cell>
          <cell r="O391">
            <v>0</v>
          </cell>
        </row>
        <row r="393">
          <cell r="A393">
            <v>2000</v>
          </cell>
          <cell r="B393">
            <v>2000</v>
          </cell>
          <cell r="E393">
            <v>2200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199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</row>
        <row r="395">
          <cell r="A395">
            <v>100000</v>
          </cell>
          <cell r="B395">
            <v>100000</v>
          </cell>
          <cell r="E395">
            <v>110000</v>
          </cell>
          <cell r="G395">
            <v>30</v>
          </cell>
          <cell r="H395">
            <v>0</v>
          </cell>
          <cell r="I395">
            <v>0</v>
          </cell>
          <cell r="J395">
            <v>0</v>
          </cell>
          <cell r="K395">
            <v>2789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</row>
        <row r="404">
          <cell r="A404">
            <v>70000</v>
          </cell>
          <cell r="B404">
            <v>0</v>
          </cell>
          <cell r="E404">
            <v>0</v>
          </cell>
        </row>
        <row r="405">
          <cell r="A405">
            <v>800</v>
          </cell>
          <cell r="B405">
            <v>0</v>
          </cell>
          <cell r="E405">
            <v>0</v>
          </cell>
        </row>
        <row r="406">
          <cell r="A406">
            <v>1500</v>
          </cell>
          <cell r="B406">
            <v>0</v>
          </cell>
          <cell r="E406">
            <v>0</v>
          </cell>
        </row>
        <row r="407">
          <cell r="A407">
            <v>1200</v>
          </cell>
          <cell r="B407">
            <v>0</v>
          </cell>
          <cell r="E407">
            <v>0</v>
          </cell>
        </row>
        <row r="408">
          <cell r="A408">
            <v>1000</v>
          </cell>
          <cell r="B408">
            <v>0</v>
          </cell>
          <cell r="E408">
            <v>0</v>
          </cell>
        </row>
        <row r="409">
          <cell r="A409">
            <v>500</v>
          </cell>
          <cell r="B409">
            <v>0</v>
          </cell>
          <cell r="E409">
            <v>0</v>
          </cell>
        </row>
        <row r="410">
          <cell r="A410">
            <v>0</v>
          </cell>
          <cell r="B410">
            <v>0</v>
          </cell>
          <cell r="E410">
            <v>0</v>
          </cell>
        </row>
        <row r="411">
          <cell r="A411">
            <v>3000</v>
          </cell>
          <cell r="B411">
            <v>0</v>
          </cell>
          <cell r="E411">
            <v>0</v>
          </cell>
        </row>
        <row r="412">
          <cell r="A412">
            <v>2000</v>
          </cell>
          <cell r="B412">
            <v>0</v>
          </cell>
          <cell r="E412">
            <v>0</v>
          </cell>
        </row>
        <row r="413">
          <cell r="A413">
            <v>0</v>
          </cell>
          <cell r="B413">
            <v>0</v>
          </cell>
          <cell r="E413">
            <v>0</v>
          </cell>
        </row>
        <row r="414">
          <cell r="A414">
            <v>60</v>
          </cell>
          <cell r="B414">
            <v>0</v>
          </cell>
          <cell r="E414">
            <v>0</v>
          </cell>
        </row>
        <row r="420">
          <cell r="A420">
            <v>200</v>
          </cell>
          <cell r="B420">
            <v>0</v>
          </cell>
          <cell r="E420">
            <v>0</v>
          </cell>
        </row>
        <row r="422">
          <cell r="A422">
            <v>500</v>
          </cell>
          <cell r="B422">
            <v>0</v>
          </cell>
          <cell r="E422">
            <v>0</v>
          </cell>
        </row>
        <row r="427">
          <cell r="A427">
            <v>200000</v>
          </cell>
          <cell r="B427">
            <v>220000</v>
          </cell>
          <cell r="E427">
            <v>250000</v>
          </cell>
          <cell r="G427">
            <v>328</v>
          </cell>
          <cell r="H427">
            <v>0</v>
          </cell>
          <cell r="I427">
            <v>0</v>
          </cell>
          <cell r="J427">
            <v>0</v>
          </cell>
          <cell r="K427">
            <v>4766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</row>
        <row r="428">
          <cell r="A428">
            <v>1000</v>
          </cell>
          <cell r="B428">
            <v>1000</v>
          </cell>
          <cell r="E428">
            <v>1000</v>
          </cell>
          <cell r="H428">
            <v>0</v>
          </cell>
          <cell r="I428">
            <v>0</v>
          </cell>
          <cell r="J428">
            <v>0</v>
          </cell>
          <cell r="K428">
            <v>20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</row>
        <row r="432">
          <cell r="A432">
            <v>0</v>
          </cell>
          <cell r="B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</row>
        <row r="434">
          <cell r="A434">
            <v>100100</v>
          </cell>
          <cell r="B434">
            <v>74600</v>
          </cell>
          <cell r="E434">
            <v>89900</v>
          </cell>
          <cell r="G434">
            <v>3983</v>
          </cell>
          <cell r="H434">
            <v>0</v>
          </cell>
          <cell r="I434">
            <v>0</v>
          </cell>
          <cell r="J434">
            <v>0</v>
          </cell>
          <cell r="K434">
            <v>24858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</row>
        <row r="442">
          <cell r="I442">
            <v>0</v>
          </cell>
          <cell r="J442">
            <v>0</v>
          </cell>
          <cell r="K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</row>
        <row r="444">
          <cell r="A444">
            <v>-100000</v>
          </cell>
          <cell r="B444">
            <v>-100000</v>
          </cell>
          <cell r="E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</row>
        <row r="456">
          <cell r="A456">
            <v>130000</v>
          </cell>
          <cell r="B456">
            <v>176000</v>
          </cell>
          <cell r="E456">
            <v>180000</v>
          </cell>
          <cell r="F456">
            <v>0</v>
          </cell>
          <cell r="G456">
            <v>183</v>
          </cell>
          <cell r="H456">
            <v>0</v>
          </cell>
          <cell r="I456">
            <v>0</v>
          </cell>
          <cell r="J456">
            <v>0</v>
          </cell>
          <cell r="K456">
            <v>6174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</row>
        <row r="466">
          <cell r="A466">
            <v>5000</v>
          </cell>
          <cell r="B466">
            <v>5000</v>
          </cell>
          <cell r="E466">
            <v>5000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</row>
        <row r="477">
          <cell r="A477">
            <v>100000</v>
          </cell>
          <cell r="B477">
            <v>100000</v>
          </cell>
          <cell r="E477">
            <v>100000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</row>
        <row r="480">
          <cell r="A480">
            <v>950000</v>
          </cell>
          <cell r="B480">
            <v>890000</v>
          </cell>
          <cell r="E480">
            <v>950000</v>
          </cell>
          <cell r="G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</row>
        <row r="485"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</row>
        <row r="500">
          <cell r="A500">
            <v>1810000</v>
          </cell>
          <cell r="B500">
            <v>1870100</v>
          </cell>
          <cell r="E500">
            <v>1842400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76010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</row>
        <row r="511">
          <cell r="A511">
            <v>1210000</v>
          </cell>
          <cell r="B511">
            <v>1210000</v>
          </cell>
          <cell r="E511">
            <v>1176100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111987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</row>
        <row r="535">
          <cell r="A535">
            <v>-5000</v>
          </cell>
          <cell r="B535">
            <v>-5000</v>
          </cell>
          <cell r="E535">
            <v>-5000</v>
          </cell>
          <cell r="F535">
            <v>-5000</v>
          </cell>
          <cell r="G535">
            <v>1475</v>
          </cell>
          <cell r="H535">
            <v>0</v>
          </cell>
          <cell r="I535">
            <v>0</v>
          </cell>
          <cell r="J535">
            <v>0</v>
          </cell>
          <cell r="K535">
            <v>19295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</row>
        <row r="539">
          <cell r="E539">
            <v>0</v>
          </cell>
          <cell r="F539">
            <v>0</v>
          </cell>
          <cell r="R539">
            <v>0</v>
          </cell>
        </row>
        <row r="547">
          <cell r="A547">
            <v>0</v>
          </cell>
          <cell r="B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23"/>
  <sheetViews>
    <sheetView tabSelected="1" view="pageBreakPreview" zoomScale="70" zoomScaleNormal="77" zoomScaleSheetLayoutView="70" workbookViewId="0">
      <pane xSplit="4" ySplit="8" topLeftCell="E75" activePane="bottomRight" state="frozen"/>
      <selection pane="topRight" activeCell="E1" sqref="E1"/>
      <selection pane="bottomLeft" activeCell="A9" sqref="A9"/>
      <selection pane="bottomRight" activeCell="D7" sqref="D7"/>
    </sheetView>
  </sheetViews>
  <sheetFormatPr defaultColWidth="9.08984375" defaultRowHeight="14" x14ac:dyDescent="0.3"/>
  <cols>
    <col min="1" max="1" width="14.90625" style="5" hidden="1" customWidth="1"/>
    <col min="2" max="2" width="18.6328125" style="5" hidden="1" customWidth="1"/>
    <col min="3" max="3" width="16.08984375" style="5" customWidth="1"/>
    <col min="4" max="4" width="68.6328125" style="5" customWidth="1"/>
    <col min="5" max="5" width="20.36328125" style="5" customWidth="1"/>
    <col min="6" max="6" width="17.08984375" style="70" hidden="1" customWidth="1"/>
    <col min="7" max="7" width="14.6328125" style="5" hidden="1" customWidth="1"/>
    <col min="8" max="8" width="15.08984375" style="5" hidden="1" customWidth="1"/>
    <col min="9" max="9" width="16.36328125" style="5" hidden="1" customWidth="1"/>
    <col min="10" max="10" width="13.54296875" style="5" hidden="1" customWidth="1"/>
    <col min="11" max="11" width="14.6328125" style="5" hidden="1" customWidth="1"/>
    <col min="12" max="12" width="16.54296875" style="5" customWidth="1"/>
    <col min="13" max="13" width="20" style="5" customWidth="1"/>
    <col min="14" max="14" width="15.54296875" style="5" hidden="1" customWidth="1"/>
    <col min="15" max="15" width="19.08984375" style="5" hidden="1" customWidth="1"/>
    <col min="16" max="16" width="18.453125" style="5" hidden="1" customWidth="1"/>
    <col min="17" max="17" width="24.36328125" style="5" hidden="1" customWidth="1"/>
    <col min="18" max="24" width="15.6328125" style="5" hidden="1" customWidth="1"/>
    <col min="25" max="25" width="15.6328125" style="5" customWidth="1"/>
    <col min="26" max="27" width="15.6328125" style="5" hidden="1" customWidth="1"/>
    <col min="28" max="28" width="18.08984375" style="5" hidden="1" customWidth="1"/>
    <col min="29" max="29" width="15.6328125" style="5" hidden="1" customWidth="1"/>
    <col min="30" max="30" width="15.6328125" style="6" hidden="1" customWidth="1"/>
    <col min="31" max="33" width="15.6328125" style="5" hidden="1" customWidth="1"/>
    <col min="34" max="34" width="20.6328125" style="5" hidden="1" customWidth="1"/>
    <col min="35" max="35" width="18.90625" style="5" hidden="1" customWidth="1"/>
    <col min="36" max="36" width="15.6328125" style="5" hidden="1" customWidth="1"/>
    <col min="37" max="37" width="15.54296875" style="5" hidden="1" customWidth="1"/>
    <col min="38" max="43" width="15.6328125" style="5" hidden="1" customWidth="1"/>
    <col min="44" max="44" width="15.6328125" style="7" hidden="1" customWidth="1"/>
    <col min="45" max="47" width="15.6328125" style="5" hidden="1" customWidth="1"/>
    <col min="48" max="48" width="17.36328125" style="8" hidden="1" customWidth="1"/>
    <col min="49" max="49" width="16.90625" style="8" hidden="1" customWidth="1"/>
    <col min="50" max="50" width="17.6328125" style="8" hidden="1" customWidth="1"/>
    <col min="51" max="51" width="16.36328125" style="8" hidden="1" customWidth="1"/>
    <col min="52" max="52" width="18.36328125" style="8" hidden="1" customWidth="1"/>
    <col min="53" max="53" width="17.36328125" style="8" hidden="1" customWidth="1"/>
    <col min="54" max="54" width="15.6328125" style="8" hidden="1" customWidth="1"/>
    <col min="55" max="55" width="16.6328125" style="8" hidden="1" customWidth="1"/>
    <col min="56" max="56" width="15.08984375" style="8" hidden="1" customWidth="1"/>
    <col min="57" max="57" width="14.6328125" style="8" hidden="1" customWidth="1"/>
    <col min="58" max="58" width="16.36328125" style="8" hidden="1" customWidth="1"/>
    <col min="59" max="59" width="14.90625" style="8" hidden="1" customWidth="1"/>
    <col min="60" max="60" width="12.6328125" style="8" hidden="1" customWidth="1"/>
    <col min="61" max="61" width="17.54296875" style="8" hidden="1" customWidth="1"/>
    <col min="62" max="62" width="12.36328125" style="8" hidden="1" customWidth="1"/>
    <col min="63" max="63" width="13" style="8" hidden="1" customWidth="1"/>
    <col min="64" max="64" width="11.08984375" style="5" hidden="1" customWidth="1"/>
    <col min="65" max="76" width="9.08984375" style="5" customWidth="1"/>
    <col min="77" max="257" width="9.08984375" style="5"/>
    <col min="258" max="259" width="0" style="5" hidden="1" customWidth="1"/>
    <col min="260" max="260" width="16.08984375" style="5" customWidth="1"/>
    <col min="261" max="261" width="68.6328125" style="5" customWidth="1"/>
    <col min="262" max="262" width="24.453125" style="5" customWidth="1"/>
    <col min="263" max="268" width="0" style="5" hidden="1" customWidth="1"/>
    <col min="269" max="269" width="20" style="5" customWidth="1"/>
    <col min="270" max="280" width="0" style="5" hidden="1" customWidth="1"/>
    <col min="281" max="281" width="15.6328125" style="5" customWidth="1"/>
    <col min="282" max="320" width="0" style="5" hidden="1" customWidth="1"/>
    <col min="321" max="332" width="9.08984375" style="5" customWidth="1"/>
    <col min="333" max="513" width="9.08984375" style="5"/>
    <col min="514" max="515" width="0" style="5" hidden="1" customWidth="1"/>
    <col min="516" max="516" width="16.08984375" style="5" customWidth="1"/>
    <col min="517" max="517" width="68.6328125" style="5" customWidth="1"/>
    <col min="518" max="518" width="24.453125" style="5" customWidth="1"/>
    <col min="519" max="524" width="0" style="5" hidden="1" customWidth="1"/>
    <col min="525" max="525" width="20" style="5" customWidth="1"/>
    <col min="526" max="536" width="0" style="5" hidden="1" customWidth="1"/>
    <col min="537" max="537" width="15.6328125" style="5" customWidth="1"/>
    <col min="538" max="576" width="0" style="5" hidden="1" customWidth="1"/>
    <col min="577" max="588" width="9.08984375" style="5" customWidth="1"/>
    <col min="589" max="769" width="9.08984375" style="5"/>
    <col min="770" max="771" width="0" style="5" hidden="1" customWidth="1"/>
    <col min="772" max="772" width="16.08984375" style="5" customWidth="1"/>
    <col min="773" max="773" width="68.6328125" style="5" customWidth="1"/>
    <col min="774" max="774" width="24.453125" style="5" customWidth="1"/>
    <col min="775" max="780" width="0" style="5" hidden="1" customWidth="1"/>
    <col min="781" max="781" width="20" style="5" customWidth="1"/>
    <col min="782" max="792" width="0" style="5" hidden="1" customWidth="1"/>
    <col min="793" max="793" width="15.6328125" style="5" customWidth="1"/>
    <col min="794" max="832" width="0" style="5" hidden="1" customWidth="1"/>
    <col min="833" max="844" width="9.08984375" style="5" customWidth="1"/>
    <col min="845" max="1025" width="9.08984375" style="5"/>
    <col min="1026" max="1027" width="0" style="5" hidden="1" customWidth="1"/>
    <col min="1028" max="1028" width="16.08984375" style="5" customWidth="1"/>
    <col min="1029" max="1029" width="68.6328125" style="5" customWidth="1"/>
    <col min="1030" max="1030" width="24.453125" style="5" customWidth="1"/>
    <col min="1031" max="1036" width="0" style="5" hidden="1" customWidth="1"/>
    <col min="1037" max="1037" width="20" style="5" customWidth="1"/>
    <col min="1038" max="1048" width="0" style="5" hidden="1" customWidth="1"/>
    <col min="1049" max="1049" width="15.6328125" style="5" customWidth="1"/>
    <col min="1050" max="1088" width="0" style="5" hidden="1" customWidth="1"/>
    <col min="1089" max="1100" width="9.08984375" style="5" customWidth="1"/>
    <col min="1101" max="1281" width="9.08984375" style="5"/>
    <col min="1282" max="1283" width="0" style="5" hidden="1" customWidth="1"/>
    <col min="1284" max="1284" width="16.08984375" style="5" customWidth="1"/>
    <col min="1285" max="1285" width="68.6328125" style="5" customWidth="1"/>
    <col min="1286" max="1286" width="24.453125" style="5" customWidth="1"/>
    <col min="1287" max="1292" width="0" style="5" hidden="1" customWidth="1"/>
    <col min="1293" max="1293" width="20" style="5" customWidth="1"/>
    <col min="1294" max="1304" width="0" style="5" hidden="1" customWidth="1"/>
    <col min="1305" max="1305" width="15.6328125" style="5" customWidth="1"/>
    <col min="1306" max="1344" width="0" style="5" hidden="1" customWidth="1"/>
    <col min="1345" max="1356" width="9.08984375" style="5" customWidth="1"/>
    <col min="1357" max="1537" width="9.08984375" style="5"/>
    <col min="1538" max="1539" width="0" style="5" hidden="1" customWidth="1"/>
    <col min="1540" max="1540" width="16.08984375" style="5" customWidth="1"/>
    <col min="1541" max="1541" width="68.6328125" style="5" customWidth="1"/>
    <col min="1542" max="1542" width="24.453125" style="5" customWidth="1"/>
    <col min="1543" max="1548" width="0" style="5" hidden="1" customWidth="1"/>
    <col min="1549" max="1549" width="20" style="5" customWidth="1"/>
    <col min="1550" max="1560" width="0" style="5" hidden="1" customWidth="1"/>
    <col min="1561" max="1561" width="15.6328125" style="5" customWidth="1"/>
    <col min="1562" max="1600" width="0" style="5" hidden="1" customWidth="1"/>
    <col min="1601" max="1612" width="9.08984375" style="5" customWidth="1"/>
    <col min="1613" max="1793" width="9.08984375" style="5"/>
    <col min="1794" max="1795" width="0" style="5" hidden="1" customWidth="1"/>
    <col min="1796" max="1796" width="16.08984375" style="5" customWidth="1"/>
    <col min="1797" max="1797" width="68.6328125" style="5" customWidth="1"/>
    <col min="1798" max="1798" width="24.453125" style="5" customWidth="1"/>
    <col min="1799" max="1804" width="0" style="5" hidden="1" customWidth="1"/>
    <col min="1805" max="1805" width="20" style="5" customWidth="1"/>
    <col min="1806" max="1816" width="0" style="5" hidden="1" customWidth="1"/>
    <col min="1817" max="1817" width="15.6328125" style="5" customWidth="1"/>
    <col min="1818" max="1856" width="0" style="5" hidden="1" customWidth="1"/>
    <col min="1857" max="1868" width="9.08984375" style="5" customWidth="1"/>
    <col min="1869" max="2049" width="9.08984375" style="5"/>
    <col min="2050" max="2051" width="0" style="5" hidden="1" customWidth="1"/>
    <col min="2052" max="2052" width="16.08984375" style="5" customWidth="1"/>
    <col min="2053" max="2053" width="68.6328125" style="5" customWidth="1"/>
    <col min="2054" max="2054" width="24.453125" style="5" customWidth="1"/>
    <col min="2055" max="2060" width="0" style="5" hidden="1" customWidth="1"/>
    <col min="2061" max="2061" width="20" style="5" customWidth="1"/>
    <col min="2062" max="2072" width="0" style="5" hidden="1" customWidth="1"/>
    <col min="2073" max="2073" width="15.6328125" style="5" customWidth="1"/>
    <col min="2074" max="2112" width="0" style="5" hidden="1" customWidth="1"/>
    <col min="2113" max="2124" width="9.08984375" style="5" customWidth="1"/>
    <col min="2125" max="2305" width="9.08984375" style="5"/>
    <col min="2306" max="2307" width="0" style="5" hidden="1" customWidth="1"/>
    <col min="2308" max="2308" width="16.08984375" style="5" customWidth="1"/>
    <col min="2309" max="2309" width="68.6328125" style="5" customWidth="1"/>
    <col min="2310" max="2310" width="24.453125" style="5" customWidth="1"/>
    <col min="2311" max="2316" width="0" style="5" hidden="1" customWidth="1"/>
    <col min="2317" max="2317" width="20" style="5" customWidth="1"/>
    <col min="2318" max="2328" width="0" style="5" hidden="1" customWidth="1"/>
    <col min="2329" max="2329" width="15.6328125" style="5" customWidth="1"/>
    <col min="2330" max="2368" width="0" style="5" hidden="1" customWidth="1"/>
    <col min="2369" max="2380" width="9.08984375" style="5" customWidth="1"/>
    <col min="2381" max="2561" width="9.08984375" style="5"/>
    <col min="2562" max="2563" width="0" style="5" hidden="1" customWidth="1"/>
    <col min="2564" max="2564" width="16.08984375" style="5" customWidth="1"/>
    <col min="2565" max="2565" width="68.6328125" style="5" customWidth="1"/>
    <col min="2566" max="2566" width="24.453125" style="5" customWidth="1"/>
    <col min="2567" max="2572" width="0" style="5" hidden="1" customWidth="1"/>
    <col min="2573" max="2573" width="20" style="5" customWidth="1"/>
    <col min="2574" max="2584" width="0" style="5" hidden="1" customWidth="1"/>
    <col min="2585" max="2585" width="15.6328125" style="5" customWidth="1"/>
    <col min="2586" max="2624" width="0" style="5" hidden="1" customWidth="1"/>
    <col min="2625" max="2636" width="9.08984375" style="5" customWidth="1"/>
    <col min="2637" max="2817" width="9.08984375" style="5"/>
    <col min="2818" max="2819" width="0" style="5" hidden="1" customWidth="1"/>
    <col min="2820" max="2820" width="16.08984375" style="5" customWidth="1"/>
    <col min="2821" max="2821" width="68.6328125" style="5" customWidth="1"/>
    <col min="2822" max="2822" width="24.453125" style="5" customWidth="1"/>
    <col min="2823" max="2828" width="0" style="5" hidden="1" customWidth="1"/>
    <col min="2829" max="2829" width="20" style="5" customWidth="1"/>
    <col min="2830" max="2840" width="0" style="5" hidden="1" customWidth="1"/>
    <col min="2841" max="2841" width="15.6328125" style="5" customWidth="1"/>
    <col min="2842" max="2880" width="0" style="5" hidden="1" customWidth="1"/>
    <col min="2881" max="2892" width="9.08984375" style="5" customWidth="1"/>
    <col min="2893" max="3073" width="9.08984375" style="5"/>
    <col min="3074" max="3075" width="0" style="5" hidden="1" customWidth="1"/>
    <col min="3076" max="3076" width="16.08984375" style="5" customWidth="1"/>
    <col min="3077" max="3077" width="68.6328125" style="5" customWidth="1"/>
    <col min="3078" max="3078" width="24.453125" style="5" customWidth="1"/>
    <col min="3079" max="3084" width="0" style="5" hidden="1" customWidth="1"/>
    <col min="3085" max="3085" width="20" style="5" customWidth="1"/>
    <col min="3086" max="3096" width="0" style="5" hidden="1" customWidth="1"/>
    <col min="3097" max="3097" width="15.6328125" style="5" customWidth="1"/>
    <col min="3098" max="3136" width="0" style="5" hidden="1" customWidth="1"/>
    <col min="3137" max="3148" width="9.08984375" style="5" customWidth="1"/>
    <col min="3149" max="3329" width="9.08984375" style="5"/>
    <col min="3330" max="3331" width="0" style="5" hidden="1" customWidth="1"/>
    <col min="3332" max="3332" width="16.08984375" style="5" customWidth="1"/>
    <col min="3333" max="3333" width="68.6328125" style="5" customWidth="1"/>
    <col min="3334" max="3334" width="24.453125" style="5" customWidth="1"/>
    <col min="3335" max="3340" width="0" style="5" hidden="1" customWidth="1"/>
    <col min="3341" max="3341" width="20" style="5" customWidth="1"/>
    <col min="3342" max="3352" width="0" style="5" hidden="1" customWidth="1"/>
    <col min="3353" max="3353" width="15.6328125" style="5" customWidth="1"/>
    <col min="3354" max="3392" width="0" style="5" hidden="1" customWidth="1"/>
    <col min="3393" max="3404" width="9.08984375" style="5" customWidth="1"/>
    <col min="3405" max="3585" width="9.08984375" style="5"/>
    <col min="3586" max="3587" width="0" style="5" hidden="1" customWidth="1"/>
    <col min="3588" max="3588" width="16.08984375" style="5" customWidth="1"/>
    <col min="3589" max="3589" width="68.6328125" style="5" customWidth="1"/>
    <col min="3590" max="3590" width="24.453125" style="5" customWidth="1"/>
    <col min="3591" max="3596" width="0" style="5" hidden="1" customWidth="1"/>
    <col min="3597" max="3597" width="20" style="5" customWidth="1"/>
    <col min="3598" max="3608" width="0" style="5" hidden="1" customWidth="1"/>
    <col min="3609" max="3609" width="15.6328125" style="5" customWidth="1"/>
    <col min="3610" max="3648" width="0" style="5" hidden="1" customWidth="1"/>
    <col min="3649" max="3660" width="9.08984375" style="5" customWidth="1"/>
    <col min="3661" max="3841" width="9.08984375" style="5"/>
    <col min="3842" max="3843" width="0" style="5" hidden="1" customWidth="1"/>
    <col min="3844" max="3844" width="16.08984375" style="5" customWidth="1"/>
    <col min="3845" max="3845" width="68.6328125" style="5" customWidth="1"/>
    <col min="3846" max="3846" width="24.453125" style="5" customWidth="1"/>
    <col min="3847" max="3852" width="0" style="5" hidden="1" customWidth="1"/>
    <col min="3853" max="3853" width="20" style="5" customWidth="1"/>
    <col min="3854" max="3864" width="0" style="5" hidden="1" customWidth="1"/>
    <col min="3865" max="3865" width="15.6328125" style="5" customWidth="1"/>
    <col min="3866" max="3904" width="0" style="5" hidden="1" customWidth="1"/>
    <col min="3905" max="3916" width="9.08984375" style="5" customWidth="1"/>
    <col min="3917" max="4097" width="9.08984375" style="5"/>
    <col min="4098" max="4099" width="0" style="5" hidden="1" customWidth="1"/>
    <col min="4100" max="4100" width="16.08984375" style="5" customWidth="1"/>
    <col min="4101" max="4101" width="68.6328125" style="5" customWidth="1"/>
    <col min="4102" max="4102" width="24.453125" style="5" customWidth="1"/>
    <col min="4103" max="4108" width="0" style="5" hidden="1" customWidth="1"/>
    <col min="4109" max="4109" width="20" style="5" customWidth="1"/>
    <col min="4110" max="4120" width="0" style="5" hidden="1" customWidth="1"/>
    <col min="4121" max="4121" width="15.6328125" style="5" customWidth="1"/>
    <col min="4122" max="4160" width="0" style="5" hidden="1" customWidth="1"/>
    <col min="4161" max="4172" width="9.08984375" style="5" customWidth="1"/>
    <col min="4173" max="4353" width="9.08984375" style="5"/>
    <col min="4354" max="4355" width="0" style="5" hidden="1" customWidth="1"/>
    <col min="4356" max="4356" width="16.08984375" style="5" customWidth="1"/>
    <col min="4357" max="4357" width="68.6328125" style="5" customWidth="1"/>
    <col min="4358" max="4358" width="24.453125" style="5" customWidth="1"/>
    <col min="4359" max="4364" width="0" style="5" hidden="1" customWidth="1"/>
    <col min="4365" max="4365" width="20" style="5" customWidth="1"/>
    <col min="4366" max="4376" width="0" style="5" hidden="1" customWidth="1"/>
    <col min="4377" max="4377" width="15.6328125" style="5" customWidth="1"/>
    <col min="4378" max="4416" width="0" style="5" hidden="1" customWidth="1"/>
    <col min="4417" max="4428" width="9.08984375" style="5" customWidth="1"/>
    <col min="4429" max="4609" width="9.08984375" style="5"/>
    <col min="4610" max="4611" width="0" style="5" hidden="1" customWidth="1"/>
    <col min="4612" max="4612" width="16.08984375" style="5" customWidth="1"/>
    <col min="4613" max="4613" width="68.6328125" style="5" customWidth="1"/>
    <col min="4614" max="4614" width="24.453125" style="5" customWidth="1"/>
    <col min="4615" max="4620" width="0" style="5" hidden="1" customWidth="1"/>
    <col min="4621" max="4621" width="20" style="5" customWidth="1"/>
    <col min="4622" max="4632" width="0" style="5" hidden="1" customWidth="1"/>
    <col min="4633" max="4633" width="15.6328125" style="5" customWidth="1"/>
    <col min="4634" max="4672" width="0" style="5" hidden="1" customWidth="1"/>
    <col min="4673" max="4684" width="9.08984375" style="5" customWidth="1"/>
    <col min="4685" max="4865" width="9.08984375" style="5"/>
    <col min="4866" max="4867" width="0" style="5" hidden="1" customWidth="1"/>
    <col min="4868" max="4868" width="16.08984375" style="5" customWidth="1"/>
    <col min="4869" max="4869" width="68.6328125" style="5" customWidth="1"/>
    <col min="4870" max="4870" width="24.453125" style="5" customWidth="1"/>
    <col min="4871" max="4876" width="0" style="5" hidden="1" customWidth="1"/>
    <col min="4877" max="4877" width="20" style="5" customWidth="1"/>
    <col min="4878" max="4888" width="0" style="5" hidden="1" customWidth="1"/>
    <col min="4889" max="4889" width="15.6328125" style="5" customWidth="1"/>
    <col min="4890" max="4928" width="0" style="5" hidden="1" customWidth="1"/>
    <col min="4929" max="4940" width="9.08984375" style="5" customWidth="1"/>
    <col min="4941" max="5121" width="9.08984375" style="5"/>
    <col min="5122" max="5123" width="0" style="5" hidden="1" customWidth="1"/>
    <col min="5124" max="5124" width="16.08984375" style="5" customWidth="1"/>
    <col min="5125" max="5125" width="68.6328125" style="5" customWidth="1"/>
    <col min="5126" max="5126" width="24.453125" style="5" customWidth="1"/>
    <col min="5127" max="5132" width="0" style="5" hidden="1" customWidth="1"/>
    <col min="5133" max="5133" width="20" style="5" customWidth="1"/>
    <col min="5134" max="5144" width="0" style="5" hidden="1" customWidth="1"/>
    <col min="5145" max="5145" width="15.6328125" style="5" customWidth="1"/>
    <col min="5146" max="5184" width="0" style="5" hidden="1" customWidth="1"/>
    <col min="5185" max="5196" width="9.08984375" style="5" customWidth="1"/>
    <col min="5197" max="5377" width="9.08984375" style="5"/>
    <col min="5378" max="5379" width="0" style="5" hidden="1" customWidth="1"/>
    <col min="5380" max="5380" width="16.08984375" style="5" customWidth="1"/>
    <col min="5381" max="5381" width="68.6328125" style="5" customWidth="1"/>
    <col min="5382" max="5382" width="24.453125" style="5" customWidth="1"/>
    <col min="5383" max="5388" width="0" style="5" hidden="1" customWidth="1"/>
    <col min="5389" max="5389" width="20" style="5" customWidth="1"/>
    <col min="5390" max="5400" width="0" style="5" hidden="1" customWidth="1"/>
    <col min="5401" max="5401" width="15.6328125" style="5" customWidth="1"/>
    <col min="5402" max="5440" width="0" style="5" hidden="1" customWidth="1"/>
    <col min="5441" max="5452" width="9.08984375" style="5" customWidth="1"/>
    <col min="5453" max="5633" width="9.08984375" style="5"/>
    <col min="5634" max="5635" width="0" style="5" hidden="1" customWidth="1"/>
    <col min="5636" max="5636" width="16.08984375" style="5" customWidth="1"/>
    <col min="5637" max="5637" width="68.6328125" style="5" customWidth="1"/>
    <col min="5638" max="5638" width="24.453125" style="5" customWidth="1"/>
    <col min="5639" max="5644" width="0" style="5" hidden="1" customWidth="1"/>
    <col min="5645" max="5645" width="20" style="5" customWidth="1"/>
    <col min="5646" max="5656" width="0" style="5" hidden="1" customWidth="1"/>
    <col min="5657" max="5657" width="15.6328125" style="5" customWidth="1"/>
    <col min="5658" max="5696" width="0" style="5" hidden="1" customWidth="1"/>
    <col min="5697" max="5708" width="9.08984375" style="5" customWidth="1"/>
    <col min="5709" max="5889" width="9.08984375" style="5"/>
    <col min="5890" max="5891" width="0" style="5" hidden="1" customWidth="1"/>
    <col min="5892" max="5892" width="16.08984375" style="5" customWidth="1"/>
    <col min="5893" max="5893" width="68.6328125" style="5" customWidth="1"/>
    <col min="5894" max="5894" width="24.453125" style="5" customWidth="1"/>
    <col min="5895" max="5900" width="0" style="5" hidden="1" customWidth="1"/>
    <col min="5901" max="5901" width="20" style="5" customWidth="1"/>
    <col min="5902" max="5912" width="0" style="5" hidden="1" customWidth="1"/>
    <col min="5913" max="5913" width="15.6328125" style="5" customWidth="1"/>
    <col min="5914" max="5952" width="0" style="5" hidden="1" customWidth="1"/>
    <col min="5953" max="5964" width="9.08984375" style="5" customWidth="1"/>
    <col min="5965" max="6145" width="9.08984375" style="5"/>
    <col min="6146" max="6147" width="0" style="5" hidden="1" customWidth="1"/>
    <col min="6148" max="6148" width="16.08984375" style="5" customWidth="1"/>
    <col min="6149" max="6149" width="68.6328125" style="5" customWidth="1"/>
    <col min="6150" max="6150" width="24.453125" style="5" customWidth="1"/>
    <col min="6151" max="6156" width="0" style="5" hidden="1" customWidth="1"/>
    <col min="6157" max="6157" width="20" style="5" customWidth="1"/>
    <col min="6158" max="6168" width="0" style="5" hidden="1" customWidth="1"/>
    <col min="6169" max="6169" width="15.6328125" style="5" customWidth="1"/>
    <col min="6170" max="6208" width="0" style="5" hidden="1" customWidth="1"/>
    <col min="6209" max="6220" width="9.08984375" style="5" customWidth="1"/>
    <col min="6221" max="6401" width="9.08984375" style="5"/>
    <col min="6402" max="6403" width="0" style="5" hidden="1" customWidth="1"/>
    <col min="6404" max="6404" width="16.08984375" style="5" customWidth="1"/>
    <col min="6405" max="6405" width="68.6328125" style="5" customWidth="1"/>
    <col min="6406" max="6406" width="24.453125" style="5" customWidth="1"/>
    <col min="6407" max="6412" width="0" style="5" hidden="1" customWidth="1"/>
    <col min="6413" max="6413" width="20" style="5" customWidth="1"/>
    <col min="6414" max="6424" width="0" style="5" hidden="1" customWidth="1"/>
    <col min="6425" max="6425" width="15.6328125" style="5" customWidth="1"/>
    <col min="6426" max="6464" width="0" style="5" hidden="1" customWidth="1"/>
    <col min="6465" max="6476" width="9.08984375" style="5" customWidth="1"/>
    <col min="6477" max="6657" width="9.08984375" style="5"/>
    <col min="6658" max="6659" width="0" style="5" hidden="1" customWidth="1"/>
    <col min="6660" max="6660" width="16.08984375" style="5" customWidth="1"/>
    <col min="6661" max="6661" width="68.6328125" style="5" customWidth="1"/>
    <col min="6662" max="6662" width="24.453125" style="5" customWidth="1"/>
    <col min="6663" max="6668" width="0" style="5" hidden="1" customWidth="1"/>
    <col min="6669" max="6669" width="20" style="5" customWidth="1"/>
    <col min="6670" max="6680" width="0" style="5" hidden="1" customWidth="1"/>
    <col min="6681" max="6681" width="15.6328125" style="5" customWidth="1"/>
    <col min="6682" max="6720" width="0" style="5" hidden="1" customWidth="1"/>
    <col min="6721" max="6732" width="9.08984375" style="5" customWidth="1"/>
    <col min="6733" max="6913" width="9.08984375" style="5"/>
    <col min="6914" max="6915" width="0" style="5" hidden="1" customWidth="1"/>
    <col min="6916" max="6916" width="16.08984375" style="5" customWidth="1"/>
    <col min="6917" max="6917" width="68.6328125" style="5" customWidth="1"/>
    <col min="6918" max="6918" width="24.453125" style="5" customWidth="1"/>
    <col min="6919" max="6924" width="0" style="5" hidden="1" customWidth="1"/>
    <col min="6925" max="6925" width="20" style="5" customWidth="1"/>
    <col min="6926" max="6936" width="0" style="5" hidden="1" customWidth="1"/>
    <col min="6937" max="6937" width="15.6328125" style="5" customWidth="1"/>
    <col min="6938" max="6976" width="0" style="5" hidden="1" customWidth="1"/>
    <col min="6977" max="6988" width="9.08984375" style="5" customWidth="1"/>
    <col min="6989" max="7169" width="9.08984375" style="5"/>
    <col min="7170" max="7171" width="0" style="5" hidden="1" customWidth="1"/>
    <col min="7172" max="7172" width="16.08984375" style="5" customWidth="1"/>
    <col min="7173" max="7173" width="68.6328125" style="5" customWidth="1"/>
    <col min="7174" max="7174" width="24.453125" style="5" customWidth="1"/>
    <col min="7175" max="7180" width="0" style="5" hidden="1" customWidth="1"/>
    <col min="7181" max="7181" width="20" style="5" customWidth="1"/>
    <col min="7182" max="7192" width="0" style="5" hidden="1" customWidth="1"/>
    <col min="7193" max="7193" width="15.6328125" style="5" customWidth="1"/>
    <col min="7194" max="7232" width="0" style="5" hidden="1" customWidth="1"/>
    <col min="7233" max="7244" width="9.08984375" style="5" customWidth="1"/>
    <col min="7245" max="7425" width="9.08984375" style="5"/>
    <col min="7426" max="7427" width="0" style="5" hidden="1" customWidth="1"/>
    <col min="7428" max="7428" width="16.08984375" style="5" customWidth="1"/>
    <col min="7429" max="7429" width="68.6328125" style="5" customWidth="1"/>
    <col min="7430" max="7430" width="24.453125" style="5" customWidth="1"/>
    <col min="7431" max="7436" width="0" style="5" hidden="1" customWidth="1"/>
    <col min="7437" max="7437" width="20" style="5" customWidth="1"/>
    <col min="7438" max="7448" width="0" style="5" hidden="1" customWidth="1"/>
    <col min="7449" max="7449" width="15.6328125" style="5" customWidth="1"/>
    <col min="7450" max="7488" width="0" style="5" hidden="1" customWidth="1"/>
    <col min="7489" max="7500" width="9.08984375" style="5" customWidth="1"/>
    <col min="7501" max="7681" width="9.08984375" style="5"/>
    <col min="7682" max="7683" width="0" style="5" hidden="1" customWidth="1"/>
    <col min="7684" max="7684" width="16.08984375" style="5" customWidth="1"/>
    <col min="7685" max="7685" width="68.6328125" style="5" customWidth="1"/>
    <col min="7686" max="7686" width="24.453125" style="5" customWidth="1"/>
    <col min="7687" max="7692" width="0" style="5" hidden="1" customWidth="1"/>
    <col min="7693" max="7693" width="20" style="5" customWidth="1"/>
    <col min="7694" max="7704" width="0" style="5" hidden="1" customWidth="1"/>
    <col min="7705" max="7705" width="15.6328125" style="5" customWidth="1"/>
    <col min="7706" max="7744" width="0" style="5" hidden="1" customWidth="1"/>
    <col min="7745" max="7756" width="9.08984375" style="5" customWidth="1"/>
    <col min="7757" max="7937" width="9.08984375" style="5"/>
    <col min="7938" max="7939" width="0" style="5" hidden="1" customWidth="1"/>
    <col min="7940" max="7940" width="16.08984375" style="5" customWidth="1"/>
    <col min="7941" max="7941" width="68.6328125" style="5" customWidth="1"/>
    <col min="7942" max="7942" width="24.453125" style="5" customWidth="1"/>
    <col min="7943" max="7948" width="0" style="5" hidden="1" customWidth="1"/>
    <col min="7949" max="7949" width="20" style="5" customWidth="1"/>
    <col min="7950" max="7960" width="0" style="5" hidden="1" customWidth="1"/>
    <col min="7961" max="7961" width="15.6328125" style="5" customWidth="1"/>
    <col min="7962" max="8000" width="0" style="5" hidden="1" customWidth="1"/>
    <col min="8001" max="8012" width="9.08984375" style="5" customWidth="1"/>
    <col min="8013" max="8193" width="9.08984375" style="5"/>
    <col min="8194" max="8195" width="0" style="5" hidden="1" customWidth="1"/>
    <col min="8196" max="8196" width="16.08984375" style="5" customWidth="1"/>
    <col min="8197" max="8197" width="68.6328125" style="5" customWidth="1"/>
    <col min="8198" max="8198" width="24.453125" style="5" customWidth="1"/>
    <col min="8199" max="8204" width="0" style="5" hidden="1" customWidth="1"/>
    <col min="8205" max="8205" width="20" style="5" customWidth="1"/>
    <col min="8206" max="8216" width="0" style="5" hidden="1" customWidth="1"/>
    <col min="8217" max="8217" width="15.6328125" style="5" customWidth="1"/>
    <col min="8218" max="8256" width="0" style="5" hidden="1" customWidth="1"/>
    <col min="8257" max="8268" width="9.08984375" style="5" customWidth="1"/>
    <col min="8269" max="8449" width="9.08984375" style="5"/>
    <col min="8450" max="8451" width="0" style="5" hidden="1" customWidth="1"/>
    <col min="8452" max="8452" width="16.08984375" style="5" customWidth="1"/>
    <col min="8453" max="8453" width="68.6328125" style="5" customWidth="1"/>
    <col min="8454" max="8454" width="24.453125" style="5" customWidth="1"/>
    <col min="8455" max="8460" width="0" style="5" hidden="1" customWidth="1"/>
    <col min="8461" max="8461" width="20" style="5" customWidth="1"/>
    <col min="8462" max="8472" width="0" style="5" hidden="1" customWidth="1"/>
    <col min="8473" max="8473" width="15.6328125" style="5" customWidth="1"/>
    <col min="8474" max="8512" width="0" style="5" hidden="1" customWidth="1"/>
    <col min="8513" max="8524" width="9.08984375" style="5" customWidth="1"/>
    <col min="8525" max="8705" width="9.08984375" style="5"/>
    <col min="8706" max="8707" width="0" style="5" hidden="1" customWidth="1"/>
    <col min="8708" max="8708" width="16.08984375" style="5" customWidth="1"/>
    <col min="8709" max="8709" width="68.6328125" style="5" customWidth="1"/>
    <col min="8710" max="8710" width="24.453125" style="5" customWidth="1"/>
    <col min="8711" max="8716" width="0" style="5" hidden="1" customWidth="1"/>
    <col min="8717" max="8717" width="20" style="5" customWidth="1"/>
    <col min="8718" max="8728" width="0" style="5" hidden="1" customWidth="1"/>
    <col min="8729" max="8729" width="15.6328125" style="5" customWidth="1"/>
    <col min="8730" max="8768" width="0" style="5" hidden="1" customWidth="1"/>
    <col min="8769" max="8780" width="9.08984375" style="5" customWidth="1"/>
    <col min="8781" max="8961" width="9.08984375" style="5"/>
    <col min="8962" max="8963" width="0" style="5" hidden="1" customWidth="1"/>
    <col min="8964" max="8964" width="16.08984375" style="5" customWidth="1"/>
    <col min="8965" max="8965" width="68.6328125" style="5" customWidth="1"/>
    <col min="8966" max="8966" width="24.453125" style="5" customWidth="1"/>
    <col min="8967" max="8972" width="0" style="5" hidden="1" customWidth="1"/>
    <col min="8973" max="8973" width="20" style="5" customWidth="1"/>
    <col min="8974" max="8984" width="0" style="5" hidden="1" customWidth="1"/>
    <col min="8985" max="8985" width="15.6328125" style="5" customWidth="1"/>
    <col min="8986" max="9024" width="0" style="5" hidden="1" customWidth="1"/>
    <col min="9025" max="9036" width="9.08984375" style="5" customWidth="1"/>
    <col min="9037" max="9217" width="9.08984375" style="5"/>
    <col min="9218" max="9219" width="0" style="5" hidden="1" customWidth="1"/>
    <col min="9220" max="9220" width="16.08984375" style="5" customWidth="1"/>
    <col min="9221" max="9221" width="68.6328125" style="5" customWidth="1"/>
    <col min="9222" max="9222" width="24.453125" style="5" customWidth="1"/>
    <col min="9223" max="9228" width="0" style="5" hidden="1" customWidth="1"/>
    <col min="9229" max="9229" width="20" style="5" customWidth="1"/>
    <col min="9230" max="9240" width="0" style="5" hidden="1" customWidth="1"/>
    <col min="9241" max="9241" width="15.6328125" style="5" customWidth="1"/>
    <col min="9242" max="9280" width="0" style="5" hidden="1" customWidth="1"/>
    <col min="9281" max="9292" width="9.08984375" style="5" customWidth="1"/>
    <col min="9293" max="9473" width="9.08984375" style="5"/>
    <col min="9474" max="9475" width="0" style="5" hidden="1" customWidth="1"/>
    <col min="9476" max="9476" width="16.08984375" style="5" customWidth="1"/>
    <col min="9477" max="9477" width="68.6328125" style="5" customWidth="1"/>
    <col min="9478" max="9478" width="24.453125" style="5" customWidth="1"/>
    <col min="9479" max="9484" width="0" style="5" hidden="1" customWidth="1"/>
    <col min="9485" max="9485" width="20" style="5" customWidth="1"/>
    <col min="9486" max="9496" width="0" style="5" hidden="1" customWidth="1"/>
    <col min="9497" max="9497" width="15.6328125" style="5" customWidth="1"/>
    <col min="9498" max="9536" width="0" style="5" hidden="1" customWidth="1"/>
    <col min="9537" max="9548" width="9.08984375" style="5" customWidth="1"/>
    <col min="9549" max="9729" width="9.08984375" style="5"/>
    <col min="9730" max="9731" width="0" style="5" hidden="1" customWidth="1"/>
    <col min="9732" max="9732" width="16.08984375" style="5" customWidth="1"/>
    <col min="9733" max="9733" width="68.6328125" style="5" customWidth="1"/>
    <col min="9734" max="9734" width="24.453125" style="5" customWidth="1"/>
    <col min="9735" max="9740" width="0" style="5" hidden="1" customWidth="1"/>
    <col min="9741" max="9741" width="20" style="5" customWidth="1"/>
    <col min="9742" max="9752" width="0" style="5" hidden="1" customWidth="1"/>
    <col min="9753" max="9753" width="15.6328125" style="5" customWidth="1"/>
    <col min="9754" max="9792" width="0" style="5" hidden="1" customWidth="1"/>
    <col min="9793" max="9804" width="9.08984375" style="5" customWidth="1"/>
    <col min="9805" max="9985" width="9.08984375" style="5"/>
    <col min="9986" max="9987" width="0" style="5" hidden="1" customWidth="1"/>
    <col min="9988" max="9988" width="16.08984375" style="5" customWidth="1"/>
    <col min="9989" max="9989" width="68.6328125" style="5" customWidth="1"/>
    <col min="9990" max="9990" width="24.453125" style="5" customWidth="1"/>
    <col min="9991" max="9996" width="0" style="5" hidden="1" customWidth="1"/>
    <col min="9997" max="9997" width="20" style="5" customWidth="1"/>
    <col min="9998" max="10008" width="0" style="5" hidden="1" customWidth="1"/>
    <col min="10009" max="10009" width="15.6328125" style="5" customWidth="1"/>
    <col min="10010" max="10048" width="0" style="5" hidden="1" customWidth="1"/>
    <col min="10049" max="10060" width="9.08984375" style="5" customWidth="1"/>
    <col min="10061" max="10241" width="9.08984375" style="5"/>
    <col min="10242" max="10243" width="0" style="5" hidden="1" customWidth="1"/>
    <col min="10244" max="10244" width="16.08984375" style="5" customWidth="1"/>
    <col min="10245" max="10245" width="68.6328125" style="5" customWidth="1"/>
    <col min="10246" max="10246" width="24.453125" style="5" customWidth="1"/>
    <col min="10247" max="10252" width="0" style="5" hidden="1" customWidth="1"/>
    <col min="10253" max="10253" width="20" style="5" customWidth="1"/>
    <col min="10254" max="10264" width="0" style="5" hidden="1" customWidth="1"/>
    <col min="10265" max="10265" width="15.6328125" style="5" customWidth="1"/>
    <col min="10266" max="10304" width="0" style="5" hidden="1" customWidth="1"/>
    <col min="10305" max="10316" width="9.08984375" style="5" customWidth="1"/>
    <col min="10317" max="10497" width="9.08984375" style="5"/>
    <col min="10498" max="10499" width="0" style="5" hidden="1" customWidth="1"/>
    <col min="10500" max="10500" width="16.08984375" style="5" customWidth="1"/>
    <col min="10501" max="10501" width="68.6328125" style="5" customWidth="1"/>
    <col min="10502" max="10502" width="24.453125" style="5" customWidth="1"/>
    <col min="10503" max="10508" width="0" style="5" hidden="1" customWidth="1"/>
    <col min="10509" max="10509" width="20" style="5" customWidth="1"/>
    <col min="10510" max="10520" width="0" style="5" hidden="1" customWidth="1"/>
    <col min="10521" max="10521" width="15.6328125" style="5" customWidth="1"/>
    <col min="10522" max="10560" width="0" style="5" hidden="1" customWidth="1"/>
    <col min="10561" max="10572" width="9.08984375" style="5" customWidth="1"/>
    <col min="10573" max="10753" width="9.08984375" style="5"/>
    <col min="10754" max="10755" width="0" style="5" hidden="1" customWidth="1"/>
    <col min="10756" max="10756" width="16.08984375" style="5" customWidth="1"/>
    <col min="10757" max="10757" width="68.6328125" style="5" customWidth="1"/>
    <col min="10758" max="10758" width="24.453125" style="5" customWidth="1"/>
    <col min="10759" max="10764" width="0" style="5" hidden="1" customWidth="1"/>
    <col min="10765" max="10765" width="20" style="5" customWidth="1"/>
    <col min="10766" max="10776" width="0" style="5" hidden="1" customWidth="1"/>
    <col min="10777" max="10777" width="15.6328125" style="5" customWidth="1"/>
    <col min="10778" max="10816" width="0" style="5" hidden="1" customWidth="1"/>
    <col min="10817" max="10828" width="9.08984375" style="5" customWidth="1"/>
    <col min="10829" max="11009" width="9.08984375" style="5"/>
    <col min="11010" max="11011" width="0" style="5" hidden="1" customWidth="1"/>
    <col min="11012" max="11012" width="16.08984375" style="5" customWidth="1"/>
    <col min="11013" max="11013" width="68.6328125" style="5" customWidth="1"/>
    <col min="11014" max="11014" width="24.453125" style="5" customWidth="1"/>
    <col min="11015" max="11020" width="0" style="5" hidden="1" customWidth="1"/>
    <col min="11021" max="11021" width="20" style="5" customWidth="1"/>
    <col min="11022" max="11032" width="0" style="5" hidden="1" customWidth="1"/>
    <col min="11033" max="11033" width="15.6328125" style="5" customWidth="1"/>
    <col min="11034" max="11072" width="0" style="5" hidden="1" customWidth="1"/>
    <col min="11073" max="11084" width="9.08984375" style="5" customWidth="1"/>
    <col min="11085" max="11265" width="9.08984375" style="5"/>
    <col min="11266" max="11267" width="0" style="5" hidden="1" customWidth="1"/>
    <col min="11268" max="11268" width="16.08984375" style="5" customWidth="1"/>
    <col min="11269" max="11269" width="68.6328125" style="5" customWidth="1"/>
    <col min="11270" max="11270" width="24.453125" style="5" customWidth="1"/>
    <col min="11271" max="11276" width="0" style="5" hidden="1" customWidth="1"/>
    <col min="11277" max="11277" width="20" style="5" customWidth="1"/>
    <col min="11278" max="11288" width="0" style="5" hidden="1" customWidth="1"/>
    <col min="11289" max="11289" width="15.6328125" style="5" customWidth="1"/>
    <col min="11290" max="11328" width="0" style="5" hidden="1" customWidth="1"/>
    <col min="11329" max="11340" width="9.08984375" style="5" customWidth="1"/>
    <col min="11341" max="11521" width="9.08984375" style="5"/>
    <col min="11522" max="11523" width="0" style="5" hidden="1" customWidth="1"/>
    <col min="11524" max="11524" width="16.08984375" style="5" customWidth="1"/>
    <col min="11525" max="11525" width="68.6328125" style="5" customWidth="1"/>
    <col min="11526" max="11526" width="24.453125" style="5" customWidth="1"/>
    <col min="11527" max="11532" width="0" style="5" hidden="1" customWidth="1"/>
    <col min="11533" max="11533" width="20" style="5" customWidth="1"/>
    <col min="11534" max="11544" width="0" style="5" hidden="1" customWidth="1"/>
    <col min="11545" max="11545" width="15.6328125" style="5" customWidth="1"/>
    <col min="11546" max="11584" width="0" style="5" hidden="1" customWidth="1"/>
    <col min="11585" max="11596" width="9.08984375" style="5" customWidth="1"/>
    <col min="11597" max="11777" width="9.08984375" style="5"/>
    <col min="11778" max="11779" width="0" style="5" hidden="1" customWidth="1"/>
    <col min="11780" max="11780" width="16.08984375" style="5" customWidth="1"/>
    <col min="11781" max="11781" width="68.6328125" style="5" customWidth="1"/>
    <col min="11782" max="11782" width="24.453125" style="5" customWidth="1"/>
    <col min="11783" max="11788" width="0" style="5" hidden="1" customWidth="1"/>
    <col min="11789" max="11789" width="20" style="5" customWidth="1"/>
    <col min="11790" max="11800" width="0" style="5" hidden="1" customWidth="1"/>
    <col min="11801" max="11801" width="15.6328125" style="5" customWidth="1"/>
    <col min="11802" max="11840" width="0" style="5" hidden="1" customWidth="1"/>
    <col min="11841" max="11852" width="9.08984375" style="5" customWidth="1"/>
    <col min="11853" max="12033" width="9.08984375" style="5"/>
    <col min="12034" max="12035" width="0" style="5" hidden="1" customWidth="1"/>
    <col min="12036" max="12036" width="16.08984375" style="5" customWidth="1"/>
    <col min="12037" max="12037" width="68.6328125" style="5" customWidth="1"/>
    <col min="12038" max="12038" width="24.453125" style="5" customWidth="1"/>
    <col min="12039" max="12044" width="0" style="5" hidden="1" customWidth="1"/>
    <col min="12045" max="12045" width="20" style="5" customWidth="1"/>
    <col min="12046" max="12056" width="0" style="5" hidden="1" customWidth="1"/>
    <col min="12057" max="12057" width="15.6328125" style="5" customWidth="1"/>
    <col min="12058" max="12096" width="0" style="5" hidden="1" customWidth="1"/>
    <col min="12097" max="12108" width="9.08984375" style="5" customWidth="1"/>
    <col min="12109" max="12289" width="9.08984375" style="5"/>
    <col min="12290" max="12291" width="0" style="5" hidden="1" customWidth="1"/>
    <col min="12292" max="12292" width="16.08984375" style="5" customWidth="1"/>
    <col min="12293" max="12293" width="68.6328125" style="5" customWidth="1"/>
    <col min="12294" max="12294" width="24.453125" style="5" customWidth="1"/>
    <col min="12295" max="12300" width="0" style="5" hidden="1" customWidth="1"/>
    <col min="12301" max="12301" width="20" style="5" customWidth="1"/>
    <col min="12302" max="12312" width="0" style="5" hidden="1" customWidth="1"/>
    <col min="12313" max="12313" width="15.6328125" style="5" customWidth="1"/>
    <col min="12314" max="12352" width="0" style="5" hidden="1" customWidth="1"/>
    <col min="12353" max="12364" width="9.08984375" style="5" customWidth="1"/>
    <col min="12365" max="12545" width="9.08984375" style="5"/>
    <col min="12546" max="12547" width="0" style="5" hidden="1" customWidth="1"/>
    <col min="12548" max="12548" width="16.08984375" style="5" customWidth="1"/>
    <col min="12549" max="12549" width="68.6328125" style="5" customWidth="1"/>
    <col min="12550" max="12550" width="24.453125" style="5" customWidth="1"/>
    <col min="12551" max="12556" width="0" style="5" hidden="1" customWidth="1"/>
    <col min="12557" max="12557" width="20" style="5" customWidth="1"/>
    <col min="12558" max="12568" width="0" style="5" hidden="1" customWidth="1"/>
    <col min="12569" max="12569" width="15.6328125" style="5" customWidth="1"/>
    <col min="12570" max="12608" width="0" style="5" hidden="1" customWidth="1"/>
    <col min="12609" max="12620" width="9.08984375" style="5" customWidth="1"/>
    <col min="12621" max="12801" width="9.08984375" style="5"/>
    <col min="12802" max="12803" width="0" style="5" hidden="1" customWidth="1"/>
    <col min="12804" max="12804" width="16.08984375" style="5" customWidth="1"/>
    <col min="12805" max="12805" width="68.6328125" style="5" customWidth="1"/>
    <col min="12806" max="12806" width="24.453125" style="5" customWidth="1"/>
    <col min="12807" max="12812" width="0" style="5" hidden="1" customWidth="1"/>
    <col min="12813" max="12813" width="20" style="5" customWidth="1"/>
    <col min="12814" max="12824" width="0" style="5" hidden="1" customWidth="1"/>
    <col min="12825" max="12825" width="15.6328125" style="5" customWidth="1"/>
    <col min="12826" max="12864" width="0" style="5" hidden="1" customWidth="1"/>
    <col min="12865" max="12876" width="9.08984375" style="5" customWidth="1"/>
    <col min="12877" max="13057" width="9.08984375" style="5"/>
    <col min="13058" max="13059" width="0" style="5" hidden="1" customWidth="1"/>
    <col min="13060" max="13060" width="16.08984375" style="5" customWidth="1"/>
    <col min="13061" max="13061" width="68.6328125" style="5" customWidth="1"/>
    <col min="13062" max="13062" width="24.453125" style="5" customWidth="1"/>
    <col min="13063" max="13068" width="0" style="5" hidden="1" customWidth="1"/>
    <col min="13069" max="13069" width="20" style="5" customWidth="1"/>
    <col min="13070" max="13080" width="0" style="5" hidden="1" customWidth="1"/>
    <col min="13081" max="13081" width="15.6328125" style="5" customWidth="1"/>
    <col min="13082" max="13120" width="0" style="5" hidden="1" customWidth="1"/>
    <col min="13121" max="13132" width="9.08984375" style="5" customWidth="1"/>
    <col min="13133" max="13313" width="9.08984375" style="5"/>
    <col min="13314" max="13315" width="0" style="5" hidden="1" customWidth="1"/>
    <col min="13316" max="13316" width="16.08984375" style="5" customWidth="1"/>
    <col min="13317" max="13317" width="68.6328125" style="5" customWidth="1"/>
    <col min="13318" max="13318" width="24.453125" style="5" customWidth="1"/>
    <col min="13319" max="13324" width="0" style="5" hidden="1" customWidth="1"/>
    <col min="13325" max="13325" width="20" style="5" customWidth="1"/>
    <col min="13326" max="13336" width="0" style="5" hidden="1" customWidth="1"/>
    <col min="13337" max="13337" width="15.6328125" style="5" customWidth="1"/>
    <col min="13338" max="13376" width="0" style="5" hidden="1" customWidth="1"/>
    <col min="13377" max="13388" width="9.08984375" style="5" customWidth="1"/>
    <col min="13389" max="13569" width="9.08984375" style="5"/>
    <col min="13570" max="13571" width="0" style="5" hidden="1" customWidth="1"/>
    <col min="13572" max="13572" width="16.08984375" style="5" customWidth="1"/>
    <col min="13573" max="13573" width="68.6328125" style="5" customWidth="1"/>
    <col min="13574" max="13574" width="24.453125" style="5" customWidth="1"/>
    <col min="13575" max="13580" width="0" style="5" hidden="1" customWidth="1"/>
    <col min="13581" max="13581" width="20" style="5" customWidth="1"/>
    <col min="13582" max="13592" width="0" style="5" hidden="1" customWidth="1"/>
    <col min="13593" max="13593" width="15.6328125" style="5" customWidth="1"/>
    <col min="13594" max="13632" width="0" style="5" hidden="1" customWidth="1"/>
    <col min="13633" max="13644" width="9.08984375" style="5" customWidth="1"/>
    <col min="13645" max="13825" width="9.08984375" style="5"/>
    <col min="13826" max="13827" width="0" style="5" hidden="1" customWidth="1"/>
    <col min="13828" max="13828" width="16.08984375" style="5" customWidth="1"/>
    <col min="13829" max="13829" width="68.6328125" style="5" customWidth="1"/>
    <col min="13830" max="13830" width="24.453125" style="5" customWidth="1"/>
    <col min="13831" max="13836" width="0" style="5" hidden="1" customWidth="1"/>
    <col min="13837" max="13837" width="20" style="5" customWidth="1"/>
    <col min="13838" max="13848" width="0" style="5" hidden="1" customWidth="1"/>
    <col min="13849" max="13849" width="15.6328125" style="5" customWidth="1"/>
    <col min="13850" max="13888" width="0" style="5" hidden="1" customWidth="1"/>
    <col min="13889" max="13900" width="9.08984375" style="5" customWidth="1"/>
    <col min="13901" max="14081" width="9.08984375" style="5"/>
    <col min="14082" max="14083" width="0" style="5" hidden="1" customWidth="1"/>
    <col min="14084" max="14084" width="16.08984375" style="5" customWidth="1"/>
    <col min="14085" max="14085" width="68.6328125" style="5" customWidth="1"/>
    <col min="14086" max="14086" width="24.453125" style="5" customWidth="1"/>
    <col min="14087" max="14092" width="0" style="5" hidden="1" customWidth="1"/>
    <col min="14093" max="14093" width="20" style="5" customWidth="1"/>
    <col min="14094" max="14104" width="0" style="5" hidden="1" customWidth="1"/>
    <col min="14105" max="14105" width="15.6328125" style="5" customWidth="1"/>
    <col min="14106" max="14144" width="0" style="5" hidden="1" customWidth="1"/>
    <col min="14145" max="14156" width="9.08984375" style="5" customWidth="1"/>
    <col min="14157" max="14337" width="9.08984375" style="5"/>
    <col min="14338" max="14339" width="0" style="5" hidden="1" customWidth="1"/>
    <col min="14340" max="14340" width="16.08984375" style="5" customWidth="1"/>
    <col min="14341" max="14341" width="68.6328125" style="5" customWidth="1"/>
    <col min="14342" max="14342" width="24.453125" style="5" customWidth="1"/>
    <col min="14343" max="14348" width="0" style="5" hidden="1" customWidth="1"/>
    <col min="14349" max="14349" width="20" style="5" customWidth="1"/>
    <col min="14350" max="14360" width="0" style="5" hidden="1" customWidth="1"/>
    <col min="14361" max="14361" width="15.6328125" style="5" customWidth="1"/>
    <col min="14362" max="14400" width="0" style="5" hidden="1" customWidth="1"/>
    <col min="14401" max="14412" width="9.08984375" style="5" customWidth="1"/>
    <col min="14413" max="14593" width="9.08984375" style="5"/>
    <col min="14594" max="14595" width="0" style="5" hidden="1" customWidth="1"/>
    <col min="14596" max="14596" width="16.08984375" style="5" customWidth="1"/>
    <col min="14597" max="14597" width="68.6328125" style="5" customWidth="1"/>
    <col min="14598" max="14598" width="24.453125" style="5" customWidth="1"/>
    <col min="14599" max="14604" width="0" style="5" hidden="1" customWidth="1"/>
    <col min="14605" max="14605" width="20" style="5" customWidth="1"/>
    <col min="14606" max="14616" width="0" style="5" hidden="1" customWidth="1"/>
    <col min="14617" max="14617" width="15.6328125" style="5" customWidth="1"/>
    <col min="14618" max="14656" width="0" style="5" hidden="1" customWidth="1"/>
    <col min="14657" max="14668" width="9.08984375" style="5" customWidth="1"/>
    <col min="14669" max="14849" width="9.08984375" style="5"/>
    <col min="14850" max="14851" width="0" style="5" hidden="1" customWidth="1"/>
    <col min="14852" max="14852" width="16.08984375" style="5" customWidth="1"/>
    <col min="14853" max="14853" width="68.6328125" style="5" customWidth="1"/>
    <col min="14854" max="14854" width="24.453125" style="5" customWidth="1"/>
    <col min="14855" max="14860" width="0" style="5" hidden="1" customWidth="1"/>
    <col min="14861" max="14861" width="20" style="5" customWidth="1"/>
    <col min="14862" max="14872" width="0" style="5" hidden="1" customWidth="1"/>
    <col min="14873" max="14873" width="15.6328125" style="5" customWidth="1"/>
    <col min="14874" max="14912" width="0" style="5" hidden="1" customWidth="1"/>
    <col min="14913" max="14924" width="9.08984375" style="5" customWidth="1"/>
    <col min="14925" max="15105" width="9.08984375" style="5"/>
    <col min="15106" max="15107" width="0" style="5" hidden="1" customWidth="1"/>
    <col min="15108" max="15108" width="16.08984375" style="5" customWidth="1"/>
    <col min="15109" max="15109" width="68.6328125" style="5" customWidth="1"/>
    <col min="15110" max="15110" width="24.453125" style="5" customWidth="1"/>
    <col min="15111" max="15116" width="0" style="5" hidden="1" customWidth="1"/>
    <col min="15117" max="15117" width="20" style="5" customWidth="1"/>
    <col min="15118" max="15128" width="0" style="5" hidden="1" customWidth="1"/>
    <col min="15129" max="15129" width="15.6328125" style="5" customWidth="1"/>
    <col min="15130" max="15168" width="0" style="5" hidden="1" customWidth="1"/>
    <col min="15169" max="15180" width="9.08984375" style="5" customWidth="1"/>
    <col min="15181" max="15361" width="9.08984375" style="5"/>
    <col min="15362" max="15363" width="0" style="5" hidden="1" customWidth="1"/>
    <col min="15364" max="15364" width="16.08984375" style="5" customWidth="1"/>
    <col min="15365" max="15365" width="68.6328125" style="5" customWidth="1"/>
    <col min="15366" max="15366" width="24.453125" style="5" customWidth="1"/>
    <col min="15367" max="15372" width="0" style="5" hidden="1" customWidth="1"/>
    <col min="15373" max="15373" width="20" style="5" customWidth="1"/>
    <col min="15374" max="15384" width="0" style="5" hidden="1" customWidth="1"/>
    <col min="15385" max="15385" width="15.6328125" style="5" customWidth="1"/>
    <col min="15386" max="15424" width="0" style="5" hidden="1" customWidth="1"/>
    <col min="15425" max="15436" width="9.08984375" style="5" customWidth="1"/>
    <col min="15437" max="15617" width="9.08984375" style="5"/>
    <col min="15618" max="15619" width="0" style="5" hidden="1" customWidth="1"/>
    <col min="15620" max="15620" width="16.08984375" style="5" customWidth="1"/>
    <col min="15621" max="15621" width="68.6328125" style="5" customWidth="1"/>
    <col min="15622" max="15622" width="24.453125" style="5" customWidth="1"/>
    <col min="15623" max="15628" width="0" style="5" hidden="1" customWidth="1"/>
    <col min="15629" max="15629" width="20" style="5" customWidth="1"/>
    <col min="15630" max="15640" width="0" style="5" hidden="1" customWidth="1"/>
    <col min="15641" max="15641" width="15.6328125" style="5" customWidth="1"/>
    <col min="15642" max="15680" width="0" style="5" hidden="1" customWidth="1"/>
    <col min="15681" max="15692" width="9.08984375" style="5" customWidth="1"/>
    <col min="15693" max="15873" width="9.08984375" style="5"/>
    <col min="15874" max="15875" width="0" style="5" hidden="1" customWidth="1"/>
    <col min="15876" max="15876" width="16.08984375" style="5" customWidth="1"/>
    <col min="15877" max="15877" width="68.6328125" style="5" customWidth="1"/>
    <col min="15878" max="15878" width="24.453125" style="5" customWidth="1"/>
    <col min="15879" max="15884" width="0" style="5" hidden="1" customWidth="1"/>
    <col min="15885" max="15885" width="20" style="5" customWidth="1"/>
    <col min="15886" max="15896" width="0" style="5" hidden="1" customWidth="1"/>
    <col min="15897" max="15897" width="15.6328125" style="5" customWidth="1"/>
    <col min="15898" max="15936" width="0" style="5" hidden="1" customWidth="1"/>
    <col min="15937" max="15948" width="9.08984375" style="5" customWidth="1"/>
    <col min="15949" max="16129" width="9.08984375" style="5"/>
    <col min="16130" max="16131" width="0" style="5" hidden="1" customWidth="1"/>
    <col min="16132" max="16132" width="16.08984375" style="5" customWidth="1"/>
    <col min="16133" max="16133" width="68.6328125" style="5" customWidth="1"/>
    <col min="16134" max="16134" width="24.453125" style="5" customWidth="1"/>
    <col min="16135" max="16140" width="0" style="5" hidden="1" customWidth="1"/>
    <col min="16141" max="16141" width="20" style="5" customWidth="1"/>
    <col min="16142" max="16152" width="0" style="5" hidden="1" customWidth="1"/>
    <col min="16153" max="16153" width="15.6328125" style="5" customWidth="1"/>
    <col min="16154" max="16192" width="0" style="5" hidden="1" customWidth="1"/>
    <col min="16193" max="16204" width="9.08984375" style="5" customWidth="1"/>
    <col min="16205" max="16384" width="9.08984375" style="5"/>
  </cols>
  <sheetData>
    <row r="1" spans="1:75" ht="15.5" x14ac:dyDescent="0.35">
      <c r="A1" s="1"/>
      <c r="B1" s="2"/>
      <c r="C1" s="3"/>
      <c r="D1" s="1"/>
      <c r="E1" s="1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75" ht="18" x14ac:dyDescent="0.4">
      <c r="A2" s="1"/>
      <c r="B2" s="2"/>
      <c r="C2" s="3"/>
      <c r="D2" s="9" t="s">
        <v>127</v>
      </c>
      <c r="E2" s="10"/>
      <c r="F2" s="1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0"/>
      <c r="AP2" s="10"/>
      <c r="AQ2" s="10"/>
      <c r="AR2" s="10"/>
      <c r="AS2" s="10"/>
    </row>
    <row r="3" spans="1:75" ht="18" x14ac:dyDescent="0.35">
      <c r="A3" s="1"/>
      <c r="B3" s="2"/>
      <c r="C3" s="3"/>
      <c r="D3" s="13" t="s">
        <v>0</v>
      </c>
      <c r="E3" s="10"/>
      <c r="F3" s="11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0"/>
      <c r="AP3" s="10"/>
      <c r="AQ3" s="10"/>
      <c r="AR3" s="10"/>
      <c r="AS3" s="10"/>
    </row>
    <row r="4" spans="1:75" ht="18" x14ac:dyDescent="0.4">
      <c r="A4" s="1"/>
      <c r="B4" s="2"/>
      <c r="C4" s="3"/>
      <c r="D4" s="9" t="s">
        <v>125</v>
      </c>
      <c r="E4" s="10"/>
      <c r="F4" s="11"/>
      <c r="G4" s="10" t="s">
        <v>1</v>
      </c>
      <c r="H4" s="10"/>
      <c r="I4" s="10"/>
      <c r="J4" s="10"/>
      <c r="K4" s="10"/>
      <c r="L4" s="10"/>
      <c r="M4" s="10"/>
      <c r="O4" s="10"/>
      <c r="P4" s="14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5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0"/>
    </row>
    <row r="5" spans="1:75" ht="18.5" thickBot="1" x14ac:dyDescent="0.45">
      <c r="A5" s="16"/>
      <c r="B5" s="17"/>
      <c r="C5" s="3"/>
      <c r="D5" s="10"/>
      <c r="E5" s="18"/>
      <c r="F5" s="11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5"/>
      <c r="AE5" s="10"/>
      <c r="AF5" s="10"/>
      <c r="AG5" s="10"/>
      <c r="AH5" s="10"/>
      <c r="AI5" s="10"/>
      <c r="AJ5" s="10"/>
      <c r="AK5" s="10"/>
      <c r="AL5" s="10" t="s">
        <v>2</v>
      </c>
      <c r="AM5" s="10"/>
      <c r="AN5" s="12" t="s">
        <v>2</v>
      </c>
      <c r="AO5" s="10"/>
      <c r="AP5" s="19" t="s">
        <v>2</v>
      </c>
      <c r="AR5" s="20" t="s">
        <v>2</v>
      </c>
      <c r="AT5" s="19" t="s">
        <v>2</v>
      </c>
      <c r="AV5" s="21" t="s">
        <v>2</v>
      </c>
      <c r="AW5" s="21"/>
      <c r="AX5" s="21" t="s">
        <v>2</v>
      </c>
      <c r="AY5" s="21"/>
      <c r="AZ5" s="21" t="s">
        <v>2</v>
      </c>
      <c r="BA5" s="21"/>
      <c r="BB5" s="21"/>
      <c r="BC5" s="21" t="s">
        <v>2</v>
      </c>
      <c r="BD5" s="21"/>
      <c r="BE5" s="21"/>
      <c r="BF5" s="21" t="s">
        <v>2</v>
      </c>
      <c r="BG5" s="21"/>
      <c r="BH5" s="21"/>
      <c r="BI5" s="21" t="s">
        <v>2</v>
      </c>
      <c r="BJ5" s="21"/>
      <c r="BK5" s="21"/>
      <c r="BL5" s="10"/>
      <c r="BM5" s="5" t="s">
        <v>3</v>
      </c>
    </row>
    <row r="6" spans="1:75" ht="18" x14ac:dyDescent="0.4">
      <c r="A6" s="22" t="s">
        <v>4</v>
      </c>
      <c r="B6" s="23" t="s">
        <v>5</v>
      </c>
      <c r="C6" s="24"/>
      <c r="D6" s="25" t="s">
        <v>6</v>
      </c>
      <c r="E6" s="9" t="s">
        <v>4</v>
      </c>
      <c r="F6" s="9" t="s">
        <v>5</v>
      </c>
      <c r="G6" s="9" t="s">
        <v>7</v>
      </c>
      <c r="H6" s="9" t="s">
        <v>7</v>
      </c>
      <c r="I6" s="9" t="s">
        <v>7</v>
      </c>
      <c r="J6" s="9" t="s">
        <v>7</v>
      </c>
      <c r="K6" s="9" t="s">
        <v>7</v>
      </c>
      <c r="L6" s="9" t="s">
        <v>124</v>
      </c>
      <c r="M6" s="9" t="s">
        <v>7</v>
      </c>
      <c r="N6" s="9" t="s">
        <v>7</v>
      </c>
      <c r="O6" s="9" t="s">
        <v>7</v>
      </c>
      <c r="P6" s="9" t="s">
        <v>7</v>
      </c>
      <c r="Q6" s="9" t="s">
        <v>7</v>
      </c>
      <c r="R6" s="9" t="s">
        <v>7</v>
      </c>
      <c r="S6" s="9" t="s">
        <v>7</v>
      </c>
      <c r="T6" s="26" t="s">
        <v>8</v>
      </c>
      <c r="U6" s="26" t="s">
        <v>8</v>
      </c>
      <c r="V6" s="26" t="s">
        <v>8</v>
      </c>
      <c r="W6" s="26" t="s">
        <v>8</v>
      </c>
      <c r="X6" s="26" t="s">
        <v>8</v>
      </c>
      <c r="Y6" s="26" t="s">
        <v>126</v>
      </c>
      <c r="Z6" s="26" t="s">
        <v>8</v>
      </c>
      <c r="AA6" s="26" t="s">
        <v>8</v>
      </c>
      <c r="AB6" s="26" t="s">
        <v>8</v>
      </c>
      <c r="AC6" s="26" t="s">
        <v>8</v>
      </c>
      <c r="AD6" s="26" t="s">
        <v>8</v>
      </c>
      <c r="AE6" s="26" t="s">
        <v>8</v>
      </c>
      <c r="AF6" s="26" t="s">
        <v>9</v>
      </c>
      <c r="AG6" s="26" t="s">
        <v>9</v>
      </c>
      <c r="AH6" s="26" t="s">
        <v>9</v>
      </c>
      <c r="AI6" s="26" t="s">
        <v>9</v>
      </c>
      <c r="AJ6" s="25" t="s">
        <v>7</v>
      </c>
      <c r="AK6" s="26" t="s">
        <v>8</v>
      </c>
      <c r="AL6" s="9" t="s">
        <v>7</v>
      </c>
      <c r="AM6" s="26" t="s">
        <v>8</v>
      </c>
      <c r="AN6" s="27" t="s">
        <v>7</v>
      </c>
      <c r="AO6" s="28" t="s">
        <v>8</v>
      </c>
      <c r="AP6" s="29" t="s">
        <v>7</v>
      </c>
      <c r="AQ6" s="28" t="s">
        <v>8</v>
      </c>
      <c r="AR6" s="30" t="s">
        <v>7</v>
      </c>
      <c r="AS6" s="28" t="s">
        <v>8</v>
      </c>
      <c r="AT6" s="29" t="s">
        <v>7</v>
      </c>
      <c r="AU6" s="28" t="s">
        <v>8</v>
      </c>
      <c r="AV6" s="21" t="s">
        <v>7</v>
      </c>
      <c r="AW6" s="21" t="s">
        <v>8</v>
      </c>
      <c r="AX6" s="21" t="s">
        <v>7</v>
      </c>
      <c r="AY6" s="21" t="s">
        <v>8</v>
      </c>
      <c r="AZ6" s="21" t="s">
        <v>7</v>
      </c>
      <c r="BA6" s="21" t="s">
        <v>8</v>
      </c>
      <c r="BB6" s="21" t="s">
        <v>9</v>
      </c>
      <c r="BC6" s="21" t="s">
        <v>7</v>
      </c>
      <c r="BD6" s="21" t="s">
        <v>8</v>
      </c>
      <c r="BE6" s="21" t="s">
        <v>9</v>
      </c>
      <c r="BF6" s="21" t="s">
        <v>7</v>
      </c>
      <c r="BG6" s="21" t="s">
        <v>8</v>
      </c>
      <c r="BH6" s="21" t="s">
        <v>9</v>
      </c>
      <c r="BI6" s="21" t="s">
        <v>7</v>
      </c>
      <c r="BJ6" s="21" t="s">
        <v>8</v>
      </c>
      <c r="BK6" s="21" t="s">
        <v>9</v>
      </c>
    </row>
    <row r="7" spans="1:75" ht="18.5" thickBot="1" x14ac:dyDescent="0.45">
      <c r="A7" s="31" t="s">
        <v>10</v>
      </c>
      <c r="B7" s="32" t="s">
        <v>10</v>
      </c>
      <c r="C7" s="9" t="s">
        <v>11</v>
      </c>
      <c r="D7" s="9"/>
      <c r="E7" s="9" t="s">
        <v>12</v>
      </c>
      <c r="F7" s="9" t="s">
        <v>12</v>
      </c>
      <c r="G7" s="9" t="s">
        <v>13</v>
      </c>
      <c r="H7" s="9" t="s">
        <v>14</v>
      </c>
      <c r="I7" s="9" t="s">
        <v>15</v>
      </c>
      <c r="J7" s="9" t="s">
        <v>16</v>
      </c>
      <c r="K7" s="9" t="s">
        <v>17</v>
      </c>
      <c r="L7" s="9" t="s">
        <v>12</v>
      </c>
      <c r="M7" s="9" t="s">
        <v>21</v>
      </c>
      <c r="N7" s="9" t="s">
        <v>18</v>
      </c>
      <c r="O7" s="9" t="s">
        <v>19</v>
      </c>
      <c r="P7" s="9" t="s">
        <v>20</v>
      </c>
      <c r="Q7" s="9" t="s">
        <v>21</v>
      </c>
      <c r="R7" s="9" t="s">
        <v>22</v>
      </c>
      <c r="S7" s="9" t="s">
        <v>23</v>
      </c>
      <c r="T7" s="9" t="s">
        <v>24</v>
      </c>
      <c r="U7" s="9" t="s">
        <v>25</v>
      </c>
      <c r="V7" s="25" t="s">
        <v>26</v>
      </c>
      <c r="W7" s="25" t="s">
        <v>27</v>
      </c>
      <c r="X7" s="25" t="s">
        <v>28</v>
      </c>
      <c r="Y7" s="25" t="s">
        <v>21</v>
      </c>
      <c r="Z7" s="25" t="s">
        <v>29</v>
      </c>
      <c r="AA7" s="25" t="s">
        <v>30</v>
      </c>
      <c r="AB7" s="25" t="s">
        <v>31</v>
      </c>
      <c r="AC7" s="25" t="s">
        <v>32</v>
      </c>
      <c r="AD7" s="25" t="s">
        <v>33</v>
      </c>
      <c r="AE7" s="25" t="s">
        <v>34</v>
      </c>
      <c r="AF7" s="25" t="s">
        <v>31</v>
      </c>
      <c r="AG7" s="25" t="s">
        <v>35</v>
      </c>
      <c r="AH7" s="25" t="s">
        <v>33</v>
      </c>
      <c r="AI7" s="25" t="s">
        <v>34</v>
      </c>
      <c r="AJ7" s="9" t="s">
        <v>36</v>
      </c>
      <c r="AK7" s="9" t="s">
        <v>36</v>
      </c>
      <c r="AL7" s="9" t="s">
        <v>36</v>
      </c>
      <c r="AM7" s="9" t="s">
        <v>36</v>
      </c>
      <c r="AN7" s="33" t="s">
        <v>36</v>
      </c>
      <c r="AO7" s="34" t="s">
        <v>36</v>
      </c>
      <c r="AP7" s="35" t="s">
        <v>36</v>
      </c>
      <c r="AQ7" s="34" t="s">
        <v>36</v>
      </c>
      <c r="AR7" s="36" t="s">
        <v>36</v>
      </c>
      <c r="AS7" s="34" t="s">
        <v>36</v>
      </c>
      <c r="AT7" s="35" t="s">
        <v>36</v>
      </c>
      <c r="AU7" s="34" t="s">
        <v>36</v>
      </c>
      <c r="AV7" s="21" t="s">
        <v>36</v>
      </c>
      <c r="AW7" s="21" t="s">
        <v>36</v>
      </c>
      <c r="AX7" s="21" t="s">
        <v>36</v>
      </c>
      <c r="AY7" s="21" t="s">
        <v>36</v>
      </c>
      <c r="AZ7" s="21" t="s">
        <v>36</v>
      </c>
      <c r="BA7" s="21" t="s">
        <v>36</v>
      </c>
      <c r="BB7" s="21" t="s">
        <v>36</v>
      </c>
      <c r="BC7" s="21" t="s">
        <v>36</v>
      </c>
      <c r="BD7" s="21" t="s">
        <v>36</v>
      </c>
      <c r="BE7" s="21" t="s">
        <v>36</v>
      </c>
      <c r="BF7" s="21" t="s">
        <v>36</v>
      </c>
      <c r="BG7" s="21" t="s">
        <v>36</v>
      </c>
      <c r="BH7" s="21" t="s">
        <v>36</v>
      </c>
      <c r="BI7" s="21" t="s">
        <v>36</v>
      </c>
      <c r="BJ7" s="21" t="s">
        <v>36</v>
      </c>
      <c r="BK7" s="21" t="s">
        <v>36</v>
      </c>
    </row>
    <row r="8" spans="1:75" ht="18.5" thickBot="1" x14ac:dyDescent="0.45">
      <c r="A8" s="37"/>
      <c r="B8" s="38"/>
      <c r="C8" s="9"/>
      <c r="D8" s="9" t="s">
        <v>37</v>
      </c>
      <c r="E8" s="9"/>
      <c r="F8" s="3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5" t="s">
        <v>38</v>
      </c>
      <c r="AK8" s="9" t="s">
        <v>38</v>
      </c>
      <c r="AL8" s="9" t="s">
        <v>39</v>
      </c>
      <c r="AM8" s="9" t="s">
        <v>39</v>
      </c>
      <c r="AN8" s="40" t="s">
        <v>40</v>
      </c>
      <c r="AO8" s="41" t="s">
        <v>41</v>
      </c>
      <c r="AP8" s="42" t="s">
        <v>42</v>
      </c>
      <c r="AQ8" s="41" t="s">
        <v>43</v>
      </c>
      <c r="AR8" s="43" t="s">
        <v>44</v>
      </c>
      <c r="AS8" s="41" t="s">
        <v>45</v>
      </c>
      <c r="AT8" s="42" t="s">
        <v>46</v>
      </c>
      <c r="AU8" s="41" t="s">
        <v>47</v>
      </c>
      <c r="AV8" s="21" t="s">
        <v>48</v>
      </c>
      <c r="AW8" s="21" t="s">
        <v>49</v>
      </c>
      <c r="AX8" s="21" t="s">
        <v>50</v>
      </c>
      <c r="AY8" s="21" t="s">
        <v>51</v>
      </c>
      <c r="AZ8" s="21" t="s">
        <v>52</v>
      </c>
      <c r="BA8" s="21" t="s">
        <v>53</v>
      </c>
      <c r="BB8" s="21" t="s">
        <v>53</v>
      </c>
      <c r="BC8" s="21" t="s">
        <v>54</v>
      </c>
      <c r="BD8" s="21" t="s">
        <v>55</v>
      </c>
      <c r="BE8" s="21" t="s">
        <v>55</v>
      </c>
      <c r="BF8" s="21" t="s">
        <v>56</v>
      </c>
      <c r="BG8" s="21" t="s">
        <v>56</v>
      </c>
      <c r="BH8" s="21" t="s">
        <v>56</v>
      </c>
      <c r="BI8" s="21" t="s">
        <v>57</v>
      </c>
      <c r="BJ8" s="21" t="s">
        <v>57</v>
      </c>
      <c r="BK8" s="21" t="s">
        <v>57</v>
      </c>
    </row>
    <row r="9" spans="1:75" ht="18" x14ac:dyDescent="0.4">
      <c r="A9" s="44"/>
      <c r="B9" s="45"/>
      <c r="C9" s="46"/>
      <c r="D9" s="25" t="s">
        <v>58</v>
      </c>
      <c r="E9" s="10"/>
      <c r="F9" s="10"/>
      <c r="G9" s="10"/>
      <c r="H9" s="10"/>
      <c r="I9" s="10"/>
      <c r="J9" s="39"/>
      <c r="K9" s="39"/>
      <c r="L9" s="39"/>
      <c r="M9" s="39"/>
      <c r="N9" s="39"/>
      <c r="O9" s="39"/>
      <c r="P9" s="39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2"/>
      <c r="AO9" s="10"/>
      <c r="AP9" s="47"/>
      <c r="AQ9" s="47"/>
      <c r="AR9" s="48"/>
      <c r="AS9" s="47"/>
      <c r="AT9" s="47"/>
      <c r="AU9" s="47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W9" s="47" t="s">
        <v>59</v>
      </c>
    </row>
    <row r="10" spans="1:75" ht="18" x14ac:dyDescent="0.4">
      <c r="A10" s="44"/>
      <c r="B10" s="45"/>
      <c r="C10" s="3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2"/>
      <c r="AO10" s="10"/>
      <c r="AP10" s="47"/>
      <c r="AQ10" s="47"/>
      <c r="AR10" s="48"/>
      <c r="AS10" s="47"/>
      <c r="AT10" s="47"/>
      <c r="AU10" s="47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</row>
    <row r="11" spans="1:75" ht="18" x14ac:dyDescent="0.4">
      <c r="A11" s="1"/>
      <c r="B11" s="2"/>
      <c r="C11" s="3"/>
      <c r="D11" s="25" t="s">
        <v>60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2"/>
      <c r="AO11" s="10"/>
      <c r="AP11" s="47"/>
      <c r="AQ11" s="47"/>
      <c r="AR11" s="48"/>
      <c r="AS11" s="47"/>
      <c r="AT11" s="47"/>
      <c r="AU11" s="47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</row>
    <row r="12" spans="1:75" ht="18" x14ac:dyDescent="0.4">
      <c r="A12" s="1"/>
      <c r="B12" s="2"/>
      <c r="C12" s="49"/>
      <c r="D12" s="25" t="s">
        <v>61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2"/>
      <c r="AO12" s="10"/>
      <c r="AP12" s="47"/>
      <c r="AQ12" s="47"/>
      <c r="AR12" s="48"/>
      <c r="AS12" s="47"/>
      <c r="AT12" s="47"/>
      <c r="AU12" s="47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</row>
    <row r="13" spans="1:75" ht="18" x14ac:dyDescent="0.4">
      <c r="A13" s="25">
        <f>SUM('[1]Actual Expenditure 2018-19'!A15)+('[1]Actual Expenditure 2018-19'!A43)+('[1]Actual Expenditure 2018-19'!A62)+('[1]Actual Expenditure 2018-19'!A82)+('[1]Actual Expenditure 2018-19'!A114)+('[1]Actual Expenditure 2018-19'!A133)+('[1]Actual Expenditure 2018-19'!A169)+('[1]Actual Expenditure 2018-19'!A178)+('[1]Actual Expenditure 2018-19'!A199)+('[1]Actual Expenditure 2018-19'!A223)+('[1]Actual Expenditure 2018-19'!A242)+('[1]Actual Expenditure 2018-19'!A263)+('[1]Actual Expenditure 2018-19'!A285)+('[1]Actual Expenditure 2018-19'!A301)+('[1]Actual Expenditure 2018-19'!A317)+('[1]Actual Expenditure 2018-19'!A331)+('[1]Actual Expenditure 2018-19'!A355)+('[1]Actual Expenditure 2018-19'!A383)+('[1]Actual Expenditure 2018-19'!A404)+('[1]Actual Expenditure 2018-19'!A434)</f>
        <v>49250000</v>
      </c>
      <c r="B13" s="25">
        <f>SUM('[1]Actual Expenditure 2018-19'!B15)+('[1]Actual Expenditure 2018-19'!B43)+('[1]Actual Expenditure 2018-19'!B62)+('[1]Actual Expenditure 2018-19'!B82)+('[1]Actual Expenditure 2018-19'!B114)+('[1]Actual Expenditure 2018-19'!B133)+('[1]Actual Expenditure 2018-19'!B169)+('[1]Actual Expenditure 2018-19'!B178)+('[1]Actual Expenditure 2018-19'!B199)+('[1]Actual Expenditure 2018-19'!B223)+('[1]Actual Expenditure 2018-19'!B242)+('[1]Actual Expenditure 2018-19'!B263)+('[1]Actual Expenditure 2018-19'!B285)+('[1]Actual Expenditure 2018-19'!B301)+('[1]Actual Expenditure 2018-19'!B317)+('[1]Actual Expenditure 2018-19'!B331)+('[1]Actual Expenditure 2018-19'!B355)+('[1]Actual Expenditure 2018-19'!B383)+('[1]Actual Expenditure 2018-19'!B404)+('[1]Actual Expenditure 2018-19'!B434)</f>
        <v>49121600</v>
      </c>
      <c r="C13" s="50" t="s">
        <v>62</v>
      </c>
      <c r="D13" s="25" t="s">
        <v>63</v>
      </c>
      <c r="E13" s="25">
        <f>SUM('[1]Actual Expenditure 2018-19'!E15)+('[1]Actual Expenditure 2018-19'!E43)+('[1]Actual Expenditure 2018-19'!E62)+('[1]Actual Expenditure 2018-19'!E82)+('[1]Actual Expenditure 2018-19'!E114)+('[1]Actual Expenditure 2018-19'!E133)+('[1]Actual Expenditure 2018-19'!E169)+('[1]Actual Expenditure 2018-19'!E178)+('[1]Actual Expenditure 2018-19'!E199)+('[1]Actual Expenditure 2018-19'!E223)+('[1]Actual Expenditure 2018-19'!E242)+('[1]Actual Expenditure 2018-19'!E263)+('[1]Actual Expenditure 2018-19'!E285)+('[1]Actual Expenditure 2018-19'!E301)+('[1]Actual Expenditure 2018-19'!E317)+('[1]Actual Expenditure 2018-19'!E331)+('[1]Actual Expenditure 2018-19'!E355)+('[1]Actual Expenditure 2018-19'!E383)+('[1]Actual Expenditure 2018-19'!E404)+('[1]Actual Expenditure 2018-19'!E434)</f>
        <v>51577600</v>
      </c>
      <c r="F13" s="25">
        <f>SUM('[1]Actual Expenditure 2018-19'!F15)+('[1]Actual Expenditure 2018-19'!F43)+('[1]Actual Expenditure 2018-19'!F62)+('[1]Actual Expenditure 2018-19'!F82)+('[1]Actual Expenditure 2018-19'!F114)+('[1]Actual Expenditure 2018-19'!F133)+('[1]Actual Expenditure 2018-19'!F169)+('[1]Actual Expenditure 2018-19'!F178)+('[1]Actual Expenditure 2018-19'!F199)+('[1]Actual Expenditure 2018-19'!F223)+('[1]Actual Expenditure 2018-19'!F242)+('[1]Actual Expenditure 2018-19'!F263)+('[1]Actual Expenditure 2018-19'!F285)+('[1]Actual Expenditure 2018-19'!F301)+('[1]Actual Expenditure 2018-19'!F317)+('[1]Actual Expenditure 2018-19'!F331)+('[1]Actual Expenditure 2018-19'!F355)+('[1]Actual Expenditure 2018-19'!F383)+('[1]Actual Expenditure 2018-19'!F404)+('[1]Actual Expenditure 2018-19'!F434)</f>
        <v>0</v>
      </c>
      <c r="G13" s="25">
        <f>SUM('[1]Actual Expenditure 2018-19'!G15)+('[1]Actual Expenditure 2018-19'!G43)+('[1]Actual Expenditure 2018-19'!G62)+('[1]Actual Expenditure 2018-19'!G82)+('[1]Actual Expenditure 2018-19'!G114)+('[1]Actual Expenditure 2018-19'!G133)+('[1]Actual Expenditure 2018-19'!G169)+('[1]Actual Expenditure 2018-19'!G178)+('[1]Actual Expenditure 2018-19'!G199)+('[1]Actual Expenditure 2018-19'!G223)+('[1]Actual Expenditure 2018-19'!G242)+('[1]Actual Expenditure 2018-19'!G263)+('[1]Actual Expenditure 2018-19'!G285)+('[1]Actual Expenditure 2018-19'!G301)+('[1]Actual Expenditure 2018-19'!G317)+('[1]Actual Expenditure 2018-19'!G331)+('[1]Actual Expenditure 2018-19'!G355)+('[1]Actual Expenditure 2018-19'!G383)+('[1]Actual Expenditure 2018-19'!G404)+('[1]Actual Expenditure 2018-19'!G434)</f>
        <v>4248298</v>
      </c>
      <c r="H13" s="25">
        <f>SUM('[1]Actual Expenditure 2018-19'!H15)+('[1]Actual Expenditure 2018-19'!H43)+('[1]Actual Expenditure 2018-19'!H62)+('[1]Actual Expenditure 2018-19'!H82)+('[1]Actual Expenditure 2018-19'!H114)+('[1]Actual Expenditure 2018-19'!H133)+('[1]Actual Expenditure 2018-19'!H169)+('[1]Actual Expenditure 2018-19'!H178)+('[1]Actual Expenditure 2018-19'!H199)+('[1]Actual Expenditure 2018-19'!H223)+('[1]Actual Expenditure 2018-19'!H242)+('[1]Actual Expenditure 2018-19'!H263)+('[1]Actual Expenditure 2018-19'!H285)+('[1]Actual Expenditure 2018-19'!H301)+('[1]Actual Expenditure 2018-19'!H317)+('[1]Actual Expenditure 2018-19'!H331)+('[1]Actual Expenditure 2018-19'!H355)+('[1]Actual Expenditure 2018-19'!H383)+('[1]Actual Expenditure 2018-19'!H404)+('[1]Actual Expenditure 2018-19'!H434)</f>
        <v>0</v>
      </c>
      <c r="I13" s="25">
        <f>SUM('[1]Actual Expenditure 2018-19'!I15)+('[1]Actual Expenditure 2018-19'!I43)+('[1]Actual Expenditure 2018-19'!I62)+('[1]Actual Expenditure 2018-19'!I82)+('[1]Actual Expenditure 2018-19'!I114)+('[1]Actual Expenditure 2018-19'!I133)+('[1]Actual Expenditure 2018-19'!I169)+('[1]Actual Expenditure 2018-19'!I178)+('[1]Actual Expenditure 2018-19'!I199)+('[1]Actual Expenditure 2018-19'!I223)+('[1]Actual Expenditure 2018-19'!I242)+('[1]Actual Expenditure 2018-19'!I263)+('[1]Actual Expenditure 2018-19'!I285)+('[1]Actual Expenditure 2018-19'!I301)+('[1]Actual Expenditure 2018-19'!I317)+('[1]Actual Expenditure 2018-19'!I331)+('[1]Actual Expenditure 2018-19'!I355)+('[1]Actual Expenditure 2018-19'!I383)+('[1]Actual Expenditure 2018-19'!I404)+('[1]Actual Expenditure 2018-19'!I434)</f>
        <v>0</v>
      </c>
      <c r="J13" s="25">
        <f>SUM('[1]Actual Expenditure 2018-19'!J15)+('[1]Actual Expenditure 2018-19'!J43)+('[1]Actual Expenditure 2018-19'!J62)+('[1]Actual Expenditure 2018-19'!J82)+('[1]Actual Expenditure 2018-19'!J114)+('[1]Actual Expenditure 2018-19'!J133)+('[1]Actual Expenditure 2018-19'!J169)+('[1]Actual Expenditure 2018-19'!J178)+('[1]Actual Expenditure 2018-19'!J199)+('[1]Actual Expenditure 2018-19'!J223)+('[1]Actual Expenditure 2018-19'!J242)+('[1]Actual Expenditure 2018-19'!J263)+('[1]Actual Expenditure 2018-19'!J285)+('[1]Actual Expenditure 2018-19'!J301)+('[1]Actual Expenditure 2018-19'!J317)+('[1]Actual Expenditure 2018-19'!J331)+('[1]Actual Expenditure 2018-19'!J355)+('[1]Actual Expenditure 2018-19'!J383)+('[1]Actual Expenditure 2018-19'!J404)+('[1]Actual Expenditure 2018-19'!J434)</f>
        <v>0</v>
      </c>
      <c r="K13" s="25">
        <f>SUM('[1]Actual Expenditure 2018-19'!K15)+('[1]Actual Expenditure 2018-19'!K43)+('[1]Actual Expenditure 2018-19'!K62)+('[1]Actual Expenditure 2018-19'!K82)+('[1]Actual Expenditure 2018-19'!K114)+('[1]Actual Expenditure 2018-19'!K133)+('[1]Actual Expenditure 2018-19'!K169)+('[1]Actual Expenditure 2018-19'!K178)+('[1]Actual Expenditure 2018-19'!K199)+('[1]Actual Expenditure 2018-19'!K223)+('[1]Actual Expenditure 2018-19'!K242)+('[1]Actual Expenditure 2018-19'!K263)+('[1]Actual Expenditure 2018-19'!K285)+('[1]Actual Expenditure 2018-19'!K301)+('[1]Actual Expenditure 2018-19'!K317)+('[1]Actual Expenditure 2018-19'!K331)+('[1]Actual Expenditure 2018-19'!K355)+('[1]Actual Expenditure 2018-19'!K383)+('[1]Actual Expenditure 2018-19'!K404)+('[1]Actual Expenditure 2018-19'!K434)</f>
        <v>25652224</v>
      </c>
      <c r="L13" s="25">
        <v>52658000</v>
      </c>
      <c r="M13" s="71">
        <v>47632041</v>
      </c>
      <c r="N13" s="25">
        <f>SUM('[1]Actual Expenditure 2018-19'!M15)+('[1]Actual Expenditure 2018-19'!M43)+('[1]Actual Expenditure 2018-19'!M62)+('[1]Actual Expenditure 2018-19'!M82)+('[1]Actual Expenditure 2018-19'!M114)+('[1]Actual Expenditure 2018-19'!M133)+('[1]Actual Expenditure 2018-19'!M169)+('[1]Actual Expenditure 2018-19'!M178)+('[1]Actual Expenditure 2018-19'!M199)+('[1]Actual Expenditure 2018-19'!M223)+('[1]Actual Expenditure 2018-19'!M242)+('[1]Actual Expenditure 2018-19'!M263)+('[1]Actual Expenditure 2018-19'!M285)+('[1]Actual Expenditure 2018-19'!M301)+('[1]Actual Expenditure 2018-19'!M317)+('[1]Actual Expenditure 2018-19'!M331)+('[1]Actual Expenditure 2018-19'!M355)+('[1]Actual Expenditure 2018-19'!M383)+('[1]Actual Expenditure 2018-19'!M404)+('[1]Actual Expenditure 2018-19'!M434)</f>
        <v>0</v>
      </c>
      <c r="O13" s="25">
        <f>SUM('[1]Actual Expenditure 2018-19'!N15)+('[1]Actual Expenditure 2018-19'!N43)+('[1]Actual Expenditure 2018-19'!N62)+('[1]Actual Expenditure 2018-19'!N82)+('[1]Actual Expenditure 2018-19'!N114)+('[1]Actual Expenditure 2018-19'!N133)+('[1]Actual Expenditure 2018-19'!N169)+('[1]Actual Expenditure 2018-19'!N178)+('[1]Actual Expenditure 2018-19'!N199)+('[1]Actual Expenditure 2018-19'!N223)+('[1]Actual Expenditure 2018-19'!N242)+('[1]Actual Expenditure 2018-19'!N263)+('[1]Actual Expenditure 2018-19'!N285)+('[1]Actual Expenditure 2018-19'!N301)+('[1]Actual Expenditure 2018-19'!N317)+('[1]Actual Expenditure 2018-19'!N331)+('[1]Actual Expenditure 2018-19'!N355)+('[1]Actual Expenditure 2018-19'!N383)+('[1]Actual Expenditure 2018-19'!N404)+('[1]Actual Expenditure 2018-19'!N434)</f>
        <v>0</v>
      </c>
      <c r="P13" s="25">
        <f>SUM('[1]Actual Expenditure 2018-19'!O15)+('[1]Actual Expenditure 2018-19'!O43)+('[1]Actual Expenditure 2018-19'!O62)+('[1]Actual Expenditure 2018-19'!O82)+('[1]Actual Expenditure 2018-19'!O114)+('[1]Actual Expenditure 2018-19'!O133)+('[1]Actual Expenditure 2018-19'!O169)+('[1]Actual Expenditure 2018-19'!O178)+('[1]Actual Expenditure 2018-19'!O199)+('[1]Actual Expenditure 2018-19'!O223)+('[1]Actual Expenditure 2018-19'!O242)+('[1]Actual Expenditure 2018-19'!O263)+('[1]Actual Expenditure 2018-19'!O285)+('[1]Actual Expenditure 2018-19'!O301)+('[1]Actual Expenditure 2018-19'!O317)+('[1]Actual Expenditure 2018-19'!O331)+('[1]Actual Expenditure 2018-19'!O355)+('[1]Actual Expenditure 2018-19'!O383)+('[1]Actual Expenditure 2018-19'!O404)+('[1]Actual Expenditure 2018-19'!O434)</f>
        <v>0</v>
      </c>
      <c r="Q13" s="25">
        <f>SUM('[1]Actual Expenditure 2018-19'!P15)+('[1]Actual Expenditure 2018-19'!P43)+('[1]Actual Expenditure 2018-19'!P62)+('[1]Actual Expenditure 2018-19'!P82)+('[1]Actual Expenditure 2018-19'!P114)+('[1]Actual Expenditure 2018-19'!P133)+('[1]Actual Expenditure 2018-19'!P169)+('[1]Actual Expenditure 2018-19'!P178)+('[1]Actual Expenditure 2018-19'!P199)+('[1]Actual Expenditure 2018-19'!P223)+('[1]Actual Expenditure 2018-19'!P242)+('[1]Actual Expenditure 2018-19'!P263)+('[1]Actual Expenditure 2018-19'!P285)+('[1]Actual Expenditure 2018-19'!P301)+('[1]Actual Expenditure 2018-19'!P317)+('[1]Actual Expenditure 2018-19'!P331)+('[1]Actual Expenditure 2018-19'!P355)+('[1]Actual Expenditure 2018-19'!P383)+('[1]Actual Expenditure 2018-19'!P404)+('[1]Actual Expenditure 2018-19'!P434)</f>
        <v>0</v>
      </c>
      <c r="R13" s="25">
        <f>SUM('[1]Actual Expenditure 2018-19'!Q15)+('[1]Actual Expenditure 2018-19'!Q43)+('[1]Actual Expenditure 2018-19'!Q62)+('[1]Actual Expenditure 2018-19'!Q82)+('[1]Actual Expenditure 2018-19'!Q114)+('[1]Actual Expenditure 2018-19'!Q133)+('[1]Actual Expenditure 2018-19'!Q169)+('[1]Actual Expenditure 2018-19'!Q178)+('[1]Actual Expenditure 2018-19'!Q199)+('[1]Actual Expenditure 2018-19'!Q223)+('[1]Actual Expenditure 2018-19'!Q242)+('[1]Actual Expenditure 2018-19'!Q263)+('[1]Actual Expenditure 2018-19'!Q285)+('[1]Actual Expenditure 2018-19'!Q301)+('[1]Actual Expenditure 2018-19'!Q317)+('[1]Actual Expenditure 2018-19'!Q331)+('[1]Actual Expenditure 2018-19'!Q355)+('[1]Actual Expenditure 2018-19'!Q383)+('[1]Actual Expenditure 2018-19'!Q404)+('[1]Actual Expenditure 2018-19'!Q434)</f>
        <v>0</v>
      </c>
      <c r="S13" s="25">
        <f>SUM('[1]Actual Expenditure 2018-19'!R15)+('[1]Actual Expenditure 2018-19'!R43)+('[1]Actual Expenditure 2018-19'!R62)+('[1]Actual Expenditure 2018-19'!R82)+('[1]Actual Expenditure 2018-19'!R114)+('[1]Actual Expenditure 2018-19'!R133)+('[1]Actual Expenditure 2018-19'!R169)+('[1]Actual Expenditure 2018-19'!R178)+('[1]Actual Expenditure 2018-19'!R199)+('[1]Actual Expenditure 2018-19'!R223)+('[1]Actual Expenditure 2018-19'!R242)+('[1]Actual Expenditure 2018-19'!R263)+('[1]Actual Expenditure 2018-19'!R285)+('[1]Actual Expenditure 2018-19'!R301)+('[1]Actual Expenditure 2018-19'!R317)+('[1]Actual Expenditure 2018-19'!R331)+('[1]Actual Expenditure 2018-19'!R355)+('[1]Actual Expenditure 2018-19'!R383)+('[1]Actual Expenditure 2018-19'!R404)+('[1]Actual Expenditure 2018-19'!R434)</f>
        <v>0</v>
      </c>
      <c r="T13" s="21">
        <f>G13/E13*100</f>
        <v>8.236711285519295</v>
      </c>
      <c r="U13" s="21">
        <f>H13/E13*100</f>
        <v>0</v>
      </c>
      <c r="V13" s="21">
        <f>I13/E13*100</f>
        <v>0</v>
      </c>
      <c r="W13" s="21">
        <f>J13/E13*100</f>
        <v>0</v>
      </c>
      <c r="X13" s="21">
        <f t="shared" ref="X13:X63" si="0">K13/E13*100</f>
        <v>49.73520287876908</v>
      </c>
      <c r="Y13" s="21">
        <f>M13/L13*100</f>
        <v>90.455469254434277</v>
      </c>
      <c r="Z13" s="21">
        <f t="shared" ref="Z13:Z18" si="1">N13/E13*100</f>
        <v>0</v>
      </c>
      <c r="AA13" s="21">
        <f t="shared" ref="AA13:AA18" si="2">O13/E13*100</f>
        <v>0</v>
      </c>
      <c r="AB13" s="21">
        <f t="shared" ref="AB13:AB18" si="3">P13/E13*100</f>
        <v>0</v>
      </c>
      <c r="AC13" s="21">
        <f t="shared" ref="AC13:AC18" si="4">Q13/E13*100</f>
        <v>0</v>
      </c>
      <c r="AD13" s="21">
        <f t="shared" ref="AD13:AD18" si="5">R13/E13*100</f>
        <v>0</v>
      </c>
      <c r="AE13" s="25">
        <f>SUM('[1]Actual Expenditure 2018-19'!AD15)+('[1]Actual Expenditure 2018-19'!AD43)+('[1]Actual Expenditure 2018-19'!AD62)+('[1]Actual Expenditure 2018-19'!AD82)+('[1]Actual Expenditure 2018-19'!AD114)+('[1]Actual Expenditure 2018-19'!AD133)+('[1]Actual Expenditure 2018-19'!AD169)+('[1]Actual Expenditure 2018-19'!AD178)+('[1]Actual Expenditure 2018-19'!AD199)+('[1]Actual Expenditure 2018-19'!AD223)+('[1]Actual Expenditure 2018-19'!AD242)+('[1]Actual Expenditure 2018-19'!AD263)+('[1]Actual Expenditure 2018-19'!AD285)+('[1]Actual Expenditure 2018-19'!AD301)+('[1]Actual Expenditure 2018-19'!AD317)+('[1]Actual Expenditure 2018-19'!AD331)+('[1]Actual Expenditure 2018-19'!AD355)+('[1]Actual Expenditure 2018-19'!AD383)+('[1]Actual Expenditure 2018-19'!AD404)+('[1]Actual Expenditure 2018-19'!AD434)</f>
        <v>0</v>
      </c>
      <c r="AF13" s="21" t="e">
        <f t="shared" ref="AF13:AF22" si="6">P13/F13*100</f>
        <v>#DIV/0!</v>
      </c>
      <c r="AG13" s="21" t="e">
        <f t="shared" ref="AG13:AG22" si="7">Q13/F13*100</f>
        <v>#DIV/0!</v>
      </c>
      <c r="AH13" s="21" t="e">
        <f t="shared" ref="AH13:AH22" si="8">R13/F13*100</f>
        <v>#DIV/0!</v>
      </c>
      <c r="AI13" s="21" t="e">
        <f t="shared" ref="AI13:AI22" si="9">S13/F13*100</f>
        <v>#DIV/0!</v>
      </c>
      <c r="AJ13" s="25">
        <v>7767255</v>
      </c>
      <c r="AK13" s="21">
        <f t="shared" ref="AK13:AK22" si="10">AJ13/A13*100</f>
        <v>15.771076142131978</v>
      </c>
      <c r="AL13" s="25">
        <v>11879724</v>
      </c>
      <c r="AM13" s="21">
        <f t="shared" ref="AM13:AM22" si="11">AL13/A13*100</f>
        <v>24.121267005076142</v>
      </c>
      <c r="AN13" s="25">
        <v>15878586</v>
      </c>
      <c r="AO13" s="21">
        <f t="shared" ref="AO13:AO22" si="12">AN13/A13*100</f>
        <v>32.240783756345174</v>
      </c>
      <c r="AP13" s="25">
        <v>20079020</v>
      </c>
      <c r="AQ13" s="21">
        <f t="shared" ref="AQ13:AQ28" si="13">AP13/A13*100</f>
        <v>40.769583756345178</v>
      </c>
      <c r="AR13" s="51">
        <v>24147287</v>
      </c>
      <c r="AS13" s="21">
        <f t="shared" ref="AS13:AS28" si="14">AR13/A13*100</f>
        <v>49.030024365482234</v>
      </c>
      <c r="AT13" s="25">
        <v>28276240</v>
      </c>
      <c r="AU13" s="21">
        <f t="shared" ref="AU13:AU28" si="15">AT13/A13*100</f>
        <v>57.413685279187817</v>
      </c>
      <c r="AV13" s="52">
        <v>32689679</v>
      </c>
      <c r="AW13" s="21">
        <f t="shared" ref="AW13:AW22" si="16">AV13/A13*100</f>
        <v>66.374982741116753</v>
      </c>
      <c r="AX13" s="52">
        <v>36782800</v>
      </c>
      <c r="AY13" s="21">
        <f t="shared" ref="AY13:AY28" si="17">AX13/A13*100</f>
        <v>74.68588832487309</v>
      </c>
      <c r="AZ13" s="52">
        <v>40967408</v>
      </c>
      <c r="BA13" s="21">
        <f t="shared" ref="BA13:BA22" si="18">AZ13/A13*100</f>
        <v>83.182554314720818</v>
      </c>
      <c r="BB13" s="21">
        <f t="shared" ref="BB13:BB22" si="19">AZ13/B13*100</f>
        <v>83.399986971108433</v>
      </c>
      <c r="BC13" s="52">
        <v>45060788</v>
      </c>
      <c r="BD13" s="21">
        <f t="shared" ref="BD13:BD28" si="20">BC13/A13*100</f>
        <v>91.493985786802028</v>
      </c>
      <c r="BE13" s="21">
        <f t="shared" ref="BE13:BE22" si="21">BC13/B13*100</f>
        <v>91.733143871535134</v>
      </c>
      <c r="BF13" s="52">
        <v>48999409</v>
      </c>
      <c r="BG13" s="21">
        <f t="shared" ref="BG13:BG28" si="22">BF13/A13*100</f>
        <v>99.491185786802021</v>
      </c>
      <c r="BH13" s="21">
        <f t="shared" ref="BH13:BH22" si="23">BF13/B13*100</f>
        <v>99.75124792352041</v>
      </c>
      <c r="BI13" s="52">
        <v>0</v>
      </c>
      <c r="BJ13" s="21">
        <f t="shared" ref="BJ13:BJ28" si="24">BI13/A13*100</f>
        <v>0</v>
      </c>
      <c r="BK13" s="21">
        <f t="shared" ref="BK13:BK22" si="25">BI13/B13*100</f>
        <v>0</v>
      </c>
    </row>
    <row r="14" spans="1:75" ht="18" x14ac:dyDescent="0.4">
      <c r="A14" s="25">
        <f>SUM('[1]Actual Expenditure 2018-19'!A16)+('[1]Actual Expenditure 2018-19'!A44)+('[1]Actual Expenditure 2018-19'!A63)+('[1]Actual Expenditure 2018-19'!A83)+('[1]Actual Expenditure 2018-19'!A115)+('[1]Actual Expenditure 2018-19'!A134)+('[1]Actual Expenditure 2018-19'!A179)+('[1]Actual Expenditure 2018-19'!A200)+('[1]Actual Expenditure 2018-19'!A224)+('[1]Actual Expenditure 2018-19'!A243)+('[1]Actual Expenditure 2018-19'!A264)+('[1]Actual Expenditure 2018-19'!A286)+('[1]Actual Expenditure 2018-19'!A302)+('[1]Actual Expenditure 2018-19'!A318)+('[1]Actual Expenditure 2018-19'!A332)+('[1]Actual Expenditure 2018-19'!A356)+('[1]Actual Expenditure 2018-19'!A384)+('[1]Actual Expenditure 2018-19'!A405)</f>
        <v>250000</v>
      </c>
      <c r="B14" s="25">
        <f>SUM('[1]Actual Expenditure 2018-19'!B16)+('[1]Actual Expenditure 2018-19'!B44)+('[1]Actual Expenditure 2018-19'!B63)+('[1]Actual Expenditure 2018-19'!B83)+('[1]Actual Expenditure 2018-19'!B115)+('[1]Actual Expenditure 2018-19'!B134)+('[1]Actual Expenditure 2018-19'!B179)+('[1]Actual Expenditure 2018-19'!B200)+('[1]Actual Expenditure 2018-19'!B224)+('[1]Actual Expenditure 2018-19'!B243)+('[1]Actual Expenditure 2018-19'!B264)+('[1]Actual Expenditure 2018-19'!B286)+('[1]Actual Expenditure 2018-19'!B302)+('[1]Actual Expenditure 2018-19'!B318)+('[1]Actual Expenditure 2018-19'!B332)+('[1]Actual Expenditure 2018-19'!B356)+('[1]Actual Expenditure 2018-19'!B384)+('[1]Actual Expenditure 2018-19'!B405)</f>
        <v>250000</v>
      </c>
      <c r="C14" s="50" t="s">
        <v>64</v>
      </c>
      <c r="D14" s="25" t="s">
        <v>65</v>
      </c>
      <c r="E14" s="25">
        <f>SUM('[1]Actual Expenditure 2018-19'!E16)+('[1]Actual Expenditure 2018-19'!E44)+('[1]Actual Expenditure 2018-19'!E63)+('[1]Actual Expenditure 2018-19'!E83)+('[1]Actual Expenditure 2018-19'!E115)+('[1]Actual Expenditure 2018-19'!E134)+('[1]Actual Expenditure 2018-19'!E179)+('[1]Actual Expenditure 2018-19'!E200)+('[1]Actual Expenditure 2018-19'!E224)+('[1]Actual Expenditure 2018-19'!E243)+('[1]Actual Expenditure 2018-19'!E264)+('[1]Actual Expenditure 2018-19'!E286)+('[1]Actual Expenditure 2018-19'!E302)+('[1]Actual Expenditure 2018-19'!E318)+('[1]Actual Expenditure 2018-19'!E332)+('[1]Actual Expenditure 2018-19'!E356)+('[1]Actual Expenditure 2018-19'!E384)+('[1]Actual Expenditure 2018-19'!E405)</f>
        <v>250000</v>
      </c>
      <c r="F14" s="25">
        <f>SUM('[1]Actual Expenditure 2018-19'!F16)+('[1]Actual Expenditure 2018-19'!F44)+('[1]Actual Expenditure 2018-19'!F63)+('[1]Actual Expenditure 2018-19'!F83)+('[1]Actual Expenditure 2018-19'!F115)+('[1]Actual Expenditure 2018-19'!F134)+('[1]Actual Expenditure 2018-19'!F179)+('[1]Actual Expenditure 2018-19'!F200)+('[1]Actual Expenditure 2018-19'!F224)+('[1]Actual Expenditure 2018-19'!F243)+('[1]Actual Expenditure 2018-19'!F264)+('[1]Actual Expenditure 2018-19'!F286)+('[1]Actual Expenditure 2018-19'!F302)+('[1]Actual Expenditure 2018-19'!F318)+('[1]Actual Expenditure 2018-19'!F332)+('[1]Actual Expenditure 2018-19'!F356)+('[1]Actual Expenditure 2018-19'!F384)+('[1]Actual Expenditure 2018-19'!F405)</f>
        <v>0</v>
      </c>
      <c r="G14" s="25">
        <f>SUM('[1]Actual Expenditure 2018-19'!G16)+('[1]Actual Expenditure 2018-19'!G44)+('[1]Actual Expenditure 2018-19'!G63)+('[1]Actual Expenditure 2018-19'!G83)+('[1]Actual Expenditure 2018-19'!G115)+('[1]Actual Expenditure 2018-19'!G134)+('[1]Actual Expenditure 2018-19'!G179)+('[1]Actual Expenditure 2018-19'!G200)+('[1]Actual Expenditure 2018-19'!G224)+('[1]Actual Expenditure 2018-19'!G243)+('[1]Actual Expenditure 2018-19'!G264)+('[1]Actual Expenditure 2018-19'!G286)+('[1]Actual Expenditure 2018-19'!G302)+('[1]Actual Expenditure 2018-19'!G318)+('[1]Actual Expenditure 2018-19'!G332)+('[1]Actual Expenditure 2018-19'!G356)+('[1]Actual Expenditure 2018-19'!G384)+('[1]Actual Expenditure 2018-19'!G405)</f>
        <v>17013</v>
      </c>
      <c r="H14" s="25">
        <f>SUM('[1]Actual Expenditure 2018-19'!H16)+('[1]Actual Expenditure 2018-19'!H44)+('[1]Actual Expenditure 2018-19'!H63)+('[1]Actual Expenditure 2018-19'!H83)+('[1]Actual Expenditure 2018-19'!H115)+('[1]Actual Expenditure 2018-19'!H134)+('[1]Actual Expenditure 2018-19'!H179)+('[1]Actual Expenditure 2018-19'!H200)+('[1]Actual Expenditure 2018-19'!H224)+('[1]Actual Expenditure 2018-19'!H243)+('[1]Actual Expenditure 2018-19'!H264)+('[1]Actual Expenditure 2018-19'!H286)+('[1]Actual Expenditure 2018-19'!H302)+('[1]Actual Expenditure 2018-19'!H318)+('[1]Actual Expenditure 2018-19'!H332)+('[1]Actual Expenditure 2018-19'!H356)+('[1]Actual Expenditure 2018-19'!H384)+('[1]Actual Expenditure 2018-19'!H405)</f>
        <v>0</v>
      </c>
      <c r="I14" s="25">
        <f>SUM('[1]Actual Expenditure 2018-19'!I16)+('[1]Actual Expenditure 2018-19'!I44)+('[1]Actual Expenditure 2018-19'!I63)+('[1]Actual Expenditure 2018-19'!I83)+('[1]Actual Expenditure 2018-19'!I115)+('[1]Actual Expenditure 2018-19'!I134)+('[1]Actual Expenditure 2018-19'!I179)+('[1]Actual Expenditure 2018-19'!I200)+('[1]Actual Expenditure 2018-19'!I224)+('[1]Actual Expenditure 2018-19'!I243)+('[1]Actual Expenditure 2018-19'!I264)+('[1]Actual Expenditure 2018-19'!I286)+('[1]Actual Expenditure 2018-19'!I302)+('[1]Actual Expenditure 2018-19'!I318)+('[1]Actual Expenditure 2018-19'!I332)+('[1]Actual Expenditure 2018-19'!I356)+('[1]Actual Expenditure 2018-19'!I384)+('[1]Actual Expenditure 2018-19'!I405)</f>
        <v>0</v>
      </c>
      <c r="J14" s="25">
        <f>SUM('[1]Actual Expenditure 2018-19'!J16)+('[1]Actual Expenditure 2018-19'!J44)+('[1]Actual Expenditure 2018-19'!J63)+('[1]Actual Expenditure 2018-19'!J83)+('[1]Actual Expenditure 2018-19'!J115)+('[1]Actual Expenditure 2018-19'!J134)+('[1]Actual Expenditure 2018-19'!J179)+('[1]Actual Expenditure 2018-19'!J200)+('[1]Actual Expenditure 2018-19'!J224)+('[1]Actual Expenditure 2018-19'!J243)+('[1]Actual Expenditure 2018-19'!J264)+('[1]Actual Expenditure 2018-19'!J286)+('[1]Actual Expenditure 2018-19'!J302)+('[1]Actual Expenditure 2018-19'!J318)+('[1]Actual Expenditure 2018-19'!J332)+('[1]Actual Expenditure 2018-19'!J356)+('[1]Actual Expenditure 2018-19'!J384)+('[1]Actual Expenditure 2018-19'!J405)</f>
        <v>0</v>
      </c>
      <c r="K14" s="25">
        <f>SUM('[1]Actual Expenditure 2018-19'!K16)+('[1]Actual Expenditure 2018-19'!K44)+('[1]Actual Expenditure 2018-19'!K63)+('[1]Actual Expenditure 2018-19'!K83)+('[1]Actual Expenditure 2018-19'!K115)+('[1]Actual Expenditure 2018-19'!K134)+('[1]Actual Expenditure 2018-19'!K179)+('[1]Actual Expenditure 2018-19'!K200)+('[1]Actual Expenditure 2018-19'!K224)+('[1]Actual Expenditure 2018-19'!K243)+('[1]Actual Expenditure 2018-19'!K264)+('[1]Actual Expenditure 2018-19'!K286)+('[1]Actual Expenditure 2018-19'!K302)+('[1]Actual Expenditure 2018-19'!K318)+('[1]Actual Expenditure 2018-19'!K332)+('[1]Actual Expenditure 2018-19'!K356)+('[1]Actual Expenditure 2018-19'!K384)+('[1]Actual Expenditure 2018-19'!K405)</f>
        <v>112373</v>
      </c>
      <c r="L14" s="25">
        <v>290000</v>
      </c>
      <c r="M14" s="52">
        <v>226137</v>
      </c>
      <c r="N14" s="25">
        <f>SUM('[1]Actual Expenditure 2018-19'!M16)+('[1]Actual Expenditure 2018-19'!M44)+('[1]Actual Expenditure 2018-19'!M63)+('[1]Actual Expenditure 2018-19'!M83)+('[1]Actual Expenditure 2018-19'!M115)+('[1]Actual Expenditure 2018-19'!M134)+('[1]Actual Expenditure 2018-19'!M179)+('[1]Actual Expenditure 2018-19'!M200)+('[1]Actual Expenditure 2018-19'!M224)+('[1]Actual Expenditure 2018-19'!M243)+('[1]Actual Expenditure 2018-19'!M264)+('[1]Actual Expenditure 2018-19'!M286)+('[1]Actual Expenditure 2018-19'!M302)+('[1]Actual Expenditure 2018-19'!M318)+('[1]Actual Expenditure 2018-19'!M332)+('[1]Actual Expenditure 2018-19'!M356)+('[1]Actual Expenditure 2018-19'!M384)+('[1]Actual Expenditure 2018-19'!M405)</f>
        <v>0</v>
      </c>
      <c r="O14" s="25">
        <f>SUM('[1]Actual Expenditure 2018-19'!N16)+('[1]Actual Expenditure 2018-19'!N44)+('[1]Actual Expenditure 2018-19'!N63)+('[1]Actual Expenditure 2018-19'!N83)+('[1]Actual Expenditure 2018-19'!N115)+('[1]Actual Expenditure 2018-19'!N134)+('[1]Actual Expenditure 2018-19'!N179)+('[1]Actual Expenditure 2018-19'!N200)+('[1]Actual Expenditure 2018-19'!N224)+('[1]Actual Expenditure 2018-19'!N243)+('[1]Actual Expenditure 2018-19'!N264)+('[1]Actual Expenditure 2018-19'!N286)+('[1]Actual Expenditure 2018-19'!N302)+('[1]Actual Expenditure 2018-19'!N318)+('[1]Actual Expenditure 2018-19'!N332)+('[1]Actual Expenditure 2018-19'!N356)+('[1]Actual Expenditure 2018-19'!N384)+('[1]Actual Expenditure 2018-19'!N405)</f>
        <v>0</v>
      </c>
      <c r="P14" s="25">
        <f>SUM('[1]Actual Expenditure 2018-19'!O16)+('[1]Actual Expenditure 2018-19'!O44)+('[1]Actual Expenditure 2018-19'!O63)+('[1]Actual Expenditure 2018-19'!O83)+('[1]Actual Expenditure 2018-19'!O115)+('[1]Actual Expenditure 2018-19'!O134)+('[1]Actual Expenditure 2018-19'!O179)+('[1]Actual Expenditure 2018-19'!O200)+('[1]Actual Expenditure 2018-19'!O224)+('[1]Actual Expenditure 2018-19'!O243)+('[1]Actual Expenditure 2018-19'!O264)+('[1]Actual Expenditure 2018-19'!O286)+('[1]Actual Expenditure 2018-19'!O302)+('[1]Actual Expenditure 2018-19'!O318)+('[1]Actual Expenditure 2018-19'!O332)+('[1]Actual Expenditure 2018-19'!O356)+('[1]Actual Expenditure 2018-19'!O384)+('[1]Actual Expenditure 2018-19'!O405)</f>
        <v>0</v>
      </c>
      <c r="Q14" s="25">
        <f>SUM('[1]Actual Expenditure 2018-19'!P16)+('[1]Actual Expenditure 2018-19'!P44)+('[1]Actual Expenditure 2018-19'!P63)+('[1]Actual Expenditure 2018-19'!P83)+('[1]Actual Expenditure 2018-19'!P115)+('[1]Actual Expenditure 2018-19'!P134)+('[1]Actual Expenditure 2018-19'!P179)+('[1]Actual Expenditure 2018-19'!P200)+('[1]Actual Expenditure 2018-19'!P224)+('[1]Actual Expenditure 2018-19'!P243)+('[1]Actual Expenditure 2018-19'!P264)+('[1]Actual Expenditure 2018-19'!P286)+('[1]Actual Expenditure 2018-19'!P302)+('[1]Actual Expenditure 2018-19'!P318)+('[1]Actual Expenditure 2018-19'!P332)+('[1]Actual Expenditure 2018-19'!P356)+('[1]Actual Expenditure 2018-19'!P384)+('[1]Actual Expenditure 2018-19'!P405)</f>
        <v>0</v>
      </c>
      <c r="R14" s="25">
        <f>SUM('[1]Actual Expenditure 2018-19'!Q16)+('[1]Actual Expenditure 2018-19'!Q44)+('[1]Actual Expenditure 2018-19'!Q63)+('[1]Actual Expenditure 2018-19'!Q83)+('[1]Actual Expenditure 2018-19'!Q115)+('[1]Actual Expenditure 2018-19'!Q134)+('[1]Actual Expenditure 2018-19'!Q179)+('[1]Actual Expenditure 2018-19'!Q200)+('[1]Actual Expenditure 2018-19'!Q224)+('[1]Actual Expenditure 2018-19'!Q243)+('[1]Actual Expenditure 2018-19'!Q264)+('[1]Actual Expenditure 2018-19'!Q286)+('[1]Actual Expenditure 2018-19'!Q302)+('[1]Actual Expenditure 2018-19'!Q318)+('[1]Actual Expenditure 2018-19'!Q332)+('[1]Actual Expenditure 2018-19'!Q356)+('[1]Actual Expenditure 2018-19'!Q384)+('[1]Actual Expenditure 2018-19'!Q405)</f>
        <v>0</v>
      </c>
      <c r="S14" s="25">
        <f>SUM('[1]Actual Expenditure 2018-19'!R16)+('[1]Actual Expenditure 2018-19'!R44)+('[1]Actual Expenditure 2018-19'!R63)+('[1]Actual Expenditure 2018-19'!R83)+('[1]Actual Expenditure 2018-19'!R115)+('[1]Actual Expenditure 2018-19'!R134)+('[1]Actual Expenditure 2018-19'!R179)+('[1]Actual Expenditure 2018-19'!R200)+('[1]Actual Expenditure 2018-19'!R224)+('[1]Actual Expenditure 2018-19'!R243)+('[1]Actual Expenditure 2018-19'!R264)+('[1]Actual Expenditure 2018-19'!R286)+('[1]Actual Expenditure 2018-19'!R302)+('[1]Actual Expenditure 2018-19'!R318)+('[1]Actual Expenditure 2018-19'!R332)+('[1]Actual Expenditure 2018-19'!R356)+('[1]Actual Expenditure 2018-19'!R384)+('[1]Actual Expenditure 2018-19'!R405)</f>
        <v>0</v>
      </c>
      <c r="T14" s="21">
        <f>G14/E14*100</f>
        <v>6.8052000000000001</v>
      </c>
      <c r="U14" s="21">
        <f>H14/E14*100</f>
        <v>0</v>
      </c>
      <c r="V14" s="21">
        <f>I14/E14*100</f>
        <v>0</v>
      </c>
      <c r="W14" s="21">
        <f>J14/E14*100</f>
        <v>0</v>
      </c>
      <c r="X14" s="21">
        <f t="shared" si="0"/>
        <v>44.949199999999998</v>
      </c>
      <c r="Y14" s="21">
        <f t="shared" ref="Y14:Y63" si="26">M14/L14*100</f>
        <v>77.978275862068969</v>
      </c>
      <c r="Z14" s="21">
        <f t="shared" si="1"/>
        <v>0</v>
      </c>
      <c r="AA14" s="21">
        <f t="shared" si="2"/>
        <v>0</v>
      </c>
      <c r="AB14" s="21">
        <f t="shared" si="3"/>
        <v>0</v>
      </c>
      <c r="AC14" s="21">
        <f t="shared" si="4"/>
        <v>0</v>
      </c>
      <c r="AD14" s="21">
        <f t="shared" si="5"/>
        <v>0</v>
      </c>
      <c r="AE14" s="25">
        <f>SUM('[1]Actual Expenditure 2018-19'!AD16)+('[1]Actual Expenditure 2018-19'!AD44)+('[1]Actual Expenditure 2018-19'!AD63)+('[1]Actual Expenditure 2018-19'!AD83)+('[1]Actual Expenditure 2018-19'!AD115)+('[1]Actual Expenditure 2018-19'!AD134)+('[1]Actual Expenditure 2018-19'!AD179)+('[1]Actual Expenditure 2018-19'!AD200)+('[1]Actual Expenditure 2018-19'!AD224)+('[1]Actual Expenditure 2018-19'!AD243)+('[1]Actual Expenditure 2018-19'!AD264)+('[1]Actual Expenditure 2018-19'!AD286)+('[1]Actual Expenditure 2018-19'!AD302)+('[1]Actual Expenditure 2018-19'!AD318)+('[1]Actual Expenditure 2018-19'!AD332)+('[1]Actual Expenditure 2018-19'!AD356)+('[1]Actual Expenditure 2018-19'!AD384)+('[1]Actual Expenditure 2018-19'!AD405)</f>
        <v>0</v>
      </c>
      <c r="AF14" s="21" t="e">
        <f t="shared" si="6"/>
        <v>#DIV/0!</v>
      </c>
      <c r="AG14" s="21" t="e">
        <f t="shared" si="7"/>
        <v>#DIV/0!</v>
      </c>
      <c r="AH14" s="21" t="e">
        <f t="shared" si="8"/>
        <v>#DIV/0!</v>
      </c>
      <c r="AI14" s="21" t="e">
        <f t="shared" si="9"/>
        <v>#DIV/0!</v>
      </c>
      <c r="AJ14" s="25">
        <v>17022</v>
      </c>
      <c r="AK14" s="21">
        <f t="shared" si="10"/>
        <v>6.8087999999999997</v>
      </c>
      <c r="AL14" s="25">
        <v>37572</v>
      </c>
      <c r="AM14" s="21">
        <f t="shared" si="11"/>
        <v>15.0288</v>
      </c>
      <c r="AN14" s="25">
        <v>55225</v>
      </c>
      <c r="AO14" s="21">
        <f t="shared" si="12"/>
        <v>22.09</v>
      </c>
      <c r="AP14" s="25">
        <v>73964</v>
      </c>
      <c r="AQ14" s="21">
        <f t="shared" si="13"/>
        <v>29.585599999999999</v>
      </c>
      <c r="AR14" s="51">
        <v>92506</v>
      </c>
      <c r="AS14" s="21">
        <f t="shared" si="14"/>
        <v>37.002400000000002</v>
      </c>
      <c r="AT14" s="25">
        <v>107771</v>
      </c>
      <c r="AU14" s="21">
        <f t="shared" si="15"/>
        <v>43.108400000000003</v>
      </c>
      <c r="AV14" s="52">
        <v>125984</v>
      </c>
      <c r="AW14" s="21">
        <f t="shared" si="16"/>
        <v>50.393600000000006</v>
      </c>
      <c r="AX14" s="52">
        <v>143303</v>
      </c>
      <c r="AY14" s="21">
        <f t="shared" si="17"/>
        <v>57.321200000000005</v>
      </c>
      <c r="AZ14" s="52">
        <v>158407</v>
      </c>
      <c r="BA14" s="21">
        <f t="shared" si="18"/>
        <v>63.3628</v>
      </c>
      <c r="BB14" s="21">
        <f t="shared" si="19"/>
        <v>63.3628</v>
      </c>
      <c r="BC14" s="52">
        <v>180192</v>
      </c>
      <c r="BD14" s="21">
        <f t="shared" si="20"/>
        <v>72.076799999999992</v>
      </c>
      <c r="BE14" s="21">
        <f t="shared" si="21"/>
        <v>72.076799999999992</v>
      </c>
      <c r="BF14" s="52">
        <v>198899</v>
      </c>
      <c r="BG14" s="21">
        <f t="shared" si="22"/>
        <v>79.559600000000003</v>
      </c>
      <c r="BH14" s="21">
        <f t="shared" si="23"/>
        <v>79.559600000000003</v>
      </c>
      <c r="BI14" s="52">
        <v>0</v>
      </c>
      <c r="BJ14" s="21">
        <f t="shared" si="24"/>
        <v>0</v>
      </c>
      <c r="BK14" s="21">
        <f t="shared" si="25"/>
        <v>0</v>
      </c>
    </row>
    <row r="15" spans="1:75" ht="18" x14ac:dyDescent="0.4">
      <c r="A15" s="25">
        <f>SUM('[1]Actual Expenditure 2018-19'!A17)+('[1]Actual Expenditure 2018-19'!A45)+('[1]Actual Expenditure 2018-19'!A64)+('[1]Actual Expenditure 2018-19'!A84)+('[1]Actual Expenditure 2018-19'!A116)+('[1]Actual Expenditure 2018-19'!A135)+('[1]Actual Expenditure 2018-19'!A180)+('[1]Actual Expenditure 2018-19'!A201)+('[1]Actual Expenditure 2018-19'!A225)+('[1]Actual Expenditure 2018-19'!A244)+('[1]Actual Expenditure 2018-19'!A265)+('[1]Actual Expenditure 2018-19'!A287)+('[1]Actual Expenditure 2018-19'!A303)+('[1]Actual Expenditure 2018-19'!A319)+('[1]Actual Expenditure 2018-19'!A333)+('[1]Actual Expenditure 2018-19'!A357)+('[1]Actual Expenditure 2018-19'!A385)+('[1]Actual Expenditure 2018-19'!A406)</f>
        <v>70000</v>
      </c>
      <c r="B15" s="25">
        <f>SUM('[1]Actual Expenditure 2018-19'!B17)+('[1]Actual Expenditure 2018-19'!B45)+('[1]Actual Expenditure 2018-19'!B64)+('[1]Actual Expenditure 2018-19'!B84)+('[1]Actual Expenditure 2018-19'!B116)+('[1]Actual Expenditure 2018-19'!B135)+('[1]Actual Expenditure 2018-19'!B180)+('[1]Actual Expenditure 2018-19'!B201)+('[1]Actual Expenditure 2018-19'!B225)+('[1]Actual Expenditure 2018-19'!B244)+('[1]Actual Expenditure 2018-19'!B265)+('[1]Actual Expenditure 2018-19'!B287)+('[1]Actual Expenditure 2018-19'!B303)+('[1]Actual Expenditure 2018-19'!B319)+('[1]Actual Expenditure 2018-19'!B333)+('[1]Actual Expenditure 2018-19'!B357)+('[1]Actual Expenditure 2018-19'!B385)+('[1]Actual Expenditure 2018-19'!B406)</f>
        <v>50000</v>
      </c>
      <c r="C15" s="50" t="s">
        <v>66</v>
      </c>
      <c r="D15" s="25" t="s">
        <v>67</v>
      </c>
      <c r="E15" s="25">
        <f>SUM('[1]Actual Expenditure 2018-19'!E17)+('[1]Actual Expenditure 2018-19'!E45)+('[1]Actual Expenditure 2018-19'!E64)+('[1]Actual Expenditure 2018-19'!E84)+('[1]Actual Expenditure 2018-19'!E116)+('[1]Actual Expenditure 2018-19'!E135)+('[1]Actual Expenditure 2018-19'!E180)+('[1]Actual Expenditure 2018-19'!E201)+('[1]Actual Expenditure 2018-19'!E225)+('[1]Actual Expenditure 2018-19'!E244)+('[1]Actual Expenditure 2018-19'!E265)+('[1]Actual Expenditure 2018-19'!E287)+('[1]Actual Expenditure 2018-19'!E303)+('[1]Actual Expenditure 2018-19'!E319)+('[1]Actual Expenditure 2018-19'!E333)+('[1]Actual Expenditure 2018-19'!E357)+('[1]Actual Expenditure 2018-19'!E385)+('[1]Actual Expenditure 2018-19'!E406)</f>
        <v>49400</v>
      </c>
      <c r="F15" s="25">
        <f>SUM('[1]Actual Expenditure 2018-19'!F17)+('[1]Actual Expenditure 2018-19'!F45)+('[1]Actual Expenditure 2018-19'!F64)+('[1]Actual Expenditure 2018-19'!F84)+('[1]Actual Expenditure 2018-19'!F116)+('[1]Actual Expenditure 2018-19'!F135)+('[1]Actual Expenditure 2018-19'!F180)+('[1]Actual Expenditure 2018-19'!F201)+('[1]Actual Expenditure 2018-19'!F225)+('[1]Actual Expenditure 2018-19'!F244)+('[1]Actual Expenditure 2018-19'!F265)+('[1]Actual Expenditure 2018-19'!F287)+('[1]Actual Expenditure 2018-19'!F303)+('[1]Actual Expenditure 2018-19'!F319)+('[1]Actual Expenditure 2018-19'!F333)+('[1]Actual Expenditure 2018-19'!F357)+('[1]Actual Expenditure 2018-19'!F385)+('[1]Actual Expenditure 2018-19'!F406)</f>
        <v>0</v>
      </c>
      <c r="G15" s="25">
        <f>SUM('[1]Actual Expenditure 2018-19'!G17)+('[1]Actual Expenditure 2018-19'!G45)+('[1]Actual Expenditure 2018-19'!G64)+('[1]Actual Expenditure 2018-19'!G84)+('[1]Actual Expenditure 2018-19'!G116)+('[1]Actual Expenditure 2018-19'!G135)+('[1]Actual Expenditure 2018-19'!G180)+('[1]Actual Expenditure 2018-19'!G201)+('[1]Actual Expenditure 2018-19'!G225)+('[1]Actual Expenditure 2018-19'!G244)+('[1]Actual Expenditure 2018-19'!G265)+('[1]Actual Expenditure 2018-19'!G287)+('[1]Actual Expenditure 2018-19'!G303)+('[1]Actual Expenditure 2018-19'!G319)+('[1]Actual Expenditure 2018-19'!G333)+('[1]Actual Expenditure 2018-19'!G357)+('[1]Actual Expenditure 2018-19'!G385)+('[1]Actual Expenditure 2018-19'!G406)</f>
        <v>349</v>
      </c>
      <c r="H15" s="25">
        <f>SUM('[1]Actual Expenditure 2018-19'!H17)+('[1]Actual Expenditure 2018-19'!H45)+('[1]Actual Expenditure 2018-19'!H64)+('[1]Actual Expenditure 2018-19'!H84)+('[1]Actual Expenditure 2018-19'!H116)+('[1]Actual Expenditure 2018-19'!H135)+('[1]Actual Expenditure 2018-19'!H180)+('[1]Actual Expenditure 2018-19'!H201)+('[1]Actual Expenditure 2018-19'!H225)+('[1]Actual Expenditure 2018-19'!H244)+('[1]Actual Expenditure 2018-19'!H265)+('[1]Actual Expenditure 2018-19'!H287)+('[1]Actual Expenditure 2018-19'!H303)+('[1]Actual Expenditure 2018-19'!H319)+('[1]Actual Expenditure 2018-19'!H333)+('[1]Actual Expenditure 2018-19'!H357)+('[1]Actual Expenditure 2018-19'!H385)+('[1]Actual Expenditure 2018-19'!H406)</f>
        <v>0</v>
      </c>
      <c r="I15" s="25">
        <f>SUM('[1]Actual Expenditure 2018-19'!I17)+('[1]Actual Expenditure 2018-19'!I45)+('[1]Actual Expenditure 2018-19'!I64)+('[1]Actual Expenditure 2018-19'!I84)+('[1]Actual Expenditure 2018-19'!I116)+('[1]Actual Expenditure 2018-19'!I135)+('[1]Actual Expenditure 2018-19'!I180)+('[1]Actual Expenditure 2018-19'!I201)+('[1]Actual Expenditure 2018-19'!I225)+('[1]Actual Expenditure 2018-19'!I244)+('[1]Actual Expenditure 2018-19'!I265)+('[1]Actual Expenditure 2018-19'!I287)+('[1]Actual Expenditure 2018-19'!I303)+('[1]Actual Expenditure 2018-19'!I319)+('[1]Actual Expenditure 2018-19'!I333)+('[1]Actual Expenditure 2018-19'!I357)+('[1]Actual Expenditure 2018-19'!I385)+('[1]Actual Expenditure 2018-19'!I406)</f>
        <v>0</v>
      </c>
      <c r="J15" s="25">
        <f>SUM('[1]Actual Expenditure 2018-19'!J17)+('[1]Actual Expenditure 2018-19'!J45)+('[1]Actual Expenditure 2018-19'!J64)+('[1]Actual Expenditure 2018-19'!J84)+('[1]Actual Expenditure 2018-19'!J116)+('[1]Actual Expenditure 2018-19'!J135)+('[1]Actual Expenditure 2018-19'!J180)+('[1]Actual Expenditure 2018-19'!J201)+('[1]Actual Expenditure 2018-19'!J225)+('[1]Actual Expenditure 2018-19'!J244)+('[1]Actual Expenditure 2018-19'!J265)+('[1]Actual Expenditure 2018-19'!J287)+('[1]Actual Expenditure 2018-19'!J303)+('[1]Actual Expenditure 2018-19'!J319)+('[1]Actual Expenditure 2018-19'!J333)+('[1]Actual Expenditure 2018-19'!J357)+('[1]Actual Expenditure 2018-19'!J385)+('[1]Actual Expenditure 2018-19'!J406)</f>
        <v>0</v>
      </c>
      <c r="K15" s="25">
        <f>SUM('[1]Actual Expenditure 2018-19'!K17)+('[1]Actual Expenditure 2018-19'!K45)+('[1]Actual Expenditure 2018-19'!K64)+('[1]Actual Expenditure 2018-19'!K84)+('[1]Actual Expenditure 2018-19'!K116)+('[1]Actual Expenditure 2018-19'!K135)+('[1]Actual Expenditure 2018-19'!K180)+('[1]Actual Expenditure 2018-19'!K201)+('[1]Actual Expenditure 2018-19'!K225)+('[1]Actual Expenditure 2018-19'!K244)+('[1]Actual Expenditure 2018-19'!K265)+('[1]Actual Expenditure 2018-19'!K287)+('[1]Actual Expenditure 2018-19'!K303)+('[1]Actual Expenditure 2018-19'!K319)+('[1]Actual Expenditure 2018-19'!K333)+('[1]Actual Expenditure 2018-19'!K357)+('[1]Actual Expenditure 2018-19'!K385)+('[1]Actual Expenditure 2018-19'!K406)</f>
        <v>3222</v>
      </c>
      <c r="L15" s="25">
        <v>22500</v>
      </c>
      <c r="M15" s="52">
        <v>8093</v>
      </c>
      <c r="N15" s="25">
        <f>SUM('[1]Actual Expenditure 2018-19'!M17)+('[1]Actual Expenditure 2018-19'!M45)+('[1]Actual Expenditure 2018-19'!M64)+('[1]Actual Expenditure 2018-19'!M84)+('[1]Actual Expenditure 2018-19'!M116)+('[1]Actual Expenditure 2018-19'!M135)+('[1]Actual Expenditure 2018-19'!M180)+('[1]Actual Expenditure 2018-19'!M201)+('[1]Actual Expenditure 2018-19'!M225)+('[1]Actual Expenditure 2018-19'!M244)+('[1]Actual Expenditure 2018-19'!M265)+('[1]Actual Expenditure 2018-19'!M287)+('[1]Actual Expenditure 2018-19'!M303)+('[1]Actual Expenditure 2018-19'!M319)+('[1]Actual Expenditure 2018-19'!M333)+('[1]Actual Expenditure 2018-19'!M357)+('[1]Actual Expenditure 2018-19'!M385)+('[1]Actual Expenditure 2018-19'!M406)</f>
        <v>0</v>
      </c>
      <c r="O15" s="25">
        <f>SUM('[1]Actual Expenditure 2018-19'!N17)+('[1]Actual Expenditure 2018-19'!N45)+('[1]Actual Expenditure 2018-19'!N64)+('[1]Actual Expenditure 2018-19'!N84)+('[1]Actual Expenditure 2018-19'!N116)+('[1]Actual Expenditure 2018-19'!N135)+('[1]Actual Expenditure 2018-19'!N180)+('[1]Actual Expenditure 2018-19'!N201)+('[1]Actual Expenditure 2018-19'!N225)+('[1]Actual Expenditure 2018-19'!N244)+('[1]Actual Expenditure 2018-19'!N265)+('[1]Actual Expenditure 2018-19'!N287)+('[1]Actual Expenditure 2018-19'!N303)+('[1]Actual Expenditure 2018-19'!N319)+('[1]Actual Expenditure 2018-19'!N333)+('[1]Actual Expenditure 2018-19'!N357)+('[1]Actual Expenditure 2018-19'!N385)+('[1]Actual Expenditure 2018-19'!N406)</f>
        <v>0</v>
      </c>
      <c r="P15" s="25">
        <f>SUM('[1]Actual Expenditure 2018-19'!O17)+('[1]Actual Expenditure 2018-19'!O45)+('[1]Actual Expenditure 2018-19'!O64)+('[1]Actual Expenditure 2018-19'!O84)+('[1]Actual Expenditure 2018-19'!O116)+('[1]Actual Expenditure 2018-19'!O135)+('[1]Actual Expenditure 2018-19'!O180)+('[1]Actual Expenditure 2018-19'!O201)+('[1]Actual Expenditure 2018-19'!O225)+('[1]Actual Expenditure 2018-19'!O244)+('[1]Actual Expenditure 2018-19'!O265)+('[1]Actual Expenditure 2018-19'!O287)+('[1]Actual Expenditure 2018-19'!O303)+('[1]Actual Expenditure 2018-19'!O319)+('[1]Actual Expenditure 2018-19'!O333)+('[1]Actual Expenditure 2018-19'!O357)+('[1]Actual Expenditure 2018-19'!O385)+('[1]Actual Expenditure 2018-19'!O406)</f>
        <v>0</v>
      </c>
      <c r="Q15" s="25">
        <f>SUM('[1]Actual Expenditure 2018-19'!P17)+('[1]Actual Expenditure 2018-19'!P45)+('[1]Actual Expenditure 2018-19'!P64)+('[1]Actual Expenditure 2018-19'!P84)+('[1]Actual Expenditure 2018-19'!P116)+('[1]Actual Expenditure 2018-19'!P135)+('[1]Actual Expenditure 2018-19'!P180)+('[1]Actual Expenditure 2018-19'!P201)+('[1]Actual Expenditure 2018-19'!P225)+('[1]Actual Expenditure 2018-19'!P244)+('[1]Actual Expenditure 2018-19'!P265)+('[1]Actual Expenditure 2018-19'!P287)+('[1]Actual Expenditure 2018-19'!P303)+('[1]Actual Expenditure 2018-19'!P319)+('[1]Actual Expenditure 2018-19'!P333)+('[1]Actual Expenditure 2018-19'!P357)+('[1]Actual Expenditure 2018-19'!P385)+('[1]Actual Expenditure 2018-19'!P406)</f>
        <v>0</v>
      </c>
      <c r="R15" s="25">
        <f>SUM('[1]Actual Expenditure 2018-19'!Q17)+('[1]Actual Expenditure 2018-19'!Q45)+('[1]Actual Expenditure 2018-19'!Q64)+('[1]Actual Expenditure 2018-19'!Q84)+('[1]Actual Expenditure 2018-19'!Q116)+('[1]Actual Expenditure 2018-19'!Q135)+('[1]Actual Expenditure 2018-19'!Q180)+('[1]Actual Expenditure 2018-19'!Q201)+('[1]Actual Expenditure 2018-19'!Q225)+('[1]Actual Expenditure 2018-19'!Q244)+('[1]Actual Expenditure 2018-19'!Q265)+('[1]Actual Expenditure 2018-19'!Q287)+('[1]Actual Expenditure 2018-19'!Q303)+('[1]Actual Expenditure 2018-19'!Q319)+('[1]Actual Expenditure 2018-19'!Q333)+('[1]Actual Expenditure 2018-19'!Q357)+('[1]Actual Expenditure 2018-19'!Q385)+('[1]Actual Expenditure 2018-19'!Q406)</f>
        <v>0</v>
      </c>
      <c r="S15" s="25">
        <f>SUM('[1]Actual Expenditure 2018-19'!R17)+('[1]Actual Expenditure 2018-19'!R45)+('[1]Actual Expenditure 2018-19'!R64)+('[1]Actual Expenditure 2018-19'!R84)+('[1]Actual Expenditure 2018-19'!R116)+('[1]Actual Expenditure 2018-19'!R135)+('[1]Actual Expenditure 2018-19'!R180)+('[1]Actual Expenditure 2018-19'!R201)+('[1]Actual Expenditure 2018-19'!R225)+('[1]Actual Expenditure 2018-19'!R244)+('[1]Actual Expenditure 2018-19'!R265)+('[1]Actual Expenditure 2018-19'!R287)+('[1]Actual Expenditure 2018-19'!R303)+('[1]Actual Expenditure 2018-19'!R319)+('[1]Actual Expenditure 2018-19'!R333)+('[1]Actual Expenditure 2018-19'!R357)+('[1]Actual Expenditure 2018-19'!R385)+('[1]Actual Expenditure 2018-19'!R406)</f>
        <v>0</v>
      </c>
      <c r="T15" s="21">
        <f>G15/E15*100</f>
        <v>0.70647773279352233</v>
      </c>
      <c r="U15" s="21">
        <f>H15/E15*100</f>
        <v>0</v>
      </c>
      <c r="V15" s="21">
        <f>I15/E15*100</f>
        <v>0</v>
      </c>
      <c r="W15" s="21">
        <f>J15/E15*100</f>
        <v>0</v>
      </c>
      <c r="X15" s="21">
        <f t="shared" si="0"/>
        <v>6.5222672064777329</v>
      </c>
      <c r="Y15" s="21">
        <f t="shared" si="26"/>
        <v>35.968888888888891</v>
      </c>
      <c r="Z15" s="21">
        <f t="shared" si="1"/>
        <v>0</v>
      </c>
      <c r="AA15" s="21">
        <f t="shared" si="2"/>
        <v>0</v>
      </c>
      <c r="AB15" s="21">
        <f t="shared" si="3"/>
        <v>0</v>
      </c>
      <c r="AC15" s="21">
        <f t="shared" si="4"/>
        <v>0</v>
      </c>
      <c r="AD15" s="21">
        <f t="shared" si="5"/>
        <v>0</v>
      </c>
      <c r="AE15" s="25">
        <f>SUM('[1]Actual Expenditure 2018-19'!AD17)+('[1]Actual Expenditure 2018-19'!AD45)+('[1]Actual Expenditure 2018-19'!AD64)+('[1]Actual Expenditure 2018-19'!AD84)+('[1]Actual Expenditure 2018-19'!AD116)+('[1]Actual Expenditure 2018-19'!AD135)+('[1]Actual Expenditure 2018-19'!AD180)+('[1]Actual Expenditure 2018-19'!AD201)+('[1]Actual Expenditure 2018-19'!AD225)+('[1]Actual Expenditure 2018-19'!AD244)+('[1]Actual Expenditure 2018-19'!AD265)+('[1]Actual Expenditure 2018-19'!AD287)+('[1]Actual Expenditure 2018-19'!AD303)+('[1]Actual Expenditure 2018-19'!AD319)+('[1]Actual Expenditure 2018-19'!AD333)+('[1]Actual Expenditure 2018-19'!AD357)+('[1]Actual Expenditure 2018-19'!AD385)+('[1]Actual Expenditure 2018-19'!AD406)</f>
        <v>0</v>
      </c>
      <c r="AF15" s="21" t="e">
        <f t="shared" si="6"/>
        <v>#DIV/0!</v>
      </c>
      <c r="AG15" s="21" t="e">
        <f t="shared" si="7"/>
        <v>#DIV/0!</v>
      </c>
      <c r="AH15" s="21" t="e">
        <f t="shared" si="8"/>
        <v>#DIV/0!</v>
      </c>
      <c r="AI15" s="21" t="e">
        <f t="shared" si="9"/>
        <v>#DIV/0!</v>
      </c>
      <c r="AJ15" s="25">
        <v>245</v>
      </c>
      <c r="AK15" s="21">
        <f t="shared" si="10"/>
        <v>0.35000000000000003</v>
      </c>
      <c r="AL15" s="25">
        <v>794</v>
      </c>
      <c r="AM15" s="21">
        <f t="shared" si="11"/>
        <v>1.1342857142857143</v>
      </c>
      <c r="AN15" s="25">
        <v>959</v>
      </c>
      <c r="AO15" s="21">
        <f t="shared" si="12"/>
        <v>1.37</v>
      </c>
      <c r="AP15" s="25">
        <v>1245</v>
      </c>
      <c r="AQ15" s="21">
        <f t="shared" si="13"/>
        <v>1.7785714285714287</v>
      </c>
      <c r="AR15" s="51">
        <v>1662</v>
      </c>
      <c r="AS15" s="21">
        <f t="shared" si="14"/>
        <v>2.3742857142857141</v>
      </c>
      <c r="AT15" s="25">
        <v>1736</v>
      </c>
      <c r="AU15" s="21">
        <f t="shared" si="15"/>
        <v>2.48</v>
      </c>
      <c r="AV15" s="52">
        <v>2349</v>
      </c>
      <c r="AW15" s="21">
        <f t="shared" si="16"/>
        <v>3.3557142857142854</v>
      </c>
      <c r="AX15" s="52">
        <v>2563</v>
      </c>
      <c r="AY15" s="21">
        <f t="shared" si="17"/>
        <v>3.6614285714285719</v>
      </c>
      <c r="AZ15" s="52">
        <v>3531</v>
      </c>
      <c r="BA15" s="21">
        <f t="shared" si="18"/>
        <v>5.0442857142857145</v>
      </c>
      <c r="BB15" s="21">
        <f t="shared" si="19"/>
        <v>7.0620000000000003</v>
      </c>
      <c r="BC15" s="52">
        <v>3971</v>
      </c>
      <c r="BD15" s="21">
        <f t="shared" si="20"/>
        <v>5.6728571428571426</v>
      </c>
      <c r="BE15" s="21">
        <f t="shared" si="21"/>
        <v>7.9420000000000002</v>
      </c>
      <c r="BF15" s="52">
        <v>4504</v>
      </c>
      <c r="BG15" s="21">
        <f t="shared" si="22"/>
        <v>6.4342857142857142</v>
      </c>
      <c r="BH15" s="21">
        <f t="shared" si="23"/>
        <v>9.0079999999999991</v>
      </c>
      <c r="BI15" s="52">
        <v>0</v>
      </c>
      <c r="BJ15" s="21">
        <f t="shared" si="24"/>
        <v>0</v>
      </c>
      <c r="BK15" s="21">
        <f t="shared" si="25"/>
        <v>0</v>
      </c>
    </row>
    <row r="16" spans="1:75" ht="18" x14ac:dyDescent="0.4">
      <c r="A16" s="25">
        <f>SUM('[1]Actual Expenditure 2018-19'!A18)+('[1]Actual Expenditure 2018-19'!A85)+('[1]Actual Expenditure 2018-19'!A136)+('[1]Actual Expenditure 2018-19'!A266)+('[1]Actual Expenditure 2018-19'!A358)+('[1]Actual Expenditure 2018-19'!A407)</f>
        <v>1100000</v>
      </c>
      <c r="B16" s="25">
        <f>SUM('[1]Actual Expenditure 2018-19'!B18)+('[1]Actual Expenditure 2018-19'!B85)+('[1]Actual Expenditure 2018-19'!B136)+('[1]Actual Expenditure 2018-19'!B266)+('[1]Actual Expenditure 2018-19'!B358)+('[1]Actual Expenditure 2018-19'!B407)</f>
        <v>1100000</v>
      </c>
      <c r="C16" s="50" t="s">
        <v>68</v>
      </c>
      <c r="D16" s="25" t="s">
        <v>69</v>
      </c>
      <c r="E16" s="25">
        <f>SUM('[1]Actual Expenditure 2018-19'!E18)+('[1]Actual Expenditure 2018-19'!E85)+('[1]Actual Expenditure 2018-19'!E136)+('[1]Actual Expenditure 2018-19'!E266)+('[1]Actual Expenditure 2018-19'!E358)+('[1]Actual Expenditure 2018-19'!E407)</f>
        <v>1200000</v>
      </c>
      <c r="F16" s="25">
        <f>SUM('[1]Actual Expenditure 2018-19'!F18)+('[1]Actual Expenditure 2018-19'!F85)+('[1]Actual Expenditure 2018-19'!F136)+('[1]Actual Expenditure 2018-19'!F266)+('[1]Actual Expenditure 2018-19'!F358)+('[1]Actual Expenditure 2018-19'!F407)</f>
        <v>0</v>
      </c>
      <c r="G16" s="25">
        <f>SUM('[1]Actual Expenditure 2018-19'!G18)+('[1]Actual Expenditure 2018-19'!G85)+('[1]Actual Expenditure 2018-19'!G136)+('[1]Actual Expenditure 2018-19'!G266)+('[1]Actual Expenditure 2018-19'!G358)+('[1]Actual Expenditure 2018-19'!G407)</f>
        <v>21638</v>
      </c>
      <c r="H16" s="25">
        <f>SUM('[1]Actual Expenditure 2018-19'!H18)+('[1]Actual Expenditure 2018-19'!H85)+('[1]Actual Expenditure 2018-19'!H136)+('[1]Actual Expenditure 2018-19'!H266)+('[1]Actual Expenditure 2018-19'!H358)+('[1]Actual Expenditure 2018-19'!H407)</f>
        <v>0</v>
      </c>
      <c r="I16" s="25">
        <f>SUM('[1]Actual Expenditure 2018-19'!I18)+('[1]Actual Expenditure 2018-19'!I85)+('[1]Actual Expenditure 2018-19'!I136)+('[1]Actual Expenditure 2018-19'!I266)+('[1]Actual Expenditure 2018-19'!I358)+('[1]Actual Expenditure 2018-19'!I407)</f>
        <v>0</v>
      </c>
      <c r="J16" s="25">
        <f>SUM('[1]Actual Expenditure 2018-19'!J18)+('[1]Actual Expenditure 2018-19'!J85)+('[1]Actual Expenditure 2018-19'!J136)+('[1]Actual Expenditure 2018-19'!J266)+('[1]Actual Expenditure 2018-19'!J358)+('[1]Actual Expenditure 2018-19'!J407)</f>
        <v>0</v>
      </c>
      <c r="K16" s="25">
        <f>SUM('[1]Actual Expenditure 2018-19'!K18)+('[1]Actual Expenditure 2018-19'!K85)+('[1]Actual Expenditure 2018-19'!K136)+('[1]Actual Expenditure 2018-19'!K266)+('[1]Actual Expenditure 2018-19'!K358)+('[1]Actual Expenditure 2018-19'!K407)</f>
        <v>163116</v>
      </c>
      <c r="L16" s="25">
        <v>900000</v>
      </c>
      <c r="M16" s="52">
        <v>385046</v>
      </c>
      <c r="N16" s="25">
        <f>SUM('[1]Actual Expenditure 2018-19'!M18)+('[1]Actual Expenditure 2018-19'!M85)+('[1]Actual Expenditure 2018-19'!M136)+('[1]Actual Expenditure 2018-19'!M266)+('[1]Actual Expenditure 2018-19'!M358)+('[1]Actual Expenditure 2018-19'!M407)</f>
        <v>0</v>
      </c>
      <c r="O16" s="25">
        <f>SUM('[1]Actual Expenditure 2018-19'!N18)+('[1]Actual Expenditure 2018-19'!N85)+('[1]Actual Expenditure 2018-19'!N136)+('[1]Actual Expenditure 2018-19'!N266)+('[1]Actual Expenditure 2018-19'!N358)+('[1]Actual Expenditure 2018-19'!N407)</f>
        <v>0</v>
      </c>
      <c r="P16" s="25">
        <f>SUM('[1]Actual Expenditure 2018-19'!O18)+('[1]Actual Expenditure 2018-19'!O85)+('[1]Actual Expenditure 2018-19'!O136)+('[1]Actual Expenditure 2018-19'!O266)+('[1]Actual Expenditure 2018-19'!O358)+('[1]Actual Expenditure 2018-19'!O407)</f>
        <v>0</v>
      </c>
      <c r="Q16" s="25">
        <f>SUM('[1]Actual Expenditure 2018-19'!P18)+('[1]Actual Expenditure 2018-19'!P85)+('[1]Actual Expenditure 2018-19'!P136)+('[1]Actual Expenditure 2018-19'!P266)+('[1]Actual Expenditure 2018-19'!P358)+('[1]Actual Expenditure 2018-19'!P407)</f>
        <v>0</v>
      </c>
      <c r="R16" s="25">
        <f>SUM('[1]Actual Expenditure 2018-19'!Q18)+('[1]Actual Expenditure 2018-19'!Q85)+('[1]Actual Expenditure 2018-19'!Q136)+('[1]Actual Expenditure 2018-19'!Q266)+('[1]Actual Expenditure 2018-19'!Q358)+('[1]Actual Expenditure 2018-19'!Q407)</f>
        <v>0</v>
      </c>
      <c r="S16" s="25">
        <f>SUM('[1]Actual Expenditure 2018-19'!R18)+('[1]Actual Expenditure 2018-19'!R85)+('[1]Actual Expenditure 2018-19'!R136)+('[1]Actual Expenditure 2018-19'!R266)+('[1]Actual Expenditure 2018-19'!R358)+('[1]Actual Expenditure 2018-19'!R407)</f>
        <v>0</v>
      </c>
      <c r="T16" s="21">
        <f>G16/E16*100</f>
        <v>1.8031666666666668</v>
      </c>
      <c r="U16" s="21">
        <f>H16/E16*100</f>
        <v>0</v>
      </c>
      <c r="V16" s="21">
        <f>I16/E16*100</f>
        <v>0</v>
      </c>
      <c r="W16" s="21">
        <f>J16/E16*100</f>
        <v>0</v>
      </c>
      <c r="X16" s="21">
        <f t="shared" si="0"/>
        <v>13.593</v>
      </c>
      <c r="Y16" s="21">
        <f t="shared" si="26"/>
        <v>42.782888888888884</v>
      </c>
      <c r="Z16" s="21">
        <f t="shared" si="1"/>
        <v>0</v>
      </c>
      <c r="AA16" s="21">
        <f t="shared" si="2"/>
        <v>0</v>
      </c>
      <c r="AB16" s="21">
        <f t="shared" si="3"/>
        <v>0</v>
      </c>
      <c r="AC16" s="21">
        <f t="shared" si="4"/>
        <v>0</v>
      </c>
      <c r="AD16" s="21">
        <f t="shared" si="5"/>
        <v>0</v>
      </c>
      <c r="AE16" s="25">
        <f>SUM('[1]Actual Expenditure 2018-19'!AD18)+('[1]Actual Expenditure 2018-19'!AD85)+('[1]Actual Expenditure 2018-19'!AD136)+('[1]Actual Expenditure 2018-19'!AD266)+('[1]Actual Expenditure 2018-19'!AD358)+('[1]Actual Expenditure 2018-19'!AD407)</f>
        <v>0</v>
      </c>
      <c r="AF16" s="21" t="e">
        <f t="shared" si="6"/>
        <v>#DIV/0!</v>
      </c>
      <c r="AG16" s="21" t="e">
        <f t="shared" si="7"/>
        <v>#DIV/0!</v>
      </c>
      <c r="AH16" s="21" t="e">
        <f t="shared" si="8"/>
        <v>#DIV/0!</v>
      </c>
      <c r="AI16" s="21" t="e">
        <f t="shared" si="9"/>
        <v>#DIV/0!</v>
      </c>
      <c r="AJ16" s="25">
        <v>5796</v>
      </c>
      <c r="AK16" s="21">
        <f t="shared" si="10"/>
        <v>0.52690909090909088</v>
      </c>
      <c r="AL16" s="25">
        <v>35407</v>
      </c>
      <c r="AM16" s="21">
        <f t="shared" si="11"/>
        <v>3.2188181818181816</v>
      </c>
      <c r="AN16" s="25">
        <v>145244</v>
      </c>
      <c r="AO16" s="21">
        <f t="shared" si="12"/>
        <v>13.203999999999999</v>
      </c>
      <c r="AP16" s="25">
        <v>197877</v>
      </c>
      <c r="AQ16" s="21">
        <f t="shared" si="13"/>
        <v>17.988818181818182</v>
      </c>
      <c r="AR16" s="51">
        <v>253567</v>
      </c>
      <c r="AS16" s="21">
        <f t="shared" si="14"/>
        <v>23.051545454545455</v>
      </c>
      <c r="AT16" s="25">
        <v>291884</v>
      </c>
      <c r="AU16" s="21">
        <f t="shared" si="15"/>
        <v>26.534909090909093</v>
      </c>
      <c r="AV16" s="52">
        <v>322361</v>
      </c>
      <c r="AW16" s="21">
        <f t="shared" si="16"/>
        <v>29.305545454545456</v>
      </c>
      <c r="AX16" s="52">
        <v>370005</v>
      </c>
      <c r="AY16" s="21">
        <f t="shared" si="17"/>
        <v>33.636818181818185</v>
      </c>
      <c r="AZ16" s="52">
        <v>412689</v>
      </c>
      <c r="BA16" s="21">
        <f t="shared" si="18"/>
        <v>37.517181818181818</v>
      </c>
      <c r="BB16" s="21">
        <f t="shared" si="19"/>
        <v>37.517181818181818</v>
      </c>
      <c r="BC16" s="52">
        <v>454346</v>
      </c>
      <c r="BD16" s="21">
        <f t="shared" si="20"/>
        <v>41.304181818181817</v>
      </c>
      <c r="BE16" s="21">
        <f t="shared" si="21"/>
        <v>41.304181818181817</v>
      </c>
      <c r="BF16" s="52">
        <v>559792</v>
      </c>
      <c r="BG16" s="21">
        <f t="shared" si="22"/>
        <v>50.890181818181823</v>
      </c>
      <c r="BH16" s="21">
        <f t="shared" si="23"/>
        <v>50.890181818181823</v>
      </c>
      <c r="BI16" s="52">
        <v>0</v>
      </c>
      <c r="BJ16" s="21">
        <f t="shared" si="24"/>
        <v>0</v>
      </c>
      <c r="BK16" s="21">
        <f t="shared" si="25"/>
        <v>0</v>
      </c>
    </row>
    <row r="17" spans="1:63" ht="18" x14ac:dyDescent="0.4">
      <c r="A17" s="25">
        <f>SUM('[1]Actual Expenditure 2018-19'!A19)+('[1]Actual Expenditure 2018-19'!A46)+('[1]Actual Expenditure 2018-19'!A65)+('[1]Actual Expenditure 2018-19'!A86)+('[1]Actual Expenditure 2018-19'!A117)+('[1]Actual Expenditure 2018-19'!A137)+('[1]Actual Expenditure 2018-19'!A181)+('[1]Actual Expenditure 2018-19'!A202)+('[1]Actual Expenditure 2018-19'!A226)+('[1]Actual Expenditure 2018-19'!A245)+('[1]Actual Expenditure 2018-19'!A267)+('[1]Actual Expenditure 2018-19'!A288)+('[1]Actual Expenditure 2018-19'!A304)+('[1]Actual Expenditure 2018-19'!A320)+('[1]Actual Expenditure 2018-19'!A334)+('[1]Actual Expenditure 2018-19'!A359)+('[1]Actual Expenditure 2018-19'!A386)+('[1]Actual Expenditure 2018-19'!A408)</f>
        <v>400000</v>
      </c>
      <c r="B17" s="25">
        <f>SUM('[1]Actual Expenditure 2018-19'!B19)+('[1]Actual Expenditure 2018-19'!B46)+('[1]Actual Expenditure 2018-19'!B65)+('[1]Actual Expenditure 2018-19'!B86)+('[1]Actual Expenditure 2018-19'!B117)+('[1]Actual Expenditure 2018-19'!B137)+('[1]Actual Expenditure 2018-19'!B181)+('[1]Actual Expenditure 2018-19'!B202)+('[1]Actual Expenditure 2018-19'!B226)+('[1]Actual Expenditure 2018-19'!B245)+('[1]Actual Expenditure 2018-19'!B267)+('[1]Actual Expenditure 2018-19'!B288)+('[1]Actual Expenditure 2018-19'!B304)+('[1]Actual Expenditure 2018-19'!B320)+('[1]Actual Expenditure 2018-19'!B334)+('[1]Actual Expenditure 2018-19'!B359)+('[1]Actual Expenditure 2018-19'!B386)+('[1]Actual Expenditure 2018-19'!B408)</f>
        <v>410000</v>
      </c>
      <c r="C17" s="50" t="s">
        <v>70</v>
      </c>
      <c r="D17" s="25" t="s">
        <v>71</v>
      </c>
      <c r="E17" s="25">
        <f>SUM('[1]Actual Expenditure 2018-19'!E19)+('[1]Actual Expenditure 2018-19'!E46)+('[1]Actual Expenditure 2018-19'!E65)+('[1]Actual Expenditure 2018-19'!E86)+('[1]Actual Expenditure 2018-19'!E117)+('[1]Actual Expenditure 2018-19'!E137)+('[1]Actual Expenditure 2018-19'!E181)+('[1]Actual Expenditure 2018-19'!E202)+('[1]Actual Expenditure 2018-19'!E226)+('[1]Actual Expenditure 2018-19'!E245)+('[1]Actual Expenditure 2018-19'!E267)+('[1]Actual Expenditure 2018-19'!E288)+('[1]Actual Expenditure 2018-19'!E304)+('[1]Actual Expenditure 2018-19'!E320)+('[1]Actual Expenditure 2018-19'!E334)+('[1]Actual Expenditure 2018-19'!E359)+('[1]Actual Expenditure 2018-19'!E386)+('[1]Actual Expenditure 2018-19'!E408)</f>
        <v>420000</v>
      </c>
      <c r="F17" s="25">
        <f>SUM('[1]Actual Expenditure 2018-19'!F19)+('[1]Actual Expenditure 2018-19'!F46)+('[1]Actual Expenditure 2018-19'!F65)+('[1]Actual Expenditure 2018-19'!F86)+('[1]Actual Expenditure 2018-19'!F117)+('[1]Actual Expenditure 2018-19'!F137)+('[1]Actual Expenditure 2018-19'!F181)+('[1]Actual Expenditure 2018-19'!F202)+('[1]Actual Expenditure 2018-19'!F226)+('[1]Actual Expenditure 2018-19'!F245)+('[1]Actual Expenditure 2018-19'!F267)+('[1]Actual Expenditure 2018-19'!F288)+('[1]Actual Expenditure 2018-19'!F304)+('[1]Actual Expenditure 2018-19'!F320)+('[1]Actual Expenditure 2018-19'!F334)+('[1]Actual Expenditure 2018-19'!F359)+('[1]Actual Expenditure 2018-19'!F386)+('[1]Actual Expenditure 2018-19'!F408)</f>
        <v>0</v>
      </c>
      <c r="G17" s="25">
        <f>SUM('[1]Actual Expenditure 2018-19'!G19)+('[1]Actual Expenditure 2018-19'!G46)+('[1]Actual Expenditure 2018-19'!G65)+('[1]Actual Expenditure 2018-19'!G86)+('[1]Actual Expenditure 2018-19'!G117)+('[1]Actual Expenditure 2018-19'!G137)+('[1]Actual Expenditure 2018-19'!G181)+('[1]Actual Expenditure 2018-19'!G202)+('[1]Actual Expenditure 2018-19'!G226)+('[1]Actual Expenditure 2018-19'!G245)+('[1]Actual Expenditure 2018-19'!G267)+('[1]Actual Expenditure 2018-19'!G288)+('[1]Actual Expenditure 2018-19'!G304)+('[1]Actual Expenditure 2018-19'!G320)+('[1]Actual Expenditure 2018-19'!G334)+('[1]Actual Expenditure 2018-19'!G359)+('[1]Actual Expenditure 2018-19'!G386)+('[1]Actual Expenditure 2018-19'!G408)</f>
        <v>14828</v>
      </c>
      <c r="H17" s="25">
        <f>SUM('[1]Actual Expenditure 2018-19'!H19)+('[1]Actual Expenditure 2018-19'!H46)+('[1]Actual Expenditure 2018-19'!H65)+('[1]Actual Expenditure 2018-19'!H86)+('[1]Actual Expenditure 2018-19'!H117)+('[1]Actual Expenditure 2018-19'!H137)+('[1]Actual Expenditure 2018-19'!H181)+('[1]Actual Expenditure 2018-19'!H202)+('[1]Actual Expenditure 2018-19'!H226)+('[1]Actual Expenditure 2018-19'!H245)+('[1]Actual Expenditure 2018-19'!H267)+('[1]Actual Expenditure 2018-19'!H288)+('[1]Actual Expenditure 2018-19'!H304)+('[1]Actual Expenditure 2018-19'!H320)+('[1]Actual Expenditure 2018-19'!H334)+('[1]Actual Expenditure 2018-19'!H359)+('[1]Actual Expenditure 2018-19'!H386)+('[1]Actual Expenditure 2018-19'!H408)</f>
        <v>0</v>
      </c>
      <c r="I17" s="25">
        <f>SUM('[1]Actual Expenditure 2018-19'!I19)+('[1]Actual Expenditure 2018-19'!I46)+('[1]Actual Expenditure 2018-19'!I65)+('[1]Actual Expenditure 2018-19'!I86)+('[1]Actual Expenditure 2018-19'!I117)+('[1]Actual Expenditure 2018-19'!I137)+('[1]Actual Expenditure 2018-19'!I181)+('[1]Actual Expenditure 2018-19'!I202)+('[1]Actual Expenditure 2018-19'!I226)+('[1]Actual Expenditure 2018-19'!I245)+('[1]Actual Expenditure 2018-19'!I267)+('[1]Actual Expenditure 2018-19'!I288)+('[1]Actual Expenditure 2018-19'!I304)+('[1]Actual Expenditure 2018-19'!I320)+('[1]Actual Expenditure 2018-19'!I334)+('[1]Actual Expenditure 2018-19'!I359)+('[1]Actual Expenditure 2018-19'!I386)+('[1]Actual Expenditure 2018-19'!I408)</f>
        <v>0</v>
      </c>
      <c r="J17" s="25">
        <f>SUM('[1]Actual Expenditure 2018-19'!J19)+('[1]Actual Expenditure 2018-19'!J46)+('[1]Actual Expenditure 2018-19'!J65)+('[1]Actual Expenditure 2018-19'!J86)+('[1]Actual Expenditure 2018-19'!J117)+('[1]Actual Expenditure 2018-19'!J137)+('[1]Actual Expenditure 2018-19'!J181)+('[1]Actual Expenditure 2018-19'!J202)+('[1]Actual Expenditure 2018-19'!J226)+('[1]Actual Expenditure 2018-19'!J245)+('[1]Actual Expenditure 2018-19'!J267)+('[1]Actual Expenditure 2018-19'!J288)+('[1]Actual Expenditure 2018-19'!J304)+('[1]Actual Expenditure 2018-19'!J320)+('[1]Actual Expenditure 2018-19'!J334)+('[1]Actual Expenditure 2018-19'!J359)+('[1]Actual Expenditure 2018-19'!J386)+('[1]Actual Expenditure 2018-19'!J408)</f>
        <v>0</v>
      </c>
      <c r="K17" s="25">
        <f>SUM('[1]Actual Expenditure 2018-19'!K19)+('[1]Actual Expenditure 2018-19'!K46)+('[1]Actual Expenditure 2018-19'!K65)+('[1]Actual Expenditure 2018-19'!K86)+('[1]Actual Expenditure 2018-19'!K117)+('[1]Actual Expenditure 2018-19'!K137)+('[1]Actual Expenditure 2018-19'!K181)+('[1]Actual Expenditure 2018-19'!K202)+('[1]Actual Expenditure 2018-19'!K226)+('[1]Actual Expenditure 2018-19'!K245)+('[1]Actual Expenditure 2018-19'!K267)+('[1]Actual Expenditure 2018-19'!K288)+('[1]Actual Expenditure 2018-19'!K304)+('[1]Actual Expenditure 2018-19'!K320)+('[1]Actual Expenditure 2018-19'!K334)+('[1]Actual Expenditure 2018-19'!K359)+('[1]Actual Expenditure 2018-19'!K386)+('[1]Actual Expenditure 2018-19'!K408)</f>
        <v>142784</v>
      </c>
      <c r="L17" s="25">
        <v>450000</v>
      </c>
      <c r="M17" s="52">
        <v>272768</v>
      </c>
      <c r="N17" s="25">
        <f>SUM('[1]Actual Expenditure 2018-19'!M19)+('[1]Actual Expenditure 2018-19'!M46)+('[1]Actual Expenditure 2018-19'!M65)+('[1]Actual Expenditure 2018-19'!M86)+('[1]Actual Expenditure 2018-19'!M117)+('[1]Actual Expenditure 2018-19'!M137)+('[1]Actual Expenditure 2018-19'!M181)+('[1]Actual Expenditure 2018-19'!M202)+('[1]Actual Expenditure 2018-19'!M226)+('[1]Actual Expenditure 2018-19'!M245)+('[1]Actual Expenditure 2018-19'!M267)+('[1]Actual Expenditure 2018-19'!M288)+('[1]Actual Expenditure 2018-19'!M304)+('[1]Actual Expenditure 2018-19'!M320)+('[1]Actual Expenditure 2018-19'!M334)+('[1]Actual Expenditure 2018-19'!M359)+('[1]Actual Expenditure 2018-19'!M386)+('[1]Actual Expenditure 2018-19'!M408)</f>
        <v>0</v>
      </c>
      <c r="O17" s="25">
        <f>SUM('[1]Actual Expenditure 2018-19'!N19)+('[1]Actual Expenditure 2018-19'!N46)+('[1]Actual Expenditure 2018-19'!N65)+('[1]Actual Expenditure 2018-19'!N86)+('[1]Actual Expenditure 2018-19'!N117)+('[1]Actual Expenditure 2018-19'!N137)+('[1]Actual Expenditure 2018-19'!N181)+('[1]Actual Expenditure 2018-19'!N202)+('[1]Actual Expenditure 2018-19'!N226)+('[1]Actual Expenditure 2018-19'!N245)+('[1]Actual Expenditure 2018-19'!N267)+('[1]Actual Expenditure 2018-19'!N288)+('[1]Actual Expenditure 2018-19'!N304)+('[1]Actual Expenditure 2018-19'!N320)+('[1]Actual Expenditure 2018-19'!N334)+('[1]Actual Expenditure 2018-19'!N359)+('[1]Actual Expenditure 2018-19'!N386)+('[1]Actual Expenditure 2018-19'!N408)</f>
        <v>0</v>
      </c>
      <c r="P17" s="25">
        <f>SUM('[1]Actual Expenditure 2018-19'!O19)+('[1]Actual Expenditure 2018-19'!O46)+('[1]Actual Expenditure 2018-19'!O65)+('[1]Actual Expenditure 2018-19'!O86)+('[1]Actual Expenditure 2018-19'!O117)+('[1]Actual Expenditure 2018-19'!O137)+('[1]Actual Expenditure 2018-19'!O181)+('[1]Actual Expenditure 2018-19'!O202)+('[1]Actual Expenditure 2018-19'!O226)+('[1]Actual Expenditure 2018-19'!O245)+('[1]Actual Expenditure 2018-19'!O267)+('[1]Actual Expenditure 2018-19'!O288)+('[1]Actual Expenditure 2018-19'!O304)+('[1]Actual Expenditure 2018-19'!O320)+('[1]Actual Expenditure 2018-19'!O334)+('[1]Actual Expenditure 2018-19'!O359)+('[1]Actual Expenditure 2018-19'!O386)+('[1]Actual Expenditure 2018-19'!O408)</f>
        <v>0</v>
      </c>
      <c r="Q17" s="25">
        <f>SUM('[1]Actual Expenditure 2018-19'!P19)+('[1]Actual Expenditure 2018-19'!P46)+('[1]Actual Expenditure 2018-19'!P65)+('[1]Actual Expenditure 2018-19'!P86)+('[1]Actual Expenditure 2018-19'!P117)+('[1]Actual Expenditure 2018-19'!P137)+('[1]Actual Expenditure 2018-19'!P181)+('[1]Actual Expenditure 2018-19'!P202)+('[1]Actual Expenditure 2018-19'!P226)+('[1]Actual Expenditure 2018-19'!P245)+('[1]Actual Expenditure 2018-19'!P267)+('[1]Actual Expenditure 2018-19'!P288)+('[1]Actual Expenditure 2018-19'!P304)+('[1]Actual Expenditure 2018-19'!P320)+('[1]Actual Expenditure 2018-19'!P334)+('[1]Actual Expenditure 2018-19'!P359)+('[1]Actual Expenditure 2018-19'!P386)+('[1]Actual Expenditure 2018-19'!P408)</f>
        <v>0</v>
      </c>
      <c r="R17" s="25">
        <f>SUM('[1]Actual Expenditure 2018-19'!Q19)+('[1]Actual Expenditure 2018-19'!Q46)+('[1]Actual Expenditure 2018-19'!Q65)+('[1]Actual Expenditure 2018-19'!Q86)+('[1]Actual Expenditure 2018-19'!Q117)+('[1]Actual Expenditure 2018-19'!Q137)+('[1]Actual Expenditure 2018-19'!Q181)+('[1]Actual Expenditure 2018-19'!Q202)+('[1]Actual Expenditure 2018-19'!Q226)+('[1]Actual Expenditure 2018-19'!Q245)+('[1]Actual Expenditure 2018-19'!Q267)+('[1]Actual Expenditure 2018-19'!Q288)+('[1]Actual Expenditure 2018-19'!Q304)+('[1]Actual Expenditure 2018-19'!Q320)+('[1]Actual Expenditure 2018-19'!Q334)+('[1]Actual Expenditure 2018-19'!Q359)+('[1]Actual Expenditure 2018-19'!Q386)+('[1]Actual Expenditure 2018-19'!Q408)</f>
        <v>0</v>
      </c>
      <c r="S17" s="25">
        <f>SUM('[1]Actual Expenditure 2018-19'!R19)+('[1]Actual Expenditure 2018-19'!R46)+('[1]Actual Expenditure 2018-19'!R65)+('[1]Actual Expenditure 2018-19'!R86)+('[1]Actual Expenditure 2018-19'!R117)+('[1]Actual Expenditure 2018-19'!R137)+('[1]Actual Expenditure 2018-19'!R181)+('[1]Actual Expenditure 2018-19'!R202)+('[1]Actual Expenditure 2018-19'!R226)+('[1]Actual Expenditure 2018-19'!R245)+('[1]Actual Expenditure 2018-19'!R267)+('[1]Actual Expenditure 2018-19'!R288)+('[1]Actual Expenditure 2018-19'!R304)+('[1]Actual Expenditure 2018-19'!R320)+('[1]Actual Expenditure 2018-19'!R334)+('[1]Actual Expenditure 2018-19'!R359)+('[1]Actual Expenditure 2018-19'!R386)+('[1]Actual Expenditure 2018-19'!R408)</f>
        <v>0</v>
      </c>
      <c r="T17" s="21">
        <f t="shared" ref="T17:T28" si="27">G17/E17*100</f>
        <v>3.530476190476191</v>
      </c>
      <c r="U17" s="21">
        <f t="shared" ref="U17:U63" si="28">H17/E17*100</f>
        <v>0</v>
      </c>
      <c r="V17" s="21">
        <f t="shared" ref="V17:V63" si="29">I17/E17*100</f>
        <v>0</v>
      </c>
      <c r="W17" s="21">
        <f t="shared" ref="W17:W63" si="30">J17/E17*100</f>
        <v>0</v>
      </c>
      <c r="X17" s="21">
        <f t="shared" si="0"/>
        <v>33.996190476190478</v>
      </c>
      <c r="Y17" s="21">
        <f t="shared" si="26"/>
        <v>60.615111111111105</v>
      </c>
      <c r="Z17" s="21">
        <f t="shared" si="1"/>
        <v>0</v>
      </c>
      <c r="AA17" s="21">
        <f t="shared" si="2"/>
        <v>0</v>
      </c>
      <c r="AB17" s="21">
        <f t="shared" si="3"/>
        <v>0</v>
      </c>
      <c r="AC17" s="21">
        <f t="shared" si="4"/>
        <v>0</v>
      </c>
      <c r="AD17" s="21">
        <f t="shared" si="5"/>
        <v>0</v>
      </c>
      <c r="AE17" s="25">
        <f>SUM('[1]Actual Expenditure 2018-19'!AD19)+('[1]Actual Expenditure 2018-19'!AD46)+('[1]Actual Expenditure 2018-19'!AD65)+('[1]Actual Expenditure 2018-19'!AD86)+('[1]Actual Expenditure 2018-19'!AD117)+('[1]Actual Expenditure 2018-19'!AD137)+('[1]Actual Expenditure 2018-19'!AD181)+('[1]Actual Expenditure 2018-19'!AD202)+('[1]Actual Expenditure 2018-19'!AD226)+('[1]Actual Expenditure 2018-19'!AD245)+('[1]Actual Expenditure 2018-19'!AD267)+('[1]Actual Expenditure 2018-19'!AD288)+('[1]Actual Expenditure 2018-19'!AD304)+('[1]Actual Expenditure 2018-19'!AD320)+('[1]Actual Expenditure 2018-19'!AD334)+('[1]Actual Expenditure 2018-19'!AD359)+('[1]Actual Expenditure 2018-19'!AD386)+('[1]Actual Expenditure 2018-19'!AD408)</f>
        <v>0</v>
      </c>
      <c r="AF17" s="21" t="e">
        <f t="shared" si="6"/>
        <v>#DIV/0!</v>
      </c>
      <c r="AG17" s="21" t="e">
        <f t="shared" si="7"/>
        <v>#DIV/0!</v>
      </c>
      <c r="AH17" s="21" t="e">
        <f t="shared" si="8"/>
        <v>#DIV/0!</v>
      </c>
      <c r="AI17" s="21" t="e">
        <f t="shared" si="9"/>
        <v>#DIV/0!</v>
      </c>
      <c r="AJ17" s="25">
        <v>18862</v>
      </c>
      <c r="AK17" s="21">
        <f t="shared" si="10"/>
        <v>4.7155000000000005</v>
      </c>
      <c r="AL17" s="25">
        <v>61295</v>
      </c>
      <c r="AM17" s="21">
        <f t="shared" si="11"/>
        <v>15.32375</v>
      </c>
      <c r="AN17" s="25">
        <v>97718</v>
      </c>
      <c r="AO17" s="21">
        <f t="shared" si="12"/>
        <v>24.429500000000001</v>
      </c>
      <c r="AP17" s="25">
        <v>124971</v>
      </c>
      <c r="AQ17" s="21">
        <f t="shared" si="13"/>
        <v>31.242750000000001</v>
      </c>
      <c r="AR17" s="51">
        <v>146964</v>
      </c>
      <c r="AS17" s="21">
        <f t="shared" si="14"/>
        <v>36.741</v>
      </c>
      <c r="AT17" s="25">
        <v>165718</v>
      </c>
      <c r="AU17" s="21">
        <f t="shared" si="15"/>
        <v>41.429500000000004</v>
      </c>
      <c r="AV17" s="52">
        <v>189503</v>
      </c>
      <c r="AW17" s="21">
        <f t="shared" si="16"/>
        <v>47.375749999999996</v>
      </c>
      <c r="AX17" s="52">
        <v>205229</v>
      </c>
      <c r="AY17" s="21">
        <f t="shared" si="17"/>
        <v>51.307250000000003</v>
      </c>
      <c r="AZ17" s="52">
        <v>234744</v>
      </c>
      <c r="BA17" s="21">
        <f t="shared" si="18"/>
        <v>58.686000000000007</v>
      </c>
      <c r="BB17" s="21">
        <f t="shared" si="19"/>
        <v>57.254634146341466</v>
      </c>
      <c r="BC17" s="52">
        <v>261152</v>
      </c>
      <c r="BD17" s="21">
        <f t="shared" si="20"/>
        <v>65.287999999999997</v>
      </c>
      <c r="BE17" s="21">
        <f t="shared" si="21"/>
        <v>63.695609756097561</v>
      </c>
      <c r="BF17" s="52">
        <v>293571</v>
      </c>
      <c r="BG17" s="21">
        <f t="shared" si="22"/>
        <v>73.392749999999992</v>
      </c>
      <c r="BH17" s="21">
        <f t="shared" si="23"/>
        <v>71.60268292682926</v>
      </c>
      <c r="BI17" s="52">
        <v>0</v>
      </c>
      <c r="BJ17" s="21">
        <f t="shared" si="24"/>
        <v>0</v>
      </c>
      <c r="BK17" s="21">
        <f t="shared" si="25"/>
        <v>0</v>
      </c>
    </row>
    <row r="18" spans="1:63" ht="18" x14ac:dyDescent="0.4">
      <c r="A18" s="25">
        <f>SUM('[1]Actual Expenditure 2018-19'!A20)+('[1]Actual Expenditure 2018-19'!A47)+('[1]Actual Expenditure 2018-19'!A66)+('[1]Actual Expenditure 2018-19'!A87)+('[1]Actual Expenditure 2018-19'!A118)+('[1]Actual Expenditure 2018-19'!A138)+('[1]Actual Expenditure 2018-19'!A182)+('[1]Actual Expenditure 2018-19'!A203)+('[1]Actual Expenditure 2018-19'!A227)+('[1]Actual Expenditure 2018-19'!A246)+('[1]Actual Expenditure 2018-19'!A268)+('[1]Actual Expenditure 2018-19'!A289)+('[1]Actual Expenditure 2018-19'!A305)+('[1]Actual Expenditure 2018-19'!A321)+('[1]Actual Expenditure 2018-19'!A335)+('[1]Actual Expenditure 2018-19'!A360)+('[1]Actual Expenditure 2018-19'!A387)+('[1]Actual Expenditure 2018-19'!A409)</f>
        <v>900000</v>
      </c>
      <c r="B18" s="25">
        <f>SUM('[1]Actual Expenditure 2018-19'!B20)+('[1]Actual Expenditure 2018-19'!B47)+('[1]Actual Expenditure 2018-19'!B66)+('[1]Actual Expenditure 2018-19'!B87)+('[1]Actual Expenditure 2018-19'!B118)+('[1]Actual Expenditure 2018-19'!B138)+('[1]Actual Expenditure 2018-19'!B182)+('[1]Actual Expenditure 2018-19'!B203)+('[1]Actual Expenditure 2018-19'!B227)+('[1]Actual Expenditure 2018-19'!B246)+('[1]Actual Expenditure 2018-19'!B268)+('[1]Actual Expenditure 2018-19'!B289)+('[1]Actual Expenditure 2018-19'!B305)+('[1]Actual Expenditure 2018-19'!B321)+('[1]Actual Expenditure 2018-19'!B335)+('[1]Actual Expenditure 2018-19'!B360)+('[1]Actual Expenditure 2018-19'!B387)+('[1]Actual Expenditure 2018-19'!B409)</f>
        <v>920000</v>
      </c>
      <c r="C18" s="9">
        <v>11</v>
      </c>
      <c r="D18" s="25" t="s">
        <v>72</v>
      </c>
      <c r="E18" s="25">
        <f>SUM('[1]Actual Expenditure 2018-19'!E20)+('[1]Actual Expenditure 2018-19'!E47)+('[1]Actual Expenditure 2018-19'!E66)+('[1]Actual Expenditure 2018-19'!E87)+('[1]Actual Expenditure 2018-19'!E118)+('[1]Actual Expenditure 2018-19'!E138)+('[1]Actual Expenditure 2018-19'!E182)+('[1]Actual Expenditure 2018-19'!E203)+('[1]Actual Expenditure 2018-19'!E227)+('[1]Actual Expenditure 2018-19'!E246)+('[1]Actual Expenditure 2018-19'!E268)+('[1]Actual Expenditure 2018-19'!E289)+('[1]Actual Expenditure 2018-19'!E305)+('[1]Actual Expenditure 2018-19'!E321)+('[1]Actual Expenditure 2018-19'!E335)+('[1]Actual Expenditure 2018-19'!E360)+('[1]Actual Expenditure 2018-19'!E387)+('[1]Actual Expenditure 2018-19'!E409)</f>
        <v>960000</v>
      </c>
      <c r="F18" s="25">
        <f>SUM('[1]Actual Expenditure 2018-19'!F20)+('[1]Actual Expenditure 2018-19'!F47)+('[1]Actual Expenditure 2018-19'!F66)+('[1]Actual Expenditure 2018-19'!F87)+('[1]Actual Expenditure 2018-19'!F118)+('[1]Actual Expenditure 2018-19'!F138)+('[1]Actual Expenditure 2018-19'!F182)+('[1]Actual Expenditure 2018-19'!F203)+('[1]Actual Expenditure 2018-19'!F227)+('[1]Actual Expenditure 2018-19'!F246)+('[1]Actual Expenditure 2018-19'!F268)+('[1]Actual Expenditure 2018-19'!F289)+('[1]Actual Expenditure 2018-19'!F305)+('[1]Actual Expenditure 2018-19'!F321)+('[1]Actual Expenditure 2018-19'!F335)+('[1]Actual Expenditure 2018-19'!F360)+('[1]Actual Expenditure 2018-19'!F387)+('[1]Actual Expenditure 2018-19'!F409)</f>
        <v>0</v>
      </c>
      <c r="G18" s="25">
        <f>SUM('[1]Actual Expenditure 2018-19'!G20)+('[1]Actual Expenditure 2018-19'!G47)+('[1]Actual Expenditure 2018-19'!G66)+('[1]Actual Expenditure 2018-19'!G87)+('[1]Actual Expenditure 2018-19'!G118)+('[1]Actual Expenditure 2018-19'!G138)+('[1]Actual Expenditure 2018-19'!G182)+('[1]Actual Expenditure 2018-19'!G203)+('[1]Actual Expenditure 2018-19'!G227)+('[1]Actual Expenditure 2018-19'!G246)+('[1]Actual Expenditure 2018-19'!G268)+('[1]Actual Expenditure 2018-19'!G289)+('[1]Actual Expenditure 2018-19'!G305)+('[1]Actual Expenditure 2018-19'!G321)+('[1]Actual Expenditure 2018-19'!G335)+('[1]Actual Expenditure 2018-19'!G360)+('[1]Actual Expenditure 2018-19'!G387)+('[1]Actual Expenditure 2018-19'!G409)</f>
        <v>37406</v>
      </c>
      <c r="H18" s="25">
        <f>SUM('[1]Actual Expenditure 2018-19'!H20)+('[1]Actual Expenditure 2018-19'!H47)+('[1]Actual Expenditure 2018-19'!H66)+('[1]Actual Expenditure 2018-19'!H87)+('[1]Actual Expenditure 2018-19'!H118)+('[1]Actual Expenditure 2018-19'!H138)+('[1]Actual Expenditure 2018-19'!H182)+('[1]Actual Expenditure 2018-19'!H203)+('[1]Actual Expenditure 2018-19'!H227)+('[1]Actual Expenditure 2018-19'!H246)+('[1]Actual Expenditure 2018-19'!H268)+('[1]Actual Expenditure 2018-19'!H289)+('[1]Actual Expenditure 2018-19'!H305)+('[1]Actual Expenditure 2018-19'!H321)+('[1]Actual Expenditure 2018-19'!H335)+('[1]Actual Expenditure 2018-19'!H360)+('[1]Actual Expenditure 2018-19'!H387)+('[1]Actual Expenditure 2018-19'!H409)</f>
        <v>0</v>
      </c>
      <c r="I18" s="25">
        <f>SUM('[1]Actual Expenditure 2018-19'!I20)+('[1]Actual Expenditure 2018-19'!I47)+('[1]Actual Expenditure 2018-19'!I66)+('[1]Actual Expenditure 2018-19'!I87)+('[1]Actual Expenditure 2018-19'!I118)+('[1]Actual Expenditure 2018-19'!I138)+('[1]Actual Expenditure 2018-19'!I182)+('[1]Actual Expenditure 2018-19'!I203)+('[1]Actual Expenditure 2018-19'!I227)+('[1]Actual Expenditure 2018-19'!I246)+('[1]Actual Expenditure 2018-19'!I268)+('[1]Actual Expenditure 2018-19'!I289)+('[1]Actual Expenditure 2018-19'!I305)+('[1]Actual Expenditure 2018-19'!I321)+('[1]Actual Expenditure 2018-19'!I335)+('[1]Actual Expenditure 2018-19'!I360)+('[1]Actual Expenditure 2018-19'!I387)+('[1]Actual Expenditure 2018-19'!I409)</f>
        <v>0</v>
      </c>
      <c r="J18" s="25">
        <f>SUM('[1]Actual Expenditure 2018-19'!J20)+('[1]Actual Expenditure 2018-19'!J47)+('[1]Actual Expenditure 2018-19'!J66)+('[1]Actual Expenditure 2018-19'!J87)+('[1]Actual Expenditure 2018-19'!J118)+('[1]Actual Expenditure 2018-19'!J138)+('[1]Actual Expenditure 2018-19'!J182)+('[1]Actual Expenditure 2018-19'!J203)+('[1]Actual Expenditure 2018-19'!J227)+('[1]Actual Expenditure 2018-19'!J246)+('[1]Actual Expenditure 2018-19'!J268)+('[1]Actual Expenditure 2018-19'!J289)+('[1]Actual Expenditure 2018-19'!J305)+('[1]Actual Expenditure 2018-19'!J321)+('[1]Actual Expenditure 2018-19'!J335)+('[1]Actual Expenditure 2018-19'!J360)+('[1]Actual Expenditure 2018-19'!J387)+('[1]Actual Expenditure 2018-19'!J409)</f>
        <v>0</v>
      </c>
      <c r="K18" s="25">
        <f>SUM('[1]Actual Expenditure 2018-19'!K20)+('[1]Actual Expenditure 2018-19'!K47)+('[1]Actual Expenditure 2018-19'!K66)+('[1]Actual Expenditure 2018-19'!K87)+('[1]Actual Expenditure 2018-19'!K118)+('[1]Actual Expenditure 2018-19'!K138)+('[1]Actual Expenditure 2018-19'!K182)+('[1]Actual Expenditure 2018-19'!K203)+('[1]Actual Expenditure 2018-19'!K227)+('[1]Actual Expenditure 2018-19'!K246)+('[1]Actual Expenditure 2018-19'!K268)+('[1]Actual Expenditure 2018-19'!K289)+('[1]Actual Expenditure 2018-19'!K305)+('[1]Actual Expenditure 2018-19'!K321)+('[1]Actual Expenditure 2018-19'!K335)+('[1]Actual Expenditure 2018-19'!K360)+('[1]Actual Expenditure 2018-19'!K387)+('[1]Actual Expenditure 2018-19'!K409)</f>
        <v>434308</v>
      </c>
      <c r="L18" s="25">
        <v>1000000</v>
      </c>
      <c r="M18" s="52">
        <v>772043</v>
      </c>
      <c r="N18" s="25">
        <f>SUM('[1]Actual Expenditure 2018-19'!M20)+('[1]Actual Expenditure 2018-19'!M47)+('[1]Actual Expenditure 2018-19'!M66)+('[1]Actual Expenditure 2018-19'!M87)+('[1]Actual Expenditure 2018-19'!M118)+('[1]Actual Expenditure 2018-19'!M138)+('[1]Actual Expenditure 2018-19'!M182)+('[1]Actual Expenditure 2018-19'!M203)+('[1]Actual Expenditure 2018-19'!M227)+('[1]Actual Expenditure 2018-19'!M246)+('[1]Actual Expenditure 2018-19'!M268)+('[1]Actual Expenditure 2018-19'!M289)+('[1]Actual Expenditure 2018-19'!M305)+('[1]Actual Expenditure 2018-19'!M321)+('[1]Actual Expenditure 2018-19'!M335)+('[1]Actual Expenditure 2018-19'!M360)+('[1]Actual Expenditure 2018-19'!M387)+('[1]Actual Expenditure 2018-19'!M409)</f>
        <v>0</v>
      </c>
      <c r="O18" s="25">
        <f>SUM('[1]Actual Expenditure 2018-19'!N20)+('[1]Actual Expenditure 2018-19'!N47)+('[1]Actual Expenditure 2018-19'!N66)+('[1]Actual Expenditure 2018-19'!N87)+('[1]Actual Expenditure 2018-19'!N118)+('[1]Actual Expenditure 2018-19'!N138)+('[1]Actual Expenditure 2018-19'!N182)+('[1]Actual Expenditure 2018-19'!N203)+('[1]Actual Expenditure 2018-19'!N227)+('[1]Actual Expenditure 2018-19'!N246)+('[1]Actual Expenditure 2018-19'!N268)+('[1]Actual Expenditure 2018-19'!N289)+('[1]Actual Expenditure 2018-19'!N305)+('[1]Actual Expenditure 2018-19'!N321)+('[1]Actual Expenditure 2018-19'!N335)+('[1]Actual Expenditure 2018-19'!N360)+('[1]Actual Expenditure 2018-19'!N387)+('[1]Actual Expenditure 2018-19'!N409)</f>
        <v>0</v>
      </c>
      <c r="P18" s="25">
        <f>SUM('[1]Actual Expenditure 2018-19'!O20)+('[1]Actual Expenditure 2018-19'!O47)+('[1]Actual Expenditure 2018-19'!O66)+('[1]Actual Expenditure 2018-19'!O87)+('[1]Actual Expenditure 2018-19'!O118)+('[1]Actual Expenditure 2018-19'!O138)+('[1]Actual Expenditure 2018-19'!O182)+('[1]Actual Expenditure 2018-19'!O203)+('[1]Actual Expenditure 2018-19'!O227)+('[1]Actual Expenditure 2018-19'!O246)+('[1]Actual Expenditure 2018-19'!O268)+('[1]Actual Expenditure 2018-19'!O289)+('[1]Actual Expenditure 2018-19'!O305)+('[1]Actual Expenditure 2018-19'!O321)+('[1]Actual Expenditure 2018-19'!O335)+('[1]Actual Expenditure 2018-19'!O360)+('[1]Actual Expenditure 2018-19'!O387)+('[1]Actual Expenditure 2018-19'!O409)</f>
        <v>0</v>
      </c>
      <c r="Q18" s="25">
        <f>SUM('[1]Actual Expenditure 2018-19'!P20)+('[1]Actual Expenditure 2018-19'!P47)+('[1]Actual Expenditure 2018-19'!P66)+('[1]Actual Expenditure 2018-19'!P87)+('[1]Actual Expenditure 2018-19'!P118)+('[1]Actual Expenditure 2018-19'!P138)+('[1]Actual Expenditure 2018-19'!P182)+('[1]Actual Expenditure 2018-19'!P203)+('[1]Actual Expenditure 2018-19'!P227)+('[1]Actual Expenditure 2018-19'!P246)+('[1]Actual Expenditure 2018-19'!P268)+('[1]Actual Expenditure 2018-19'!P289)+('[1]Actual Expenditure 2018-19'!P305)+('[1]Actual Expenditure 2018-19'!P321)+('[1]Actual Expenditure 2018-19'!P335)+('[1]Actual Expenditure 2018-19'!P360)+('[1]Actual Expenditure 2018-19'!P387)+('[1]Actual Expenditure 2018-19'!P409)</f>
        <v>0</v>
      </c>
      <c r="R18" s="25">
        <f>SUM('[1]Actual Expenditure 2018-19'!Q20)+('[1]Actual Expenditure 2018-19'!Q47)+('[1]Actual Expenditure 2018-19'!Q66)+('[1]Actual Expenditure 2018-19'!Q87)+('[1]Actual Expenditure 2018-19'!Q118)+('[1]Actual Expenditure 2018-19'!Q138)+('[1]Actual Expenditure 2018-19'!Q182)+('[1]Actual Expenditure 2018-19'!Q203)+('[1]Actual Expenditure 2018-19'!Q227)+('[1]Actual Expenditure 2018-19'!Q246)+('[1]Actual Expenditure 2018-19'!Q268)+('[1]Actual Expenditure 2018-19'!Q289)+('[1]Actual Expenditure 2018-19'!Q305)+('[1]Actual Expenditure 2018-19'!Q321)+('[1]Actual Expenditure 2018-19'!Q335)+('[1]Actual Expenditure 2018-19'!Q360)+('[1]Actual Expenditure 2018-19'!Q387)+('[1]Actual Expenditure 2018-19'!Q409)</f>
        <v>0</v>
      </c>
      <c r="S18" s="25">
        <f>SUM('[1]Actual Expenditure 2018-19'!R20)+('[1]Actual Expenditure 2018-19'!R47)+('[1]Actual Expenditure 2018-19'!R66)+('[1]Actual Expenditure 2018-19'!R87)+('[1]Actual Expenditure 2018-19'!R118)+('[1]Actual Expenditure 2018-19'!R138)+('[1]Actual Expenditure 2018-19'!R182)+('[1]Actual Expenditure 2018-19'!R203)+('[1]Actual Expenditure 2018-19'!R227)+('[1]Actual Expenditure 2018-19'!R246)+('[1]Actual Expenditure 2018-19'!R268)+('[1]Actual Expenditure 2018-19'!R289)+('[1]Actual Expenditure 2018-19'!R305)+('[1]Actual Expenditure 2018-19'!R321)+('[1]Actual Expenditure 2018-19'!R335)+('[1]Actual Expenditure 2018-19'!R360)+('[1]Actual Expenditure 2018-19'!R387)+('[1]Actual Expenditure 2018-19'!R409)</f>
        <v>0</v>
      </c>
      <c r="T18" s="21">
        <f t="shared" si="27"/>
        <v>3.8964583333333329</v>
      </c>
      <c r="U18" s="21">
        <f t="shared" si="28"/>
        <v>0</v>
      </c>
      <c r="V18" s="21">
        <f t="shared" si="29"/>
        <v>0</v>
      </c>
      <c r="W18" s="21">
        <f t="shared" si="30"/>
        <v>0</v>
      </c>
      <c r="X18" s="21">
        <f t="shared" si="0"/>
        <v>45.240416666666668</v>
      </c>
      <c r="Y18" s="21">
        <f t="shared" si="26"/>
        <v>77.204300000000003</v>
      </c>
      <c r="Z18" s="21">
        <f t="shared" si="1"/>
        <v>0</v>
      </c>
      <c r="AA18" s="21">
        <f t="shared" si="2"/>
        <v>0</v>
      </c>
      <c r="AB18" s="21">
        <f t="shared" si="3"/>
        <v>0</v>
      </c>
      <c r="AC18" s="21">
        <f t="shared" si="4"/>
        <v>0</v>
      </c>
      <c r="AD18" s="21">
        <f t="shared" si="5"/>
        <v>0</v>
      </c>
      <c r="AE18" s="25">
        <f>SUM('[1]Actual Expenditure 2018-19'!AD20)+('[1]Actual Expenditure 2018-19'!AD47)+('[1]Actual Expenditure 2018-19'!AD66)+('[1]Actual Expenditure 2018-19'!AD87)+('[1]Actual Expenditure 2018-19'!AD118)+('[1]Actual Expenditure 2018-19'!AD138)+('[1]Actual Expenditure 2018-19'!AD182)+('[1]Actual Expenditure 2018-19'!AD203)+('[1]Actual Expenditure 2018-19'!AD227)+('[1]Actual Expenditure 2018-19'!AD246)+('[1]Actual Expenditure 2018-19'!AD268)+('[1]Actual Expenditure 2018-19'!AD289)+('[1]Actual Expenditure 2018-19'!AD305)+('[1]Actual Expenditure 2018-19'!AD321)+('[1]Actual Expenditure 2018-19'!AD335)+('[1]Actual Expenditure 2018-19'!AD360)+('[1]Actual Expenditure 2018-19'!AD387)+('[1]Actual Expenditure 2018-19'!AD409)</f>
        <v>0</v>
      </c>
      <c r="AF18" s="21" t="e">
        <f t="shared" si="6"/>
        <v>#DIV/0!</v>
      </c>
      <c r="AG18" s="21" t="e">
        <f t="shared" si="7"/>
        <v>#DIV/0!</v>
      </c>
      <c r="AH18" s="21" t="e">
        <f t="shared" si="8"/>
        <v>#DIV/0!</v>
      </c>
      <c r="AI18" s="21" t="e">
        <f t="shared" si="9"/>
        <v>#DIV/0!</v>
      </c>
      <c r="AJ18" s="25">
        <v>44414</v>
      </c>
      <c r="AK18" s="21">
        <f t="shared" si="10"/>
        <v>4.9348888888888887</v>
      </c>
      <c r="AL18" s="25">
        <v>159802</v>
      </c>
      <c r="AM18" s="21">
        <f t="shared" si="11"/>
        <v>17.75577777777778</v>
      </c>
      <c r="AN18" s="25">
        <v>239052</v>
      </c>
      <c r="AO18" s="21">
        <f t="shared" si="12"/>
        <v>26.56133333333333</v>
      </c>
      <c r="AP18" s="25">
        <v>327336</v>
      </c>
      <c r="AQ18" s="21">
        <f t="shared" si="13"/>
        <v>36.370666666666665</v>
      </c>
      <c r="AR18" s="51">
        <v>401819</v>
      </c>
      <c r="AS18" s="21">
        <f t="shared" si="14"/>
        <v>44.646555555555558</v>
      </c>
      <c r="AT18" s="25">
        <v>465295</v>
      </c>
      <c r="AU18" s="21">
        <f t="shared" si="15"/>
        <v>51.699444444444445</v>
      </c>
      <c r="AV18" s="52">
        <v>533719</v>
      </c>
      <c r="AW18" s="21">
        <f t="shared" si="16"/>
        <v>59.30211111111111</v>
      </c>
      <c r="AX18" s="52">
        <v>576181</v>
      </c>
      <c r="AY18" s="21">
        <f t="shared" si="17"/>
        <v>64.020111111111106</v>
      </c>
      <c r="AZ18" s="52">
        <v>632002</v>
      </c>
      <c r="BA18" s="21">
        <f t="shared" si="18"/>
        <v>70.222444444444449</v>
      </c>
      <c r="BB18" s="21">
        <f t="shared" si="19"/>
        <v>68.695869565217393</v>
      </c>
      <c r="BC18" s="52">
        <v>683470</v>
      </c>
      <c r="BD18" s="21">
        <f t="shared" si="20"/>
        <v>75.941111111111113</v>
      </c>
      <c r="BE18" s="21">
        <f t="shared" si="21"/>
        <v>74.290217391304353</v>
      </c>
      <c r="BF18" s="52">
        <v>766966</v>
      </c>
      <c r="BG18" s="21">
        <f t="shared" si="22"/>
        <v>85.218444444444444</v>
      </c>
      <c r="BH18" s="21">
        <f t="shared" si="23"/>
        <v>83.365869565217395</v>
      </c>
      <c r="BI18" s="52">
        <v>0</v>
      </c>
      <c r="BJ18" s="21">
        <f t="shared" si="24"/>
        <v>0</v>
      </c>
      <c r="BK18" s="21">
        <f t="shared" si="25"/>
        <v>0</v>
      </c>
    </row>
    <row r="19" spans="1:63" ht="18" x14ac:dyDescent="0.4">
      <c r="A19" s="25">
        <f>SUM('[1]Actual Expenditure 2018-19'!A21)+('[1]Actual Expenditure 2018-19'!A48)+('[1]Actual Expenditure 2018-19'!A88)+('[1]Actual Expenditure 2018-19'!A119)+('[1]Actual Expenditure 2018-19'!A139)+('[1]Actual Expenditure 2018-19'!A183)+('[1]Actual Expenditure 2018-19'!A204)+('[1]Actual Expenditure 2018-19'!A228)+('[1]Actual Expenditure 2018-19'!A247)+('[1]Actual Expenditure 2018-19'!A269)+('[1]Actual Expenditure 2018-19'!A322)+('[1]Actual Expenditure 2018-19'!A336)+('[1]Actual Expenditure 2018-19'!A361)+('[1]Actual Expenditure 2018-19'!A410)</f>
        <v>50000</v>
      </c>
      <c r="B19" s="25">
        <f>SUM('[1]Actual Expenditure 2018-19'!B21)+('[1]Actual Expenditure 2018-19'!B48)+('[1]Actual Expenditure 2018-19'!B88)+('[1]Actual Expenditure 2018-19'!B119)+('[1]Actual Expenditure 2018-19'!B139)+('[1]Actual Expenditure 2018-19'!B183)+('[1]Actual Expenditure 2018-19'!B204)+('[1]Actual Expenditure 2018-19'!B228)+('[1]Actual Expenditure 2018-19'!B247)+('[1]Actual Expenditure 2018-19'!B269)+('[1]Actual Expenditure 2018-19'!B322)+('[1]Actual Expenditure 2018-19'!B336)+('[1]Actual Expenditure 2018-19'!B361)+('[1]Actual Expenditure 2018-19'!B410)</f>
        <v>50000</v>
      </c>
      <c r="C19" s="9">
        <v>12</v>
      </c>
      <c r="D19" s="25" t="s">
        <v>73</v>
      </c>
      <c r="E19" s="25">
        <f>SUM('[1]Actual Expenditure 2018-19'!E21)+('[1]Actual Expenditure 2018-19'!E48)+('[1]Actual Expenditure 2018-19'!E88)+('[1]Actual Expenditure 2018-19'!E119)+('[1]Actual Expenditure 2018-19'!E139)+('[1]Actual Expenditure 2018-19'!E183)+('[1]Actual Expenditure 2018-19'!E204)+('[1]Actual Expenditure 2018-19'!E228)+('[1]Actual Expenditure 2018-19'!E247)+('[1]Actual Expenditure 2018-19'!E269)+('[1]Actual Expenditure 2018-19'!E322)+('[1]Actual Expenditure 2018-19'!E336)+('[1]Actual Expenditure 2018-19'!E361)+('[1]Actual Expenditure 2018-19'!E410)</f>
        <v>55000</v>
      </c>
      <c r="F19" s="25">
        <f>SUM('[1]Actual Expenditure 2018-19'!F21)+('[1]Actual Expenditure 2018-19'!F48)+('[1]Actual Expenditure 2018-19'!F88)+('[1]Actual Expenditure 2018-19'!F119)+('[1]Actual Expenditure 2018-19'!F139)+('[1]Actual Expenditure 2018-19'!F183)+('[1]Actual Expenditure 2018-19'!F204)+('[1]Actual Expenditure 2018-19'!F228)+('[1]Actual Expenditure 2018-19'!F247)+('[1]Actual Expenditure 2018-19'!F269)+('[1]Actual Expenditure 2018-19'!F322)+('[1]Actual Expenditure 2018-19'!F336)+('[1]Actual Expenditure 2018-19'!F361)+('[1]Actual Expenditure 2018-19'!F410)</f>
        <v>0</v>
      </c>
      <c r="G19" s="25">
        <f>SUM('[1]Actual Expenditure 2018-19'!G21)+('[1]Actual Expenditure 2018-19'!G48)+('[1]Actual Expenditure 2018-19'!G88)+('[1]Actual Expenditure 2018-19'!G119)+('[1]Actual Expenditure 2018-19'!G139)+('[1]Actual Expenditure 2018-19'!G183)+('[1]Actual Expenditure 2018-19'!G204)+('[1]Actual Expenditure 2018-19'!G228)+('[1]Actual Expenditure 2018-19'!G247)+('[1]Actual Expenditure 2018-19'!G269)+('[1]Actual Expenditure 2018-19'!G322)+('[1]Actual Expenditure 2018-19'!G336)+('[1]Actual Expenditure 2018-19'!G361)+('[1]Actual Expenditure 2018-19'!G410)</f>
        <v>116</v>
      </c>
      <c r="H19" s="25">
        <f>SUM('[1]Actual Expenditure 2018-19'!H21)+('[1]Actual Expenditure 2018-19'!H48)+('[1]Actual Expenditure 2018-19'!H88)+('[1]Actual Expenditure 2018-19'!H119)+('[1]Actual Expenditure 2018-19'!H139)+('[1]Actual Expenditure 2018-19'!H183)+('[1]Actual Expenditure 2018-19'!H204)+('[1]Actual Expenditure 2018-19'!H228)+('[1]Actual Expenditure 2018-19'!H247)+('[1]Actual Expenditure 2018-19'!H269)+('[1]Actual Expenditure 2018-19'!H322)+('[1]Actual Expenditure 2018-19'!H336)+('[1]Actual Expenditure 2018-19'!H361)+('[1]Actual Expenditure 2018-19'!H410)</f>
        <v>0</v>
      </c>
      <c r="I19" s="25">
        <f>SUM('[1]Actual Expenditure 2018-19'!I21)+('[1]Actual Expenditure 2018-19'!I48)+('[1]Actual Expenditure 2018-19'!I88)+('[1]Actual Expenditure 2018-19'!I119)+('[1]Actual Expenditure 2018-19'!I139)+('[1]Actual Expenditure 2018-19'!I183)+('[1]Actual Expenditure 2018-19'!I204)+('[1]Actual Expenditure 2018-19'!I228)+('[1]Actual Expenditure 2018-19'!I247)+('[1]Actual Expenditure 2018-19'!I269)+('[1]Actual Expenditure 2018-19'!I322)+('[1]Actual Expenditure 2018-19'!I336)+('[1]Actual Expenditure 2018-19'!I361)+('[1]Actual Expenditure 2018-19'!I410)</f>
        <v>0</v>
      </c>
      <c r="J19" s="25">
        <f>SUM('[1]Actual Expenditure 2018-19'!J21)+('[1]Actual Expenditure 2018-19'!J48)+('[1]Actual Expenditure 2018-19'!J88)+('[1]Actual Expenditure 2018-19'!J119)+('[1]Actual Expenditure 2018-19'!J139)+('[1]Actual Expenditure 2018-19'!J183)+('[1]Actual Expenditure 2018-19'!J204)+('[1]Actual Expenditure 2018-19'!J228)+('[1]Actual Expenditure 2018-19'!J247)+('[1]Actual Expenditure 2018-19'!J269)+('[1]Actual Expenditure 2018-19'!J322)+('[1]Actual Expenditure 2018-19'!J336)+('[1]Actual Expenditure 2018-19'!J361)+('[1]Actual Expenditure 2018-19'!J410)</f>
        <v>0</v>
      </c>
      <c r="K19" s="25">
        <f>SUM('[1]Actual Expenditure 2018-19'!K21)+('[1]Actual Expenditure 2018-19'!K48)+('[1]Actual Expenditure 2018-19'!K88)+('[1]Actual Expenditure 2018-19'!K119)+('[1]Actual Expenditure 2018-19'!K139)+('[1]Actual Expenditure 2018-19'!K183)+('[1]Actual Expenditure 2018-19'!K204)+('[1]Actual Expenditure 2018-19'!K228)+('[1]Actual Expenditure 2018-19'!K247)+('[1]Actual Expenditure 2018-19'!K269)+('[1]Actual Expenditure 2018-19'!K322)+('[1]Actual Expenditure 2018-19'!K336)+('[1]Actual Expenditure 2018-19'!K361)+('[1]Actual Expenditure 2018-19'!K410)</f>
        <v>5744</v>
      </c>
      <c r="L19" s="25">
        <v>37500</v>
      </c>
      <c r="M19" s="52">
        <v>11499</v>
      </c>
      <c r="N19" s="25">
        <f>SUM('[1]Actual Expenditure 2018-19'!M21)+('[1]Actual Expenditure 2018-19'!M48)+('[1]Actual Expenditure 2018-19'!M88)+('[1]Actual Expenditure 2018-19'!M119)+('[1]Actual Expenditure 2018-19'!M139)+('[1]Actual Expenditure 2018-19'!M183)+('[1]Actual Expenditure 2018-19'!M204)+('[1]Actual Expenditure 2018-19'!M228)+('[1]Actual Expenditure 2018-19'!M247)+('[1]Actual Expenditure 2018-19'!M269)+('[1]Actual Expenditure 2018-19'!M322)+('[1]Actual Expenditure 2018-19'!M336)+('[1]Actual Expenditure 2018-19'!M361)+('[1]Actual Expenditure 2018-19'!M410)</f>
        <v>0</v>
      </c>
      <c r="O19" s="25">
        <f>SUM('[1]Actual Expenditure 2018-19'!N21)+('[1]Actual Expenditure 2018-19'!N48)+('[1]Actual Expenditure 2018-19'!N88)+('[1]Actual Expenditure 2018-19'!N119)+('[1]Actual Expenditure 2018-19'!N139)+('[1]Actual Expenditure 2018-19'!N183)+('[1]Actual Expenditure 2018-19'!N204)+('[1]Actual Expenditure 2018-19'!N228)+('[1]Actual Expenditure 2018-19'!N247)+('[1]Actual Expenditure 2018-19'!N269)+('[1]Actual Expenditure 2018-19'!N322)+('[1]Actual Expenditure 2018-19'!N336)+('[1]Actual Expenditure 2018-19'!N361)+('[1]Actual Expenditure 2018-19'!N410)</f>
        <v>0</v>
      </c>
      <c r="P19" s="25">
        <f>SUM('[1]Actual Expenditure 2018-19'!O21)+('[1]Actual Expenditure 2018-19'!O48)+('[1]Actual Expenditure 2018-19'!O88)+('[1]Actual Expenditure 2018-19'!O119)+('[1]Actual Expenditure 2018-19'!O139)+('[1]Actual Expenditure 2018-19'!O183)+('[1]Actual Expenditure 2018-19'!O204)+('[1]Actual Expenditure 2018-19'!O228)+('[1]Actual Expenditure 2018-19'!O247)+('[1]Actual Expenditure 2018-19'!O269)+('[1]Actual Expenditure 2018-19'!O322)+('[1]Actual Expenditure 2018-19'!O336)+('[1]Actual Expenditure 2018-19'!O361)+('[1]Actual Expenditure 2018-19'!O410)</f>
        <v>0</v>
      </c>
      <c r="Q19" s="25">
        <f>SUM('[1]Actual Expenditure 2018-19'!P21)+('[1]Actual Expenditure 2018-19'!P48)+('[1]Actual Expenditure 2018-19'!P88)+('[1]Actual Expenditure 2018-19'!P119)+('[1]Actual Expenditure 2018-19'!P139)+('[1]Actual Expenditure 2018-19'!P183)+('[1]Actual Expenditure 2018-19'!P204)+('[1]Actual Expenditure 2018-19'!P228)+('[1]Actual Expenditure 2018-19'!P247)+('[1]Actual Expenditure 2018-19'!P269)+('[1]Actual Expenditure 2018-19'!P322)+('[1]Actual Expenditure 2018-19'!P336)+('[1]Actual Expenditure 2018-19'!P361)+('[1]Actual Expenditure 2018-19'!P410)</f>
        <v>0</v>
      </c>
      <c r="R19" s="25">
        <f>SUM('[1]Actual Expenditure 2018-19'!Q21)+('[1]Actual Expenditure 2018-19'!Q48)+('[1]Actual Expenditure 2018-19'!Q88)+('[1]Actual Expenditure 2018-19'!Q119)+('[1]Actual Expenditure 2018-19'!Q139)+('[1]Actual Expenditure 2018-19'!Q183)+('[1]Actual Expenditure 2018-19'!Q204)+('[1]Actual Expenditure 2018-19'!Q228)+('[1]Actual Expenditure 2018-19'!Q247)+('[1]Actual Expenditure 2018-19'!Q269)+('[1]Actual Expenditure 2018-19'!Q322)+('[1]Actual Expenditure 2018-19'!Q336)+('[1]Actual Expenditure 2018-19'!Q361)+('[1]Actual Expenditure 2018-19'!Q410)</f>
        <v>0</v>
      </c>
      <c r="S19" s="25">
        <f>SUM('[1]Actual Expenditure 2018-19'!R21)+('[1]Actual Expenditure 2018-19'!R48)+('[1]Actual Expenditure 2018-19'!R88)+('[1]Actual Expenditure 2018-19'!R119)+('[1]Actual Expenditure 2018-19'!R139)+('[1]Actual Expenditure 2018-19'!R183)+('[1]Actual Expenditure 2018-19'!R204)+('[1]Actual Expenditure 2018-19'!R228)+('[1]Actual Expenditure 2018-19'!R247)+('[1]Actual Expenditure 2018-19'!R269)+('[1]Actual Expenditure 2018-19'!R322)+('[1]Actual Expenditure 2018-19'!R336)+('[1]Actual Expenditure 2018-19'!R361)+('[1]Actual Expenditure 2018-19'!R410)</f>
        <v>0</v>
      </c>
      <c r="T19" s="21">
        <f t="shared" si="27"/>
        <v>0.21090909090909091</v>
      </c>
      <c r="U19" s="21">
        <f t="shared" si="28"/>
        <v>0</v>
      </c>
      <c r="V19" s="21">
        <f t="shared" si="29"/>
        <v>0</v>
      </c>
      <c r="W19" s="21">
        <f t="shared" si="30"/>
        <v>0</v>
      </c>
      <c r="X19" s="21">
        <f t="shared" si="0"/>
        <v>10.443636363636363</v>
      </c>
      <c r="Y19" s="21">
        <f t="shared" si="26"/>
        <v>30.664000000000001</v>
      </c>
      <c r="Z19" s="21">
        <f t="shared" ref="Z19:Z28" si="31">N19/E19*100</f>
        <v>0</v>
      </c>
      <c r="AA19" s="21">
        <f t="shared" ref="AA19:AA28" si="32">O19/E19*100</f>
        <v>0</v>
      </c>
      <c r="AB19" s="21">
        <f t="shared" ref="AB19:AB28" si="33">P19/E19*100</f>
        <v>0</v>
      </c>
      <c r="AC19" s="21">
        <f t="shared" ref="AC19:AC28" si="34">Q19/E19*100</f>
        <v>0</v>
      </c>
      <c r="AD19" s="21">
        <f t="shared" ref="AD19:AD28" si="35">R19/E19*100</f>
        <v>0</v>
      </c>
      <c r="AE19" s="21">
        <f t="shared" ref="AE19:AE28" si="36">S19/E19*100</f>
        <v>0</v>
      </c>
      <c r="AF19" s="21" t="e">
        <f t="shared" si="6"/>
        <v>#DIV/0!</v>
      </c>
      <c r="AG19" s="21" t="e">
        <f t="shared" si="7"/>
        <v>#DIV/0!</v>
      </c>
      <c r="AH19" s="21" t="e">
        <f t="shared" si="8"/>
        <v>#DIV/0!</v>
      </c>
      <c r="AI19" s="21" t="e">
        <f t="shared" si="9"/>
        <v>#DIV/0!</v>
      </c>
      <c r="AJ19" s="25">
        <v>804</v>
      </c>
      <c r="AK19" s="21">
        <f t="shared" si="10"/>
        <v>1.6080000000000001</v>
      </c>
      <c r="AL19" s="25">
        <v>1986</v>
      </c>
      <c r="AM19" s="21">
        <f t="shared" si="11"/>
        <v>3.972</v>
      </c>
      <c r="AN19" s="25">
        <v>2192</v>
      </c>
      <c r="AO19" s="21">
        <f t="shared" si="12"/>
        <v>4.3839999999999995</v>
      </c>
      <c r="AP19" s="25">
        <v>4023</v>
      </c>
      <c r="AQ19" s="21">
        <f t="shared" si="13"/>
        <v>8.0460000000000012</v>
      </c>
      <c r="AR19" s="51">
        <v>5458</v>
      </c>
      <c r="AS19" s="21">
        <f t="shared" si="14"/>
        <v>10.915999999999999</v>
      </c>
      <c r="AT19" s="25">
        <v>6170</v>
      </c>
      <c r="AU19" s="21">
        <f t="shared" si="15"/>
        <v>12.34</v>
      </c>
      <c r="AV19" s="52">
        <v>7797</v>
      </c>
      <c r="AW19" s="21">
        <f t="shared" si="16"/>
        <v>15.593999999999999</v>
      </c>
      <c r="AX19" s="52">
        <v>8187</v>
      </c>
      <c r="AY19" s="21">
        <f t="shared" si="17"/>
        <v>16.373999999999999</v>
      </c>
      <c r="AZ19" s="52">
        <v>9301</v>
      </c>
      <c r="BA19" s="21">
        <f t="shared" si="18"/>
        <v>18.602</v>
      </c>
      <c r="BB19" s="21">
        <f t="shared" si="19"/>
        <v>18.602</v>
      </c>
      <c r="BC19" s="52">
        <v>10632</v>
      </c>
      <c r="BD19" s="21">
        <f t="shared" si="20"/>
        <v>21.263999999999999</v>
      </c>
      <c r="BE19" s="21">
        <f t="shared" si="21"/>
        <v>21.263999999999999</v>
      </c>
      <c r="BF19" s="52">
        <v>16875</v>
      </c>
      <c r="BG19" s="21">
        <f t="shared" si="22"/>
        <v>33.75</v>
      </c>
      <c r="BH19" s="21">
        <f t="shared" si="23"/>
        <v>33.75</v>
      </c>
      <c r="BI19" s="52">
        <v>0</v>
      </c>
      <c r="BJ19" s="21">
        <f t="shared" si="24"/>
        <v>0</v>
      </c>
      <c r="BK19" s="21">
        <f t="shared" si="25"/>
        <v>0</v>
      </c>
    </row>
    <row r="20" spans="1:63" ht="18" x14ac:dyDescent="0.4">
      <c r="A20" s="25">
        <f>SUM('[1]Actual Expenditure 2018-19'!A22)+('[1]Actual Expenditure 2018-19'!A49)+('[1]Actual Expenditure 2018-19'!A67)+('[1]Actual Expenditure 2018-19'!A89)+('[1]Actual Expenditure 2018-19'!A120)+('[1]Actual Expenditure 2018-19'!A140)+('[1]Actual Expenditure 2018-19'!A184)+('[1]Actual Expenditure 2018-19'!A205)+('[1]Actual Expenditure 2018-19'!A229)+('[1]Actual Expenditure 2018-19'!A248)+('[1]Actual Expenditure 2018-19'!A270)+('[1]Actual Expenditure 2018-19'!A290)+('[1]Actual Expenditure 2018-19'!A306)+('[1]Actual Expenditure 2018-19'!A323)+('[1]Actual Expenditure 2018-19'!A337)+('[1]Actual Expenditure 2018-19'!A362)+('[1]Actual Expenditure 2018-19'!A388)+('[1]Actual Expenditure 2018-19'!A411)</f>
        <v>6300000</v>
      </c>
      <c r="B20" s="25">
        <f>SUM('[1]Actual Expenditure 2018-19'!B22)+('[1]Actual Expenditure 2018-19'!B49)+('[1]Actual Expenditure 2018-19'!B67)+('[1]Actual Expenditure 2018-19'!B89)+('[1]Actual Expenditure 2018-19'!B120)+('[1]Actual Expenditure 2018-19'!B140)+('[1]Actual Expenditure 2018-19'!B184)+('[1]Actual Expenditure 2018-19'!B205)+('[1]Actual Expenditure 2018-19'!B229)+('[1]Actual Expenditure 2018-19'!B248)+('[1]Actual Expenditure 2018-19'!B270)+('[1]Actual Expenditure 2018-19'!B290)+('[1]Actual Expenditure 2018-19'!B306)+('[1]Actual Expenditure 2018-19'!B323)+('[1]Actual Expenditure 2018-19'!B337)+('[1]Actual Expenditure 2018-19'!B362)+('[1]Actual Expenditure 2018-19'!B388)+('[1]Actual Expenditure 2018-19'!B411)</f>
        <v>6300000</v>
      </c>
      <c r="C20" s="9">
        <v>13</v>
      </c>
      <c r="D20" s="25" t="s">
        <v>74</v>
      </c>
      <c r="E20" s="25">
        <f>SUM('[1]Actual Expenditure 2018-19'!E22)+('[1]Actual Expenditure 2018-19'!E49)+('[1]Actual Expenditure 2018-19'!E67)+('[1]Actual Expenditure 2018-19'!E89)+('[1]Actual Expenditure 2018-19'!E120)+('[1]Actual Expenditure 2018-19'!E140)+('[1]Actual Expenditure 2018-19'!E184)+('[1]Actual Expenditure 2018-19'!E205)+('[1]Actual Expenditure 2018-19'!E229)+('[1]Actual Expenditure 2018-19'!E248)+('[1]Actual Expenditure 2018-19'!E270)+('[1]Actual Expenditure 2018-19'!E290)+('[1]Actual Expenditure 2018-19'!E306)+('[1]Actual Expenditure 2018-19'!E323)+('[1]Actual Expenditure 2018-19'!E337)+('[1]Actual Expenditure 2018-19'!E362)+('[1]Actual Expenditure 2018-19'!E388)+('[1]Actual Expenditure 2018-19'!E411)</f>
        <v>5740000</v>
      </c>
      <c r="F20" s="25">
        <f>SUM('[1]Actual Expenditure 2018-19'!F22)+('[1]Actual Expenditure 2018-19'!F49)+('[1]Actual Expenditure 2018-19'!F67)+('[1]Actual Expenditure 2018-19'!F89)+('[1]Actual Expenditure 2018-19'!F120)+('[1]Actual Expenditure 2018-19'!F140)+('[1]Actual Expenditure 2018-19'!F184)+('[1]Actual Expenditure 2018-19'!F205)+('[1]Actual Expenditure 2018-19'!F229)+('[1]Actual Expenditure 2018-19'!F248)+('[1]Actual Expenditure 2018-19'!F270)+('[1]Actual Expenditure 2018-19'!F290)+('[1]Actual Expenditure 2018-19'!F306)+('[1]Actual Expenditure 2018-19'!F323)+('[1]Actual Expenditure 2018-19'!F337)+('[1]Actual Expenditure 2018-19'!F362)+('[1]Actual Expenditure 2018-19'!F388)+('[1]Actual Expenditure 2018-19'!F411)</f>
        <v>0</v>
      </c>
      <c r="G20" s="25">
        <f>SUM('[1]Actual Expenditure 2018-19'!G22)+('[1]Actual Expenditure 2018-19'!G49)+('[1]Actual Expenditure 2018-19'!G67)+('[1]Actual Expenditure 2018-19'!G89)+('[1]Actual Expenditure 2018-19'!G120)+('[1]Actual Expenditure 2018-19'!G140)+('[1]Actual Expenditure 2018-19'!G184)+('[1]Actual Expenditure 2018-19'!G205)+('[1]Actual Expenditure 2018-19'!G229)+('[1]Actual Expenditure 2018-19'!G248)+('[1]Actual Expenditure 2018-19'!G270)+('[1]Actual Expenditure 2018-19'!G290)+('[1]Actual Expenditure 2018-19'!G306)+('[1]Actual Expenditure 2018-19'!G323)+('[1]Actual Expenditure 2018-19'!G337)+('[1]Actual Expenditure 2018-19'!G362)+('[1]Actual Expenditure 2018-19'!G388)+('[1]Actual Expenditure 2018-19'!G411)</f>
        <v>204280</v>
      </c>
      <c r="H20" s="25">
        <f>SUM('[1]Actual Expenditure 2018-19'!H22)+('[1]Actual Expenditure 2018-19'!H49)+('[1]Actual Expenditure 2018-19'!H67)+('[1]Actual Expenditure 2018-19'!H89)+('[1]Actual Expenditure 2018-19'!H120)+('[1]Actual Expenditure 2018-19'!H140)+('[1]Actual Expenditure 2018-19'!H184)+('[1]Actual Expenditure 2018-19'!H205)+('[1]Actual Expenditure 2018-19'!H229)+('[1]Actual Expenditure 2018-19'!H248)+('[1]Actual Expenditure 2018-19'!H270)+('[1]Actual Expenditure 2018-19'!H290)+('[1]Actual Expenditure 2018-19'!H306)+('[1]Actual Expenditure 2018-19'!H323)+('[1]Actual Expenditure 2018-19'!H337)+('[1]Actual Expenditure 2018-19'!H362)+('[1]Actual Expenditure 2018-19'!H388)+('[1]Actual Expenditure 2018-19'!H411)</f>
        <v>0</v>
      </c>
      <c r="I20" s="25">
        <f>SUM('[1]Actual Expenditure 2018-19'!I22)+('[1]Actual Expenditure 2018-19'!I49)+('[1]Actual Expenditure 2018-19'!I67)+('[1]Actual Expenditure 2018-19'!I89)+('[1]Actual Expenditure 2018-19'!I120)+('[1]Actual Expenditure 2018-19'!I140)+('[1]Actual Expenditure 2018-19'!I184)+('[1]Actual Expenditure 2018-19'!I205)+('[1]Actual Expenditure 2018-19'!I229)+('[1]Actual Expenditure 2018-19'!I248)+('[1]Actual Expenditure 2018-19'!I270)+('[1]Actual Expenditure 2018-19'!I290)+('[1]Actual Expenditure 2018-19'!I306)+('[1]Actual Expenditure 2018-19'!I323)+('[1]Actual Expenditure 2018-19'!I337)+('[1]Actual Expenditure 2018-19'!I362)+('[1]Actual Expenditure 2018-19'!I388)+('[1]Actual Expenditure 2018-19'!I411)</f>
        <v>0</v>
      </c>
      <c r="J20" s="25">
        <f>SUM('[1]Actual Expenditure 2018-19'!J22)+('[1]Actual Expenditure 2018-19'!J49)+('[1]Actual Expenditure 2018-19'!J67)+('[1]Actual Expenditure 2018-19'!J89)+('[1]Actual Expenditure 2018-19'!J120)+('[1]Actual Expenditure 2018-19'!J140)+('[1]Actual Expenditure 2018-19'!J184)+('[1]Actual Expenditure 2018-19'!J205)+('[1]Actual Expenditure 2018-19'!J229)+('[1]Actual Expenditure 2018-19'!J248)+('[1]Actual Expenditure 2018-19'!J270)+('[1]Actual Expenditure 2018-19'!J290)+('[1]Actual Expenditure 2018-19'!J306)+('[1]Actual Expenditure 2018-19'!J323)+('[1]Actual Expenditure 2018-19'!J337)+('[1]Actual Expenditure 2018-19'!J362)+('[1]Actual Expenditure 2018-19'!J388)+('[1]Actual Expenditure 2018-19'!J411)</f>
        <v>0</v>
      </c>
      <c r="K20" s="25">
        <f>SUM('[1]Actual Expenditure 2018-19'!K22)+('[1]Actual Expenditure 2018-19'!K49)+('[1]Actual Expenditure 2018-19'!K67)+('[1]Actual Expenditure 2018-19'!K89)+('[1]Actual Expenditure 2018-19'!K120)+('[1]Actual Expenditure 2018-19'!K140)+('[1]Actual Expenditure 2018-19'!K184)+('[1]Actual Expenditure 2018-19'!K205)+('[1]Actual Expenditure 2018-19'!K229)+('[1]Actual Expenditure 2018-19'!K248)+('[1]Actual Expenditure 2018-19'!K270)+('[1]Actual Expenditure 2018-19'!K290)+('[1]Actual Expenditure 2018-19'!K306)+('[1]Actual Expenditure 2018-19'!K323)+('[1]Actual Expenditure 2018-19'!K337)+('[1]Actual Expenditure 2018-19'!K362)+('[1]Actual Expenditure 2018-19'!K388)+('[1]Actual Expenditure 2018-19'!K411)</f>
        <v>2326195</v>
      </c>
      <c r="L20" s="25">
        <v>6073000</v>
      </c>
      <c r="M20" s="52">
        <v>4473318</v>
      </c>
      <c r="N20" s="25">
        <f>SUM('[1]Actual Expenditure 2018-19'!M22)+('[1]Actual Expenditure 2018-19'!M49)+('[1]Actual Expenditure 2018-19'!M67)+('[1]Actual Expenditure 2018-19'!M89)+('[1]Actual Expenditure 2018-19'!M120)+('[1]Actual Expenditure 2018-19'!M140)+('[1]Actual Expenditure 2018-19'!M184)+('[1]Actual Expenditure 2018-19'!M205)+('[1]Actual Expenditure 2018-19'!M229)+('[1]Actual Expenditure 2018-19'!M248)+('[1]Actual Expenditure 2018-19'!M270)+('[1]Actual Expenditure 2018-19'!M290)+('[1]Actual Expenditure 2018-19'!M306)+('[1]Actual Expenditure 2018-19'!M323)+('[1]Actual Expenditure 2018-19'!M337)+('[1]Actual Expenditure 2018-19'!M362)+('[1]Actual Expenditure 2018-19'!M388)+('[1]Actual Expenditure 2018-19'!M411)</f>
        <v>0</v>
      </c>
      <c r="O20" s="25">
        <f>SUM('[1]Actual Expenditure 2018-19'!N22)+('[1]Actual Expenditure 2018-19'!N49)+('[1]Actual Expenditure 2018-19'!N67)+('[1]Actual Expenditure 2018-19'!N89)+('[1]Actual Expenditure 2018-19'!N120)+('[1]Actual Expenditure 2018-19'!N140)+('[1]Actual Expenditure 2018-19'!N184)+('[1]Actual Expenditure 2018-19'!N205)+('[1]Actual Expenditure 2018-19'!N229)+('[1]Actual Expenditure 2018-19'!N248)+('[1]Actual Expenditure 2018-19'!N270)+('[1]Actual Expenditure 2018-19'!N290)+('[1]Actual Expenditure 2018-19'!N306)+('[1]Actual Expenditure 2018-19'!N323)+('[1]Actual Expenditure 2018-19'!N337)+('[1]Actual Expenditure 2018-19'!N362)+('[1]Actual Expenditure 2018-19'!N388)+('[1]Actual Expenditure 2018-19'!N411)</f>
        <v>0</v>
      </c>
      <c r="P20" s="25">
        <f>SUM('[1]Actual Expenditure 2018-19'!O22)+('[1]Actual Expenditure 2018-19'!O49)+('[1]Actual Expenditure 2018-19'!O67)+('[1]Actual Expenditure 2018-19'!O89)+('[1]Actual Expenditure 2018-19'!O120)+('[1]Actual Expenditure 2018-19'!O140)+('[1]Actual Expenditure 2018-19'!O184)+('[1]Actual Expenditure 2018-19'!O205)+('[1]Actual Expenditure 2018-19'!O229)+('[1]Actual Expenditure 2018-19'!O248)+('[1]Actual Expenditure 2018-19'!O270)+('[1]Actual Expenditure 2018-19'!O290)+('[1]Actual Expenditure 2018-19'!O306)+('[1]Actual Expenditure 2018-19'!O323)+('[1]Actual Expenditure 2018-19'!O337)+('[1]Actual Expenditure 2018-19'!O362)+('[1]Actual Expenditure 2018-19'!O388)+('[1]Actual Expenditure 2018-19'!O411)</f>
        <v>0</v>
      </c>
      <c r="Q20" s="25">
        <f>SUM('[1]Actual Expenditure 2018-19'!P22)+('[1]Actual Expenditure 2018-19'!P49)+('[1]Actual Expenditure 2018-19'!P67)+('[1]Actual Expenditure 2018-19'!P89)+('[1]Actual Expenditure 2018-19'!P120)+('[1]Actual Expenditure 2018-19'!P140)+('[1]Actual Expenditure 2018-19'!P184)+('[1]Actual Expenditure 2018-19'!P205)+('[1]Actual Expenditure 2018-19'!P229)+('[1]Actual Expenditure 2018-19'!P248)+('[1]Actual Expenditure 2018-19'!P270)+('[1]Actual Expenditure 2018-19'!P290)+('[1]Actual Expenditure 2018-19'!P306)+('[1]Actual Expenditure 2018-19'!P323)+('[1]Actual Expenditure 2018-19'!P337)+('[1]Actual Expenditure 2018-19'!P362)+('[1]Actual Expenditure 2018-19'!P388)+('[1]Actual Expenditure 2018-19'!P411)</f>
        <v>0</v>
      </c>
      <c r="R20" s="25">
        <f>SUM('[1]Actual Expenditure 2018-19'!Q22)+('[1]Actual Expenditure 2018-19'!Q49)+('[1]Actual Expenditure 2018-19'!Q67)+('[1]Actual Expenditure 2018-19'!Q89)+('[1]Actual Expenditure 2018-19'!Q120)+('[1]Actual Expenditure 2018-19'!Q140)+('[1]Actual Expenditure 2018-19'!Q184)+('[1]Actual Expenditure 2018-19'!Q205)+('[1]Actual Expenditure 2018-19'!Q229)+('[1]Actual Expenditure 2018-19'!Q248)+('[1]Actual Expenditure 2018-19'!Q270)+('[1]Actual Expenditure 2018-19'!Q290)+('[1]Actual Expenditure 2018-19'!Q306)+('[1]Actual Expenditure 2018-19'!Q323)+('[1]Actual Expenditure 2018-19'!Q337)+('[1]Actual Expenditure 2018-19'!Q362)+('[1]Actual Expenditure 2018-19'!Q388)+('[1]Actual Expenditure 2018-19'!Q411)</f>
        <v>0</v>
      </c>
      <c r="S20" s="25">
        <f>SUM('[1]Actual Expenditure 2018-19'!R22)+('[1]Actual Expenditure 2018-19'!R49)+('[1]Actual Expenditure 2018-19'!R67)+('[1]Actual Expenditure 2018-19'!R89)+('[1]Actual Expenditure 2018-19'!R120)+('[1]Actual Expenditure 2018-19'!R140)+('[1]Actual Expenditure 2018-19'!R184)+('[1]Actual Expenditure 2018-19'!R205)+('[1]Actual Expenditure 2018-19'!R229)+('[1]Actual Expenditure 2018-19'!R248)+('[1]Actual Expenditure 2018-19'!R270)+('[1]Actual Expenditure 2018-19'!R290)+('[1]Actual Expenditure 2018-19'!R306)+('[1]Actual Expenditure 2018-19'!R323)+('[1]Actual Expenditure 2018-19'!R337)+('[1]Actual Expenditure 2018-19'!R362)+('[1]Actual Expenditure 2018-19'!R388)+('[1]Actual Expenditure 2018-19'!R411)</f>
        <v>0</v>
      </c>
      <c r="T20" s="21">
        <f t="shared" si="27"/>
        <v>3.5588850174216029</v>
      </c>
      <c r="U20" s="21">
        <f t="shared" si="28"/>
        <v>0</v>
      </c>
      <c r="V20" s="21">
        <f t="shared" si="29"/>
        <v>0</v>
      </c>
      <c r="W20" s="21">
        <f t="shared" si="30"/>
        <v>0</v>
      </c>
      <c r="X20" s="21">
        <f t="shared" si="0"/>
        <v>40.526045296167247</v>
      </c>
      <c r="Y20" s="21">
        <f t="shared" si="26"/>
        <v>73.659114111641685</v>
      </c>
      <c r="Z20" s="21">
        <f t="shared" si="31"/>
        <v>0</v>
      </c>
      <c r="AA20" s="21">
        <f t="shared" si="32"/>
        <v>0</v>
      </c>
      <c r="AB20" s="21">
        <f t="shared" si="33"/>
        <v>0</v>
      </c>
      <c r="AC20" s="21">
        <f t="shared" si="34"/>
        <v>0</v>
      </c>
      <c r="AD20" s="21">
        <f t="shared" si="35"/>
        <v>0</v>
      </c>
      <c r="AE20" s="21">
        <f t="shared" si="36"/>
        <v>0</v>
      </c>
      <c r="AF20" s="21" t="e">
        <f t="shared" si="6"/>
        <v>#DIV/0!</v>
      </c>
      <c r="AG20" s="21" t="e">
        <f t="shared" si="7"/>
        <v>#DIV/0!</v>
      </c>
      <c r="AH20" s="21" t="e">
        <f t="shared" si="8"/>
        <v>#DIV/0!</v>
      </c>
      <c r="AI20" s="21" t="e">
        <f t="shared" si="9"/>
        <v>#DIV/0!</v>
      </c>
      <c r="AJ20" s="25">
        <v>175983</v>
      </c>
      <c r="AK20" s="21">
        <f t="shared" si="10"/>
        <v>2.7933809523809523</v>
      </c>
      <c r="AL20" s="25">
        <v>552036</v>
      </c>
      <c r="AM20" s="21">
        <f t="shared" si="11"/>
        <v>8.7624761904761908</v>
      </c>
      <c r="AN20" s="25">
        <v>972728</v>
      </c>
      <c r="AO20" s="21">
        <f t="shared" si="12"/>
        <v>15.440126984126984</v>
      </c>
      <c r="AP20" s="25">
        <v>1443492</v>
      </c>
      <c r="AQ20" s="21">
        <f t="shared" si="13"/>
        <v>22.912571428571429</v>
      </c>
      <c r="AR20" s="51">
        <v>1908014</v>
      </c>
      <c r="AS20" s="21">
        <f t="shared" si="14"/>
        <v>30.285936507936505</v>
      </c>
      <c r="AT20" s="25">
        <v>2330782</v>
      </c>
      <c r="AU20" s="21">
        <f t="shared" si="15"/>
        <v>36.996539682539684</v>
      </c>
      <c r="AV20" s="52">
        <v>2794029</v>
      </c>
      <c r="AW20" s="21">
        <f t="shared" si="16"/>
        <v>44.349666666666664</v>
      </c>
      <c r="AX20" s="52">
        <v>3181381</v>
      </c>
      <c r="AY20" s="21">
        <f t="shared" si="17"/>
        <v>50.498111111111108</v>
      </c>
      <c r="AZ20" s="52">
        <v>3650004</v>
      </c>
      <c r="BA20" s="21">
        <f t="shared" si="18"/>
        <v>57.936571428571426</v>
      </c>
      <c r="BB20" s="21">
        <f t="shared" si="19"/>
        <v>57.936571428571426</v>
      </c>
      <c r="BC20" s="52">
        <v>4170412</v>
      </c>
      <c r="BD20" s="21">
        <f t="shared" si="20"/>
        <v>66.197015873015872</v>
      </c>
      <c r="BE20" s="21">
        <f t="shared" si="21"/>
        <v>66.197015873015872</v>
      </c>
      <c r="BF20" s="52">
        <v>4706584</v>
      </c>
      <c r="BG20" s="21">
        <f t="shared" si="22"/>
        <v>74.707682539682537</v>
      </c>
      <c r="BH20" s="21">
        <f t="shared" si="23"/>
        <v>74.707682539682537</v>
      </c>
      <c r="BI20" s="52">
        <v>0</v>
      </c>
      <c r="BJ20" s="21">
        <f t="shared" si="24"/>
        <v>0</v>
      </c>
      <c r="BK20" s="21">
        <f t="shared" si="25"/>
        <v>0</v>
      </c>
    </row>
    <row r="21" spans="1:63" ht="18" x14ac:dyDescent="0.4">
      <c r="A21" s="25">
        <f>SUM('[1]Actual Expenditure 2018-19'!A23)+('[1]Actual Expenditure 2018-19'!A50)+('[1]Actual Expenditure 2018-19'!A90)+('[1]Actual Expenditure 2018-19'!A121)+('[1]Actual Expenditure 2018-19'!A141)+('[1]Actual Expenditure 2018-19'!A185)+('[1]Actual Expenditure 2018-19'!A206)+('[1]Actual Expenditure 2018-19'!A230)+('[1]Actual Expenditure 2018-19'!A249)+('[1]Actual Expenditure 2018-19'!A271)+('[1]Actual Expenditure 2018-19'!A307)+('[1]Actual Expenditure 2018-19'!A324)+('[1]Actual Expenditure 2018-19'!A338)+('[1]Actual Expenditure 2018-19'!A363)+('[1]Actual Expenditure 2018-19'!A389)+('[1]Actual Expenditure 2018-19'!A412)</f>
        <v>4102000</v>
      </c>
      <c r="B21" s="25">
        <f>SUM('[1]Actual Expenditure 2018-19'!B23)+('[1]Actual Expenditure 2018-19'!B50)+('[1]Actual Expenditure 2018-19'!B90)+('[1]Actual Expenditure 2018-19'!B121)+('[1]Actual Expenditure 2018-19'!B141)+('[1]Actual Expenditure 2018-19'!B185)+('[1]Actual Expenditure 2018-19'!B206)+('[1]Actual Expenditure 2018-19'!B230)+('[1]Actual Expenditure 2018-19'!B249)+('[1]Actual Expenditure 2018-19'!B271)+('[1]Actual Expenditure 2018-19'!B307)+('[1]Actual Expenditure 2018-19'!B324)+('[1]Actual Expenditure 2018-19'!B338)+('[1]Actual Expenditure 2018-19'!B363)+('[1]Actual Expenditure 2018-19'!B389)+('[1]Actual Expenditure 2018-19'!B412)</f>
        <v>3729000</v>
      </c>
      <c r="C21" s="9">
        <v>14</v>
      </c>
      <c r="D21" s="25" t="s">
        <v>75</v>
      </c>
      <c r="E21" s="25">
        <f>SUM('[1]Actual Expenditure 2018-19'!E23)+('[1]Actual Expenditure 2018-19'!E50)+('[1]Actual Expenditure 2018-19'!E90)+('[1]Actual Expenditure 2018-19'!E121)+('[1]Actual Expenditure 2018-19'!E141)+('[1]Actual Expenditure 2018-19'!E185)+('[1]Actual Expenditure 2018-19'!E206)+('[1]Actual Expenditure 2018-19'!E230)+('[1]Actual Expenditure 2018-19'!E249)+('[1]Actual Expenditure 2018-19'!E271)+('[1]Actual Expenditure 2018-19'!E307)+('[1]Actual Expenditure 2018-19'!E324)+('[1]Actual Expenditure 2018-19'!E338)+('[1]Actual Expenditure 2018-19'!E363)+('[1]Actual Expenditure 2018-19'!E389)+('[1]Actual Expenditure 2018-19'!E412)</f>
        <v>3500000</v>
      </c>
      <c r="F21" s="25">
        <f>SUM('[1]Actual Expenditure 2018-19'!F23)+('[1]Actual Expenditure 2018-19'!F50)+('[1]Actual Expenditure 2018-19'!F90)+('[1]Actual Expenditure 2018-19'!F141)+('[1]Actual Expenditure 2018-19'!F185)+('[1]Actual Expenditure 2018-19'!F206)+('[1]Actual Expenditure 2018-19'!F230)+('[1]Actual Expenditure 2018-19'!F249)+('[1]Actual Expenditure 2018-19'!F271)+('[1]Actual Expenditure 2018-19'!F307)+('[1]Actual Expenditure 2018-19'!F324)+('[1]Actual Expenditure 2018-19'!F338)+('[1]Actual Expenditure 2018-19'!F363)+('[1]Actual Expenditure 2018-19'!F389)+('[1]Actual Expenditure 2018-19'!F412)</f>
        <v>0</v>
      </c>
      <c r="G21" s="25">
        <f>SUM('[1]Actual Expenditure 2018-19'!G23)+('[1]Actual Expenditure 2018-19'!G50)+('[1]Actual Expenditure 2018-19'!G90)+('[1]Actual Expenditure 2018-19'!G121)+('[1]Actual Expenditure 2018-19'!G141)+('[1]Actual Expenditure 2018-19'!G185)+('[1]Actual Expenditure 2018-19'!G206)+('[1]Actual Expenditure 2018-19'!G230)+('[1]Actual Expenditure 2018-19'!G249)+('[1]Actual Expenditure 2018-19'!G271)+('[1]Actual Expenditure 2018-19'!G307)+('[1]Actual Expenditure 2018-19'!G324)+('[1]Actual Expenditure 2018-19'!G338)+('[1]Actual Expenditure 2018-19'!G363)+('[1]Actual Expenditure 2018-19'!G389)+('[1]Actual Expenditure 2018-19'!G412)</f>
        <v>135357</v>
      </c>
      <c r="H21" s="25">
        <f>SUM('[1]Actual Expenditure 2018-19'!H23)+('[1]Actual Expenditure 2018-19'!H50)+('[1]Actual Expenditure 2018-19'!H90)+('[1]Actual Expenditure 2018-19'!H121)+('[1]Actual Expenditure 2018-19'!H141)+('[1]Actual Expenditure 2018-19'!H185)+('[1]Actual Expenditure 2018-19'!H206)+('[1]Actual Expenditure 2018-19'!H230)+('[1]Actual Expenditure 2018-19'!H249)+('[1]Actual Expenditure 2018-19'!H271)+('[1]Actual Expenditure 2018-19'!H307)+('[1]Actual Expenditure 2018-19'!H324)+('[1]Actual Expenditure 2018-19'!H338)+('[1]Actual Expenditure 2018-19'!H363)+('[1]Actual Expenditure 2018-19'!H389)+('[1]Actual Expenditure 2018-19'!H412)</f>
        <v>0</v>
      </c>
      <c r="I21" s="25">
        <f>SUM('[1]Actual Expenditure 2018-19'!I23)+('[1]Actual Expenditure 2018-19'!I50)+('[1]Actual Expenditure 2018-19'!I90)+('[1]Actual Expenditure 2018-19'!I141)+('[1]Actual Expenditure 2018-19'!I185)+('[1]Actual Expenditure 2018-19'!I206)+('[1]Actual Expenditure 2018-19'!I230)+('[1]Actual Expenditure 2018-19'!I249)+('[1]Actual Expenditure 2018-19'!I271)+('[1]Actual Expenditure 2018-19'!I307)+('[1]Actual Expenditure 2018-19'!I324)+('[1]Actual Expenditure 2018-19'!I338)+('[1]Actual Expenditure 2018-19'!I363)+('[1]Actual Expenditure 2018-19'!I389)+('[1]Actual Expenditure 2018-19'!I412)</f>
        <v>0</v>
      </c>
      <c r="J21" s="25">
        <f>SUM('[1]Actual Expenditure 2018-19'!J23)+('[1]Actual Expenditure 2018-19'!J50)+('[1]Actual Expenditure 2018-19'!J90)+('[1]Actual Expenditure 2018-19'!J121)+('[1]Actual Expenditure 2018-19'!J141)+('[1]Actual Expenditure 2018-19'!J185)+('[1]Actual Expenditure 2018-19'!J206)+('[1]Actual Expenditure 2018-19'!J230)+('[1]Actual Expenditure 2018-19'!J249)+('[1]Actual Expenditure 2018-19'!J271)+('[1]Actual Expenditure 2018-19'!J307)+('[1]Actual Expenditure 2018-19'!J324)+('[1]Actual Expenditure 2018-19'!J338)+('[1]Actual Expenditure 2018-19'!J363)+('[1]Actual Expenditure 2018-19'!J389)+('[1]Actual Expenditure 2018-19'!J412)</f>
        <v>0</v>
      </c>
      <c r="K21" s="25">
        <f>SUM('[1]Actual Expenditure 2018-19'!K23)+('[1]Actual Expenditure 2018-19'!K50)+('[1]Actual Expenditure 2018-19'!K90)+('[1]Actual Expenditure 2018-19'!K121)+('[1]Actual Expenditure 2018-19'!K141)+('[1]Actual Expenditure 2018-19'!K185)+('[1]Actual Expenditure 2018-19'!K206)+('[1]Actual Expenditure 2018-19'!K230)+('[1]Actual Expenditure 2018-19'!K249)+('[1]Actual Expenditure 2018-19'!K271)+('[1]Actual Expenditure 2018-19'!K307)+('[1]Actual Expenditure 2018-19'!K324)+('[1]Actual Expenditure 2018-19'!K338)+('[1]Actual Expenditure 2018-19'!K363)+('[1]Actual Expenditure 2018-19'!K389)+('[1]Actual Expenditure 2018-19'!K412)</f>
        <v>1338922</v>
      </c>
      <c r="L21" s="25">
        <v>3594000</v>
      </c>
      <c r="M21" s="52">
        <v>2422037</v>
      </c>
      <c r="N21" s="25">
        <f>SUM('[1]Actual Expenditure 2018-19'!M23)+('[1]Actual Expenditure 2018-19'!M50)+('[1]Actual Expenditure 2018-19'!M90)+('[1]Actual Expenditure 2018-19'!M121)+('[1]Actual Expenditure 2018-19'!M141)+('[1]Actual Expenditure 2018-19'!M185)+('[1]Actual Expenditure 2018-19'!M206)+('[1]Actual Expenditure 2018-19'!M230)+('[1]Actual Expenditure 2018-19'!M249)+('[1]Actual Expenditure 2018-19'!M271)+('[1]Actual Expenditure 2018-19'!M307)+('[1]Actual Expenditure 2018-19'!M324)+('[1]Actual Expenditure 2018-19'!M338)+('[1]Actual Expenditure 2018-19'!M363)+('[1]Actual Expenditure 2018-19'!M389)+('[1]Actual Expenditure 2018-19'!M412)</f>
        <v>0</v>
      </c>
      <c r="O21" s="25">
        <f>SUM('[1]Actual Expenditure 2018-19'!N23)+('[1]Actual Expenditure 2018-19'!N50)+('[1]Actual Expenditure 2018-19'!N90)+('[1]Actual Expenditure 2018-19'!N121)+('[1]Actual Expenditure 2018-19'!N141)+('[1]Actual Expenditure 2018-19'!N185)+('[1]Actual Expenditure 2018-19'!N206)+('[1]Actual Expenditure 2018-19'!N230)+('[1]Actual Expenditure 2018-19'!N249)+('[1]Actual Expenditure 2018-19'!N271)+('[1]Actual Expenditure 2018-19'!N307)+('[1]Actual Expenditure 2018-19'!N324)+('[1]Actual Expenditure 2018-19'!N338)+('[1]Actual Expenditure 2018-19'!N363)+('[1]Actual Expenditure 2018-19'!N389)+('[1]Actual Expenditure 2018-19'!N412)</f>
        <v>0</v>
      </c>
      <c r="P21" s="25">
        <f>SUM('[1]Actual Expenditure 2018-19'!O23)+('[1]Actual Expenditure 2018-19'!O50)+('[1]Actual Expenditure 2018-19'!O90)+('[1]Actual Expenditure 2018-19'!O121)+('[1]Actual Expenditure 2018-19'!O141)+('[1]Actual Expenditure 2018-19'!O185)+('[1]Actual Expenditure 2018-19'!O206)+('[1]Actual Expenditure 2018-19'!O230)+('[1]Actual Expenditure 2018-19'!O249)+('[1]Actual Expenditure 2018-19'!O271)+('[1]Actual Expenditure 2018-19'!O307)+('[1]Actual Expenditure 2018-19'!O324)+('[1]Actual Expenditure 2018-19'!O338)+('[1]Actual Expenditure 2018-19'!O363)+('[1]Actual Expenditure 2018-19'!O389)+('[1]Actual Expenditure 2018-19'!O412)</f>
        <v>0</v>
      </c>
      <c r="Q21" s="25">
        <f>SUM('[1]Actual Expenditure 2018-19'!P23)+('[1]Actual Expenditure 2018-19'!P50)+('[1]Actual Expenditure 2018-19'!P90)+('[1]Actual Expenditure 2018-19'!P121)+('[1]Actual Expenditure 2018-19'!P141)+('[1]Actual Expenditure 2018-19'!P185)+('[1]Actual Expenditure 2018-19'!P206)+('[1]Actual Expenditure 2018-19'!P230)+('[1]Actual Expenditure 2018-19'!P249)+('[1]Actual Expenditure 2018-19'!P271)+('[1]Actual Expenditure 2018-19'!P307)+('[1]Actual Expenditure 2018-19'!P324)+('[1]Actual Expenditure 2018-19'!P338)+('[1]Actual Expenditure 2018-19'!P363)+('[1]Actual Expenditure 2018-19'!P389)+('[1]Actual Expenditure 2018-19'!P412)</f>
        <v>0</v>
      </c>
      <c r="R21" s="25">
        <f>SUM('[1]Actual Expenditure 2018-19'!Q23)+('[1]Actual Expenditure 2018-19'!Q50)+('[1]Actual Expenditure 2018-19'!Q90)+('[1]Actual Expenditure 2018-19'!Q121)+('[1]Actual Expenditure 2018-19'!Q141)+('[1]Actual Expenditure 2018-19'!Q185)+('[1]Actual Expenditure 2018-19'!Q206)+('[1]Actual Expenditure 2018-19'!Q230)+('[1]Actual Expenditure 2018-19'!Q249)+('[1]Actual Expenditure 2018-19'!Q271)+('[1]Actual Expenditure 2018-19'!Q307)+('[1]Actual Expenditure 2018-19'!Q324)+('[1]Actual Expenditure 2018-19'!Q338)+('[1]Actual Expenditure 2018-19'!Q363)+('[1]Actual Expenditure 2018-19'!Q389)+('[1]Actual Expenditure 2018-19'!Q412)</f>
        <v>0</v>
      </c>
      <c r="S21" s="25">
        <f>SUM('[1]Actual Expenditure 2018-19'!R23)+('[1]Actual Expenditure 2018-19'!R50)+('[1]Actual Expenditure 2018-19'!R90)+('[1]Actual Expenditure 2018-19'!R141)+('[1]Actual Expenditure 2018-19'!R185)+('[1]Actual Expenditure 2018-19'!R206)+('[1]Actual Expenditure 2018-19'!R230)+('[1]Actual Expenditure 2018-19'!R249)+('[1]Actual Expenditure 2018-19'!R271)+('[1]Actual Expenditure 2018-19'!R307)+('[1]Actual Expenditure 2018-19'!R324)+('[1]Actual Expenditure 2018-19'!R338)+('[1]Actual Expenditure 2018-19'!R363)+('[1]Actual Expenditure 2018-19'!R389)+('[1]Actual Expenditure 2018-19'!R412)</f>
        <v>0</v>
      </c>
      <c r="T21" s="21">
        <f t="shared" si="27"/>
        <v>3.8673428571428574</v>
      </c>
      <c r="U21" s="21">
        <f t="shared" si="28"/>
        <v>0</v>
      </c>
      <c r="V21" s="21">
        <f t="shared" si="29"/>
        <v>0</v>
      </c>
      <c r="W21" s="21">
        <f t="shared" si="30"/>
        <v>0</v>
      </c>
      <c r="X21" s="21">
        <f t="shared" si="0"/>
        <v>38.254914285714285</v>
      </c>
      <c r="Y21" s="21">
        <f t="shared" si="26"/>
        <v>67.391124095715085</v>
      </c>
      <c r="Z21" s="21">
        <f t="shared" si="31"/>
        <v>0</v>
      </c>
      <c r="AA21" s="21">
        <f t="shared" si="32"/>
        <v>0</v>
      </c>
      <c r="AB21" s="21">
        <f t="shared" si="33"/>
        <v>0</v>
      </c>
      <c r="AC21" s="21">
        <f t="shared" si="34"/>
        <v>0</v>
      </c>
      <c r="AD21" s="21">
        <f t="shared" si="35"/>
        <v>0</v>
      </c>
      <c r="AE21" s="21">
        <f t="shared" si="36"/>
        <v>0</v>
      </c>
      <c r="AF21" s="21" t="e">
        <f t="shared" si="6"/>
        <v>#DIV/0!</v>
      </c>
      <c r="AG21" s="21" t="e">
        <f t="shared" si="7"/>
        <v>#DIV/0!</v>
      </c>
      <c r="AH21" s="21" t="e">
        <f t="shared" si="8"/>
        <v>#DIV/0!</v>
      </c>
      <c r="AI21" s="21" t="e">
        <f t="shared" si="9"/>
        <v>#DIV/0!</v>
      </c>
      <c r="AJ21" s="25">
        <v>49730</v>
      </c>
      <c r="AK21" s="21">
        <f t="shared" si="10"/>
        <v>1.212335446123842</v>
      </c>
      <c r="AL21" s="25">
        <v>318801</v>
      </c>
      <c r="AM21" s="21">
        <f t="shared" si="11"/>
        <v>7.7718430034129691</v>
      </c>
      <c r="AN21" s="25">
        <v>529283</v>
      </c>
      <c r="AO21" s="21">
        <f t="shared" si="12"/>
        <v>12.903047294002926</v>
      </c>
      <c r="AP21" s="25">
        <v>739017</v>
      </c>
      <c r="AQ21" s="21">
        <f t="shared" si="13"/>
        <v>18.016016577279377</v>
      </c>
      <c r="AR21" s="51">
        <v>984989</v>
      </c>
      <c r="AS21" s="21">
        <f t="shared" si="14"/>
        <v>24.012408581179912</v>
      </c>
      <c r="AT21" s="25">
        <v>1352205</v>
      </c>
      <c r="AU21" s="21">
        <f t="shared" si="15"/>
        <v>32.964529497805948</v>
      </c>
      <c r="AV21" s="52">
        <v>1557912</v>
      </c>
      <c r="AW21" s="21">
        <f t="shared" si="16"/>
        <v>37.979327157484157</v>
      </c>
      <c r="AX21" s="52">
        <v>1814086</v>
      </c>
      <c r="AY21" s="21">
        <f t="shared" si="17"/>
        <v>44.224427108727447</v>
      </c>
      <c r="AZ21" s="52">
        <v>2281811</v>
      </c>
      <c r="BA21" s="21">
        <f t="shared" si="18"/>
        <v>55.626791808873719</v>
      </c>
      <c r="BB21" s="21">
        <f t="shared" si="19"/>
        <v>61.190962724591046</v>
      </c>
      <c r="BC21" s="52">
        <v>2499714</v>
      </c>
      <c r="BD21" s="21">
        <f t="shared" si="20"/>
        <v>60.938907849829349</v>
      </c>
      <c r="BE21" s="21">
        <f t="shared" si="21"/>
        <v>67.034432823813347</v>
      </c>
      <c r="BF21" s="52">
        <v>2840118</v>
      </c>
      <c r="BG21" s="21">
        <f t="shared" si="22"/>
        <v>69.237396392003902</v>
      </c>
      <c r="BH21" s="21">
        <f t="shared" si="23"/>
        <v>76.162992759452948</v>
      </c>
      <c r="BI21" s="52">
        <v>0</v>
      </c>
      <c r="BJ21" s="21">
        <f t="shared" si="24"/>
        <v>0</v>
      </c>
      <c r="BK21" s="21">
        <f t="shared" si="25"/>
        <v>0</v>
      </c>
    </row>
    <row r="22" spans="1:63" ht="18" x14ac:dyDescent="0.4">
      <c r="A22" s="25">
        <f>SUM('[1]Actual Expenditure 2018-19'!A24)+('[1]Actual Expenditure 2018-19'!A91)+('[1]Actual Expenditure 2018-19'!A122)+('[1]Actual Expenditure 2018-19'!A142)+('[1]Actual Expenditure 2018-19'!A186)+('[1]Actual Expenditure 2018-19'!A207)+('[1]Actual Expenditure 2018-19'!A250)+('[1]Actual Expenditure 2018-19'!A272)+('[1]Actual Expenditure 2018-19'!A339)+('[1]Actual Expenditure 2018-19'!A364)</f>
        <v>25000</v>
      </c>
      <c r="B22" s="25">
        <f>SUM('[1]Actual Expenditure 2018-19'!B24)+('[1]Actual Expenditure 2018-19'!B91)+('[1]Actual Expenditure 2018-19'!B122)+('[1]Actual Expenditure 2018-19'!B142)+('[1]Actual Expenditure 2018-19'!B186)+('[1]Actual Expenditure 2018-19'!B207)+('[1]Actual Expenditure 2018-19'!B250)+('[1]Actual Expenditure 2018-19'!B272)+('[1]Actual Expenditure 2018-19'!B339)+('[1]Actual Expenditure 2018-19'!B364)</f>
        <v>25000</v>
      </c>
      <c r="C22" s="9">
        <v>16</v>
      </c>
      <c r="D22" s="25" t="s">
        <v>76</v>
      </c>
      <c r="E22" s="25">
        <f>SUM('[1]Actual Expenditure 2018-19'!E24)+('[1]Actual Expenditure 2018-19'!E91)+('[1]Actual Expenditure 2018-19'!E122)+('[1]Actual Expenditure 2018-19'!E142)+('[1]Actual Expenditure 2018-19'!E186)+('[1]Actual Expenditure 2018-19'!E207)+('[1]Actual Expenditure 2018-19'!E250)+('[1]Actual Expenditure 2018-19'!E272)+('[1]Actual Expenditure 2018-19'!E308)+('[1]Actual Expenditure 2018-19'!E325)+('[1]Actual Expenditure 2018-19'!E339)+('[1]Actual Expenditure 2018-19'!E364)+('[1]Actual Expenditure 2018-19'!E390)+('[1]Actual Expenditure 2018-19'!E413)</f>
        <v>25000</v>
      </c>
      <c r="F22" s="25">
        <f>SUM('[1]Actual Expenditure 2018-19'!F24)+('[1]Actual Expenditure 2018-19'!F91)+('[1]Actual Expenditure 2018-19'!F122)+('[1]Actual Expenditure 2018-19'!F142)+('[1]Actual Expenditure 2018-19'!F186)+('[1]Actual Expenditure 2018-19'!F207)+('[1]Actual Expenditure 2018-19'!F250)+('[1]Actual Expenditure 2018-19'!F272)+('[1]Actual Expenditure 2018-19'!F339)+('[1]Actual Expenditure 2018-19'!F364)</f>
        <v>0</v>
      </c>
      <c r="G22" s="25">
        <f>SUM('[1]Actual Expenditure 2018-19'!G24)+('[1]Actual Expenditure 2018-19'!G91)+('[1]Actual Expenditure 2018-19'!G122)+('[1]Actual Expenditure 2018-19'!G142)+('[1]Actual Expenditure 2018-19'!G186)+('[1]Actual Expenditure 2018-19'!G207)+('[1]Actual Expenditure 2018-19'!G250)+('[1]Actual Expenditure 2018-19'!G272)+('[1]Actual Expenditure 2018-19'!G339)+('[1]Actual Expenditure 2018-19'!G364)</f>
        <v>0</v>
      </c>
      <c r="H22" s="25">
        <f>SUM('[1]Actual Expenditure 2018-19'!H24)+('[1]Actual Expenditure 2018-19'!H91)+('[1]Actual Expenditure 2018-19'!H122)+('[1]Actual Expenditure 2018-19'!H142)+('[1]Actual Expenditure 2018-19'!H186)+('[1]Actual Expenditure 2018-19'!H207)+('[1]Actual Expenditure 2018-19'!H250)+('[1]Actual Expenditure 2018-19'!H272)+('[1]Actual Expenditure 2018-19'!H339)+('[1]Actual Expenditure 2018-19'!H364)</f>
        <v>0</v>
      </c>
      <c r="I22" s="25">
        <f>SUM('[1]Actual Expenditure 2018-19'!I24)+('[1]Actual Expenditure 2018-19'!I91)+('[1]Actual Expenditure 2018-19'!I122)+('[1]Actual Expenditure 2018-19'!I142)+('[1]Actual Expenditure 2018-19'!I186)+('[1]Actual Expenditure 2018-19'!I207)+('[1]Actual Expenditure 2018-19'!I250)+('[1]Actual Expenditure 2018-19'!I272)+('[1]Actual Expenditure 2018-19'!I339)+('[1]Actual Expenditure 2018-19'!I364)</f>
        <v>0</v>
      </c>
      <c r="J22" s="25">
        <f>SUM('[1]Actual Expenditure 2018-19'!J24)+('[1]Actual Expenditure 2018-19'!J91)+('[1]Actual Expenditure 2018-19'!J122)+('[1]Actual Expenditure 2018-19'!J142)+('[1]Actual Expenditure 2018-19'!J186)+('[1]Actual Expenditure 2018-19'!J207)+('[1]Actual Expenditure 2018-19'!J250)+('[1]Actual Expenditure 2018-19'!J272)+('[1]Actual Expenditure 2018-19'!J339)+('[1]Actual Expenditure 2018-19'!J364)</f>
        <v>8</v>
      </c>
      <c r="K22" s="25">
        <f>SUM('[1]Actual Expenditure 2018-19'!K24)+('[1]Actual Expenditure 2018-19'!K91)+('[1]Actual Expenditure 2018-19'!K122)+('[1]Actual Expenditure 2018-19'!K142)+('[1]Actual Expenditure 2018-19'!K186)+('[1]Actual Expenditure 2018-19'!K207)+('[1]Actual Expenditure 2018-19'!K250)+('[1]Actual Expenditure 2018-19'!K272)+('[1]Actual Expenditure 2018-19'!K339)+('[1]Actual Expenditure 2018-19'!K364)</f>
        <v>4408</v>
      </c>
      <c r="L22" s="25">
        <v>17000</v>
      </c>
      <c r="M22" s="52">
        <v>6854</v>
      </c>
      <c r="N22" s="25">
        <f>SUM('[1]Actual Expenditure 2018-19'!M24)+('[1]Actual Expenditure 2018-19'!M91)+('[1]Actual Expenditure 2018-19'!M122)+('[1]Actual Expenditure 2018-19'!M142)+('[1]Actual Expenditure 2018-19'!M186)+('[1]Actual Expenditure 2018-19'!M207)+('[1]Actual Expenditure 2018-19'!M250)+('[1]Actual Expenditure 2018-19'!M272)+('[1]Actual Expenditure 2018-19'!M339)+('[1]Actual Expenditure 2018-19'!M364)</f>
        <v>0</v>
      </c>
      <c r="O22" s="25">
        <f>SUM('[1]Actual Expenditure 2018-19'!N24)+('[1]Actual Expenditure 2018-19'!N91)+('[1]Actual Expenditure 2018-19'!N122)+('[1]Actual Expenditure 2018-19'!N142)+('[1]Actual Expenditure 2018-19'!N186)+('[1]Actual Expenditure 2018-19'!N207)+('[1]Actual Expenditure 2018-19'!N250)+('[1]Actual Expenditure 2018-19'!N272)+('[1]Actual Expenditure 2018-19'!N339)+('[1]Actual Expenditure 2018-19'!N364)</f>
        <v>0</v>
      </c>
      <c r="P22" s="25">
        <f>SUM('[1]Actual Expenditure 2018-19'!O24)+('[1]Actual Expenditure 2018-19'!O91)+('[1]Actual Expenditure 2018-19'!O122)+('[1]Actual Expenditure 2018-19'!O142)+('[1]Actual Expenditure 2018-19'!O186)+('[1]Actual Expenditure 2018-19'!O207)+('[1]Actual Expenditure 2018-19'!O250)+('[1]Actual Expenditure 2018-19'!O272)+('[1]Actual Expenditure 2018-19'!O339)+('[1]Actual Expenditure 2018-19'!O364)</f>
        <v>0</v>
      </c>
      <c r="Q22" s="25">
        <f>SUM('[1]Actual Expenditure 2018-19'!P24)+('[1]Actual Expenditure 2018-19'!P91)+('[1]Actual Expenditure 2018-19'!P122)+('[1]Actual Expenditure 2018-19'!P142)+('[1]Actual Expenditure 2018-19'!P186)+('[1]Actual Expenditure 2018-19'!P207)+('[1]Actual Expenditure 2018-19'!P250)+('[1]Actual Expenditure 2018-19'!P272)+('[1]Actual Expenditure 2018-19'!P339)+('[1]Actual Expenditure 2018-19'!P364)</f>
        <v>0</v>
      </c>
      <c r="R22" s="25">
        <f>SUM('[1]Actual Expenditure 2018-19'!Q24)+('[1]Actual Expenditure 2018-19'!Q52)+('[1]Actual Expenditure 2018-19'!Q91)+('[1]Actual Expenditure 2018-19'!Q122)+('[1]Actual Expenditure 2018-19'!Q142)+('[1]Actual Expenditure 2018-19'!Q186)+('[1]Actual Expenditure 2018-19'!Q207)+('[1]Actual Expenditure 2018-19'!Q231)+('[1]Actual Expenditure 2018-19'!Q250)+('[1]Actual Expenditure 2018-19'!Q272)+('[1]Actual Expenditure 2018-19'!Q308)+('[1]Actual Expenditure 2018-19'!Q325)+('[1]Actual Expenditure 2018-19'!Q339)+('[1]Actual Expenditure 2018-19'!Q364)+('[1]Actual Expenditure 2018-19'!Q390)+('[1]Actual Expenditure 2018-19'!Q413)</f>
        <v>0</v>
      </c>
      <c r="S22" s="25">
        <f>SUM('[1]Actual Expenditure 2018-19'!R24)+('[1]Actual Expenditure 2018-19'!R91)+('[1]Actual Expenditure 2018-19'!R122)+('[1]Actual Expenditure 2018-19'!R142)+('[1]Actual Expenditure 2018-19'!R186)+('[1]Actual Expenditure 2018-19'!R207)+('[1]Actual Expenditure 2018-19'!R250)+('[1]Actual Expenditure 2018-19'!R272)+('[1]Actual Expenditure 2018-19'!R339)+('[1]Actual Expenditure 2018-19'!R364)</f>
        <v>0</v>
      </c>
      <c r="T22" s="21">
        <f t="shared" si="27"/>
        <v>0</v>
      </c>
      <c r="U22" s="21">
        <f t="shared" si="28"/>
        <v>0</v>
      </c>
      <c r="V22" s="21">
        <f t="shared" si="29"/>
        <v>0</v>
      </c>
      <c r="W22" s="21">
        <f t="shared" si="30"/>
        <v>3.2000000000000001E-2</v>
      </c>
      <c r="X22" s="21">
        <f t="shared" si="0"/>
        <v>17.632000000000001</v>
      </c>
      <c r="Y22" s="21">
        <f t="shared" si="26"/>
        <v>40.317647058823532</v>
      </c>
      <c r="Z22" s="21">
        <f t="shared" si="31"/>
        <v>0</v>
      </c>
      <c r="AA22" s="21">
        <f t="shared" si="32"/>
        <v>0</v>
      </c>
      <c r="AB22" s="21">
        <f t="shared" si="33"/>
        <v>0</v>
      </c>
      <c r="AC22" s="21">
        <f t="shared" si="34"/>
        <v>0</v>
      </c>
      <c r="AD22" s="21">
        <f t="shared" si="35"/>
        <v>0</v>
      </c>
      <c r="AE22" s="21">
        <f t="shared" si="36"/>
        <v>0</v>
      </c>
      <c r="AF22" s="21" t="e">
        <f t="shared" si="6"/>
        <v>#DIV/0!</v>
      </c>
      <c r="AG22" s="21" t="e">
        <f t="shared" si="7"/>
        <v>#DIV/0!</v>
      </c>
      <c r="AH22" s="21" t="e">
        <f t="shared" si="8"/>
        <v>#DIV/0!</v>
      </c>
      <c r="AI22" s="21" t="e">
        <f t="shared" si="9"/>
        <v>#DIV/0!</v>
      </c>
      <c r="AJ22" s="25">
        <v>117</v>
      </c>
      <c r="AK22" s="21">
        <f t="shared" si="10"/>
        <v>0.46800000000000003</v>
      </c>
      <c r="AL22" s="25">
        <v>369</v>
      </c>
      <c r="AM22" s="21">
        <f t="shared" si="11"/>
        <v>1.476</v>
      </c>
      <c r="AN22" s="25">
        <v>584</v>
      </c>
      <c r="AO22" s="21">
        <f t="shared" si="12"/>
        <v>2.3359999999999999</v>
      </c>
      <c r="AP22" s="25">
        <v>1141</v>
      </c>
      <c r="AQ22" s="21">
        <f t="shared" si="13"/>
        <v>4.5640000000000001</v>
      </c>
      <c r="AR22" s="51">
        <v>1502</v>
      </c>
      <c r="AS22" s="21">
        <f t="shared" si="14"/>
        <v>6.008</v>
      </c>
      <c r="AT22" s="25">
        <v>3389</v>
      </c>
      <c r="AU22" s="21">
        <f t="shared" si="15"/>
        <v>13.556000000000001</v>
      </c>
      <c r="AV22" s="52">
        <v>4152</v>
      </c>
      <c r="AW22" s="21">
        <f t="shared" si="16"/>
        <v>16.608000000000001</v>
      </c>
      <c r="AX22" s="52">
        <v>4632</v>
      </c>
      <c r="AY22" s="21">
        <f t="shared" si="17"/>
        <v>18.527999999999999</v>
      </c>
      <c r="AZ22" s="52">
        <v>4814</v>
      </c>
      <c r="BA22" s="21">
        <f t="shared" si="18"/>
        <v>19.256</v>
      </c>
      <c r="BB22" s="21">
        <f t="shared" si="19"/>
        <v>19.256</v>
      </c>
      <c r="BC22" s="52">
        <v>5795</v>
      </c>
      <c r="BD22" s="21">
        <f t="shared" si="20"/>
        <v>23.18</v>
      </c>
      <c r="BE22" s="21">
        <f t="shared" si="21"/>
        <v>23.18</v>
      </c>
      <c r="BF22" s="52">
        <v>9319</v>
      </c>
      <c r="BG22" s="21">
        <f t="shared" si="22"/>
        <v>37.275999999999996</v>
      </c>
      <c r="BH22" s="21">
        <f t="shared" si="23"/>
        <v>37.275999999999996</v>
      </c>
      <c r="BI22" s="52">
        <v>0</v>
      </c>
      <c r="BJ22" s="21">
        <f t="shared" si="24"/>
        <v>0</v>
      </c>
      <c r="BK22" s="21">
        <f t="shared" si="25"/>
        <v>0</v>
      </c>
    </row>
    <row r="23" spans="1:63" ht="18" x14ac:dyDescent="0.4">
      <c r="A23" s="25">
        <f>SUM('[1]Actual Expenditure 2018-19'!A25)+('[1]Actual Expenditure 2018-19'!A69)+('[1]Actual Expenditure 2018-19'!A92)+('[1]Actual Expenditure 2018-19'!A143)+('[1]Actual Expenditure 2018-19'!A187)+('[1]Actual Expenditure 2018-19'!A208)+('[1]Actual Expenditure 2018-19'!A251)+('[1]Actual Expenditure 2018-19'!A273)+('[1]Actual Expenditure 2018-19'!A292)+('[1]Actual Expenditure 2018-19'!A340)+('[1]Actual Expenditure 2018-19'!A365)+('[1]Actual Expenditure 2018-19'!A391)</f>
        <v>350000</v>
      </c>
      <c r="B23" s="25">
        <f>SUM('[1]Actual Expenditure 2018-19'!B25)+('[1]Actual Expenditure 2018-19'!B69)+('[1]Actual Expenditure 2018-19'!B92)+('[1]Actual Expenditure 2018-19'!B143)+('[1]Actual Expenditure 2018-19'!B187)+('[1]Actual Expenditure 2018-19'!B208)+('[1]Actual Expenditure 2018-19'!B251)+('[1]Actual Expenditure 2018-19'!B273)+('[1]Actual Expenditure 2018-19'!B292)+('[1]Actual Expenditure 2018-19'!B340)+('[1]Actual Expenditure 2018-19'!B365)+('[1]Actual Expenditure 2018-19'!B391)</f>
        <v>350000</v>
      </c>
      <c r="C23" s="9">
        <v>20</v>
      </c>
      <c r="D23" s="25" t="s">
        <v>77</v>
      </c>
      <c r="E23" s="25">
        <f>SUM('[1]Actual Expenditure 2018-19'!E25)+('[1]Actual Expenditure 2018-19'!E51)+('[1]Actual Expenditure 2018-19'!E69)+('[1]Actual Expenditure 2018-19'!E92)+('[1]Actual Expenditure 2018-19'!E143)+('[1]Actual Expenditure 2018-19'!E187)+('[1]Actual Expenditure 2018-19'!E208)+('[1]Actual Expenditure 2018-19'!E251)+('[1]Actual Expenditure 2018-19'!E273)+('[1]Actual Expenditure 2018-19'!E292)+('[1]Actual Expenditure 2018-19'!E340)+('[1]Actual Expenditure 2018-19'!E365)+('[1]Actual Expenditure 2018-19'!E391)</f>
        <v>380000</v>
      </c>
      <c r="F23" s="25">
        <f>SUM('[1]Actual Expenditure 2018-19'!F25)+('[1]Actual Expenditure 2018-19'!F69)+('[1]Actual Expenditure 2018-19'!F92)+('[1]Actual Expenditure 2018-19'!F143)+('[1]Actual Expenditure 2018-19'!F187)+('[1]Actual Expenditure 2018-19'!F208)+('[1]Actual Expenditure 2018-19'!F251)+('[1]Actual Expenditure 2018-19'!F292)+('[1]Actual Expenditure 2018-19'!F340)+('[1]Actual Expenditure 2018-19'!F365)+('[1]Actual Expenditure 2018-19'!F391)</f>
        <v>0</v>
      </c>
      <c r="G23" s="25">
        <f>SUM('[1]Actual Expenditure 2018-19'!G25)+('[1]Actual Expenditure 2018-19'!G51)+('[1]Actual Expenditure 2018-19'!G69)+('[1]Actual Expenditure 2018-19'!G92)+('[1]Actual Expenditure 2018-19'!G143)+('[1]Actual Expenditure 2018-19'!G187)+('[1]Actual Expenditure 2018-19'!G208)+('[1]Actual Expenditure 2018-19'!G251)+('[1]Actual Expenditure 2018-19'!G273)+('[1]Actual Expenditure 2018-19'!G292)+('[1]Actual Expenditure 2018-19'!G340)+('[1]Actual Expenditure 2018-19'!G365)+('[1]Actual Expenditure 2018-19'!G391)</f>
        <v>1361</v>
      </c>
      <c r="H23" s="25">
        <f>SUM('[1]Actual Expenditure 2018-19'!H25)+('[1]Actual Expenditure 2018-19'!H69)+('[1]Actual Expenditure 2018-19'!H92)+('[1]Actual Expenditure 2018-19'!H143)+('[1]Actual Expenditure 2018-19'!H187)+('[1]Actual Expenditure 2018-19'!H208)+('[1]Actual Expenditure 2018-19'!H251)+('[1]Actual Expenditure 2018-19'!H273)+('[1]Actual Expenditure 2018-19'!H292)+('[1]Actual Expenditure 2018-19'!H340)+('[1]Actual Expenditure 2018-19'!H365)+('[1]Actual Expenditure 2018-19'!H391)</f>
        <v>0</v>
      </c>
      <c r="I23" s="25">
        <f>SUM('[1]Actual Expenditure 2018-19'!I25)+('[1]Actual Expenditure 2018-19'!I69)+('[1]Actual Expenditure 2018-19'!I92)+('[1]Actual Expenditure 2018-19'!I143)+('[1]Actual Expenditure 2018-19'!I187)+('[1]Actual Expenditure 2018-19'!I208)+('[1]Actual Expenditure 2018-19'!I251)+('[1]Actual Expenditure 2018-19'!I292)+('[1]Actual Expenditure 2018-19'!I340)+('[1]Actual Expenditure 2018-19'!I365)+('[1]Actual Expenditure 2018-19'!I391)</f>
        <v>0</v>
      </c>
      <c r="J23" s="25">
        <f>SUM('[1]Actual Expenditure 2018-19'!J25)+('[1]Actual Expenditure 2018-19'!J69)+('[1]Actual Expenditure 2018-19'!J92)+('[1]Actual Expenditure 2018-19'!J143)+('[1]Actual Expenditure 2018-19'!J187)+('[1]Actual Expenditure 2018-19'!J208)+('[1]Actual Expenditure 2018-19'!J251)+('[1]Actual Expenditure 2018-19'!J273)+('[1]Actual Expenditure 2018-19'!J292)+('[1]Actual Expenditure 2018-19'!J340)+('[1]Actual Expenditure 2018-19'!J365)+('[1]Actual Expenditure 2018-19'!J391)</f>
        <v>0</v>
      </c>
      <c r="K23" s="25">
        <f>SUM('[1]Actual Expenditure 2018-19'!K25)+('[1]Actual Expenditure 2018-19'!K69)+('[1]Actual Expenditure 2018-19'!K92)+('[1]Actual Expenditure 2018-19'!K143)+('[1]Actual Expenditure 2018-19'!K187)+('[1]Actual Expenditure 2018-19'!K208)+('[1]Actual Expenditure 2018-19'!K251)+('[1]Actual Expenditure 2018-19'!K273)+('[1]Actual Expenditure 2018-19'!K292)+('[1]Actual Expenditure 2018-19'!K340)+('[1]Actual Expenditure 2018-19'!K365)+('[1]Actual Expenditure 2018-19'!K391)</f>
        <v>29737</v>
      </c>
      <c r="L23" s="25">
        <v>250000</v>
      </c>
      <c r="M23" s="52">
        <v>82529</v>
      </c>
      <c r="N23" s="25">
        <f>SUM('[1]Actual Expenditure 2018-19'!M25)+('[1]Actual Expenditure 2018-19'!M69)+('[1]Actual Expenditure 2018-19'!M92)+('[1]Actual Expenditure 2018-19'!M143)+('[1]Actual Expenditure 2018-19'!M187)+('[1]Actual Expenditure 2018-19'!M208)+('[1]Actual Expenditure 2018-19'!M251)+('[1]Actual Expenditure 2018-19'!M273)+('[1]Actual Expenditure 2018-19'!M292)+('[1]Actual Expenditure 2018-19'!M340)+('[1]Actual Expenditure 2018-19'!M365)+('[1]Actual Expenditure 2018-19'!M391)</f>
        <v>0</v>
      </c>
      <c r="O23" s="25">
        <f>SUM('[1]Actual Expenditure 2018-19'!N25)+('[1]Actual Expenditure 2018-19'!N69)+('[1]Actual Expenditure 2018-19'!N92)+('[1]Actual Expenditure 2018-19'!N143)+('[1]Actual Expenditure 2018-19'!N187)+('[1]Actual Expenditure 2018-19'!N208)+('[1]Actual Expenditure 2018-19'!N251)+('[1]Actual Expenditure 2018-19'!N273)+('[1]Actual Expenditure 2018-19'!N292)+('[1]Actual Expenditure 2018-19'!N340)+('[1]Actual Expenditure 2018-19'!N365)+('[1]Actual Expenditure 2018-19'!N391)</f>
        <v>0</v>
      </c>
      <c r="P23" s="25">
        <f>SUM('[1]Actual Expenditure 2018-19'!O25)+('[1]Actual Expenditure 2018-19'!O69)+('[1]Actual Expenditure 2018-19'!O92)+('[1]Actual Expenditure 2018-19'!O143)+('[1]Actual Expenditure 2018-19'!O187)+('[1]Actual Expenditure 2018-19'!O208)+('[1]Actual Expenditure 2018-19'!O251)+('[1]Actual Expenditure 2018-19'!O273)+('[1]Actual Expenditure 2018-19'!O292)+('[1]Actual Expenditure 2018-19'!O340)+('[1]Actual Expenditure 2018-19'!O365)+('[1]Actual Expenditure 2018-19'!O391)</f>
        <v>0</v>
      </c>
      <c r="Q23" s="25">
        <f>SUM('[1]Actual Expenditure 2018-19'!P25)+('[1]Actual Expenditure 2018-19'!P69)+('[1]Actual Expenditure 2018-19'!P92)+('[1]Actual Expenditure 2018-19'!P143)+('[1]Actual Expenditure 2018-19'!P187)+('[1]Actual Expenditure 2018-19'!P208)+('[1]Actual Expenditure 2018-19'!P251)+('[1]Actual Expenditure 2018-19'!P273)+('[1]Actual Expenditure 2018-19'!P292)+('[1]Actual Expenditure 2018-19'!P340)+('[1]Actual Expenditure 2018-19'!P365)+('[1]Actual Expenditure 2018-19'!P391)</f>
        <v>0</v>
      </c>
      <c r="R23" s="25">
        <f>SUM('[1]Actual Expenditure 2018-19'!Q25)+('[1]Actual Expenditure 2018-19'!Q69)+('[1]Actual Expenditure 2018-19'!Q92)+('[1]Actual Expenditure 2018-19'!Q143)+('[1]Actual Expenditure 2018-19'!Q187)+('[1]Actual Expenditure 2018-19'!Q208)+('[1]Actual Expenditure 2018-19'!Q251)+('[1]Actual Expenditure 2018-19'!Q273)+('[1]Actual Expenditure 2018-19'!Q292)+('[1]Actual Expenditure 2018-19'!Q340)+('[1]Actual Expenditure 2018-19'!Q365)+('[1]Actual Expenditure 2018-19'!Q391)</f>
        <v>0</v>
      </c>
      <c r="S23" s="25">
        <f>SUM('[1]Actual Expenditure 2018-19'!R25)+('[1]Actual Expenditure 2018-19'!R69)+('[1]Actual Expenditure 2018-19'!R92)+('[1]Actual Expenditure 2018-19'!R143)+('[1]Actual Expenditure 2018-19'!R187)+('[1]Actual Expenditure 2018-19'!R208)+('[1]Actual Expenditure 2018-19'!R251)+('[1]Actual Expenditure 2018-19'!R292)+('[1]Actual Expenditure 2018-19'!R340)+('[1]Actual Expenditure 2018-19'!R365)+('[1]Actual Expenditure 2018-19'!R391)</f>
        <v>0</v>
      </c>
      <c r="T23" s="21">
        <f t="shared" si="27"/>
        <v>0.35815789473684206</v>
      </c>
      <c r="U23" s="21">
        <f t="shared" si="28"/>
        <v>0</v>
      </c>
      <c r="V23" s="21">
        <f t="shared" si="29"/>
        <v>0</v>
      </c>
      <c r="W23" s="21">
        <f t="shared" si="30"/>
        <v>0</v>
      </c>
      <c r="X23" s="21">
        <f t="shared" si="0"/>
        <v>7.8255263157894728</v>
      </c>
      <c r="Y23" s="21">
        <f t="shared" si="26"/>
        <v>33.011600000000001</v>
      </c>
      <c r="Z23" s="21">
        <f t="shared" si="31"/>
        <v>0</v>
      </c>
      <c r="AA23" s="21">
        <f t="shared" si="32"/>
        <v>0</v>
      </c>
      <c r="AB23" s="21">
        <f t="shared" si="33"/>
        <v>0</v>
      </c>
      <c r="AC23" s="21">
        <f t="shared" si="34"/>
        <v>0</v>
      </c>
      <c r="AD23" s="21">
        <f t="shared" si="35"/>
        <v>0</v>
      </c>
      <c r="AE23" s="21">
        <f t="shared" si="36"/>
        <v>0</v>
      </c>
      <c r="AF23" s="21" t="e">
        <f t="shared" ref="AF23:AF28" si="37">P23/F23*100</f>
        <v>#DIV/0!</v>
      </c>
      <c r="AG23" s="21" t="e">
        <f t="shared" ref="AG23:AG28" si="38">Q23/F23*100</f>
        <v>#DIV/0!</v>
      </c>
      <c r="AH23" s="21" t="e">
        <f t="shared" ref="AH23:AH28" si="39">R23/F23*100</f>
        <v>#DIV/0!</v>
      </c>
      <c r="AI23" s="21" t="e">
        <f t="shared" ref="AI23:AI28" si="40">S23/F23*100</f>
        <v>#DIV/0!</v>
      </c>
      <c r="AJ23" s="25">
        <v>2043</v>
      </c>
      <c r="AK23" s="21">
        <f t="shared" ref="AK23:AK28" si="41">AJ23/A23*100</f>
        <v>0.58371428571428563</v>
      </c>
      <c r="AL23" s="25">
        <v>9222</v>
      </c>
      <c r="AM23" s="21">
        <f t="shared" ref="AM23:AM28" si="42">AL23/A23*100</f>
        <v>2.6348571428571428</v>
      </c>
      <c r="AN23" s="25">
        <v>14886</v>
      </c>
      <c r="AO23" s="21">
        <f t="shared" ref="AO23:AO28" si="43">AN23/A23*100</f>
        <v>4.2531428571428576</v>
      </c>
      <c r="AP23" s="25">
        <v>21110</v>
      </c>
      <c r="AQ23" s="21">
        <f t="shared" si="13"/>
        <v>6.031428571428572</v>
      </c>
      <c r="AR23" s="51">
        <v>31043</v>
      </c>
      <c r="AS23" s="21">
        <f t="shared" si="14"/>
        <v>8.8694285714285712</v>
      </c>
      <c r="AT23" s="25">
        <v>42218</v>
      </c>
      <c r="AU23" s="21">
        <f t="shared" si="15"/>
        <v>12.062285714285714</v>
      </c>
      <c r="AV23" s="52">
        <v>72933</v>
      </c>
      <c r="AW23" s="21">
        <f t="shared" ref="AW23:AW28" si="44">AV23/A23*100</f>
        <v>20.838000000000001</v>
      </c>
      <c r="AX23" s="52">
        <v>90870</v>
      </c>
      <c r="AY23" s="21">
        <f t="shared" si="17"/>
        <v>25.962857142857143</v>
      </c>
      <c r="AZ23" s="52">
        <v>97738</v>
      </c>
      <c r="BA23" s="21">
        <f t="shared" ref="BA23:BA28" si="45">AZ23/A23*100</f>
        <v>27.925142857142859</v>
      </c>
      <c r="BB23" s="21">
        <f t="shared" ref="BB23:BB28" si="46">AZ23/B23*100</f>
        <v>27.925142857142859</v>
      </c>
      <c r="BC23" s="52">
        <v>190736</v>
      </c>
      <c r="BD23" s="21">
        <f t="shared" si="20"/>
        <v>54.496000000000002</v>
      </c>
      <c r="BE23" s="21">
        <f t="shared" ref="BE23:BE28" si="47">BC23/B23*100</f>
        <v>54.496000000000002</v>
      </c>
      <c r="BF23" s="52">
        <v>205999</v>
      </c>
      <c r="BG23" s="21">
        <f t="shared" si="22"/>
        <v>58.856857142857145</v>
      </c>
      <c r="BH23" s="21">
        <f t="shared" ref="BH23:BH28" si="48">BF23/B23*100</f>
        <v>58.856857142857145</v>
      </c>
      <c r="BI23" s="52">
        <v>0</v>
      </c>
      <c r="BJ23" s="21">
        <f t="shared" si="24"/>
        <v>0</v>
      </c>
      <c r="BK23" s="21">
        <f t="shared" ref="BK23:BK28" si="49">BI23/B23*100</f>
        <v>0</v>
      </c>
    </row>
    <row r="24" spans="1:63" ht="18" x14ac:dyDescent="0.4">
      <c r="A24" s="25">
        <f>SUM('[1]Actual Expenditure 2018-19'!A209)+SUM('[1]Actual Expenditure 2018-19'!A252)+SUM('[1]Actual Expenditure 2018-19'!A274)+SUM('[1]Actual Expenditure 2018-19'!A341)+SUM('[1]Actual Expenditure 2018-19'!A366)</f>
        <v>1700000</v>
      </c>
      <c r="B24" s="25">
        <f>SUM('[1]Actual Expenditure 2018-19'!B209)+SUM('[1]Actual Expenditure 2018-19'!B252)+SUM('[1]Actual Expenditure 2018-19'!B274)+SUM('[1]Actual Expenditure 2018-19'!B341)+SUM('[1]Actual Expenditure 2018-19'!B366)</f>
        <v>1250000</v>
      </c>
      <c r="C24" s="9">
        <v>26</v>
      </c>
      <c r="D24" s="25" t="s">
        <v>78</v>
      </c>
      <c r="E24" s="25">
        <f>SUM('[1]Actual Expenditure 2018-19'!E209)+('[1]Actual Expenditure 2018-19'!E252)+('[1]Actual Expenditure 2018-19'!E274)+('[1]Actual Expenditure 2018-19'!E341)+SUM('[1]Actual Expenditure 2018-19'!E366)</f>
        <v>1450000</v>
      </c>
      <c r="F24" s="25">
        <f>SUM('[1]Actual Expenditure 2018-19'!F209)+('[1]Actual Expenditure 2018-19'!F252)+('[1]Actual Expenditure 2018-19'!F274)+('[1]Actual Expenditure 2018-19'!F341)+SUM('[1]Actual Expenditure 2018-19'!F366)</f>
        <v>0</v>
      </c>
      <c r="G24" s="25">
        <f>SUM('[1]Actual Expenditure 2018-19'!G209)+('[1]Actual Expenditure 2018-19'!G252)+('[1]Actual Expenditure 2018-19'!G274)+('[1]Actual Expenditure 2018-19'!G341)+SUM('[1]Actual Expenditure 2018-19'!G366)</f>
        <v>297</v>
      </c>
      <c r="H24" s="25">
        <f>SUM('[1]Actual Expenditure 2018-19'!H209)+('[1]Actual Expenditure 2018-19'!H252)+('[1]Actual Expenditure 2018-19'!H274)+('[1]Actual Expenditure 2018-19'!H341)+SUM('[1]Actual Expenditure 2018-19'!H366)</f>
        <v>0</v>
      </c>
      <c r="I24" s="25">
        <f>SUM('[1]Actual Expenditure 2018-19'!I209)+('[1]Actual Expenditure 2018-19'!I252)+('[1]Actual Expenditure 2018-19'!I274)+('[1]Actual Expenditure 2018-19'!I341)+SUM('[1]Actual Expenditure 2018-19'!I366)</f>
        <v>0</v>
      </c>
      <c r="J24" s="25">
        <f>SUM('[1]Actual Expenditure 2018-19'!J209)+('[1]Actual Expenditure 2018-19'!J252)+('[1]Actual Expenditure 2018-19'!J274)+('[1]Actual Expenditure 2018-19'!J341)+SUM('[1]Actual Expenditure 2018-19'!J366)</f>
        <v>0</v>
      </c>
      <c r="K24" s="25">
        <f>SUM('[1]Actual Expenditure 2018-19'!K209)+('[1]Actual Expenditure 2018-19'!K252)+('[1]Actual Expenditure 2018-19'!K274)+('[1]Actual Expenditure 2018-19'!K341)+SUM('[1]Actual Expenditure 2018-19'!K366)</f>
        <v>5113</v>
      </c>
      <c r="L24" s="25">
        <v>190000</v>
      </c>
      <c r="M24" s="52">
        <v>68755</v>
      </c>
      <c r="N24" s="25">
        <f>SUM('[1]Actual Expenditure 2018-19'!M209)+('[1]Actual Expenditure 2018-19'!M252)+('[1]Actual Expenditure 2018-19'!M274)+('[1]Actual Expenditure 2018-19'!M341)+SUM('[1]Actual Expenditure 2018-19'!M366)</f>
        <v>0</v>
      </c>
      <c r="O24" s="25">
        <f>SUM('[1]Actual Expenditure 2018-19'!N209)+('[1]Actual Expenditure 2018-19'!N252)+('[1]Actual Expenditure 2018-19'!N274)+('[1]Actual Expenditure 2018-19'!N341)+SUM('[1]Actual Expenditure 2018-19'!N366)</f>
        <v>0</v>
      </c>
      <c r="P24" s="25">
        <f>SUM('[1]Actual Expenditure 2018-19'!O209)+('[1]Actual Expenditure 2018-19'!O252)+('[1]Actual Expenditure 2018-19'!O274)+('[1]Actual Expenditure 2018-19'!O341)+SUM('[1]Actual Expenditure 2018-19'!O366)</f>
        <v>0</v>
      </c>
      <c r="Q24" s="25">
        <f>SUM('[1]Actual Expenditure 2018-19'!P209)+('[1]Actual Expenditure 2018-19'!P252)+('[1]Actual Expenditure 2018-19'!P274)+('[1]Actual Expenditure 2018-19'!P341)+SUM('[1]Actual Expenditure 2018-19'!P366)</f>
        <v>0</v>
      </c>
      <c r="R24" s="25">
        <f>SUM('[1]Actual Expenditure 2018-19'!Q209)+('[1]Actual Expenditure 2018-19'!Q252)+('[1]Actual Expenditure 2018-19'!Q274)+('[1]Actual Expenditure 2018-19'!Q341)+SUM('[1]Actual Expenditure 2018-19'!Q366)</f>
        <v>0</v>
      </c>
      <c r="S24" s="25">
        <f>SUM('[1]Actual Expenditure 2018-19'!R209)+('[1]Actual Expenditure 2018-19'!R252)+('[1]Actual Expenditure 2018-19'!R274)+('[1]Actual Expenditure 2018-19'!R341)+SUM('[1]Actual Expenditure 2018-19'!R366)</f>
        <v>0</v>
      </c>
      <c r="T24" s="21">
        <f t="shared" si="27"/>
        <v>2.0482758620689656E-2</v>
      </c>
      <c r="U24" s="21">
        <f t="shared" si="28"/>
        <v>0</v>
      </c>
      <c r="V24" s="21">
        <f t="shared" si="29"/>
        <v>0</v>
      </c>
      <c r="W24" s="21">
        <f t="shared" si="30"/>
        <v>0</v>
      </c>
      <c r="X24" s="21">
        <f t="shared" si="0"/>
        <v>0.3526206896551724</v>
      </c>
      <c r="Y24" s="21">
        <f t="shared" si="26"/>
        <v>36.186842105263153</v>
      </c>
      <c r="Z24" s="21">
        <f t="shared" si="31"/>
        <v>0</v>
      </c>
      <c r="AA24" s="21">
        <f t="shared" si="32"/>
        <v>0</v>
      </c>
      <c r="AB24" s="21">
        <f t="shared" si="33"/>
        <v>0</v>
      </c>
      <c r="AC24" s="21">
        <f t="shared" si="34"/>
        <v>0</v>
      </c>
      <c r="AD24" s="21">
        <f t="shared" si="35"/>
        <v>0</v>
      </c>
      <c r="AE24" s="21">
        <f t="shared" si="36"/>
        <v>0</v>
      </c>
      <c r="AF24" s="21" t="e">
        <f t="shared" si="37"/>
        <v>#DIV/0!</v>
      </c>
      <c r="AG24" s="21" t="e">
        <f t="shared" si="38"/>
        <v>#DIV/0!</v>
      </c>
      <c r="AH24" s="21" t="e">
        <f t="shared" si="39"/>
        <v>#DIV/0!</v>
      </c>
      <c r="AI24" s="21" t="e">
        <f t="shared" si="40"/>
        <v>#DIV/0!</v>
      </c>
      <c r="AJ24" s="25">
        <v>650</v>
      </c>
      <c r="AK24" s="21">
        <f t="shared" si="41"/>
        <v>3.8235294117647062E-2</v>
      </c>
      <c r="AL24" s="25">
        <v>1843</v>
      </c>
      <c r="AM24" s="21">
        <f t="shared" si="42"/>
        <v>0.10841176470588235</v>
      </c>
      <c r="AN24" s="25">
        <v>3337</v>
      </c>
      <c r="AO24" s="21">
        <f t="shared" si="43"/>
        <v>0.19629411764705884</v>
      </c>
      <c r="AP24" s="25">
        <v>25960</v>
      </c>
      <c r="AQ24" s="21">
        <f t="shared" si="13"/>
        <v>1.5270588235294118</v>
      </c>
      <c r="AR24" s="51">
        <v>140765</v>
      </c>
      <c r="AS24" s="21">
        <f t="shared" si="14"/>
        <v>8.2802941176470597</v>
      </c>
      <c r="AT24" s="25">
        <v>174796</v>
      </c>
      <c r="AU24" s="21">
        <f t="shared" si="15"/>
        <v>10.282117647058824</v>
      </c>
      <c r="AV24" s="52">
        <v>270629</v>
      </c>
      <c r="AW24" s="21">
        <f t="shared" si="44"/>
        <v>15.91935294117647</v>
      </c>
      <c r="AX24" s="52">
        <v>342586</v>
      </c>
      <c r="AY24" s="21">
        <f t="shared" si="17"/>
        <v>20.152117647058823</v>
      </c>
      <c r="AZ24" s="52">
        <v>582189</v>
      </c>
      <c r="BA24" s="21">
        <f t="shared" si="45"/>
        <v>34.246411764705883</v>
      </c>
      <c r="BB24" s="21">
        <f t="shared" si="46"/>
        <v>46.575119999999998</v>
      </c>
      <c r="BC24" s="52">
        <v>616719</v>
      </c>
      <c r="BD24" s="21">
        <f t="shared" si="20"/>
        <v>36.277588235294118</v>
      </c>
      <c r="BE24" s="21">
        <f t="shared" si="47"/>
        <v>49.337519999999998</v>
      </c>
      <c r="BF24" s="52">
        <v>695365</v>
      </c>
      <c r="BG24" s="21">
        <f t="shared" si="22"/>
        <v>40.903823529411767</v>
      </c>
      <c r="BH24" s="21">
        <f t="shared" si="48"/>
        <v>55.629199999999997</v>
      </c>
      <c r="BI24" s="52">
        <v>0</v>
      </c>
      <c r="BJ24" s="21">
        <f t="shared" si="24"/>
        <v>0</v>
      </c>
      <c r="BK24" s="21">
        <f t="shared" si="49"/>
        <v>0</v>
      </c>
    </row>
    <row r="25" spans="1:63" ht="18" x14ac:dyDescent="0.4">
      <c r="A25" s="25">
        <f>SUM('[1]Actual Expenditure 2018-19'!A26)+('[1]Actual Expenditure 2018-19'!A52)+('[1]Actual Expenditure 2018-19'!A93)+('[1]Actual Expenditure 2018-19'!A123)+('[1]Actual Expenditure 2018-19'!A144)+('[1]Actual Expenditure 2018-19'!A427)+('[1]Actual Expenditure 2018-19'!A456)</f>
        <v>700000</v>
      </c>
      <c r="B25" s="25">
        <f>SUM('[1]Actual Expenditure 2018-19'!B26)+('[1]Actual Expenditure 2018-19'!B52)+('[1]Actual Expenditure 2018-19'!B93)+('[1]Actual Expenditure 2018-19'!B123)+('[1]Actual Expenditure 2018-19'!B144)+('[1]Actual Expenditure 2018-19'!B427)+('[1]Actual Expenditure 2018-19'!B456)</f>
        <v>766000</v>
      </c>
      <c r="C25" s="9">
        <v>27</v>
      </c>
      <c r="D25" s="25" t="s">
        <v>79</v>
      </c>
      <c r="E25" s="25">
        <f>SUM('[1]Actual Expenditure 2018-19'!E26)+('[1]Actual Expenditure 2018-19'!E52)+('[1]Actual Expenditure 2018-19'!E93)+('[1]Actual Expenditure 2018-19'!E123)+('[1]Actual Expenditure 2018-19'!E144)+('[1]Actual Expenditure 2018-19'!E427)+('[1]Actual Expenditure 2018-19'!E456)</f>
        <v>830000</v>
      </c>
      <c r="F25" s="25">
        <f>SUM('[1]Actual Expenditure 2018-19'!F26)+('[1]Actual Expenditure 2018-19'!F93)+('[1]Actual Expenditure 2018-19'!F144)+('[1]Actual Expenditure 2018-19'!F427)+('[1]Actual Expenditure 2018-19'!F456)</f>
        <v>0</v>
      </c>
      <c r="G25" s="25">
        <f>SUM('[1]Actual Expenditure 2018-19'!G26)+('[1]Actual Expenditure 2018-19'!G52)+('[1]Actual Expenditure 2018-19'!G93)+('[1]Actual Expenditure 2018-19'!G123)+('[1]Actual Expenditure 2018-19'!G144)+('[1]Actual Expenditure 2018-19'!G427)+('[1]Actual Expenditure 2018-19'!G456)</f>
        <v>577</v>
      </c>
      <c r="H25" s="25">
        <f>SUM('[1]Actual Expenditure 2018-19'!H26)+('[1]Actual Expenditure 2018-19'!H52)+('[1]Actual Expenditure 2018-19'!H93)+('[1]Actual Expenditure 2018-19'!H123)+('[1]Actual Expenditure 2018-19'!H144)+('[1]Actual Expenditure 2018-19'!H427)+('[1]Actual Expenditure 2018-19'!H456)</f>
        <v>0</v>
      </c>
      <c r="I25" s="25">
        <f>SUM('[1]Actual Expenditure 2018-19'!I26)+('[1]Actual Expenditure 2018-19'!I52)+('[1]Actual Expenditure 2018-19'!I93)+('[1]Actual Expenditure 2018-19'!I123)+('[1]Actual Expenditure 2018-19'!I144)+('[1]Actual Expenditure 2018-19'!I427)+('[1]Actual Expenditure 2018-19'!I456)</f>
        <v>0</v>
      </c>
      <c r="J25" s="25">
        <f>SUM('[1]Actual Expenditure 2018-19'!J26)+('[1]Actual Expenditure 2018-19'!J52)+('[1]Actual Expenditure 2018-19'!J93)+('[1]Actual Expenditure 2018-19'!J123)+('[1]Actual Expenditure 2018-19'!J144)+('[1]Actual Expenditure 2018-19'!J427)+('[1]Actual Expenditure 2018-19'!J456)</f>
        <v>0</v>
      </c>
      <c r="K25" s="25">
        <f>SUM('[1]Actual Expenditure 2018-19'!K26)+('[1]Actual Expenditure 2018-19'!K52)+('[1]Actual Expenditure 2018-19'!K93)+('[1]Actual Expenditure 2018-19'!K123)+('[1]Actual Expenditure 2018-19'!K144)+('[1]Actual Expenditure 2018-19'!K427)+('[1]Actual Expenditure 2018-19'!K456)</f>
        <v>19077</v>
      </c>
      <c r="L25" s="25">
        <v>935000</v>
      </c>
      <c r="M25" s="52">
        <v>226340</v>
      </c>
      <c r="N25" s="25">
        <f>SUM('[1]Actual Expenditure 2018-19'!M26)+('[1]Actual Expenditure 2018-19'!M52)+('[1]Actual Expenditure 2018-19'!M93)+('[1]Actual Expenditure 2018-19'!M123)+('[1]Actual Expenditure 2018-19'!M144)+('[1]Actual Expenditure 2018-19'!M427)+('[1]Actual Expenditure 2018-19'!M456)</f>
        <v>0</v>
      </c>
      <c r="O25" s="25">
        <f>SUM('[1]Actual Expenditure 2018-19'!N26)+('[1]Actual Expenditure 2018-19'!N52)+('[1]Actual Expenditure 2018-19'!N93)+('[1]Actual Expenditure 2018-19'!N123)+('[1]Actual Expenditure 2018-19'!N144)+('[1]Actual Expenditure 2018-19'!N427)+('[1]Actual Expenditure 2018-19'!N456)</f>
        <v>0</v>
      </c>
      <c r="P25" s="25">
        <f>SUM('[1]Actual Expenditure 2018-19'!O26)+('[1]Actual Expenditure 2018-19'!O52)+('[1]Actual Expenditure 2018-19'!O93)+('[1]Actual Expenditure 2018-19'!O123)+('[1]Actual Expenditure 2018-19'!O144)+('[1]Actual Expenditure 2018-19'!O427)+('[1]Actual Expenditure 2018-19'!O456)</f>
        <v>0</v>
      </c>
      <c r="Q25" s="25">
        <f>SUM('[1]Actual Expenditure 2018-19'!P26)+('[1]Actual Expenditure 2018-19'!P52)+('[1]Actual Expenditure 2018-19'!P93)+('[1]Actual Expenditure 2018-19'!P123)+('[1]Actual Expenditure 2018-19'!P144)+('[1]Actual Expenditure 2018-19'!P427)+('[1]Actual Expenditure 2018-19'!P456)</f>
        <v>0</v>
      </c>
      <c r="R25" s="25">
        <f>SUM('[1]Actual Expenditure 2018-19'!Q26)+('[1]Actual Expenditure 2018-19'!Q52)+('[1]Actual Expenditure 2018-19'!Q93)+('[1]Actual Expenditure 2018-19'!Q123)+('[1]Actual Expenditure 2018-19'!Q144)+('[1]Actual Expenditure 2018-19'!Q427)+('[1]Actual Expenditure 2018-19'!Q456)</f>
        <v>0</v>
      </c>
      <c r="S25" s="25">
        <f>SUM('[1]Actual Expenditure 2018-19'!R26)+('[1]Actual Expenditure 2018-19'!R52)+('[1]Actual Expenditure 2018-19'!R93)+('[1]Actual Expenditure 2018-19'!R144)+('[1]Actual Expenditure 2018-19'!R427)+('[1]Actual Expenditure 2018-19'!R456)</f>
        <v>0</v>
      </c>
      <c r="T25" s="21">
        <f t="shared" si="27"/>
        <v>6.9518072289156629E-2</v>
      </c>
      <c r="U25" s="21">
        <f t="shared" si="28"/>
        <v>0</v>
      </c>
      <c r="V25" s="21">
        <f t="shared" si="29"/>
        <v>0</v>
      </c>
      <c r="W25" s="21">
        <f t="shared" si="30"/>
        <v>0</v>
      </c>
      <c r="X25" s="21">
        <f t="shared" si="0"/>
        <v>2.298433734939759</v>
      </c>
      <c r="Y25" s="21">
        <f t="shared" si="26"/>
        <v>24.207486631016042</v>
      </c>
      <c r="Z25" s="21">
        <f t="shared" si="31"/>
        <v>0</v>
      </c>
      <c r="AA25" s="21">
        <f t="shared" si="32"/>
        <v>0</v>
      </c>
      <c r="AB25" s="21">
        <f t="shared" si="33"/>
        <v>0</v>
      </c>
      <c r="AC25" s="21">
        <f t="shared" si="34"/>
        <v>0</v>
      </c>
      <c r="AD25" s="21">
        <f t="shared" si="35"/>
        <v>0</v>
      </c>
      <c r="AE25" s="21">
        <f t="shared" si="36"/>
        <v>0</v>
      </c>
      <c r="AF25" s="21" t="e">
        <f t="shared" si="37"/>
        <v>#DIV/0!</v>
      </c>
      <c r="AG25" s="21" t="e">
        <f t="shared" si="38"/>
        <v>#DIV/0!</v>
      </c>
      <c r="AH25" s="21" t="e">
        <f t="shared" si="39"/>
        <v>#DIV/0!</v>
      </c>
      <c r="AI25" s="21" t="e">
        <f t="shared" si="40"/>
        <v>#DIV/0!</v>
      </c>
      <c r="AJ25" s="25">
        <v>1421</v>
      </c>
      <c r="AK25" s="21">
        <f t="shared" si="41"/>
        <v>0.20300000000000001</v>
      </c>
      <c r="AL25" s="25">
        <v>3162</v>
      </c>
      <c r="AM25" s="21">
        <f t="shared" si="42"/>
        <v>0.45171428571428568</v>
      </c>
      <c r="AN25" s="25">
        <v>4562</v>
      </c>
      <c r="AO25" s="21">
        <f t="shared" si="43"/>
        <v>0.65171428571428569</v>
      </c>
      <c r="AP25" s="25">
        <v>35492</v>
      </c>
      <c r="AQ25" s="21">
        <f t="shared" si="13"/>
        <v>5.0702857142857143</v>
      </c>
      <c r="AR25" s="51">
        <v>119474</v>
      </c>
      <c r="AS25" s="21">
        <f t="shared" si="14"/>
        <v>17.067714285714285</v>
      </c>
      <c r="AT25" s="25">
        <v>127528</v>
      </c>
      <c r="AU25" s="21">
        <f t="shared" si="15"/>
        <v>18.218285714285713</v>
      </c>
      <c r="AV25" s="52">
        <v>168733</v>
      </c>
      <c r="AW25" s="21">
        <f t="shared" si="44"/>
        <v>24.104714285714284</v>
      </c>
      <c r="AX25" s="52">
        <v>187551</v>
      </c>
      <c r="AY25" s="21">
        <f t="shared" si="17"/>
        <v>26.792999999999999</v>
      </c>
      <c r="AZ25" s="52">
        <v>231250</v>
      </c>
      <c r="BA25" s="21">
        <f t="shared" si="45"/>
        <v>33.035714285714285</v>
      </c>
      <c r="BB25" s="21">
        <f t="shared" si="46"/>
        <v>30.189295039164492</v>
      </c>
      <c r="BC25" s="52">
        <v>264564</v>
      </c>
      <c r="BD25" s="21">
        <f t="shared" si="20"/>
        <v>37.79485714285714</v>
      </c>
      <c r="BE25" s="21">
        <f t="shared" si="47"/>
        <v>34.538381201044388</v>
      </c>
      <c r="BF25" s="52">
        <v>350103</v>
      </c>
      <c r="BG25" s="21">
        <f t="shared" si="22"/>
        <v>50.014714285714291</v>
      </c>
      <c r="BH25" s="21">
        <f t="shared" si="48"/>
        <v>45.705352480417751</v>
      </c>
      <c r="BI25" s="52">
        <v>0</v>
      </c>
      <c r="BJ25" s="21">
        <f t="shared" si="24"/>
        <v>0</v>
      </c>
      <c r="BK25" s="21">
        <f t="shared" si="49"/>
        <v>0</v>
      </c>
    </row>
    <row r="26" spans="1:63" ht="18" x14ac:dyDescent="0.4">
      <c r="A26" s="25">
        <f>SUM('[1]Actual Expenditure 2018-19'!A27)+('[1]Actual Expenditure 2018-19'!A94)+('[1]Actual Expenditure 2018-19'!A145)+('[1]Actual Expenditure 2018-19'!A188)+('[1]Actual Expenditure 2018-19'!A210)+('[1]Actual Expenditure 2018-19'!A231)+('[1]Actual Expenditure 2018-19'!A275)+('[1]Actual Expenditure 2018-19'!A367)+('[1]Actual Expenditure 2018-19'!A413)</f>
        <v>400000</v>
      </c>
      <c r="B26" s="25">
        <f>SUM('[1]Actual Expenditure 2018-19'!B27)+('[1]Actual Expenditure 2018-19'!B94)+('[1]Actual Expenditure 2018-19'!B145)+('[1]Actual Expenditure 2018-19'!B188)+('[1]Actual Expenditure 2018-19'!B210)+('[1]Actual Expenditure 2018-19'!B231)+('[1]Actual Expenditure 2018-19'!B275)+('[1]Actual Expenditure 2018-19'!B367)+('[1]Actual Expenditure 2018-19'!B413)</f>
        <v>400000</v>
      </c>
      <c r="C26" s="9">
        <v>28</v>
      </c>
      <c r="D26" s="25" t="s">
        <v>80</v>
      </c>
      <c r="E26" s="25">
        <f>SUM('[1]Actual Expenditure 2018-19'!E27)+('[1]Actual Expenditure 2018-19'!E94)+('[1]Actual Expenditure 2018-19'!E145)+('[1]Actual Expenditure 2018-19'!E188)+('[1]Actual Expenditure 2018-19'!E210)+('[1]Actual Expenditure 2018-19'!E231)+('[1]Actual Expenditure 2018-19'!E275)+('[1]Actual Expenditure 2018-19'!E367)+('[1]Actual Expenditure 2018-19'!E413)</f>
        <v>400000</v>
      </c>
      <c r="F26" s="25">
        <f>SUM('[1]Actual Expenditure 2018-19'!F27)+('[1]Actual Expenditure 2018-19'!F94)+('[1]Actual Expenditure 2018-19'!F145)+('[1]Actual Expenditure 2018-19'!F188)+('[1]Actual Expenditure 2018-19'!F210)+('[1]Actual Expenditure 2018-19'!F275)+('[1]Actual Expenditure 2018-19'!F367)+('[1]Actual Expenditure 2018-19'!F413)</f>
        <v>0</v>
      </c>
      <c r="G26" s="25">
        <f>SUM('[1]Actual Expenditure 2018-19'!G27)+('[1]Actual Expenditure 2018-19'!G94)+('[1]Actual Expenditure 2018-19'!G145)+('[1]Actual Expenditure 2018-19'!G188)+('[1]Actual Expenditure 2018-19'!G210)+('[1]Actual Expenditure 2018-19'!G231)+('[1]Actual Expenditure 2018-19'!G275)+('[1]Actual Expenditure 2018-19'!G367)+('[1]Actual Expenditure 2018-19'!G413)</f>
        <v>5987</v>
      </c>
      <c r="H26" s="25">
        <f>SUM('[1]Actual Expenditure 2018-19'!H27)+('[1]Actual Expenditure 2018-19'!H94)+('[1]Actual Expenditure 2018-19'!H145)+('[1]Actual Expenditure 2018-19'!H188)+('[1]Actual Expenditure 2018-19'!H210)+('[1]Actual Expenditure 2018-19'!H231)+('[1]Actual Expenditure 2018-19'!H275)+('[1]Actual Expenditure 2018-19'!H367)+('[1]Actual Expenditure 2018-19'!H413)</f>
        <v>0</v>
      </c>
      <c r="I26" s="25">
        <f>SUM('[1]Actual Expenditure 2018-19'!I27)+('[1]Actual Expenditure 2018-19'!I94)+('[1]Actual Expenditure 2018-19'!I145)+('[1]Actual Expenditure 2018-19'!I188)+('[1]Actual Expenditure 2018-19'!I210)+('[1]Actual Expenditure 2018-19'!I231)+('[1]Actual Expenditure 2018-19'!I275)+('[1]Actual Expenditure 2018-19'!I367)+('[1]Actual Expenditure 2018-19'!I413)</f>
        <v>0</v>
      </c>
      <c r="J26" s="25">
        <f>SUM('[1]Actual Expenditure 2018-19'!J27)+('[1]Actual Expenditure 2018-19'!J94)+('[1]Actual Expenditure 2018-19'!J145)+('[1]Actual Expenditure 2018-19'!J188)+('[1]Actual Expenditure 2018-19'!J210)+('[1]Actual Expenditure 2018-19'!J231)+('[1]Actual Expenditure 2018-19'!J275)+('[1]Actual Expenditure 2018-19'!J367)+('[1]Actual Expenditure 2018-19'!J413)</f>
        <v>0</v>
      </c>
      <c r="K26" s="25">
        <f>SUM('[1]Actual Expenditure 2018-19'!K27)+('[1]Actual Expenditure 2018-19'!K94)+('[1]Actual Expenditure 2018-19'!K145)+('[1]Actual Expenditure 2018-19'!K188)+('[1]Actual Expenditure 2018-19'!K210)+('[1]Actual Expenditure 2018-19'!K231)+('[1]Actual Expenditure 2018-19'!K275)+('[1]Actual Expenditure 2018-19'!K367)+('[1]Actual Expenditure 2018-19'!K413)</f>
        <v>85290</v>
      </c>
      <c r="L26" s="25">
        <v>470000</v>
      </c>
      <c r="M26" s="52">
        <v>237611</v>
      </c>
      <c r="N26" s="25">
        <f>SUM('[1]Actual Expenditure 2018-19'!M27)+('[1]Actual Expenditure 2018-19'!M94)+('[1]Actual Expenditure 2018-19'!M145)+('[1]Actual Expenditure 2018-19'!M188)+('[1]Actual Expenditure 2018-19'!M210)+('[1]Actual Expenditure 2018-19'!M231)+('[1]Actual Expenditure 2018-19'!M275)+('[1]Actual Expenditure 2018-19'!M367)+('[1]Actual Expenditure 2018-19'!M413)</f>
        <v>0</v>
      </c>
      <c r="O26" s="25">
        <f>SUM('[1]Actual Expenditure 2018-19'!N27)+('[1]Actual Expenditure 2018-19'!N94)+('[1]Actual Expenditure 2018-19'!N145)+('[1]Actual Expenditure 2018-19'!N188)+('[1]Actual Expenditure 2018-19'!N210)+('[1]Actual Expenditure 2018-19'!N231)+('[1]Actual Expenditure 2018-19'!N275)+('[1]Actual Expenditure 2018-19'!N367)+('[1]Actual Expenditure 2018-19'!N413)</f>
        <v>0</v>
      </c>
      <c r="P26" s="25">
        <f>SUM('[1]Actual Expenditure 2018-19'!O27)+('[1]Actual Expenditure 2018-19'!O94)+('[1]Actual Expenditure 2018-19'!O145)+('[1]Actual Expenditure 2018-19'!O188)+('[1]Actual Expenditure 2018-19'!O210)+('[1]Actual Expenditure 2018-19'!O231)+('[1]Actual Expenditure 2018-19'!O275)+('[1]Actual Expenditure 2018-19'!O367)+('[1]Actual Expenditure 2018-19'!O413)</f>
        <v>0</v>
      </c>
      <c r="Q26" s="25">
        <f>SUM('[1]Actual Expenditure 2018-19'!P27)+('[1]Actual Expenditure 2018-19'!P94)+('[1]Actual Expenditure 2018-19'!P145)+('[1]Actual Expenditure 2018-19'!P188)+('[1]Actual Expenditure 2018-19'!P210)+('[1]Actual Expenditure 2018-19'!P231)+('[1]Actual Expenditure 2018-19'!P275)+('[1]Actual Expenditure 2018-19'!P367)+('[1]Actual Expenditure 2018-19'!P413)</f>
        <v>0</v>
      </c>
      <c r="R26" s="25">
        <f>SUM('[1]Actual Expenditure 2018-19'!Q27)+('[1]Actual Expenditure 2018-19'!Q94)+('[1]Actual Expenditure 2018-19'!Q145)+('[1]Actual Expenditure 2018-19'!Q188)+('[1]Actual Expenditure 2018-19'!Q210)+('[1]Actual Expenditure 2018-19'!Q231)+('[1]Actual Expenditure 2018-19'!Q275)+('[1]Actual Expenditure 2018-19'!Q367)+('[1]Actual Expenditure 2018-19'!Q413)</f>
        <v>0</v>
      </c>
      <c r="S26" s="25">
        <f>SUM('[1]Actual Expenditure 2018-19'!R27)+('[1]Actual Expenditure 2018-19'!R94)+('[1]Actual Expenditure 2018-19'!R145)+('[1]Actual Expenditure 2018-19'!R188)+('[1]Actual Expenditure 2018-19'!R210)+('[1]Actual Expenditure 2018-19'!R275)+('[1]Actual Expenditure 2018-19'!R367)+('[1]Actual Expenditure 2018-19'!R413)</f>
        <v>0</v>
      </c>
      <c r="T26" s="21">
        <f t="shared" si="27"/>
        <v>1.49675</v>
      </c>
      <c r="U26" s="21">
        <f t="shared" si="28"/>
        <v>0</v>
      </c>
      <c r="V26" s="21">
        <f t="shared" si="29"/>
        <v>0</v>
      </c>
      <c r="W26" s="21">
        <f t="shared" si="30"/>
        <v>0</v>
      </c>
      <c r="X26" s="21">
        <f t="shared" si="0"/>
        <v>21.322499999999998</v>
      </c>
      <c r="Y26" s="21">
        <f t="shared" si="26"/>
        <v>50.555531914893614</v>
      </c>
      <c r="Z26" s="21">
        <f t="shared" si="31"/>
        <v>0</v>
      </c>
      <c r="AA26" s="21">
        <f t="shared" si="32"/>
        <v>0</v>
      </c>
      <c r="AB26" s="21">
        <f t="shared" si="33"/>
        <v>0</v>
      </c>
      <c r="AC26" s="21">
        <f t="shared" si="34"/>
        <v>0</v>
      </c>
      <c r="AD26" s="21">
        <f t="shared" si="35"/>
        <v>0</v>
      </c>
      <c r="AE26" s="21">
        <f t="shared" si="36"/>
        <v>0</v>
      </c>
      <c r="AF26" s="21" t="e">
        <f t="shared" si="37"/>
        <v>#DIV/0!</v>
      </c>
      <c r="AG26" s="21" t="e">
        <f t="shared" si="38"/>
        <v>#DIV/0!</v>
      </c>
      <c r="AH26" s="21" t="e">
        <f t="shared" si="39"/>
        <v>#DIV/0!</v>
      </c>
      <c r="AI26" s="21" t="e">
        <f t="shared" si="40"/>
        <v>#DIV/0!</v>
      </c>
      <c r="AJ26" s="25">
        <v>14018</v>
      </c>
      <c r="AK26" s="21">
        <f t="shared" si="41"/>
        <v>3.5045000000000002</v>
      </c>
      <c r="AL26" s="25">
        <v>34557</v>
      </c>
      <c r="AM26" s="21">
        <f t="shared" si="42"/>
        <v>8.6392500000000005</v>
      </c>
      <c r="AN26" s="25">
        <v>45960</v>
      </c>
      <c r="AO26" s="21">
        <f t="shared" si="43"/>
        <v>11.49</v>
      </c>
      <c r="AP26" s="25">
        <v>83869</v>
      </c>
      <c r="AQ26" s="21">
        <f t="shared" si="13"/>
        <v>20.96725</v>
      </c>
      <c r="AR26" s="51">
        <v>105812</v>
      </c>
      <c r="AS26" s="21">
        <f t="shared" si="14"/>
        <v>26.452999999999999</v>
      </c>
      <c r="AT26" s="25">
        <v>129256</v>
      </c>
      <c r="AU26" s="21">
        <f t="shared" si="15"/>
        <v>32.314</v>
      </c>
      <c r="AV26" s="52">
        <v>146708</v>
      </c>
      <c r="AW26" s="21">
        <f t="shared" si="44"/>
        <v>36.677</v>
      </c>
      <c r="AX26" s="52">
        <v>161718</v>
      </c>
      <c r="AY26" s="21">
        <f t="shared" si="17"/>
        <v>40.429500000000004</v>
      </c>
      <c r="AZ26" s="52">
        <v>182785</v>
      </c>
      <c r="BA26" s="21">
        <f t="shared" si="45"/>
        <v>45.696249999999999</v>
      </c>
      <c r="BB26" s="21">
        <f t="shared" si="46"/>
        <v>45.696249999999999</v>
      </c>
      <c r="BC26" s="52">
        <v>210097</v>
      </c>
      <c r="BD26" s="21">
        <f t="shared" si="20"/>
        <v>52.524249999999995</v>
      </c>
      <c r="BE26" s="21">
        <f t="shared" si="47"/>
        <v>52.524249999999995</v>
      </c>
      <c r="BF26" s="52">
        <v>247104</v>
      </c>
      <c r="BG26" s="21">
        <f t="shared" si="22"/>
        <v>61.775999999999996</v>
      </c>
      <c r="BH26" s="21">
        <f t="shared" si="48"/>
        <v>61.775999999999996</v>
      </c>
      <c r="BI26" s="52">
        <v>0</v>
      </c>
      <c r="BJ26" s="21">
        <f t="shared" si="24"/>
        <v>0</v>
      </c>
      <c r="BK26" s="21">
        <f t="shared" si="49"/>
        <v>0</v>
      </c>
    </row>
    <row r="27" spans="1:63" ht="18" x14ac:dyDescent="0.4">
      <c r="A27" s="25">
        <f>SUM('[1]Actual Expenditure 2018-19'!A28)+('[1]Actual Expenditure 2018-19'!A95)+('[1]Actual Expenditure 2018-19'!A428)</f>
        <v>1500</v>
      </c>
      <c r="B27" s="25">
        <f>SUM('[1]Actual Expenditure 2018-19'!B28)+('[1]Actual Expenditure 2018-19'!B95)+('[1]Actual Expenditure 2018-19'!B428)</f>
        <v>1500</v>
      </c>
      <c r="C27" s="9">
        <v>31</v>
      </c>
      <c r="D27" s="25" t="s">
        <v>81</v>
      </c>
      <c r="E27" s="25">
        <f>SUM('[1]Actual Expenditure 2018-19'!E28)+('[1]Actual Expenditure 2018-19'!E95)+('[1]Actual Expenditure 2018-19'!E428)</f>
        <v>1500</v>
      </c>
      <c r="F27" s="25">
        <f>SUM('[1]Actual Expenditure 2018-19'!F28)+('[1]Actual Expenditure 2018-19'!F95)+('[1]Actual Expenditure 2018-19'!F428)</f>
        <v>0</v>
      </c>
      <c r="G27" s="25">
        <f>SUM('[1]Actual Expenditure 2018-19'!G28)+('[1]Actual Expenditure 2018-19'!G95)+('[1]Actual Expenditure 2018-19'!G428)</f>
        <v>0</v>
      </c>
      <c r="H27" s="25">
        <f>SUM('[1]Actual Expenditure 2018-19'!H28)+('[1]Actual Expenditure 2018-19'!H95)+('[1]Actual Expenditure 2018-19'!H428)</f>
        <v>0</v>
      </c>
      <c r="I27" s="25">
        <f>SUM('[1]Actual Expenditure 2018-19'!I28)+('[1]Actual Expenditure 2018-19'!I95)+('[1]Actual Expenditure 2018-19'!I428)</f>
        <v>0</v>
      </c>
      <c r="J27" s="25">
        <f>SUM('[1]Actual Expenditure 2018-19'!J28)+('[1]Actual Expenditure 2018-19'!J95)+('[1]Actual Expenditure 2018-19'!J428)</f>
        <v>0</v>
      </c>
      <c r="K27" s="25">
        <f>SUM('[1]Actual Expenditure 2018-19'!K28)+('[1]Actual Expenditure 2018-19'!K95)+('[1]Actual Expenditure 2018-19'!K428)</f>
        <v>20</v>
      </c>
      <c r="L27" s="25">
        <v>1500</v>
      </c>
      <c r="M27" s="25">
        <v>47</v>
      </c>
      <c r="N27" s="25">
        <f>SUM('[1]Actual Expenditure 2018-19'!M28)+('[1]Actual Expenditure 2018-19'!M95)+('[1]Actual Expenditure 2018-19'!M428)</f>
        <v>0</v>
      </c>
      <c r="O27" s="25">
        <f>SUM('[1]Actual Expenditure 2018-19'!N28)+('[1]Actual Expenditure 2018-19'!N95)+('[1]Actual Expenditure 2018-19'!N428)</f>
        <v>0</v>
      </c>
      <c r="P27" s="25">
        <f>SUM('[1]Actual Expenditure 2018-19'!O28)+('[1]Actual Expenditure 2018-19'!O95)+('[1]Actual Expenditure 2018-19'!O428)</f>
        <v>0</v>
      </c>
      <c r="Q27" s="25">
        <f>SUM('[1]Actual Expenditure 2018-19'!P28)+('[1]Actual Expenditure 2018-19'!P95)+('[1]Actual Expenditure 2018-19'!P428)</f>
        <v>0</v>
      </c>
      <c r="R27" s="25">
        <f>SUM('[1]Actual Expenditure 2018-19'!Q28)+('[1]Actual Expenditure 2018-19'!Q95)+('[1]Actual Expenditure 2018-19'!Q428)</f>
        <v>6</v>
      </c>
      <c r="S27" s="25">
        <f>SUM('[1]Actual Expenditure 2018-19'!R28)+('[1]Actual Expenditure 2018-19'!R95)+('[1]Actual Expenditure 2018-19'!R428)</f>
        <v>0</v>
      </c>
      <c r="T27" s="21">
        <f t="shared" si="27"/>
        <v>0</v>
      </c>
      <c r="U27" s="21">
        <f t="shared" si="28"/>
        <v>0</v>
      </c>
      <c r="V27" s="21">
        <f t="shared" si="29"/>
        <v>0</v>
      </c>
      <c r="W27" s="21">
        <f t="shared" si="30"/>
        <v>0</v>
      </c>
      <c r="X27" s="21">
        <f t="shared" si="0"/>
        <v>1.3333333333333335</v>
      </c>
      <c r="Y27" s="21">
        <f t="shared" si="26"/>
        <v>3.1333333333333333</v>
      </c>
      <c r="Z27" s="21">
        <f t="shared" si="31"/>
        <v>0</v>
      </c>
      <c r="AA27" s="21">
        <f t="shared" si="32"/>
        <v>0</v>
      </c>
      <c r="AB27" s="21">
        <f t="shared" si="33"/>
        <v>0</v>
      </c>
      <c r="AC27" s="21">
        <f t="shared" si="34"/>
        <v>0</v>
      </c>
      <c r="AD27" s="21">
        <f t="shared" si="35"/>
        <v>0.4</v>
      </c>
      <c r="AE27" s="21">
        <f t="shared" si="36"/>
        <v>0</v>
      </c>
      <c r="AF27" s="21" t="e">
        <f t="shared" si="37"/>
        <v>#DIV/0!</v>
      </c>
      <c r="AG27" s="21" t="e">
        <f t="shared" si="38"/>
        <v>#DIV/0!</v>
      </c>
      <c r="AH27" s="21" t="e">
        <f t="shared" si="39"/>
        <v>#DIV/0!</v>
      </c>
      <c r="AI27" s="21" t="e">
        <f t="shared" si="40"/>
        <v>#DIV/0!</v>
      </c>
      <c r="AJ27" s="25">
        <v>0</v>
      </c>
      <c r="AK27" s="21">
        <f t="shared" si="41"/>
        <v>0</v>
      </c>
      <c r="AL27" s="25">
        <v>0</v>
      </c>
      <c r="AM27" s="21">
        <f t="shared" si="42"/>
        <v>0</v>
      </c>
      <c r="AN27" s="25">
        <v>11</v>
      </c>
      <c r="AO27" s="21">
        <f t="shared" si="43"/>
        <v>0.73333333333333328</v>
      </c>
      <c r="AP27" s="25">
        <v>11</v>
      </c>
      <c r="AQ27" s="21">
        <f t="shared" si="13"/>
        <v>0.73333333333333328</v>
      </c>
      <c r="AR27" s="51">
        <v>26</v>
      </c>
      <c r="AS27" s="21">
        <f t="shared" si="14"/>
        <v>1.7333333333333332</v>
      </c>
      <c r="AT27" s="25">
        <v>26</v>
      </c>
      <c r="AU27" s="21">
        <f t="shared" si="15"/>
        <v>1.7333333333333332</v>
      </c>
      <c r="AV27" s="52">
        <v>36</v>
      </c>
      <c r="AW27" s="21">
        <f t="shared" si="44"/>
        <v>2.4</v>
      </c>
      <c r="AX27" s="52">
        <v>36</v>
      </c>
      <c r="AY27" s="21">
        <f t="shared" si="17"/>
        <v>2.4</v>
      </c>
      <c r="AZ27" s="52">
        <v>36</v>
      </c>
      <c r="BA27" s="21">
        <f t="shared" si="45"/>
        <v>2.4</v>
      </c>
      <c r="BB27" s="21">
        <f t="shared" si="46"/>
        <v>2.4</v>
      </c>
      <c r="BC27" s="52">
        <v>36</v>
      </c>
      <c r="BD27" s="21">
        <f t="shared" si="20"/>
        <v>2.4</v>
      </c>
      <c r="BE27" s="21">
        <f t="shared" si="47"/>
        <v>2.4</v>
      </c>
      <c r="BF27" s="52">
        <v>74</v>
      </c>
      <c r="BG27" s="21">
        <f t="shared" si="22"/>
        <v>4.9333333333333336</v>
      </c>
      <c r="BH27" s="21">
        <f t="shared" si="48"/>
        <v>4.9333333333333336</v>
      </c>
      <c r="BI27" s="52">
        <v>0</v>
      </c>
      <c r="BJ27" s="21">
        <f t="shared" si="24"/>
        <v>0</v>
      </c>
      <c r="BK27" s="21">
        <f t="shared" si="49"/>
        <v>0</v>
      </c>
    </row>
    <row r="28" spans="1:63" ht="18" x14ac:dyDescent="0.4">
      <c r="A28" s="25">
        <f>SUM('[1]Actual Expenditure 2018-19'!A29)+('[1]Actual Expenditure 2018-19'!A96)+('[1]Actual Expenditure 2018-19'!A124)+('[1]Actual Expenditure 2018-19'!A146)+('[1]Actual Expenditure 2018-19'!A189)+('[1]Actual Expenditure 2018-19'!A232)+('[1]Actual Expenditure 2018-19'!A253)+('[1]Actual Expenditure 2018-19'!A276)+('[1]Actual Expenditure 2018-19'!A342)+('[1]Actual Expenditure 2018-19'!A368)+('[1]Actual Expenditure 2018-19'!A414)</f>
        <v>150000</v>
      </c>
      <c r="B28" s="25">
        <f>SUM('[1]Actual Expenditure 2018-19'!B29)+('[1]Actual Expenditure 2018-19'!B96)+('[1]Actual Expenditure 2018-19'!B124)+('[1]Actual Expenditure 2018-19'!B146)+('[1]Actual Expenditure 2018-19'!B189)+('[1]Actual Expenditure 2018-19'!B232)+('[1]Actual Expenditure 2018-19'!B276)+('[1]Actual Expenditure 2018-19'!B342)+('[1]Actual Expenditure 2018-19'!B368)+('[1]Actual Expenditure 2018-19'!B414)</f>
        <v>150000</v>
      </c>
      <c r="C28" s="9">
        <v>41</v>
      </c>
      <c r="D28" s="25" t="s">
        <v>82</v>
      </c>
      <c r="E28" s="25">
        <f>SUM('[1]Actual Expenditure 2018-19'!E29)+('[1]Actual Expenditure 2018-19'!E96)+('[1]Actual Expenditure 2018-19'!E124)+('[1]Actual Expenditure 2018-19'!E146)+('[1]Actual Expenditure 2018-19'!E189)+('[1]Actual Expenditure 2018-19'!E232)+('[1]Actual Expenditure 2018-19'!E253)+('[1]Actual Expenditure 2018-19'!E276)+('[1]Actual Expenditure 2018-19'!E342)+('[1]Actual Expenditure 2018-19'!E368)+('[1]Actual Expenditure 2018-19'!E414)</f>
        <v>180000</v>
      </c>
      <c r="F28" s="25">
        <f>SUM('[1]Actual Expenditure 2018-19'!F29)+('[1]Actual Expenditure 2018-19'!F96)+('[1]Actual Expenditure 2018-19'!F124)+('[1]Actual Expenditure 2018-19'!F146)+('[1]Actual Expenditure 2018-19'!F189)+('[1]Actual Expenditure 2018-19'!F232)+('[1]Actual Expenditure 2018-19'!F253)+('[1]Actual Expenditure 2018-19'!F276)+('[1]Actual Expenditure 2018-19'!F342)+('[1]Actual Expenditure 2018-19'!F368)+('[1]Actual Expenditure 2018-19'!F414)</f>
        <v>0</v>
      </c>
      <c r="G28" s="25">
        <f>SUM('[1]Actual Expenditure 2018-19'!G29)+('[1]Actual Expenditure 2018-19'!G96)+('[1]Actual Expenditure 2018-19'!G124)+('[1]Actual Expenditure 2018-19'!G146)+('[1]Actual Expenditure 2018-19'!G189)+('[1]Actual Expenditure 2018-19'!G232)+('[1]Actual Expenditure 2018-19'!G253)+('[1]Actual Expenditure 2018-19'!G276)+('[1]Actual Expenditure 2018-19'!G342)+('[1]Actual Expenditure 2018-19'!G368)+('[1]Actual Expenditure 2018-19'!G414)</f>
        <v>640</v>
      </c>
      <c r="H28" s="25">
        <f>SUM('[1]Actual Expenditure 2018-19'!H29)+('[1]Actual Expenditure 2018-19'!H96)+('[1]Actual Expenditure 2018-19'!H124)+('[1]Actual Expenditure 2018-19'!H146)+('[1]Actual Expenditure 2018-19'!H189)+('[1]Actual Expenditure 2018-19'!H232)+('[1]Actual Expenditure 2018-19'!H253)+('[1]Actual Expenditure 2018-19'!H276)+('[1]Actual Expenditure 2018-19'!H342)+('[1]Actual Expenditure 2018-19'!H368)+('[1]Actual Expenditure 2018-19'!H414)</f>
        <v>0</v>
      </c>
      <c r="I28" s="25">
        <f>SUM('[1]Actual Expenditure 2018-19'!I29)+('[1]Actual Expenditure 2018-19'!I96)+('[1]Actual Expenditure 2018-19'!I124)+('[1]Actual Expenditure 2018-19'!I146)+('[1]Actual Expenditure 2018-19'!I189)+('[1]Actual Expenditure 2018-19'!I232)+('[1]Actual Expenditure 2018-19'!I253)+('[1]Actual Expenditure 2018-19'!I276)+('[1]Actual Expenditure 2018-19'!I342)+('[1]Actual Expenditure 2018-19'!I368)+('[1]Actual Expenditure 2018-19'!I414)</f>
        <v>0</v>
      </c>
      <c r="J28" s="25">
        <f>SUM('[1]Actual Expenditure 2018-19'!J29)+('[1]Actual Expenditure 2018-19'!J96)+('[1]Actual Expenditure 2018-19'!J124)+('[1]Actual Expenditure 2018-19'!J146)+('[1]Actual Expenditure 2018-19'!J189)+('[1]Actual Expenditure 2018-19'!J232)+('[1]Actual Expenditure 2018-19'!J253)+('[1]Actual Expenditure 2018-19'!J276)+('[1]Actual Expenditure 2018-19'!J342)+('[1]Actual Expenditure 2018-19'!J368)+('[1]Actual Expenditure 2018-19'!J414)</f>
        <v>0</v>
      </c>
      <c r="K28" s="25">
        <f>SUM('[1]Actual Expenditure 2018-19'!K29)+('[1]Actual Expenditure 2018-19'!K96)+('[1]Actual Expenditure 2018-19'!K124)+('[1]Actual Expenditure 2018-19'!K146)+('[1]Actual Expenditure 2018-19'!K189)+('[1]Actual Expenditure 2018-19'!K232)+('[1]Actual Expenditure 2018-19'!K253)+('[1]Actual Expenditure 2018-19'!K276)+('[1]Actual Expenditure 2018-19'!K342)+('[1]Actual Expenditure 2018-19'!K368)+('[1]Actual Expenditure 2018-19'!K414)</f>
        <v>68573</v>
      </c>
      <c r="L28" s="25">
        <v>180000</v>
      </c>
      <c r="M28" s="52">
        <v>121183</v>
      </c>
      <c r="N28" s="25">
        <f>SUM('[1]Actual Expenditure 2018-19'!M29)+('[1]Actual Expenditure 2018-19'!M96)+('[1]Actual Expenditure 2018-19'!M124)+('[1]Actual Expenditure 2018-19'!M146)+('[1]Actual Expenditure 2018-19'!M189)+('[1]Actual Expenditure 2018-19'!M232)+('[1]Actual Expenditure 2018-19'!M253)+('[1]Actual Expenditure 2018-19'!M276)+('[1]Actual Expenditure 2018-19'!M342)+('[1]Actual Expenditure 2018-19'!M368)+('[1]Actual Expenditure 2018-19'!M414)</f>
        <v>0</v>
      </c>
      <c r="O28" s="25">
        <f>SUM('[1]Actual Expenditure 2018-19'!N29)+('[1]Actual Expenditure 2018-19'!N96)+('[1]Actual Expenditure 2018-19'!N124)+('[1]Actual Expenditure 2018-19'!N146)+('[1]Actual Expenditure 2018-19'!N189)+('[1]Actual Expenditure 2018-19'!N232)+('[1]Actual Expenditure 2018-19'!N253)+('[1]Actual Expenditure 2018-19'!N276)+('[1]Actual Expenditure 2018-19'!N342)+('[1]Actual Expenditure 2018-19'!N368)+('[1]Actual Expenditure 2018-19'!N414)</f>
        <v>0</v>
      </c>
      <c r="P28" s="25">
        <f>SUM('[1]Actual Expenditure 2018-19'!O29)+('[1]Actual Expenditure 2018-19'!O96)+('[1]Actual Expenditure 2018-19'!O124)+('[1]Actual Expenditure 2018-19'!O146)+('[1]Actual Expenditure 2018-19'!O189)+('[1]Actual Expenditure 2018-19'!O232)+('[1]Actual Expenditure 2018-19'!O253)+('[1]Actual Expenditure 2018-19'!O276)+('[1]Actual Expenditure 2018-19'!O342)+('[1]Actual Expenditure 2018-19'!O368)+('[1]Actual Expenditure 2018-19'!O414)</f>
        <v>0</v>
      </c>
      <c r="Q28" s="25">
        <f>SUM('[1]Actual Expenditure 2018-19'!P29)+('[1]Actual Expenditure 2018-19'!P96)+('[1]Actual Expenditure 2018-19'!P124)+('[1]Actual Expenditure 2018-19'!P146)+('[1]Actual Expenditure 2018-19'!P189)+('[1]Actual Expenditure 2018-19'!P232)+('[1]Actual Expenditure 2018-19'!P253)+('[1]Actual Expenditure 2018-19'!P276)+('[1]Actual Expenditure 2018-19'!P342)+('[1]Actual Expenditure 2018-19'!P368)+('[1]Actual Expenditure 2018-19'!P414)</f>
        <v>0</v>
      </c>
      <c r="R28" s="25">
        <f>SUM('[1]Actual Expenditure 2018-19'!Q29)+('[1]Actual Expenditure 2018-19'!Q96)+('[1]Actual Expenditure 2018-19'!Q124)+('[1]Actual Expenditure 2018-19'!Q146)+('[1]Actual Expenditure 2018-19'!Q189)+('[1]Actual Expenditure 2018-19'!Q232)+('[1]Actual Expenditure 2018-19'!Q253)+('[1]Actual Expenditure 2018-19'!Q276)+('[1]Actual Expenditure 2018-19'!Q342)+('[1]Actual Expenditure 2018-19'!Q368)+('[1]Actual Expenditure 2018-19'!Q414)</f>
        <v>0</v>
      </c>
      <c r="S28" s="25">
        <f>SUM('[1]Actual Expenditure 2018-19'!R29)+('[1]Actual Expenditure 2018-19'!R96)+('[1]Actual Expenditure 2018-19'!R124)+('[1]Actual Expenditure 2018-19'!R146)+('[1]Actual Expenditure 2018-19'!R189)+('[1]Actual Expenditure 2018-19'!R232)+('[1]Actual Expenditure 2018-19'!R253)+('[1]Actual Expenditure 2018-19'!R276)+('[1]Actual Expenditure 2018-19'!R342)+('[1]Actual Expenditure 2018-19'!R368)+('[1]Actual Expenditure 2018-19'!R414)</f>
        <v>0</v>
      </c>
      <c r="T28" s="21">
        <f t="shared" si="27"/>
        <v>0.35555555555555557</v>
      </c>
      <c r="U28" s="21">
        <f t="shared" si="28"/>
        <v>0</v>
      </c>
      <c r="V28" s="21">
        <f t="shared" si="29"/>
        <v>0</v>
      </c>
      <c r="W28" s="21">
        <f t="shared" si="30"/>
        <v>0</v>
      </c>
      <c r="X28" s="21">
        <f t="shared" si="0"/>
        <v>38.096111111111107</v>
      </c>
      <c r="Y28" s="21">
        <f t="shared" si="26"/>
        <v>67.323888888888888</v>
      </c>
      <c r="Z28" s="21">
        <f t="shared" si="31"/>
        <v>0</v>
      </c>
      <c r="AA28" s="21">
        <f t="shared" si="32"/>
        <v>0</v>
      </c>
      <c r="AB28" s="21">
        <f t="shared" si="33"/>
        <v>0</v>
      </c>
      <c r="AC28" s="21">
        <f t="shared" si="34"/>
        <v>0</v>
      </c>
      <c r="AD28" s="21">
        <f t="shared" si="35"/>
        <v>0</v>
      </c>
      <c r="AE28" s="21">
        <f t="shared" si="36"/>
        <v>0</v>
      </c>
      <c r="AF28" s="21" t="e">
        <f t="shared" si="37"/>
        <v>#DIV/0!</v>
      </c>
      <c r="AG28" s="21" t="e">
        <f t="shared" si="38"/>
        <v>#DIV/0!</v>
      </c>
      <c r="AH28" s="21" t="e">
        <f t="shared" si="39"/>
        <v>#DIV/0!</v>
      </c>
      <c r="AI28" s="21" t="e">
        <f t="shared" si="40"/>
        <v>#DIV/0!</v>
      </c>
      <c r="AJ28" s="25">
        <v>1097</v>
      </c>
      <c r="AK28" s="21">
        <f t="shared" si="41"/>
        <v>0.73133333333333328</v>
      </c>
      <c r="AL28" s="25">
        <v>6022</v>
      </c>
      <c r="AM28" s="21">
        <f t="shared" si="42"/>
        <v>4.0146666666666668</v>
      </c>
      <c r="AN28" s="25">
        <v>20475</v>
      </c>
      <c r="AO28" s="21">
        <f t="shared" si="43"/>
        <v>13.65</v>
      </c>
      <c r="AP28" s="25">
        <v>27419</v>
      </c>
      <c r="AQ28" s="21">
        <f t="shared" si="13"/>
        <v>18.279333333333334</v>
      </c>
      <c r="AR28" s="51">
        <v>57844</v>
      </c>
      <c r="AS28" s="21">
        <f t="shared" si="14"/>
        <v>38.562666666666665</v>
      </c>
      <c r="AT28" s="25">
        <v>62360</v>
      </c>
      <c r="AU28" s="21">
        <f t="shared" si="15"/>
        <v>41.573333333333338</v>
      </c>
      <c r="AV28" s="52">
        <v>70809</v>
      </c>
      <c r="AW28" s="21">
        <f t="shared" si="44"/>
        <v>47.205999999999996</v>
      </c>
      <c r="AX28" s="52">
        <v>87320</v>
      </c>
      <c r="AY28" s="21">
        <f t="shared" si="17"/>
        <v>58.213333333333331</v>
      </c>
      <c r="AZ28" s="52">
        <v>92815</v>
      </c>
      <c r="BA28" s="21">
        <f t="shared" si="45"/>
        <v>61.876666666666665</v>
      </c>
      <c r="BB28" s="21">
        <f t="shared" si="46"/>
        <v>61.876666666666665</v>
      </c>
      <c r="BC28" s="52">
        <v>101685</v>
      </c>
      <c r="BD28" s="21">
        <f t="shared" si="20"/>
        <v>67.789999999999992</v>
      </c>
      <c r="BE28" s="21">
        <f t="shared" si="47"/>
        <v>67.789999999999992</v>
      </c>
      <c r="BF28" s="52">
        <v>124477</v>
      </c>
      <c r="BG28" s="21">
        <f t="shared" si="22"/>
        <v>82.984666666666669</v>
      </c>
      <c r="BH28" s="21">
        <f t="shared" si="48"/>
        <v>82.984666666666669</v>
      </c>
      <c r="BI28" s="52">
        <v>0</v>
      </c>
      <c r="BJ28" s="21">
        <f t="shared" si="24"/>
        <v>0</v>
      </c>
      <c r="BK28" s="21">
        <f t="shared" si="49"/>
        <v>0</v>
      </c>
    </row>
    <row r="29" spans="1:63" ht="18" x14ac:dyDescent="0.4">
      <c r="A29" s="25"/>
      <c r="B29" s="25"/>
      <c r="C29" s="9">
        <v>50</v>
      </c>
      <c r="D29" s="25" t="s">
        <v>83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5"/>
      <c r="AK29" s="25"/>
      <c r="AL29" s="25"/>
      <c r="AM29" s="25"/>
      <c r="AN29" s="25"/>
      <c r="AO29" s="21"/>
      <c r="AP29" s="25"/>
      <c r="AQ29" s="21"/>
      <c r="AR29" s="51"/>
      <c r="AS29" s="21"/>
      <c r="AT29" s="25"/>
      <c r="AU29" s="21"/>
      <c r="AV29" s="52"/>
      <c r="AW29" s="21" t="s">
        <v>3</v>
      </c>
      <c r="AX29" s="52"/>
      <c r="AY29" s="21"/>
      <c r="AZ29" s="52"/>
      <c r="BA29" s="21"/>
      <c r="BB29" s="21"/>
      <c r="BC29" s="52"/>
      <c r="BD29" s="21"/>
      <c r="BE29" s="21"/>
      <c r="BF29" s="52"/>
      <c r="BG29" s="21"/>
      <c r="BH29" s="21"/>
      <c r="BI29" s="52"/>
      <c r="BJ29" s="21"/>
      <c r="BK29" s="21"/>
    </row>
    <row r="30" spans="1:63" ht="18" x14ac:dyDescent="0.4">
      <c r="A30" s="25">
        <f>SUM('[1]Actual Expenditure 2018-19'!A466)</f>
        <v>5000</v>
      </c>
      <c r="B30" s="25">
        <f>SUM('[1]Actual Expenditure 2018-19'!B466)</f>
        <v>5000</v>
      </c>
      <c r="C30" s="9"/>
      <c r="D30" s="10" t="s">
        <v>84</v>
      </c>
      <c r="E30" s="25">
        <f>SUM('[1]Actual Expenditure 2018-19'!E466)</f>
        <v>5000</v>
      </c>
      <c r="F30" s="25">
        <f>SUM('[1]Actual Expenditure 2018-19'!F466)</f>
        <v>0</v>
      </c>
      <c r="G30" s="25">
        <f>SUM('[1]Actual Expenditure 2018-19'!G466)</f>
        <v>0</v>
      </c>
      <c r="H30" s="25">
        <f>SUM('[1]Actual Expenditure 2018-19'!H466)</f>
        <v>0</v>
      </c>
      <c r="I30" s="25">
        <f>SUM('[1]Actual Expenditure 2018-19'!I466)</f>
        <v>0</v>
      </c>
      <c r="J30" s="25">
        <f>SUM('[1]Actual Expenditure 2018-19'!J466)</f>
        <v>0</v>
      </c>
      <c r="K30" s="25">
        <f>SUM('[1]Actual Expenditure 2018-19'!K466)</f>
        <v>0</v>
      </c>
      <c r="L30" s="25">
        <v>5000</v>
      </c>
      <c r="M30" s="52">
        <v>220</v>
      </c>
      <c r="N30" s="25">
        <f>SUM('[1]Actual Expenditure 2018-19'!M466)</f>
        <v>0</v>
      </c>
      <c r="O30" s="25">
        <f>SUM('[1]Actual Expenditure 2018-19'!N466)</f>
        <v>0</v>
      </c>
      <c r="P30" s="25">
        <f>SUM('[1]Actual Expenditure 2018-19'!O466)</f>
        <v>0</v>
      </c>
      <c r="Q30" s="25">
        <f>SUM('[1]Actual Expenditure 2018-19'!P466)</f>
        <v>0</v>
      </c>
      <c r="R30" s="25">
        <f>SUM('[1]Actual Expenditure 2018-19'!Q466)</f>
        <v>0</v>
      </c>
      <c r="S30" s="25">
        <f>SUM('[1]Actual Expenditure 2018-19'!R466)</f>
        <v>0</v>
      </c>
      <c r="T30" s="21">
        <f>G30/E30*100</f>
        <v>0</v>
      </c>
      <c r="U30" s="21">
        <f t="shared" si="28"/>
        <v>0</v>
      </c>
      <c r="V30" s="21">
        <f t="shared" si="29"/>
        <v>0</v>
      </c>
      <c r="W30" s="21">
        <f t="shared" si="30"/>
        <v>0</v>
      </c>
      <c r="X30" s="21">
        <f t="shared" si="0"/>
        <v>0</v>
      </c>
      <c r="Y30" s="21">
        <f t="shared" si="26"/>
        <v>4.3999999999999995</v>
      </c>
      <c r="Z30" s="21">
        <f>N30/E30*100</f>
        <v>0</v>
      </c>
      <c r="AA30" s="21">
        <f>O30/E30*100</f>
        <v>0</v>
      </c>
      <c r="AB30" s="21">
        <f>P30/E30*100</f>
        <v>0</v>
      </c>
      <c r="AC30" s="21">
        <f>Q30/E30*100</f>
        <v>0</v>
      </c>
      <c r="AD30" s="21">
        <f>R30/E30*100</f>
        <v>0</v>
      </c>
      <c r="AE30" s="21">
        <f>S30/E30*100</f>
        <v>0</v>
      </c>
      <c r="AF30" s="21" t="e">
        <f>P30/F30*100</f>
        <v>#DIV/0!</v>
      </c>
      <c r="AG30" s="21" t="e">
        <f>Q30/F30*100</f>
        <v>#DIV/0!</v>
      </c>
      <c r="AH30" s="21" t="e">
        <f>R30/F30*100</f>
        <v>#DIV/0!</v>
      </c>
      <c r="AI30" s="21" t="e">
        <f>S30/F30*100</f>
        <v>#DIV/0!</v>
      </c>
      <c r="AJ30" s="25">
        <v>0</v>
      </c>
      <c r="AK30" s="21">
        <f>AJ30/A30*100</f>
        <v>0</v>
      </c>
      <c r="AL30" s="25">
        <v>0</v>
      </c>
      <c r="AM30" s="21">
        <f>AL30/A30*100</f>
        <v>0</v>
      </c>
      <c r="AN30" s="25">
        <v>0</v>
      </c>
      <c r="AO30" s="21">
        <f>AN30/A30*100</f>
        <v>0</v>
      </c>
      <c r="AP30" s="25">
        <v>0</v>
      </c>
      <c r="AQ30" s="21">
        <f>AP30/A30*100</f>
        <v>0</v>
      </c>
      <c r="AR30" s="51">
        <v>0</v>
      </c>
      <c r="AS30" s="21">
        <f>AR30/A30*100</f>
        <v>0</v>
      </c>
      <c r="AT30" s="25">
        <v>0</v>
      </c>
      <c r="AU30" s="21">
        <f>AT30/A30*100</f>
        <v>0</v>
      </c>
      <c r="AV30" s="52">
        <v>0</v>
      </c>
      <c r="AW30" s="21">
        <f>AV30/A30*100</f>
        <v>0</v>
      </c>
      <c r="AX30" s="52">
        <v>0</v>
      </c>
      <c r="AY30" s="21">
        <f>AX30/A30*100</f>
        <v>0</v>
      </c>
      <c r="AZ30" s="52">
        <v>0</v>
      </c>
      <c r="BA30" s="21">
        <f>AZ30/A30*100</f>
        <v>0</v>
      </c>
      <c r="BB30" s="21">
        <f>AZ30/B30*100</f>
        <v>0</v>
      </c>
      <c r="BC30" s="52">
        <v>193</v>
      </c>
      <c r="BD30" s="21">
        <f>BC30/A30*100</f>
        <v>3.8600000000000003</v>
      </c>
      <c r="BE30" s="21">
        <f>BC30/B30*100</f>
        <v>3.8600000000000003</v>
      </c>
      <c r="BF30" s="52">
        <v>193</v>
      </c>
      <c r="BG30" s="21">
        <f>BF30/A30*100</f>
        <v>3.8600000000000003</v>
      </c>
      <c r="BH30" s="21">
        <f>BF30/B30*100</f>
        <v>3.8600000000000003</v>
      </c>
      <c r="BI30" s="52">
        <v>0</v>
      </c>
      <c r="BJ30" s="21">
        <f>BI30/A30*100</f>
        <v>0</v>
      </c>
      <c r="BK30" s="21">
        <f>BI30/B30*100</f>
        <v>0</v>
      </c>
    </row>
    <row r="31" spans="1:63" ht="18" x14ac:dyDescent="0.4">
      <c r="A31" s="25">
        <f>SUM('[1]Actual Expenditure 2018-19'!A32)+('[1]Actual Expenditure 2018-19'!A99)+('[1]Actual Expenditure 2018-19'!A149)+('[1]Actual Expenditure 2018-19'!A167)+('[1]Actual Expenditure 2018-19'!A190)+('[1]Actual Expenditure 2018-19'!A213)+('[1]Actual Expenditure 2018-19'!A233)+('[1]Actual Expenditure 2018-19'!A254)+('[1]Actual Expenditure 2018-19'!A371)+('[1]Actual Expenditure 2018-19'!A417)+('[1]Actual Expenditure 2018-19'!A432)</f>
        <v>61500</v>
      </c>
      <c r="B31" s="25">
        <f>SUM('[1]Actual Expenditure 2018-19'!B32)+('[1]Actual Expenditure 2018-19'!B99)+('[1]Actual Expenditure 2018-19'!B149)+('[1]Actual Expenditure 2018-19'!B167)+('[1]Actual Expenditure 2018-19'!B190)+('[1]Actual Expenditure 2018-19'!B213)+('[1]Actual Expenditure 2018-19'!B233)+('[1]Actual Expenditure 2018-19'!B254)+('[1]Actual Expenditure 2018-19'!B371)+('[1]Actual Expenditure 2018-19'!B417)+('[1]Actual Expenditure 2018-19'!B432)</f>
        <v>61500</v>
      </c>
      <c r="C31" s="9"/>
      <c r="D31" s="10" t="s">
        <v>85</v>
      </c>
      <c r="E31" s="25">
        <f>SUM('[1]Actual Expenditure 2018-19'!E32)+('[1]Actual Expenditure 2018-19'!E99)+('[1]Actual Expenditure 2018-19'!E149)+('[1]Actual Expenditure 2018-19'!E167)+('[1]Actual Expenditure 2018-19'!E190)+('[1]Actual Expenditure 2018-19'!E213)+('[1]Actual Expenditure 2018-19'!E233)+('[1]Actual Expenditure 2018-19'!E254)+('[1]Actual Expenditure 2018-19'!E371)+('[1]Actual Expenditure 2018-19'!E417)+('[1]Actual Expenditure 2018-19'!E432)</f>
        <v>63000</v>
      </c>
      <c r="F31" s="25">
        <f>SUM('[1]Actual Expenditure 2018-19'!F32)+('[1]Actual Expenditure 2018-19'!F99)+('[1]Actual Expenditure 2018-19'!F149)+('[1]Actual Expenditure 2018-19'!F167)+('[1]Actual Expenditure 2018-19'!F190)+('[1]Actual Expenditure 2018-19'!F213)+('[1]Actual Expenditure 2018-19'!F233)+('[1]Actual Expenditure 2018-19'!F254)+('[1]Actual Expenditure 2018-19'!F371)+('[1]Actual Expenditure 2018-19'!F417)+('[1]Actual Expenditure 2018-19'!F432)</f>
        <v>0</v>
      </c>
      <c r="G31" s="25">
        <f>SUM('[1]Actual Expenditure 2018-19'!G32)+('[1]Actual Expenditure 2018-19'!G99)+('[1]Actual Expenditure 2018-19'!G149)+('[1]Actual Expenditure 2018-19'!G167)+('[1]Actual Expenditure 2018-19'!G190)+('[1]Actual Expenditure 2018-19'!G213)+('[1]Actual Expenditure 2018-19'!G233)+('[1]Actual Expenditure 2018-19'!G254)+('[1]Actual Expenditure 2018-19'!G371)+('[1]Actual Expenditure 2018-19'!G417)+('[1]Actual Expenditure 2018-19'!G432)</f>
        <v>0</v>
      </c>
      <c r="H31" s="25">
        <f>SUM('[1]Actual Expenditure 2018-19'!H32)+('[1]Actual Expenditure 2018-19'!H99)+('[1]Actual Expenditure 2018-19'!H149)+('[1]Actual Expenditure 2018-19'!H167)+('[1]Actual Expenditure 2018-19'!H190)+('[1]Actual Expenditure 2018-19'!H213)+('[1]Actual Expenditure 2018-19'!H233)+('[1]Actual Expenditure 2018-19'!H254)+('[1]Actual Expenditure 2018-19'!H371)+('[1]Actual Expenditure 2018-19'!H417)+('[1]Actual Expenditure 2018-19'!H432)</f>
        <v>0</v>
      </c>
      <c r="I31" s="25">
        <f>SUM('[1]Actual Expenditure 2018-19'!I32)+('[1]Actual Expenditure 2018-19'!I99)+('[1]Actual Expenditure 2018-19'!I149)+('[1]Actual Expenditure 2018-19'!I167)+('[1]Actual Expenditure 2018-19'!I190)+('[1]Actual Expenditure 2018-19'!I213)+('[1]Actual Expenditure 2018-19'!I233)+('[1]Actual Expenditure 2018-19'!I254)+('[1]Actual Expenditure 2018-19'!I371)+('[1]Actual Expenditure 2018-19'!I417)+('[1]Actual Expenditure 2018-19'!I432)</f>
        <v>0</v>
      </c>
      <c r="J31" s="25">
        <f>SUM('[1]Actual Expenditure 2018-19'!J32)+('[1]Actual Expenditure 2018-19'!J99)+('[1]Actual Expenditure 2018-19'!J149)+('[1]Actual Expenditure 2018-19'!J167)+('[1]Actual Expenditure 2018-19'!J190)+('[1]Actual Expenditure 2018-19'!J213)+('[1]Actual Expenditure 2018-19'!J233)+('[1]Actual Expenditure 2018-19'!J254)+('[1]Actual Expenditure 2018-19'!J371)+('[1]Actual Expenditure 2018-19'!J417)+('[1]Actual Expenditure 2018-19'!J432)</f>
        <v>0</v>
      </c>
      <c r="K31" s="25">
        <f>SUM('[1]Actual Expenditure 2018-19'!K32)+('[1]Actual Expenditure 2018-19'!K99)+('[1]Actual Expenditure 2018-19'!K149)+('[1]Actual Expenditure 2018-19'!K167)+('[1]Actual Expenditure 2018-19'!K190)+('[1]Actual Expenditure 2018-19'!K213)+('[1]Actual Expenditure 2018-19'!K233)+('[1]Actual Expenditure 2018-19'!K254)+('[1]Actual Expenditure 2018-19'!K371)+('[1]Actual Expenditure 2018-19'!K417)+('[1]Actual Expenditure 2018-19'!K432)</f>
        <v>17322</v>
      </c>
      <c r="L31" s="25">
        <v>63000</v>
      </c>
      <c r="M31" s="71">
        <v>53219</v>
      </c>
      <c r="N31" s="25">
        <f>SUM('[1]Actual Expenditure 2018-19'!M32)+('[1]Actual Expenditure 2018-19'!M99)+('[1]Actual Expenditure 2018-19'!M149)+('[1]Actual Expenditure 2018-19'!M167)+('[1]Actual Expenditure 2018-19'!M190)+('[1]Actual Expenditure 2018-19'!M213)+('[1]Actual Expenditure 2018-19'!M233)+('[1]Actual Expenditure 2018-19'!M254)+('[1]Actual Expenditure 2018-19'!M371)+('[1]Actual Expenditure 2018-19'!M417)+('[1]Actual Expenditure 2018-19'!M432)</f>
        <v>0</v>
      </c>
      <c r="O31" s="25">
        <f>SUM('[1]Actual Expenditure 2018-19'!N32)+('[1]Actual Expenditure 2018-19'!N99)+('[1]Actual Expenditure 2018-19'!N149)+('[1]Actual Expenditure 2018-19'!N167)+('[1]Actual Expenditure 2018-19'!N190)+('[1]Actual Expenditure 2018-19'!N213)+('[1]Actual Expenditure 2018-19'!N233)+('[1]Actual Expenditure 2018-19'!N254)+('[1]Actual Expenditure 2018-19'!N371)+('[1]Actual Expenditure 2018-19'!N417)+('[1]Actual Expenditure 2018-19'!N432)</f>
        <v>0</v>
      </c>
      <c r="P31" s="25">
        <f>SUM('[1]Actual Expenditure 2018-19'!O32)+('[1]Actual Expenditure 2018-19'!O99)+('[1]Actual Expenditure 2018-19'!O149)+('[1]Actual Expenditure 2018-19'!O167)+('[1]Actual Expenditure 2018-19'!O190)+('[1]Actual Expenditure 2018-19'!O213)+('[1]Actual Expenditure 2018-19'!O233)+('[1]Actual Expenditure 2018-19'!O254)+('[1]Actual Expenditure 2018-19'!O371)+('[1]Actual Expenditure 2018-19'!O417)+('[1]Actual Expenditure 2018-19'!O432)</f>
        <v>0</v>
      </c>
      <c r="Q31" s="25">
        <f>SUM('[1]Actual Expenditure 2018-19'!P32)+('[1]Actual Expenditure 2018-19'!P99)+('[1]Actual Expenditure 2018-19'!P149)+('[1]Actual Expenditure 2018-19'!P167)+('[1]Actual Expenditure 2018-19'!P190)+('[1]Actual Expenditure 2018-19'!P213)+('[1]Actual Expenditure 2018-19'!P233)+('[1]Actual Expenditure 2018-19'!P254)+('[1]Actual Expenditure 2018-19'!P371)+('[1]Actual Expenditure 2018-19'!P417)+('[1]Actual Expenditure 2018-19'!P432)</f>
        <v>0</v>
      </c>
      <c r="R31" s="25">
        <f>SUM('[1]Actual Expenditure 2018-19'!Q32)+('[1]Actual Expenditure 2018-19'!Q99)+('[1]Actual Expenditure 2018-19'!Q149)+('[1]Actual Expenditure 2018-19'!Q167)+('[1]Actual Expenditure 2018-19'!Q190)+('[1]Actual Expenditure 2018-19'!Q213)+('[1]Actual Expenditure 2018-19'!Q233)+('[1]Actual Expenditure 2018-19'!Q254)+('[1]Actual Expenditure 2018-19'!Q371)+('[1]Actual Expenditure 2018-19'!Q417)+('[1]Actual Expenditure 2018-19'!Q432)</f>
        <v>0</v>
      </c>
      <c r="S31" s="25">
        <f>SUM('[1]Actual Expenditure 2018-19'!R32)+('[1]Actual Expenditure 2018-19'!R99)+('[1]Actual Expenditure 2018-19'!R149)+('[1]Actual Expenditure 2018-19'!R167)+('[1]Actual Expenditure 2018-19'!R190)+('[1]Actual Expenditure 2018-19'!R213)+('[1]Actual Expenditure 2018-19'!R233)+('[1]Actual Expenditure 2018-19'!R254)+('[1]Actual Expenditure 2018-19'!R371)+('[1]Actual Expenditure 2018-19'!R417)+('[1]Actual Expenditure 2018-19'!R432)</f>
        <v>0</v>
      </c>
      <c r="T31" s="21">
        <f>G31/E31*100</f>
        <v>0</v>
      </c>
      <c r="U31" s="21">
        <f t="shared" si="28"/>
        <v>0</v>
      </c>
      <c r="V31" s="21">
        <f t="shared" si="29"/>
        <v>0</v>
      </c>
      <c r="W31" s="21">
        <f t="shared" si="30"/>
        <v>0</v>
      </c>
      <c r="X31" s="21">
        <f t="shared" si="0"/>
        <v>27.495238095238093</v>
      </c>
      <c r="Y31" s="21">
        <f t="shared" si="26"/>
        <v>84.474603174603175</v>
      </c>
      <c r="Z31" s="21">
        <f>N31/E31*100</f>
        <v>0</v>
      </c>
      <c r="AA31" s="21">
        <f>O31/E31*100</f>
        <v>0</v>
      </c>
      <c r="AB31" s="21">
        <f>P31/E31*100</f>
        <v>0</v>
      </c>
      <c r="AC31" s="21">
        <f>Q31/E31*100</f>
        <v>0</v>
      </c>
      <c r="AD31" s="21">
        <f>R31/E31*100</f>
        <v>0</v>
      </c>
      <c r="AE31" s="21">
        <f>S31/E31*100</f>
        <v>0</v>
      </c>
      <c r="AF31" s="21" t="e">
        <f>P31/F31*100</f>
        <v>#DIV/0!</v>
      </c>
      <c r="AG31" s="21" t="e">
        <f>Q31/F31*100</f>
        <v>#DIV/0!</v>
      </c>
      <c r="AH31" s="21" t="e">
        <f>R31/F31*100</f>
        <v>#DIV/0!</v>
      </c>
      <c r="AI31" s="21" t="e">
        <f>S31/F31*100</f>
        <v>#DIV/0!</v>
      </c>
      <c r="AJ31" s="25">
        <v>0</v>
      </c>
      <c r="AK31" s="21">
        <f>AJ31/A31*100</f>
        <v>0</v>
      </c>
      <c r="AL31" s="25">
        <v>428</v>
      </c>
      <c r="AM31" s="21">
        <f>AL31/A31*100</f>
        <v>0.69593495934959348</v>
      </c>
      <c r="AN31" s="25">
        <v>460</v>
      </c>
      <c r="AO31" s="21">
        <f>AN31/A31*100</f>
        <v>0.74796747967479671</v>
      </c>
      <c r="AP31" s="25">
        <v>890</v>
      </c>
      <c r="AQ31" s="21">
        <f>AP31/A31*100</f>
        <v>1.4471544715447153</v>
      </c>
      <c r="AR31" s="51">
        <v>13481</v>
      </c>
      <c r="AS31" s="21">
        <f>AR31/A31*100</f>
        <v>21.920325203252034</v>
      </c>
      <c r="AT31" s="25">
        <v>13953</v>
      </c>
      <c r="AU31" s="21">
        <f>AT31/A31*100</f>
        <v>22.68780487804878</v>
      </c>
      <c r="AV31" s="52">
        <v>14440</v>
      </c>
      <c r="AW31" s="21">
        <f>AV31/A31*100</f>
        <v>23.479674796747968</v>
      </c>
      <c r="AX31" s="52">
        <v>14440</v>
      </c>
      <c r="AY31" s="21">
        <f>AX31/A31*100</f>
        <v>23.479674796747968</v>
      </c>
      <c r="AZ31" s="52">
        <v>39749</v>
      </c>
      <c r="BA31" s="21">
        <f>AZ31/A31*100</f>
        <v>64.632520325203245</v>
      </c>
      <c r="BB31" s="21">
        <f>AZ31/B31*100</f>
        <v>64.632520325203245</v>
      </c>
      <c r="BC31" s="52">
        <v>39817</v>
      </c>
      <c r="BD31" s="21">
        <f>BC31/A31*100</f>
        <v>64.743089430894301</v>
      </c>
      <c r="BE31" s="21">
        <f>BC31/B31*100</f>
        <v>64.743089430894301</v>
      </c>
      <c r="BF31" s="52">
        <v>40035</v>
      </c>
      <c r="BG31" s="21">
        <f>BF31/A31*100</f>
        <v>65.097560975609753</v>
      </c>
      <c r="BH31" s="21">
        <f>BF31/B31*100</f>
        <v>65.097560975609753</v>
      </c>
      <c r="BI31" s="52">
        <v>0</v>
      </c>
      <c r="BJ31" s="21">
        <f>BI31/A31*100</f>
        <v>0</v>
      </c>
      <c r="BK31" s="21">
        <f>BI31/B31*100</f>
        <v>0</v>
      </c>
    </row>
    <row r="32" spans="1:63" ht="18" x14ac:dyDescent="0.4">
      <c r="A32" s="25">
        <f>SUM('[1]Actual Expenditure 2018-19'!A111)+('[1]Actual Expenditure 2018-19'!A163)+('[1]Actual Expenditure 2018-19'!A442)+('[1]Actual Expenditure 2018-19'!A444)</f>
        <v>380000</v>
      </c>
      <c r="B32" s="25">
        <f>SUM('[1]Actual Expenditure 2018-19'!B111)+('[1]Actual Expenditure 2018-19'!B163)+('[1]Actual Expenditure 2018-19'!B442)+('[1]Actual Expenditure 2018-19'!B444)</f>
        <v>380000</v>
      </c>
      <c r="C32" s="9">
        <v>63</v>
      </c>
      <c r="D32" s="25" t="s">
        <v>86</v>
      </c>
      <c r="E32" s="25">
        <f>SUM('[1]Actual Expenditure 2018-19'!E111)+('[1]Actual Expenditure 2018-19'!E163)+('[1]Actual Expenditure 2018-19'!E442)+('[1]Actual Expenditure 2018-19'!E444)</f>
        <v>0</v>
      </c>
      <c r="F32" s="25">
        <f>SUM('[1]Actual Expenditure 2018-19'!F111)+('[1]Actual Expenditure 2018-19'!F163)+('[1]Actual Expenditure 2018-19'!F442)+('[1]Actual Expenditure 2018-19'!F444)</f>
        <v>0</v>
      </c>
      <c r="G32" s="25">
        <f>SUM('[1]Actual Expenditure 2018-19'!G111)+('[1]Actual Expenditure 2018-19'!G163)+('[1]Actual Expenditure 2018-19'!G442)+('[1]Actual Expenditure 2018-19'!G444)</f>
        <v>0</v>
      </c>
      <c r="H32" s="25">
        <f>SUM('[1]Actual Expenditure 2018-19'!H111)+('[1]Actual Expenditure 2018-19'!H163)+('[1]Actual Expenditure 2018-19'!H442)+('[1]Actual Expenditure 2018-19'!H444)</f>
        <v>0</v>
      </c>
      <c r="I32" s="25">
        <f>SUM('[1]Actual Expenditure 2018-19'!I111)+('[1]Actual Expenditure 2018-19'!I163)+('[1]Actual Expenditure 2018-19'!I442)+('[1]Actual Expenditure 2018-19'!I444)</f>
        <v>0</v>
      </c>
      <c r="J32" s="25">
        <f>SUM('[1]Actual Expenditure 2018-19'!J111)+('[1]Actual Expenditure 2018-19'!J163)+('[1]Actual Expenditure 2018-19'!J442)+('[1]Actual Expenditure 2018-19'!J444)</f>
        <v>0</v>
      </c>
      <c r="K32" s="25">
        <f>SUM('[1]Actual Expenditure 2018-19'!K111)+('[1]Actual Expenditure 2018-19'!K163)+('[1]Actual Expenditure 2018-19'!K442)+('[1]Actual Expenditure 2018-19'!K444)</f>
        <v>0</v>
      </c>
      <c r="L32" s="25"/>
      <c r="M32" s="25"/>
      <c r="N32" s="25">
        <f>SUM('[1]Actual Expenditure 2018-19'!M111)+('[1]Actual Expenditure 2018-19'!M163)+('[1]Actual Expenditure 2018-19'!M442)+('[1]Actual Expenditure 2018-19'!M444)</f>
        <v>0</v>
      </c>
      <c r="O32" s="25">
        <f>SUM('[1]Actual Expenditure 2018-19'!N111)+('[1]Actual Expenditure 2018-19'!N163)+('[1]Actual Expenditure 2018-19'!N442)+('[1]Actual Expenditure 2018-19'!N444)</f>
        <v>0</v>
      </c>
      <c r="P32" s="25">
        <f>SUM('[1]Actual Expenditure 2018-19'!O111)+('[1]Actual Expenditure 2018-19'!O163)+('[1]Actual Expenditure 2018-19'!O442)+('[1]Actual Expenditure 2018-19'!O444)</f>
        <v>0</v>
      </c>
      <c r="Q32" s="25">
        <f>SUM('[1]Actual Expenditure 2018-19'!P111)+('[1]Actual Expenditure 2018-19'!P163)+('[1]Actual Expenditure 2018-19'!P442)+('[1]Actual Expenditure 2018-19'!P444)</f>
        <v>0</v>
      </c>
      <c r="R32" s="25">
        <f>SUM('[1]Actual Expenditure 2018-19'!Q111)+('[1]Actual Expenditure 2018-19'!Q163)+('[1]Actual Expenditure 2018-19'!Q442)+('[1]Actual Expenditure 2018-19'!Q444)</f>
        <v>0</v>
      </c>
      <c r="S32" s="25">
        <f>SUM('[1]Actual Expenditure 2018-19'!R111)+('[1]Actual Expenditure 2018-19'!R163)+('[1]Actual Expenditure 2018-19'!R442)+('[1]Actual Expenditure 2018-19'!R444)</f>
        <v>0</v>
      </c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5">
        <v>0</v>
      </c>
      <c r="AK32" s="21"/>
      <c r="AL32" s="25">
        <v>0</v>
      </c>
      <c r="AM32" s="21"/>
      <c r="AN32" s="25">
        <v>0</v>
      </c>
      <c r="AO32" s="21"/>
      <c r="AP32" s="25">
        <v>0</v>
      </c>
      <c r="AQ32" s="21">
        <f>AP32/A32*100</f>
        <v>0</v>
      </c>
      <c r="AR32" s="51">
        <v>0</v>
      </c>
      <c r="AS32" s="21">
        <f>AR32/A32*100</f>
        <v>0</v>
      </c>
      <c r="AT32" s="25">
        <v>0</v>
      </c>
      <c r="AU32" s="21">
        <f>AT32/A32*100</f>
        <v>0</v>
      </c>
      <c r="AV32" s="52">
        <v>0</v>
      </c>
      <c r="AW32" s="21">
        <f>AV32/A32*100</f>
        <v>0</v>
      </c>
      <c r="AX32" s="52">
        <v>0</v>
      </c>
      <c r="AY32" s="21">
        <f>AX32/A32*100</f>
        <v>0</v>
      </c>
      <c r="AZ32" s="52">
        <v>0</v>
      </c>
      <c r="BA32" s="21">
        <f>AZ32/A32*100</f>
        <v>0</v>
      </c>
      <c r="BB32" s="21">
        <f>AZ32/B32*100</f>
        <v>0</v>
      </c>
      <c r="BC32" s="52">
        <v>0</v>
      </c>
      <c r="BD32" s="21">
        <f>BC32/A32*100</f>
        <v>0</v>
      </c>
      <c r="BE32" s="21">
        <f>BC32/B32*100</f>
        <v>0</v>
      </c>
      <c r="BF32" s="52">
        <v>0</v>
      </c>
      <c r="BG32" s="21">
        <f>BF32/A32*100</f>
        <v>0</v>
      </c>
      <c r="BH32" s="21">
        <f>BF32/B32*100</f>
        <v>0</v>
      </c>
      <c r="BI32" s="52">
        <v>0</v>
      </c>
      <c r="BJ32" s="21">
        <f>BI32/A32*100</f>
        <v>0</v>
      </c>
      <c r="BK32" s="21">
        <f>BI32/B32*100</f>
        <v>0</v>
      </c>
    </row>
    <row r="33" spans="1:63" ht="18" x14ac:dyDescent="0.4">
      <c r="A33" s="25"/>
      <c r="B33" s="25"/>
      <c r="C33" s="9">
        <v>96</v>
      </c>
      <c r="D33" s="25" t="s">
        <v>87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5"/>
      <c r="AK33" s="21"/>
      <c r="AL33" s="25"/>
      <c r="AM33" s="21"/>
      <c r="AN33" s="25"/>
      <c r="AO33" s="21"/>
      <c r="AP33" s="25"/>
      <c r="AQ33" s="21"/>
      <c r="AR33" s="51"/>
      <c r="AS33" s="21"/>
      <c r="AT33" s="25"/>
      <c r="AU33" s="21"/>
      <c r="AV33" s="52"/>
      <c r="AW33" s="21"/>
      <c r="AX33" s="52"/>
      <c r="AY33" s="21"/>
      <c r="AZ33" s="52"/>
      <c r="BA33" s="21"/>
      <c r="BB33" s="21"/>
      <c r="BC33" s="52"/>
      <c r="BD33" s="21"/>
      <c r="BE33" s="21"/>
      <c r="BF33" s="52"/>
      <c r="BG33" s="21"/>
      <c r="BH33" s="21"/>
      <c r="BI33" s="52"/>
      <c r="BJ33" s="21"/>
      <c r="BK33" s="21"/>
    </row>
    <row r="34" spans="1:63" ht="18" x14ac:dyDescent="0.4">
      <c r="A34" s="25">
        <f>SUM('[1]Actual Expenditure 2018-19'!A35)+('[1]Actual Expenditure 2018-19'!A55)+('[1]Actual Expenditure 2018-19'!A71)+('[1]Actual Expenditure 2018-19'!A102)+('[1]Actual Expenditure 2018-19'!A127)+('[1]Actual Expenditure 2018-19'!A151)+('[1]Actual Expenditure 2018-19'!A192)+('[1]Actual Expenditure 2018-19'!A215)+('[1]Actual Expenditure 2018-19'!A235)+('[1]Actual Expenditure 2018-19'!A256)+('[1]Actual Expenditure 2018-19'!A278)+('[1]Actual Expenditure 2018-19'!A294)+('[1]Actual Expenditure 2018-19'!A309)+('[1]Actual Expenditure 2018-19'!A344)+('[1]Actual Expenditure 2018-19'!A374)+('[1]Actual Expenditure 2018-19'!A393)+('[1]Actual Expenditure 2018-19'!A420)</f>
        <v>490000</v>
      </c>
      <c r="B34" s="25">
        <f>SUM('[1]Actual Expenditure 2018-19'!B35)+('[1]Actual Expenditure 2018-19'!B55)+('[1]Actual Expenditure 2018-19'!B71)+('[1]Actual Expenditure 2018-19'!B102)+('[1]Actual Expenditure 2018-19'!B127)+('[1]Actual Expenditure 2018-19'!B151)+('[1]Actual Expenditure 2018-19'!B192)+('[1]Actual Expenditure 2018-19'!B215)+('[1]Actual Expenditure 2018-19'!B235)+('[1]Actual Expenditure 2018-19'!B256)+('[1]Actual Expenditure 2018-19'!B278)+('[1]Actual Expenditure 2018-19'!B294)+('[1]Actual Expenditure 2018-19'!B309)+('[1]Actual Expenditure 2018-19'!B344)+('[1]Actual Expenditure 2018-19'!B374)+('[1]Actual Expenditure 2018-19'!B393)+('[1]Actual Expenditure 2018-19'!B420)</f>
        <v>490000</v>
      </c>
      <c r="C34" s="9"/>
      <c r="D34" s="10" t="s">
        <v>88</v>
      </c>
      <c r="E34" s="25">
        <f>SUM('[1]Actual Expenditure 2018-19'!E35)+('[1]Actual Expenditure 2018-19'!E55)+('[1]Actual Expenditure 2018-19'!E71)+('[1]Actual Expenditure 2018-19'!E102)+('[1]Actual Expenditure 2018-19'!E127)+('[1]Actual Expenditure 2018-19'!E151)+('[1]Actual Expenditure 2018-19'!E192)+('[1]Actual Expenditure 2018-19'!E215)+('[1]Actual Expenditure 2018-19'!E235)+('[1]Actual Expenditure 2018-19'!E256)+('[1]Actual Expenditure 2018-19'!E278)+('[1]Actual Expenditure 2018-19'!E294)+('[1]Actual Expenditure 2018-19'!E309)+('[1]Actual Expenditure 2018-19'!E344)+('[1]Actual Expenditure 2018-19'!E374)+('[1]Actual Expenditure 2018-19'!E393)+('[1]Actual Expenditure 2018-19'!E420)</f>
        <v>500000</v>
      </c>
      <c r="F34" s="25">
        <f>SUM('[1]Actual Expenditure 2018-19'!F35)+('[1]Actual Expenditure 2018-19'!F55)+('[1]Actual Expenditure 2018-19'!F71)+('[1]Actual Expenditure 2018-19'!F102)+('[1]Actual Expenditure 2018-19'!F127)+('[1]Actual Expenditure 2018-19'!F151)+('[1]Actual Expenditure 2018-19'!F192)+('[1]Actual Expenditure 2018-19'!F215)+('[1]Actual Expenditure 2018-19'!F235)+('[1]Actual Expenditure 2018-19'!F256)+('[1]Actual Expenditure 2018-19'!F278)+('[1]Actual Expenditure 2018-19'!F294)+('[1]Actual Expenditure 2018-19'!F309)+('[1]Actual Expenditure 2018-19'!F344)+('[1]Actual Expenditure 2018-19'!F374)+('[1]Actual Expenditure 2018-19'!F393)+('[1]Actual Expenditure 2018-19'!F420)</f>
        <v>0</v>
      </c>
      <c r="G34" s="25">
        <f>SUM('[1]Actual Expenditure 2018-19'!G35)+('[1]Actual Expenditure 2018-19'!G55)+('[1]Actual Expenditure 2018-19'!G71)+('[1]Actual Expenditure 2018-19'!G102)+('[1]Actual Expenditure 2018-19'!G127)+('[1]Actual Expenditure 2018-19'!G151)+('[1]Actual Expenditure 2018-19'!G192)+('[1]Actual Expenditure 2018-19'!G215)+('[1]Actual Expenditure 2018-19'!G235)+('[1]Actual Expenditure 2018-19'!G256)+('[1]Actual Expenditure 2018-19'!G278)+('[1]Actual Expenditure 2018-19'!G294)+('[1]Actual Expenditure 2018-19'!G309)+('[1]Actual Expenditure 2018-19'!G344)+('[1]Actual Expenditure 2018-19'!G374)+('[1]Actual Expenditure 2018-19'!G393)+('[1]Actual Expenditure 2018-19'!G420)</f>
        <v>6110</v>
      </c>
      <c r="H34" s="25">
        <f>SUM('[1]Actual Expenditure 2018-19'!H35)+('[1]Actual Expenditure 2018-19'!H55)+('[1]Actual Expenditure 2018-19'!H71)+('[1]Actual Expenditure 2018-19'!H102)+('[1]Actual Expenditure 2018-19'!H127)+('[1]Actual Expenditure 2018-19'!H151)+('[1]Actual Expenditure 2018-19'!H192)+('[1]Actual Expenditure 2018-19'!H215)+('[1]Actual Expenditure 2018-19'!H235)+('[1]Actual Expenditure 2018-19'!H256)+('[1]Actual Expenditure 2018-19'!H278)+('[1]Actual Expenditure 2018-19'!H294)+('[1]Actual Expenditure 2018-19'!H309)+('[1]Actual Expenditure 2018-19'!H344)+('[1]Actual Expenditure 2018-19'!H374)+('[1]Actual Expenditure 2018-19'!H393)+('[1]Actual Expenditure 2018-19'!H420)</f>
        <v>0</v>
      </c>
      <c r="I34" s="25">
        <f>SUM('[1]Actual Expenditure 2018-19'!I35)+('[1]Actual Expenditure 2018-19'!I55)+('[1]Actual Expenditure 2018-19'!I71)+('[1]Actual Expenditure 2018-19'!I102)+('[1]Actual Expenditure 2018-19'!I127)+('[1]Actual Expenditure 2018-19'!I151)+('[1]Actual Expenditure 2018-19'!I192)+('[1]Actual Expenditure 2018-19'!I215)+('[1]Actual Expenditure 2018-19'!I235)+('[1]Actual Expenditure 2018-19'!I256)+('[1]Actual Expenditure 2018-19'!I278)+('[1]Actual Expenditure 2018-19'!I294)+('[1]Actual Expenditure 2018-19'!I309)+('[1]Actual Expenditure 2018-19'!I344)+('[1]Actual Expenditure 2018-19'!I374)+('[1]Actual Expenditure 2018-19'!I393)+('[1]Actual Expenditure 2018-19'!I420)</f>
        <v>0</v>
      </c>
      <c r="J34" s="25">
        <f>SUM('[1]Actual Expenditure 2018-19'!J35)+('[1]Actual Expenditure 2018-19'!J55)+('[1]Actual Expenditure 2018-19'!J71)+('[1]Actual Expenditure 2018-19'!J102)+('[1]Actual Expenditure 2018-19'!J127)+('[1]Actual Expenditure 2018-19'!J151)+('[1]Actual Expenditure 2018-19'!J192)+('[1]Actual Expenditure 2018-19'!J215)+('[1]Actual Expenditure 2018-19'!J235)+('[1]Actual Expenditure 2018-19'!J256)+('[1]Actual Expenditure 2018-19'!J278)+('[1]Actual Expenditure 2018-19'!J294)+('[1]Actual Expenditure 2018-19'!J309)+('[1]Actual Expenditure 2018-19'!J344)+('[1]Actual Expenditure 2018-19'!J374)+('[1]Actual Expenditure 2018-19'!J393)+('[1]Actual Expenditure 2018-19'!J420)</f>
        <v>0</v>
      </c>
      <c r="K34" s="25">
        <f>SUM('[1]Actual Expenditure 2018-19'!K35)+('[1]Actual Expenditure 2018-19'!K55)+('[1]Actual Expenditure 2018-19'!K71)+('[1]Actual Expenditure 2018-19'!K102)+('[1]Actual Expenditure 2018-19'!K127)+('[1]Actual Expenditure 2018-19'!K151)+('[1]Actual Expenditure 2018-19'!K192)+('[1]Actual Expenditure 2018-19'!K215)+('[1]Actual Expenditure 2018-19'!K235)+('[1]Actual Expenditure 2018-19'!K256)+('[1]Actual Expenditure 2018-19'!K278)+('[1]Actual Expenditure 2018-19'!K294)+('[1]Actual Expenditure 2018-19'!K309)+('[1]Actual Expenditure 2018-19'!K344)+('[1]Actual Expenditure 2018-19'!K374)+('[1]Actual Expenditure 2018-19'!K393)+('[1]Actual Expenditure 2018-19'!K420)</f>
        <v>73770</v>
      </c>
      <c r="L34" s="25">
        <v>500000</v>
      </c>
      <c r="M34" s="25">
        <v>149354</v>
      </c>
      <c r="N34" s="25">
        <f>SUM('[1]Actual Expenditure 2018-19'!M35)+('[1]Actual Expenditure 2018-19'!M55)+('[1]Actual Expenditure 2018-19'!M71)+('[1]Actual Expenditure 2018-19'!M102)+('[1]Actual Expenditure 2018-19'!M127)+('[1]Actual Expenditure 2018-19'!M151)+('[1]Actual Expenditure 2018-19'!M192)+('[1]Actual Expenditure 2018-19'!M215)+('[1]Actual Expenditure 2018-19'!M235)+('[1]Actual Expenditure 2018-19'!M256)+('[1]Actual Expenditure 2018-19'!M278)+('[1]Actual Expenditure 2018-19'!M294)+('[1]Actual Expenditure 2018-19'!M309)+('[1]Actual Expenditure 2018-19'!M344)+('[1]Actual Expenditure 2018-19'!M374)+('[1]Actual Expenditure 2018-19'!M393)+('[1]Actual Expenditure 2018-19'!M420)</f>
        <v>0</v>
      </c>
      <c r="O34" s="25">
        <f>SUM('[1]Actual Expenditure 2018-19'!N35)+('[1]Actual Expenditure 2018-19'!N55)+('[1]Actual Expenditure 2018-19'!N71)+('[1]Actual Expenditure 2018-19'!N102)+('[1]Actual Expenditure 2018-19'!N127)+('[1]Actual Expenditure 2018-19'!N151)+('[1]Actual Expenditure 2018-19'!N192)+('[1]Actual Expenditure 2018-19'!N215)+('[1]Actual Expenditure 2018-19'!N235)+('[1]Actual Expenditure 2018-19'!N256)+('[1]Actual Expenditure 2018-19'!N278)+('[1]Actual Expenditure 2018-19'!N294)+('[1]Actual Expenditure 2018-19'!N309)+('[1]Actual Expenditure 2018-19'!N344)+('[1]Actual Expenditure 2018-19'!N374)+('[1]Actual Expenditure 2018-19'!N393)+('[1]Actual Expenditure 2018-19'!N420)</f>
        <v>0</v>
      </c>
      <c r="P34" s="25">
        <f>SUM('[1]Actual Expenditure 2018-19'!O35)+('[1]Actual Expenditure 2018-19'!O55)+('[1]Actual Expenditure 2018-19'!O71)+('[1]Actual Expenditure 2018-19'!O102)+('[1]Actual Expenditure 2018-19'!O127)+('[1]Actual Expenditure 2018-19'!O151)+('[1]Actual Expenditure 2018-19'!O192)+('[1]Actual Expenditure 2018-19'!O215)+('[1]Actual Expenditure 2018-19'!O235)+('[1]Actual Expenditure 2018-19'!O256)+('[1]Actual Expenditure 2018-19'!O278)+('[1]Actual Expenditure 2018-19'!O294)+('[1]Actual Expenditure 2018-19'!O309)+('[1]Actual Expenditure 2018-19'!O344)+('[1]Actual Expenditure 2018-19'!O374)+('[1]Actual Expenditure 2018-19'!O393)+('[1]Actual Expenditure 2018-19'!O420)</f>
        <v>0</v>
      </c>
      <c r="Q34" s="25">
        <f>SUM('[1]Actual Expenditure 2018-19'!P35)+('[1]Actual Expenditure 2018-19'!P55)+('[1]Actual Expenditure 2018-19'!P71)+('[1]Actual Expenditure 2018-19'!P102)+('[1]Actual Expenditure 2018-19'!P127)+('[1]Actual Expenditure 2018-19'!P151)+('[1]Actual Expenditure 2018-19'!P192)+('[1]Actual Expenditure 2018-19'!P215)+('[1]Actual Expenditure 2018-19'!P235)+('[1]Actual Expenditure 2018-19'!P256)+('[1]Actual Expenditure 2018-19'!P278)+('[1]Actual Expenditure 2018-19'!P294)+('[1]Actual Expenditure 2018-19'!P309)+('[1]Actual Expenditure 2018-19'!P344)+('[1]Actual Expenditure 2018-19'!P374)+('[1]Actual Expenditure 2018-19'!P393)+('[1]Actual Expenditure 2018-19'!P420)</f>
        <v>0</v>
      </c>
      <c r="R34" s="25">
        <f>SUM('[1]Actual Expenditure 2018-19'!Q35)+('[1]Actual Expenditure 2018-19'!Q55)+('[1]Actual Expenditure 2018-19'!Q71)+('[1]Actual Expenditure 2018-19'!Q102)+('[1]Actual Expenditure 2018-19'!Q127)+('[1]Actual Expenditure 2018-19'!Q151)+('[1]Actual Expenditure 2018-19'!Q192)+('[1]Actual Expenditure 2018-19'!Q215)+('[1]Actual Expenditure 2018-19'!Q235)+('[1]Actual Expenditure 2018-19'!Q256)+('[1]Actual Expenditure 2018-19'!Q278)+('[1]Actual Expenditure 2018-19'!Q294)+('[1]Actual Expenditure 2018-19'!Q309)+('[1]Actual Expenditure 2018-19'!Q344)+('[1]Actual Expenditure 2018-19'!Q374)+('[1]Actual Expenditure 2018-19'!Q393)+('[1]Actual Expenditure 2018-19'!Q420)</f>
        <v>0</v>
      </c>
      <c r="S34" s="25">
        <f>SUM('[1]Actual Expenditure 2018-19'!R35)+('[1]Actual Expenditure 2018-19'!R55)+('[1]Actual Expenditure 2018-19'!R71)+('[1]Actual Expenditure 2018-19'!R102)+('[1]Actual Expenditure 2018-19'!R127)+('[1]Actual Expenditure 2018-19'!R151)+('[1]Actual Expenditure 2018-19'!R192)+('[1]Actual Expenditure 2018-19'!R215)+('[1]Actual Expenditure 2018-19'!R235)+('[1]Actual Expenditure 2018-19'!R256)+('[1]Actual Expenditure 2018-19'!R278)+('[1]Actual Expenditure 2018-19'!R294)+('[1]Actual Expenditure 2018-19'!R309)+('[1]Actual Expenditure 2018-19'!R344)+('[1]Actual Expenditure 2018-19'!R374)+('[1]Actual Expenditure 2018-19'!R393)+('[1]Actual Expenditure 2018-19'!R420)</f>
        <v>0</v>
      </c>
      <c r="T34" s="21">
        <f>G34/E34*100</f>
        <v>1.222</v>
      </c>
      <c r="U34" s="21"/>
      <c r="V34" s="21"/>
      <c r="W34" s="21"/>
      <c r="X34" s="21">
        <f t="shared" si="0"/>
        <v>14.754000000000001</v>
      </c>
      <c r="Y34" s="21">
        <f t="shared" si="26"/>
        <v>29.870799999999996</v>
      </c>
      <c r="Z34" s="21">
        <f>N34/E34*100</f>
        <v>0</v>
      </c>
      <c r="AA34" s="21"/>
      <c r="AB34" s="21">
        <f>P34/E34*100</f>
        <v>0</v>
      </c>
      <c r="AC34" s="21"/>
      <c r="AD34" s="21"/>
      <c r="AE34" s="21"/>
      <c r="AF34" s="21"/>
      <c r="AG34" s="21"/>
      <c r="AH34" s="21"/>
      <c r="AI34" s="21"/>
      <c r="AJ34" s="25">
        <v>714</v>
      </c>
      <c r="AK34" s="21">
        <f>AJ34/A34*100</f>
        <v>0.14571428571428571</v>
      </c>
      <c r="AL34" s="25">
        <v>3504</v>
      </c>
      <c r="AM34" s="21">
        <f>AL34/A34*100</f>
        <v>0.71510204081632656</v>
      </c>
      <c r="AN34" s="25">
        <v>7258</v>
      </c>
      <c r="AO34" s="21">
        <f>AN34/A34*100</f>
        <v>1.4812244897959184</v>
      </c>
      <c r="AP34" s="25">
        <v>14371</v>
      </c>
      <c r="AQ34" s="21">
        <f>AP34/A34*100</f>
        <v>2.9328571428571428</v>
      </c>
      <c r="AR34" s="51">
        <v>26211</v>
      </c>
      <c r="AS34" s="21">
        <f>AR34/A34*100</f>
        <v>5.3491836734693878</v>
      </c>
      <c r="AT34" s="25">
        <v>35334</v>
      </c>
      <c r="AU34" s="21">
        <f>AT34/A34*100</f>
        <v>7.2110204081632654</v>
      </c>
      <c r="AV34" s="52">
        <v>45223</v>
      </c>
      <c r="AW34" s="21">
        <f>AV34/A34*100</f>
        <v>9.2291836734693877</v>
      </c>
      <c r="AX34" s="52">
        <v>57495</v>
      </c>
      <c r="AY34" s="21">
        <f>AX34/A34*100</f>
        <v>11.733673469387755</v>
      </c>
      <c r="AZ34" s="52">
        <v>74232</v>
      </c>
      <c r="BA34" s="21">
        <f>AZ34/A34*100</f>
        <v>15.14938775510204</v>
      </c>
      <c r="BB34" s="21">
        <f>AZ34/B34*100</f>
        <v>15.14938775510204</v>
      </c>
      <c r="BC34" s="52">
        <v>96457</v>
      </c>
      <c r="BD34" s="21">
        <f>BC34/A34*100</f>
        <v>19.685102040816325</v>
      </c>
      <c r="BE34" s="21">
        <f>BC34/B34*100</f>
        <v>19.685102040816325</v>
      </c>
      <c r="BF34" s="52">
        <v>124610</v>
      </c>
      <c r="BG34" s="21">
        <f>BF34/A34*100</f>
        <v>25.430612244897961</v>
      </c>
      <c r="BH34" s="21">
        <f>BF34/B34*100</f>
        <v>25.430612244897961</v>
      </c>
      <c r="BI34" s="52"/>
      <c r="BJ34" s="21">
        <f>BI34/A34*100</f>
        <v>0</v>
      </c>
      <c r="BK34" s="21">
        <f>BI34/B34*100</f>
        <v>0</v>
      </c>
    </row>
    <row r="35" spans="1:63" ht="18" x14ac:dyDescent="0.4">
      <c r="A35" s="25"/>
      <c r="B35" s="25"/>
      <c r="C35" s="9">
        <v>99</v>
      </c>
      <c r="D35" s="25" t="s">
        <v>89</v>
      </c>
      <c r="E35" s="25"/>
      <c r="F35" s="25"/>
      <c r="G35" s="25"/>
      <c r="H35" s="25"/>
      <c r="I35" s="25"/>
      <c r="J35" s="25"/>
      <c r="K35" s="25"/>
      <c r="L35" s="25"/>
      <c r="M35" s="25"/>
      <c r="N35" s="25">
        <f>SUM('[1]Actual Expenditure 2018-19'!M36)+('[1]Actual Expenditure 2018-19'!M56)+('[1]Actual Expenditure 2018-19'!M72)+('[1]Actual Expenditure 2018-19'!M103)+('[1]Actual Expenditure 2018-19'!M128)+('[1]Actual Expenditure 2018-19'!M152)+('[1]Actual Expenditure 2018-19'!M193)+('[1]Actual Expenditure 2018-19'!M216)+('[1]Actual Expenditure 2018-19'!M236)+('[1]Actual Expenditure 2018-19'!M257)+('[1]Actual Expenditure 2018-19'!M279)+('[1]Actual Expenditure 2018-19'!M295)+('[1]Actual Expenditure 2018-19'!M310)+('[1]Actual Expenditure 2018-19'!M325)+('[1]Actual Expenditure 2018-19'!M345)+('[1]Actual Expenditure 2018-19'!M375)+('[1]Actual Expenditure 2018-19'!M394)+('[1]Actual Expenditure 2018-19'!M421)</f>
        <v>0</v>
      </c>
      <c r="O35" s="25"/>
      <c r="P35" s="25"/>
      <c r="Q35" s="25"/>
      <c r="R35" s="25"/>
      <c r="S35" s="25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5"/>
      <c r="AK35" s="25"/>
      <c r="AL35" s="25"/>
      <c r="AM35" s="25"/>
      <c r="AN35" s="25"/>
      <c r="AO35" s="21"/>
      <c r="AP35" s="25"/>
      <c r="AQ35" s="21"/>
      <c r="AR35" s="51"/>
      <c r="AS35" s="21"/>
      <c r="AT35" s="25"/>
      <c r="AU35" s="21"/>
      <c r="AV35" s="52"/>
      <c r="AW35" s="21" t="s">
        <v>3</v>
      </c>
      <c r="AX35" s="52"/>
      <c r="AY35" s="21"/>
      <c r="AZ35" s="52"/>
      <c r="BA35" s="21"/>
      <c r="BB35" s="21"/>
      <c r="BC35" s="52"/>
      <c r="BD35" s="21"/>
      <c r="BE35" s="21"/>
      <c r="BF35" s="52"/>
      <c r="BG35" s="21"/>
      <c r="BH35" s="21"/>
      <c r="BI35" s="52"/>
      <c r="BJ35" s="21"/>
      <c r="BK35" s="21"/>
    </row>
    <row r="36" spans="1:63" ht="18" x14ac:dyDescent="0.4">
      <c r="A36" s="25">
        <f>SUM('[1]Actual Expenditure 2018-19'!A37)+('[1]Actual Expenditure 2018-19'!A57)+('[1]Actual Expenditure 2018-19'!A73)+('[1]Actual Expenditure 2018-19'!A104)+('[1]Actual Expenditure 2018-19'!A129)+('[1]Actual Expenditure 2018-19'!A153)+('[1]Actual Expenditure 2018-19'!A194)+('[1]Actual Expenditure 2018-19'!A217)+('[1]Actual Expenditure 2018-19'!A237)+('[1]Actual Expenditure 2018-19'!A258)+('[1]Actual Expenditure 2018-19'!A280)+('[1]Actual Expenditure 2018-19'!A296)+('[1]Actual Expenditure 2018-19'!A311)+('[1]Actual Expenditure 2018-19'!A326)+('[1]Actual Expenditure 2018-19'!A346)+('[1]Actual Expenditure 2018-19'!A376)+('[1]Actual Expenditure 2018-19'!A395)+('[1]Actual Expenditure 2018-19'!A422)</f>
        <v>5100000</v>
      </c>
      <c r="B36" s="25">
        <f>SUM('[1]Actual Expenditure 2018-19'!B37)+('[1]Actual Expenditure 2018-19'!B57)+('[1]Actual Expenditure 2018-19'!B73)+('[1]Actual Expenditure 2018-19'!B104)+('[1]Actual Expenditure 2018-19'!B129)+('[1]Actual Expenditure 2018-19'!B153)+('[1]Actual Expenditure 2018-19'!B194)+('[1]Actual Expenditure 2018-19'!B217)+('[1]Actual Expenditure 2018-19'!B237)+('[1]Actual Expenditure 2018-19'!B258)+('[1]Actual Expenditure 2018-19'!B280)+('[1]Actual Expenditure 2018-19'!B296)+('[1]Actual Expenditure 2018-19'!B311)+('[1]Actual Expenditure 2018-19'!B326)+('[1]Actual Expenditure 2018-19'!B346)+('[1]Actual Expenditure 2018-19'!B376)+('[1]Actual Expenditure 2018-19'!B395)+('[1]Actual Expenditure 2018-19'!B422)</f>
        <v>5186900</v>
      </c>
      <c r="C36" s="9"/>
      <c r="D36" s="10" t="s">
        <v>88</v>
      </c>
      <c r="E36" s="25">
        <f>SUM('[1]Actual Expenditure 2018-19'!E37)+('[1]Actual Expenditure 2018-19'!E57)+('[1]Actual Expenditure 2018-19'!E73)+('[1]Actual Expenditure 2018-19'!E104)+('[1]Actual Expenditure 2018-19'!E129)+('[1]Actual Expenditure 2018-19'!E153)+('[1]Actual Expenditure 2018-19'!E194)+('[1]Actual Expenditure 2018-19'!E217)+('[1]Actual Expenditure 2018-19'!E237)+('[1]Actual Expenditure 2018-19'!E258)+('[1]Actual Expenditure 2018-19'!E280)+('[1]Actual Expenditure 2018-19'!E296)+('[1]Actual Expenditure 2018-19'!E311)+('[1]Actual Expenditure 2018-19'!E326)+('[1]Actual Expenditure 2018-19'!E346)+('[1]Actual Expenditure 2018-19'!E376)+('[1]Actual Expenditure 2018-19'!E395)+('[1]Actual Expenditure 2018-19'!E422)</f>
        <v>4950000</v>
      </c>
      <c r="F36" s="25">
        <f>SUM('[1]Actual Expenditure 2018-19'!F37)+('[1]Actual Expenditure 2018-19'!F57)+('[1]Actual Expenditure 2018-19'!F73)+('[1]Actual Expenditure 2018-19'!F104)+('[1]Actual Expenditure 2018-19'!F129)+('[1]Actual Expenditure 2018-19'!F153)+('[1]Actual Expenditure 2018-19'!F194)+('[1]Actual Expenditure 2018-19'!F217)+('[1]Actual Expenditure 2018-19'!F237)+('[1]Actual Expenditure 2018-19'!F258)+('[1]Actual Expenditure 2018-19'!F280)+('[1]Actual Expenditure 2018-19'!F296)+('[1]Actual Expenditure 2018-19'!F311)+('[1]Actual Expenditure 2018-19'!F326)+('[1]Actual Expenditure 2018-19'!F346)+('[1]Actual Expenditure 2018-19'!F376)+('[1]Actual Expenditure 2018-19'!F395)+('[1]Actual Expenditure 2018-19'!F422)</f>
        <v>0</v>
      </c>
      <c r="G36" s="25">
        <f>SUM('[1]Actual Expenditure 2018-19'!G37)+('[1]Actual Expenditure 2018-19'!G57)+('[1]Actual Expenditure 2018-19'!G73)+('[1]Actual Expenditure 2018-19'!G104)+('[1]Actual Expenditure 2018-19'!G129)+('[1]Actual Expenditure 2018-19'!G153)+('[1]Actual Expenditure 2018-19'!G194)+('[1]Actual Expenditure 2018-19'!G217)+('[1]Actual Expenditure 2018-19'!G237)+('[1]Actual Expenditure 2018-19'!G258)+('[1]Actual Expenditure 2018-19'!G280)+('[1]Actual Expenditure 2018-19'!G296)+('[1]Actual Expenditure 2018-19'!G311)+('[1]Actual Expenditure 2018-19'!G326)+('[1]Actual Expenditure 2018-19'!G346)+('[1]Actual Expenditure 2018-19'!G376)+('[1]Actual Expenditure 2018-19'!G395)+('[1]Actual Expenditure 2018-19'!G422)</f>
        <v>4106</v>
      </c>
      <c r="H36" s="25">
        <f>SUM('[1]Actual Expenditure 2018-19'!H37)+('[1]Actual Expenditure 2018-19'!H57)+('[1]Actual Expenditure 2018-19'!H73)+('[1]Actual Expenditure 2018-19'!H104)+('[1]Actual Expenditure 2018-19'!H129)+('[1]Actual Expenditure 2018-19'!H153)+('[1]Actual Expenditure 2018-19'!H194)+('[1]Actual Expenditure 2018-19'!H217)+('[1]Actual Expenditure 2018-19'!H237)+('[1]Actual Expenditure 2018-19'!H258)+('[1]Actual Expenditure 2018-19'!H280)+('[1]Actual Expenditure 2018-19'!H296)+('[1]Actual Expenditure 2018-19'!H311)+('[1]Actual Expenditure 2018-19'!H326)+('[1]Actual Expenditure 2018-19'!H346)+('[1]Actual Expenditure 2018-19'!H376)+('[1]Actual Expenditure 2018-19'!H395)+('[1]Actual Expenditure 2018-19'!H422)</f>
        <v>0</v>
      </c>
      <c r="I36" s="25">
        <f>SUM('[1]Actual Expenditure 2018-19'!I37)+('[1]Actual Expenditure 2018-19'!I57)+('[1]Actual Expenditure 2018-19'!I73)+('[1]Actual Expenditure 2018-19'!I104)+('[1]Actual Expenditure 2018-19'!I129)+('[1]Actual Expenditure 2018-19'!I153)+('[1]Actual Expenditure 2018-19'!I194)+('[1]Actual Expenditure 2018-19'!I217)+('[1]Actual Expenditure 2018-19'!I237)+('[1]Actual Expenditure 2018-19'!I258)+('[1]Actual Expenditure 2018-19'!I280)+('[1]Actual Expenditure 2018-19'!I296)+('[1]Actual Expenditure 2018-19'!I311)+('[1]Actual Expenditure 2018-19'!I326)+('[1]Actual Expenditure 2018-19'!I346)+('[1]Actual Expenditure 2018-19'!I376)+('[1]Actual Expenditure 2018-19'!I395)+('[1]Actual Expenditure 2018-19'!I422)</f>
        <v>0</v>
      </c>
      <c r="J36" s="25">
        <f>SUM('[1]Actual Expenditure 2018-19'!J37)+('[1]Actual Expenditure 2018-19'!J57)+('[1]Actual Expenditure 2018-19'!J73)+('[1]Actual Expenditure 2018-19'!J104)+('[1]Actual Expenditure 2018-19'!J129)+('[1]Actual Expenditure 2018-19'!J153)+('[1]Actual Expenditure 2018-19'!J194)+('[1]Actual Expenditure 2018-19'!J217)+('[1]Actual Expenditure 2018-19'!J237)+('[1]Actual Expenditure 2018-19'!J258)+('[1]Actual Expenditure 2018-19'!J280)+('[1]Actual Expenditure 2018-19'!J296)+('[1]Actual Expenditure 2018-19'!J311)+('[1]Actual Expenditure 2018-19'!J326)+('[1]Actual Expenditure 2018-19'!J346)+('[1]Actual Expenditure 2018-19'!J376)+('[1]Actual Expenditure 2018-19'!J395)+('[1]Actual Expenditure 2018-19'!J422)</f>
        <v>0</v>
      </c>
      <c r="K36" s="25">
        <f>SUM('[1]Actual Expenditure 2018-19'!K37)+('[1]Actual Expenditure 2018-19'!K57)+('[1]Actual Expenditure 2018-19'!K73)+('[1]Actual Expenditure 2018-19'!K104)+('[1]Actual Expenditure 2018-19'!K129)+('[1]Actual Expenditure 2018-19'!K153)+('[1]Actual Expenditure 2018-19'!K194)+('[1]Actual Expenditure 2018-19'!K217)+('[1]Actual Expenditure 2018-19'!K237)+('[1]Actual Expenditure 2018-19'!K258)+('[1]Actual Expenditure 2018-19'!K280)+('[1]Actual Expenditure 2018-19'!K296)+('[1]Actual Expenditure 2018-19'!K311)+('[1]Actual Expenditure 2018-19'!K326)+('[1]Actual Expenditure 2018-19'!K346)+('[1]Actual Expenditure 2018-19'!K376)+('[1]Actual Expenditure 2018-19'!K395)+('[1]Actual Expenditure 2018-19'!K422)</f>
        <v>841230</v>
      </c>
      <c r="L36" s="25">
        <v>4900000</v>
      </c>
      <c r="M36" s="25">
        <v>3069739</v>
      </c>
      <c r="N36" s="25">
        <f>SUM('[1]Actual Expenditure 2018-19'!M37)+('[1]Actual Expenditure 2018-19'!M57)+('[1]Actual Expenditure 2018-19'!M73)+('[1]Actual Expenditure 2018-19'!M104)+('[1]Actual Expenditure 2018-19'!M129)+('[1]Actual Expenditure 2018-19'!M153)+('[1]Actual Expenditure 2018-19'!M194)+('[1]Actual Expenditure 2018-19'!M217)+('[1]Actual Expenditure 2018-19'!M237)+('[1]Actual Expenditure 2018-19'!M258)+('[1]Actual Expenditure 2018-19'!M280)+('[1]Actual Expenditure 2018-19'!M296)+('[1]Actual Expenditure 2018-19'!M311)+('[1]Actual Expenditure 2018-19'!M326)+('[1]Actual Expenditure 2018-19'!M346)+('[1]Actual Expenditure 2018-19'!M376)+('[1]Actual Expenditure 2018-19'!M395)+('[1]Actual Expenditure 2018-19'!M422)</f>
        <v>0</v>
      </c>
      <c r="O36" s="25">
        <f>SUM('[1]Actual Expenditure 2018-19'!N37)+('[1]Actual Expenditure 2018-19'!N57)+('[1]Actual Expenditure 2018-19'!N73)+('[1]Actual Expenditure 2018-19'!N104)+('[1]Actual Expenditure 2018-19'!N129)+('[1]Actual Expenditure 2018-19'!N153)+('[1]Actual Expenditure 2018-19'!N194)+('[1]Actual Expenditure 2018-19'!N217)+('[1]Actual Expenditure 2018-19'!N237)+('[1]Actual Expenditure 2018-19'!N258)+('[1]Actual Expenditure 2018-19'!N280)+('[1]Actual Expenditure 2018-19'!N296)+('[1]Actual Expenditure 2018-19'!N311)+('[1]Actual Expenditure 2018-19'!N326)+('[1]Actual Expenditure 2018-19'!N346)+('[1]Actual Expenditure 2018-19'!N376)+('[1]Actual Expenditure 2018-19'!N395)+('[1]Actual Expenditure 2018-19'!N422)</f>
        <v>0</v>
      </c>
      <c r="P36" s="25">
        <f>SUM('[1]Actual Expenditure 2018-19'!O37)+('[1]Actual Expenditure 2018-19'!O57)+('[1]Actual Expenditure 2018-19'!O73)+('[1]Actual Expenditure 2018-19'!O104)+('[1]Actual Expenditure 2018-19'!O129)+('[1]Actual Expenditure 2018-19'!O153)+('[1]Actual Expenditure 2018-19'!O194)+('[1]Actual Expenditure 2018-19'!O217)+('[1]Actual Expenditure 2018-19'!O237)+('[1]Actual Expenditure 2018-19'!O258)+('[1]Actual Expenditure 2018-19'!O280)+('[1]Actual Expenditure 2018-19'!O296)+('[1]Actual Expenditure 2018-19'!O311)+('[1]Actual Expenditure 2018-19'!O326)+('[1]Actual Expenditure 2018-19'!O346)+('[1]Actual Expenditure 2018-19'!O376)+('[1]Actual Expenditure 2018-19'!O395)+('[1]Actual Expenditure 2018-19'!O422)</f>
        <v>0</v>
      </c>
      <c r="Q36" s="25">
        <f>SUM('[1]Actual Expenditure 2018-19'!P37)+('[1]Actual Expenditure 2018-19'!P57)+('[1]Actual Expenditure 2018-19'!P73)+('[1]Actual Expenditure 2018-19'!P104)+('[1]Actual Expenditure 2018-19'!P129)+('[1]Actual Expenditure 2018-19'!P153)+('[1]Actual Expenditure 2018-19'!P194)+('[1]Actual Expenditure 2018-19'!P217)+('[1]Actual Expenditure 2018-19'!P237)+('[1]Actual Expenditure 2018-19'!P258)+('[1]Actual Expenditure 2018-19'!P280)+('[1]Actual Expenditure 2018-19'!P296)+('[1]Actual Expenditure 2018-19'!P311)+('[1]Actual Expenditure 2018-19'!P326)+('[1]Actual Expenditure 2018-19'!P346)+('[1]Actual Expenditure 2018-19'!P376)+('[1]Actual Expenditure 2018-19'!P395)+('[1]Actual Expenditure 2018-19'!P422)</f>
        <v>0</v>
      </c>
      <c r="R36" s="25">
        <f>SUM('[1]Actual Expenditure 2018-19'!Q37)+('[1]Actual Expenditure 2018-19'!Q57)+('[1]Actual Expenditure 2018-19'!Q73)+('[1]Actual Expenditure 2018-19'!Q104)+('[1]Actual Expenditure 2018-19'!Q129)+('[1]Actual Expenditure 2018-19'!Q153)+('[1]Actual Expenditure 2018-19'!Q194)+('[1]Actual Expenditure 2018-19'!Q217)+('[1]Actual Expenditure 2018-19'!Q237)+('[1]Actual Expenditure 2018-19'!Q258)+('[1]Actual Expenditure 2018-19'!Q280)+('[1]Actual Expenditure 2018-19'!Q296)+('[1]Actual Expenditure 2018-19'!Q311)+('[1]Actual Expenditure 2018-19'!Q326)+('[1]Actual Expenditure 2018-19'!Q346)+('[1]Actual Expenditure 2018-19'!Q376)+('[1]Actual Expenditure 2018-19'!Q395)+('[1]Actual Expenditure 2018-19'!Q422)</f>
        <v>0</v>
      </c>
      <c r="S36" s="25">
        <f>SUM('[1]Actual Expenditure 2018-19'!R37)+('[1]Actual Expenditure 2018-19'!R57)+('[1]Actual Expenditure 2018-19'!R73)+('[1]Actual Expenditure 2018-19'!R104)+('[1]Actual Expenditure 2018-19'!R129)+('[1]Actual Expenditure 2018-19'!R153)+('[1]Actual Expenditure 2018-19'!R194)+('[1]Actual Expenditure 2018-19'!R217)+('[1]Actual Expenditure 2018-19'!R237)+('[1]Actual Expenditure 2018-19'!R258)+('[1]Actual Expenditure 2018-19'!R280)+('[1]Actual Expenditure 2018-19'!R296)+('[1]Actual Expenditure 2018-19'!R311)+('[1]Actual Expenditure 2018-19'!R326)+('[1]Actual Expenditure 2018-19'!R346)+('[1]Actual Expenditure 2018-19'!R376)+('[1]Actual Expenditure 2018-19'!R395)+('[1]Actual Expenditure 2018-19'!R422)</f>
        <v>0</v>
      </c>
      <c r="T36" s="21">
        <f>G36/E36*100</f>
        <v>8.2949494949494953E-2</v>
      </c>
      <c r="U36" s="21">
        <f t="shared" si="28"/>
        <v>0</v>
      </c>
      <c r="V36" s="21">
        <f t="shared" si="29"/>
        <v>0</v>
      </c>
      <c r="W36" s="21">
        <f t="shared" si="30"/>
        <v>0</v>
      </c>
      <c r="X36" s="21">
        <f t="shared" si="0"/>
        <v>16.994545454545452</v>
      </c>
      <c r="Y36" s="21">
        <f t="shared" si="26"/>
        <v>62.647734693877553</v>
      </c>
      <c r="Z36" s="21">
        <f>N36/E36*100</f>
        <v>0</v>
      </c>
      <c r="AA36" s="21">
        <f>O36/E36*100</f>
        <v>0</v>
      </c>
      <c r="AB36" s="21">
        <f>P36/E36*100</f>
        <v>0</v>
      </c>
      <c r="AC36" s="21">
        <f>Q36/E36*100</f>
        <v>0</v>
      </c>
      <c r="AD36" s="21">
        <f>R36/E36*100</f>
        <v>0</v>
      </c>
      <c r="AE36" s="21">
        <f>S36/E36*100</f>
        <v>0</v>
      </c>
      <c r="AF36" s="21" t="e">
        <f>P36/F36*100</f>
        <v>#DIV/0!</v>
      </c>
      <c r="AG36" s="21" t="e">
        <f>Q36/F36*100</f>
        <v>#DIV/0!</v>
      </c>
      <c r="AH36" s="21" t="e">
        <f>R36/F36*100</f>
        <v>#DIV/0!</v>
      </c>
      <c r="AI36" s="21" t="e">
        <f>S36/F36*100</f>
        <v>#DIV/0!</v>
      </c>
      <c r="AJ36" s="25">
        <v>6836</v>
      </c>
      <c r="AK36" s="21">
        <f>AJ36/A36*100</f>
        <v>0.13403921568627453</v>
      </c>
      <c r="AL36" s="25">
        <v>40660</v>
      </c>
      <c r="AM36" s="21">
        <f>AL36/A36*100</f>
        <v>0.79725490196078441</v>
      </c>
      <c r="AN36" s="25">
        <v>504372</v>
      </c>
      <c r="AO36" s="21">
        <f>AN36/A36*100</f>
        <v>9.8896470588235292</v>
      </c>
      <c r="AP36" s="25">
        <v>696111</v>
      </c>
      <c r="AQ36" s="21">
        <f>AP36/A36*100</f>
        <v>13.649235294117648</v>
      </c>
      <c r="AR36" s="51">
        <v>933078</v>
      </c>
      <c r="AS36" s="21">
        <f>AR36/A36*100</f>
        <v>18.29564705882353</v>
      </c>
      <c r="AT36" s="25">
        <v>1373750</v>
      </c>
      <c r="AU36" s="21">
        <f>AT36/A36*100</f>
        <v>26.936274509803919</v>
      </c>
      <c r="AV36" s="52">
        <v>1450662</v>
      </c>
      <c r="AW36" s="21">
        <f>AV36/A36*100</f>
        <v>28.444352941176472</v>
      </c>
      <c r="AX36" s="52">
        <v>1717987</v>
      </c>
      <c r="AY36" s="21">
        <f>AX36/A36*100</f>
        <v>33.686019607843136</v>
      </c>
      <c r="AZ36" s="52">
        <v>2513731</v>
      </c>
      <c r="BA36" s="21">
        <f>AZ36/A36*100</f>
        <v>49.288843137254901</v>
      </c>
      <c r="BB36" s="21">
        <f>AZ36/B36*100</f>
        <v>48.463070427422934</v>
      </c>
      <c r="BC36" s="52">
        <v>2724038</v>
      </c>
      <c r="BD36" s="21">
        <f>BC36/A36*100</f>
        <v>53.412509803921573</v>
      </c>
      <c r="BE36" s="21">
        <f>BC36/B36*100</f>
        <v>52.517650234243959</v>
      </c>
      <c r="BF36" s="52">
        <v>3143353</v>
      </c>
      <c r="BG36" s="21">
        <f>BF36/A36*100</f>
        <v>61.634372549019609</v>
      </c>
      <c r="BH36" s="21">
        <f>BF36/B36*100</f>
        <v>60.60176598739131</v>
      </c>
      <c r="BI36" s="52">
        <v>0</v>
      </c>
      <c r="BJ36" s="21">
        <f>BI36/A36*100</f>
        <v>0</v>
      </c>
      <c r="BK36" s="21">
        <f>BI36/B36*100</f>
        <v>0</v>
      </c>
    </row>
    <row r="37" spans="1:63" ht="18" x14ac:dyDescent="0.4">
      <c r="A37" s="25">
        <f>SUM('[1]Actual Expenditure 2018-19'!A347)</f>
        <v>2400000</v>
      </c>
      <c r="B37" s="25">
        <f>SUM('[1]Actual Expenditure 2018-19'!B347)</f>
        <v>1190000</v>
      </c>
      <c r="C37" s="9"/>
      <c r="D37" s="10" t="s">
        <v>90</v>
      </c>
      <c r="E37" s="25">
        <f>SUM('[1]Actual Expenditure 2018-19'!E347)</f>
        <v>2400000</v>
      </c>
      <c r="F37" s="25">
        <f>SUM('[1]Actual Expenditure 2018-19'!F347)</f>
        <v>0</v>
      </c>
      <c r="G37" s="25">
        <f>SUM('[1]Actual Expenditure 2018-19'!G347)</f>
        <v>0</v>
      </c>
      <c r="H37" s="25">
        <f>SUM('[1]Actual Expenditure 2018-19'!H347)</f>
        <v>0</v>
      </c>
      <c r="I37" s="25">
        <f>SUM('[1]Actual Expenditure 2018-19'!I347)</f>
        <v>0</v>
      </c>
      <c r="J37" s="25">
        <f>SUM('[1]Actual Expenditure 2018-19'!J347)</f>
        <v>0</v>
      </c>
      <c r="K37" s="25">
        <f>SUM('[1]Actual Expenditure 2018-19'!K347)</f>
        <v>0</v>
      </c>
      <c r="L37" s="25">
        <v>2400000</v>
      </c>
      <c r="M37" s="71">
        <v>2026035</v>
      </c>
      <c r="N37" s="25">
        <f>SUM('[1]Actual Expenditure 2018-19'!M347)</f>
        <v>0</v>
      </c>
      <c r="O37" s="25">
        <f>SUM('[1]Actual Expenditure 2018-19'!N347)</f>
        <v>0</v>
      </c>
      <c r="P37" s="25">
        <f>SUM('[1]Actual Expenditure 2018-19'!O347)</f>
        <v>0</v>
      </c>
      <c r="Q37" s="25">
        <f>SUM('[1]Actual Expenditure 2018-19'!P347)</f>
        <v>0</v>
      </c>
      <c r="R37" s="25">
        <f>SUM('[1]Actual Expenditure 2018-19'!Q347)</f>
        <v>0</v>
      </c>
      <c r="S37" s="25">
        <f>SUM('[1]Actual Expenditure 2018-19'!R347)</f>
        <v>0</v>
      </c>
      <c r="T37" s="21"/>
      <c r="U37" s="21"/>
      <c r="V37" s="21"/>
      <c r="W37" s="21"/>
      <c r="X37" s="21"/>
      <c r="Y37" s="21">
        <f t="shared" si="26"/>
        <v>84.418125000000003</v>
      </c>
      <c r="Z37" s="21"/>
      <c r="AA37" s="21"/>
      <c r="AB37" s="21">
        <f>P37/E37*100</f>
        <v>0</v>
      </c>
      <c r="AC37" s="21"/>
      <c r="AD37" s="21"/>
      <c r="AE37" s="21"/>
      <c r="AF37" s="21"/>
      <c r="AG37" s="21"/>
      <c r="AH37" s="21"/>
      <c r="AI37" s="21"/>
      <c r="AJ37" s="25"/>
      <c r="AK37" s="25"/>
      <c r="AL37" s="25"/>
      <c r="AM37" s="25"/>
      <c r="AN37" s="25"/>
      <c r="AO37" s="21"/>
      <c r="AP37" s="25">
        <v>1187600</v>
      </c>
      <c r="AQ37" s="21">
        <f>AP37/A37*100</f>
        <v>49.483333333333334</v>
      </c>
      <c r="AR37" s="51">
        <v>1187600</v>
      </c>
      <c r="AS37" s="21">
        <f>AR37/A37*100</f>
        <v>49.483333333333334</v>
      </c>
      <c r="AT37" s="25">
        <v>1187600</v>
      </c>
      <c r="AU37" s="21">
        <f>AT37/A37*100</f>
        <v>49.483333333333334</v>
      </c>
      <c r="AV37" s="52">
        <v>1187600</v>
      </c>
      <c r="AW37" s="21">
        <f>AV37/A37*100</f>
        <v>49.483333333333334</v>
      </c>
      <c r="AX37" s="52">
        <v>1187600</v>
      </c>
      <c r="AY37" s="21">
        <f>AX37/A37*100</f>
        <v>49.483333333333334</v>
      </c>
      <c r="AZ37" s="52">
        <v>1187600</v>
      </c>
      <c r="BA37" s="21">
        <f>AZ37/A37*100</f>
        <v>49.483333333333334</v>
      </c>
      <c r="BB37" s="21">
        <f>AZ37/B37*100</f>
        <v>99.798319327731093</v>
      </c>
      <c r="BC37" s="52">
        <v>1187600</v>
      </c>
      <c r="BD37" s="21">
        <f>BC37/A37*100</f>
        <v>49.483333333333334</v>
      </c>
      <c r="BE37" s="21">
        <f>BC37/B37*100</f>
        <v>99.798319327731093</v>
      </c>
      <c r="BF37" s="52">
        <v>1187600</v>
      </c>
      <c r="BG37" s="21">
        <f>BF37/A37*100</f>
        <v>49.483333333333334</v>
      </c>
      <c r="BH37" s="21">
        <f>BF37/B37*100</f>
        <v>99.798319327731093</v>
      </c>
      <c r="BI37" s="52"/>
      <c r="BJ37" s="21">
        <f>BI37/A37*100</f>
        <v>0</v>
      </c>
      <c r="BK37" s="21">
        <f>BI37/B37*100</f>
        <v>0</v>
      </c>
    </row>
    <row r="38" spans="1:63" ht="18" x14ac:dyDescent="0.4">
      <c r="A38" s="25"/>
      <c r="B38" s="25"/>
      <c r="C38" s="9"/>
      <c r="D38" s="10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5"/>
      <c r="AK38" s="25"/>
      <c r="AL38" s="25"/>
      <c r="AM38" s="25"/>
      <c r="AN38" s="25"/>
      <c r="AO38" s="21"/>
      <c r="AP38" s="25"/>
      <c r="AQ38" s="21"/>
      <c r="AR38" s="51"/>
      <c r="AS38" s="21"/>
      <c r="AT38" s="25"/>
      <c r="AU38" s="21"/>
      <c r="AV38" s="52"/>
      <c r="AW38" s="21"/>
      <c r="AX38" s="52"/>
      <c r="AY38" s="21"/>
      <c r="AZ38" s="52"/>
      <c r="BA38" s="21"/>
      <c r="BB38" s="21"/>
      <c r="BC38" s="52"/>
      <c r="BD38" s="21"/>
      <c r="BE38" s="21"/>
      <c r="BF38" s="52"/>
      <c r="BG38" s="21"/>
      <c r="BH38" s="21"/>
      <c r="BI38" s="52"/>
      <c r="BJ38" s="21"/>
      <c r="BK38" s="21"/>
    </row>
    <row r="39" spans="1:63" ht="18" x14ac:dyDescent="0.4">
      <c r="A39" s="25">
        <f>SUM(A13:A37)</f>
        <v>74185000</v>
      </c>
      <c r="B39" s="25">
        <f>SUM(B13:B37)</f>
        <v>72186500</v>
      </c>
      <c r="C39" s="9"/>
      <c r="D39" s="25" t="s">
        <v>91</v>
      </c>
      <c r="E39" s="25">
        <f>SUM(E13:E37)</f>
        <v>74936500</v>
      </c>
      <c r="F39" s="25">
        <f>SUM(F13:F36)</f>
        <v>0</v>
      </c>
      <c r="G39" s="25">
        <f>SUM(G13:G37)</f>
        <v>4698363</v>
      </c>
      <c r="H39" s="25">
        <f>SUM(H13:H36)</f>
        <v>0</v>
      </c>
      <c r="I39" s="25">
        <f>SUM(I13:I36)</f>
        <v>0</v>
      </c>
      <c r="J39" s="25">
        <f t="shared" ref="J39:P39" si="50">SUM(J13:J37)</f>
        <v>8</v>
      </c>
      <c r="K39" s="25">
        <f t="shared" si="50"/>
        <v>31323428</v>
      </c>
      <c r="L39" s="25">
        <f>SUM(L13:L37)</f>
        <v>74936500</v>
      </c>
      <c r="M39" s="25">
        <f t="shared" si="50"/>
        <v>62244868</v>
      </c>
      <c r="N39" s="25">
        <f t="shared" si="50"/>
        <v>0</v>
      </c>
      <c r="O39" s="25">
        <f t="shared" si="50"/>
        <v>0</v>
      </c>
      <c r="P39" s="25">
        <f t="shared" si="50"/>
        <v>0</v>
      </c>
      <c r="Q39" s="25">
        <f>SUM(Q13:Q37)</f>
        <v>0</v>
      </c>
      <c r="R39" s="25">
        <f>SUM(R13:R37)</f>
        <v>6</v>
      </c>
      <c r="S39" s="25">
        <f>SUM(S13:S36)</f>
        <v>0</v>
      </c>
      <c r="T39" s="21">
        <f>G39/E39*100</f>
        <v>6.2697924242525334</v>
      </c>
      <c r="U39" s="21">
        <f t="shared" si="28"/>
        <v>0</v>
      </c>
      <c r="V39" s="21">
        <f t="shared" si="29"/>
        <v>0</v>
      </c>
      <c r="W39" s="21">
        <f t="shared" si="30"/>
        <v>1.0675705430597907E-5</v>
      </c>
      <c r="X39" s="21">
        <f t="shared" si="0"/>
        <v>41.799961300567809</v>
      </c>
      <c r="Y39" s="21">
        <f t="shared" si="26"/>
        <v>83.063484416806233</v>
      </c>
      <c r="Z39" s="21">
        <f>N39/E39*100</f>
        <v>0</v>
      </c>
      <c r="AA39" s="21">
        <f>O39/E39*100</f>
        <v>0</v>
      </c>
      <c r="AB39" s="21">
        <f>P39/E39*100</f>
        <v>0</v>
      </c>
      <c r="AC39" s="21">
        <f>Q39/E39*100</f>
        <v>0</v>
      </c>
      <c r="AD39" s="21">
        <f>R39/E39*100</f>
        <v>8.0067790729484309E-6</v>
      </c>
      <c r="AE39" s="21">
        <f>S39/E39*100</f>
        <v>0</v>
      </c>
      <c r="AF39" s="21" t="e">
        <f>P39/F39*100</f>
        <v>#DIV/0!</v>
      </c>
      <c r="AG39" s="21" t="e">
        <f>Q39/F39*100</f>
        <v>#DIV/0!</v>
      </c>
      <c r="AH39" s="21" t="e">
        <f>R39/F39*100</f>
        <v>#DIV/0!</v>
      </c>
      <c r="AI39" s="21" t="e">
        <f>S39/F39*100</f>
        <v>#DIV/0!</v>
      </c>
      <c r="AJ39" s="54">
        <f>SUM(AJ13:AJ36)</f>
        <v>8107007</v>
      </c>
      <c r="AK39" s="21">
        <f>AJ39/A39*100</f>
        <v>10.928094628294129</v>
      </c>
      <c r="AL39" s="55">
        <f>SUM(AL13:AL36)</f>
        <v>13147184</v>
      </c>
      <c r="AM39" s="21">
        <f>AL39/A39*100</f>
        <v>17.722159466199365</v>
      </c>
      <c r="AN39" s="55">
        <f>SUM(AN13:AN36)</f>
        <v>18522892</v>
      </c>
      <c r="AO39" s="21">
        <f>AN39/A39*100</f>
        <v>24.968513850508863</v>
      </c>
      <c r="AP39" s="55">
        <f>SUM(AP13:AP37)</f>
        <v>25084919</v>
      </c>
      <c r="AQ39" s="21">
        <f>AP39/A39*100</f>
        <v>33.814004178742337</v>
      </c>
      <c r="AR39" s="55">
        <f>SUM(AR13:AR37)</f>
        <v>30559102</v>
      </c>
      <c r="AS39" s="21">
        <f>AR39/A39*100</f>
        <v>41.193101031205771</v>
      </c>
      <c r="AT39" s="55">
        <f>SUM(AT13:AT37)</f>
        <v>36148011</v>
      </c>
      <c r="AU39" s="21">
        <f>AT39/A39*100</f>
        <v>48.726846397519715</v>
      </c>
      <c r="AV39" s="52">
        <f>SUM(AV13:AV37)</f>
        <v>41655258</v>
      </c>
      <c r="AW39" s="21">
        <f>AV39/A39*100</f>
        <v>56.15051290692189</v>
      </c>
      <c r="AX39" s="52">
        <f>SUM(AX13:AX37)</f>
        <v>46935970</v>
      </c>
      <c r="AY39" s="21">
        <f>AX39/A39*100</f>
        <v>63.268814450360587</v>
      </c>
      <c r="AZ39" s="52">
        <f>SUM(AZ13:AZ37)</f>
        <v>53356836</v>
      </c>
      <c r="BA39" s="21">
        <f>AZ39/A39*100</f>
        <v>71.924022376491209</v>
      </c>
      <c r="BB39" s="21">
        <f>AZ39/B39*100</f>
        <v>73.915255622588717</v>
      </c>
      <c r="BC39" s="52">
        <f>SUM(BC13:BC37)</f>
        <v>58762414</v>
      </c>
      <c r="BD39" s="21">
        <f>BC39/A39*100</f>
        <v>79.210640965154681</v>
      </c>
      <c r="BE39" s="21">
        <f>BC39/B39*100</f>
        <v>81.403605937398268</v>
      </c>
      <c r="BF39" s="52">
        <f>SUM(BF13:BF37)</f>
        <v>64514950</v>
      </c>
      <c r="BG39" s="21">
        <f>BF39/A39*100</f>
        <v>86.964952483655722</v>
      </c>
      <c r="BH39" s="21">
        <f>BF39/B39*100</f>
        <v>89.372597369314207</v>
      </c>
      <c r="BI39" s="52">
        <f>SUM(BI13:BI36)</f>
        <v>0</v>
      </c>
      <c r="BJ39" s="21">
        <f>BI39/A39*100</f>
        <v>0</v>
      </c>
      <c r="BK39" s="21">
        <f>BI39/B39*100</f>
        <v>0</v>
      </c>
    </row>
    <row r="40" spans="1:63" ht="18" x14ac:dyDescent="0.4">
      <c r="A40" s="25">
        <f>SUM(A30)</f>
        <v>5000</v>
      </c>
      <c r="B40" s="25">
        <f>SUM(B30)</f>
        <v>5000</v>
      </c>
      <c r="C40" s="9"/>
      <c r="D40" s="25" t="s">
        <v>92</v>
      </c>
      <c r="E40" s="25">
        <f>SUM(E30)</f>
        <v>5000</v>
      </c>
      <c r="F40" s="25">
        <f t="shared" ref="F40:S40" si="51">SUM(F30)</f>
        <v>0</v>
      </c>
      <c r="G40" s="25">
        <f>SUM(G30)</f>
        <v>0</v>
      </c>
      <c r="H40" s="25">
        <f>SUM(H30)</f>
        <v>0</v>
      </c>
      <c r="I40" s="25">
        <f>SUM(I30)</f>
        <v>0</v>
      </c>
      <c r="J40" s="25">
        <f t="shared" si="51"/>
        <v>0</v>
      </c>
      <c r="K40" s="25">
        <f t="shared" si="51"/>
        <v>0</v>
      </c>
      <c r="L40" s="25">
        <f>SUM(L30)</f>
        <v>5000</v>
      </c>
      <c r="M40" s="25">
        <f t="shared" si="51"/>
        <v>220</v>
      </c>
      <c r="N40" s="25">
        <f t="shared" si="51"/>
        <v>0</v>
      </c>
      <c r="O40" s="25">
        <f t="shared" si="51"/>
        <v>0</v>
      </c>
      <c r="P40" s="25">
        <f>SUM(P30)</f>
        <v>0</v>
      </c>
      <c r="Q40" s="25">
        <f>SUM(Q30)</f>
        <v>0</v>
      </c>
      <c r="R40" s="25">
        <f t="shared" si="51"/>
        <v>0</v>
      </c>
      <c r="S40" s="25">
        <f t="shared" si="51"/>
        <v>0</v>
      </c>
      <c r="T40" s="21">
        <f>G40/E40*100</f>
        <v>0</v>
      </c>
      <c r="U40" s="21">
        <f t="shared" si="28"/>
        <v>0</v>
      </c>
      <c r="V40" s="21">
        <f t="shared" si="29"/>
        <v>0</v>
      </c>
      <c r="W40" s="21">
        <f t="shared" si="30"/>
        <v>0</v>
      </c>
      <c r="X40" s="21">
        <f t="shared" si="0"/>
        <v>0</v>
      </c>
      <c r="Y40" s="21">
        <f t="shared" si="26"/>
        <v>4.3999999999999995</v>
      </c>
      <c r="Z40" s="21">
        <f>N40/E40*100</f>
        <v>0</v>
      </c>
      <c r="AA40" s="21">
        <f>O40/E40*100</f>
        <v>0</v>
      </c>
      <c r="AB40" s="21">
        <f>P40/E40*100</f>
        <v>0</v>
      </c>
      <c r="AC40" s="21">
        <f>Q40/E40*100</f>
        <v>0</v>
      </c>
      <c r="AD40" s="21">
        <f>R40/E40*100</f>
        <v>0</v>
      </c>
      <c r="AE40" s="21">
        <f>S40/E40*100</f>
        <v>0</v>
      </c>
      <c r="AF40" s="21" t="e">
        <f>P40/F40*100</f>
        <v>#DIV/0!</v>
      </c>
      <c r="AG40" s="21" t="e">
        <f>Q40/F40*100</f>
        <v>#DIV/0!</v>
      </c>
      <c r="AH40" s="21" t="e">
        <f>R40/F40*100</f>
        <v>#DIV/0!</v>
      </c>
      <c r="AI40" s="21" t="e">
        <f>S40/F40*100</f>
        <v>#DIV/0!</v>
      </c>
      <c r="AJ40" s="54">
        <f>SUM(AJ30)</f>
        <v>0</v>
      </c>
      <c r="AK40" s="21">
        <f>AJ40/A40*100</f>
        <v>0</v>
      </c>
      <c r="AL40" s="55">
        <f>SUM(AL30)</f>
        <v>0</v>
      </c>
      <c r="AM40" s="21">
        <f>AL40/A40*100</f>
        <v>0</v>
      </c>
      <c r="AN40" s="55">
        <f>SUM(AN30)</f>
        <v>0</v>
      </c>
      <c r="AO40" s="21">
        <f>AN40/A40*100</f>
        <v>0</v>
      </c>
      <c r="AP40" s="55">
        <f>SUM(AP30)</f>
        <v>0</v>
      </c>
      <c r="AQ40" s="21">
        <f>AP40/A40*100</f>
        <v>0</v>
      </c>
      <c r="AR40" s="55">
        <f>SUM(AR30)</f>
        <v>0</v>
      </c>
      <c r="AS40" s="21">
        <f>AR40/A40*100</f>
        <v>0</v>
      </c>
      <c r="AT40" s="55">
        <f>SUM(AT30)</f>
        <v>0</v>
      </c>
      <c r="AU40" s="21">
        <f>AT40/A40*100</f>
        <v>0</v>
      </c>
      <c r="AV40" s="52">
        <f>SUM(AV30)</f>
        <v>0</v>
      </c>
      <c r="AW40" s="21">
        <f>AV40/A40*100</f>
        <v>0</v>
      </c>
      <c r="AX40" s="52">
        <f>SUM(AX30)</f>
        <v>0</v>
      </c>
      <c r="AY40" s="21">
        <f>AX40/A40*100</f>
        <v>0</v>
      </c>
      <c r="AZ40" s="52">
        <f>SUM(AZ30)</f>
        <v>0</v>
      </c>
      <c r="BA40" s="21">
        <f>AZ40/A40*100</f>
        <v>0</v>
      </c>
      <c r="BB40" s="21">
        <f>AZ40/B40*100</f>
        <v>0</v>
      </c>
      <c r="BC40" s="52">
        <f>SUM(BC30)</f>
        <v>193</v>
      </c>
      <c r="BD40" s="21">
        <f>BC40/A40*100</f>
        <v>3.8600000000000003</v>
      </c>
      <c r="BE40" s="21">
        <f>BC40/B40*100</f>
        <v>3.8600000000000003</v>
      </c>
      <c r="BF40" s="52">
        <f>SUM(BF30)</f>
        <v>193</v>
      </c>
      <c r="BG40" s="21">
        <f>BF40/A40*100</f>
        <v>3.8600000000000003</v>
      </c>
      <c r="BH40" s="21">
        <f>BF40/B40*100</f>
        <v>3.8600000000000003</v>
      </c>
      <c r="BI40" s="52">
        <f>SUM(BI30)</f>
        <v>0</v>
      </c>
      <c r="BJ40" s="21">
        <f>BI40/A40*100</f>
        <v>0</v>
      </c>
      <c r="BK40" s="21">
        <f>BI40/B40*100</f>
        <v>0</v>
      </c>
    </row>
    <row r="41" spans="1:63" ht="18" x14ac:dyDescent="0.4">
      <c r="A41" s="25">
        <f>SUM(A39-A40)</f>
        <v>74180000</v>
      </c>
      <c r="B41" s="25">
        <f>SUM(B39-B40)</f>
        <v>72181500</v>
      </c>
      <c r="C41" s="9"/>
      <c r="D41" s="25" t="s">
        <v>93</v>
      </c>
      <c r="E41" s="25">
        <f>SUM(E39-E40)</f>
        <v>74931500</v>
      </c>
      <c r="F41" s="25">
        <f t="shared" ref="F41:S41" si="52">SUM(F39-F40)</f>
        <v>0</v>
      </c>
      <c r="G41" s="25">
        <f>SUM(G39-G40)</f>
        <v>4698363</v>
      </c>
      <c r="H41" s="25">
        <f>SUM(H39-H40)</f>
        <v>0</v>
      </c>
      <c r="I41" s="25">
        <f>SUM(I39-I40)</f>
        <v>0</v>
      </c>
      <c r="J41" s="25">
        <f t="shared" si="52"/>
        <v>8</v>
      </c>
      <c r="K41" s="25">
        <f t="shared" si="52"/>
        <v>31323428</v>
      </c>
      <c r="L41" s="25">
        <f>SUM(L39-L40)</f>
        <v>74931500</v>
      </c>
      <c r="M41" s="25">
        <f t="shared" si="52"/>
        <v>62244648</v>
      </c>
      <c r="N41" s="25">
        <f t="shared" si="52"/>
        <v>0</v>
      </c>
      <c r="O41" s="25">
        <f t="shared" si="52"/>
        <v>0</v>
      </c>
      <c r="P41" s="25">
        <f>SUM(P39-P40)</f>
        <v>0</v>
      </c>
      <c r="Q41" s="25">
        <f>SUM(Q39-Q40)</f>
        <v>0</v>
      </c>
      <c r="R41" s="25">
        <f>SUM(R39-R40)</f>
        <v>6</v>
      </c>
      <c r="S41" s="25">
        <f t="shared" si="52"/>
        <v>0</v>
      </c>
      <c r="T41" s="21">
        <f>G41/E41*100</f>
        <v>6.2702107925238382</v>
      </c>
      <c r="U41" s="21">
        <f t="shared" si="28"/>
        <v>0</v>
      </c>
      <c r="V41" s="21">
        <f t="shared" si="29"/>
        <v>0</v>
      </c>
      <c r="W41" s="21">
        <f t="shared" si="30"/>
        <v>1.067641779491936E-5</v>
      </c>
      <c r="X41" s="21">
        <f t="shared" si="0"/>
        <v>41.802750512134416</v>
      </c>
      <c r="Y41" s="21">
        <f t="shared" si="26"/>
        <v>83.068733443211457</v>
      </c>
      <c r="Z41" s="21">
        <f>N41/E41*100</f>
        <v>0</v>
      </c>
      <c r="AA41" s="21">
        <f>O41/E41*100</f>
        <v>0</v>
      </c>
      <c r="AB41" s="21">
        <f>P41/E41*100</f>
        <v>0</v>
      </c>
      <c r="AC41" s="21">
        <f>Q41/E41*100</f>
        <v>0</v>
      </c>
      <c r="AD41" s="21">
        <f>R41/E41*100</f>
        <v>8.0073133461895206E-6</v>
      </c>
      <c r="AE41" s="21">
        <f>S41/E41*100</f>
        <v>0</v>
      </c>
      <c r="AF41" s="21" t="e">
        <f>P41/F41*100</f>
        <v>#DIV/0!</v>
      </c>
      <c r="AG41" s="21" t="e">
        <f>Q41/F41*100</f>
        <v>#DIV/0!</v>
      </c>
      <c r="AH41" s="21" t="e">
        <f>R41/F41*100</f>
        <v>#DIV/0!</v>
      </c>
      <c r="AI41" s="21" t="e">
        <f>S41/F41*100</f>
        <v>#DIV/0!</v>
      </c>
      <c r="AJ41" s="54">
        <f>SUM(AJ39-AJ40)</f>
        <v>8107007</v>
      </c>
      <c r="AK41" s="21">
        <f>AJ41/A41*100</f>
        <v>10.928831221353464</v>
      </c>
      <c r="AL41" s="55">
        <f>SUM(AL39-AL40)</f>
        <v>13147184</v>
      </c>
      <c r="AM41" s="21">
        <f>AL41/A41*100</f>
        <v>17.723354003774602</v>
      </c>
      <c r="AN41" s="55">
        <f>SUM(AN39-AN40)</f>
        <v>18522892</v>
      </c>
      <c r="AO41" s="21">
        <f>AN41/A41*100</f>
        <v>24.970196818549475</v>
      </c>
      <c r="AP41" s="55">
        <f>SUM(AP39-AP40)</f>
        <v>25084919</v>
      </c>
      <c r="AQ41" s="21">
        <f>AP41/A41*100</f>
        <v>33.816283364788355</v>
      </c>
      <c r="AR41" s="55">
        <f>SUM(AR39-AR40)</f>
        <v>30559102</v>
      </c>
      <c r="AS41" s="21">
        <f>AR41/A41*100</f>
        <v>41.195877595039093</v>
      </c>
      <c r="AT41" s="55">
        <f>SUM(AT39-AT40)</f>
        <v>36148011</v>
      </c>
      <c r="AU41" s="21">
        <f>AT41/A41*100</f>
        <v>48.730130763008901</v>
      </c>
      <c r="AV41" s="52">
        <f>SUM(AV39-AV40)</f>
        <v>41655258</v>
      </c>
      <c r="AW41" s="21">
        <f>AV41/A41*100</f>
        <v>56.154297654354266</v>
      </c>
      <c r="AX41" s="52">
        <f>SUM(AX39-AX40)</f>
        <v>46935970</v>
      </c>
      <c r="AY41" s="21">
        <f>AX41/A41*100</f>
        <v>63.27307899703424</v>
      </c>
      <c r="AZ41" s="52">
        <f>SUM(AZ39-AZ40)</f>
        <v>53356836</v>
      </c>
      <c r="BA41" s="21">
        <f>AZ41/A41*100</f>
        <v>71.928870315448918</v>
      </c>
      <c r="BB41" s="21">
        <f>AZ41/B41*100</f>
        <v>73.920375719540317</v>
      </c>
      <c r="BC41" s="52">
        <f>SUM(BC39-BC40)</f>
        <v>58762221</v>
      </c>
      <c r="BD41" s="21">
        <f>BC41/A41*100</f>
        <v>79.215719870585062</v>
      </c>
      <c r="BE41" s="21">
        <f>BC41/B41*100</f>
        <v>81.4089773695476</v>
      </c>
      <c r="BF41" s="52">
        <f>SUM(BF39-BF40)</f>
        <v>64514757</v>
      </c>
      <c r="BG41" s="21">
        <f>BF41/A41*100</f>
        <v>86.970554057697484</v>
      </c>
      <c r="BH41" s="21">
        <f>BF41/B41*100</f>
        <v>89.378520812119447</v>
      </c>
      <c r="BI41" s="52">
        <f>SUM(BI39-BI40)</f>
        <v>0</v>
      </c>
      <c r="BJ41" s="21">
        <f>BI41/A41*100</f>
        <v>0</v>
      </c>
      <c r="BK41" s="21">
        <f>BI41/B41*100</f>
        <v>0</v>
      </c>
    </row>
    <row r="42" spans="1:63" ht="18" x14ac:dyDescent="0.4">
      <c r="A42" s="25"/>
      <c r="B42" s="25"/>
      <c r="C42" s="9"/>
      <c r="D42" s="25" t="s">
        <v>94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5"/>
      <c r="AK42" s="25"/>
      <c r="AL42" s="25"/>
      <c r="AM42" s="25"/>
      <c r="AN42" s="25"/>
      <c r="AO42" s="21"/>
      <c r="AP42" s="25"/>
      <c r="AQ42" s="21"/>
      <c r="AR42" s="25"/>
      <c r="AS42" s="21"/>
      <c r="AT42" s="25"/>
      <c r="AU42" s="21"/>
      <c r="AV42" s="52"/>
      <c r="AW42" s="21" t="s">
        <v>3</v>
      </c>
      <c r="AX42" s="52"/>
      <c r="AY42" s="21"/>
      <c r="AZ42" s="52"/>
      <c r="BA42" s="21"/>
      <c r="BB42" s="21"/>
      <c r="BC42" s="52"/>
      <c r="BD42" s="21"/>
      <c r="BE42" s="21"/>
      <c r="BF42" s="52"/>
      <c r="BG42" s="21"/>
      <c r="BH42" s="21"/>
      <c r="BI42" s="52"/>
      <c r="BJ42" s="21"/>
      <c r="BK42" s="21"/>
    </row>
    <row r="43" spans="1:63" ht="18" x14ac:dyDescent="0.4">
      <c r="A43" s="25"/>
      <c r="B43" s="25"/>
      <c r="C43" s="24"/>
      <c r="D43" s="25" t="s">
        <v>95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5"/>
      <c r="AK43" s="25"/>
      <c r="AL43" s="25"/>
      <c r="AM43" s="25"/>
      <c r="AN43" s="25"/>
      <c r="AO43" s="21"/>
      <c r="AP43" s="25"/>
      <c r="AQ43" s="21"/>
      <c r="AR43" s="25"/>
      <c r="AS43" s="21"/>
      <c r="AT43" s="25"/>
      <c r="AU43" s="21"/>
      <c r="AV43" s="52"/>
      <c r="AW43" s="21" t="s">
        <v>3</v>
      </c>
      <c r="AX43" s="52"/>
      <c r="AY43" s="21"/>
      <c r="AZ43" s="52"/>
      <c r="BA43" s="21"/>
      <c r="BB43" s="21"/>
      <c r="BC43" s="52"/>
      <c r="BD43" s="21"/>
      <c r="BE43" s="21"/>
      <c r="BF43" s="52"/>
      <c r="BG43" s="21"/>
      <c r="BH43" s="21"/>
      <c r="BI43" s="52"/>
      <c r="BJ43" s="21"/>
      <c r="BK43" s="21"/>
    </row>
    <row r="44" spans="1:63" ht="18" x14ac:dyDescent="0.4">
      <c r="A44" s="25"/>
      <c r="B44" s="25"/>
      <c r="C44" s="56"/>
      <c r="D44" s="25" t="s">
        <v>96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5"/>
      <c r="AK44" s="25"/>
      <c r="AL44" s="25"/>
      <c r="AM44" s="25"/>
      <c r="AN44" s="25"/>
      <c r="AO44" s="21"/>
      <c r="AP44" s="25"/>
      <c r="AQ44" s="21"/>
      <c r="AR44" s="25"/>
      <c r="AS44" s="21"/>
      <c r="AT44" s="25"/>
      <c r="AU44" s="21"/>
      <c r="AV44" s="52"/>
      <c r="AW44" s="21" t="s">
        <v>3</v>
      </c>
      <c r="AX44" s="52"/>
      <c r="AY44" s="21"/>
      <c r="AZ44" s="52"/>
      <c r="BA44" s="21"/>
      <c r="BB44" s="21"/>
      <c r="BC44" s="52"/>
      <c r="BD44" s="21"/>
      <c r="BE44" s="21"/>
      <c r="BF44" s="52"/>
      <c r="BG44" s="21"/>
      <c r="BH44" s="21"/>
      <c r="BI44" s="52"/>
      <c r="BJ44" s="21"/>
      <c r="BK44" s="21"/>
    </row>
    <row r="45" spans="1:63" ht="18" x14ac:dyDescent="0.4">
      <c r="A45" s="25">
        <f>SUM('[1]Actual Expenditure 2018-19'!A485)</f>
        <v>0</v>
      </c>
      <c r="B45" s="25">
        <f>SUM('[1]Actual Expenditure 2018-19'!B485)</f>
        <v>0</v>
      </c>
      <c r="C45" s="50">
        <v>53</v>
      </c>
      <c r="D45" s="25" t="s">
        <v>97</v>
      </c>
      <c r="E45" s="25">
        <f>SUM('[1]Actual Expenditure 2018-19'!E485)</f>
        <v>0</v>
      </c>
      <c r="F45" s="25">
        <f>SUM('[1]Actual Expenditure 2018-19'!F485)</f>
        <v>0</v>
      </c>
      <c r="G45" s="25">
        <f>SUM('[1]Actual Expenditure 2018-19'!G485)</f>
        <v>0</v>
      </c>
      <c r="H45" s="25">
        <f>SUM('[1]Actual Expenditure 2018-19'!H485)</f>
        <v>0</v>
      </c>
      <c r="I45" s="25">
        <f>SUM('[1]Actual Expenditure 2018-19'!I485)</f>
        <v>0</v>
      </c>
      <c r="J45" s="25">
        <f>SUM('[1]Actual Expenditure 2018-19'!J485)</f>
        <v>0</v>
      </c>
      <c r="K45" s="25">
        <f>SUM('[1]Actual Expenditure 2018-19'!K485)</f>
        <v>0</v>
      </c>
      <c r="L45" s="25"/>
      <c r="M45" s="25">
        <f>SUM('[1]Actual Expenditure 2018-19'!L485)</f>
        <v>0</v>
      </c>
      <c r="N45" s="25">
        <f>SUM('[1]Actual Expenditure 2018-19'!M485)</f>
        <v>0</v>
      </c>
      <c r="O45" s="25">
        <f>SUM('[1]Actual Expenditure 2018-19'!N485)</f>
        <v>0</v>
      </c>
      <c r="P45" s="25">
        <f>SUM('[1]Actual Expenditure 2018-19'!O485)</f>
        <v>0</v>
      </c>
      <c r="Q45" s="25">
        <f>SUM('[1]Actual Expenditure 2018-19'!P485)</f>
        <v>0</v>
      </c>
      <c r="R45" s="25">
        <f>SUM('[1]Actual Expenditure 2018-19'!Q485)</f>
        <v>0</v>
      </c>
      <c r="S45" s="25">
        <f>SUM('[1]Actual Expenditure 2018-19'!R485)</f>
        <v>0</v>
      </c>
      <c r="T45" s="53">
        <v>0</v>
      </c>
      <c r="U45" s="21" t="e">
        <f t="shared" si="28"/>
        <v>#DIV/0!</v>
      </c>
      <c r="V45" s="21" t="e">
        <f t="shared" si="29"/>
        <v>#DIV/0!</v>
      </c>
      <c r="W45" s="21" t="e">
        <f t="shared" si="30"/>
        <v>#DIV/0!</v>
      </c>
      <c r="X45" s="21" t="e">
        <f t="shared" si="0"/>
        <v>#DIV/0!</v>
      </c>
      <c r="Y45" s="21"/>
      <c r="Z45" s="21" t="e">
        <f>N45/E45*100</f>
        <v>#DIV/0!</v>
      </c>
      <c r="AA45" s="21" t="e">
        <f>O45/E45*100</f>
        <v>#DIV/0!</v>
      </c>
      <c r="AB45" s="21" t="e">
        <f>P45/E45*100</f>
        <v>#DIV/0!</v>
      </c>
      <c r="AC45" s="21" t="e">
        <f>Q45/E45*100</f>
        <v>#DIV/0!</v>
      </c>
      <c r="AD45" s="21" t="e">
        <f>R45/E45*100</f>
        <v>#DIV/0!</v>
      </c>
      <c r="AE45" s="21" t="e">
        <f>S45/E45*100</f>
        <v>#DIV/0!</v>
      </c>
      <c r="AF45" s="21" t="e">
        <f>P45/F45*100</f>
        <v>#DIV/0!</v>
      </c>
      <c r="AG45" s="21" t="e">
        <f>Q45/F45*100</f>
        <v>#DIV/0!</v>
      </c>
      <c r="AH45" s="21" t="e">
        <f>R45/F45*100</f>
        <v>#DIV/0!</v>
      </c>
      <c r="AI45" s="21" t="e">
        <f>S45/F45*100</f>
        <v>#DIV/0!</v>
      </c>
      <c r="AJ45" s="25">
        <v>0</v>
      </c>
      <c r="AK45" s="21">
        <v>0</v>
      </c>
      <c r="AL45" s="25">
        <v>0</v>
      </c>
      <c r="AM45" s="21" t="e">
        <f>AL45/A45*100</f>
        <v>#DIV/0!</v>
      </c>
      <c r="AN45" s="25">
        <v>0</v>
      </c>
      <c r="AO45" s="21" t="e">
        <f>AN45/A45*100</f>
        <v>#DIV/0!</v>
      </c>
      <c r="AP45" s="25">
        <v>0</v>
      </c>
      <c r="AQ45" s="21" t="e">
        <f>AP45/A45*100</f>
        <v>#DIV/0!</v>
      </c>
      <c r="AR45" s="25">
        <v>0</v>
      </c>
      <c r="AS45" s="21" t="e">
        <f>AR45/A45*100</f>
        <v>#DIV/0!</v>
      </c>
      <c r="AT45" s="25">
        <v>0</v>
      </c>
      <c r="AU45" s="21" t="e">
        <f>AT45/A45*100</f>
        <v>#DIV/0!</v>
      </c>
      <c r="AV45" s="52">
        <v>0</v>
      </c>
      <c r="AW45" s="21" t="e">
        <f>AV45/A45*100</f>
        <v>#DIV/0!</v>
      </c>
      <c r="AX45" s="52">
        <v>0</v>
      </c>
      <c r="AY45" s="21" t="e">
        <f>AX45/A45*100</f>
        <v>#DIV/0!</v>
      </c>
      <c r="AZ45" s="52">
        <v>0</v>
      </c>
      <c r="BA45" s="21" t="e">
        <f>AZ45/A45*100</f>
        <v>#DIV/0!</v>
      </c>
      <c r="BB45" s="21" t="e">
        <f>AZ45/B45*100</f>
        <v>#DIV/0!</v>
      </c>
      <c r="BC45" s="52">
        <v>0</v>
      </c>
      <c r="BD45" s="21" t="e">
        <f>BC45/A45*100</f>
        <v>#DIV/0!</v>
      </c>
      <c r="BE45" s="21" t="e">
        <f>BC45/B45*100</f>
        <v>#DIV/0!</v>
      </c>
      <c r="BF45" s="52">
        <v>0</v>
      </c>
      <c r="BG45" s="21" t="e">
        <f>BF45/A45*100</f>
        <v>#DIV/0!</v>
      </c>
      <c r="BH45" s="21" t="e">
        <f>BF45/B45*100</f>
        <v>#DIV/0!</v>
      </c>
      <c r="BI45" s="52">
        <v>0</v>
      </c>
      <c r="BJ45" s="21" t="e">
        <f>BI45/A45*100</f>
        <v>#DIV/0!</v>
      </c>
      <c r="BK45" s="21" t="e">
        <f>BI45/B45*100</f>
        <v>#DIV/0!</v>
      </c>
    </row>
    <row r="46" spans="1:63" ht="18" x14ac:dyDescent="0.4">
      <c r="A46" s="25">
        <f>SUM('[1]Actual Expenditure 2018-19'!A477)</f>
        <v>100000</v>
      </c>
      <c r="B46" s="25">
        <f>SUM('[1]Actual Expenditure 2018-19'!B477)</f>
        <v>100000</v>
      </c>
      <c r="C46" s="9">
        <v>54</v>
      </c>
      <c r="D46" s="25" t="s">
        <v>98</v>
      </c>
      <c r="E46" s="25">
        <f>SUM('[1]Actual Expenditure 2018-19'!E477)</f>
        <v>100000</v>
      </c>
      <c r="F46" s="25">
        <f>SUM('[1]Actual Expenditure 2018-19'!F477)</f>
        <v>0</v>
      </c>
      <c r="G46" s="25">
        <f>SUM('[1]Actual Expenditure 2018-19'!G477)</f>
        <v>0</v>
      </c>
      <c r="H46" s="25">
        <f>SUM('[1]Actual Expenditure 2018-19'!H477)</f>
        <v>0</v>
      </c>
      <c r="I46" s="25">
        <f>SUM('[1]Actual Expenditure 2018-19'!I477)</f>
        <v>0</v>
      </c>
      <c r="J46" s="25">
        <f>SUM('[1]Actual Expenditure 2018-19'!J477)</f>
        <v>0</v>
      </c>
      <c r="K46" s="25">
        <f>SUM('[1]Actual Expenditure 2018-19'!K477)</f>
        <v>0</v>
      </c>
      <c r="L46" s="25">
        <v>0</v>
      </c>
      <c r="M46" s="25">
        <f>SUM('[1]Actual Expenditure 2018-19'!L477)</f>
        <v>0</v>
      </c>
      <c r="N46" s="25">
        <f>SUM('[1]Actual Expenditure 2018-19'!M477)</f>
        <v>0</v>
      </c>
      <c r="O46" s="25">
        <f>SUM('[1]Actual Expenditure 2018-19'!N477)</f>
        <v>0</v>
      </c>
      <c r="P46" s="25">
        <f>SUM('[1]Actual Expenditure 2018-19'!O477)</f>
        <v>0</v>
      </c>
      <c r="Q46" s="25">
        <f>SUM('[1]Actual Expenditure 2018-19'!P477)</f>
        <v>0</v>
      </c>
      <c r="R46" s="25">
        <f>SUM('[1]Actual Expenditure 2018-19'!Q477)</f>
        <v>0</v>
      </c>
      <c r="S46" s="25">
        <f>SUM('[1]Actual Expenditure 2018-19'!R477)</f>
        <v>0</v>
      </c>
      <c r="T46" s="21">
        <f>G46/E46*100</f>
        <v>0</v>
      </c>
      <c r="U46" s="21">
        <f t="shared" si="28"/>
        <v>0</v>
      </c>
      <c r="V46" s="21">
        <f t="shared" si="29"/>
        <v>0</v>
      </c>
      <c r="W46" s="21">
        <f t="shared" si="30"/>
        <v>0</v>
      </c>
      <c r="X46" s="21">
        <f t="shared" si="0"/>
        <v>0</v>
      </c>
      <c r="Y46" s="21">
        <v>0</v>
      </c>
      <c r="Z46" s="21">
        <f>N46/E46*100</f>
        <v>0</v>
      </c>
      <c r="AA46" s="21">
        <f>O46/E46*100</f>
        <v>0</v>
      </c>
      <c r="AB46" s="21">
        <f>P46/E46*100</f>
        <v>0</v>
      </c>
      <c r="AC46" s="21">
        <f>Q46/E46*100</f>
        <v>0</v>
      </c>
      <c r="AD46" s="21">
        <f>R46/E46*100</f>
        <v>0</v>
      </c>
      <c r="AE46" s="21">
        <f>S46/E46*100</f>
        <v>0</v>
      </c>
      <c r="AF46" s="21" t="e">
        <f>P46/F46*100</f>
        <v>#DIV/0!</v>
      </c>
      <c r="AG46" s="21" t="e">
        <f>Q46/F46*100</f>
        <v>#DIV/0!</v>
      </c>
      <c r="AH46" s="21" t="e">
        <f>R46/F46*100</f>
        <v>#DIV/0!</v>
      </c>
      <c r="AI46" s="21" t="e">
        <f>S46/F46*100</f>
        <v>#DIV/0!</v>
      </c>
      <c r="AJ46" s="25">
        <v>0</v>
      </c>
      <c r="AK46" s="21">
        <f>AJ46/A46*100</f>
        <v>0</v>
      </c>
      <c r="AL46" s="25">
        <v>0</v>
      </c>
      <c r="AM46" s="21">
        <f>AL46/A46*100</f>
        <v>0</v>
      </c>
      <c r="AN46" s="25">
        <v>0</v>
      </c>
      <c r="AO46" s="21">
        <f>AN46/A46*100</f>
        <v>0</v>
      </c>
      <c r="AP46" s="25">
        <v>0</v>
      </c>
      <c r="AQ46" s="21">
        <f>AP46/A46*100</f>
        <v>0</v>
      </c>
      <c r="AR46" s="25">
        <v>0</v>
      </c>
      <c r="AS46" s="21">
        <f>AR46/A46*100</f>
        <v>0</v>
      </c>
      <c r="AT46" s="25">
        <v>0</v>
      </c>
      <c r="AU46" s="21">
        <f>AT46/A46*100</f>
        <v>0</v>
      </c>
      <c r="AV46" s="52">
        <v>0</v>
      </c>
      <c r="AW46" s="21">
        <f>AV46/A46*100</f>
        <v>0</v>
      </c>
      <c r="AX46" s="52">
        <v>0</v>
      </c>
      <c r="AY46" s="21">
        <f>AX46/A46*100</f>
        <v>0</v>
      </c>
      <c r="AZ46" s="52">
        <v>0</v>
      </c>
      <c r="BA46" s="21">
        <f>AZ46/A46*100</f>
        <v>0</v>
      </c>
      <c r="BB46" s="21">
        <f>AZ46/B46*100</f>
        <v>0</v>
      </c>
      <c r="BC46" s="52">
        <v>0</v>
      </c>
      <c r="BD46" s="21">
        <f>BC46/A46*100</f>
        <v>0</v>
      </c>
      <c r="BE46" s="21">
        <f>BC46/B46*100</f>
        <v>0</v>
      </c>
      <c r="BF46" s="52">
        <v>0</v>
      </c>
      <c r="BG46" s="21">
        <f>BF46/A46*100</f>
        <v>0</v>
      </c>
      <c r="BH46" s="21">
        <f>BF46/B46*100</f>
        <v>0</v>
      </c>
      <c r="BI46" s="52">
        <v>0</v>
      </c>
      <c r="BJ46" s="21">
        <f>BI46/A46*100</f>
        <v>0</v>
      </c>
      <c r="BK46" s="21">
        <f>BI46/B46*100</f>
        <v>0</v>
      </c>
    </row>
    <row r="47" spans="1:63" ht="18" x14ac:dyDescent="0.4">
      <c r="A47" s="25"/>
      <c r="B47" s="25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5"/>
      <c r="AK47" s="25"/>
      <c r="AL47" s="25"/>
      <c r="AM47" s="25"/>
      <c r="AN47" s="25"/>
      <c r="AO47" s="21"/>
      <c r="AP47" s="25"/>
      <c r="AQ47" s="21"/>
      <c r="AR47" s="25"/>
      <c r="AS47" s="21"/>
      <c r="AT47" s="25"/>
      <c r="AU47" s="21"/>
      <c r="AV47" s="52"/>
      <c r="AW47" s="21" t="s">
        <v>3</v>
      </c>
      <c r="AX47" s="52"/>
      <c r="AY47" s="21"/>
      <c r="AZ47" s="52"/>
      <c r="BA47" s="21"/>
      <c r="BB47" s="21"/>
      <c r="BC47" s="52"/>
      <c r="BD47" s="21"/>
      <c r="BE47" s="21"/>
      <c r="BF47" s="52"/>
      <c r="BG47" s="21"/>
      <c r="BH47" s="21"/>
      <c r="BI47" s="52"/>
      <c r="BJ47" s="21"/>
      <c r="BK47" s="21"/>
    </row>
    <row r="48" spans="1:63" ht="18" x14ac:dyDescent="0.4">
      <c r="A48" s="25">
        <f>SUM('[1]Actual Expenditure 2018-19'!A480)</f>
        <v>950000</v>
      </c>
      <c r="B48" s="25">
        <f>SUM('[1]Actual Expenditure 2018-19'!B480)</f>
        <v>890000</v>
      </c>
      <c r="C48" s="50">
        <v>54</v>
      </c>
      <c r="D48" s="25" t="s">
        <v>99</v>
      </c>
      <c r="E48" s="25">
        <f>SUM('[1]Actual Expenditure 2018-19'!E480)</f>
        <v>950000</v>
      </c>
      <c r="F48" s="25">
        <f>SUM('[1]Actual Expenditure 2018-19'!F480)</f>
        <v>0</v>
      </c>
      <c r="G48" s="25">
        <f>SUM('[1]Actual Expenditure 2018-19'!G480)</f>
        <v>0</v>
      </c>
      <c r="H48" s="25">
        <f>SUM('[1]Actual Expenditure 2018-19'!H480)</f>
        <v>0</v>
      </c>
      <c r="I48" s="25">
        <f>SUM('[1]Actual Expenditure 2018-19'!I480)</f>
        <v>0</v>
      </c>
      <c r="J48" s="25">
        <f>SUM('[1]Actual Expenditure 2018-19'!J480)</f>
        <v>0</v>
      </c>
      <c r="K48" s="25">
        <f>SUM('[1]Actual Expenditure 2018-19'!K480)</f>
        <v>0</v>
      </c>
      <c r="L48" s="25">
        <v>490900</v>
      </c>
      <c r="M48" s="25">
        <f>SUM('[1]Actual Expenditure 2018-19'!L480)</f>
        <v>0</v>
      </c>
      <c r="N48" s="25">
        <f>SUM('[1]Actual Expenditure 2018-19'!M480)</f>
        <v>0</v>
      </c>
      <c r="O48" s="25">
        <f>SUM('[1]Actual Expenditure 2018-19'!N480)</f>
        <v>0</v>
      </c>
      <c r="P48" s="25">
        <f>SUM('[1]Actual Expenditure 2018-19'!O480)</f>
        <v>0</v>
      </c>
      <c r="Q48" s="25">
        <f>SUM('[1]Actual Expenditure 2018-19'!P480)</f>
        <v>0</v>
      </c>
      <c r="R48" s="25">
        <f>SUM('[1]Actual Expenditure 2018-19'!Q480)</f>
        <v>0</v>
      </c>
      <c r="S48" s="25">
        <f>SUM('[1]Actual Expenditure 2018-19'!R480)</f>
        <v>0</v>
      </c>
      <c r="T48" s="21">
        <f>G48/E48*100</f>
        <v>0</v>
      </c>
      <c r="U48" s="21">
        <f t="shared" si="28"/>
        <v>0</v>
      </c>
      <c r="V48" s="21">
        <f t="shared" si="29"/>
        <v>0</v>
      </c>
      <c r="W48" s="21">
        <f t="shared" si="30"/>
        <v>0</v>
      </c>
      <c r="X48" s="21">
        <f t="shared" si="0"/>
        <v>0</v>
      </c>
      <c r="Y48" s="21">
        <f t="shared" si="26"/>
        <v>0</v>
      </c>
      <c r="Z48" s="21">
        <f>N48/E48*100</f>
        <v>0</v>
      </c>
      <c r="AA48" s="21">
        <f>O48/E48*100</f>
        <v>0</v>
      </c>
      <c r="AB48" s="21">
        <f>P48/E48*100</f>
        <v>0</v>
      </c>
      <c r="AC48" s="21">
        <f>Q48/E48*100</f>
        <v>0</v>
      </c>
      <c r="AD48" s="21">
        <f>R48/E48*100</f>
        <v>0</v>
      </c>
      <c r="AE48" s="21">
        <f>S48/E48*100</f>
        <v>0</v>
      </c>
      <c r="AF48" s="21" t="e">
        <f>P48/F48*100</f>
        <v>#DIV/0!</v>
      </c>
      <c r="AG48" s="21" t="e">
        <f>Q48/F48*100</f>
        <v>#DIV/0!</v>
      </c>
      <c r="AH48" s="21" t="e">
        <f>R48/F48*100</f>
        <v>#DIV/0!</v>
      </c>
      <c r="AI48" s="21" t="e">
        <f>S48/F48*100</f>
        <v>#DIV/0!</v>
      </c>
      <c r="AJ48" s="25">
        <v>0</v>
      </c>
      <c r="AK48" s="21">
        <f>AJ48/A48*100</f>
        <v>0</v>
      </c>
      <c r="AL48" s="25">
        <v>0</v>
      </c>
      <c r="AM48" s="21">
        <f>AL48/A48*100</f>
        <v>0</v>
      </c>
      <c r="AN48" s="25">
        <v>0</v>
      </c>
      <c r="AO48" s="21">
        <f>AN48/A48*100</f>
        <v>0</v>
      </c>
      <c r="AP48" s="25">
        <v>0</v>
      </c>
      <c r="AQ48" s="21">
        <f>AP48/A48*100</f>
        <v>0</v>
      </c>
      <c r="AR48" s="25">
        <v>27880</v>
      </c>
      <c r="AS48" s="21">
        <f>AR48/A48*100</f>
        <v>2.9347368421052633</v>
      </c>
      <c r="AT48" s="25">
        <v>27880</v>
      </c>
      <c r="AU48" s="21">
        <f>AT48/A48*100</f>
        <v>2.9347368421052633</v>
      </c>
      <c r="AV48" s="52">
        <v>27880</v>
      </c>
      <c r="AW48" s="21">
        <f>AV48/A48*100</f>
        <v>2.9347368421052633</v>
      </c>
      <c r="AX48" s="52">
        <v>27880</v>
      </c>
      <c r="AY48" s="21">
        <f>AX48/A48*100</f>
        <v>2.9347368421052633</v>
      </c>
      <c r="AZ48" s="52">
        <v>515608</v>
      </c>
      <c r="BA48" s="21">
        <f>AZ48/A48*100</f>
        <v>54.274526315789473</v>
      </c>
      <c r="BB48" s="21">
        <f>AZ48/B48*100</f>
        <v>57.93348314606741</v>
      </c>
      <c r="BC48" s="52">
        <v>698070</v>
      </c>
      <c r="BD48" s="21">
        <f>BC48/A48*100</f>
        <v>73.481052631578947</v>
      </c>
      <c r="BE48" s="21">
        <f>BC48/B48*100</f>
        <v>78.434831460674161</v>
      </c>
      <c r="BF48" s="52">
        <v>760596</v>
      </c>
      <c r="BG48" s="21">
        <f>BF48/A48*100</f>
        <v>80.062736842105267</v>
      </c>
      <c r="BH48" s="21">
        <f>BF48/B48*100</f>
        <v>85.46022471910112</v>
      </c>
      <c r="BI48" s="52">
        <v>0</v>
      </c>
      <c r="BJ48" s="21">
        <f>BI48/A48*100</f>
        <v>0</v>
      </c>
      <c r="BK48" s="21">
        <f>BI48/B48*100</f>
        <v>0</v>
      </c>
    </row>
    <row r="49" spans="1:71" ht="18" x14ac:dyDescent="0.4">
      <c r="A49" s="25">
        <f>SUM(A45:A48)</f>
        <v>1050000</v>
      </c>
      <c r="B49" s="25">
        <f>SUM(B45:B48)</f>
        <v>990000</v>
      </c>
      <c r="C49" s="57"/>
      <c r="D49" s="25" t="s">
        <v>100</v>
      </c>
      <c r="E49" s="25">
        <f t="shared" ref="E49:S49" si="53">SUM(E45:E48)</f>
        <v>1050000</v>
      </c>
      <c r="F49" s="25">
        <f t="shared" si="53"/>
        <v>0</v>
      </c>
      <c r="G49" s="25">
        <f t="shared" si="53"/>
        <v>0</v>
      </c>
      <c r="H49" s="25">
        <f t="shared" si="53"/>
        <v>0</v>
      </c>
      <c r="I49" s="25">
        <f t="shared" si="53"/>
        <v>0</v>
      </c>
      <c r="J49" s="25">
        <f t="shared" si="53"/>
        <v>0</v>
      </c>
      <c r="K49" s="25">
        <f t="shared" si="53"/>
        <v>0</v>
      </c>
      <c r="L49" s="25">
        <f t="shared" si="53"/>
        <v>490900</v>
      </c>
      <c r="M49" s="25">
        <f t="shared" si="53"/>
        <v>0</v>
      </c>
      <c r="N49" s="25">
        <f t="shared" si="53"/>
        <v>0</v>
      </c>
      <c r="O49" s="25">
        <f t="shared" si="53"/>
        <v>0</v>
      </c>
      <c r="P49" s="25">
        <f t="shared" si="53"/>
        <v>0</v>
      </c>
      <c r="Q49" s="25">
        <f t="shared" si="53"/>
        <v>0</v>
      </c>
      <c r="R49" s="25">
        <f t="shared" si="53"/>
        <v>0</v>
      </c>
      <c r="S49" s="25">
        <f t="shared" si="53"/>
        <v>0</v>
      </c>
      <c r="T49" s="21">
        <f>G49/E49*100</f>
        <v>0</v>
      </c>
      <c r="U49" s="21">
        <f t="shared" si="28"/>
        <v>0</v>
      </c>
      <c r="V49" s="21">
        <f t="shared" si="29"/>
        <v>0</v>
      </c>
      <c r="W49" s="21">
        <f t="shared" si="30"/>
        <v>0</v>
      </c>
      <c r="X49" s="21">
        <f t="shared" si="0"/>
        <v>0</v>
      </c>
      <c r="Y49" s="21">
        <f t="shared" si="26"/>
        <v>0</v>
      </c>
      <c r="Z49" s="21">
        <f>N49/E49*100</f>
        <v>0</v>
      </c>
      <c r="AA49" s="21">
        <f>O49/E49*100</f>
        <v>0</v>
      </c>
      <c r="AB49" s="21">
        <f>P49/E49*100</f>
        <v>0</v>
      </c>
      <c r="AC49" s="21">
        <f>Q49/E49*100</f>
        <v>0</v>
      </c>
      <c r="AD49" s="21">
        <f>R49/E49*100</f>
        <v>0</v>
      </c>
      <c r="AE49" s="21">
        <f>S49/E49*100</f>
        <v>0</v>
      </c>
      <c r="AF49" s="21" t="e">
        <f>P49/F49*100</f>
        <v>#DIV/0!</v>
      </c>
      <c r="AG49" s="21" t="e">
        <f>Q49/F49*100</f>
        <v>#DIV/0!</v>
      </c>
      <c r="AH49" s="21" t="e">
        <f>R49/F49*100</f>
        <v>#DIV/0!</v>
      </c>
      <c r="AI49" s="21" t="e">
        <f>S49/F49*100</f>
        <v>#DIV/0!</v>
      </c>
      <c r="AJ49" s="25">
        <f>SUM(AJ45:AJ48)</f>
        <v>0</v>
      </c>
      <c r="AK49" s="21">
        <f>AJ49/A49*100</f>
        <v>0</v>
      </c>
      <c r="AL49" s="55">
        <f>SUM(AL45:AL48)</f>
        <v>0</v>
      </c>
      <c r="AM49" s="21">
        <f>AL49/A49*100</f>
        <v>0</v>
      </c>
      <c r="AN49" s="55">
        <f>SUM(AN45:AN48)</f>
        <v>0</v>
      </c>
      <c r="AO49" s="21">
        <f>AN49/A49*100</f>
        <v>0</v>
      </c>
      <c r="AP49" s="55">
        <f>SUM(AP45:AP48)</f>
        <v>0</v>
      </c>
      <c r="AQ49" s="21">
        <f>AP49/A49*100</f>
        <v>0</v>
      </c>
      <c r="AR49" s="55">
        <f>SUM(AR45:AR48)</f>
        <v>27880</v>
      </c>
      <c r="AS49" s="21">
        <f>AR49/A49*100</f>
        <v>2.6552380952380954</v>
      </c>
      <c r="AT49" s="55">
        <f>SUM(AT45:AT48)</f>
        <v>27880</v>
      </c>
      <c r="AU49" s="21">
        <f>AT49/A49*100</f>
        <v>2.6552380952380954</v>
      </c>
      <c r="AV49" s="52">
        <f>SUM(AV45:AV48)</f>
        <v>27880</v>
      </c>
      <c r="AW49" s="21">
        <f>AV49/A49*100</f>
        <v>2.6552380952380954</v>
      </c>
      <c r="AX49" s="52">
        <f>SUM(AX45:AX48)</f>
        <v>27880</v>
      </c>
      <c r="AY49" s="21">
        <f>AX49/A49*100</f>
        <v>2.6552380952380954</v>
      </c>
      <c r="AZ49" s="52">
        <f>SUM(AZ45:AZ48)</f>
        <v>515608</v>
      </c>
      <c r="BA49" s="21">
        <f>AZ49/A49*100</f>
        <v>49.10552380952381</v>
      </c>
      <c r="BB49" s="21">
        <f>AZ49/B49*100</f>
        <v>52.081616161616161</v>
      </c>
      <c r="BC49" s="52">
        <f>SUM(BC45:BC48)</f>
        <v>698070</v>
      </c>
      <c r="BD49" s="21">
        <f>BC49/A49*100</f>
        <v>66.482857142857142</v>
      </c>
      <c r="BE49" s="21">
        <f>BC49/B49*100</f>
        <v>70.512121212121215</v>
      </c>
      <c r="BF49" s="52">
        <f>SUM(BF45:BF48)</f>
        <v>760596</v>
      </c>
      <c r="BG49" s="21">
        <f>BF49/A49*100</f>
        <v>72.437714285714279</v>
      </c>
      <c r="BH49" s="21">
        <f>BF49/B49*100</f>
        <v>76.827878787878788</v>
      </c>
      <c r="BI49" s="52">
        <f>SUM(BI45:BI48)</f>
        <v>0</v>
      </c>
      <c r="BJ49" s="21">
        <f>BI49/A49*100</f>
        <v>0</v>
      </c>
      <c r="BK49" s="21">
        <f>BI49/B49*100</f>
        <v>0</v>
      </c>
    </row>
    <row r="50" spans="1:71" ht="18" x14ac:dyDescent="0.4">
      <c r="A50" s="58"/>
      <c r="B50" s="58"/>
      <c r="C50" s="24"/>
      <c r="D50" s="25" t="s">
        <v>101</v>
      </c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5"/>
      <c r="AK50" s="25"/>
      <c r="AL50" s="25"/>
      <c r="AM50" s="25"/>
      <c r="AN50" s="25"/>
      <c r="AO50" s="21"/>
      <c r="AP50" s="25"/>
      <c r="AQ50" s="21"/>
      <c r="AR50" s="25"/>
      <c r="AS50" s="21"/>
      <c r="AT50" s="25"/>
      <c r="AU50" s="21"/>
      <c r="AV50" s="52"/>
      <c r="AW50" s="21" t="s">
        <v>3</v>
      </c>
      <c r="AX50" s="52"/>
      <c r="AY50" s="21"/>
      <c r="AZ50" s="52"/>
      <c r="BA50" s="21"/>
      <c r="BB50" s="21"/>
      <c r="BC50" s="52"/>
      <c r="BD50" s="21"/>
      <c r="BE50" s="21"/>
      <c r="BF50" s="52"/>
      <c r="BG50" s="21"/>
      <c r="BH50" s="21"/>
      <c r="BI50" s="52"/>
      <c r="BJ50" s="21"/>
      <c r="BK50" s="21"/>
    </row>
    <row r="51" spans="1:71" ht="18" x14ac:dyDescent="0.4">
      <c r="A51" s="25"/>
      <c r="B51" s="25"/>
      <c r="C51" s="50">
        <v>54</v>
      </c>
      <c r="D51" s="25" t="s">
        <v>102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5"/>
      <c r="AK51" s="25"/>
      <c r="AL51" s="25"/>
      <c r="AM51" s="25"/>
      <c r="AN51" s="25"/>
      <c r="AO51" s="21"/>
      <c r="AP51" s="25"/>
      <c r="AQ51" s="21"/>
      <c r="AR51" s="25"/>
      <c r="AS51" s="21"/>
      <c r="AT51" s="25"/>
      <c r="AU51" s="21"/>
      <c r="AV51" s="52"/>
      <c r="AW51" s="21" t="s">
        <v>3</v>
      </c>
      <c r="AX51" s="52"/>
      <c r="AY51" s="21"/>
      <c r="AZ51" s="52"/>
      <c r="BA51" s="21"/>
      <c r="BB51" s="21"/>
      <c r="BC51" s="52"/>
      <c r="BD51" s="21"/>
      <c r="BE51" s="21"/>
      <c r="BF51" s="52"/>
      <c r="BG51" s="21"/>
      <c r="BH51" s="21"/>
      <c r="BI51" s="52"/>
      <c r="BJ51" s="21"/>
      <c r="BK51" s="21"/>
    </row>
    <row r="52" spans="1:71" ht="18" x14ac:dyDescent="0.4">
      <c r="A52" s="25">
        <f>SUM('[1]Actual Expenditure 2018-19'!A500)</f>
        <v>1810000</v>
      </c>
      <c r="B52" s="25">
        <f>SUM('[1]Actual Expenditure 2018-19'!B500)</f>
        <v>1870100</v>
      </c>
      <c r="C52" s="56"/>
      <c r="D52" s="25" t="s">
        <v>103</v>
      </c>
      <c r="E52" s="25">
        <f>SUM('[1]Actual Expenditure 2018-19'!E500)</f>
        <v>1842400</v>
      </c>
      <c r="F52" s="25">
        <f>SUM('[1]Actual Expenditure 2018-19'!F500)</f>
        <v>0</v>
      </c>
      <c r="G52" s="25">
        <f>SUM('[1]Actual Expenditure 2018-19'!G500)</f>
        <v>0</v>
      </c>
      <c r="H52" s="25">
        <f>SUM('[1]Actual Expenditure 2018-19'!H500)</f>
        <v>0</v>
      </c>
      <c r="I52" s="25">
        <f>SUM('[1]Actual Expenditure 2018-19'!I500)</f>
        <v>0</v>
      </c>
      <c r="J52" s="25">
        <f>SUM('[1]Actual Expenditure 2018-19'!J500)</f>
        <v>0</v>
      </c>
      <c r="K52" s="25">
        <f>SUM('[1]Actual Expenditure 2018-19'!K500)</f>
        <v>76010</v>
      </c>
      <c r="L52" s="25">
        <v>2232700</v>
      </c>
      <c r="M52" s="25">
        <v>642116</v>
      </c>
      <c r="N52" s="25">
        <f>SUM('[1]Actual Expenditure 2018-19'!M500)</f>
        <v>0</v>
      </c>
      <c r="O52" s="25">
        <f>SUM('[1]Actual Expenditure 2018-19'!N500)</f>
        <v>0</v>
      </c>
      <c r="P52" s="25">
        <f>SUM('[1]Actual Expenditure 2018-19'!O500)</f>
        <v>0</v>
      </c>
      <c r="Q52" s="25">
        <f>SUM('[1]Actual Expenditure 2018-19'!P500)</f>
        <v>0</v>
      </c>
      <c r="R52" s="25">
        <f>SUM('[1]Actual Expenditure 2018-19'!Q500)</f>
        <v>0</v>
      </c>
      <c r="S52" s="25">
        <f>SUM('[1]Actual Expenditure 2018-19'!R500)</f>
        <v>0</v>
      </c>
      <c r="T52" s="21">
        <f>G52/E52*100</f>
        <v>0</v>
      </c>
      <c r="U52" s="21">
        <f t="shared" si="28"/>
        <v>0</v>
      </c>
      <c r="V52" s="21">
        <f t="shared" si="29"/>
        <v>0</v>
      </c>
      <c r="W52" s="21">
        <f t="shared" si="30"/>
        <v>0</v>
      </c>
      <c r="X52" s="21">
        <f t="shared" si="0"/>
        <v>4.1255970473295704</v>
      </c>
      <c r="Y52" s="21">
        <f t="shared" si="26"/>
        <v>28.75961839924755</v>
      </c>
      <c r="Z52" s="21">
        <f>N52/E52*100</f>
        <v>0</v>
      </c>
      <c r="AA52" s="21">
        <f>O52/E52*100</f>
        <v>0</v>
      </c>
      <c r="AB52" s="21">
        <f>P52/E52*100</f>
        <v>0</v>
      </c>
      <c r="AC52" s="21">
        <f>Q52/E52*100</f>
        <v>0</v>
      </c>
      <c r="AD52" s="21">
        <f>R52/E52*100</f>
        <v>0</v>
      </c>
      <c r="AE52" s="21">
        <f>S52/E52*100</f>
        <v>0</v>
      </c>
      <c r="AF52" s="21" t="e">
        <f>P52/F52*100</f>
        <v>#DIV/0!</v>
      </c>
      <c r="AG52" s="21" t="e">
        <f>Q52/F52*100</f>
        <v>#DIV/0!</v>
      </c>
      <c r="AH52" s="21" t="e">
        <f>R52/F52*100</f>
        <v>#DIV/0!</v>
      </c>
      <c r="AI52" s="21" t="e">
        <f>S52/F52*100</f>
        <v>#DIV/0!</v>
      </c>
      <c r="AJ52" s="25">
        <v>0</v>
      </c>
      <c r="AK52" s="21">
        <f>AJ52/A52*100</f>
        <v>0</v>
      </c>
      <c r="AL52" s="25">
        <v>0</v>
      </c>
      <c r="AM52" s="21">
        <f>AL52/A52*100</f>
        <v>0</v>
      </c>
      <c r="AN52" s="25">
        <v>0</v>
      </c>
      <c r="AO52" s="21">
        <f>AN52/A52*100</f>
        <v>0</v>
      </c>
      <c r="AP52" s="25">
        <v>0</v>
      </c>
      <c r="AQ52" s="21">
        <f>AP52/A52*100</f>
        <v>0</v>
      </c>
      <c r="AR52" s="25">
        <v>41181</v>
      </c>
      <c r="AS52" s="21">
        <f>AR52/A52*100</f>
        <v>2.2751933701657459</v>
      </c>
      <c r="AT52" s="25">
        <v>49350</v>
      </c>
      <c r="AU52" s="21">
        <f>AT52/A52*100</f>
        <v>2.7265193370165743</v>
      </c>
      <c r="AV52" s="52">
        <v>96573</v>
      </c>
      <c r="AW52" s="21">
        <f>AV52/A52*100</f>
        <v>5.3355248618784534</v>
      </c>
      <c r="AX52" s="52">
        <v>102803</v>
      </c>
      <c r="AY52" s="21">
        <f>AX52/A52*100</f>
        <v>5.6797237569060774</v>
      </c>
      <c r="AZ52" s="52">
        <v>172509</v>
      </c>
      <c r="BA52" s="21">
        <f>AZ52/A52*100</f>
        <v>9.5308839779005528</v>
      </c>
      <c r="BB52" s="21">
        <f>AZ52/B52*100</f>
        <v>9.2245869204855353</v>
      </c>
      <c r="BC52" s="52">
        <v>308995</v>
      </c>
      <c r="BD52" s="21">
        <f>BC52/A52*100</f>
        <v>17.071546961325968</v>
      </c>
      <c r="BE52" s="21">
        <f>BC52/B52*100</f>
        <v>16.522913213197153</v>
      </c>
      <c r="BF52" s="52">
        <v>524708</v>
      </c>
      <c r="BG52" s="21">
        <f>BF52/A52*100</f>
        <v>28.98939226519337</v>
      </c>
      <c r="BH52" s="21">
        <f>BF52/B52*100</f>
        <v>28.05775092241057</v>
      </c>
      <c r="BI52" s="52">
        <v>0</v>
      </c>
      <c r="BJ52" s="21">
        <f>BI52/A52*100</f>
        <v>0</v>
      </c>
      <c r="BK52" s="21">
        <f>BI52/B52*100</f>
        <v>0</v>
      </c>
    </row>
    <row r="53" spans="1:71" ht="18" x14ac:dyDescent="0.4">
      <c r="A53" s="58"/>
      <c r="B53" s="58"/>
      <c r="C53" s="24" t="s">
        <v>104</v>
      </c>
      <c r="D53" s="25" t="s">
        <v>105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5"/>
      <c r="AK53" s="25"/>
      <c r="AL53" s="25"/>
      <c r="AM53" s="25"/>
      <c r="AN53" s="25"/>
      <c r="AO53" s="21"/>
      <c r="AP53" s="25"/>
      <c r="AQ53" s="21"/>
      <c r="AR53" s="25"/>
      <c r="AS53" s="21"/>
      <c r="AT53" s="25"/>
      <c r="AU53" s="21"/>
      <c r="AV53" s="52"/>
      <c r="AW53" s="21" t="s">
        <v>3</v>
      </c>
      <c r="AX53" s="52"/>
      <c r="AY53" s="21"/>
      <c r="AZ53" s="52"/>
      <c r="BA53" s="21"/>
      <c r="BB53" s="21"/>
      <c r="BC53" s="52"/>
      <c r="BD53" s="21"/>
      <c r="BE53" s="21"/>
      <c r="BF53" s="52"/>
      <c r="BG53" s="21"/>
      <c r="BH53" s="21"/>
      <c r="BI53" s="52"/>
      <c r="BJ53" s="21"/>
      <c r="BK53" s="21"/>
    </row>
    <row r="54" spans="1:71" ht="18" x14ac:dyDescent="0.4">
      <c r="A54" s="58"/>
      <c r="B54" s="58"/>
      <c r="C54" s="9">
        <v>54</v>
      </c>
      <c r="D54" s="25" t="s">
        <v>106</v>
      </c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5"/>
      <c r="AK54" s="25"/>
      <c r="AL54" s="25"/>
      <c r="AM54" s="25"/>
      <c r="AN54" s="25"/>
      <c r="AO54" s="21"/>
      <c r="AP54" s="25"/>
      <c r="AQ54" s="21"/>
      <c r="AR54" s="25"/>
      <c r="AS54" s="21"/>
      <c r="AT54" s="25"/>
      <c r="AU54" s="21"/>
      <c r="AV54" s="52"/>
      <c r="AW54" s="21" t="s">
        <v>3</v>
      </c>
      <c r="AX54" s="52"/>
      <c r="AY54" s="21"/>
      <c r="AZ54" s="52"/>
      <c r="BA54" s="21"/>
      <c r="BB54" s="21"/>
      <c r="BC54" s="52"/>
      <c r="BD54" s="21"/>
      <c r="BE54" s="21"/>
      <c r="BF54" s="52"/>
      <c r="BG54" s="21"/>
      <c r="BH54" s="21"/>
      <c r="BI54" s="52"/>
      <c r="BJ54" s="21"/>
      <c r="BK54" s="21"/>
    </row>
    <row r="55" spans="1:71" ht="18" x14ac:dyDescent="0.4">
      <c r="A55" s="25">
        <f>SUM('[1]Actual Expenditure 2018-19'!A511)</f>
        <v>1210000</v>
      </c>
      <c r="B55" s="25">
        <f>SUM('[1]Actual Expenditure 2018-19'!B511)</f>
        <v>1210000</v>
      </c>
      <c r="C55" s="56"/>
      <c r="D55" s="25" t="s">
        <v>103</v>
      </c>
      <c r="E55" s="25">
        <f>SUM('[1]Actual Expenditure 2018-19'!E511)</f>
        <v>1176100</v>
      </c>
      <c r="F55" s="25">
        <f>SUM('[1]Actual Expenditure 2018-19'!F511)</f>
        <v>0</v>
      </c>
      <c r="G55" s="25">
        <f>SUM('[1]Actual Expenditure 2018-19'!G511)</f>
        <v>0</v>
      </c>
      <c r="H55" s="25">
        <f>SUM('[1]Actual Expenditure 2018-19'!H511)</f>
        <v>0</v>
      </c>
      <c r="I55" s="25">
        <f>SUM('[1]Actual Expenditure 2018-19'!I511)</f>
        <v>0</v>
      </c>
      <c r="J55" s="25">
        <f>SUM('[1]Actual Expenditure 2018-19'!J511)</f>
        <v>0</v>
      </c>
      <c r="K55" s="25">
        <f>SUM('[1]Actual Expenditure 2018-19'!K511)</f>
        <v>111987</v>
      </c>
      <c r="L55" s="25">
        <v>1344900</v>
      </c>
      <c r="M55" s="25">
        <v>631594</v>
      </c>
      <c r="N55" s="25">
        <f>SUM('[1]Actual Expenditure 2018-19'!M511)</f>
        <v>0</v>
      </c>
      <c r="O55" s="25">
        <f>SUM('[1]Actual Expenditure 2018-19'!N511)</f>
        <v>0</v>
      </c>
      <c r="P55" s="25">
        <f>SUM('[1]Actual Expenditure 2018-19'!O511)</f>
        <v>0</v>
      </c>
      <c r="Q55" s="25">
        <f>SUM('[1]Actual Expenditure 2018-19'!P511)</f>
        <v>0</v>
      </c>
      <c r="R55" s="25">
        <f>SUM('[1]Actual Expenditure 2018-19'!Q511)</f>
        <v>0</v>
      </c>
      <c r="S55" s="25">
        <f>SUM('[1]Actual Expenditure 2018-19'!R511)</f>
        <v>0</v>
      </c>
      <c r="T55" s="21">
        <f>G55/E55*100</f>
        <v>0</v>
      </c>
      <c r="U55" s="21">
        <f t="shared" si="28"/>
        <v>0</v>
      </c>
      <c r="V55" s="21">
        <f t="shared" si="29"/>
        <v>0</v>
      </c>
      <c r="W55" s="21">
        <f t="shared" si="30"/>
        <v>0</v>
      </c>
      <c r="X55" s="21">
        <f t="shared" si="0"/>
        <v>9.5218943967349716</v>
      </c>
      <c r="Y55" s="21">
        <f t="shared" si="26"/>
        <v>46.962153319949437</v>
      </c>
      <c r="Z55" s="21">
        <f>N55/E55*100</f>
        <v>0</v>
      </c>
      <c r="AA55" s="21">
        <f>O55/E55*100</f>
        <v>0</v>
      </c>
      <c r="AB55" s="21">
        <f>P55/E55*100</f>
        <v>0</v>
      </c>
      <c r="AC55" s="21">
        <f>Q55/E55*100</f>
        <v>0</v>
      </c>
      <c r="AD55" s="21">
        <f>R55/E55*100</f>
        <v>0</v>
      </c>
      <c r="AE55" s="21">
        <f>S55/E55*100</f>
        <v>0</v>
      </c>
      <c r="AF55" s="21" t="e">
        <f>P55/F55*100</f>
        <v>#DIV/0!</v>
      </c>
      <c r="AG55" s="21" t="e">
        <f>Q55/F55*100</f>
        <v>#DIV/0!</v>
      </c>
      <c r="AH55" s="21" t="e">
        <f>R55/F55*100</f>
        <v>#DIV/0!</v>
      </c>
      <c r="AI55" s="21" t="e">
        <f>S55/F55*100</f>
        <v>#DIV/0!</v>
      </c>
      <c r="AJ55" s="25">
        <v>0</v>
      </c>
      <c r="AK55" s="21">
        <f>AJ55/A55*100</f>
        <v>0</v>
      </c>
      <c r="AL55" s="25">
        <v>0</v>
      </c>
      <c r="AM55" s="21">
        <f>AL55/A55*100</f>
        <v>0</v>
      </c>
      <c r="AN55" s="25">
        <v>951</v>
      </c>
      <c r="AO55" s="21">
        <f>AN55/A55*100</f>
        <v>7.8595041322314055E-2</v>
      </c>
      <c r="AP55" s="25">
        <v>951</v>
      </c>
      <c r="AQ55" s="21">
        <f>AP55/A55*100</f>
        <v>7.8595041322314055E-2</v>
      </c>
      <c r="AR55" s="25">
        <v>0</v>
      </c>
      <c r="AS55" s="21">
        <f>AR55/A55*100</f>
        <v>0</v>
      </c>
      <c r="AT55" s="25">
        <v>0</v>
      </c>
      <c r="AU55" s="21">
        <f>AT55/A55*100</f>
        <v>0</v>
      </c>
      <c r="AV55" s="52">
        <v>32940</v>
      </c>
      <c r="AW55" s="21">
        <f>AV55/A55*100</f>
        <v>2.7223140495867773</v>
      </c>
      <c r="AX55" s="52">
        <v>33176</v>
      </c>
      <c r="AY55" s="21">
        <f>AX55/A55*100</f>
        <v>2.7418181818181817</v>
      </c>
      <c r="AZ55" s="52">
        <v>34098</v>
      </c>
      <c r="BA55" s="21">
        <f>AZ55/A55*100</f>
        <v>2.8180165289256198</v>
      </c>
      <c r="BB55" s="21">
        <f>AZ55/B55*100</f>
        <v>2.8180165289256198</v>
      </c>
      <c r="BC55" s="52">
        <v>154116</v>
      </c>
      <c r="BD55" s="21">
        <f>BC55/A55*100</f>
        <v>12.73685950413223</v>
      </c>
      <c r="BE55" s="21">
        <f>BC55/B55*100</f>
        <v>12.73685950413223</v>
      </c>
      <c r="BF55" s="52">
        <v>162990</v>
      </c>
      <c r="BG55" s="21">
        <f>BF55/A55*100</f>
        <v>13.470247933884297</v>
      </c>
      <c r="BH55" s="21">
        <f>BF55/B55*100</f>
        <v>13.470247933884297</v>
      </c>
      <c r="BI55" s="52">
        <v>0</v>
      </c>
      <c r="BJ55" s="21">
        <f>BI55/A55*100</f>
        <v>0</v>
      </c>
      <c r="BK55" s="21">
        <f>BI55/B55*100</f>
        <v>0</v>
      </c>
    </row>
    <row r="56" spans="1:71" ht="18" x14ac:dyDescent="0.4">
      <c r="A56" s="58"/>
      <c r="B56" s="58"/>
      <c r="C56" s="56"/>
      <c r="D56" s="25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5"/>
      <c r="AK56" s="25"/>
      <c r="AL56" s="25"/>
      <c r="AM56" s="25"/>
      <c r="AN56" s="25"/>
      <c r="AO56" s="21"/>
      <c r="AP56" s="25"/>
      <c r="AQ56" s="21"/>
      <c r="AR56" s="25"/>
      <c r="AS56" s="21"/>
      <c r="AT56" s="25"/>
      <c r="AU56" s="21"/>
      <c r="AV56" s="52"/>
      <c r="AW56" s="21" t="s">
        <v>3</v>
      </c>
      <c r="AX56" s="52"/>
      <c r="AY56" s="21"/>
      <c r="AZ56" s="52"/>
      <c r="BA56" s="21"/>
      <c r="BB56" s="21"/>
      <c r="BC56" s="52"/>
      <c r="BD56" s="21"/>
      <c r="BE56" s="21"/>
      <c r="BF56" s="52"/>
      <c r="BG56" s="21"/>
      <c r="BH56" s="21"/>
      <c r="BI56" s="52"/>
      <c r="BJ56" s="21"/>
      <c r="BK56" s="21"/>
    </row>
    <row r="57" spans="1:71" ht="18" x14ac:dyDescent="0.4">
      <c r="A57" s="25">
        <f>SUM(A49:A55)</f>
        <v>4070000</v>
      </c>
      <c r="B57" s="25">
        <f>SUM(B49:B55)</f>
        <v>4070100</v>
      </c>
      <c r="C57" s="24"/>
      <c r="D57" s="25" t="s">
        <v>107</v>
      </c>
      <c r="E57" s="25">
        <f t="shared" ref="E57:S57" si="54">SUM(E49:E55)</f>
        <v>4068500</v>
      </c>
      <c r="F57" s="25">
        <f t="shared" si="54"/>
        <v>0</v>
      </c>
      <c r="G57" s="25">
        <f t="shared" si="54"/>
        <v>0</v>
      </c>
      <c r="H57" s="25">
        <f t="shared" si="54"/>
        <v>0</v>
      </c>
      <c r="I57" s="25">
        <f t="shared" si="54"/>
        <v>0</v>
      </c>
      <c r="J57" s="25">
        <f t="shared" si="54"/>
        <v>0</v>
      </c>
      <c r="K57" s="25">
        <f t="shared" si="54"/>
        <v>187997</v>
      </c>
      <c r="L57" s="25">
        <f t="shared" si="54"/>
        <v>4068500</v>
      </c>
      <c r="M57" s="25">
        <f t="shared" si="54"/>
        <v>1273710</v>
      </c>
      <c r="N57" s="25">
        <f t="shared" si="54"/>
        <v>0</v>
      </c>
      <c r="O57" s="25">
        <f t="shared" si="54"/>
        <v>0</v>
      </c>
      <c r="P57" s="25">
        <f t="shared" si="54"/>
        <v>0</v>
      </c>
      <c r="Q57" s="25">
        <f t="shared" si="54"/>
        <v>0</v>
      </c>
      <c r="R57" s="25">
        <f t="shared" si="54"/>
        <v>0</v>
      </c>
      <c r="S57" s="25">
        <f t="shared" si="54"/>
        <v>0</v>
      </c>
      <c r="T57" s="21">
        <f>G57/E57*100</f>
        <v>0</v>
      </c>
      <c r="U57" s="21">
        <f t="shared" si="28"/>
        <v>0</v>
      </c>
      <c r="V57" s="21">
        <f t="shared" si="29"/>
        <v>0</v>
      </c>
      <c r="W57" s="21">
        <f t="shared" si="30"/>
        <v>0</v>
      </c>
      <c r="X57" s="21">
        <f t="shared" si="0"/>
        <v>4.6207939043873667</v>
      </c>
      <c r="Y57" s="21">
        <f t="shared" si="26"/>
        <v>31.306624062922456</v>
      </c>
      <c r="Z57" s="21">
        <f>N57/E57*100</f>
        <v>0</v>
      </c>
      <c r="AA57" s="21">
        <f>O57/E57*100</f>
        <v>0</v>
      </c>
      <c r="AB57" s="21">
        <f>P57/E57*100</f>
        <v>0</v>
      </c>
      <c r="AC57" s="21">
        <f>Q57/E57*100</f>
        <v>0</v>
      </c>
      <c r="AD57" s="21">
        <f>R57/E57*100</f>
        <v>0</v>
      </c>
      <c r="AE57" s="21">
        <f>S57/E57*100</f>
        <v>0</v>
      </c>
      <c r="AF57" s="21" t="e">
        <f>P57/F57*100</f>
        <v>#DIV/0!</v>
      </c>
      <c r="AG57" s="21" t="e">
        <f>Q57/F57*100</f>
        <v>#DIV/0!</v>
      </c>
      <c r="AH57" s="21" t="e">
        <f>R57/F57*100</f>
        <v>#DIV/0!</v>
      </c>
      <c r="AI57" s="21" t="e">
        <f>S57/F57*100</f>
        <v>#DIV/0!</v>
      </c>
      <c r="AJ57" s="25">
        <f>SUM(AJ49:AJ55)</f>
        <v>0</v>
      </c>
      <c r="AK57" s="21">
        <f>AJ57/A57*100</f>
        <v>0</v>
      </c>
      <c r="AL57" s="55">
        <f>SUM(AL49:AL55)</f>
        <v>0</v>
      </c>
      <c r="AM57" s="21">
        <f>AL57/A57*100</f>
        <v>0</v>
      </c>
      <c r="AN57" s="55">
        <f>SUM(AN49:AN55)</f>
        <v>951</v>
      </c>
      <c r="AO57" s="21">
        <f>AN57/A57*100</f>
        <v>2.3366093366093365E-2</v>
      </c>
      <c r="AP57" s="55">
        <f>SUM(AP49:AP55)</f>
        <v>951</v>
      </c>
      <c r="AQ57" s="21">
        <f>AP57/A57*100</f>
        <v>2.3366093366093365E-2</v>
      </c>
      <c r="AR57" s="55">
        <f>SUM(AR49:AR55)</f>
        <v>69061</v>
      </c>
      <c r="AS57" s="21">
        <f>AR57/A57*100</f>
        <v>1.6968304668304668</v>
      </c>
      <c r="AT57" s="55">
        <f>SUM(AT49:AT55)</f>
        <v>77230</v>
      </c>
      <c r="AU57" s="21">
        <f>AT57/A57*100</f>
        <v>1.8975429975429976</v>
      </c>
      <c r="AV57" s="52">
        <f>SUM(AV49:AV55)</f>
        <v>157393</v>
      </c>
      <c r="AW57" s="21">
        <f>AV57/A57*100</f>
        <v>3.8671498771498771</v>
      </c>
      <c r="AX57" s="52">
        <f>SUM(AX49:AX55)</f>
        <v>163859</v>
      </c>
      <c r="AY57" s="21">
        <f>AX57/A57*100</f>
        <v>4.0260196560196562</v>
      </c>
      <c r="AZ57" s="52">
        <f>SUM(AZ49:AZ55)</f>
        <v>722215</v>
      </c>
      <c r="BA57" s="21">
        <f>AZ57/A57*100</f>
        <v>17.744840294840294</v>
      </c>
      <c r="BB57" s="21">
        <f>AZ57/B57*100</f>
        <v>17.744404314390312</v>
      </c>
      <c r="BC57" s="52">
        <f>SUM(BC49:BC55)</f>
        <v>1161181</v>
      </c>
      <c r="BD57" s="21">
        <f>BC57/A57*100</f>
        <v>28.5302457002457</v>
      </c>
      <c r="BE57" s="21">
        <f>BC57/B57*100</f>
        <v>28.529544728630746</v>
      </c>
      <c r="BF57" s="52">
        <f>SUM(BF49:BF55)</f>
        <v>1448294</v>
      </c>
      <c r="BG57" s="21">
        <f>BF57/A57*100</f>
        <v>35.584619164619163</v>
      </c>
      <c r="BH57" s="21">
        <f>BF57/B57*100</f>
        <v>35.583744871133391</v>
      </c>
      <c r="BI57" s="52">
        <f>SUM(BI49:BI55)</f>
        <v>0</v>
      </c>
      <c r="BJ57" s="21">
        <f>BI57/A57*100</f>
        <v>0</v>
      </c>
      <c r="BK57" s="21">
        <f>BI57/B57*100</f>
        <v>0</v>
      </c>
    </row>
    <row r="58" spans="1:71" ht="18" x14ac:dyDescent="0.4">
      <c r="A58" s="25"/>
      <c r="B58" s="25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5"/>
      <c r="AK58" s="25"/>
      <c r="AL58" s="25"/>
      <c r="AM58" s="25"/>
      <c r="AN58" s="25"/>
      <c r="AO58" s="21"/>
      <c r="AP58" s="25"/>
      <c r="AQ58" s="21"/>
      <c r="AR58" s="25"/>
      <c r="AS58" s="21"/>
      <c r="AT58" s="25"/>
      <c r="AU58" s="21"/>
      <c r="AV58" s="52"/>
      <c r="AW58" s="21" t="s">
        <v>3</v>
      </c>
      <c r="AX58" s="52"/>
      <c r="AY58" s="21"/>
      <c r="AZ58" s="52"/>
      <c r="BA58" s="21"/>
      <c r="BB58" s="21"/>
      <c r="BC58" s="52"/>
      <c r="BD58" s="21"/>
      <c r="BE58" s="21"/>
      <c r="BF58" s="52"/>
      <c r="BG58" s="21"/>
      <c r="BH58" s="21"/>
      <c r="BI58" s="52"/>
      <c r="BJ58" s="21"/>
      <c r="BK58" s="21"/>
    </row>
    <row r="59" spans="1:71" ht="18" x14ac:dyDescent="0.4">
      <c r="A59" s="25"/>
      <c r="B59" s="25"/>
      <c r="C59" s="58"/>
      <c r="D59" s="58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5"/>
      <c r="AK59" s="25"/>
      <c r="AL59" s="25"/>
      <c r="AM59" s="25"/>
      <c r="AN59" s="25"/>
      <c r="AO59" s="21"/>
      <c r="AP59" s="25"/>
      <c r="AQ59" s="21"/>
      <c r="AR59" s="25"/>
      <c r="AS59" s="21"/>
      <c r="AT59" s="25"/>
      <c r="AU59" s="21"/>
      <c r="AV59" s="52"/>
      <c r="AW59" s="21" t="s">
        <v>3</v>
      </c>
      <c r="AX59" s="52"/>
      <c r="AY59" s="21"/>
      <c r="AZ59" s="52"/>
      <c r="BA59" s="21"/>
      <c r="BB59" s="21"/>
      <c r="BC59" s="52"/>
      <c r="BD59" s="21"/>
      <c r="BE59" s="21"/>
      <c r="BF59" s="52"/>
      <c r="BG59" s="21"/>
      <c r="BH59" s="21"/>
      <c r="BI59" s="52"/>
      <c r="BJ59" s="21"/>
      <c r="BK59" s="21"/>
    </row>
    <row r="60" spans="1:71" ht="18" x14ac:dyDescent="0.4">
      <c r="A60" s="25"/>
      <c r="B60" s="25"/>
      <c r="C60" s="9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53">
        <v>0</v>
      </c>
      <c r="U60" s="21" t="e">
        <f t="shared" si="28"/>
        <v>#DIV/0!</v>
      </c>
      <c r="V60" s="21" t="e">
        <f t="shared" si="29"/>
        <v>#DIV/0!</v>
      </c>
      <c r="W60" s="21" t="e">
        <f t="shared" si="30"/>
        <v>#DIV/0!</v>
      </c>
      <c r="X60" s="21" t="e">
        <f t="shared" si="0"/>
        <v>#DIV/0!</v>
      </c>
      <c r="Y60" s="21"/>
      <c r="Z60" s="21" t="e">
        <f>N60/E60*100</f>
        <v>#DIV/0!</v>
      </c>
      <c r="AA60" s="21" t="e">
        <f>O60/E60*100</f>
        <v>#DIV/0!</v>
      </c>
      <c r="AB60" s="21" t="e">
        <f>P60/E60*100</f>
        <v>#DIV/0!</v>
      </c>
      <c r="AC60" s="21" t="e">
        <f>Q60/E60*100</f>
        <v>#DIV/0!</v>
      </c>
      <c r="AD60" s="21" t="e">
        <f>R60/E60*100</f>
        <v>#DIV/0!</v>
      </c>
      <c r="AE60" s="21" t="e">
        <f>S60/E60*100</f>
        <v>#DIV/0!</v>
      </c>
      <c r="AF60" s="21" t="e">
        <f>P60/F60*100</f>
        <v>#DIV/0!</v>
      </c>
      <c r="AG60" s="21" t="e">
        <f>Q60/F60*100</f>
        <v>#DIV/0!</v>
      </c>
      <c r="AH60" s="21" t="e">
        <f>R60/F60*100</f>
        <v>#DIV/0!</v>
      </c>
      <c r="AI60" s="21" t="e">
        <f>S60/F60*100</f>
        <v>#DIV/0!</v>
      </c>
      <c r="AJ60" s="25"/>
      <c r="AK60" s="59">
        <v>0</v>
      </c>
      <c r="AL60" s="25"/>
      <c r="AM60" s="25" t="e">
        <f>AL60/A60*100</f>
        <v>#DIV/0!</v>
      </c>
      <c r="AN60" s="25"/>
      <c r="AO60" s="21" t="e">
        <f>AN60/A60*100</f>
        <v>#DIV/0!</v>
      </c>
      <c r="AP60" s="25"/>
      <c r="AQ60" s="21" t="e">
        <f>AP60/A60*100</f>
        <v>#DIV/0!</v>
      </c>
      <c r="AR60" s="25"/>
      <c r="AS60" s="21" t="e">
        <f>AR60/A60*100</f>
        <v>#DIV/0!</v>
      </c>
      <c r="AT60" s="25"/>
      <c r="AU60" s="21" t="e">
        <f>AT60/A60*100</f>
        <v>#DIV/0!</v>
      </c>
      <c r="AV60" s="52"/>
      <c r="AW60" s="21" t="e">
        <f>AV60/A60*100</f>
        <v>#DIV/0!</v>
      </c>
      <c r="AX60" s="52"/>
      <c r="AY60" s="21" t="e">
        <f>AX60/A60*100</f>
        <v>#DIV/0!</v>
      </c>
      <c r="AZ60" s="52"/>
      <c r="BA60" s="21" t="e">
        <f>AZ60/A60*100</f>
        <v>#DIV/0!</v>
      </c>
      <c r="BB60" s="21" t="e">
        <f>AZ60/B60*100</f>
        <v>#DIV/0!</v>
      </c>
      <c r="BC60" s="52"/>
      <c r="BD60" s="21" t="e">
        <f>BC60/A60*100</f>
        <v>#DIV/0!</v>
      </c>
      <c r="BE60" s="21" t="e">
        <f>BC60/B60*100</f>
        <v>#DIV/0!</v>
      </c>
      <c r="BF60" s="52"/>
      <c r="BG60" s="21" t="e">
        <f>BF60/A60*100</f>
        <v>#DIV/0!</v>
      </c>
      <c r="BH60" s="21" t="e">
        <f>BF60/B60*100</f>
        <v>#DIV/0!</v>
      </c>
      <c r="BI60" s="52"/>
      <c r="BJ60" s="21" t="e">
        <f>BI60/A60*100</f>
        <v>#DIV/0!</v>
      </c>
      <c r="BK60" s="21" t="e">
        <f>BI60/B60*100</f>
        <v>#DIV/0!</v>
      </c>
      <c r="BS60" s="5" t="s">
        <v>108</v>
      </c>
    </row>
    <row r="61" spans="1:71" ht="18" x14ac:dyDescent="0.4">
      <c r="A61" s="25">
        <f>SUM(A39+A57)</f>
        <v>78255000</v>
      </c>
      <c r="B61" s="25">
        <f>SUM(B39+B57)</f>
        <v>76256600</v>
      </c>
      <c r="C61" s="24"/>
      <c r="D61" s="25" t="s">
        <v>109</v>
      </c>
      <c r="E61" s="25">
        <f t="shared" ref="E61:S61" si="55">SUM(E39+E57)</f>
        <v>79005000</v>
      </c>
      <c r="F61" s="25">
        <f t="shared" si="55"/>
        <v>0</v>
      </c>
      <c r="G61" s="25">
        <f t="shared" si="55"/>
        <v>4698363</v>
      </c>
      <c r="H61" s="25">
        <f t="shared" si="55"/>
        <v>0</v>
      </c>
      <c r="I61" s="25">
        <f t="shared" si="55"/>
        <v>0</v>
      </c>
      <c r="J61" s="25">
        <f t="shared" si="55"/>
        <v>8</v>
      </c>
      <c r="K61" s="25">
        <f t="shared" si="55"/>
        <v>31511425</v>
      </c>
      <c r="L61" s="25">
        <f t="shared" ref="L61" si="56">SUM(L39+L57)</f>
        <v>79005000</v>
      </c>
      <c r="M61" s="25">
        <f t="shared" si="55"/>
        <v>63518578</v>
      </c>
      <c r="N61" s="25">
        <f t="shared" si="55"/>
        <v>0</v>
      </c>
      <c r="O61" s="25">
        <f t="shared" si="55"/>
        <v>0</v>
      </c>
      <c r="P61" s="25">
        <f t="shared" si="55"/>
        <v>0</v>
      </c>
      <c r="Q61" s="25">
        <f t="shared" si="55"/>
        <v>0</v>
      </c>
      <c r="R61" s="25">
        <f t="shared" si="55"/>
        <v>6</v>
      </c>
      <c r="S61" s="25">
        <f t="shared" si="55"/>
        <v>0</v>
      </c>
      <c r="T61" s="21">
        <f>G61/E61*100</f>
        <v>5.9469185494588945</v>
      </c>
      <c r="U61" s="21">
        <f t="shared" si="28"/>
        <v>0</v>
      </c>
      <c r="V61" s="21">
        <f t="shared" si="29"/>
        <v>0</v>
      </c>
      <c r="W61" s="21">
        <f t="shared" si="30"/>
        <v>1.012594139611417E-5</v>
      </c>
      <c r="X61" s="21">
        <f t="shared" si="0"/>
        <v>39.885355357255868</v>
      </c>
      <c r="Y61" s="21">
        <f t="shared" si="26"/>
        <v>80.398174799063355</v>
      </c>
      <c r="Z61" s="21">
        <f>N61/E61*100</f>
        <v>0</v>
      </c>
      <c r="AA61" s="21">
        <f>O61/E61*100</f>
        <v>0</v>
      </c>
      <c r="AB61" s="21">
        <f>P61/E61*100</f>
        <v>0</v>
      </c>
      <c r="AC61" s="21">
        <f>Q61/E61*100</f>
        <v>0</v>
      </c>
      <c r="AD61" s="21">
        <f>R61/E61*100</f>
        <v>7.5944560470856276E-6</v>
      </c>
      <c r="AE61" s="21">
        <f>S61/E61*100</f>
        <v>0</v>
      </c>
      <c r="AF61" s="21" t="e">
        <f>P61/F61*100</f>
        <v>#DIV/0!</v>
      </c>
      <c r="AG61" s="21" t="e">
        <f>Q61/F61*100</f>
        <v>#DIV/0!</v>
      </c>
      <c r="AH61" s="21" t="e">
        <f>R61/F61*100</f>
        <v>#DIV/0!</v>
      </c>
      <c r="AI61" s="21" t="e">
        <f>S61/F61*100</f>
        <v>#DIV/0!</v>
      </c>
      <c r="AJ61" s="25">
        <f>SUM(AJ39+AJ57)</f>
        <v>8107007</v>
      </c>
      <c r="AK61" s="21">
        <f>AJ61/A61*100</f>
        <v>10.35973036866654</v>
      </c>
      <c r="AL61" s="55">
        <f>SUM(AL39+AL57)</f>
        <v>13147184</v>
      </c>
      <c r="AM61" s="21">
        <f>AL61/A61*100</f>
        <v>16.800439588524696</v>
      </c>
      <c r="AN61" s="55">
        <f>SUM(AN39+AN57)</f>
        <v>18523843</v>
      </c>
      <c r="AO61" s="21">
        <f>AN61/A61*100</f>
        <v>23.671130279215387</v>
      </c>
      <c r="AP61" s="55">
        <f>SUM(AP39+AP57)</f>
        <v>25085870</v>
      </c>
      <c r="AQ61" s="21">
        <f>AP61/A61*100</f>
        <v>32.056571465082101</v>
      </c>
      <c r="AR61" s="55">
        <f>SUM(AR39+AR57)</f>
        <v>30628163</v>
      </c>
      <c r="AS61" s="21">
        <f>AR61/A61*100</f>
        <v>39.138921474666155</v>
      </c>
      <c r="AT61" s="55">
        <f>SUM(AT39+AT57)</f>
        <v>36225241</v>
      </c>
      <c r="AU61" s="21">
        <f>AT61/A61*100</f>
        <v>46.291279790428725</v>
      </c>
      <c r="AV61" s="52">
        <f>SUM(AV39+AV57)</f>
        <v>41812651</v>
      </c>
      <c r="AW61" s="21">
        <f>AV61/A61*100</f>
        <v>53.431283624049584</v>
      </c>
      <c r="AX61" s="52">
        <f>SUM(AX39+AX57)</f>
        <v>47099829</v>
      </c>
      <c r="AY61" s="21">
        <f>AX61/A61*100</f>
        <v>60.187628905501242</v>
      </c>
      <c r="AZ61" s="52">
        <f>SUM(AZ39+AZ57)</f>
        <v>54079051</v>
      </c>
      <c r="BA61" s="21">
        <f>AZ61/A61*100</f>
        <v>69.106192575554275</v>
      </c>
      <c r="BB61" s="21">
        <f>AZ61/B61*100</f>
        <v>70.917207166330513</v>
      </c>
      <c r="BC61" s="52">
        <f>SUM(BC39+BC57)</f>
        <v>59923595</v>
      </c>
      <c r="BD61" s="21">
        <f>BC61/A61*100</f>
        <v>76.574781164142863</v>
      </c>
      <c r="BE61" s="21">
        <f>BC61/B61*100</f>
        <v>78.581519501262846</v>
      </c>
      <c r="BF61" s="52">
        <f>SUM(BF39+BF57)</f>
        <v>65963244</v>
      </c>
      <c r="BG61" s="21">
        <f>BF61/A61*100</f>
        <v>84.292689285029709</v>
      </c>
      <c r="BH61" s="21">
        <f>BF61/B61*100</f>
        <v>86.501685100043801</v>
      </c>
      <c r="BI61" s="52">
        <f>SUM(BI39+BI57)</f>
        <v>0</v>
      </c>
      <c r="BJ61" s="21">
        <f>BI61/A61*100</f>
        <v>0</v>
      </c>
      <c r="BK61" s="21">
        <f>BI61/B61*100</f>
        <v>0</v>
      </c>
    </row>
    <row r="62" spans="1:71" ht="39.75" customHeight="1" x14ac:dyDescent="0.4">
      <c r="A62" s="25">
        <f>SUM(A40)</f>
        <v>5000</v>
      </c>
      <c r="B62" s="25">
        <f>SUM(B40)</f>
        <v>5000</v>
      </c>
      <c r="C62" s="24"/>
      <c r="D62" s="25" t="s">
        <v>110</v>
      </c>
      <c r="E62" s="25">
        <f t="shared" ref="E62:S62" si="57">SUM(E40)</f>
        <v>5000</v>
      </c>
      <c r="F62" s="25">
        <f t="shared" si="57"/>
        <v>0</v>
      </c>
      <c r="G62" s="25">
        <f t="shared" si="57"/>
        <v>0</v>
      </c>
      <c r="H62" s="25">
        <f t="shared" si="57"/>
        <v>0</v>
      </c>
      <c r="I62" s="25">
        <f t="shared" si="57"/>
        <v>0</v>
      </c>
      <c r="J62" s="25">
        <f t="shared" si="57"/>
        <v>0</v>
      </c>
      <c r="K62" s="25">
        <f t="shared" si="57"/>
        <v>0</v>
      </c>
      <c r="L62" s="25">
        <f t="shared" ref="L62" si="58">SUM(L40)</f>
        <v>5000</v>
      </c>
      <c r="M62" s="25">
        <f t="shared" si="57"/>
        <v>220</v>
      </c>
      <c r="N62" s="25">
        <f t="shared" si="57"/>
        <v>0</v>
      </c>
      <c r="O62" s="25">
        <f t="shared" si="57"/>
        <v>0</v>
      </c>
      <c r="P62" s="25">
        <f t="shared" si="57"/>
        <v>0</v>
      </c>
      <c r="Q62" s="25">
        <f t="shared" si="57"/>
        <v>0</v>
      </c>
      <c r="R62" s="25">
        <f t="shared" si="57"/>
        <v>0</v>
      </c>
      <c r="S62" s="25">
        <f t="shared" si="57"/>
        <v>0</v>
      </c>
      <c r="T62" s="21">
        <f>G62/E62*100</f>
        <v>0</v>
      </c>
      <c r="U62" s="21">
        <f t="shared" si="28"/>
        <v>0</v>
      </c>
      <c r="V62" s="21">
        <f t="shared" si="29"/>
        <v>0</v>
      </c>
      <c r="W62" s="21">
        <f t="shared" si="30"/>
        <v>0</v>
      </c>
      <c r="X62" s="21">
        <f t="shared" si="0"/>
        <v>0</v>
      </c>
      <c r="Y62" s="21">
        <f t="shared" si="26"/>
        <v>4.3999999999999995</v>
      </c>
      <c r="Z62" s="21">
        <f>N62/E62*100</f>
        <v>0</v>
      </c>
      <c r="AA62" s="21">
        <f>O62/E62*100</f>
        <v>0</v>
      </c>
      <c r="AB62" s="21">
        <f>P62/E62*100</f>
        <v>0</v>
      </c>
      <c r="AC62" s="21">
        <f>Q62/E62*100</f>
        <v>0</v>
      </c>
      <c r="AD62" s="21">
        <f>R62/E62*100</f>
        <v>0</v>
      </c>
      <c r="AE62" s="21">
        <f>S62/E62*100</f>
        <v>0</v>
      </c>
      <c r="AF62" s="21" t="e">
        <f>P62/F62*100</f>
        <v>#DIV/0!</v>
      </c>
      <c r="AG62" s="21" t="e">
        <f>Q62/F62*100</f>
        <v>#DIV/0!</v>
      </c>
      <c r="AH62" s="21" t="e">
        <f>R62/F62*100</f>
        <v>#DIV/0!</v>
      </c>
      <c r="AI62" s="21" t="e">
        <f>S62/F62*100</f>
        <v>#DIV/0!</v>
      </c>
      <c r="AJ62" s="25">
        <f>SUM(AJ40)</f>
        <v>0</v>
      </c>
      <c r="AK62" s="21">
        <f>AJ62/A62*100</f>
        <v>0</v>
      </c>
      <c r="AL62" s="55">
        <f>SUM(AL40)</f>
        <v>0</v>
      </c>
      <c r="AM62" s="21">
        <f>AL62/A62*100</f>
        <v>0</v>
      </c>
      <c r="AN62" s="55">
        <f>SUM(AN40)</f>
        <v>0</v>
      </c>
      <c r="AO62" s="21">
        <f>AN62/A62*100</f>
        <v>0</v>
      </c>
      <c r="AP62" s="55">
        <f>SUM(AP40)</f>
        <v>0</v>
      </c>
      <c r="AQ62" s="21">
        <f>AP62/A62*100</f>
        <v>0</v>
      </c>
      <c r="AR62" s="55">
        <f>SUM(AR40)</f>
        <v>0</v>
      </c>
      <c r="AS62" s="21">
        <f>AR62/A62*100</f>
        <v>0</v>
      </c>
      <c r="AT62" s="55">
        <f>SUM(AT40)</f>
        <v>0</v>
      </c>
      <c r="AU62" s="21">
        <f>AT62/A62*100</f>
        <v>0</v>
      </c>
      <c r="AV62" s="52">
        <f>SUM(AV40)</f>
        <v>0</v>
      </c>
      <c r="AW62" s="21">
        <f>AV62/A62*100</f>
        <v>0</v>
      </c>
      <c r="AX62" s="52">
        <f>SUM(AX40)</f>
        <v>0</v>
      </c>
      <c r="AY62" s="21">
        <f>AX62/A62*100</f>
        <v>0</v>
      </c>
      <c r="AZ62" s="52">
        <f>SUM(AZ40)</f>
        <v>0</v>
      </c>
      <c r="BA62" s="21">
        <f>AZ62/A62*100</f>
        <v>0</v>
      </c>
      <c r="BB62" s="21">
        <f>AZ62/B62*100</f>
        <v>0</v>
      </c>
      <c r="BC62" s="52">
        <f>SUM(BC40)</f>
        <v>193</v>
      </c>
      <c r="BD62" s="21">
        <f>BC62/A62*100</f>
        <v>3.8600000000000003</v>
      </c>
      <c r="BE62" s="21">
        <f>BC62/B62*100</f>
        <v>3.8600000000000003</v>
      </c>
      <c r="BF62" s="52">
        <f>SUM(BF40)</f>
        <v>193</v>
      </c>
      <c r="BG62" s="21">
        <f>BF62/A62*100</f>
        <v>3.8600000000000003</v>
      </c>
      <c r="BH62" s="21">
        <f>BF62/B62*100</f>
        <v>3.8600000000000003</v>
      </c>
      <c r="BI62" s="52">
        <f>SUM(BI40)</f>
        <v>0</v>
      </c>
      <c r="BJ62" s="21">
        <f>BI62/A62*100</f>
        <v>0</v>
      </c>
      <c r="BK62" s="21">
        <f>BI62/B62*100</f>
        <v>0</v>
      </c>
    </row>
    <row r="63" spans="1:71" ht="18" x14ac:dyDescent="0.4">
      <c r="A63" s="25">
        <f>SUM(A61-A62)</f>
        <v>78250000</v>
      </c>
      <c r="B63" s="25">
        <f>SUM(B61-B62)</f>
        <v>76251600</v>
      </c>
      <c r="C63" s="24"/>
      <c r="D63" s="25" t="s">
        <v>93</v>
      </c>
      <c r="E63" s="25">
        <f t="shared" ref="E63:S63" si="59">SUM(E61-E62)</f>
        <v>79000000</v>
      </c>
      <c r="F63" s="25">
        <f t="shared" si="59"/>
        <v>0</v>
      </c>
      <c r="G63" s="25">
        <f t="shared" si="59"/>
        <v>4698363</v>
      </c>
      <c r="H63" s="25">
        <f t="shared" si="59"/>
        <v>0</v>
      </c>
      <c r="I63" s="25">
        <f t="shared" si="59"/>
        <v>0</v>
      </c>
      <c r="J63" s="25">
        <f t="shared" si="59"/>
        <v>8</v>
      </c>
      <c r="K63" s="25">
        <f t="shared" si="59"/>
        <v>31511425</v>
      </c>
      <c r="L63" s="25">
        <f t="shared" ref="L63" si="60">SUM(L61-L62)</f>
        <v>79000000</v>
      </c>
      <c r="M63" s="25">
        <f t="shared" si="59"/>
        <v>63518358</v>
      </c>
      <c r="N63" s="25">
        <f t="shared" si="59"/>
        <v>0</v>
      </c>
      <c r="O63" s="25">
        <f t="shared" si="59"/>
        <v>0</v>
      </c>
      <c r="P63" s="25">
        <f t="shared" si="59"/>
        <v>0</v>
      </c>
      <c r="Q63" s="25">
        <f t="shared" si="59"/>
        <v>0</v>
      </c>
      <c r="R63" s="25">
        <f t="shared" si="59"/>
        <v>6</v>
      </c>
      <c r="S63" s="25">
        <f t="shared" si="59"/>
        <v>0</v>
      </c>
      <c r="T63" s="21">
        <f>G63/E63*100</f>
        <v>5.947294936708861</v>
      </c>
      <c r="U63" s="21">
        <f t="shared" si="28"/>
        <v>0</v>
      </c>
      <c r="V63" s="21">
        <f t="shared" si="29"/>
        <v>0</v>
      </c>
      <c r="W63" s="21">
        <f t="shared" si="30"/>
        <v>1.0126582278481012E-5</v>
      </c>
      <c r="X63" s="21">
        <f t="shared" si="0"/>
        <v>39.887879746835445</v>
      </c>
      <c r="Y63" s="21">
        <f t="shared" si="26"/>
        <v>80.402984810126583</v>
      </c>
      <c r="Z63" s="21">
        <f>N63/E63*100</f>
        <v>0</v>
      </c>
      <c r="AA63" s="21">
        <f>O63/E63*100</f>
        <v>0</v>
      </c>
      <c r="AB63" s="21">
        <f>P63/E63*100</f>
        <v>0</v>
      </c>
      <c r="AC63" s="21">
        <f>Q63/E63*100</f>
        <v>0</v>
      </c>
      <c r="AD63" s="21">
        <f>R63/E63*100</f>
        <v>7.5949367088607596E-6</v>
      </c>
      <c r="AE63" s="21">
        <f>S63/E63*100</f>
        <v>0</v>
      </c>
      <c r="AF63" s="21" t="e">
        <f>P63/F63*100</f>
        <v>#DIV/0!</v>
      </c>
      <c r="AG63" s="21" t="e">
        <f>Q63/F63*100</f>
        <v>#DIV/0!</v>
      </c>
      <c r="AH63" s="21" t="e">
        <f>R63/F63*100</f>
        <v>#DIV/0!</v>
      </c>
      <c r="AI63" s="21" t="e">
        <f>S63/F63*100</f>
        <v>#DIV/0!</v>
      </c>
      <c r="AJ63" s="25">
        <f>SUM(AJ61-AJ62)</f>
        <v>8107007</v>
      </c>
      <c r="AK63" s="21">
        <f>AJ63/A63*100</f>
        <v>10.36039233226837</v>
      </c>
      <c r="AL63" s="55">
        <f>SUM(AL61-AL62)</f>
        <v>13147184</v>
      </c>
      <c r="AM63" s="21">
        <f>AL63/A63*100</f>
        <v>16.801513099041536</v>
      </c>
      <c r="AN63" s="55">
        <f>SUM(AN61-AN62)</f>
        <v>18523843</v>
      </c>
      <c r="AO63" s="21">
        <f>AN63/A63*100</f>
        <v>23.6726428115016</v>
      </c>
      <c r="AP63" s="55">
        <f>SUM(AP61-AP62)</f>
        <v>25085870</v>
      </c>
      <c r="AQ63" s="21">
        <f>AP63/A63*100</f>
        <v>32.058619808306709</v>
      </c>
      <c r="AR63" s="55">
        <f>SUM(AR61-AR62)</f>
        <v>30628163</v>
      </c>
      <c r="AS63" s="21">
        <f>AR63/A63*100</f>
        <v>39.141422364217256</v>
      </c>
      <c r="AT63" s="55">
        <f>SUM(AT61-AT62)</f>
        <v>36225241</v>
      </c>
      <c r="AU63" s="21">
        <f>AT63/A63*100</f>
        <v>46.294237699680515</v>
      </c>
      <c r="AV63" s="52">
        <f>SUM(AV61-AV62)</f>
        <v>41812651</v>
      </c>
      <c r="AW63" s="21">
        <f>AV63/A63*100</f>
        <v>53.434697763578278</v>
      </c>
      <c r="AX63" s="52">
        <f>SUM(AX61-AX62)</f>
        <v>47099829</v>
      </c>
      <c r="AY63" s="21">
        <f>AX63/A63*100</f>
        <v>60.191474760383393</v>
      </c>
      <c r="AZ63" s="52">
        <f>SUM(AZ61-AZ62)</f>
        <v>54079051</v>
      </c>
      <c r="BA63" s="21">
        <f>AZ63/A63*100</f>
        <v>69.110608306709267</v>
      </c>
      <c r="BB63" s="21">
        <f>AZ63/B63*100</f>
        <v>70.921857377418959</v>
      </c>
      <c r="BC63" s="52">
        <f>SUM(BC61-BC62)</f>
        <v>59923402</v>
      </c>
      <c r="BD63" s="21">
        <f>BC63/A63*100</f>
        <v>76.579427476038347</v>
      </c>
      <c r="BE63" s="21">
        <f>BC63/B63*100</f>
        <v>78.586419170220694</v>
      </c>
      <c r="BF63" s="52">
        <f>SUM(BF61-BF62)</f>
        <v>65963051</v>
      </c>
      <c r="BG63" s="21">
        <f>BF63/A63*100</f>
        <v>84.297828753993613</v>
      </c>
      <c r="BH63" s="21">
        <f>BF63/B63*100</f>
        <v>86.507104113225168</v>
      </c>
      <c r="BI63" s="52">
        <f>SUM(BI61-BI62)</f>
        <v>0</v>
      </c>
      <c r="BJ63" s="21">
        <f>BI63/A63*100</f>
        <v>0</v>
      </c>
      <c r="BK63" s="21">
        <f>BI63/B63*100</f>
        <v>0</v>
      </c>
    </row>
    <row r="64" spans="1:71" ht="18" x14ac:dyDescent="0.4">
      <c r="A64" s="60"/>
      <c r="B64" s="4"/>
      <c r="C64" s="3"/>
      <c r="D64" s="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</row>
    <row r="65" spans="1:64" ht="18" x14ac:dyDescent="0.4">
      <c r="A65" s="60"/>
      <c r="B65" s="4"/>
      <c r="C65" s="3"/>
      <c r="D65" s="1"/>
      <c r="E65" s="61"/>
      <c r="F65" s="61"/>
      <c r="G65" s="61"/>
      <c r="H65" s="61"/>
      <c r="I65" s="61"/>
      <c r="J65" s="61"/>
      <c r="K65" s="61"/>
      <c r="L65" s="61"/>
      <c r="M65" s="61" t="s">
        <v>111</v>
      </c>
      <c r="N65" s="61"/>
      <c r="O65" s="61"/>
      <c r="P65" s="61"/>
      <c r="Q65" s="61"/>
      <c r="R65" s="61"/>
      <c r="S65" s="6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</row>
    <row r="66" spans="1:64" ht="18" x14ac:dyDescent="0.4">
      <c r="A66" s="60"/>
      <c r="B66" s="4"/>
      <c r="C66" s="24"/>
      <c r="D66" s="25" t="s">
        <v>112</v>
      </c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5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</row>
    <row r="67" spans="1:64" ht="18" x14ac:dyDescent="0.4">
      <c r="A67" s="60"/>
      <c r="B67" s="4"/>
      <c r="C67" s="24"/>
      <c r="D67" s="25" t="s">
        <v>113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5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</row>
    <row r="68" spans="1:64" ht="18" x14ac:dyDescent="0.4">
      <c r="A68" s="60"/>
      <c r="B68" s="4"/>
      <c r="C68" s="59">
        <v>2037</v>
      </c>
      <c r="D68" s="25" t="s">
        <v>114</v>
      </c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5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Z68" s="63"/>
    </row>
    <row r="69" spans="1:64" ht="18" x14ac:dyDescent="0.4">
      <c r="A69" s="1">
        <f>SUM('[1]Actual Expenditure 2018-19'!A535)</f>
        <v>-5000</v>
      </c>
      <c r="B69" s="4">
        <f>SUM('[1]Actual Expenditure 2018-19'!B535)</f>
        <v>-5000</v>
      </c>
      <c r="C69" s="64">
        <v>70</v>
      </c>
      <c r="D69" s="10" t="s">
        <v>115</v>
      </c>
      <c r="E69" s="62">
        <f>SUM('[1]Actual Expenditure 2018-19'!E535)</f>
        <v>-5000</v>
      </c>
      <c r="F69" s="62">
        <f>SUM('[1]Actual Expenditure 2018-19'!F535)</f>
        <v>-5000</v>
      </c>
      <c r="G69" s="62">
        <f>SUM('[1]Actual Expenditure 2018-19'!G535)</f>
        <v>1475</v>
      </c>
      <c r="H69" s="62">
        <f>SUM('[1]Actual Expenditure 2018-19'!H535)</f>
        <v>0</v>
      </c>
      <c r="I69" s="62">
        <f>SUM('[1]Actual Expenditure 2018-19'!I535)</f>
        <v>0</v>
      </c>
      <c r="J69" s="62">
        <f>SUM('[1]Actual Expenditure 2018-19'!J535)</f>
        <v>0</v>
      </c>
      <c r="K69" s="62">
        <f>SUM('[1]Actual Expenditure 2018-19'!K535)</f>
        <v>19295</v>
      </c>
      <c r="L69" s="62"/>
      <c r="M69" s="62">
        <v>-34586</v>
      </c>
      <c r="N69" s="62">
        <f>SUM('[1]Actual Expenditure 2018-19'!M535)</f>
        <v>0</v>
      </c>
      <c r="O69" s="62">
        <f>SUM('[1]Actual Expenditure 2018-19'!N535)</f>
        <v>0</v>
      </c>
      <c r="P69" s="62">
        <f>SUM('[1]Actual Expenditure 2018-19'!O535)</f>
        <v>0</v>
      </c>
      <c r="Q69" s="62">
        <f>SUM('[1]Actual Expenditure 2018-19'!P535)</f>
        <v>0</v>
      </c>
      <c r="R69" s="62">
        <f>SUM('[1]Actual Expenditure 2018-19'!Q535)</f>
        <v>0</v>
      </c>
      <c r="S69" s="62">
        <f>SUM('[1]Actual Expenditure 2018-19'!R535)</f>
        <v>0</v>
      </c>
      <c r="T69" s="10"/>
      <c r="U69" s="10"/>
      <c r="V69" s="62">
        <v>0</v>
      </c>
      <c r="W69" s="10"/>
      <c r="X69" s="10"/>
      <c r="Y69" s="10"/>
      <c r="Z69" s="10"/>
      <c r="AA69" s="10"/>
      <c r="AB69" s="10"/>
      <c r="AC69" s="10"/>
      <c r="AD69" s="15"/>
      <c r="AE69" s="10"/>
      <c r="AF69" s="10"/>
      <c r="AG69" s="10"/>
      <c r="AH69" s="10"/>
      <c r="AI69" s="10"/>
      <c r="AJ69" s="62">
        <v>1085</v>
      </c>
      <c r="AK69" s="21"/>
      <c r="AL69" s="62">
        <v>2261</v>
      </c>
      <c r="AM69" s="62"/>
      <c r="AN69" s="62">
        <v>402</v>
      </c>
      <c r="AO69" s="62"/>
      <c r="AP69" s="62">
        <v>421</v>
      </c>
      <c r="AQ69" s="62"/>
      <c r="AR69" s="62">
        <v>226</v>
      </c>
      <c r="AT69" s="62">
        <v>549</v>
      </c>
      <c r="AU69" s="62"/>
      <c r="AV69" s="65">
        <v>559</v>
      </c>
      <c r="AX69" s="65">
        <v>568</v>
      </c>
      <c r="AY69" s="65"/>
      <c r="AZ69" s="65">
        <v>588</v>
      </c>
      <c r="BC69" s="65">
        <v>590</v>
      </c>
      <c r="BD69" s="65"/>
      <c r="BE69" s="65"/>
      <c r="BF69" s="65">
        <v>0</v>
      </c>
      <c r="BG69" s="65"/>
      <c r="BH69" s="65"/>
      <c r="BI69" s="65">
        <v>0</v>
      </c>
      <c r="BJ69" s="65"/>
      <c r="BK69" s="65"/>
    </row>
    <row r="70" spans="1:64" ht="18" x14ac:dyDescent="0.4">
      <c r="A70" s="1"/>
      <c r="B70" s="4"/>
      <c r="C70" s="24">
        <v>2038</v>
      </c>
      <c r="D70" s="25" t="s">
        <v>116</v>
      </c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25"/>
      <c r="S70" s="62"/>
      <c r="T70" s="10"/>
      <c r="U70" s="10"/>
      <c r="V70" s="62"/>
      <c r="W70" s="10"/>
      <c r="X70" s="10"/>
      <c r="Y70" s="10"/>
      <c r="Z70" s="10"/>
      <c r="AA70" s="10"/>
      <c r="AB70" s="10"/>
      <c r="AC70" s="10"/>
      <c r="AD70" s="15"/>
      <c r="AE70" s="10"/>
      <c r="AF70" s="10"/>
      <c r="AG70" s="10"/>
      <c r="AH70" s="10"/>
      <c r="AI70" s="10"/>
      <c r="AJ70" s="62"/>
      <c r="AK70" s="10"/>
      <c r="AL70" s="62"/>
      <c r="AM70" s="62"/>
      <c r="AN70" s="62"/>
      <c r="AO70" s="62"/>
      <c r="AP70" s="62"/>
      <c r="AQ70" s="62"/>
      <c r="AR70" s="62"/>
      <c r="AT70" s="62"/>
      <c r="AU70" s="62"/>
      <c r="AV70" s="65"/>
      <c r="AX70" s="65"/>
      <c r="AY70" s="65"/>
      <c r="AZ70" s="65"/>
      <c r="BC70" s="65"/>
      <c r="BD70" s="65"/>
      <c r="BE70" s="65"/>
      <c r="BF70" s="65"/>
      <c r="BG70" s="65"/>
      <c r="BH70" s="65"/>
      <c r="BI70" s="65"/>
      <c r="BJ70" s="65"/>
      <c r="BK70" s="65"/>
    </row>
    <row r="71" spans="1:64" ht="18" x14ac:dyDescent="0.4">
      <c r="A71" s="1"/>
      <c r="B71" s="4"/>
      <c r="C71" s="66" t="s">
        <v>117</v>
      </c>
      <c r="D71" s="10" t="s">
        <v>118</v>
      </c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25"/>
      <c r="S71" s="62"/>
      <c r="T71" s="10"/>
      <c r="U71" s="10"/>
      <c r="V71" s="62"/>
      <c r="W71" s="10"/>
      <c r="X71" s="10"/>
      <c r="Y71" s="10"/>
      <c r="Z71" s="10"/>
      <c r="AA71" s="10"/>
      <c r="AB71" s="10"/>
      <c r="AC71" s="10"/>
      <c r="AD71" s="15"/>
      <c r="AE71" s="10"/>
      <c r="AF71" s="10"/>
      <c r="AG71" s="10"/>
      <c r="AH71" s="10"/>
      <c r="AI71" s="10"/>
      <c r="AJ71" s="62"/>
      <c r="AK71" s="10"/>
      <c r="AL71" s="62"/>
      <c r="AM71" s="62"/>
      <c r="AN71" s="62"/>
      <c r="AO71" s="62"/>
      <c r="AP71" s="62"/>
      <c r="AQ71" s="62"/>
      <c r="AR71" s="62"/>
      <c r="AT71" s="62"/>
      <c r="AU71" s="62"/>
      <c r="AV71" s="65"/>
      <c r="AX71" s="65"/>
      <c r="AY71" s="65"/>
      <c r="AZ71" s="65"/>
      <c r="BC71" s="65"/>
      <c r="BD71" s="65"/>
      <c r="BE71" s="65"/>
      <c r="BF71" s="65"/>
      <c r="BG71" s="65"/>
      <c r="BH71" s="65"/>
      <c r="BI71" s="65"/>
      <c r="BJ71" s="65"/>
      <c r="BK71" s="65"/>
    </row>
    <row r="72" spans="1:64" ht="17.5" x14ac:dyDescent="0.35">
      <c r="A72" s="1"/>
      <c r="B72" s="4"/>
      <c r="C72" s="46" t="s">
        <v>119</v>
      </c>
      <c r="D72" s="10" t="s">
        <v>120</v>
      </c>
      <c r="E72" s="62">
        <f>SUM('[1]Actual Expenditure 2018-19'!E539)</f>
        <v>0</v>
      </c>
      <c r="F72" s="62">
        <f>SUM('[1]Actual Expenditure 2018-19'!F539)</f>
        <v>0</v>
      </c>
      <c r="G72" s="62">
        <f>SUM('[1]Actual Expenditure 2018-19'!G539)</f>
        <v>0</v>
      </c>
      <c r="H72" s="62">
        <f>SUM('[1]Actual Expenditure 2018-19'!H539)</f>
        <v>0</v>
      </c>
      <c r="I72" s="62">
        <f>SUM('[1]Actual Expenditure 2018-19'!I539)</f>
        <v>0</v>
      </c>
      <c r="J72" s="62">
        <f>SUM('[1]Actual Expenditure 2018-19'!J539)</f>
        <v>0</v>
      </c>
      <c r="K72" s="62">
        <f>SUM('[1]Actual Expenditure 2018-19'!K539)</f>
        <v>0</v>
      </c>
      <c r="L72" s="62"/>
      <c r="M72" s="62">
        <f>SUM('[1]Actual Expenditure 2018-19'!L539)</f>
        <v>0</v>
      </c>
      <c r="N72" s="62">
        <f>SUM('[1]Actual Expenditure 2018-19'!M539)</f>
        <v>0</v>
      </c>
      <c r="O72" s="62">
        <f>SUM('[1]Actual Expenditure 2018-19'!N539)</f>
        <v>0</v>
      </c>
      <c r="P72" s="62">
        <f>SUM('[1]Actual Expenditure 2018-19'!O539)</f>
        <v>0</v>
      </c>
      <c r="Q72" s="62">
        <f>SUM('[1]Actual Expenditure 2018-19'!P539)</f>
        <v>0</v>
      </c>
      <c r="R72" s="62">
        <f>SUM('[1]Actual Expenditure 2018-19'!Q539)</f>
        <v>0</v>
      </c>
      <c r="S72" s="62">
        <f>SUM('[1]Actual Expenditure 2018-19'!R539)</f>
        <v>0</v>
      </c>
      <c r="T72" s="10"/>
      <c r="U72" s="10"/>
      <c r="V72" s="62">
        <v>0</v>
      </c>
      <c r="W72" s="10"/>
      <c r="X72" s="10"/>
      <c r="Y72" s="10"/>
      <c r="Z72" s="10"/>
      <c r="AA72" s="10"/>
      <c r="AB72" s="10"/>
      <c r="AC72" s="10"/>
      <c r="AD72" s="15"/>
      <c r="AE72" s="10"/>
      <c r="AF72" s="10"/>
      <c r="AG72" s="10"/>
      <c r="AH72" s="10"/>
      <c r="AI72" s="10"/>
      <c r="AJ72" s="62">
        <v>0</v>
      </c>
      <c r="AK72" s="10"/>
      <c r="AL72" s="62">
        <v>0</v>
      </c>
      <c r="AM72" s="62"/>
      <c r="AN72" s="62">
        <v>6524</v>
      </c>
      <c r="AO72" s="62"/>
      <c r="AP72" s="62">
        <v>8372</v>
      </c>
      <c r="AQ72" s="62"/>
      <c r="AR72" s="62">
        <v>8438</v>
      </c>
      <c r="AT72" s="62">
        <v>8662</v>
      </c>
      <c r="AU72" s="62"/>
      <c r="AV72" s="65">
        <v>8998</v>
      </c>
      <c r="AX72" s="65">
        <v>9585</v>
      </c>
      <c r="AY72" s="65"/>
      <c r="AZ72" s="65">
        <v>10608</v>
      </c>
      <c r="BC72" s="65">
        <v>11698</v>
      </c>
      <c r="BD72" s="65"/>
      <c r="BE72" s="65"/>
      <c r="BF72" s="65">
        <v>0</v>
      </c>
      <c r="BG72" s="65"/>
      <c r="BH72" s="65"/>
      <c r="BI72" s="65">
        <v>0</v>
      </c>
      <c r="BJ72" s="65"/>
      <c r="BK72" s="65"/>
      <c r="BL72" s="1"/>
    </row>
    <row r="73" spans="1:64" ht="18" x14ac:dyDescent="0.4">
      <c r="A73" s="1"/>
      <c r="B73" s="4"/>
      <c r="C73" s="66"/>
      <c r="D73" s="25" t="s">
        <v>121</v>
      </c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10"/>
      <c r="S73" s="62"/>
      <c r="T73" s="10"/>
      <c r="U73" s="10"/>
      <c r="V73" s="62"/>
      <c r="W73" s="10"/>
      <c r="X73" s="10"/>
      <c r="Y73" s="10"/>
      <c r="Z73" s="10"/>
      <c r="AA73" s="10"/>
      <c r="AB73" s="10"/>
      <c r="AC73" s="10"/>
      <c r="AD73" s="15"/>
      <c r="AE73" s="10"/>
      <c r="AF73" s="10"/>
      <c r="AG73" s="10"/>
      <c r="AH73" s="10"/>
      <c r="AI73" s="10"/>
      <c r="AJ73" s="62"/>
      <c r="AK73" s="10"/>
      <c r="AL73" s="62"/>
      <c r="AM73" s="62"/>
      <c r="AN73" s="62"/>
      <c r="AO73" s="62"/>
      <c r="AP73" s="62"/>
      <c r="AQ73" s="62"/>
      <c r="AR73" s="62"/>
      <c r="AT73" s="62"/>
      <c r="AU73" s="62"/>
      <c r="AV73" s="65"/>
      <c r="AX73" s="65"/>
      <c r="AY73" s="65"/>
      <c r="AZ73" s="65"/>
      <c r="BC73" s="65"/>
      <c r="BD73" s="65"/>
      <c r="BE73" s="65"/>
      <c r="BF73" s="65"/>
      <c r="BG73" s="65"/>
      <c r="BH73" s="65"/>
      <c r="BI73" s="65"/>
      <c r="BJ73" s="65"/>
      <c r="BK73" s="65"/>
    </row>
    <row r="74" spans="1:64" ht="18" x14ac:dyDescent="0.4">
      <c r="A74" s="1"/>
      <c r="B74" s="1"/>
      <c r="C74" s="25">
        <v>3606</v>
      </c>
      <c r="D74" s="25" t="s">
        <v>122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5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T74" s="10"/>
      <c r="AU74" s="10"/>
    </row>
    <row r="75" spans="1:64" ht="17.5" x14ac:dyDescent="0.35">
      <c r="A75" s="1">
        <f>SUM('[1]Actual Expenditure 2018-19'!A547)</f>
        <v>0</v>
      </c>
      <c r="B75" s="4">
        <f>SUM('[1]Actual Expenditure 2018-19'!B547)</f>
        <v>0</v>
      </c>
      <c r="C75" s="10">
        <v>70</v>
      </c>
      <c r="D75" s="10" t="s">
        <v>115</v>
      </c>
      <c r="E75" s="62">
        <f>SUM('[1]Actual Expenditure 2018-19'!E547)</f>
        <v>0</v>
      </c>
      <c r="F75" s="62">
        <f>SUM('[1]Actual Expenditure 2018-19'!F547)</f>
        <v>0</v>
      </c>
      <c r="G75" s="62">
        <f>SUM('[1]Actual Expenditure 2018-19'!G547)</f>
        <v>0</v>
      </c>
      <c r="H75" s="62">
        <f>SUM('[1]Actual Expenditure 2018-19'!H547)</f>
        <v>0</v>
      </c>
      <c r="I75" s="62">
        <f>SUM('[1]Actual Expenditure 2018-19'!I547)</f>
        <v>0</v>
      </c>
      <c r="J75" s="62">
        <f>SUM('[1]Actual Expenditure 2018-19'!J547)</f>
        <v>0</v>
      </c>
      <c r="K75" s="62">
        <f>SUM('[1]Actual Expenditure 2018-19'!K547)</f>
        <v>0</v>
      </c>
      <c r="L75" s="62"/>
      <c r="M75" s="62">
        <f>SUM('[1]Actual Expenditure 2018-19'!L547)</f>
        <v>0</v>
      </c>
      <c r="N75" s="62">
        <f>SUM('[1]Actual Expenditure 2018-19'!M547)</f>
        <v>0</v>
      </c>
      <c r="O75" s="62">
        <f>SUM('[1]Actual Expenditure 2018-19'!N547)</f>
        <v>0</v>
      </c>
      <c r="P75" s="62">
        <f>SUM('[1]Actual Expenditure 2018-19'!O547)</f>
        <v>0</v>
      </c>
      <c r="Q75" s="62">
        <f>SUM('[1]Actual Expenditure 2018-19'!P547)</f>
        <v>0</v>
      </c>
      <c r="R75" s="10">
        <f>SUM('[1]Actual Expenditure 2018-19'!Q547)</f>
        <v>0</v>
      </c>
      <c r="S75" s="62">
        <f>SUM('[1]Actual Expenditure 2018-19'!R547)</f>
        <v>0</v>
      </c>
      <c r="T75" s="10"/>
      <c r="U75" s="10"/>
      <c r="V75" s="62">
        <f>SUM('[1]Actual Expenditure 2018-19'!U547)</f>
        <v>0</v>
      </c>
      <c r="W75" s="10"/>
      <c r="X75" s="10"/>
      <c r="Y75" s="10"/>
      <c r="Z75" s="10"/>
      <c r="AA75" s="10"/>
      <c r="AB75" s="10"/>
      <c r="AC75" s="10"/>
      <c r="AD75" s="15"/>
      <c r="AE75" s="10"/>
      <c r="AF75" s="10"/>
      <c r="AG75" s="10"/>
      <c r="AH75" s="10"/>
      <c r="AI75" s="10"/>
      <c r="AJ75" s="62">
        <v>0</v>
      </c>
      <c r="AK75" s="10"/>
      <c r="AL75" s="62">
        <v>0</v>
      </c>
      <c r="AM75" s="62"/>
      <c r="AN75" s="62">
        <v>0</v>
      </c>
      <c r="AO75" s="62"/>
      <c r="AP75" s="62">
        <v>0</v>
      </c>
      <c r="AQ75" s="62"/>
      <c r="AR75" s="62">
        <v>0</v>
      </c>
      <c r="AT75" s="62">
        <v>0</v>
      </c>
      <c r="AU75" s="62"/>
      <c r="AV75" s="65">
        <v>0</v>
      </c>
      <c r="AX75" s="65">
        <v>0</v>
      </c>
      <c r="AY75" s="65"/>
      <c r="AZ75" s="65">
        <v>0</v>
      </c>
      <c r="BC75" s="65">
        <v>0</v>
      </c>
      <c r="BD75" s="65"/>
      <c r="BE75" s="65"/>
      <c r="BF75" s="65">
        <v>0</v>
      </c>
      <c r="BG75" s="65"/>
      <c r="BH75" s="65"/>
      <c r="BI75" s="65">
        <v>0</v>
      </c>
      <c r="BJ75" s="65"/>
      <c r="BK75" s="65"/>
    </row>
    <row r="76" spans="1:64" ht="17.5" x14ac:dyDescent="0.35">
      <c r="A76" s="1"/>
      <c r="B76" s="1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5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T76" s="10"/>
      <c r="AU76" s="10"/>
    </row>
    <row r="77" spans="1:64" ht="18" x14ac:dyDescent="0.4">
      <c r="A77" s="67">
        <f>SUM(A69+A75)</f>
        <v>-5000</v>
      </c>
      <c r="B77" s="67">
        <f>SUM(B69+B75)</f>
        <v>-5000</v>
      </c>
      <c r="C77" s="10"/>
      <c r="D77" s="25" t="s">
        <v>123</v>
      </c>
      <c r="E77" s="58">
        <f>SUM(E69+E75)</f>
        <v>-5000</v>
      </c>
      <c r="F77" s="58">
        <f>SUM(F69+F75)</f>
        <v>-5000</v>
      </c>
      <c r="G77" s="58">
        <f>SUM(G69+G75)</f>
        <v>1475</v>
      </c>
      <c r="H77" s="58">
        <f>SUM(H69+H75)</f>
        <v>0</v>
      </c>
      <c r="I77" s="58">
        <f t="shared" ref="I77:O77" si="61">SUM(I69+I72+I75)</f>
        <v>0</v>
      </c>
      <c r="J77" s="58">
        <f t="shared" si="61"/>
        <v>0</v>
      </c>
      <c r="K77" s="58">
        <f t="shared" si="61"/>
        <v>19295</v>
      </c>
      <c r="L77" s="58"/>
      <c r="M77" s="58">
        <f t="shared" si="61"/>
        <v>-34586</v>
      </c>
      <c r="N77" s="58">
        <f t="shared" si="61"/>
        <v>0</v>
      </c>
      <c r="O77" s="58">
        <f t="shared" si="61"/>
        <v>0</v>
      </c>
      <c r="P77" s="58">
        <f>SUM(P69:P76)</f>
        <v>0</v>
      </c>
      <c r="Q77" s="58">
        <f>SUM(Q69+Q75)</f>
        <v>0</v>
      </c>
      <c r="R77" s="58">
        <f>SUM(R69+R72)</f>
        <v>0</v>
      </c>
      <c r="S77" s="58">
        <f>SUM(S69+S75)</f>
        <v>0</v>
      </c>
      <c r="T77" s="10"/>
      <c r="U77" s="10"/>
      <c r="V77" s="58">
        <f>SUM(V69+V72+V75)</f>
        <v>0</v>
      </c>
      <c r="W77" s="10"/>
      <c r="X77" s="10"/>
      <c r="Y77" s="10"/>
      <c r="Z77" s="10"/>
      <c r="AA77" s="10"/>
      <c r="AB77" s="10"/>
      <c r="AC77" s="10"/>
      <c r="AD77" s="15"/>
      <c r="AE77" s="10"/>
      <c r="AF77" s="10"/>
      <c r="AG77" s="10"/>
      <c r="AH77" s="10"/>
      <c r="AI77" s="10"/>
      <c r="AJ77" s="58">
        <f>SUM(AJ69:AJ76)</f>
        <v>1085</v>
      </c>
      <c r="AK77" s="10"/>
      <c r="AL77" s="58">
        <f>SUM(AL69:AL76)</f>
        <v>2261</v>
      </c>
      <c r="AM77" s="58"/>
      <c r="AN77" s="58">
        <f>SUM(AN69:AN76)</f>
        <v>6926</v>
      </c>
      <c r="AO77" s="58"/>
      <c r="AP77" s="58">
        <f>SUM(AP69:AP76)</f>
        <v>8793</v>
      </c>
      <c r="AQ77" s="58"/>
      <c r="AR77" s="58">
        <f>SUM(AR69:AR76)</f>
        <v>8664</v>
      </c>
      <c r="AT77" s="58">
        <f>SUM(AT69:AT76)</f>
        <v>9211</v>
      </c>
      <c r="AU77" s="58"/>
      <c r="AV77" s="68">
        <f>SUM(AV69:AV76)</f>
        <v>9557</v>
      </c>
      <c r="AX77" s="68">
        <f>SUM(AX69:AX76)</f>
        <v>10153</v>
      </c>
      <c r="AY77" s="68"/>
      <c r="AZ77" s="68">
        <f>SUM(AZ69:AZ76)</f>
        <v>11196</v>
      </c>
      <c r="BC77" s="68">
        <f>SUM(BC69:BC76)</f>
        <v>12288</v>
      </c>
      <c r="BD77" s="68"/>
      <c r="BE77" s="68"/>
      <c r="BF77" s="68">
        <f>SUM(BF69:BF76)</f>
        <v>0</v>
      </c>
      <c r="BG77" s="68"/>
      <c r="BH77" s="68"/>
      <c r="BI77" s="68">
        <f>SUM(BI69:BI76)</f>
        <v>0</v>
      </c>
      <c r="BJ77" s="68"/>
      <c r="BK77" s="68"/>
    </row>
    <row r="78" spans="1:64" ht="17.5" x14ac:dyDescent="0.35">
      <c r="A78" s="1"/>
      <c r="B78" s="1"/>
      <c r="C78" s="1"/>
      <c r="D78" s="1"/>
      <c r="E78" s="1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69"/>
      <c r="AE78" s="1"/>
      <c r="AF78" s="1"/>
      <c r="AG78" s="1"/>
      <c r="AH78" s="1"/>
      <c r="AI78" s="1"/>
      <c r="AJ78" s="1"/>
      <c r="AK78" s="1"/>
      <c r="AL78" s="62"/>
      <c r="AM78" s="62"/>
      <c r="AN78" s="62"/>
      <c r="AO78" s="62"/>
      <c r="AP78" s="62"/>
      <c r="AQ78" s="62"/>
      <c r="AR78" s="62"/>
      <c r="AS78" s="1"/>
      <c r="AT78" s="1"/>
      <c r="AU78" s="1"/>
    </row>
    <row r="79" spans="1:64" ht="15.5" x14ac:dyDescent="0.35">
      <c r="A79" s="1"/>
    </row>
    <row r="80" spans="1:64" ht="15.5" x14ac:dyDescent="0.35">
      <c r="A80" s="1"/>
    </row>
    <row r="81" spans="1:1" ht="15.5" x14ac:dyDescent="0.35">
      <c r="A81" s="1"/>
    </row>
    <row r="82" spans="1:1" ht="15.5" x14ac:dyDescent="0.35">
      <c r="A82" s="67"/>
    </row>
    <row r="83" spans="1:1" ht="15.5" x14ac:dyDescent="0.35">
      <c r="A83" s="1"/>
    </row>
    <row r="84" spans="1:1" ht="15.5" x14ac:dyDescent="0.35">
      <c r="A84" s="1"/>
    </row>
    <row r="85" spans="1:1" ht="15.5" x14ac:dyDescent="0.35">
      <c r="A85" s="1"/>
    </row>
    <row r="86" spans="1:1" ht="15.5" x14ac:dyDescent="0.35">
      <c r="A86" s="1"/>
    </row>
    <row r="87" spans="1:1" ht="15.5" x14ac:dyDescent="0.35">
      <c r="A87" s="1"/>
    </row>
    <row r="88" spans="1:1" ht="15.5" x14ac:dyDescent="0.35">
      <c r="A88" s="1"/>
    </row>
    <row r="89" spans="1:1" ht="15.5" x14ac:dyDescent="0.35">
      <c r="A89" s="1"/>
    </row>
    <row r="90" spans="1:1" ht="15.5" x14ac:dyDescent="0.35">
      <c r="A90" s="1"/>
    </row>
    <row r="91" spans="1:1" ht="15.5" x14ac:dyDescent="0.35">
      <c r="A91" s="1"/>
    </row>
    <row r="92" spans="1:1" ht="15.5" x14ac:dyDescent="0.35">
      <c r="A92" s="1"/>
    </row>
    <row r="93" spans="1:1" ht="15.5" x14ac:dyDescent="0.35">
      <c r="A93" s="1"/>
    </row>
    <row r="94" spans="1:1" ht="15.5" x14ac:dyDescent="0.35">
      <c r="A94" s="1"/>
    </row>
    <row r="95" spans="1:1" ht="15.5" x14ac:dyDescent="0.35">
      <c r="A95" s="1"/>
    </row>
    <row r="96" spans="1:1" ht="15.5" x14ac:dyDescent="0.35">
      <c r="A96" s="1"/>
    </row>
    <row r="97" spans="1:1" ht="15.5" x14ac:dyDescent="0.35">
      <c r="A97" s="1"/>
    </row>
    <row r="98" spans="1:1" ht="15.5" x14ac:dyDescent="0.35">
      <c r="A98" s="67"/>
    </row>
    <row r="99" spans="1:1" ht="15.5" x14ac:dyDescent="0.35">
      <c r="A99" s="67"/>
    </row>
    <row r="100" spans="1:1" ht="15.5" x14ac:dyDescent="0.35">
      <c r="A100" s="69"/>
    </row>
    <row r="101" spans="1:1" ht="15.5" x14ac:dyDescent="0.35">
      <c r="A101" s="67"/>
    </row>
    <row r="102" spans="1:1" ht="15.5" x14ac:dyDescent="0.35">
      <c r="A102" s="1"/>
    </row>
    <row r="103" spans="1:1" ht="15.5" x14ac:dyDescent="0.35">
      <c r="A103" s="1"/>
    </row>
    <row r="104" spans="1:1" ht="15.5" x14ac:dyDescent="0.35">
      <c r="A104" s="1"/>
    </row>
    <row r="105" spans="1:1" ht="15.5" x14ac:dyDescent="0.35">
      <c r="A105" s="1"/>
    </row>
    <row r="106" spans="1:1" ht="15.5" x14ac:dyDescent="0.35">
      <c r="A106" s="1"/>
    </row>
    <row r="107" spans="1:1" ht="15.5" x14ac:dyDescent="0.35">
      <c r="A107" s="1"/>
    </row>
    <row r="108" spans="1:1" ht="15.5" x14ac:dyDescent="0.35">
      <c r="A108" s="1"/>
    </row>
    <row r="109" spans="1:1" ht="15.5" x14ac:dyDescent="0.35">
      <c r="A109" s="67"/>
    </row>
    <row r="110" spans="1:1" ht="15.5" x14ac:dyDescent="0.35">
      <c r="A110" s="1"/>
    </row>
    <row r="111" spans="1:1" ht="15.5" x14ac:dyDescent="0.35">
      <c r="A111" s="1"/>
    </row>
    <row r="112" spans="1:1" ht="15.5" x14ac:dyDescent="0.35">
      <c r="A112" s="1"/>
    </row>
    <row r="113" spans="1:1" ht="15.5" x14ac:dyDescent="0.35">
      <c r="A113" s="1"/>
    </row>
    <row r="114" spans="1:1" ht="15.5" x14ac:dyDescent="0.35">
      <c r="A114" s="1"/>
    </row>
    <row r="115" spans="1:1" ht="15.5" x14ac:dyDescent="0.35">
      <c r="A115" s="1"/>
    </row>
    <row r="116" spans="1:1" ht="15.5" x14ac:dyDescent="0.35">
      <c r="A116" s="67"/>
    </row>
    <row r="117" spans="1:1" ht="15.5" x14ac:dyDescent="0.35">
      <c r="A117" s="67"/>
    </row>
    <row r="118" spans="1:1" ht="15.5" x14ac:dyDescent="0.35">
      <c r="A118" s="69"/>
    </row>
    <row r="119" spans="1:1" ht="15.5" x14ac:dyDescent="0.35">
      <c r="A119" s="67"/>
    </row>
    <row r="120" spans="1:1" ht="15.5" x14ac:dyDescent="0.35">
      <c r="A120" s="1"/>
    </row>
    <row r="121" spans="1:1" ht="15.5" x14ac:dyDescent="0.35">
      <c r="A121" s="1"/>
    </row>
    <row r="122" spans="1:1" ht="15.5" x14ac:dyDescent="0.35">
      <c r="A122" s="1"/>
    </row>
    <row r="123" spans="1:1" ht="15.5" x14ac:dyDescent="0.35">
      <c r="A123" s="1"/>
    </row>
  </sheetData>
  <printOptions horizontalCentered="1" gridLines="1"/>
  <pageMargins left="0.51181102362204722" right="0.51181102362204722" top="0.15748031496062992" bottom="0.15748031496062992" header="0.19685039370078741" footer="0.15748031496062992"/>
  <pageSetup paperSize="9" scale="53" fitToWidth="2" fitToHeight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Object Head wise Statement</vt:lpstr>
      <vt:lpstr>'Object Head wise Statement'!Print_Area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RAKESH K MATHUR</cp:lastModifiedBy>
  <cp:lastPrinted>2020-02-03T07:53:19Z</cp:lastPrinted>
  <dcterms:created xsi:type="dcterms:W3CDTF">2020-01-29T11:54:39Z</dcterms:created>
  <dcterms:modified xsi:type="dcterms:W3CDTF">2020-02-12T07:07:48Z</dcterms:modified>
</cp:coreProperties>
</file>