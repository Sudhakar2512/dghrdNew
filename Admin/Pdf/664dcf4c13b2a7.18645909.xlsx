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8800" windowHeight="12435"/>
  </bookViews>
  <sheets>
    <sheet name="Sanctioned 2021-22" sheetId="21" r:id="rId1"/>
  </sheets>
  <definedNames>
    <definedName name="_xlnm._FilterDatabase" localSheetId="0" hidden="1">'Sanctioned 2021-22'!$A$2:$I$27</definedName>
    <definedName name="_xlnm.Print_Area" localSheetId="0">'Sanctioned 2021-22'!$A$1:$I$27</definedName>
    <definedName name="_xlnm.Print_Titles" localSheetId="0">'Sanctioned 2021-22'!$2:$2</definedName>
  </definedNames>
  <calcPr calcId="124519"/>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F24" i="21"/>
  <c r="D27" l="1"/>
  <c r="C27"/>
</calcChain>
</file>

<file path=xl/sharedStrings.xml><?xml version="1.0" encoding="utf-8"?>
<sst xmlns="http://schemas.openxmlformats.org/spreadsheetml/2006/main" count="142" uniqueCount="123">
  <si>
    <t>S. No.</t>
  </si>
  <si>
    <t>File No.</t>
  </si>
  <si>
    <t>Area (in sq.ft.)</t>
  </si>
  <si>
    <t>Subject</t>
  </si>
  <si>
    <t>Amount</t>
  </si>
  <si>
    <t>Comm'te</t>
  </si>
  <si>
    <t>Sanction Order No.</t>
  </si>
  <si>
    <t>REVISION</t>
  </si>
  <si>
    <t>Annual Amount</t>
  </si>
  <si>
    <t>TOTAL</t>
  </si>
  <si>
    <t>REVISION=</t>
  </si>
  <si>
    <t>Commissioner of Central GST &amp; Central Excise, Thane</t>
  </si>
  <si>
    <t>INITIAL</t>
  </si>
  <si>
    <t>REVISION/INITIAL</t>
  </si>
  <si>
    <t>INITIAL=</t>
  </si>
  <si>
    <t>InW/Hir/RP/CGST/27/2020-HRNG</t>
  </si>
  <si>
    <t xml:space="preserve">CGST Commissionerate Ghaziabad </t>
  </si>
  <si>
    <t>Rs. 10,63,76,706/- (Arrears)</t>
  </si>
  <si>
    <t>RENT/01/SANCTION/2021-22 dated 25.05.2021</t>
  </si>
  <si>
    <t>InW/Hir/RP/DIR/3/2021-HRNG</t>
  </si>
  <si>
    <t xml:space="preserve">NACIN Zonal Campus Cochin </t>
  </si>
  <si>
    <t>Rs. 295000/- p.m.
Rs.35,40,000/- p.a.
Rs.1,06,20,000/- for 3 years</t>
  </si>
  <si>
    <t>RENT/02/SANCTION/2021-22 dated 04.06.2021</t>
  </si>
  <si>
    <r>
      <rPr>
        <b/>
        <sz val="10"/>
        <color rgb="FF000000"/>
        <rFont val="Bookman Old Style"/>
        <family val="1"/>
      </rPr>
      <t>New File-InW/Hir/IP/CGST/5/2020-HRNG</t>
    </r>
    <r>
      <rPr>
        <sz val="10"/>
        <color rgb="FF000000"/>
        <rFont val="Bookman Old Style"/>
        <family val="1"/>
      </rPr>
      <t xml:space="preserve">
Old File-924/05/Hiring/CGST/Bhavnagar/HRD/2020-21</t>
    </r>
  </si>
  <si>
    <t>Commissioner of CGST, GST Bhawan, Bhavnagar</t>
  </si>
  <si>
    <t>Bharuch</t>
  </si>
  <si>
    <r>
      <rPr>
        <b/>
        <sz val="10"/>
        <rFont val="Bookman Old Style"/>
        <family val="1"/>
      </rPr>
      <t>New File-InW/RP/CGST/6/2020</t>
    </r>
    <r>
      <rPr>
        <sz val="10"/>
        <rFont val="Bookman Old Style"/>
        <family val="1"/>
      </rPr>
      <t xml:space="preserve"> Old File-924/25/Hiring/Vadodara-II/Bharuch Div./HRD/2019-20</t>
    </r>
  </si>
  <si>
    <t>Rs. 1,72,240/- p.m.
Rs.20,66,880/- p.a.
Rs.62,00,640/- for 3 years</t>
  </si>
  <si>
    <t>RENT/03/SANCTION/2021-22 dated 17.06.2021</t>
  </si>
  <si>
    <t>RENT/04/SANCTION/2021-22 dated 17.06.2021</t>
  </si>
  <si>
    <t>InW/Hir/RP/DIR/2/2021-HRNG</t>
  </si>
  <si>
    <t>NACIN Visakhapatnam</t>
  </si>
  <si>
    <t>Rs. 4,99,438/- p.m.
Rs.59,93,256/- p.a.
Rs.1,79,79,768/- for 3 years</t>
  </si>
  <si>
    <t>RENT/05/SANCTION/2021-22 dated 19.07.2021</t>
  </si>
  <si>
    <t>Rs. 8,02,802/- p.m.
Rs.9633624/- p.a.
Rs.28900872/- for 3 years</t>
  </si>
  <si>
    <t>InW/Hir/RP/CGST/14/2021-HRNG</t>
  </si>
  <si>
    <t>Coimbatore for Cirle-I &amp; II of GST Audit Commissionerate, Coimbatore</t>
  </si>
  <si>
    <t>RENT/07/SANCTION/2021-22 dated 28.07.2021</t>
  </si>
  <si>
    <t>Rs. 5,59,883/- p.m.
Rs.67,18,596/- p.a.
Rs.2,01,55,788/- for 3 years</t>
  </si>
  <si>
    <t>New File-InW/RP/CGST/12/2020 Old File-924/34/Hiring/Visakhapatnam South Division/HRD/2019-20</t>
  </si>
  <si>
    <t>Pr. Commissioner of Central Tax, Visakhapatnam</t>
  </si>
  <si>
    <t>Rs. 1,93,162/- p.m.
Rs.23,17,944/- p.a.
Rs.69,53,832/- for 3 years</t>
  </si>
  <si>
    <t>RENT/10/SANCTION/2021-22 dated 29.07.2021</t>
  </si>
  <si>
    <t>Proposal for renewal of lease agreement for continued hiring of office space for D.No.47-11-7, S.V. C Complex, 3rd &amp; 5th Floor, Dwarka Nagar, Visakhapatnam of  Visakhapatnam South CGST Division for a further period of 3 years from 01.08.2018 to 37.07.2021.</t>
  </si>
  <si>
    <t>RENT/08/SANCTION/2021-22 dated 03.08.2021</t>
  </si>
  <si>
    <t>Rs. 12,04,804/- p.m.
Rs.1,44,57,648/- p.a.
Rs.4,33,72,944/- for 3 years</t>
  </si>
  <si>
    <t>Headquarter of CGST Kutch (Gandhidham) Commissionerate</t>
  </si>
  <si>
    <t>InW/Hir/RP/CGST/19/2021-HRNG</t>
  </si>
  <si>
    <t>InW/Hir/RP/CUS/2/2021-HRNG</t>
  </si>
  <si>
    <t>Proposal for Renewal of rent agreement of office building occupied by Imphal Customs Division (w.e.f. 01.03.2019 to 28.02.2022)</t>
  </si>
  <si>
    <t>Rs. 2,29,681/- p.m.
Rs.27,56,172/- p.a.
Rs.82,68,516/- for 3 years</t>
  </si>
  <si>
    <t>Imphal Customs Division</t>
  </si>
  <si>
    <t>RENT/11/SANCTION/2021-22 dated 04.08.2021</t>
  </si>
  <si>
    <t>InW/Hir/RP/CGST/24/2020-HRNG</t>
  </si>
  <si>
    <t xml:space="preserve">Pr. Commissioner of CGST,
Palghar GST Commissionerate
</t>
  </si>
  <si>
    <t xml:space="preserve">Proposal for renewal of lease agreement for the office accommodation of Division-IV &amp; V, CGST, Palghar at 1st and 2nd Floor of Hrishikesh Apartment, Palghar-Boisar Road, Boisar (W) for the period from 01.02.2020 to 31.01.2023. </t>
  </si>
  <si>
    <t>Rs. 3,02,798/- p.m.
Rs.36,33,576/- p.a.
Rs.82,68,516/- for 3 years</t>
  </si>
  <si>
    <t>Proposal for renewal of lease agreement for continued hiring of office space situated at Plot No. 82, Sector-8, Opp. Ramleela Maidan, Gandhidham for Headquarter of CGST Kutch (Gandhidham) Commissionerate  for the period from 01.06.2021 to 31.05.2024</t>
  </si>
  <si>
    <t>Administrative approval &amp; expenditure sanction for payment of outstanding license fee to the Directorate of Estates for occupying office area ademeasuring 86596 sq. ft. plinth area situated at CGO Complex-I &amp; II, Kamla Nagar, Ghaziabad for the period  from 01.04.2017 to  31.03.2021.</t>
  </si>
  <si>
    <t xml:space="preserve">Proposal for renewal of lease agreement for continued hiring of office accommodation located at 3rd &amp; 4th Floors, M.T. Plaza, Kaloor, Kadavanthra Road, Cochin occupied by NACIN Zonal Campus, Cochin for a further period of 3 years from 26.03.2021 to 25.03.2024 </t>
  </si>
  <si>
    <t xml:space="preserve">Proposal for renewal of lease agreement for continued hiring of office accommodation located at 2nd Floor, R.K. casta Corporate House, Near Healing Touch Hospital, Station Road, Bharuch occupied by CGST Vadodara-II  for a further period of 3 years from 01.05.2019 to 30.04.2022
</t>
  </si>
  <si>
    <t>Proposal for initial hiring of office space at 3rd Floor, Himalaya Complex, above Himalaya Mall, Opp. Victoria Park, Bhavnagar for CGST HQ, Bhavnagar-Division, Bhavanagar-2, CGST Division, Bhavanagar-3 (Amreli) and Audit Circle-IV, Bhavanagar (under Rajkot Commissionerate) for a period of three years</t>
  </si>
  <si>
    <t xml:space="preserve">Proposal for renewal of lease agreement for continued hiring of office accommodation located at D.No.45-57-21, 3rd &amp;4th Floor, Sriya Complex, Narasimhanagar, Visakhapatnam occupied by NACIN Zonal Campus Visakhapatnam for a further period of 3 years from 21.05.2021 to 20.05.2024 </t>
  </si>
  <si>
    <t xml:space="preserve">Proposal for renewal of lease agreement for continued hiring of office space located at Rakavis Towers, No. 1065-1066, Trichy Road, Ramanathapuram, Coimbatore for Circle-I &amp; II of GST Audit Commissionerate, Coimbatore for further period of 3 years from 20.04.2021 to 19.04.2024 </t>
  </si>
  <si>
    <t>New File-InW/Hir/RP/CGST/16/2020-HRNG
Old File-924/11/Hiring/ /CGST Div.-3/Bhavnagar/HRD/2020-21</t>
  </si>
  <si>
    <t>Proposal for renewal of lease agreement of the existing office premises of Central GST Division, Bhavnagar-3 (Amreli) located at  3rd Floor, “Silver Arc” Building, Waghawadi Road, Bhavnagar from 16.11.2018 to 15.11.2021</t>
  </si>
  <si>
    <t>RENT/12/SANCTION/2021-22 dated 18.08.2021</t>
  </si>
  <si>
    <t>Rs. 2,84,000/- p.m.
Rs.34,08,000/- p.a.
Rs.1,02,24,000/- for 3 years</t>
  </si>
  <si>
    <t>Commissioner of Central GST, Bhavnagar-3</t>
  </si>
  <si>
    <t>InW/Hir/RP/CGST/03/2021-HRNG</t>
  </si>
  <si>
    <t>CGST Commissionerate, Delhi North</t>
  </si>
  <si>
    <t>InW/Hir/RP/CUS/3/2021-HRNG</t>
  </si>
  <si>
    <t>Pr. Commissioner Customs (Prev.), Mumbai</t>
  </si>
  <si>
    <t>924 sq.mtrs. (9945.936 sq.ft.)</t>
  </si>
  <si>
    <t>InW/Hir/RP/CGST/18/2021-HRNG</t>
  </si>
  <si>
    <t xml:space="preserve">Proposal for revision of rent for office of the Commissioner of CGST Audit Commissionerate, Dehradun and its 02 Circles located at 3D Plaza, Near Ambiwala Gurudwara, Dharampur Danda, Dehradun for a further period of 3 years from 25.03.2021 to 26.03.2024 </t>
  </si>
  <si>
    <t>CGST Audit Commissionerate, Dehradun</t>
  </si>
  <si>
    <t>Rs. 7,06,860/- Arrears</t>
  </si>
  <si>
    <t>Rs. 3,77,458/- p.m.
Rs.45,29,496/- p.a.
Rs.1,35,88,488/- for 3 years</t>
  </si>
  <si>
    <t>RENT/13/SANCTION/2021-22 dated 25.08.2021</t>
  </si>
  <si>
    <t xml:space="preserve">Rs. 3,74,220/- p.m.
Rs.44,90,640/- p.a.
</t>
  </si>
  <si>
    <t>RENT/14/SANCTION/2021-22 dated 25.08.2021</t>
  </si>
  <si>
    <r>
      <t xml:space="preserve">Proposal for approval of revision of rent in respect of CWC Godown at Vashi </t>
    </r>
    <r>
      <rPr>
        <b/>
        <sz val="10"/>
        <color rgb="FF000000"/>
        <rFont val="Bookman Old Style"/>
        <family val="1"/>
      </rPr>
      <t>from 01.07.2020 for one year</t>
    </r>
  </si>
  <si>
    <r>
      <t>Proposal for revision of rent of office space at 5</t>
    </r>
    <r>
      <rPr>
        <vertAlign val="superscript"/>
        <sz val="10"/>
        <color theme="1"/>
        <rFont val="Bookman Old Style"/>
        <family val="1"/>
      </rPr>
      <t>th</t>
    </r>
    <r>
      <rPr>
        <sz val="10"/>
        <color theme="1"/>
        <rFont val="Bookman Old Style"/>
        <family val="1"/>
      </rPr>
      <t xml:space="preserve"> Floor, Hotel Samrat (a unit of ITDC), Kautilya Marg, Chanakyapuri, New Delhi for Indirect Tax Ombudsman (</t>
    </r>
    <r>
      <rPr>
        <b/>
        <sz val="10"/>
        <color theme="1"/>
        <rFont val="Bookman Old Style"/>
        <family val="1"/>
      </rPr>
      <t>Rs.706860 Arrears</t>
    </r>
    <r>
      <rPr>
        <sz val="10"/>
        <color theme="1"/>
        <rFont val="Bookman Old Style"/>
        <family val="1"/>
      </rPr>
      <t>) w.e.f. 01.11.2015 to 30.04.2017</t>
    </r>
  </si>
  <si>
    <t>RENT/15/SANCTION/2021-22 dated 25.08.2021</t>
  </si>
  <si>
    <r>
      <t xml:space="preserve">RENT/12/SANCTION/2021-22 dated 03.08.2021
</t>
    </r>
    <r>
      <rPr>
        <b/>
        <sz val="10"/>
        <color theme="1"/>
        <rFont val="Bookman Old Style"/>
        <family val="1"/>
      </rPr>
      <t>(RENT/9/SANCTION/2021-22 dated 02.09.2021 Corrigendum)</t>
    </r>
  </si>
  <si>
    <t>InW/Hir/RP/DIR/8/2021-HRNG</t>
  </si>
  <si>
    <t>Proposal for renewal of lease agreement for continued hiring of office space at Rajendra Bhawan Trust, 4th Floor, Rajendra Bhawan, 210, Deen Dayal Upadhyay Marg, New Delhi for Directorate of legal Affairs for the period from 16.07.2020 to 15.07.2023</t>
  </si>
  <si>
    <t>Rs. 4,10,381/- p.m.
Rs.49,24,572/- p.a.
Rs.1,47,73,716/- for 3 years</t>
  </si>
  <si>
    <t>Directorate of legal Affairs</t>
  </si>
  <si>
    <t>RENT/21/SANCTION/2021-22 dated 08.09.2021</t>
  </si>
  <si>
    <t>InW/Hir/RP/DIR/6/2021-HRNG</t>
  </si>
  <si>
    <t>Proposal for renewal of lease agreement for continued hiring of office accommodation for DGGI, Belagavi, Zonal Unit  for further period of 3 years from 01.02.2021 to 31.01.2024</t>
  </si>
  <si>
    <t>DGGI, Belagavi Zonal Unit</t>
  </si>
  <si>
    <t>RENT/22/SANCTION/2021-22 dated 08.09.2021</t>
  </si>
  <si>
    <t>Rs. 2,67,294/- p.m.
Rs.32,07,528/- p.a.
Rs.96,22,584/- for 3 years</t>
  </si>
  <si>
    <t>InW/Hir/RP/CGST/9/2021-HRNG</t>
  </si>
  <si>
    <t xml:space="preserve">Proposal for renewal of lease agreement for continued hiring of office space located at 2nd Floor, OM Plaza City Servey No. 406,407 &amp; 408, Dharampur Road, Abrama, Valsad (Gujarat) for CGST Valsad Division for a further period of 3 years from 01.04.2020 to 31.03.2023  </t>
  </si>
  <si>
    <t>CGST &amp; CX Commissionerate, Surat</t>
  </si>
  <si>
    <t>RENT/19/SANCTION/2021-22 dated 08.09.2021</t>
  </si>
  <si>
    <t>Rs. 2,04,000/- p.m.
Rs.24,48,000/- p.a.
Rs.73,44,000/- for 3 years</t>
  </si>
  <si>
    <t>InW/Hir/RP/CGST/12/2021-HRNG</t>
  </si>
  <si>
    <t xml:space="preserve">Proposal for renewal of lease agreement of office premises situated at Siddhi Sadan Building, Narayan Upadhyay Marg, Bhavnagar for CGST Bhavnagar Commissionerate for a further period of 3 years from 01.11.2020 to 31.10.2023 </t>
  </si>
  <si>
    <t>RENT/20/SANCTION/2021-22 dated 08.09.2021</t>
  </si>
  <si>
    <t>17657.80 (1640.45 SQM.)</t>
  </si>
  <si>
    <t>Rs. 6,20,000/- p.m.
Rs.74,40,000/- p.a.
Rs.2,23,20,000/- for 3 years</t>
  </si>
  <si>
    <t>New File-Inw/Hir/RP/CGST/11/2020-HRNG Old File-924/59/Hiring/Navprabhat Chambers/Thane/HRD/2019-20</t>
  </si>
  <si>
    <t xml:space="preserve">Reassessment of monthly rent in respect of office premises situated at Navprabhat Chambers, Ranade Road, Dadar (West), Mumbai 400028 for further 2 months from 01.02.2021 to 31.03.2021 </t>
  </si>
  <si>
    <t xml:space="preserve">Rs. 31,91,023/- p.m.
Rs.63,82,046/- for two months.
</t>
  </si>
  <si>
    <t>RENT/16/SANCTION/2021-22 dated 08.09.2021</t>
  </si>
  <si>
    <t>16805 and 2192</t>
  </si>
  <si>
    <t>RENT/18/SANCTION/2021-22 dated 08.09.2021</t>
  </si>
  <si>
    <t>InW/Hir/RP/DIR/4/2021-HRNG</t>
  </si>
  <si>
    <t>Proposal for renewal of lease agreement for continued hiring of office accommodation for DRI, Zonal Unit, Ahmedabad for further period of 3 years from 01.02.2020 to 31.01.2023</t>
  </si>
  <si>
    <t xml:space="preserve">DRI Zonal Unit Ahmedabad </t>
  </si>
  <si>
    <t>Rs. 9,09,929/- p.m.
Rs.1,09,19,148/- p.a.
Rs.3,27,57,444/- for 3 years</t>
  </si>
  <si>
    <t>InW/Hir/RP/CGST/4/2020-HRNG</t>
  </si>
  <si>
    <t xml:space="preserve">Commissioner of CGST, Jodhpur </t>
  </si>
  <si>
    <t>RENT/17/SANCTION/2021-22 dated 08.09.2021</t>
  </si>
  <si>
    <t>27101.28
(2517.77 SQM.)</t>
  </si>
  <si>
    <t>Proposal for revision of rent of the rented building at Jodhpur for three Commissionerate i.e. GST &amp; CX Commissionerate, Jodhpur’, ‘GST &amp; CX Audit Commissionerate, Jodhpur’ &amp; ‘GST &amp; CX Appeals Commissionerate, Jodhpur’ for further period of 3 years from 001.09.2021 to 31.08.2023.</t>
  </si>
  <si>
    <t>Rs. 5,18,600/- p.m.
Rs.62,23,200/- p.a.
Rs.1,86,69,600/- for 3 years</t>
  </si>
  <si>
    <t>List of Proposal relating to hiring of initial/revision of rent sanctioned by the Ministry  1st April 2021 to 13th September, 2021</t>
  </si>
</sst>
</file>

<file path=xl/styles.xml><?xml version="1.0" encoding="utf-8"?>
<styleSheet xmlns="http://schemas.openxmlformats.org/spreadsheetml/2006/main">
  <fonts count="20">
    <font>
      <sz val="11"/>
      <color theme="1"/>
      <name val="Calibri"/>
      <family val="2"/>
      <scheme val="minor"/>
    </font>
    <font>
      <b/>
      <sz val="11"/>
      <color theme="1"/>
      <name val="Calibri"/>
      <family val="2"/>
      <scheme val="minor"/>
    </font>
    <font>
      <b/>
      <sz val="16"/>
      <color theme="1"/>
      <name val="Bookman Old Style"/>
      <family val="1"/>
    </font>
    <font>
      <b/>
      <sz val="12"/>
      <color theme="1"/>
      <name val="Bookman Old Style"/>
      <family val="1"/>
    </font>
    <font>
      <b/>
      <sz val="11"/>
      <color theme="1"/>
      <name val="Bookman Old Style"/>
      <family val="1"/>
    </font>
    <font>
      <b/>
      <sz val="12"/>
      <name val="Bookman Old Style"/>
      <family val="1"/>
    </font>
    <font>
      <sz val="11"/>
      <color theme="1"/>
      <name val="Bookman Old Style"/>
      <family val="1"/>
    </font>
    <font>
      <sz val="10"/>
      <color theme="1"/>
      <name val="Bookman Old Style"/>
      <family val="1"/>
    </font>
    <font>
      <sz val="10"/>
      <name val="Bookman Old Style"/>
      <family val="1"/>
    </font>
    <font>
      <b/>
      <sz val="10"/>
      <name val="Bookman Old Style"/>
      <family val="1"/>
    </font>
    <font>
      <sz val="10"/>
      <color theme="1"/>
      <name val="Calibri"/>
      <family val="2"/>
      <scheme val="minor"/>
    </font>
    <font>
      <sz val="10"/>
      <color rgb="FF000000"/>
      <name val="Bookman Old Style"/>
      <family val="1"/>
    </font>
    <font>
      <b/>
      <sz val="10"/>
      <color rgb="FF000000"/>
      <name val="Bookman Old Style"/>
      <family val="1"/>
    </font>
    <font>
      <b/>
      <sz val="11"/>
      <color rgb="FF000000"/>
      <name val="Bookman Old Style"/>
      <family val="1"/>
    </font>
    <font>
      <b/>
      <sz val="12"/>
      <color theme="1"/>
      <name val="Calibri"/>
      <family val="2"/>
      <scheme val="minor"/>
    </font>
    <font>
      <b/>
      <sz val="10"/>
      <color theme="1"/>
      <name val="Bookman Old Style"/>
      <family val="1"/>
    </font>
    <font>
      <sz val="12"/>
      <color theme="1"/>
      <name val="Calibri"/>
      <family val="2"/>
      <scheme val="minor"/>
    </font>
    <font>
      <sz val="12"/>
      <name val="Bookman Old Style"/>
      <family val="1"/>
    </font>
    <font>
      <sz val="13"/>
      <color theme="1"/>
      <name val="Book Antiqua"/>
      <family val="1"/>
    </font>
    <font>
      <vertAlign val="superscript"/>
      <sz val="10"/>
      <color theme="1"/>
      <name val="Bookman Old Style"/>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7">
    <xf numFmtId="0" fontId="0" fillId="0" borderId="0" xfId="0"/>
    <xf numFmtId="0" fontId="0" fillId="0" borderId="0" xfId="0" applyBorder="1"/>
    <xf numFmtId="0" fontId="12" fillId="0" borderId="0" xfId="0" applyFont="1" applyBorder="1" applyAlignment="1">
      <alignment horizontal="center" vertical="center" wrapText="1"/>
    </xf>
    <xf numFmtId="0" fontId="13" fillId="0" borderId="0" xfId="0" applyFont="1" applyBorder="1" applyAlignment="1">
      <alignment horizontal="center" vertical="center" wrapText="1"/>
    </xf>
    <xf numFmtId="0" fontId="11" fillId="0" borderId="0" xfId="0" applyFont="1" applyBorder="1" applyAlignment="1">
      <alignment horizontal="left" vertical="top" wrapText="1"/>
    </xf>
    <xf numFmtId="0" fontId="6" fillId="0" borderId="0" xfId="0" applyFont="1" applyFill="1" applyBorder="1" applyAlignment="1">
      <alignment horizontal="left" vertical="top" wrapText="1"/>
    </xf>
    <xf numFmtId="0" fontId="7" fillId="0" borderId="0" xfId="0" applyFont="1" applyFill="1" applyBorder="1" applyAlignment="1">
      <alignment horizontal="center" vertical="center"/>
    </xf>
    <xf numFmtId="0" fontId="11" fillId="0" borderId="0" xfId="0" applyFont="1" applyFill="1" applyBorder="1" applyAlignment="1">
      <alignment horizontal="center" vertical="center" wrapText="1"/>
    </xf>
    <xf numFmtId="0" fontId="6" fillId="0" borderId="0" xfId="0" applyFont="1" applyBorder="1" applyAlignment="1">
      <alignment horizontal="left" vertical="top" wrapText="1"/>
    </xf>
    <xf numFmtId="0" fontId="6" fillId="0" borderId="0" xfId="0" applyFont="1" applyBorder="1" applyAlignment="1">
      <alignment horizontal="center" vertical="center" wrapText="1"/>
    </xf>
    <xf numFmtId="0" fontId="15" fillId="0" borderId="1" xfId="0" applyFont="1" applyFill="1" applyBorder="1" applyAlignment="1">
      <alignment horizontal="center" vertical="center"/>
    </xf>
    <xf numFmtId="3" fontId="7"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8" fillId="0" borderId="1" xfId="0" applyFont="1" applyFill="1" applyBorder="1" applyAlignment="1">
      <alignment vertical="top" wrapText="1"/>
    </xf>
    <xf numFmtId="0" fontId="0" fillId="0" borderId="0" xfId="0" applyFont="1"/>
    <xf numFmtId="0" fontId="0" fillId="0" borderId="0" xfId="0" applyFont="1" applyBorder="1"/>
    <xf numFmtId="0" fontId="17" fillId="0" borderId="1" xfId="0" applyFont="1" applyFill="1" applyBorder="1" applyAlignment="1">
      <alignment horizontal="center" vertical="center" wrapText="1"/>
    </xf>
    <xf numFmtId="0" fontId="12" fillId="0" borderId="1" xfId="0" applyFont="1" applyFill="1" applyBorder="1" applyAlignment="1">
      <alignment horizontal="left" vertical="top" wrapText="1"/>
    </xf>
    <xf numFmtId="0" fontId="11" fillId="0" borderId="1" xfId="0" applyFont="1" applyFill="1" applyBorder="1" applyAlignment="1">
      <alignment vertical="top" wrapText="1"/>
    </xf>
    <xf numFmtId="0" fontId="7" fillId="0" borderId="1" xfId="0" applyFont="1" applyFill="1" applyBorder="1" applyAlignment="1">
      <alignment horizontal="left" vertical="top" wrapText="1"/>
    </xf>
    <xf numFmtId="0" fontId="11" fillId="0" borderId="1" xfId="0" applyFont="1" applyFill="1" applyBorder="1" applyAlignment="1">
      <alignment horizontal="left" vertical="top" wrapText="1"/>
    </xf>
    <xf numFmtId="0" fontId="8" fillId="0" borderId="1" xfId="0" applyFont="1" applyFill="1" applyBorder="1" applyAlignment="1">
      <alignment horizontal="left" vertical="top" wrapText="1"/>
    </xf>
    <xf numFmtId="0" fontId="9" fillId="0" borderId="1" xfId="0" applyFont="1" applyFill="1" applyBorder="1" applyAlignment="1">
      <alignment horizontal="left" vertical="top" wrapText="1"/>
    </xf>
    <xf numFmtId="0" fontId="0" fillId="0" borderId="0" xfId="0" applyFill="1"/>
    <xf numFmtId="0" fontId="4" fillId="0" borderId="2" xfId="0" applyFont="1" applyFill="1" applyBorder="1" applyAlignment="1">
      <alignment horizontal="center" vertical="top" wrapText="1"/>
    </xf>
    <xf numFmtId="0" fontId="3" fillId="0" borderId="2" xfId="0" applyFont="1" applyFill="1" applyBorder="1" applyAlignment="1">
      <alignment vertical="top" wrapText="1"/>
    </xf>
    <xf numFmtId="0" fontId="12" fillId="0" borderId="1" xfId="0" applyFont="1" applyFill="1" applyBorder="1" applyAlignment="1">
      <alignment horizontal="center" vertical="top" wrapText="1"/>
    </xf>
    <xf numFmtId="3" fontId="8" fillId="0" borderId="1" xfId="0" applyNumberFormat="1" applyFont="1" applyFill="1" applyBorder="1" applyAlignment="1">
      <alignment horizontal="center" vertical="top" wrapText="1"/>
    </xf>
    <xf numFmtId="4" fontId="8" fillId="0" borderId="1" xfId="0" applyNumberFormat="1" applyFont="1" applyFill="1" applyBorder="1" applyAlignment="1">
      <alignment horizontal="center" vertical="top" wrapText="1"/>
    </xf>
    <xf numFmtId="3" fontId="11" fillId="0" borderId="1" xfId="0" applyNumberFormat="1" applyFont="1" applyFill="1" applyBorder="1" applyAlignment="1">
      <alignment horizontal="center" vertical="top" wrapText="1"/>
    </xf>
    <xf numFmtId="4" fontId="7" fillId="0" borderId="1" xfId="0" applyNumberFormat="1" applyFont="1" applyFill="1" applyBorder="1" applyAlignment="1">
      <alignment horizontal="center" vertical="top"/>
    </xf>
    <xf numFmtId="3" fontId="15" fillId="0" borderId="1" xfId="0" applyNumberFormat="1" applyFont="1" applyFill="1" applyBorder="1" applyAlignment="1">
      <alignment horizontal="center"/>
    </xf>
    <xf numFmtId="0" fontId="10" fillId="0" borderId="1" xfId="0" applyFont="1" applyFill="1" applyBorder="1"/>
    <xf numFmtId="0" fontId="16" fillId="0" borderId="1" xfId="0" applyFont="1" applyFill="1" applyBorder="1"/>
    <xf numFmtId="0" fontId="14" fillId="0" borderId="1" xfId="0" applyFont="1" applyFill="1" applyBorder="1"/>
    <xf numFmtId="0" fontId="1" fillId="0" borderId="1" xfId="0" applyFont="1" applyFill="1" applyBorder="1" applyAlignment="1">
      <alignment horizontal="center"/>
    </xf>
    <xf numFmtId="3" fontId="18" fillId="0" borderId="0" xfId="0" applyNumberFormat="1" applyFont="1" applyFill="1"/>
    <xf numFmtId="0" fontId="5" fillId="0" borderId="3" xfId="0" applyFont="1" applyFill="1" applyBorder="1" applyAlignment="1">
      <alignment horizontal="left" vertical="top" wrapText="1"/>
    </xf>
    <xf numFmtId="0" fontId="17" fillId="0" borderId="3" xfId="0" applyFont="1" applyFill="1" applyBorder="1" applyAlignment="1">
      <alignment vertical="top" wrapText="1"/>
    </xf>
    <xf numFmtId="0" fontId="17" fillId="0" borderId="3" xfId="0" applyFont="1" applyFill="1" applyBorder="1" applyAlignment="1">
      <alignment horizontal="left" vertical="top" wrapText="1"/>
    </xf>
    <xf numFmtId="3" fontId="17" fillId="0" borderId="0" xfId="0" applyNumberFormat="1" applyFont="1" applyFill="1" applyAlignment="1">
      <alignment horizontal="center" vertical="center"/>
    </xf>
    <xf numFmtId="0" fontId="5" fillId="0" borderId="1" xfId="0" applyFont="1" applyFill="1" applyBorder="1" applyAlignment="1">
      <alignment horizontal="left" vertical="top" wrapText="1"/>
    </xf>
    <xf numFmtId="0" fontId="17" fillId="0" borderId="1" xfId="0" applyFont="1" applyFill="1" applyBorder="1" applyAlignment="1">
      <alignment horizontal="left" vertical="top" wrapText="1"/>
    </xf>
    <xf numFmtId="4" fontId="7" fillId="0" borderId="1" xfId="0" applyNumberFormat="1" applyFont="1" applyFill="1" applyBorder="1" applyAlignment="1">
      <alignment horizontal="center" vertical="top" wrapText="1"/>
    </xf>
    <xf numFmtId="0" fontId="12" fillId="0" borderId="3" xfId="0" applyFont="1" applyFill="1" applyBorder="1" applyAlignment="1">
      <alignment horizontal="left" vertical="top" wrapText="1"/>
    </xf>
    <xf numFmtId="0" fontId="11" fillId="0" borderId="3" xfId="0" applyFont="1" applyFill="1" applyBorder="1" applyAlignment="1">
      <alignment vertical="top" wrapText="1"/>
    </xf>
    <xf numFmtId="4" fontId="18" fillId="0" borderId="1" xfId="0" applyNumberFormat="1" applyFont="1" applyFill="1" applyBorder="1" applyAlignment="1">
      <alignment horizontal="center" vertical="top"/>
    </xf>
    <xf numFmtId="0" fontId="17" fillId="0" borderId="1" xfId="0" applyFont="1" applyFill="1" applyBorder="1" applyAlignment="1">
      <alignment vertical="top" wrapText="1"/>
    </xf>
    <xf numFmtId="0" fontId="17" fillId="0" borderId="1" xfId="0" applyFont="1" applyFill="1" applyBorder="1" applyAlignment="1">
      <alignment horizontal="left" vertical="center" wrapText="1"/>
    </xf>
    <xf numFmtId="3" fontId="5" fillId="0" borderId="1" xfId="0" applyNumberFormat="1" applyFont="1" applyFill="1" applyBorder="1" applyAlignment="1">
      <alignment horizontal="left" vertical="top" wrapText="1"/>
    </xf>
    <xf numFmtId="3" fontId="17" fillId="0" borderId="1" xfId="0" applyNumberFormat="1" applyFont="1" applyFill="1" applyBorder="1" applyAlignment="1">
      <alignment horizontal="left" vertical="top" wrapText="1"/>
    </xf>
    <xf numFmtId="3" fontId="17" fillId="0" borderId="1" xfId="0" applyNumberFormat="1" applyFont="1" applyFill="1" applyBorder="1" applyAlignment="1">
      <alignment horizontal="center" vertical="center" wrapText="1"/>
    </xf>
    <xf numFmtId="4" fontId="17" fillId="0" borderId="0" xfId="0" applyNumberFormat="1" applyFont="1" applyFill="1" applyAlignment="1">
      <alignment horizontal="center" vertical="center" wrapText="1"/>
    </xf>
    <xf numFmtId="3" fontId="17" fillId="0" borderId="1" xfId="0" applyNumberFormat="1" applyFont="1" applyFill="1" applyBorder="1" applyAlignment="1">
      <alignment horizontal="center" vertical="center"/>
    </xf>
    <xf numFmtId="0" fontId="2" fillId="0" borderId="1" xfId="0" applyFont="1" applyFill="1" applyBorder="1" applyAlignment="1">
      <alignment horizontal="center" vertical="top" wrapText="1"/>
    </xf>
    <xf numFmtId="0" fontId="9" fillId="0"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69"/>
  <sheetViews>
    <sheetView tabSelected="1" view="pageBreakPreview" topLeftCell="A22" zoomScale="115" zoomScaleNormal="85" zoomScaleSheetLayoutView="115" workbookViewId="0">
      <selection activeCell="D23" sqref="D23"/>
    </sheetView>
  </sheetViews>
  <sheetFormatPr defaultRowHeight="15"/>
  <cols>
    <col min="1" max="1" width="6.42578125" customWidth="1"/>
    <col min="2" max="2" width="25.28515625" style="15" customWidth="1"/>
    <col min="3" max="3" width="38.5703125" customWidth="1"/>
    <col min="4" max="4" width="32.85546875" customWidth="1"/>
    <col min="5" max="5" width="17.7109375" customWidth="1"/>
    <col min="6" max="6" width="15.5703125" customWidth="1"/>
    <col min="7" max="7" width="12.85546875" customWidth="1"/>
    <col min="8" max="8" width="18.5703125" customWidth="1"/>
    <col min="9" max="9" width="14.140625" customWidth="1"/>
    <col min="10" max="10" width="30.85546875" customWidth="1"/>
    <col min="12" max="12" width="32.140625" customWidth="1"/>
    <col min="13" max="13" width="10.28515625" bestFit="1" customWidth="1"/>
    <col min="15" max="15" width="16.7109375" customWidth="1"/>
  </cols>
  <sheetData>
    <row r="1" spans="1:9" ht="42" customHeight="1">
      <c r="A1" s="55" t="s">
        <v>122</v>
      </c>
      <c r="B1" s="55"/>
      <c r="C1" s="55"/>
      <c r="D1" s="55"/>
      <c r="E1" s="55"/>
      <c r="F1" s="55"/>
      <c r="G1" s="55"/>
      <c r="H1" s="55"/>
      <c r="I1" s="55"/>
    </row>
    <row r="2" spans="1:9" ht="31.5">
      <c r="A2" s="25" t="s">
        <v>0</v>
      </c>
      <c r="B2" s="25" t="s">
        <v>1</v>
      </c>
      <c r="C2" s="25" t="s">
        <v>3</v>
      </c>
      <c r="D2" s="25" t="s">
        <v>4</v>
      </c>
      <c r="E2" s="25" t="s">
        <v>5</v>
      </c>
      <c r="F2" s="25" t="s">
        <v>8</v>
      </c>
      <c r="G2" s="25" t="s">
        <v>2</v>
      </c>
      <c r="H2" s="25" t="s">
        <v>6</v>
      </c>
      <c r="I2" s="26" t="s">
        <v>13</v>
      </c>
    </row>
    <row r="3" spans="1:9" ht="126.75" customHeight="1">
      <c r="A3" s="13">
        <v>1</v>
      </c>
      <c r="B3" s="18" t="s">
        <v>15</v>
      </c>
      <c r="C3" s="21" t="s">
        <v>58</v>
      </c>
      <c r="D3" s="20" t="s">
        <v>17</v>
      </c>
      <c r="E3" s="21" t="s">
        <v>16</v>
      </c>
      <c r="F3" s="11">
        <v>106376706</v>
      </c>
      <c r="G3" s="27">
        <v>86596</v>
      </c>
      <c r="H3" s="20" t="s">
        <v>18</v>
      </c>
      <c r="I3" s="10" t="s">
        <v>7</v>
      </c>
    </row>
    <row r="4" spans="1:9" ht="108.75" customHeight="1">
      <c r="A4" s="13">
        <v>2</v>
      </c>
      <c r="B4" s="23" t="s">
        <v>19</v>
      </c>
      <c r="C4" s="14" t="s">
        <v>59</v>
      </c>
      <c r="D4" s="20" t="s">
        <v>21</v>
      </c>
      <c r="E4" s="22" t="s">
        <v>20</v>
      </c>
      <c r="F4" s="28">
        <v>3540000</v>
      </c>
      <c r="G4" s="29">
        <v>10520.05</v>
      </c>
      <c r="H4" s="20" t="s">
        <v>22</v>
      </c>
      <c r="I4" s="10" t="s">
        <v>7</v>
      </c>
    </row>
    <row r="5" spans="1:9" ht="124.5" customHeight="1">
      <c r="A5" s="13">
        <v>3</v>
      </c>
      <c r="B5" s="22" t="s">
        <v>26</v>
      </c>
      <c r="C5" s="22" t="s">
        <v>60</v>
      </c>
      <c r="D5" s="20" t="s">
        <v>27</v>
      </c>
      <c r="E5" s="21" t="s">
        <v>25</v>
      </c>
      <c r="F5" s="11">
        <v>2066880</v>
      </c>
      <c r="G5" s="12">
        <v>8439</v>
      </c>
      <c r="H5" s="20" t="s">
        <v>28</v>
      </c>
      <c r="I5" s="10" t="s">
        <v>7</v>
      </c>
    </row>
    <row r="6" spans="1:9" ht="120" customHeight="1">
      <c r="A6" s="13">
        <v>4</v>
      </c>
      <c r="B6" s="21" t="s">
        <v>23</v>
      </c>
      <c r="C6" s="21" t="s">
        <v>61</v>
      </c>
      <c r="D6" s="20" t="s">
        <v>34</v>
      </c>
      <c r="E6" s="21" t="s">
        <v>24</v>
      </c>
      <c r="F6" s="11">
        <v>9633624</v>
      </c>
      <c r="G6" s="12">
        <v>18416.36</v>
      </c>
      <c r="H6" s="20" t="s">
        <v>29</v>
      </c>
      <c r="I6" s="10" t="s">
        <v>12</v>
      </c>
    </row>
    <row r="7" spans="1:9" ht="136.5" customHeight="1">
      <c r="A7" s="13">
        <v>5</v>
      </c>
      <c r="B7" s="18" t="s">
        <v>30</v>
      </c>
      <c r="C7" s="19" t="s">
        <v>62</v>
      </c>
      <c r="D7" s="20" t="s">
        <v>32</v>
      </c>
      <c r="E7" s="21" t="s">
        <v>31</v>
      </c>
      <c r="F7" s="30">
        <v>5993256</v>
      </c>
      <c r="G7" s="31">
        <v>12034.56</v>
      </c>
      <c r="H7" s="20" t="s">
        <v>33</v>
      </c>
      <c r="I7" s="10" t="s">
        <v>7</v>
      </c>
    </row>
    <row r="8" spans="1:9" ht="162" customHeight="1">
      <c r="A8" s="13">
        <v>6</v>
      </c>
      <c r="B8" s="38" t="s">
        <v>35</v>
      </c>
      <c r="C8" s="39" t="s">
        <v>63</v>
      </c>
      <c r="D8" s="20" t="s">
        <v>38</v>
      </c>
      <c r="E8" s="40" t="s">
        <v>36</v>
      </c>
      <c r="F8" s="30">
        <v>6718596</v>
      </c>
      <c r="G8" s="41">
        <v>8877</v>
      </c>
      <c r="H8" s="20" t="s">
        <v>37</v>
      </c>
      <c r="I8" s="10" t="s">
        <v>7</v>
      </c>
    </row>
    <row r="9" spans="1:9" ht="139.5" customHeight="1">
      <c r="A9" s="13">
        <v>7</v>
      </c>
      <c r="B9" s="38" t="s">
        <v>47</v>
      </c>
      <c r="C9" s="39" t="s">
        <v>57</v>
      </c>
      <c r="D9" s="20" t="s">
        <v>45</v>
      </c>
      <c r="E9" s="43" t="s">
        <v>46</v>
      </c>
      <c r="F9" s="30">
        <v>14457648</v>
      </c>
      <c r="G9" s="41">
        <v>3399</v>
      </c>
      <c r="H9" s="20" t="s">
        <v>44</v>
      </c>
      <c r="I9" s="10" t="s">
        <v>7</v>
      </c>
    </row>
    <row r="10" spans="1:9" ht="141.75" customHeight="1">
      <c r="A10" s="13">
        <v>8</v>
      </c>
      <c r="B10" s="42" t="s">
        <v>39</v>
      </c>
      <c r="C10" s="43" t="s">
        <v>43</v>
      </c>
      <c r="D10" s="20" t="s">
        <v>41</v>
      </c>
      <c r="E10" s="43" t="s">
        <v>40</v>
      </c>
      <c r="F10" s="30">
        <v>2317944</v>
      </c>
      <c r="G10" s="17">
        <v>6818</v>
      </c>
      <c r="H10" s="20" t="s">
        <v>42</v>
      </c>
      <c r="I10" s="10" t="s">
        <v>7</v>
      </c>
    </row>
    <row r="11" spans="1:9" ht="81.75" customHeight="1">
      <c r="A11" s="13">
        <v>9</v>
      </c>
      <c r="B11" s="42" t="s">
        <v>48</v>
      </c>
      <c r="C11" s="43" t="s">
        <v>49</v>
      </c>
      <c r="D11" s="20" t="s">
        <v>50</v>
      </c>
      <c r="E11" s="43" t="s">
        <v>51</v>
      </c>
      <c r="F11" s="30">
        <v>2756172</v>
      </c>
      <c r="G11" s="17">
        <v>12614</v>
      </c>
      <c r="H11" s="20" t="s">
        <v>52</v>
      </c>
      <c r="I11" s="10" t="s">
        <v>7</v>
      </c>
    </row>
    <row r="12" spans="1:9" ht="127.5" customHeight="1">
      <c r="A12" s="13">
        <v>10</v>
      </c>
      <c r="B12" s="42" t="s">
        <v>53</v>
      </c>
      <c r="C12" s="43" t="s">
        <v>55</v>
      </c>
      <c r="D12" s="20" t="s">
        <v>56</v>
      </c>
      <c r="E12" s="43" t="s">
        <v>54</v>
      </c>
      <c r="F12" s="30">
        <v>3633576</v>
      </c>
      <c r="G12" s="17">
        <v>5245.52</v>
      </c>
      <c r="H12" s="20" t="s">
        <v>85</v>
      </c>
      <c r="I12" s="10" t="s">
        <v>7</v>
      </c>
    </row>
    <row r="13" spans="1:9" ht="127.5" customHeight="1">
      <c r="A13" s="13">
        <v>11</v>
      </c>
      <c r="B13" s="42" t="s">
        <v>64</v>
      </c>
      <c r="C13" s="43" t="s">
        <v>65</v>
      </c>
      <c r="D13" s="20" t="s">
        <v>67</v>
      </c>
      <c r="E13" s="43" t="s">
        <v>68</v>
      </c>
      <c r="F13" s="30">
        <v>3408000</v>
      </c>
      <c r="G13" s="17">
        <v>7003.81</v>
      </c>
      <c r="H13" s="20" t="s">
        <v>66</v>
      </c>
      <c r="I13" s="10" t="s">
        <v>7</v>
      </c>
    </row>
    <row r="14" spans="1:9" ht="111.75" customHeight="1">
      <c r="A14" s="13">
        <v>12</v>
      </c>
      <c r="B14" s="45" t="s">
        <v>74</v>
      </c>
      <c r="C14" s="46" t="s">
        <v>75</v>
      </c>
      <c r="D14" s="20" t="s">
        <v>78</v>
      </c>
      <c r="E14" s="21" t="s">
        <v>76</v>
      </c>
      <c r="F14" s="30">
        <v>4529496</v>
      </c>
      <c r="G14" s="47">
        <v>8817.7999999999993</v>
      </c>
      <c r="H14" s="20" t="s">
        <v>79</v>
      </c>
      <c r="I14" s="10" t="s">
        <v>7</v>
      </c>
    </row>
    <row r="15" spans="1:9" ht="56.25" customHeight="1">
      <c r="A15" s="13">
        <v>13</v>
      </c>
      <c r="B15" s="18" t="s">
        <v>71</v>
      </c>
      <c r="C15" s="19" t="s">
        <v>82</v>
      </c>
      <c r="D15" s="20" t="s">
        <v>80</v>
      </c>
      <c r="E15" s="21" t="s">
        <v>72</v>
      </c>
      <c r="F15" s="30">
        <v>4490640</v>
      </c>
      <c r="G15" s="44" t="s">
        <v>73</v>
      </c>
      <c r="H15" s="20" t="s">
        <v>81</v>
      </c>
      <c r="I15" s="10" t="s">
        <v>7</v>
      </c>
    </row>
    <row r="16" spans="1:9" ht="96" customHeight="1">
      <c r="A16" s="13">
        <v>14</v>
      </c>
      <c r="B16" s="18" t="s">
        <v>69</v>
      </c>
      <c r="C16" s="21" t="s">
        <v>83</v>
      </c>
      <c r="D16" s="18" t="s">
        <v>77</v>
      </c>
      <c r="E16" s="21" t="s">
        <v>70</v>
      </c>
      <c r="F16" s="30">
        <v>706860</v>
      </c>
      <c r="G16" s="27">
        <v>1000</v>
      </c>
      <c r="H16" s="20" t="s">
        <v>84</v>
      </c>
      <c r="I16" s="10" t="s">
        <v>7</v>
      </c>
    </row>
    <row r="17" spans="1:9" ht="96" customHeight="1">
      <c r="A17" s="13">
        <v>15</v>
      </c>
      <c r="B17" s="42" t="s">
        <v>106</v>
      </c>
      <c r="C17" s="48" t="s">
        <v>107</v>
      </c>
      <c r="D17" s="20" t="s">
        <v>108</v>
      </c>
      <c r="E17" s="43" t="s">
        <v>11</v>
      </c>
      <c r="F17" s="30">
        <v>6382046</v>
      </c>
      <c r="G17" s="49" t="s">
        <v>110</v>
      </c>
      <c r="H17" s="20" t="s">
        <v>109</v>
      </c>
      <c r="I17" s="10" t="s">
        <v>7</v>
      </c>
    </row>
    <row r="18" spans="1:9" ht="157.5" customHeight="1">
      <c r="A18" s="13">
        <v>16</v>
      </c>
      <c r="B18" s="42" t="s">
        <v>116</v>
      </c>
      <c r="C18" s="43" t="s">
        <v>120</v>
      </c>
      <c r="D18" s="20" t="s">
        <v>121</v>
      </c>
      <c r="E18" s="43" t="s">
        <v>117</v>
      </c>
      <c r="F18" s="30">
        <v>6223200</v>
      </c>
      <c r="G18" s="49" t="s">
        <v>119</v>
      </c>
      <c r="H18" s="20" t="s">
        <v>118</v>
      </c>
      <c r="I18" s="10" t="s">
        <v>7</v>
      </c>
    </row>
    <row r="19" spans="1:9" ht="96" customHeight="1">
      <c r="A19" s="13">
        <v>17</v>
      </c>
      <c r="B19" s="38" t="s">
        <v>112</v>
      </c>
      <c r="C19" s="39" t="s">
        <v>113</v>
      </c>
      <c r="D19" s="20" t="s">
        <v>115</v>
      </c>
      <c r="E19" s="43" t="s">
        <v>114</v>
      </c>
      <c r="F19" s="30">
        <v>10919148</v>
      </c>
      <c r="G19" s="27">
        <v>19370.400000000001</v>
      </c>
      <c r="H19" s="20" t="s">
        <v>111</v>
      </c>
      <c r="I19" s="10" t="s">
        <v>7</v>
      </c>
    </row>
    <row r="20" spans="1:9" ht="141.75">
      <c r="A20" s="13">
        <v>18</v>
      </c>
      <c r="B20" s="50" t="s">
        <v>96</v>
      </c>
      <c r="C20" s="51" t="s">
        <v>97</v>
      </c>
      <c r="D20" s="20" t="s">
        <v>100</v>
      </c>
      <c r="E20" s="51" t="s">
        <v>98</v>
      </c>
      <c r="F20" s="30">
        <v>2448000</v>
      </c>
      <c r="G20" s="52">
        <v>7643.9469600000002</v>
      </c>
      <c r="H20" s="20" t="s">
        <v>99</v>
      </c>
      <c r="I20" s="10" t="s">
        <v>7</v>
      </c>
    </row>
    <row r="21" spans="1:9" ht="126">
      <c r="A21" s="13">
        <v>19</v>
      </c>
      <c r="B21" s="38" t="s">
        <v>101</v>
      </c>
      <c r="C21" s="39" t="s">
        <v>102</v>
      </c>
      <c r="D21" s="20" t="s">
        <v>105</v>
      </c>
      <c r="E21" s="51"/>
      <c r="F21" s="30">
        <v>7440000</v>
      </c>
      <c r="G21" s="53" t="s">
        <v>104</v>
      </c>
      <c r="H21" s="20" t="s">
        <v>103</v>
      </c>
      <c r="I21" s="10" t="s">
        <v>7</v>
      </c>
    </row>
    <row r="22" spans="1:9" ht="141" customHeight="1">
      <c r="A22" s="13">
        <v>20</v>
      </c>
      <c r="B22" s="38" t="s">
        <v>86</v>
      </c>
      <c r="C22" s="39" t="s">
        <v>87</v>
      </c>
      <c r="D22" s="20" t="s">
        <v>88</v>
      </c>
      <c r="E22" s="43" t="s">
        <v>89</v>
      </c>
      <c r="F22" s="30">
        <v>4924572</v>
      </c>
      <c r="G22" s="54">
        <v>3277</v>
      </c>
      <c r="H22" s="20" t="s">
        <v>90</v>
      </c>
      <c r="I22" s="10" t="s">
        <v>7</v>
      </c>
    </row>
    <row r="23" spans="1:9" ht="102.75" customHeight="1">
      <c r="A23" s="13">
        <v>21</v>
      </c>
      <c r="B23" s="42" t="s">
        <v>91</v>
      </c>
      <c r="C23" s="48" t="s">
        <v>92</v>
      </c>
      <c r="D23" s="20" t="s">
        <v>95</v>
      </c>
      <c r="E23" s="43" t="s">
        <v>93</v>
      </c>
      <c r="F23" s="30">
        <v>3207528</v>
      </c>
      <c r="G23" s="54">
        <v>10778</v>
      </c>
      <c r="H23" s="20" t="s">
        <v>94</v>
      </c>
      <c r="I23" s="10" t="s">
        <v>7</v>
      </c>
    </row>
    <row r="24" spans="1:9">
      <c r="A24" s="56"/>
      <c r="B24" s="56"/>
      <c r="C24" s="56"/>
      <c r="D24" s="56"/>
      <c r="E24" s="56"/>
      <c r="F24" s="32">
        <f>SUM(F3:F23)</f>
        <v>212173892</v>
      </c>
      <c r="G24" s="33"/>
      <c r="H24" s="33"/>
      <c r="I24" s="33"/>
    </row>
    <row r="25" spans="1:9" ht="17.25">
      <c r="A25" s="24"/>
      <c r="B25" s="34" t="s">
        <v>10</v>
      </c>
      <c r="C25" s="35">
        <v>202540268</v>
      </c>
      <c r="D25" s="36">
        <v>20</v>
      </c>
      <c r="E25" s="24"/>
      <c r="F25" s="24"/>
      <c r="G25" s="37"/>
      <c r="H25" s="24"/>
      <c r="I25" s="24"/>
    </row>
    <row r="26" spans="1:9" ht="15.75">
      <c r="A26" s="24"/>
      <c r="B26" s="34" t="s">
        <v>14</v>
      </c>
      <c r="C26" s="35">
        <v>9633624</v>
      </c>
      <c r="D26" s="36">
        <v>1</v>
      </c>
      <c r="E26" s="24"/>
      <c r="F26" s="24"/>
      <c r="G26" s="24"/>
      <c r="H26" s="24"/>
      <c r="I26" s="24"/>
    </row>
    <row r="27" spans="1:9" ht="15.75">
      <c r="A27" s="24"/>
      <c r="B27" s="34" t="s">
        <v>9</v>
      </c>
      <c r="C27" s="35">
        <f>SUM(C25:C26)</f>
        <v>212173892</v>
      </c>
      <c r="D27" s="36">
        <f>SUM(D25:D26)</f>
        <v>21</v>
      </c>
      <c r="E27" s="24"/>
      <c r="F27" s="24"/>
      <c r="G27" s="24"/>
      <c r="H27" s="24"/>
      <c r="I27" s="24"/>
    </row>
    <row r="49" spans="2:8">
      <c r="C49" s="1"/>
      <c r="D49" s="1"/>
      <c r="E49" s="1"/>
      <c r="F49" s="1"/>
      <c r="G49" s="1"/>
      <c r="H49" s="1"/>
    </row>
    <row r="50" spans="2:8">
      <c r="C50" s="1"/>
      <c r="D50" s="1"/>
      <c r="E50" s="1"/>
      <c r="F50" s="1"/>
      <c r="G50" s="1"/>
      <c r="H50" s="1"/>
    </row>
    <row r="51" spans="2:8">
      <c r="C51" s="1"/>
      <c r="D51" s="1"/>
      <c r="E51" s="1"/>
      <c r="F51" s="1"/>
      <c r="G51" s="1"/>
      <c r="H51" s="1"/>
    </row>
    <row r="52" spans="2:8">
      <c r="C52" s="1"/>
      <c r="D52" s="1"/>
      <c r="E52" s="1"/>
      <c r="F52" s="1"/>
      <c r="G52" s="1"/>
      <c r="H52" s="1"/>
    </row>
    <row r="53" spans="2:8">
      <c r="C53" s="1"/>
      <c r="D53" s="1"/>
      <c r="E53" s="1"/>
      <c r="F53" s="1"/>
      <c r="G53" s="1"/>
      <c r="H53" s="1"/>
    </row>
    <row r="54" spans="2:8">
      <c r="C54" s="1"/>
      <c r="D54" s="1"/>
      <c r="E54" s="1"/>
      <c r="F54" s="1"/>
      <c r="G54" s="1"/>
      <c r="H54" s="1"/>
    </row>
    <row r="55" spans="2:8">
      <c r="C55" s="3"/>
      <c r="D55" s="2"/>
      <c r="E55" s="1"/>
      <c r="F55" s="1"/>
      <c r="G55" s="1"/>
      <c r="H55" s="1"/>
    </row>
    <row r="56" spans="2:8">
      <c r="C56" s="1"/>
      <c r="D56" s="1"/>
      <c r="E56" s="1"/>
      <c r="F56" s="1"/>
      <c r="G56" s="1"/>
      <c r="H56" s="1"/>
    </row>
    <row r="57" spans="2:8">
      <c r="C57" s="1"/>
      <c r="D57" s="1"/>
      <c r="E57" s="1"/>
      <c r="F57" s="1"/>
      <c r="G57" s="1"/>
      <c r="H57" s="1"/>
    </row>
    <row r="58" spans="2:8">
      <c r="C58" s="1"/>
      <c r="D58" s="1"/>
      <c r="E58" s="1"/>
      <c r="F58" s="1"/>
      <c r="G58" s="1"/>
      <c r="H58" s="1"/>
    </row>
    <row r="59" spans="2:8">
      <c r="C59" s="1"/>
      <c r="D59" s="1"/>
      <c r="E59" s="1"/>
      <c r="F59" s="1"/>
      <c r="G59" s="1"/>
      <c r="H59" s="1"/>
    </row>
    <row r="61" spans="2:8" ht="0.75" customHeight="1"/>
    <row r="62" spans="2:8" s="1" customFormat="1">
      <c r="B62" s="16"/>
    </row>
    <row r="63" spans="2:8" s="1" customFormat="1">
      <c r="B63" s="16"/>
    </row>
    <row r="64" spans="2:8" s="1" customFormat="1">
      <c r="B64" s="16"/>
    </row>
    <row r="65" spans="2:8" s="1" customFormat="1">
      <c r="B65" s="16"/>
    </row>
    <row r="66" spans="2:8" s="1" customFormat="1">
      <c r="B66" s="16"/>
    </row>
    <row r="67" spans="2:8" s="1" customFormat="1">
      <c r="B67" s="16"/>
    </row>
    <row r="68" spans="2:8" s="1" customFormat="1">
      <c r="B68" s="4"/>
      <c r="C68" s="4"/>
      <c r="D68" s="5"/>
      <c r="E68" s="4"/>
      <c r="F68" s="6"/>
      <c r="G68" s="7"/>
      <c r="H68" s="8"/>
    </row>
    <row r="69" spans="2:8" s="1" customFormat="1">
      <c r="B69" s="8"/>
      <c r="C69" s="8"/>
      <c r="D69" s="8"/>
      <c r="E69" s="8"/>
      <c r="F69" s="9"/>
      <c r="G69" s="9"/>
      <c r="H69" s="8"/>
    </row>
  </sheetData>
  <autoFilter ref="A2:I27"/>
  <mergeCells count="2">
    <mergeCell ref="A1:I1"/>
    <mergeCell ref="A24:E24"/>
  </mergeCells>
  <pageMargins left="0.39370078740157483" right="0.19685039370078741" top="0.23622047244094491" bottom="0.23622047244094491" header="3.937007874015748E-2" footer="3.937007874015748E-2"/>
  <pageSetup scale="61" orientation="landscape" r:id="rId1"/>
  <rowBreaks count="1" manualBreakCount="1">
    <brk id="8"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Sanctioned 2021-22</vt:lpstr>
      <vt:lpstr>'Sanctioned 2021-22'!Print_Area</vt:lpstr>
      <vt:lpstr>'Sanctioned 2021-22'!Print_Titles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hiring pc</dc:creator>
  <cp:lastModifiedBy>HP4</cp:lastModifiedBy>
  <cp:lastPrinted>2021-09-08T05:43:58Z</cp:lastPrinted>
  <dcterms:created xsi:type="dcterms:W3CDTF">2015-06-05T18:17:20Z</dcterms:created>
  <dcterms:modified xsi:type="dcterms:W3CDTF">2021-09-13T11:11:45Z</dcterms:modified>
</cp:coreProperties>
</file>