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0" yWindow="60" windowWidth="19095" windowHeight="7365"/>
  </bookViews>
  <sheets>
    <sheet name="Sheet1 (2)" sheetId="1" r:id="rId1"/>
  </sheets>
  <calcPr calcId="125725"/>
</workbook>
</file>

<file path=xl/calcChain.xml><?xml version="1.0" encoding="utf-8"?>
<calcChain xmlns="http://schemas.openxmlformats.org/spreadsheetml/2006/main">
  <c r="L17" i="1"/>
  <c r="K17"/>
  <c r="D17"/>
  <c r="M15"/>
  <c r="J15"/>
  <c r="L15"/>
  <c r="K15"/>
  <c r="G15"/>
  <c r="D15"/>
  <c r="L13"/>
  <c r="K13"/>
  <c r="J13"/>
  <c r="M13" s="1"/>
  <c r="G13"/>
  <c r="D13"/>
  <c r="L11"/>
  <c r="K11"/>
  <c r="J11"/>
  <c r="G11"/>
  <c r="M11" s="1"/>
  <c r="D11"/>
  <c r="L9"/>
  <c r="K9"/>
  <c r="J9"/>
  <c r="M9" s="1"/>
  <c r="G9"/>
  <c r="D9"/>
  <c r="L7"/>
  <c r="K7"/>
  <c r="J7"/>
  <c r="G7"/>
  <c r="D7"/>
  <c r="M7" l="1"/>
</calcChain>
</file>

<file path=xl/sharedStrings.xml><?xml version="1.0" encoding="utf-8"?>
<sst xmlns="http://schemas.openxmlformats.org/spreadsheetml/2006/main" count="30" uniqueCount="18">
  <si>
    <t>Rs in Crore</t>
  </si>
  <si>
    <t>Financial Year</t>
  </si>
  <si>
    <t>Budget Estimate</t>
  </si>
  <si>
    <t>Revised Budget Estimate</t>
  </si>
  <si>
    <t xml:space="preserve">Expenditure </t>
  </si>
  <si>
    <t>% of Expenditure</t>
  </si>
  <si>
    <t>Rev.</t>
  </si>
  <si>
    <t>Cap.</t>
  </si>
  <si>
    <t>Total</t>
  </si>
  <si>
    <t>2016-17</t>
  </si>
  <si>
    <t>2017-18</t>
  </si>
  <si>
    <t>2018-19</t>
  </si>
  <si>
    <t>2019-20</t>
  </si>
  <si>
    <t xml:space="preserve"> In the FY 2016-17  figure shown in RBE included 280.00 Crore taken as third and final batch of supplementary </t>
  </si>
  <si>
    <t>2020-21</t>
  </si>
  <si>
    <t>-</t>
  </si>
  <si>
    <t>871.55               (upto April, 2020)</t>
  </si>
  <si>
    <t>Statement Showing Budget Allocation and Expenditure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</si>
</sst>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u/>
      <sz val="16"/>
      <color rgb="FF000000"/>
      <name val="Bookman Old Style"/>
      <family val="1"/>
    </font>
    <font>
      <sz val="12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/>
    <xf numFmtId="0" fontId="3" fillId="0" borderId="0" xfId="0" applyFont="1" applyBorder="1" applyAlignment="1">
      <alignment vertical="top"/>
    </xf>
    <xf numFmtId="0" fontId="2" fillId="0" borderId="0" xfId="0" applyFont="1" applyBorder="1" applyAlignment="1"/>
    <xf numFmtId="0" fontId="4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justify" vertical="top"/>
    </xf>
    <xf numFmtId="0" fontId="2" fillId="0" borderId="2" xfId="0" applyFont="1" applyBorder="1" applyAlignment="1">
      <alignment vertical="top"/>
    </xf>
    <xf numFmtId="10" fontId="3" fillId="0" borderId="2" xfId="0" applyNumberFormat="1" applyFont="1" applyBorder="1" applyAlignment="1">
      <alignment horizontal="justify" vertical="top"/>
    </xf>
    <xf numFmtId="2" fontId="2" fillId="0" borderId="2" xfId="0" applyNumberFormat="1" applyFont="1" applyBorder="1" applyAlignment="1">
      <alignment vertical="top"/>
    </xf>
    <xf numFmtId="2" fontId="3" fillId="0" borderId="2" xfId="0" applyNumberFormat="1" applyFont="1" applyBorder="1" applyAlignment="1">
      <alignment horizontal="justify" vertical="top"/>
    </xf>
    <xf numFmtId="2" fontId="3" fillId="0" borderId="2" xfId="0" applyNumberFormat="1" applyFont="1" applyBorder="1" applyAlignment="1">
      <alignment horizontal="left" vertical="top"/>
    </xf>
    <xf numFmtId="0" fontId="5" fillId="0" borderId="2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/>
    <xf numFmtId="0" fontId="2" fillId="0" borderId="2" xfId="0" applyFont="1" applyBorder="1" applyAlignment="1"/>
    <xf numFmtId="2" fontId="6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P19"/>
  <sheetViews>
    <sheetView tabSelected="1" workbookViewId="0">
      <selection activeCell="E8" sqref="E8"/>
    </sheetView>
  </sheetViews>
  <sheetFormatPr defaultColWidth="8.85546875" defaultRowHeight="15.75"/>
  <cols>
    <col min="1" max="2" width="12.85546875" style="17" customWidth="1"/>
    <col min="3" max="3" width="9.140625" style="17" bestFit="1" customWidth="1"/>
    <col min="4" max="4" width="11.140625" style="17" bestFit="1" customWidth="1"/>
    <col min="5" max="5" width="14.28515625" style="17" customWidth="1"/>
    <col min="6" max="6" width="9" style="17" bestFit="1" customWidth="1"/>
    <col min="7" max="7" width="11.140625" style="17" bestFit="1" customWidth="1"/>
    <col min="8" max="8" width="12.42578125" style="17" customWidth="1"/>
    <col min="9" max="9" width="9.140625" style="17" bestFit="1" customWidth="1"/>
    <col min="10" max="10" width="19.85546875" style="17" customWidth="1"/>
    <col min="11" max="13" width="9" style="17" bestFit="1" customWidth="1"/>
    <col min="14" max="16384" width="8.85546875" style="17"/>
  </cols>
  <sheetData>
    <row r="2" spans="1:16" s="1" customFormat="1" ht="20.25">
      <c r="A2" s="21" t="s">
        <v>17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6" s="1" customFormat="1">
      <c r="A3" s="2"/>
      <c r="B3" s="3"/>
      <c r="C3" s="3"/>
      <c r="D3" s="3"/>
      <c r="E3" s="3"/>
      <c r="F3" s="3"/>
      <c r="G3" s="3"/>
      <c r="H3" s="4"/>
      <c r="I3" s="4"/>
      <c r="J3" s="2"/>
      <c r="K3" s="22" t="s">
        <v>0</v>
      </c>
      <c r="L3" s="22"/>
      <c r="M3" s="22"/>
      <c r="N3" s="5"/>
      <c r="O3" s="5"/>
      <c r="P3" s="5"/>
    </row>
    <row r="4" spans="1:16" s="1" customFormat="1" ht="27" customHeight="1">
      <c r="A4" s="23" t="s">
        <v>1</v>
      </c>
      <c r="B4" s="24" t="s">
        <v>2</v>
      </c>
      <c r="C4" s="24"/>
      <c r="D4" s="24"/>
      <c r="E4" s="24" t="s">
        <v>3</v>
      </c>
      <c r="F4" s="24"/>
      <c r="G4" s="24"/>
      <c r="H4" s="24" t="s">
        <v>4</v>
      </c>
      <c r="I4" s="24"/>
      <c r="J4" s="24"/>
      <c r="K4" s="24" t="s">
        <v>5</v>
      </c>
      <c r="L4" s="24"/>
      <c r="M4" s="24"/>
      <c r="N4" s="5"/>
      <c r="O4" s="5"/>
      <c r="P4" s="5"/>
    </row>
    <row r="5" spans="1:16" s="1" customFormat="1">
      <c r="A5" s="23"/>
      <c r="B5" s="6" t="s">
        <v>6</v>
      </c>
      <c r="C5" s="6" t="s">
        <v>7</v>
      </c>
      <c r="D5" s="6" t="s">
        <v>8</v>
      </c>
      <c r="E5" s="6" t="s">
        <v>6</v>
      </c>
      <c r="F5" s="6" t="s">
        <v>7</v>
      </c>
      <c r="G5" s="6" t="s">
        <v>8</v>
      </c>
      <c r="H5" s="6" t="s">
        <v>6</v>
      </c>
      <c r="I5" s="6" t="s">
        <v>7</v>
      </c>
      <c r="J5" s="6" t="s">
        <v>8</v>
      </c>
      <c r="K5" s="6" t="s">
        <v>6</v>
      </c>
      <c r="L5" s="6" t="s">
        <v>7</v>
      </c>
      <c r="M5" s="6" t="s">
        <v>8</v>
      </c>
      <c r="N5" s="5"/>
      <c r="O5" s="5"/>
      <c r="P5" s="5"/>
    </row>
    <row r="6" spans="1:16" s="1" customFormat="1" hidden="1">
      <c r="A6" s="7"/>
      <c r="B6" s="8"/>
      <c r="C6" s="8"/>
      <c r="D6" s="7"/>
      <c r="E6" s="7"/>
      <c r="F6" s="7"/>
      <c r="G6" s="7"/>
      <c r="H6" s="7"/>
      <c r="I6" s="7"/>
      <c r="J6" s="7"/>
      <c r="K6" s="7"/>
      <c r="L6" s="7"/>
      <c r="M6" s="9"/>
      <c r="N6" s="5"/>
      <c r="O6" s="5"/>
      <c r="P6" s="5"/>
    </row>
    <row r="7" spans="1:16" s="1" customFormat="1" hidden="1">
      <c r="A7" s="7" t="s">
        <v>9</v>
      </c>
      <c r="B7" s="10">
        <v>5140.5</v>
      </c>
      <c r="C7" s="10">
        <v>200</v>
      </c>
      <c r="D7" s="11">
        <f>B7+C7</f>
        <v>5340.5</v>
      </c>
      <c r="E7" s="11">
        <v>5350.48</v>
      </c>
      <c r="F7" s="11">
        <v>200.02</v>
      </c>
      <c r="G7" s="11">
        <f>E7+F7</f>
        <v>5550.5</v>
      </c>
      <c r="H7" s="11">
        <v>5611.23</v>
      </c>
      <c r="I7" s="11">
        <v>191.2</v>
      </c>
      <c r="J7" s="11">
        <f>H7+I7</f>
        <v>5802.4299999999994</v>
      </c>
      <c r="K7" s="11">
        <f>H7/E7*100</f>
        <v>104.87339453656494</v>
      </c>
      <c r="L7" s="11">
        <f>I7/F7*100</f>
        <v>95.590440955904398</v>
      </c>
      <c r="M7" s="11">
        <f>J7/G7*100</f>
        <v>104.53887037203855</v>
      </c>
      <c r="N7" s="5"/>
      <c r="O7" s="5"/>
      <c r="P7" s="5"/>
    </row>
    <row r="8" spans="1:16" s="1" customFormat="1" ht="22.9" customHeight="1">
      <c r="A8" s="7"/>
      <c r="B8" s="10"/>
      <c r="C8" s="10"/>
      <c r="D8" s="11"/>
      <c r="E8" s="12"/>
      <c r="F8" s="12"/>
      <c r="G8" s="11"/>
      <c r="H8" s="12"/>
      <c r="I8" s="12"/>
      <c r="J8" s="11"/>
      <c r="K8" s="11"/>
      <c r="L8" s="11"/>
      <c r="M8" s="11"/>
      <c r="N8" s="5"/>
      <c r="O8" s="5"/>
      <c r="P8" s="5"/>
    </row>
    <row r="9" spans="1:16" s="1" customFormat="1" ht="34.9" customHeight="1">
      <c r="A9" s="13" t="s">
        <v>9</v>
      </c>
      <c r="B9" s="14">
        <v>5140.5</v>
      </c>
      <c r="C9" s="14">
        <v>200</v>
      </c>
      <c r="D9" s="14">
        <f t="shared" ref="D9:D17" si="0">B9+C9</f>
        <v>5340.5</v>
      </c>
      <c r="E9" s="15">
        <v>5630.48</v>
      </c>
      <c r="F9" s="14">
        <v>200.02</v>
      </c>
      <c r="G9" s="14">
        <f t="shared" ref="G9:G15" si="1">E9+F9</f>
        <v>5830.5</v>
      </c>
      <c r="H9" s="14">
        <v>5611.23</v>
      </c>
      <c r="I9" s="14">
        <v>191.2</v>
      </c>
      <c r="J9" s="14">
        <f t="shared" ref="J9:J15" si="2">H9+I9</f>
        <v>5802.4299999999994</v>
      </c>
      <c r="K9" s="14">
        <f>H9/E9*100</f>
        <v>99.658110853781551</v>
      </c>
      <c r="L9" s="14">
        <f>I9/F9*100</f>
        <v>95.590440955904398</v>
      </c>
      <c r="M9" s="14">
        <f>J9/G9*100</f>
        <v>99.518566160706627</v>
      </c>
      <c r="N9" s="5"/>
      <c r="O9" s="5"/>
      <c r="P9" s="5"/>
    </row>
    <row r="10" spans="1:16" s="1" customFormat="1" ht="22.9" customHeight="1">
      <c r="A10" s="7"/>
      <c r="B10" s="10"/>
      <c r="C10" s="10"/>
      <c r="D10" s="11"/>
      <c r="E10" s="12"/>
      <c r="F10" s="12"/>
      <c r="G10" s="11"/>
      <c r="H10" s="12"/>
      <c r="I10" s="12"/>
      <c r="J10" s="11"/>
      <c r="K10" s="11"/>
      <c r="L10" s="11"/>
      <c r="M10" s="11"/>
      <c r="N10" s="5"/>
      <c r="O10" s="5"/>
      <c r="P10" s="5"/>
    </row>
    <row r="11" spans="1:16" s="1" customFormat="1" ht="22.9" customHeight="1">
      <c r="A11" s="13" t="s">
        <v>10</v>
      </c>
      <c r="B11" s="14">
        <v>5861.94</v>
      </c>
      <c r="C11" s="14">
        <v>228.07</v>
      </c>
      <c r="D11" s="14">
        <f t="shared" si="0"/>
        <v>6090.0099999999993</v>
      </c>
      <c r="E11" s="14">
        <v>7458.86</v>
      </c>
      <c r="F11" s="14">
        <v>391.64</v>
      </c>
      <c r="G11" s="14">
        <f t="shared" si="1"/>
        <v>7850.5</v>
      </c>
      <c r="H11" s="14">
        <v>7041.39</v>
      </c>
      <c r="I11" s="14">
        <v>349</v>
      </c>
      <c r="J11" s="14">
        <f t="shared" si="2"/>
        <v>7390.39</v>
      </c>
      <c r="K11" s="14">
        <f>H11/E11*100</f>
        <v>94.403032098738962</v>
      </c>
      <c r="L11" s="14">
        <f>I11/F11*100</f>
        <v>89.112450209375965</v>
      </c>
      <c r="M11" s="14">
        <f>J11/G11*100</f>
        <v>94.139099420419086</v>
      </c>
      <c r="N11" s="5"/>
      <c r="O11" s="5"/>
      <c r="P11" s="5"/>
    </row>
    <row r="12" spans="1:16" s="1" customFormat="1" ht="22.9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5"/>
      <c r="O12" s="5"/>
      <c r="P12" s="5"/>
    </row>
    <row r="13" spans="1:16" s="1" customFormat="1" ht="22.9" customHeight="1">
      <c r="A13" s="13" t="s">
        <v>11</v>
      </c>
      <c r="B13" s="14">
        <v>7418.5</v>
      </c>
      <c r="C13" s="14">
        <v>407</v>
      </c>
      <c r="D13" s="14">
        <f t="shared" si="0"/>
        <v>7825.5</v>
      </c>
      <c r="E13" s="14">
        <v>7218.65</v>
      </c>
      <c r="F13" s="14">
        <v>407.01</v>
      </c>
      <c r="G13" s="14">
        <f t="shared" si="1"/>
        <v>7625.66</v>
      </c>
      <c r="H13" s="14">
        <v>6935.63</v>
      </c>
      <c r="I13" s="14">
        <v>252.16</v>
      </c>
      <c r="J13" s="14">
        <f t="shared" si="2"/>
        <v>7187.79</v>
      </c>
      <c r="K13" s="14">
        <f>H13/E13*100</f>
        <v>96.079322310958432</v>
      </c>
      <c r="L13" s="14">
        <f>I13/F13*100</f>
        <v>61.954251738286523</v>
      </c>
      <c r="M13" s="14">
        <f>J13/G13*100</f>
        <v>94.257939640634376</v>
      </c>
      <c r="N13" s="5"/>
      <c r="O13" s="5"/>
      <c r="P13" s="5"/>
    </row>
    <row r="14" spans="1:16" ht="22.9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6"/>
      <c r="O14" s="16"/>
      <c r="P14" s="16"/>
    </row>
    <row r="15" spans="1:16" ht="39" customHeight="1">
      <c r="A15" s="13" t="s">
        <v>12</v>
      </c>
      <c r="B15" s="14">
        <v>7493.65</v>
      </c>
      <c r="C15" s="14">
        <v>406.85</v>
      </c>
      <c r="D15" s="14">
        <f t="shared" si="0"/>
        <v>7900.5</v>
      </c>
      <c r="E15" s="14">
        <v>7493.65</v>
      </c>
      <c r="F15" s="14">
        <v>406.85</v>
      </c>
      <c r="G15" s="14">
        <f t="shared" si="1"/>
        <v>7900.5</v>
      </c>
      <c r="H15" s="14">
        <v>7248.16</v>
      </c>
      <c r="I15" s="14">
        <v>275.44</v>
      </c>
      <c r="J15" s="14">
        <f t="shared" si="2"/>
        <v>7523.5999999999995</v>
      </c>
      <c r="K15" s="14">
        <f>H15/E15*100</f>
        <v>96.724026342303148</v>
      </c>
      <c r="L15" s="14">
        <f>I15/F15*100</f>
        <v>67.700626766621596</v>
      </c>
      <c r="M15" s="14">
        <f>J15/G15*100</f>
        <v>95.229415859755704</v>
      </c>
      <c r="N15" s="16"/>
      <c r="O15" s="16"/>
      <c r="P15" s="16"/>
    </row>
    <row r="16" spans="1: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6"/>
      <c r="O16" s="16"/>
      <c r="P16" s="16"/>
    </row>
    <row r="17" spans="1:16" ht="56.25">
      <c r="A17" s="13" t="s">
        <v>14</v>
      </c>
      <c r="B17" s="14">
        <v>7820.5</v>
      </c>
      <c r="C17" s="14">
        <v>438</v>
      </c>
      <c r="D17" s="14">
        <f t="shared" si="0"/>
        <v>8258.5</v>
      </c>
      <c r="E17" s="14" t="s">
        <v>15</v>
      </c>
      <c r="F17" s="14" t="s">
        <v>15</v>
      </c>
      <c r="G17" s="14" t="s">
        <v>15</v>
      </c>
      <c r="H17" s="14">
        <v>871.55</v>
      </c>
      <c r="I17" s="14">
        <v>0</v>
      </c>
      <c r="J17" s="19" t="s">
        <v>16</v>
      </c>
      <c r="K17" s="14">
        <f>H17/B17*100</f>
        <v>11.144428105619845</v>
      </c>
      <c r="L17" s="14">
        <f>I17/C17*100</f>
        <v>0</v>
      </c>
      <c r="M17" s="14">
        <v>10.55</v>
      </c>
      <c r="N17" s="16"/>
      <c r="O17" s="16"/>
      <c r="P17" s="16"/>
    </row>
    <row r="18" spans="1:16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1:16" ht="18.75">
      <c r="A19" s="20" t="s">
        <v>13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16"/>
      <c r="O19" s="16"/>
      <c r="P19" s="16"/>
    </row>
  </sheetData>
  <mergeCells count="8">
    <mergeCell ref="A19:M19"/>
    <mergeCell ref="A2:M2"/>
    <mergeCell ref="K3:M3"/>
    <mergeCell ref="A4:A5"/>
    <mergeCell ref="B4:D4"/>
    <mergeCell ref="E4:G4"/>
    <mergeCell ref="H4:J4"/>
    <mergeCell ref="K4:M4"/>
  </mergeCells>
  <pageMargins left="0.19685039370078741" right="0.19685039370078741" top="0.74803149606299213" bottom="0.74803149606299213" header="0.31496062992125984" footer="0.31496062992125984"/>
  <pageSetup paperSize="9" scale="9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2020-04-23T06:38:14Z</cp:lastPrinted>
  <dcterms:created xsi:type="dcterms:W3CDTF">2020-02-12T06:47:13Z</dcterms:created>
  <dcterms:modified xsi:type="dcterms:W3CDTF">2020-05-05T11:00:05Z</dcterms:modified>
</cp:coreProperties>
</file>