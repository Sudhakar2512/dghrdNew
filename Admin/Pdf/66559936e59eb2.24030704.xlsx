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ghrd\Desktop\"/>
    </mc:Choice>
  </mc:AlternateContent>
  <bookViews>
    <workbookView xWindow="0" yWindow="0" windowWidth="28800" windowHeight="12135"/>
  </bookViews>
  <sheets>
    <sheet name="December (2022-23)" sheetId="3" r:id="rId1"/>
  </sheets>
  <definedNames>
    <definedName name="_xlnm.Print_Area" localSheetId="0">'December (2022-23)'!$A$1:$O$49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2" i="3" l="1"/>
  <c r="N35" i="3"/>
  <c r="N40" i="3" s="1"/>
  <c r="M35" i="3"/>
  <c r="N38" i="3" s="1"/>
  <c r="I35" i="3"/>
  <c r="H35" i="3"/>
  <c r="D35" i="3"/>
  <c r="C35" i="3"/>
  <c r="O34" i="3"/>
  <c r="E34" i="3"/>
  <c r="O33" i="3"/>
  <c r="E33" i="3"/>
  <c r="O32" i="3"/>
  <c r="E32" i="3"/>
  <c r="O31" i="3"/>
  <c r="E31" i="3"/>
  <c r="O30" i="3"/>
  <c r="E30" i="3"/>
  <c r="O29" i="3"/>
  <c r="E29" i="3"/>
  <c r="O28" i="3"/>
  <c r="E28" i="3"/>
  <c r="O27" i="3"/>
  <c r="E27" i="3"/>
  <c r="O26" i="3"/>
  <c r="E26" i="3"/>
  <c r="O25" i="3"/>
  <c r="E25" i="3"/>
  <c r="O24" i="3"/>
  <c r="E24" i="3"/>
  <c r="O23" i="3"/>
  <c r="E23" i="3"/>
  <c r="O22" i="3"/>
  <c r="E22" i="3"/>
  <c r="O21" i="3"/>
  <c r="E21" i="3"/>
  <c r="O20" i="3"/>
  <c r="E20" i="3"/>
  <c r="O19" i="3"/>
  <c r="E19" i="3"/>
  <c r="O18" i="3"/>
  <c r="E18" i="3"/>
  <c r="O17" i="3"/>
  <c r="E17" i="3"/>
  <c r="O16" i="3"/>
  <c r="E16" i="3"/>
  <c r="O15" i="3"/>
  <c r="E15" i="3"/>
  <c r="O14" i="3"/>
  <c r="E14" i="3"/>
  <c r="O13" i="3"/>
  <c r="E13" i="3"/>
  <c r="O12" i="3"/>
  <c r="E12" i="3"/>
  <c r="O11" i="3"/>
  <c r="J11" i="3"/>
  <c r="E11" i="3"/>
  <c r="O10" i="3"/>
  <c r="J10" i="3"/>
  <c r="E10" i="3"/>
  <c r="O9" i="3"/>
  <c r="J9" i="3"/>
  <c r="E9" i="3"/>
  <c r="O8" i="3"/>
  <c r="J8" i="3"/>
  <c r="E8" i="3"/>
  <c r="O7" i="3"/>
  <c r="J7" i="3"/>
  <c r="E7" i="3"/>
  <c r="O6" i="3"/>
  <c r="J6" i="3"/>
  <c r="E6" i="3"/>
  <c r="O5" i="3"/>
  <c r="J5" i="3"/>
  <c r="E5" i="3"/>
  <c r="I45" i="3" l="1"/>
  <c r="I47" i="3" s="1"/>
  <c r="C40" i="3"/>
  <c r="C38" i="3"/>
  <c r="I38" i="3" s="1"/>
  <c r="I40" i="3" l="1"/>
  <c r="I48" i="3" s="1"/>
  <c r="I49" i="3" s="1"/>
</calcChain>
</file>

<file path=xl/sharedStrings.xml><?xml version="1.0" encoding="utf-8"?>
<sst xmlns="http://schemas.openxmlformats.org/spreadsheetml/2006/main" count="105" uniqueCount="91">
  <si>
    <t xml:space="preserve">(Rs. In thousand) </t>
  </si>
  <si>
    <t>GST</t>
  </si>
  <si>
    <t>Customs</t>
  </si>
  <si>
    <t>S.No.</t>
  </si>
  <si>
    <t>Budgetary Authority</t>
  </si>
  <si>
    <t>Expenditure</t>
  </si>
  <si>
    <t>%</t>
  </si>
  <si>
    <t>PCCGST, Ahmedabad</t>
  </si>
  <si>
    <t>CDR, CESTAT</t>
  </si>
  <si>
    <t>CCC, Ahmedabad</t>
  </si>
  <si>
    <t>PCCGST, Bengaluru</t>
  </si>
  <si>
    <t>DG, Systems</t>
  </si>
  <si>
    <t>CCC, Bangalore</t>
  </si>
  <si>
    <t>CCGST, Bhopal</t>
  </si>
  <si>
    <t>Commissioner, Data Management</t>
  </si>
  <si>
    <t xml:space="preserve">CC (P), Bhubneshwar </t>
  </si>
  <si>
    <t>CCGST, Bhubaneshwar</t>
  </si>
  <si>
    <t>DG, NACIN</t>
  </si>
  <si>
    <t>CCC, Chennai</t>
  </si>
  <si>
    <t>CCGST, Chandigarh</t>
  </si>
  <si>
    <t>DG, Vigilance</t>
  </si>
  <si>
    <t>CCC(P), Trichy</t>
  </si>
  <si>
    <t>PCCGST, Chennai</t>
  </si>
  <si>
    <t>DG, GSTI</t>
  </si>
  <si>
    <t>CC, Cochin</t>
  </si>
  <si>
    <t>CCGST, Thiruvanthaputam</t>
  </si>
  <si>
    <t>Commissioner, Settlement Commission</t>
  </si>
  <si>
    <t>CC(P), Cochin</t>
  </si>
  <si>
    <t>PCCGST, Delhi</t>
  </si>
  <si>
    <t>Pr, CCA, Directorate</t>
  </si>
  <si>
    <t>CCC, Delhi</t>
  </si>
  <si>
    <t>CCGST, Panchkula</t>
  </si>
  <si>
    <t>CCC(P),Delhi</t>
  </si>
  <si>
    <t>CCGST, Hyderabad</t>
  </si>
  <si>
    <t>CC, Goa</t>
  </si>
  <si>
    <t>CCGST, Jaipur</t>
  </si>
  <si>
    <t>CC, Hyderabad</t>
  </si>
  <si>
    <t>PCCGST, Kolkata</t>
  </si>
  <si>
    <t>CC, Indore</t>
  </si>
  <si>
    <t>PCCGST, Lucknow</t>
  </si>
  <si>
    <t>CCC, Kolkata</t>
  </si>
  <si>
    <t>CCGST, Meerut</t>
  </si>
  <si>
    <t>CCC, Mumbai-I</t>
  </si>
  <si>
    <t>PCCGST, Mumbai</t>
  </si>
  <si>
    <t>CCC, Mumbai-II</t>
  </si>
  <si>
    <t>CCGST, Nagpur</t>
  </si>
  <si>
    <t>CCC, Mumbai-III</t>
  </si>
  <si>
    <t>CCGST, Ranchi</t>
  </si>
  <si>
    <t>CC, Nagpur</t>
  </si>
  <si>
    <t>CCGST, Pune</t>
  </si>
  <si>
    <t>CC, Noida</t>
  </si>
  <si>
    <t>CCGST, Guwahati</t>
  </si>
  <si>
    <t xml:space="preserve">CCC(P), Patna </t>
  </si>
  <si>
    <t>CCGST, Vadodara</t>
  </si>
  <si>
    <t>CC, Pune</t>
  </si>
  <si>
    <t>CCGST, Visakhapatnam</t>
  </si>
  <si>
    <t>CC(P), Shillong</t>
  </si>
  <si>
    <t>DG, ARM</t>
  </si>
  <si>
    <t>CC, Visakhapatnam</t>
  </si>
  <si>
    <t>DG, Tax Payer Service</t>
  </si>
  <si>
    <t>DG, GST, Delhi</t>
  </si>
  <si>
    <t>DGEP</t>
  </si>
  <si>
    <t>Pr.CCA (Central Excise), Delhi</t>
  </si>
  <si>
    <t>CRCL</t>
  </si>
  <si>
    <t>DG, Performance Management</t>
  </si>
  <si>
    <t>PAO-Customs</t>
  </si>
  <si>
    <t>Commissioner, Directorate of Legal Affairs</t>
  </si>
  <si>
    <t>Commissioner, Logistics</t>
  </si>
  <si>
    <t>DG, HRD</t>
  </si>
  <si>
    <t>DG, DRI</t>
  </si>
  <si>
    <t>DG, Audit</t>
  </si>
  <si>
    <t>DG, Valuation</t>
  </si>
  <si>
    <t>DG, Anti-Profiteering</t>
  </si>
  <si>
    <t>PADG, DIC</t>
  </si>
  <si>
    <t>Total</t>
  </si>
  <si>
    <t>Total Allocation of GST=</t>
  </si>
  <si>
    <t>Total Allocation of Custom=</t>
  </si>
  <si>
    <t>GST Expenditure=</t>
  </si>
  <si>
    <t>Total Custom &amp; GST Expenditure=</t>
  </si>
  <si>
    <t>Custom Expenditure=</t>
  </si>
  <si>
    <t>Budget Allocation to All Budgetary Authorities=</t>
  </si>
  <si>
    <t xml:space="preserve"> </t>
  </si>
  <si>
    <t>Reserve Fund=</t>
  </si>
  <si>
    <t xml:space="preserve">             Total Allocation of GST &amp; Custom=</t>
  </si>
  <si>
    <t xml:space="preserve">  </t>
  </si>
  <si>
    <t xml:space="preserve">CC(P), Vijayawada </t>
  </si>
  <si>
    <t>Total Expenditure Custom &amp; CGST =</t>
  </si>
  <si>
    <t>Total Expenditure Custom &amp; CGST Exp. % =</t>
  </si>
  <si>
    <t>Total Budget for Swachhta  FY 2022-23=</t>
  </si>
  <si>
    <t>BE      2022-23 + Addl. Funds</t>
  </si>
  <si>
    <t>Expenditure of "Swachhta" Upto December, 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</si>
</sst>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Bookman Old Style"/>
      <family val="1"/>
    </font>
    <font>
      <sz val="20"/>
      <color theme="1"/>
      <name val="Calibri"/>
      <family val="2"/>
      <scheme val="minor"/>
    </font>
    <font>
      <sz val="18"/>
      <color theme="1"/>
      <name val="Bookman Old Style"/>
      <family val="1"/>
    </font>
    <font>
      <sz val="18"/>
      <name val="Bookman Old Style"/>
      <family val="1"/>
    </font>
    <font>
      <b/>
      <sz val="18"/>
      <name val="Bookman Old Style"/>
      <family val="1"/>
    </font>
    <font>
      <sz val="11"/>
      <color theme="1"/>
      <name val="Bookman Old Style"/>
      <family val="1"/>
    </font>
    <font>
      <b/>
      <sz val="22"/>
      <color theme="1"/>
      <name val="Bookman Old Style"/>
      <family val="1"/>
    </font>
    <font>
      <b/>
      <sz val="22"/>
      <color theme="1"/>
      <name val="Calibri"/>
      <family val="2"/>
      <scheme val="minor"/>
    </font>
    <font>
      <sz val="11"/>
      <name val="Arial"/>
      <family val="2"/>
    </font>
    <font>
      <sz val="12"/>
      <name val="Verdana"/>
      <family val="2"/>
    </font>
    <font>
      <b/>
      <sz val="36"/>
      <color theme="1"/>
      <name val="Bookman Old Style"/>
      <family val="1"/>
    </font>
    <font>
      <b/>
      <sz val="22"/>
      <name val="Bookman Old Style"/>
      <family val="1"/>
    </font>
    <font>
      <sz val="11"/>
      <name val="Bookman Old Style"/>
      <family val="1"/>
    </font>
    <font>
      <b/>
      <sz val="20"/>
      <name val="Bookman Old Style"/>
      <family val="1"/>
    </font>
    <font>
      <sz val="20"/>
      <name val="Bookman Old Style"/>
      <family val="1"/>
    </font>
    <font>
      <b/>
      <sz val="12"/>
      <name val="Calibri"/>
      <family val="2"/>
      <scheme val="minor"/>
    </font>
    <font>
      <sz val="24"/>
      <color theme="1"/>
      <name val="Bookman Old Style"/>
      <family val="1"/>
    </font>
    <font>
      <sz val="16"/>
      <name val="Bookman Old Style"/>
      <family val="1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40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0" fontId="11" fillId="0" borderId="0"/>
  </cellStyleXfs>
  <cellXfs count="41">
    <xf numFmtId="0" fontId="0" fillId="0" borderId="0" xfId="0"/>
    <xf numFmtId="0" fontId="0" fillId="0" borderId="0" xfId="0" applyAlignment="1">
      <alignment vertical="top"/>
    </xf>
    <xf numFmtId="0" fontId="3" fillId="0" borderId="0" xfId="0" applyFont="1"/>
    <xf numFmtId="0" fontId="1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20" fillId="0" borderId="0" xfId="0" applyFont="1"/>
    <xf numFmtId="0" fontId="1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7" fillId="0" borderId="1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21" fillId="0" borderId="0" xfId="0" applyFont="1"/>
    <xf numFmtId="1" fontId="0" fillId="0" borderId="0" xfId="0" applyNumberFormat="1"/>
    <xf numFmtId="0" fontId="18" fillId="0" borderId="0" xfId="0" applyFont="1"/>
    <xf numFmtId="0" fontId="12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9"/>
  <sheetViews>
    <sheetView tabSelected="1" view="pageBreakPreview" zoomScale="58" zoomScaleSheetLayoutView="58" workbookViewId="0">
      <selection sqref="A1:O1"/>
    </sheetView>
  </sheetViews>
  <sheetFormatPr defaultRowHeight="15" x14ac:dyDescent="0.25"/>
  <cols>
    <col min="1" max="1" width="10" style="20" customWidth="1"/>
    <col min="2" max="2" width="56.7109375" style="21" customWidth="1"/>
    <col min="3" max="3" width="21.85546875" style="21" customWidth="1"/>
    <col min="4" max="4" width="27.42578125" style="21" customWidth="1"/>
    <col min="5" max="5" width="17.7109375" style="21" customWidth="1"/>
    <col min="6" max="6" width="12.28515625" style="20" customWidth="1"/>
    <col min="7" max="7" width="49.5703125" style="22" customWidth="1"/>
    <col min="8" max="8" width="19.28515625" style="22" customWidth="1"/>
    <col min="9" max="9" width="25" style="22" customWidth="1"/>
    <col min="10" max="10" width="19.28515625" style="22" customWidth="1"/>
    <col min="11" max="11" width="12" style="23" customWidth="1"/>
    <col min="12" max="12" width="47.5703125" style="22" customWidth="1"/>
    <col min="13" max="13" width="22.42578125" style="22" customWidth="1"/>
    <col min="14" max="14" width="25.140625" customWidth="1"/>
    <col min="15" max="15" width="18.28515625" customWidth="1"/>
    <col min="17" max="17" width="23" customWidth="1"/>
  </cols>
  <sheetData>
    <row r="1" spans="1:19" s="1" customFormat="1" ht="56.25" customHeight="1" x14ac:dyDescent="0.25">
      <c r="A1" s="37" t="s">
        <v>90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9" ht="24.75" customHeight="1" x14ac:dyDescent="0.25">
      <c r="A2" s="39" t="s">
        <v>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9" s="2" customFormat="1" ht="21" customHeight="1" x14ac:dyDescent="0.4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30"/>
      <c r="K3" s="32"/>
      <c r="L3" s="40" t="s">
        <v>2</v>
      </c>
      <c r="M3" s="40"/>
      <c r="N3" s="40"/>
      <c r="O3" s="32"/>
    </row>
    <row r="4" spans="1:19" s="4" customFormat="1" ht="117.75" customHeight="1" x14ac:dyDescent="0.4">
      <c r="A4" s="30" t="s">
        <v>3</v>
      </c>
      <c r="B4" s="30" t="s">
        <v>4</v>
      </c>
      <c r="C4" s="3" t="s">
        <v>89</v>
      </c>
      <c r="D4" s="3" t="s">
        <v>5</v>
      </c>
      <c r="E4" s="3" t="s">
        <v>6</v>
      </c>
      <c r="F4" s="30" t="s">
        <v>3</v>
      </c>
      <c r="G4" s="30" t="s">
        <v>4</v>
      </c>
      <c r="H4" s="3" t="s">
        <v>89</v>
      </c>
      <c r="I4" s="30" t="s">
        <v>5</v>
      </c>
      <c r="J4" s="30" t="s">
        <v>6</v>
      </c>
      <c r="K4" s="30" t="s">
        <v>3</v>
      </c>
      <c r="L4" s="30" t="s">
        <v>4</v>
      </c>
      <c r="M4" s="3" t="s">
        <v>89</v>
      </c>
      <c r="N4" s="30" t="s">
        <v>5</v>
      </c>
      <c r="O4" s="3" t="s">
        <v>6</v>
      </c>
    </row>
    <row r="5" spans="1:19" ht="32.25" customHeight="1" x14ac:dyDescent="0.25">
      <c r="A5" s="5">
        <v>1</v>
      </c>
      <c r="B5" s="31" t="s">
        <v>7</v>
      </c>
      <c r="C5" s="5">
        <v>9000</v>
      </c>
      <c r="D5" s="6">
        <v>6631</v>
      </c>
      <c r="E5" s="7">
        <f>D5/C5*100</f>
        <v>73.677777777777777</v>
      </c>
      <c r="F5" s="5">
        <v>31</v>
      </c>
      <c r="G5" s="31" t="s">
        <v>8</v>
      </c>
      <c r="H5" s="5">
        <v>4000</v>
      </c>
      <c r="I5" s="6">
        <v>2008</v>
      </c>
      <c r="J5" s="7">
        <f t="shared" ref="J5:J12" si="0">I5/H5*100</f>
        <v>50.2</v>
      </c>
      <c r="K5" s="5">
        <v>1</v>
      </c>
      <c r="L5" s="31" t="s">
        <v>9</v>
      </c>
      <c r="M5" s="5">
        <v>5700</v>
      </c>
      <c r="N5" s="6">
        <v>2010</v>
      </c>
      <c r="O5" s="7">
        <f>N5/M5*100</f>
        <v>35.263157894736842</v>
      </c>
    </row>
    <row r="6" spans="1:19" ht="32.25" customHeight="1" x14ac:dyDescent="0.25">
      <c r="A6" s="5">
        <v>2</v>
      </c>
      <c r="B6" s="31" t="s">
        <v>10</v>
      </c>
      <c r="C6" s="5">
        <v>10000</v>
      </c>
      <c r="D6" s="6">
        <v>6873</v>
      </c>
      <c r="E6" s="7">
        <f t="shared" ref="E6:E31" si="1">D6/C6*100</f>
        <v>68.73</v>
      </c>
      <c r="F6" s="5">
        <v>32</v>
      </c>
      <c r="G6" s="31" t="s">
        <v>11</v>
      </c>
      <c r="H6" s="5">
        <v>8500</v>
      </c>
      <c r="I6" s="6">
        <v>2054</v>
      </c>
      <c r="J6" s="7">
        <f t="shared" si="0"/>
        <v>24.164705882352941</v>
      </c>
      <c r="K6" s="5">
        <v>2</v>
      </c>
      <c r="L6" s="31" t="s">
        <v>12</v>
      </c>
      <c r="M6" s="5">
        <v>3200</v>
      </c>
      <c r="N6" s="6">
        <v>1060</v>
      </c>
      <c r="O6" s="7">
        <f t="shared" ref="O6:O34" si="2">N6/M6*100</f>
        <v>33.125</v>
      </c>
    </row>
    <row r="7" spans="1:19" ht="50.25" customHeight="1" x14ac:dyDescent="0.25">
      <c r="A7" s="5">
        <v>3</v>
      </c>
      <c r="B7" s="31" t="s">
        <v>13</v>
      </c>
      <c r="C7" s="5">
        <v>11000</v>
      </c>
      <c r="D7" s="6">
        <v>6270</v>
      </c>
      <c r="E7" s="7">
        <f t="shared" si="1"/>
        <v>56.999999999999993</v>
      </c>
      <c r="F7" s="5">
        <v>33</v>
      </c>
      <c r="G7" s="31" t="s">
        <v>14</v>
      </c>
      <c r="H7" s="5">
        <v>400</v>
      </c>
      <c r="I7" s="6">
        <v>238</v>
      </c>
      <c r="J7" s="7">
        <f t="shared" si="0"/>
        <v>59.5</v>
      </c>
      <c r="K7" s="5">
        <v>3</v>
      </c>
      <c r="L7" s="31" t="s">
        <v>15</v>
      </c>
      <c r="M7" s="5">
        <v>1200</v>
      </c>
      <c r="N7" s="6">
        <v>21</v>
      </c>
      <c r="O7" s="7">
        <f t="shared" si="2"/>
        <v>1.7500000000000002</v>
      </c>
    </row>
    <row r="8" spans="1:19" ht="32.25" customHeight="1" x14ac:dyDescent="0.25">
      <c r="A8" s="5">
        <v>4</v>
      </c>
      <c r="B8" s="31" t="s">
        <v>16</v>
      </c>
      <c r="C8" s="5">
        <v>6000</v>
      </c>
      <c r="D8" s="6">
        <v>3996</v>
      </c>
      <c r="E8" s="7">
        <f t="shared" si="1"/>
        <v>66.600000000000009</v>
      </c>
      <c r="F8" s="5">
        <v>34</v>
      </c>
      <c r="G8" s="31" t="s">
        <v>17</v>
      </c>
      <c r="H8" s="5">
        <v>17000</v>
      </c>
      <c r="I8" s="6">
        <v>6805</v>
      </c>
      <c r="J8" s="7">
        <f t="shared" si="0"/>
        <v>40.029411764705877</v>
      </c>
      <c r="K8" s="5">
        <v>4</v>
      </c>
      <c r="L8" s="31" t="s">
        <v>18</v>
      </c>
      <c r="M8" s="5">
        <v>32000</v>
      </c>
      <c r="N8" s="6">
        <v>12962</v>
      </c>
      <c r="O8" s="7">
        <f t="shared" si="2"/>
        <v>40.506250000000001</v>
      </c>
    </row>
    <row r="9" spans="1:19" ht="32.25" customHeight="1" x14ac:dyDescent="0.25">
      <c r="A9" s="5">
        <v>5</v>
      </c>
      <c r="B9" s="31" t="s">
        <v>19</v>
      </c>
      <c r="C9" s="5">
        <v>10000</v>
      </c>
      <c r="D9" s="6">
        <v>6713</v>
      </c>
      <c r="E9" s="7">
        <f t="shared" si="1"/>
        <v>67.13</v>
      </c>
      <c r="F9" s="5">
        <v>35</v>
      </c>
      <c r="G9" s="31" t="s">
        <v>20</v>
      </c>
      <c r="H9" s="5">
        <v>3000</v>
      </c>
      <c r="I9" s="6">
        <v>804</v>
      </c>
      <c r="J9" s="7">
        <f t="shared" si="0"/>
        <v>26.8</v>
      </c>
      <c r="K9" s="5">
        <v>5</v>
      </c>
      <c r="L9" s="31" t="s">
        <v>21</v>
      </c>
      <c r="M9" s="5">
        <v>31000</v>
      </c>
      <c r="N9" s="6">
        <v>22926</v>
      </c>
      <c r="O9" s="7">
        <f t="shared" si="2"/>
        <v>73.954838709677418</v>
      </c>
    </row>
    <row r="10" spans="1:19" ht="36.75" customHeight="1" x14ac:dyDescent="0.25">
      <c r="A10" s="5">
        <v>6</v>
      </c>
      <c r="B10" s="31" t="s">
        <v>22</v>
      </c>
      <c r="C10" s="5">
        <v>17500</v>
      </c>
      <c r="D10" s="6">
        <v>7669</v>
      </c>
      <c r="E10" s="7">
        <f t="shared" si="1"/>
        <v>43.822857142857139</v>
      </c>
      <c r="F10" s="5">
        <v>36</v>
      </c>
      <c r="G10" s="31" t="s">
        <v>23</v>
      </c>
      <c r="H10" s="5">
        <v>11000</v>
      </c>
      <c r="I10" s="6">
        <v>4276</v>
      </c>
      <c r="J10" s="7">
        <f t="shared" si="0"/>
        <v>38.872727272727275</v>
      </c>
      <c r="K10" s="5">
        <v>6</v>
      </c>
      <c r="L10" s="31" t="s">
        <v>24</v>
      </c>
      <c r="M10" s="5">
        <v>3000</v>
      </c>
      <c r="N10" s="6">
        <v>0</v>
      </c>
      <c r="O10" s="7">
        <f t="shared" si="2"/>
        <v>0</v>
      </c>
    </row>
    <row r="11" spans="1:19" ht="47.25" customHeight="1" x14ac:dyDescent="0.5">
      <c r="A11" s="5">
        <v>7</v>
      </c>
      <c r="B11" s="31" t="s">
        <v>25</v>
      </c>
      <c r="C11" s="5">
        <v>8000</v>
      </c>
      <c r="D11" s="6">
        <v>3902</v>
      </c>
      <c r="E11" s="7">
        <f t="shared" si="1"/>
        <v>48.774999999999999</v>
      </c>
      <c r="F11" s="5">
        <v>37</v>
      </c>
      <c r="G11" s="31" t="s">
        <v>26</v>
      </c>
      <c r="H11" s="5">
        <v>1800</v>
      </c>
      <c r="I11" s="6">
        <v>640</v>
      </c>
      <c r="J11" s="7">
        <f t="shared" si="0"/>
        <v>35.555555555555557</v>
      </c>
      <c r="K11" s="5">
        <v>7</v>
      </c>
      <c r="L11" s="31" t="s">
        <v>27</v>
      </c>
      <c r="M11" s="5">
        <v>2000</v>
      </c>
      <c r="N11" s="6">
        <v>555</v>
      </c>
      <c r="O11" s="7">
        <f t="shared" si="2"/>
        <v>27.750000000000004</v>
      </c>
      <c r="S11" s="8"/>
    </row>
    <row r="12" spans="1:19" ht="32.25" customHeight="1" x14ac:dyDescent="0.25">
      <c r="A12" s="5">
        <v>8</v>
      </c>
      <c r="B12" s="31" t="s">
        <v>28</v>
      </c>
      <c r="C12" s="5">
        <v>10000</v>
      </c>
      <c r="D12" s="6">
        <v>6253</v>
      </c>
      <c r="E12" s="7">
        <f t="shared" si="1"/>
        <v>62.529999999999994</v>
      </c>
      <c r="F12" s="5">
        <v>38</v>
      </c>
      <c r="G12" s="31" t="s">
        <v>29</v>
      </c>
      <c r="H12" s="5">
        <v>30</v>
      </c>
      <c r="I12" s="6">
        <v>11</v>
      </c>
      <c r="J12" s="7">
        <f t="shared" si="0"/>
        <v>36.666666666666664</v>
      </c>
      <c r="K12" s="5">
        <v>8</v>
      </c>
      <c r="L12" s="31" t="s">
        <v>30</v>
      </c>
      <c r="M12" s="5">
        <v>23584</v>
      </c>
      <c r="N12" s="6">
        <v>15345</v>
      </c>
      <c r="O12" s="7">
        <f t="shared" si="2"/>
        <v>65.065298507462686</v>
      </c>
    </row>
    <row r="13" spans="1:19" ht="27.75" customHeight="1" x14ac:dyDescent="0.25">
      <c r="A13" s="5">
        <v>9</v>
      </c>
      <c r="B13" s="31" t="s">
        <v>31</v>
      </c>
      <c r="C13" s="5">
        <v>8500</v>
      </c>
      <c r="D13" s="6">
        <v>6706</v>
      </c>
      <c r="E13" s="7">
        <f t="shared" si="1"/>
        <v>78.89411764705882</v>
      </c>
      <c r="F13" s="9"/>
      <c r="G13" s="9"/>
      <c r="H13" s="9"/>
      <c r="I13" s="9"/>
      <c r="J13" s="7"/>
      <c r="K13" s="5">
        <v>9</v>
      </c>
      <c r="L13" s="31" t="s">
        <v>32</v>
      </c>
      <c r="M13" s="5">
        <v>7000</v>
      </c>
      <c r="N13" s="6">
        <v>3298</v>
      </c>
      <c r="O13" s="7">
        <f t="shared" si="2"/>
        <v>47.114285714285714</v>
      </c>
    </row>
    <row r="14" spans="1:19" ht="32.25" customHeight="1" x14ac:dyDescent="0.25">
      <c r="A14" s="5">
        <v>10</v>
      </c>
      <c r="B14" s="31" t="s">
        <v>33</v>
      </c>
      <c r="C14" s="5">
        <v>9000</v>
      </c>
      <c r="D14" s="6">
        <v>3661</v>
      </c>
      <c r="E14" s="7">
        <f t="shared" si="1"/>
        <v>40.677777777777777</v>
      </c>
      <c r="F14" s="9"/>
      <c r="G14" s="9"/>
      <c r="H14" s="9"/>
      <c r="I14" s="9"/>
      <c r="J14" s="9"/>
      <c r="K14" s="5">
        <v>10</v>
      </c>
      <c r="L14" s="31" t="s">
        <v>34</v>
      </c>
      <c r="M14" s="5">
        <v>1750</v>
      </c>
      <c r="N14" s="6">
        <v>1254</v>
      </c>
      <c r="O14" s="7">
        <f t="shared" si="2"/>
        <v>71.657142857142858</v>
      </c>
    </row>
    <row r="15" spans="1:19" ht="30" customHeight="1" x14ac:dyDescent="0.25">
      <c r="A15" s="5">
        <v>11</v>
      </c>
      <c r="B15" s="31" t="s">
        <v>35</v>
      </c>
      <c r="C15" s="5">
        <v>9000</v>
      </c>
      <c r="D15" s="6">
        <v>7258</v>
      </c>
      <c r="E15" s="7">
        <f t="shared" si="1"/>
        <v>80.644444444444446</v>
      </c>
      <c r="F15" s="9"/>
      <c r="G15" s="33"/>
      <c r="H15" s="9"/>
      <c r="I15" s="9"/>
      <c r="J15" s="9"/>
      <c r="K15" s="5">
        <v>11</v>
      </c>
      <c r="L15" s="31" t="s">
        <v>36</v>
      </c>
      <c r="M15" s="5">
        <v>1000</v>
      </c>
      <c r="N15" s="6">
        <v>253</v>
      </c>
      <c r="O15" s="7">
        <f t="shared" si="2"/>
        <v>25.3</v>
      </c>
    </row>
    <row r="16" spans="1:19" ht="26.25" customHeight="1" x14ac:dyDescent="0.25">
      <c r="A16" s="5">
        <v>12</v>
      </c>
      <c r="B16" s="31" t="s">
        <v>37</v>
      </c>
      <c r="C16" s="5">
        <v>12000</v>
      </c>
      <c r="D16" s="6">
        <v>5839</v>
      </c>
      <c r="E16" s="7">
        <f t="shared" si="1"/>
        <v>48.658333333333331</v>
      </c>
      <c r="F16" s="5"/>
      <c r="G16" s="31"/>
      <c r="H16" s="6"/>
      <c r="I16" s="6"/>
      <c r="J16" s="9"/>
      <c r="K16" s="5">
        <v>12</v>
      </c>
      <c r="L16" s="31" t="s">
        <v>38</v>
      </c>
      <c r="M16" s="5">
        <v>1100</v>
      </c>
      <c r="N16" s="6">
        <v>20</v>
      </c>
      <c r="O16" s="7">
        <f t="shared" si="2"/>
        <v>1.8181818181818181</v>
      </c>
    </row>
    <row r="17" spans="1:15" ht="32.25" customHeight="1" x14ac:dyDescent="0.25">
      <c r="A17" s="5">
        <v>13</v>
      </c>
      <c r="B17" s="31" t="s">
        <v>39</v>
      </c>
      <c r="C17" s="5">
        <v>66645</v>
      </c>
      <c r="D17" s="6">
        <v>6337</v>
      </c>
      <c r="E17" s="7">
        <f t="shared" si="1"/>
        <v>9.5085902918448504</v>
      </c>
      <c r="F17" s="5"/>
      <c r="G17" s="6"/>
      <c r="H17" s="6"/>
      <c r="I17" s="6"/>
      <c r="J17" s="6"/>
      <c r="K17" s="5">
        <v>13</v>
      </c>
      <c r="L17" s="31" t="s">
        <v>40</v>
      </c>
      <c r="M17" s="5">
        <v>9500</v>
      </c>
      <c r="N17" s="6">
        <v>4839</v>
      </c>
      <c r="O17" s="7">
        <f t="shared" si="2"/>
        <v>50.93684210526316</v>
      </c>
    </row>
    <row r="18" spans="1:15" ht="32.25" customHeight="1" x14ac:dyDescent="0.25">
      <c r="A18" s="5">
        <v>14</v>
      </c>
      <c r="B18" s="31" t="s">
        <v>41</v>
      </c>
      <c r="C18" s="5">
        <v>9000</v>
      </c>
      <c r="D18" s="6">
        <v>3121</v>
      </c>
      <c r="E18" s="7">
        <f t="shared" si="1"/>
        <v>34.677777777777777</v>
      </c>
      <c r="F18" s="5"/>
      <c r="G18" s="6"/>
      <c r="H18" s="6"/>
      <c r="I18" s="6"/>
      <c r="J18" s="6"/>
      <c r="K18" s="5">
        <v>14</v>
      </c>
      <c r="L18" s="31" t="s">
        <v>42</v>
      </c>
      <c r="M18" s="5">
        <v>11600</v>
      </c>
      <c r="N18" s="6">
        <v>5753</v>
      </c>
      <c r="O18" s="7">
        <f t="shared" si="2"/>
        <v>49.594827586206897</v>
      </c>
    </row>
    <row r="19" spans="1:15" ht="32.25" customHeight="1" x14ac:dyDescent="0.25">
      <c r="A19" s="5">
        <v>15</v>
      </c>
      <c r="B19" s="31" t="s">
        <v>43</v>
      </c>
      <c r="C19" s="5">
        <v>18000</v>
      </c>
      <c r="D19" s="6">
        <v>12017</v>
      </c>
      <c r="E19" s="7">
        <f t="shared" si="1"/>
        <v>66.76111111111112</v>
      </c>
      <c r="F19" s="5"/>
      <c r="G19" s="6"/>
      <c r="H19" s="6"/>
      <c r="I19" s="6"/>
      <c r="J19" s="6"/>
      <c r="K19" s="5">
        <v>15</v>
      </c>
      <c r="L19" s="31" t="s">
        <v>44</v>
      </c>
      <c r="M19" s="5">
        <v>7900</v>
      </c>
      <c r="N19" s="6">
        <v>6960</v>
      </c>
      <c r="O19" s="7">
        <f t="shared" si="2"/>
        <v>88.101265822784811</v>
      </c>
    </row>
    <row r="20" spans="1:15" ht="32.25" customHeight="1" x14ac:dyDescent="0.25">
      <c r="A20" s="5">
        <v>16</v>
      </c>
      <c r="B20" s="31" t="s">
        <v>45</v>
      </c>
      <c r="C20" s="5">
        <v>7500</v>
      </c>
      <c r="D20" s="6">
        <v>2200</v>
      </c>
      <c r="E20" s="7">
        <f t="shared" si="1"/>
        <v>29.333333333333332</v>
      </c>
      <c r="F20" s="5"/>
      <c r="G20" s="6"/>
      <c r="H20" s="6"/>
      <c r="I20" s="6"/>
      <c r="J20" s="6"/>
      <c r="K20" s="5">
        <v>16</v>
      </c>
      <c r="L20" s="31" t="s">
        <v>46</v>
      </c>
      <c r="M20" s="5">
        <v>5200</v>
      </c>
      <c r="N20" s="6">
        <v>1949</v>
      </c>
      <c r="O20" s="7">
        <f t="shared" si="2"/>
        <v>37.480769230769226</v>
      </c>
    </row>
    <row r="21" spans="1:15" ht="32.25" customHeight="1" x14ac:dyDescent="0.25">
      <c r="A21" s="5">
        <v>17</v>
      </c>
      <c r="B21" s="31" t="s">
        <v>47</v>
      </c>
      <c r="C21" s="5">
        <v>9500</v>
      </c>
      <c r="D21" s="6">
        <v>8760</v>
      </c>
      <c r="E21" s="7">
        <f t="shared" si="1"/>
        <v>92.21052631578948</v>
      </c>
      <c r="F21" s="5"/>
      <c r="G21" s="6"/>
      <c r="H21" s="6"/>
      <c r="I21" s="6"/>
      <c r="J21" s="6"/>
      <c r="K21" s="5">
        <v>17</v>
      </c>
      <c r="L21" s="31" t="s">
        <v>48</v>
      </c>
      <c r="M21" s="5">
        <v>650</v>
      </c>
      <c r="N21" s="6">
        <v>75</v>
      </c>
      <c r="O21" s="10">
        <f t="shared" si="2"/>
        <v>11.538461538461538</v>
      </c>
    </row>
    <row r="22" spans="1:15" ht="32.25" customHeight="1" x14ac:dyDescent="0.25">
      <c r="A22" s="5">
        <v>18</v>
      </c>
      <c r="B22" s="31" t="s">
        <v>49</v>
      </c>
      <c r="C22" s="5">
        <v>18500</v>
      </c>
      <c r="D22" s="6">
        <v>16343</v>
      </c>
      <c r="E22" s="7">
        <f t="shared" si="1"/>
        <v>88.34054054054053</v>
      </c>
      <c r="F22" s="5"/>
      <c r="G22" s="6"/>
      <c r="H22" s="6"/>
      <c r="I22" s="6"/>
      <c r="J22" s="6"/>
      <c r="K22" s="5">
        <v>18</v>
      </c>
      <c r="L22" s="31" t="s">
        <v>50</v>
      </c>
      <c r="M22" s="5">
        <v>800</v>
      </c>
      <c r="N22" s="6">
        <v>604</v>
      </c>
      <c r="O22" s="7">
        <f t="shared" si="2"/>
        <v>75.5</v>
      </c>
    </row>
    <row r="23" spans="1:15" ht="32.25" customHeight="1" x14ac:dyDescent="0.25">
      <c r="A23" s="5">
        <v>19</v>
      </c>
      <c r="B23" s="31" t="s">
        <v>51</v>
      </c>
      <c r="C23" s="5">
        <v>6500</v>
      </c>
      <c r="D23" s="6">
        <v>2166</v>
      </c>
      <c r="E23" s="7">
        <f t="shared" si="1"/>
        <v>33.323076923076925</v>
      </c>
      <c r="F23" s="5"/>
      <c r="G23" s="6" t="s">
        <v>84</v>
      </c>
      <c r="H23" s="6"/>
      <c r="I23" s="6"/>
      <c r="J23" s="6"/>
      <c r="K23" s="5">
        <v>19</v>
      </c>
      <c r="L23" s="31" t="s">
        <v>52</v>
      </c>
      <c r="M23" s="5">
        <v>6500</v>
      </c>
      <c r="N23" s="6">
        <v>2572</v>
      </c>
      <c r="O23" s="7">
        <f t="shared" si="2"/>
        <v>39.569230769230771</v>
      </c>
    </row>
    <row r="24" spans="1:15" ht="32.25" customHeight="1" x14ac:dyDescent="0.25">
      <c r="A24" s="5">
        <v>20</v>
      </c>
      <c r="B24" s="31" t="s">
        <v>53</v>
      </c>
      <c r="C24" s="5">
        <v>10000</v>
      </c>
      <c r="D24" s="6">
        <v>2780</v>
      </c>
      <c r="E24" s="7">
        <f t="shared" si="1"/>
        <v>27.800000000000004</v>
      </c>
      <c r="F24" s="5"/>
      <c r="G24" s="6"/>
      <c r="H24" s="6"/>
      <c r="I24" s="6"/>
      <c r="J24" s="6"/>
      <c r="K24" s="5">
        <v>20</v>
      </c>
      <c r="L24" s="31" t="s">
        <v>54</v>
      </c>
      <c r="M24" s="5">
        <v>3000</v>
      </c>
      <c r="N24" s="6">
        <v>2706</v>
      </c>
      <c r="O24" s="7">
        <f t="shared" si="2"/>
        <v>90.2</v>
      </c>
    </row>
    <row r="25" spans="1:15" ht="32.25" customHeight="1" x14ac:dyDescent="0.25">
      <c r="A25" s="5">
        <v>21</v>
      </c>
      <c r="B25" s="31" t="s">
        <v>55</v>
      </c>
      <c r="C25" s="5">
        <v>6000</v>
      </c>
      <c r="D25" s="6">
        <v>1704</v>
      </c>
      <c r="E25" s="7">
        <f t="shared" si="1"/>
        <v>28.4</v>
      </c>
      <c r="F25" s="5"/>
      <c r="G25" s="6"/>
      <c r="H25" s="6"/>
      <c r="I25" s="6"/>
      <c r="J25" s="6"/>
      <c r="K25" s="5">
        <v>21</v>
      </c>
      <c r="L25" s="31" t="s">
        <v>56</v>
      </c>
      <c r="M25" s="5">
        <v>3500</v>
      </c>
      <c r="N25" s="6">
        <v>1985</v>
      </c>
      <c r="O25" s="7">
        <f t="shared" si="2"/>
        <v>56.714285714285715</v>
      </c>
    </row>
    <row r="26" spans="1:15" ht="32.25" customHeight="1" x14ac:dyDescent="0.25">
      <c r="A26" s="5">
        <v>22</v>
      </c>
      <c r="B26" s="31" t="s">
        <v>57</v>
      </c>
      <c r="C26" s="5">
        <v>6000</v>
      </c>
      <c r="D26" s="6">
        <v>1694</v>
      </c>
      <c r="E26" s="7">
        <f t="shared" si="1"/>
        <v>28.233333333333334</v>
      </c>
      <c r="F26" s="5"/>
      <c r="G26" s="6"/>
      <c r="H26" s="6" t="s">
        <v>81</v>
      </c>
      <c r="I26" s="6"/>
      <c r="J26" s="6"/>
      <c r="K26" s="5">
        <v>22</v>
      </c>
      <c r="L26" s="31" t="s">
        <v>58</v>
      </c>
      <c r="M26" s="5">
        <v>2800</v>
      </c>
      <c r="N26" s="6">
        <v>2773</v>
      </c>
      <c r="O26" s="7">
        <f t="shared" si="2"/>
        <v>99.035714285714278</v>
      </c>
    </row>
    <row r="27" spans="1:15" ht="32.25" customHeight="1" x14ac:dyDescent="0.25">
      <c r="A27" s="5">
        <v>23</v>
      </c>
      <c r="B27" s="31" t="s">
        <v>59</v>
      </c>
      <c r="C27" s="5">
        <v>3500</v>
      </c>
      <c r="D27" s="6">
        <v>1116</v>
      </c>
      <c r="E27" s="7">
        <f t="shared" si="1"/>
        <v>31.885714285714283</v>
      </c>
      <c r="F27" s="5"/>
      <c r="G27" s="6"/>
      <c r="H27" s="6"/>
      <c r="I27" s="6"/>
      <c r="J27" s="6"/>
      <c r="K27" s="5">
        <v>23</v>
      </c>
      <c r="L27" s="31" t="s">
        <v>85</v>
      </c>
      <c r="M27" s="5">
        <v>2500</v>
      </c>
      <c r="N27" s="6">
        <v>5</v>
      </c>
      <c r="O27" s="7">
        <f t="shared" si="2"/>
        <v>0.2</v>
      </c>
    </row>
    <row r="28" spans="1:15" ht="32.25" customHeight="1" x14ac:dyDescent="0.25">
      <c r="A28" s="5">
        <v>24</v>
      </c>
      <c r="B28" s="31" t="s">
        <v>60</v>
      </c>
      <c r="C28" s="5">
        <v>1225</v>
      </c>
      <c r="D28" s="6">
        <v>336</v>
      </c>
      <c r="E28" s="7">
        <f t="shared" si="1"/>
        <v>27.428571428571431</v>
      </c>
      <c r="F28" s="5"/>
      <c r="G28" s="6"/>
      <c r="H28" s="6"/>
      <c r="I28" s="6"/>
      <c r="J28" s="6"/>
      <c r="K28" s="5">
        <v>24</v>
      </c>
      <c r="L28" s="31" t="s">
        <v>61</v>
      </c>
      <c r="M28" s="5">
        <v>500</v>
      </c>
      <c r="N28" s="6">
        <v>263</v>
      </c>
      <c r="O28" s="7">
        <f t="shared" si="2"/>
        <v>52.6</v>
      </c>
    </row>
    <row r="29" spans="1:15" ht="32.25" customHeight="1" x14ac:dyDescent="0.25">
      <c r="A29" s="5">
        <v>25</v>
      </c>
      <c r="B29" s="31" t="s">
        <v>62</v>
      </c>
      <c r="C29" s="5">
        <v>1500</v>
      </c>
      <c r="D29" s="6">
        <v>293</v>
      </c>
      <c r="E29" s="7">
        <f t="shared" si="1"/>
        <v>19.533333333333331</v>
      </c>
      <c r="F29" s="6"/>
      <c r="G29" s="6"/>
      <c r="H29" s="6"/>
      <c r="I29" s="5"/>
      <c r="J29" s="6"/>
      <c r="K29" s="5">
        <v>25</v>
      </c>
      <c r="L29" s="31" t="s">
        <v>63</v>
      </c>
      <c r="M29" s="5">
        <v>2000</v>
      </c>
      <c r="N29" s="6">
        <v>1573</v>
      </c>
      <c r="O29" s="7">
        <f t="shared" si="2"/>
        <v>78.649999999999991</v>
      </c>
    </row>
    <row r="30" spans="1:15" ht="32.25" customHeight="1" x14ac:dyDescent="0.25">
      <c r="A30" s="5">
        <v>26</v>
      </c>
      <c r="B30" s="31" t="s">
        <v>64</v>
      </c>
      <c r="C30" s="5">
        <v>2000</v>
      </c>
      <c r="D30" s="11">
        <v>1702</v>
      </c>
      <c r="E30" s="7">
        <f t="shared" si="1"/>
        <v>85.1</v>
      </c>
      <c r="F30" s="6"/>
      <c r="G30" s="6"/>
      <c r="H30" s="5"/>
      <c r="I30" s="5"/>
      <c r="J30" s="5"/>
      <c r="K30" s="5">
        <v>26</v>
      </c>
      <c r="L30" s="31" t="s">
        <v>65</v>
      </c>
      <c r="M30" s="5">
        <v>500</v>
      </c>
      <c r="N30" s="6">
        <v>0</v>
      </c>
      <c r="O30" s="7">
        <f t="shared" si="2"/>
        <v>0</v>
      </c>
    </row>
    <row r="31" spans="1:15" ht="49.5" customHeight="1" x14ac:dyDescent="0.25">
      <c r="A31" s="5">
        <v>27</v>
      </c>
      <c r="B31" s="31" t="s">
        <v>66</v>
      </c>
      <c r="C31" s="5">
        <v>700</v>
      </c>
      <c r="D31" s="11">
        <v>259</v>
      </c>
      <c r="E31" s="7">
        <f t="shared" si="1"/>
        <v>37</v>
      </c>
      <c r="F31" s="12"/>
      <c r="G31" s="12"/>
      <c r="H31" s="12"/>
      <c r="I31" s="12"/>
      <c r="J31" s="5"/>
      <c r="K31" s="5">
        <v>27</v>
      </c>
      <c r="L31" s="31" t="s">
        <v>67</v>
      </c>
      <c r="M31" s="5">
        <v>2000</v>
      </c>
      <c r="N31" s="6">
        <v>261</v>
      </c>
      <c r="O31" s="7">
        <f t="shared" si="2"/>
        <v>13.05</v>
      </c>
    </row>
    <row r="32" spans="1:15" ht="32.25" customHeight="1" x14ac:dyDescent="0.25">
      <c r="A32" s="5">
        <v>28</v>
      </c>
      <c r="B32" s="31" t="s">
        <v>68</v>
      </c>
      <c r="C32" s="5">
        <v>7000</v>
      </c>
      <c r="D32" s="6">
        <v>4778</v>
      </c>
      <c r="E32" s="7">
        <f>D32/C32*100</f>
        <v>68.257142857142867</v>
      </c>
      <c r="F32" s="12"/>
      <c r="G32" s="12"/>
      <c r="H32" s="12"/>
      <c r="I32" s="12"/>
      <c r="J32" s="13"/>
      <c r="K32" s="5">
        <v>28</v>
      </c>
      <c r="L32" s="31" t="s">
        <v>69</v>
      </c>
      <c r="M32" s="5">
        <v>17000</v>
      </c>
      <c r="N32" s="6">
        <v>9026</v>
      </c>
      <c r="O32" s="7">
        <f t="shared" si="2"/>
        <v>53.094117647058823</v>
      </c>
    </row>
    <row r="33" spans="1:17" s="14" customFormat="1" ht="32.25" customHeight="1" x14ac:dyDescent="0.25">
      <c r="A33" s="5">
        <v>29</v>
      </c>
      <c r="B33" s="31" t="s">
        <v>70</v>
      </c>
      <c r="C33" s="5">
        <v>1500</v>
      </c>
      <c r="D33" s="6">
        <v>790</v>
      </c>
      <c r="E33" s="7">
        <f t="shared" ref="E33:E34" si="3">D33/C33*100</f>
        <v>52.666666666666664</v>
      </c>
      <c r="F33" s="12"/>
      <c r="G33" s="34"/>
      <c r="H33" s="34"/>
      <c r="I33" s="34"/>
      <c r="J33" s="13"/>
      <c r="K33" s="5">
        <v>29</v>
      </c>
      <c r="L33" s="31" t="s">
        <v>71</v>
      </c>
      <c r="M33" s="5">
        <v>600</v>
      </c>
      <c r="N33" s="6">
        <v>248</v>
      </c>
      <c r="O33" s="7">
        <f t="shared" si="2"/>
        <v>41.333333333333336</v>
      </c>
    </row>
    <row r="34" spans="1:17" s="14" customFormat="1" ht="32.25" customHeight="1" x14ac:dyDescent="0.25">
      <c r="A34" s="5">
        <v>30</v>
      </c>
      <c r="B34" s="31" t="s">
        <v>72</v>
      </c>
      <c r="C34" s="5">
        <v>1000</v>
      </c>
      <c r="D34" s="6">
        <v>710</v>
      </c>
      <c r="E34" s="7">
        <f t="shared" si="3"/>
        <v>71</v>
      </c>
      <c r="F34" s="6"/>
      <c r="G34" s="6"/>
      <c r="H34" s="6"/>
      <c r="I34" s="6"/>
      <c r="J34" s="13"/>
      <c r="K34" s="5">
        <v>30</v>
      </c>
      <c r="L34" s="31" t="s">
        <v>73</v>
      </c>
      <c r="M34" s="5">
        <v>1000</v>
      </c>
      <c r="N34" s="6">
        <v>535</v>
      </c>
      <c r="O34" s="7">
        <f t="shared" si="2"/>
        <v>53.5</v>
      </c>
    </row>
    <row r="35" spans="1:17" s="14" customFormat="1" ht="32.25" customHeight="1" x14ac:dyDescent="0.25">
      <c r="A35" s="5"/>
      <c r="B35" s="12" t="s">
        <v>74</v>
      </c>
      <c r="C35" s="12">
        <f>SUM(C5:C34)</f>
        <v>296070</v>
      </c>
      <c r="D35" s="12">
        <f>SUM(D5:D34)</f>
        <v>138877</v>
      </c>
      <c r="E35" s="13"/>
      <c r="F35" s="6"/>
      <c r="G35" s="12" t="s">
        <v>74</v>
      </c>
      <c r="H35" s="12">
        <f>SUM(H5:H32)</f>
        <v>45730</v>
      </c>
      <c r="I35" s="12">
        <f>SUM(I5:I32)</f>
        <v>16836</v>
      </c>
      <c r="J35" s="6"/>
      <c r="K35" s="5"/>
      <c r="L35" s="12" t="s">
        <v>74</v>
      </c>
      <c r="M35" s="12">
        <f>SUM(M5:M34)</f>
        <v>190084</v>
      </c>
      <c r="N35" s="12">
        <f>SUM(N5:N34)</f>
        <v>101831</v>
      </c>
      <c r="O35" s="7"/>
    </row>
    <row r="36" spans="1:17" ht="24" hidden="1" customHeight="1" thickBot="1" x14ac:dyDescent="0.3">
      <c r="A36" s="11"/>
      <c r="B36" s="11"/>
      <c r="C36" s="11"/>
      <c r="D36" s="11"/>
      <c r="E36" s="11"/>
      <c r="F36" s="15"/>
      <c r="G36" s="15"/>
      <c r="H36" s="15"/>
      <c r="I36" s="15"/>
      <c r="J36" s="11"/>
      <c r="K36" s="15"/>
      <c r="L36" s="15"/>
      <c r="M36" s="15"/>
      <c r="N36" s="35"/>
      <c r="O36" s="35"/>
    </row>
    <row r="37" spans="1:17" ht="24" customHeight="1" x14ac:dyDescent="0.25">
      <c r="A37" s="11"/>
      <c r="B37" s="11"/>
      <c r="C37" s="11"/>
      <c r="D37" s="11"/>
      <c r="E37" s="11"/>
      <c r="F37" s="15"/>
      <c r="G37" s="15"/>
      <c r="H37" s="15"/>
      <c r="I37" s="15"/>
      <c r="J37" s="11"/>
      <c r="K37" s="15"/>
      <c r="L37" s="15"/>
      <c r="M37" s="15"/>
      <c r="N37" s="35"/>
      <c r="O37" s="35"/>
    </row>
    <row r="38" spans="1:17" ht="35.25" customHeight="1" x14ac:dyDescent="0.25">
      <c r="A38" s="38" t="s">
        <v>75</v>
      </c>
      <c r="B38" s="38"/>
      <c r="C38" s="29">
        <f>C35+H35</f>
        <v>341800</v>
      </c>
      <c r="D38" s="11"/>
      <c r="E38" s="38" t="s">
        <v>83</v>
      </c>
      <c r="F38" s="38"/>
      <c r="G38" s="38"/>
      <c r="H38" s="38"/>
      <c r="I38" s="29">
        <f>C38+N38</f>
        <v>531884</v>
      </c>
      <c r="J38" s="15"/>
      <c r="K38" s="38" t="s">
        <v>76</v>
      </c>
      <c r="L38" s="38"/>
      <c r="M38" s="38"/>
      <c r="N38" s="29">
        <f>M35</f>
        <v>190084</v>
      </c>
      <c r="O38" s="16"/>
    </row>
    <row r="39" spans="1:17" ht="12" hidden="1" customHeight="1" thickBot="1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1"/>
      <c r="L39" s="11"/>
      <c r="M39" s="11"/>
      <c r="N39" s="11"/>
      <c r="O39" s="35"/>
    </row>
    <row r="40" spans="1:17" ht="64.5" customHeight="1" x14ac:dyDescent="0.25">
      <c r="A40" s="15"/>
      <c r="B40" s="29" t="s">
        <v>77</v>
      </c>
      <c r="C40" s="29">
        <f>D35+I35</f>
        <v>155713</v>
      </c>
      <c r="D40" s="15"/>
      <c r="E40" s="15"/>
      <c r="F40" s="38" t="s">
        <v>78</v>
      </c>
      <c r="G40" s="38"/>
      <c r="H40" s="38"/>
      <c r="I40" s="17">
        <f>C40+N40</f>
        <v>257544</v>
      </c>
      <c r="J40" s="15"/>
      <c r="K40" s="15"/>
      <c r="L40" s="38" t="s">
        <v>79</v>
      </c>
      <c r="M40" s="38"/>
      <c r="N40" s="29">
        <f>N35</f>
        <v>101831</v>
      </c>
      <c r="O40" s="35"/>
    </row>
    <row r="41" spans="1:17" hidden="1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35"/>
      <c r="O41" s="35"/>
    </row>
    <row r="42" spans="1:17" hidden="1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35"/>
      <c r="O42" s="35"/>
    </row>
    <row r="43" spans="1:17" ht="24.75" customHeight="1" x14ac:dyDescent="0.25">
      <c r="A43" s="38"/>
      <c r="B43" s="38"/>
      <c r="C43" s="18"/>
      <c r="D43" s="15"/>
      <c r="E43" s="38"/>
      <c r="F43" s="38"/>
      <c r="G43" s="38"/>
      <c r="H43" s="38"/>
      <c r="I43" s="18"/>
      <c r="J43" s="15"/>
      <c r="K43" s="38"/>
      <c r="L43" s="38"/>
      <c r="M43" s="38"/>
      <c r="N43" s="18"/>
      <c r="O43" s="19"/>
    </row>
    <row r="44" spans="1:17" ht="4.5" hidden="1" customHeight="1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35"/>
      <c r="O44" s="35"/>
    </row>
    <row r="45" spans="1:17" ht="30" customHeight="1" x14ac:dyDescent="0.5">
      <c r="A45" s="15"/>
      <c r="B45" s="15"/>
      <c r="C45" s="38" t="s">
        <v>80</v>
      </c>
      <c r="D45" s="38"/>
      <c r="E45" s="38"/>
      <c r="F45" s="38"/>
      <c r="G45" s="38"/>
      <c r="H45" s="38"/>
      <c r="I45" s="29">
        <f>C35+H35+M35</f>
        <v>531884</v>
      </c>
      <c r="J45" s="15"/>
      <c r="K45" s="15"/>
      <c r="L45" s="15"/>
      <c r="M45" s="15"/>
      <c r="N45" s="35"/>
      <c r="O45" s="35"/>
      <c r="Q45" s="24"/>
    </row>
    <row r="46" spans="1:17" ht="30" customHeight="1" x14ac:dyDescent="0.5">
      <c r="A46" s="15"/>
      <c r="B46" s="15"/>
      <c r="C46" s="15"/>
      <c r="D46" s="38" t="s">
        <v>82</v>
      </c>
      <c r="E46" s="38"/>
      <c r="F46" s="38"/>
      <c r="G46" s="38"/>
      <c r="H46" s="38"/>
      <c r="I46" s="29">
        <v>10616</v>
      </c>
      <c r="J46" s="36"/>
      <c r="K46" s="15"/>
      <c r="L46" s="15"/>
      <c r="M46" s="11"/>
      <c r="N46" s="35"/>
      <c r="O46" s="35"/>
      <c r="Q46" s="24"/>
    </row>
    <row r="47" spans="1:17" ht="33" customHeight="1" x14ac:dyDescent="0.5">
      <c r="A47" s="15"/>
      <c r="B47" s="15"/>
      <c r="C47" s="38" t="s">
        <v>88</v>
      </c>
      <c r="D47" s="38"/>
      <c r="E47" s="38"/>
      <c r="F47" s="38"/>
      <c r="G47" s="38"/>
      <c r="H47" s="38"/>
      <c r="I47" s="17">
        <f>I45+I46</f>
        <v>542500</v>
      </c>
      <c r="J47" s="36"/>
      <c r="K47" s="15"/>
      <c r="L47" s="15"/>
      <c r="M47" s="15"/>
      <c r="N47" s="35"/>
      <c r="O47" s="35"/>
      <c r="Q47" s="24"/>
    </row>
    <row r="48" spans="1:17" ht="27" customHeight="1" x14ac:dyDescent="0.25">
      <c r="A48" s="29"/>
      <c r="B48" s="29"/>
      <c r="C48" s="38" t="s">
        <v>86</v>
      </c>
      <c r="D48" s="38"/>
      <c r="E48" s="38"/>
      <c r="F48" s="38"/>
      <c r="G48" s="38"/>
      <c r="H48" s="38"/>
      <c r="I48" s="17">
        <f>I40</f>
        <v>257544</v>
      </c>
      <c r="J48" s="36"/>
      <c r="K48" s="29"/>
      <c r="L48" s="15"/>
      <c r="M48" s="15"/>
      <c r="N48" s="35"/>
      <c r="O48" s="35"/>
      <c r="Q48" s="25"/>
    </row>
    <row r="49" spans="1:15" ht="27.75" x14ac:dyDescent="0.25">
      <c r="A49" s="15"/>
      <c r="B49" s="15"/>
      <c r="C49" s="38" t="s">
        <v>87</v>
      </c>
      <c r="D49" s="38"/>
      <c r="E49" s="38"/>
      <c r="F49" s="38"/>
      <c r="G49" s="38"/>
      <c r="H49" s="38"/>
      <c r="I49" s="18">
        <f>I48/I47*100</f>
        <v>47.473548387096777</v>
      </c>
      <c r="J49" s="15"/>
      <c r="K49" s="15"/>
      <c r="L49" s="15"/>
      <c r="M49" s="15"/>
      <c r="N49" s="35"/>
      <c r="O49" s="35"/>
    </row>
    <row r="51" spans="1:15" ht="31.5" x14ac:dyDescent="0.45">
      <c r="L51" s="26"/>
    </row>
    <row r="54" spans="1:15" ht="115.5" customHeight="1" x14ac:dyDescent="0.25">
      <c r="L54" s="27"/>
      <c r="M54" s="28"/>
    </row>
    <row r="58" spans="1:15" x14ac:dyDescent="0.25">
      <c r="G58" s="22" t="s">
        <v>81</v>
      </c>
    </row>
    <row r="59" spans="1:15" x14ac:dyDescent="0.25">
      <c r="L59" s="22" t="s">
        <v>81</v>
      </c>
    </row>
  </sheetData>
  <mergeCells count="17">
    <mergeCell ref="C45:H45"/>
    <mergeCell ref="D46:H46"/>
    <mergeCell ref="C47:H47"/>
    <mergeCell ref="C48:H48"/>
    <mergeCell ref="C49:H49"/>
    <mergeCell ref="A1:O1"/>
    <mergeCell ref="L40:M40"/>
    <mergeCell ref="A43:B43"/>
    <mergeCell ref="E43:H43"/>
    <mergeCell ref="K43:M43"/>
    <mergeCell ref="F40:H40"/>
    <mergeCell ref="A38:B38"/>
    <mergeCell ref="E38:H38"/>
    <mergeCell ref="K38:M38"/>
    <mergeCell ref="A2:O2"/>
    <mergeCell ref="A3:I3"/>
    <mergeCell ref="L3:N3"/>
  </mergeCells>
  <printOptions horizontalCentered="1"/>
  <pageMargins left="0.27559055118110237" right="0.15748031496062992" top="0.23622047244094491" bottom="0.15748031496062992" header="0.23622047244094491" footer="7.874015748031496E-2"/>
  <pageSetup paperSize="9" scale="37" fitToHeight="0" orientation="landscape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December (2022-23)</vt:lpstr>
      <vt:lpstr>'December (2022-23)'!Print_Area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pulkit</dc:creator>
  <cp:lastModifiedBy>dghrd</cp:lastModifiedBy>
  <cp:lastPrinted>2023-01-19T10:33:44Z</cp:lastPrinted>
  <dcterms:created xsi:type="dcterms:W3CDTF">2020-03-19T06:39:41Z</dcterms:created>
  <dcterms:modified xsi:type="dcterms:W3CDTF">2023-01-19T11:08:53Z</dcterms:modified>
</cp:coreProperties>
</file>