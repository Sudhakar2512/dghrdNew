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defaultThemeVersion="124226"/>
  <bookViews>
    <workbookView xWindow="0" yWindow="0" windowWidth="20490" windowHeight="7155"/>
  </bookViews>
  <sheets>
    <sheet name="CGST Zones Annexure -A" sheetId="1" r:id="rId1"/>
    <sheet name="CGST Zones Annexure -B" sheetId="2" r:id="rId2"/>
    <sheet name="CGST Zones Annexure -C" sheetId="3" r:id="rId3"/>
    <sheet name="CGST Zones Annexure -D" sheetId="4" r:id="rId4"/>
  </sheets>
  <externalReferences>
    <externalReference r:id="rId5"/>
  </externalReferences>
  <definedNames>
    <definedName name="_xlnm.Print_Area" localSheetId="0">'CGST Zones Annexure -A'!$A$1:$P$1199</definedName>
    <definedName name="_xlnm.Print_Area" localSheetId="1">'CGST Zones Annexure -B'!$A$1:$O$375</definedName>
    <definedName name="_xlnm.Print_Area" localSheetId="2">'CGST Zones Annexure -C'!$A$1:$P$789</definedName>
    <definedName name="_xlnm.Print_Area" localSheetId="3">'CGST Zones Annexure -D'!$A$1:$N$1082</definedName>
  </definedNames>
  <calcPr calcId="124519"/>
</workbook>
</file>

<file path=xl/calcChain.xml><?xml version="1.0" encoding="utf-8"?>
<calcChain xmlns="http://schemas.openxmlformats.org/spreadsheetml/2006/main">
  <c r="I777" i="3"/>
  <c r="H777"/>
  <c r="G777"/>
  <c r="F777"/>
  <c r="E777"/>
  <c r="D777"/>
  <c r="C777"/>
  <c r="B777"/>
  <c r="A777"/>
  <c r="E330" l="1"/>
  <c r="E329"/>
  <c r="E328"/>
  <c r="E585" i="1" l="1"/>
  <c r="L219" i="3"/>
  <c r="F219"/>
  <c r="C219"/>
  <c r="I218"/>
  <c r="F218"/>
  <c r="C218"/>
  <c r="L217"/>
  <c r="I217"/>
  <c r="F217"/>
  <c r="C217"/>
  <c r="I216"/>
  <c r="F216"/>
  <c r="C216"/>
  <c r="O215"/>
  <c r="L215"/>
  <c r="F215"/>
  <c r="B172" l="1"/>
  <c r="C172"/>
  <c r="D172"/>
  <c r="E172"/>
  <c r="F172"/>
  <c r="G172"/>
  <c r="H172"/>
  <c r="I172"/>
  <c r="J172"/>
  <c r="K172"/>
  <c r="L172"/>
  <c r="M172"/>
  <c r="N172"/>
  <c r="O172"/>
  <c r="A172"/>
  <c r="L133" l="1"/>
  <c r="K133"/>
  <c r="J133"/>
  <c r="I133"/>
  <c r="H133"/>
  <c r="G133"/>
  <c r="F133"/>
  <c r="E133"/>
  <c r="D133"/>
  <c r="C133"/>
  <c r="B133"/>
  <c r="A133"/>
  <c r="J108"/>
  <c r="G108"/>
  <c r="H40"/>
  <c r="A23"/>
  <c r="M1068" i="4"/>
  <c r="M1067"/>
  <c r="M1020"/>
  <c r="M1019"/>
  <c r="M941" l="1"/>
  <c r="M940"/>
  <c r="M892" l="1"/>
  <c r="M891"/>
  <c r="M890"/>
  <c r="M747"/>
  <c r="M746"/>
  <c r="M732" l="1"/>
  <c r="L731"/>
  <c r="M731" s="1"/>
  <c r="L730"/>
  <c r="M730" s="1"/>
  <c r="M672" l="1"/>
  <c r="M671"/>
  <c r="M670"/>
  <c r="M667"/>
  <c r="M666"/>
  <c r="M663"/>
  <c r="M662"/>
  <c r="M661"/>
  <c r="M660"/>
  <c r="M659"/>
  <c r="M658"/>
  <c r="M657"/>
  <c r="M656"/>
  <c r="M655"/>
  <c r="M654"/>
  <c r="M653"/>
  <c r="M652"/>
  <c r="M651"/>
  <c r="M506" l="1"/>
  <c r="M505"/>
  <c r="M504"/>
  <c r="M503"/>
  <c r="M502"/>
  <c r="M501"/>
  <c r="M500"/>
  <c r="M499"/>
  <c r="M498"/>
  <c r="M497"/>
  <c r="M496"/>
  <c r="M495"/>
  <c r="M494"/>
  <c r="M493"/>
  <c r="M492"/>
  <c r="M491"/>
  <c r="M490"/>
  <c r="L489"/>
  <c r="M489" s="1"/>
  <c r="M488"/>
  <c r="M487"/>
  <c r="M486"/>
  <c r="G485"/>
  <c r="F485"/>
  <c r="G484"/>
  <c r="F484"/>
  <c r="F483"/>
  <c r="F480"/>
  <c r="G461"/>
  <c r="F461"/>
  <c r="F460"/>
  <c r="F459"/>
  <c r="F458"/>
  <c r="F456"/>
  <c r="G450"/>
  <c r="F450"/>
  <c r="G444"/>
  <c r="F444"/>
  <c r="M425"/>
  <c r="M424"/>
  <c r="M423"/>
  <c r="M422"/>
  <c r="M421"/>
  <c r="M420"/>
  <c r="M419"/>
  <c r="M418"/>
  <c r="M417"/>
  <c r="M318"/>
  <c r="M317"/>
  <c r="M316"/>
  <c r="M297"/>
  <c r="M296"/>
  <c r="M295"/>
  <c r="M294"/>
  <c r="M293"/>
  <c r="M292"/>
  <c r="M291"/>
  <c r="M290"/>
  <c r="M289"/>
  <c r="M288"/>
  <c r="M287"/>
  <c r="M286"/>
  <c r="M285"/>
  <c r="M284"/>
  <c r="M283"/>
  <c r="M282"/>
  <c r="M281"/>
  <c r="M280"/>
  <c r="M279"/>
  <c r="M278"/>
  <c r="M277"/>
  <c r="M276"/>
  <c r="M275"/>
  <c r="M274"/>
  <c r="M273"/>
  <c r="M272"/>
  <c r="M271"/>
  <c r="M270"/>
  <c r="M269"/>
  <c r="M268"/>
  <c r="M267"/>
  <c r="M266"/>
  <c r="M265"/>
  <c r="M264"/>
  <c r="M263"/>
  <c r="M260"/>
  <c r="M245" l="1"/>
  <c r="M243"/>
  <c r="M242"/>
  <c r="M234"/>
  <c r="M205"/>
  <c r="M204"/>
  <c r="M200"/>
  <c r="M199"/>
  <c r="M198"/>
  <c r="G173" l="1"/>
  <c r="M173" s="1"/>
  <c r="G172"/>
  <c r="M172" s="1"/>
  <c r="M171"/>
  <c r="M169"/>
  <c r="M166"/>
  <c r="M165"/>
  <c r="M164"/>
  <c r="M163"/>
  <c r="M162"/>
  <c r="M161"/>
  <c r="M105"/>
  <c r="M104"/>
  <c r="G97"/>
  <c r="L17"/>
  <c r="J368" i="2" l="1"/>
  <c r="I98" l="1"/>
  <c r="I76"/>
  <c r="F76"/>
  <c r="G1179" i="1" l="1"/>
  <c r="G1168"/>
  <c r="E1088" l="1"/>
  <c r="E518" l="1"/>
  <c r="E517"/>
  <c r="E516"/>
  <c r="G263"/>
  <c r="G262"/>
  <c r="E242"/>
  <c r="G237"/>
  <c r="O236"/>
  <c r="E228"/>
  <c r="P11" l="1"/>
  <c r="P10"/>
</calcChain>
</file>

<file path=xl/sharedStrings.xml><?xml version="1.0" encoding="utf-8"?>
<sst xmlns="http://schemas.openxmlformats.org/spreadsheetml/2006/main" count="20768" uniqueCount="7723">
  <si>
    <t>S.No.</t>
  </si>
  <si>
    <t>Commissionerate (Custodian)</t>
  </si>
  <si>
    <t>Location of the Property with complete address(with district &amp; Pin Code)*</t>
  </si>
  <si>
    <t>Area in sq.mtrs</t>
  </si>
  <si>
    <t>Date of Acquisition</t>
  </si>
  <si>
    <t xml:space="preserve">If on lease, tenure with dates </t>
  </si>
  <si>
    <t xml:space="preserve">Lease rent/ ground rent etc./ other recurring charges  payable </t>
  </si>
  <si>
    <t xml:space="preserve">Court case/ litigation/     dispute/ encroachment etc. </t>
  </si>
  <si>
    <t xml:space="preserve">Whether proposal for construction  initiated/ sent to DGHRD/ sanctioned by Ministry </t>
  </si>
  <si>
    <t xml:space="preserve">Reasons for non- utilization </t>
  </si>
  <si>
    <t>GLIS ID No.**</t>
  </si>
  <si>
    <t xml:space="preserve">Remarks/ Other relevant information </t>
  </si>
  <si>
    <t>CGST Gandhinagar</t>
  </si>
  <si>
    <t xml:space="preserve">Open RS. No. 1660, City Survey No.37369, Nr. Old RTO office, Mehsana Unjha Highway, Mehsana </t>
  </si>
  <si>
    <t>19.01.2004</t>
  </si>
  <si>
    <t>ownership</t>
  </si>
  <si>
    <t>O/o the Superintendent of Central Excise, Near Bus Station, Vijapur</t>
  </si>
  <si>
    <t>NA</t>
  </si>
  <si>
    <t>Ahmedabad</t>
  </si>
  <si>
    <t>CGST Rajkot</t>
  </si>
  <si>
    <t>Raiya  Taluka, Survey No. 318, University Road, Rajkot.</t>
  </si>
  <si>
    <t xml:space="preserve">24.02.2003 </t>
  </si>
  <si>
    <t xml:space="preserve">       ---   </t>
  </si>
  <si>
    <t>Ownership</t>
  </si>
  <si>
    <t>N.A</t>
  </si>
  <si>
    <t>None</t>
  </si>
  <si>
    <t>No</t>
  </si>
  <si>
    <t>Final acquisation of land was taken in 2019 and Compound wall had been constructed in F.Y 2019-20.</t>
  </si>
  <si>
    <t>Final acquisation of the land was taken on 18.02.2019</t>
  </si>
  <si>
    <t>CGST Bhavnagar</t>
  </si>
  <si>
    <t>Revenue Survey No. 66, Mahuva Road, Opp. Pathikashram Savarkundla, Dist. Amreli.</t>
  </si>
  <si>
    <t>05.05.1973</t>
  </si>
  <si>
    <t>Free of Cost from State Government</t>
  </si>
  <si>
    <t xml:space="preserve">Rs. 2.12 Crores (As on 31.03.2010) New Circle rate will be ascertained after opening of lockdown.  </t>
  </si>
  <si>
    <t>Allotted to this Department at free of cost from State Government</t>
  </si>
  <si>
    <t>-</t>
  </si>
  <si>
    <t xml:space="preserve">Since, there is no jurisdictional office in Savarkundla, the land is lying vacant. </t>
  </si>
  <si>
    <t>Survey No. 62, Fulsar Village, Dist. Bhavnagar</t>
  </si>
  <si>
    <t>4877 Sq.mtr. (Share of Customs &amp; Excise Dept. Out of total land 11,146 Sq. mtr.)</t>
  </si>
  <si>
    <t>01.09.1986</t>
  </si>
  <si>
    <t>1,67,225/-</t>
  </si>
  <si>
    <t xml:space="preserve">Rs. 1.24 Crores (As on 31.03.2010) New Circle rate will be ascertained after opening of lockdown.  </t>
  </si>
  <si>
    <t xml:space="preserve">The land was purchased by the Income Tax Department in 1986 for the construction of Residential Quarters jointly for Central Excise, Customs and Income Tax Department, Bhavnagar. The related documents are available with Income Tax Department.  </t>
  </si>
  <si>
    <t>Charges for Yearly Land Revenue levied on the said land is paid by this office.</t>
  </si>
  <si>
    <t xml:space="preserve">The area allotted to Central Excise &amp; Customs Department is lying vacant, as CPWD has certified in 2002 &amp; 2004 that the land is not suitable for construction of departmental quarter / offices. </t>
  </si>
  <si>
    <t>Ward No. 6, City Survey No. 3371-3375, Plot No.1685, Paiki, Nr. Sardarnagar Circle, Bhavnagar</t>
  </si>
  <si>
    <t>7104.26 Sq.Mtr.</t>
  </si>
  <si>
    <t>16.07.2009</t>
  </si>
  <si>
    <t>6.39 Crore</t>
  </si>
  <si>
    <t xml:space="preserve">Rs. 8.35 Crores (As on 31.03.2010) New Circle rate will be ascertained after opening of lockdown.  </t>
  </si>
  <si>
    <t>Lease Holder</t>
  </si>
  <si>
    <t>99 years w.e.f. 29.08.2009</t>
  </si>
  <si>
    <t>Annual Lease Amount of Rs. 9,59,075/- as well as Annual Property Tax is being paid by this office.</t>
  </si>
  <si>
    <t>Yes, a proposal for construction of office building for CGST Commissionerate and Customs Division, Bhavnagar is under process</t>
  </si>
  <si>
    <t>A proposal for construction of office building for Central GST Commissionerate and Customs Division, Bhavnagar.</t>
  </si>
  <si>
    <t>Plot No. 175 of T.P Scheme No. 3, near mount Carmel High School, Navrangpura, Ahmedabad</t>
  </si>
  <si>
    <t>14.73 crore(lease rent and  3.25 crores Interest payment</t>
  </si>
  <si>
    <t>Lease Hold</t>
  </si>
  <si>
    <t>99 years From 22/03/2016 to 22/03/2114</t>
  </si>
  <si>
    <t>Construction proposal under process</t>
  </si>
  <si>
    <t>Note:</t>
  </si>
  <si>
    <t>Annexure A1: Vacant Land</t>
  </si>
  <si>
    <t>Land area in sq.mtrs</t>
  </si>
  <si>
    <t>Date of Acquisition of Land</t>
  </si>
  <si>
    <t>Current Circle rate  (as on 31.03.2020)            **</t>
  </si>
  <si>
    <t>Mode of ownership/ possession    ( free-hold/ lease hold/ allotted/other- to be specified)</t>
  </si>
  <si>
    <t xml:space="preserve">Court case/ litigation/ dispute/ encroach- ment etc. </t>
  </si>
  <si>
    <t>GLIS ID No.</t>
  </si>
  <si>
    <t>S. No. of entry  in Annexure B#</t>
  </si>
  <si>
    <t>Remarks/ Other relevant information</t>
  </si>
  <si>
    <t>CGST, Ahmedabad South Commissionerate</t>
  </si>
  <si>
    <t>C.Ex. Bhavan, Nr. Polytechnic, Ambawadi, Ahmedabad-380015</t>
  </si>
  <si>
    <t>17.05.1991</t>
  </si>
  <si>
    <t>31000 - Approx.</t>
  </si>
  <si>
    <t>CGST Ahmedabad North</t>
  </si>
  <si>
    <t>Customs House, Near All India Radio, Navrangpura, Ahmedabad - 380009</t>
  </si>
  <si>
    <t>3380 sq mtr</t>
  </si>
  <si>
    <t>Not Known  ***</t>
  </si>
  <si>
    <t>==</t>
  </si>
  <si>
    <t>Free Hold</t>
  </si>
  <si>
    <t>Office of the Deputy Commissioner, Central Excise, Gandhinagar Sector-10A, Near CPWD, Gandhinagar</t>
  </si>
  <si>
    <t>09.11.1988</t>
  </si>
  <si>
    <t>Not Assessed</t>
  </si>
  <si>
    <t>Rajkot</t>
  </si>
  <si>
    <t>Central GST Bhavan, Race Course Ring Road, Rajkot.</t>
  </si>
  <si>
    <t>4925.84 Sq. mtrs.</t>
  </si>
  <si>
    <t>31.03.1989</t>
  </si>
  <si>
    <t>NIL</t>
  </si>
  <si>
    <t xml:space="preserve">Annexure A2: Land on which office buildings have been constructed </t>
  </si>
  <si>
    <t>Land Area in sq.mtrs</t>
  </si>
  <si>
    <t>Acquisition /Purchase Cost          (Rs.in crores)**</t>
  </si>
  <si>
    <t xml:space="preserve">Court case/ litigation/dispute/ encroachment etc. </t>
  </si>
  <si>
    <t>S. No. of enrty  in Annexure C#</t>
  </si>
  <si>
    <t>St. Xaviers Staff Qtrs., Navrnagpura, Ahmedabad</t>
  </si>
  <si>
    <t>2.72</t>
  </si>
  <si>
    <t>15000 - Approx.</t>
  </si>
  <si>
    <t xml:space="preserve">Pragatinagar Staff Colony, Naranpura Ahmedabad </t>
  </si>
  <si>
    <t xml:space="preserve"> 1974</t>
  </si>
  <si>
    <t>0.1517</t>
  </si>
  <si>
    <t xml:space="preserve">Shastrinagar Staff Colony, Naranpura Ahmedabad </t>
  </si>
  <si>
    <t>0.091</t>
  </si>
  <si>
    <t xml:space="preserve">Adarshnagar Staff Colony, Naranpura Ahmedabad </t>
  </si>
  <si>
    <t>0.078</t>
  </si>
  <si>
    <t xml:space="preserve">Sarjan Appartment, Nr. Sunwilla Raw House, Gurukul,  Ahmedabad </t>
  </si>
  <si>
    <t xml:space="preserve"> 1995</t>
  </si>
  <si>
    <t>Central Excise Officers Colony, Nr. Uganda Park, Memnagar, Ahmedabad</t>
  </si>
  <si>
    <t>Staff quarters, Opp. Swaminarayan Gurukul , Gondal Road, Rajkot.</t>
  </si>
  <si>
    <t xml:space="preserve">       --</t>
  </si>
  <si>
    <t>Staff Quarters, Opp. Rani Tower, Kalawad Road, Nana Mava, Rajkot</t>
  </si>
  <si>
    <t>Staff Quarters, Race Course Ring Road, Rajkot.</t>
  </si>
  <si>
    <t>S. No. of entry  in Annexure B #</t>
  </si>
  <si>
    <t>Annexure A3: Land on which residential quarters have been constructed</t>
  </si>
  <si>
    <t xml:space="preserve">Annexure A4: Land on which both office &amp; residential quarters have been constructed </t>
  </si>
  <si>
    <t>1. AHMEDABAD CGST ZONE</t>
  </si>
  <si>
    <r>
      <rPr>
        <b/>
        <sz val="11"/>
        <color theme="1"/>
        <rFont val="Times New Roman"/>
        <family val="1"/>
      </rPr>
      <t>NOTE</t>
    </r>
    <r>
      <rPr>
        <sz val="11"/>
        <color theme="1"/>
        <rFont val="Times New Roman"/>
        <family val="1"/>
      </rPr>
      <t>: A vacant Land of CGST Ahmedabad Zone, Ahmedabad North Commissionerate which area is 4047 sq. mtrs and  located at Survey No. 240/A, Ranpur, Taluka- Dhandhuka, Distt. - Ahmedabad was acquired on 1951-52, but the said land was encroached by the State Government. A case was filed in the High court and it was decided that the land in lieu wil be provided. But till date no land has been provided by State Government even after repeated requests.</t>
    </r>
  </si>
  <si>
    <t>Zone/ Direc-torate</t>
  </si>
  <si>
    <t>2. BANGALORE CGST ZONE</t>
  </si>
  <si>
    <t>Commisisoner of Central Excise and Central tax, Mangalore</t>
  </si>
  <si>
    <t>Survey No 70 A(26 Acres 36 Guntas) and Survey No. 71 A(20 Acres 28 guntas) of Kambuli Village of Castle Rock, Joida Taluk Uttara Kannada</t>
  </si>
  <si>
    <t>Yes</t>
  </si>
  <si>
    <t>Mysuru</t>
  </si>
  <si>
    <t>Sy No 87/19, Karavale Badaga Village, Madikeri Hobli, Madikeri -571201, Kodagu District</t>
  </si>
  <si>
    <t>07.06.2013</t>
  </si>
  <si>
    <t>Free allotment by District Administration</t>
  </si>
  <si>
    <t>Belgaum</t>
  </si>
  <si>
    <t>Plot No.309, Naubad Housing Area, Bidar-585401</t>
  </si>
  <si>
    <t>Oringinally alloted-5351 Sq.mtrs but later 887.0 Sq Mtrs was taken back.Prresently available 4464.00 Sq Mtrs</t>
  </si>
  <si>
    <t xml:space="preserve">11.07.2002 </t>
  </si>
  <si>
    <t>Lease cum sale agreement</t>
  </si>
  <si>
    <t>Lease period was valid till 11.07.2009 and further extension with penalty was granted till 10.12.2019.</t>
  </si>
  <si>
    <t>Rs.1,98,547/-</t>
  </si>
  <si>
    <t>YES</t>
  </si>
  <si>
    <t>Proposal sent to DGHRD and approval awaited.</t>
  </si>
  <si>
    <t xml:space="preserve">   -</t>
  </si>
  <si>
    <t xml:space="preserve">It is located in remote forest area and not easily commuteable due to rough terrain. Use of land can be decided in future </t>
  </si>
  <si>
    <t>Mangalore</t>
  </si>
  <si>
    <t>Transferred from customs , Mangalore</t>
  </si>
  <si>
    <t>Mysuru GST Commissionerate</t>
  </si>
  <si>
    <t>No S1 &amp; S2, Vinayamarga, Siddarthanagar, Mysuru - 570011</t>
  </si>
  <si>
    <t>CGST BELAGAVI</t>
  </si>
  <si>
    <t>Office of the Assistant Commissioner, Central GST &amp; Central Excise , Afzalpur Takke , Bijapur Division -586101</t>
  </si>
  <si>
    <t>3156 Sq feet</t>
  </si>
  <si>
    <t>8,784 Rs.</t>
  </si>
  <si>
    <t>Division Office includes, Divisiom, and Range A, B, C, D</t>
  </si>
  <si>
    <t xml:space="preserve"> Sector 62, Near AmbaBhavani Temple , Central Jail Road,  Navanagar, Bagalkot</t>
  </si>
  <si>
    <t>Under Construction</t>
  </si>
  <si>
    <t>Alloted by BTDA Bagalkot</t>
  </si>
  <si>
    <t>Bagalkot Range  Office</t>
  </si>
  <si>
    <t>O/o.The Asst/Deputy Commr. Of C.Ex., Behind TV Station, Kapanoor Villg. Gulbarga-585104</t>
  </si>
  <si>
    <t>10.03.1998</t>
  </si>
  <si>
    <t>Free hold</t>
  </si>
  <si>
    <t xml:space="preserve">     -</t>
  </si>
  <si>
    <t>Administrative approval and Expenditure sanction vide Ministry letter F.No 911/16/const/udupi/HW/2007 dated 04/03/2016</t>
  </si>
  <si>
    <t>Udupi divisional office bidg and guest house construction is underway</t>
  </si>
  <si>
    <t>Kankanady B village, Behind Capitano School, Kankanady Mangalore</t>
  </si>
  <si>
    <t>OWNERSHIP</t>
  </si>
  <si>
    <t>CA-1 &amp; CA-2, Kyathamaranahalli, Raghavendranagar, Mysuru</t>
  </si>
  <si>
    <t>Belagavi (Commissioner)</t>
  </si>
  <si>
    <t>No.71, Club Road, Belgaum (Dist. Belgagavi - 590 001.</t>
  </si>
  <si>
    <t>Alloted by Indian Railways</t>
  </si>
  <si>
    <t>NO</t>
  </si>
  <si>
    <t>TV Centre, Doordarshan Nagar, Belagavi - 590019.</t>
  </si>
  <si>
    <t>State Govt.</t>
  </si>
  <si>
    <t>Central Excise Colony, Adarshnagar, PO-Nipani - 591227 Dist.Belagavi</t>
  </si>
  <si>
    <t>30.01.1973</t>
  </si>
  <si>
    <t>Rs.4000/-</t>
  </si>
  <si>
    <t>Office of the Assistant Commissioner, Central GST &amp; Central Excise , Afzalpur Takke , Bijapur-586101</t>
  </si>
  <si>
    <t>Type -I(39.82 Sq M ) and Type -3(217.58 Sq M)</t>
  </si>
  <si>
    <t>Type I (01 No,) Type III(03 Nos)</t>
  </si>
  <si>
    <t>Central Excise Quarters, Behind TV Station, Kapanoor Villg. Gulbarga.</t>
  </si>
  <si>
    <t>Na</t>
  </si>
  <si>
    <t>Uttara Kannada Division office and Range opp LIC building , M.G.ROAD kajubagh Karwar</t>
  </si>
  <si>
    <t>Land belongs to Customs,Mangalore</t>
  </si>
  <si>
    <t>Uttara Kannada Residential Quarters, opp LIC building , M.G.ROAD kajubagh Karwar</t>
  </si>
  <si>
    <t>No 826, Court Road, Chikamagalur</t>
  </si>
  <si>
    <t>Land was taken over free from CPWD</t>
  </si>
  <si>
    <t>Navile Village, Ashwathnagar, Savalanga Road, Shivamogga</t>
  </si>
  <si>
    <t xml:space="preserve">Belagavi </t>
  </si>
  <si>
    <t>0.75 Acres</t>
  </si>
  <si>
    <t>.75 Acres area Includes Office &amp; Quarters</t>
  </si>
  <si>
    <t>Type III(01) and TYPE IV(01) are under construction</t>
  </si>
  <si>
    <t>O/o.The Asst/Deputy Commr. Of C.Ex., Behind TV Station, Kapanoor Villg. Gulbarga-585104.</t>
  </si>
  <si>
    <t xml:space="preserve">    -</t>
  </si>
  <si>
    <t>Central Excise Quarters, Behind TV Station, Kapanoor Villg. Gulbarga-585104.</t>
  </si>
  <si>
    <t>CGST, Ujjain</t>
  </si>
  <si>
    <t>39, Administrative Area, Bharatpuri, Ujjain, PIN Code- 456010</t>
  </si>
  <si>
    <t>10.06.2020</t>
  </si>
  <si>
    <t>10.06.2020 to 10.06.2050</t>
  </si>
  <si>
    <t>Under Process</t>
  </si>
  <si>
    <t>CGST, Indore</t>
  </si>
  <si>
    <t>O/o the Commissioner, CGST &amp; Central Excise Hqrs. Manik Bagh Palace, Indore, MP 452014</t>
  </si>
  <si>
    <t>01.05.1987</t>
  </si>
  <si>
    <t>Rs.0.55</t>
  </si>
  <si>
    <t>N.A.</t>
  </si>
  <si>
    <t>Free-hold</t>
  </si>
  <si>
    <t>Presently, this land area is widely open and falls under green belt, therefore, there is no construction on this land.</t>
  </si>
  <si>
    <t>Presently, this land is fully attached with the periphery of Hqrs. Office Building</t>
  </si>
  <si>
    <t>CGST, Raipur</t>
  </si>
  <si>
    <t>Hospital, Sector, Bhilai Dist. Durg</t>
  </si>
  <si>
    <t>05.09.2002 registered on 18-11-2010</t>
  </si>
  <si>
    <t>Ground Rent ₹10000/- per year, Service Charges ₹26000/- per year</t>
  </si>
  <si>
    <t>Matter is under correspondence with CPWD and Concerned Division</t>
  </si>
  <si>
    <t>Khasra No. 134/3 &amp; 134/4, Village Lakholi, P.H. No. 50, Tah &amp; Distt- Rajnadngaon</t>
  </si>
  <si>
    <t>Registration fee ₹25/- only</t>
  </si>
  <si>
    <t>The matter is under correspondence with DGHRD</t>
  </si>
  <si>
    <t>CGST, Bhopal</t>
  </si>
  <si>
    <t>35-C, GST Bhavan, Arera Hills, Bhopal</t>
  </si>
  <si>
    <t>24.02.2010</t>
  </si>
  <si>
    <t>99000 per Sq. Mtr</t>
  </si>
  <si>
    <t>0.0000003 (lease rent for 30 years)</t>
  </si>
  <si>
    <t>30 years</t>
  </si>
  <si>
    <t>23.02.2040</t>
  </si>
  <si>
    <t>CGST Audit, Commissionerate Bhopal</t>
  </si>
  <si>
    <t>48, Administrative Area, Arera Hills, Hoshangabad Road, Bhopal     Pin Code-462011</t>
  </si>
  <si>
    <t>Not Applicable</t>
  </si>
  <si>
    <t xml:space="preserve">29,Administrative Area, Bharatpuri, Ujjain, 456010 </t>
  </si>
  <si>
    <t>22.08.1995</t>
  </si>
  <si>
    <t>30 years from date of Acquisition</t>
  </si>
  <si>
    <t>Mitra Nivas Road Ratlam (MP)--457001</t>
  </si>
  <si>
    <t>18.01.2001</t>
  </si>
  <si>
    <t xml:space="preserve"> HDX,64-65, Kityani,  Mandsaur 458001</t>
  </si>
  <si>
    <t>18.01.1999</t>
  </si>
  <si>
    <t xml:space="preserve"> 510, Sector-III, Pitampur, DistDhar (MP)-454774</t>
  </si>
  <si>
    <t>01.02.2000</t>
  </si>
  <si>
    <t>free-hold</t>
  </si>
  <si>
    <t>Plot No.61, Industrial Area No. 3, GST Bhawan Division- Dewas, Dewas MP 455001</t>
  </si>
  <si>
    <t>24.10.1991</t>
  </si>
  <si>
    <t>Lease hold</t>
  </si>
  <si>
    <t>21,554 per year</t>
  </si>
  <si>
    <t>CGST Jabalpur</t>
  </si>
  <si>
    <t>C.R.Building, Mission Chowk, Napier Town, Jabalpur</t>
  </si>
  <si>
    <t>HIG-I, 65, Deen Dayal Dham, Padra, Rewa, MP -486001</t>
  </si>
  <si>
    <t>Year 1995</t>
  </si>
  <si>
    <t>HIG-I, 77, Deen Dayal Dham, Padra, Rewa, MP -486001</t>
  </si>
  <si>
    <t>HIG-II, 60, Deen Dayal Dham, Padra, Rewa, MP -486002</t>
  </si>
  <si>
    <t>HIG-II, 21, Deen Dayal Dham, Padra, Rewa, MP -486003</t>
  </si>
  <si>
    <t>Central Excise Division and Ranges I/II and Service Tax Range Central Revenue Building Civil Line, Raipur(C.G)</t>
  </si>
  <si>
    <t>Vyapar Vihar Bilaspur</t>
  </si>
  <si>
    <t>28.03.2003</t>
  </si>
  <si>
    <t>Central Excise office building HUDCO Raipur Naka Bhilai (C.G.)</t>
  </si>
  <si>
    <t>03.01.2002</t>
  </si>
  <si>
    <t>Acquired after completion of building construction by CPWD</t>
  </si>
  <si>
    <t>Basant Vihar, Ujjain</t>
  </si>
  <si>
    <t>Jawahar Nagar Ujjain</t>
  </si>
  <si>
    <t>Pratap Nagar Indore Road Ratlam</t>
  </si>
  <si>
    <t>10.07.1997</t>
  </si>
  <si>
    <t>MOG lines, Indore,MP 452014</t>
  </si>
  <si>
    <t>28.06.1995</t>
  </si>
  <si>
    <t>Residency Area, Indore, MP 452002</t>
  </si>
  <si>
    <t>13.01.1996</t>
  </si>
  <si>
    <t>219-223, MIG &amp; LIG Vijay Nagar Ujjain Road Dewas MP 455001</t>
  </si>
  <si>
    <t>2537 per year</t>
  </si>
  <si>
    <t>CGST, Jabalpur</t>
  </si>
  <si>
    <t>Plot No.- 206 to 208, 219 to 221 &amp; 323 to 368 and 329A, 337A, 345A, 353A, 367A, 360A ( total 58 plots ) Sanjeevani Nagar, Garha, Jabalpur</t>
  </si>
  <si>
    <t>D.D. Puram Dharam Tekri, Chhindwara -486001</t>
  </si>
  <si>
    <t>Customs &amp; Central Excise, Residential Complex, Tikrapara, Raipur-492001</t>
  </si>
  <si>
    <t>Customs &amp; Central Excise, Residential Complex, Veer Sawarkar Nagar, Hirapur, Raipur (C.G.)</t>
  </si>
  <si>
    <t xml:space="preserve">CGST, Bhopal </t>
  </si>
  <si>
    <t>05, Civil Lines, Sagar</t>
  </si>
  <si>
    <t>April'2020</t>
  </si>
  <si>
    <t>0.86 Cr.</t>
  </si>
  <si>
    <t>Freehold</t>
  </si>
  <si>
    <t>Sl. No. 3</t>
  </si>
  <si>
    <t>Chhindwara</t>
  </si>
  <si>
    <t>Civil Lines Chowk, Satna, Div.-Satna</t>
  </si>
  <si>
    <t>Customs &amp; Central Excisse Office/Residential Complex, Tikrapara, Raipur</t>
  </si>
  <si>
    <t>06.04.1994</t>
  </si>
  <si>
    <t>Not assessed</t>
  </si>
  <si>
    <t>3. BHOPAL CGST ZONE</t>
  </si>
  <si>
    <t>4. BHUBANESHWAR CGST ZONE</t>
  </si>
  <si>
    <t>GST &amp; Central Excise, Bhubaneswar Commissionerate</t>
  </si>
  <si>
    <t>Mouza: Subarnapur, P S No.22, revenue Plot No.1(P), Lay Out Plot No-7, CDA, Cuttack- 753014.</t>
  </si>
  <si>
    <t>09.12.1996</t>
  </si>
  <si>
    <t>Not evaluated</t>
  </si>
  <si>
    <t>Not known</t>
  </si>
  <si>
    <t>Ground rent of Rs.71,41,847/- upto 31.03.2020</t>
  </si>
  <si>
    <t>Final plan of building not submitted by CPWD</t>
  </si>
  <si>
    <t>Boundary wall constructed during 2016 due to encroachement, discussion with CPWD in progress for final plan of the Building.</t>
  </si>
  <si>
    <t>Boundary wall completed. Official correspondences for construction of Office Building is in process.</t>
  </si>
  <si>
    <t>Plot No-4704 (part), Khata No-1074 &amp; 1076, Mouza-Gadakana, Bhubhneswar</t>
  </si>
  <si>
    <t>25.02.2002</t>
  </si>
  <si>
    <t>Rs.18750/- for first  25years(paid)</t>
  </si>
  <si>
    <t>encroachemnt cleared</t>
  </si>
  <si>
    <t>revised plan of the building has not been submitted by CPWD.</t>
  </si>
  <si>
    <t xml:space="preserve">Due to encroachment after dismissing the title suit filed by the encroacher boundary wall just completed 1 year back, </t>
  </si>
  <si>
    <t xml:space="preserve">Boundary wall completed. Official correspondences for construction of Office Building and residential quarters is in process. </t>
  </si>
  <si>
    <t>Khata No-181, Bagbrindaban Mouza, Balasore Town</t>
  </si>
  <si>
    <t>05.09.1998</t>
  </si>
  <si>
    <t>Purchased from Govt of Odisha. RoR issued in the name of the Dept.</t>
  </si>
  <si>
    <t>RoR issued</t>
  </si>
  <si>
    <t>Due to absent of approach road to plot construction activities could not be undertaken.</t>
  </si>
  <si>
    <t>Necessary documentation work as per the queries raised by DGHRD is at the final stage.</t>
  </si>
  <si>
    <t>Rourkela Commissionerate(O/o- the Asst. Commissioner, CX &amp; CGST, Sambalpur-I Dvn  under CX &amp; CGST, Rourkela Comm'te.)</t>
  </si>
  <si>
    <t>At-Danipali near Bhima Bhoi park, Post- Budharaja, Sambalpur, odisha-768004</t>
  </si>
  <si>
    <t>Negligible area left vacant out of total 95396.4 Sq.Ft., after office and residential colony built with road etc.</t>
  </si>
  <si>
    <t xml:space="preserve">Taken over from Dist. Collector/ State Govt. at nominal charge. Exact amount not readily available </t>
  </si>
  <si>
    <t xml:space="preserve"> -</t>
  </si>
  <si>
    <t>Taken over from Dist. Collector/ State Govt. at nominal charge.</t>
  </si>
  <si>
    <t xml:space="preserve"> - </t>
  </si>
  <si>
    <t>CR Complex, Rajaswa Vihar, Bhubhneswar - 751007</t>
  </si>
  <si>
    <t>18.08.1970</t>
  </si>
  <si>
    <t>Not Known</t>
  </si>
  <si>
    <t>Nil</t>
  </si>
  <si>
    <t>GST &amp; Central Excise, J.K. Road, Rayagada - 765001.</t>
  </si>
  <si>
    <t>08.07.1956</t>
  </si>
  <si>
    <t>Gandhighat Mouza, Sea Beach, Puri</t>
  </si>
  <si>
    <t>Not available</t>
  </si>
  <si>
    <t>Customs (Prev.) Commissionrate, Bhubaneswar(Paradeep Customs Division)</t>
  </si>
  <si>
    <t>O/O the Deputy Commissioner, Customs House, Madhuban, Paradeep, Jagatsinghpur-754142</t>
  </si>
  <si>
    <t>26.03.1991</t>
  </si>
  <si>
    <t>(30 years) 26.03.1991-26.03.2021</t>
  </si>
  <si>
    <t>Ground Rent</t>
  </si>
  <si>
    <t>O/o- the Asst. Commissioner, CX &amp; CGST, Sambalpur-I Dvn  under CX &amp; CGST, Rourkela Comm'te.</t>
  </si>
  <si>
    <t>O/o- the Asst. Commissioner, GST &amp; Central Excise, Rourkela-II Division</t>
  </si>
  <si>
    <t>At- Nayabazar, Sector- 21, Rourkela, Odisha,  Pin- 769010</t>
  </si>
  <si>
    <t>15.03.1984</t>
  </si>
  <si>
    <t>360000/-</t>
  </si>
  <si>
    <t>C.R. Colony, Rajaswa Vihar, Bhubaneswar 751007</t>
  </si>
  <si>
    <t>Not traceble</t>
  </si>
  <si>
    <t>Community hall</t>
  </si>
  <si>
    <t>25.04.2001</t>
  </si>
  <si>
    <t>B-1/1, Unit -IX, Bhubaneswar</t>
  </si>
  <si>
    <t>Purchased from State Government</t>
  </si>
  <si>
    <t>Cuttack GST &amp; Central Excise Division</t>
  </si>
  <si>
    <t>CR Colony, Kafla, Tulasipur, Cuttack-753008</t>
  </si>
  <si>
    <t>Not readily traceable</t>
  </si>
  <si>
    <t>Not readily tracebale</t>
  </si>
  <si>
    <t>Income tax estate owner</t>
  </si>
  <si>
    <t>Rayagada, GST &amp; Central Excise Division</t>
  </si>
  <si>
    <t>Central Excise officers Colony , J.K. Road, Rayagada - 765001.</t>
  </si>
  <si>
    <t>Old Customs Colony, Madhuban, Paradeep, Dist- Jagatsinghpur, Odisha 754142</t>
  </si>
  <si>
    <t>22.06.1978</t>
  </si>
  <si>
    <t xml:space="preserve">1. 30 Years 22.06.1978-22.06.2008
2.(15 Years) 22.06.2008-31.12.2024
</t>
  </si>
  <si>
    <t>Jaganath Colony, near Jaganath Temple, Paradeep, Dist- Jagatsinghpur, Odisha 754142</t>
  </si>
  <si>
    <t>05.12.1992</t>
  </si>
  <si>
    <t>Vatika Colony, near Mausima TEmple, Paradeep, Dist- Jagatsinghpur, Odisha 754142</t>
  </si>
  <si>
    <t>22.09.1984 &amp; 28.07.1987</t>
  </si>
  <si>
    <t>Rayagada, Central Excise Division</t>
  </si>
  <si>
    <t>On 73614.95 Sq.Ft. area out of total acquisition of land of 95396.4 Sq.Ft.</t>
  </si>
  <si>
    <t>5. CHANDIGARH CGST ZONE</t>
  </si>
  <si>
    <t>GST, Commissionerate, Chandigarh</t>
  </si>
  <si>
    <t>Custom &amp; Central Excise Colony, Sector 37/C, Chandigarh-160036</t>
  </si>
  <si>
    <t>07.10.1985</t>
  </si>
  <si>
    <t>8.05 Cr.</t>
  </si>
  <si>
    <t>99 Years w.e.f. 26/02/1979</t>
  </si>
  <si>
    <t>Rs. 7,832/-</t>
  </si>
  <si>
    <t>*</t>
  </si>
  <si>
    <t xml:space="preserve">Central Goods &amp; Service Tax Commissionerate Jalandhar </t>
  </si>
  <si>
    <t xml:space="preserve">Guru Gobind Singh Avenue, G. T. Road, Jalandhar-Amritsar-Highway, Jalandhar </t>
  </si>
  <si>
    <t>24281.44 Sq.M.</t>
  </si>
  <si>
    <t>05.08.2002</t>
  </si>
  <si>
    <t>6.89 Crores</t>
  </si>
  <si>
    <t>Not Available</t>
  </si>
  <si>
    <t>Sanctioned</t>
  </si>
  <si>
    <t>%</t>
  </si>
  <si>
    <t>Central Goods &amp; Service Tax Commissionerate Jammu</t>
  </si>
  <si>
    <t>Adjacent to SBI Colony, Rajinder Nagar, Bantalab, Distt-Jammu-181123</t>
  </si>
  <si>
    <t>8034.56 Sq. Metres</t>
  </si>
  <si>
    <t>Lease Execited on 26.11.1997 (Date of acquisition 19.03.1998)</t>
  </si>
  <si>
    <t>Leasehold</t>
  </si>
  <si>
    <t>40-Years</t>
  </si>
  <si>
    <t>Rs. 6400/-p.a.</t>
  </si>
  <si>
    <t>@</t>
  </si>
  <si>
    <t>#</t>
  </si>
  <si>
    <t>Survey No. 49, Silk Factory, Ram Bagh, Solina, Srinagar-190008</t>
  </si>
  <si>
    <t>19.02.2016</t>
  </si>
  <si>
    <t>Premium of Rs. 17.50 crore + Ground rent for 1 year Rs. 75000/-</t>
  </si>
  <si>
    <t>17.50 Crores</t>
  </si>
  <si>
    <t>Initially 40 years, extendable by another 50 years, starting from date of registration of lease deed, i.e., 19.02.2016</t>
  </si>
  <si>
    <t xml:space="preserve">Ground rent @ Rs. 75/- per marla per annum. </t>
  </si>
  <si>
    <t>$</t>
  </si>
  <si>
    <t>Frequent Unrest/disturbed situation in Kashmir valley</t>
  </si>
  <si>
    <t>This land is purchase for Type-I quarter. This office has already 66 Type-I quarters and curently this office is not required more Type-I quarters</t>
  </si>
  <si>
    <t>The construction of boundary wall has been completed by the CPWD Authorities, who is entrusted with this work. With regard to the construction of main project,project is underway</t>
  </si>
  <si>
    <t>The proposal of construction of Office-cum-Residential building was initiated but meanwhile CRPF authorities have requested this office through JDA, Jammu to consider an alternate patch of land in place of the existing 16-Kanals land at Bantalab citing the reason that they need the same for strengthening the security.</t>
  </si>
  <si>
    <t>The Lease Deed for acquiring 16-Kanals land situated at Bantalab, Jammu on lease for construction of residential colony but later on, the Central Customs and Central Excise Division office Jammu decided to revise the requirements from residential building to office-cum-residential building in view of the existing transfer policy in r/o posting of the officers in JK state and other reasonable factors. But, the Executive Engineer(Civil), CPWD, Jammu intimated to obtain in principal approval of Local Authority for change in land use of the plot to include office building and guest house(Residential Quarters). The process of initiating construction on the said land at Bantalab, Jammu was therefore, put on hold awaiting change in use of land from “Residential” to "Office-cum-Residential" which was approved on 24.01.2018. Thereafter, while the process of obtaining estimate of topographical survey, construction of boundary wall from the concerned authorities and sanction thereof was underway, the Vice Chairman(VC), JDA, Jammu had approached this office on 19.07.2019 and presented the request of the CRPF department to allot them the 16 Kanals Plot at  Bantalab (which has been acquired on Lease by this office) and to consider an alternate piece of land in lieu of the land already allotted to this office citing the reason that the same are required by them for upgrading their security arrangements. Further, the DIG, CRPF, GC, Bantalab vide letter dated 23.07.2019 had directly requested this office to assist them in allotment of the said 16 Kanals land at Bantalab to them for enabling the strong security arrangements at their camp.</t>
  </si>
  <si>
    <t xml:space="preserve">The proposal for construction of Office-cum-Residential Building has been initiated and it is at the stage of obtaining estimate of cost of construction from CPWD. Soil testing done.  Proposal for construction of buildings initiated  Further, the proposal for sanctioning cost of Construction of Boundary walls has also been submitted to DGHRD through CCU which is under process. </t>
  </si>
  <si>
    <t>CGST, Commissionerate, Chandigarh</t>
  </si>
  <si>
    <t>Central Revenue Building, Plot No. 19, Sector 17/c, Chandigarh-160017</t>
  </si>
  <si>
    <t xml:space="preserve">Lease Hold </t>
  </si>
  <si>
    <t>2.50 lakh</t>
  </si>
  <si>
    <t>GST Bhawan, F-Block, Rishi Nagar, Ludhiana</t>
  </si>
  <si>
    <t>04.09.2002</t>
  </si>
  <si>
    <t>.----</t>
  </si>
  <si>
    <t>alloted</t>
  </si>
  <si>
    <t>.---</t>
  </si>
  <si>
    <t>CR- Building,  CGST Division,Giani Zail Singh Nagar,Distt. Ropar-140001</t>
  </si>
  <si>
    <t>27.04.1995</t>
  </si>
  <si>
    <t>Not available in this office</t>
  </si>
  <si>
    <t>_</t>
  </si>
  <si>
    <t>CGST Commissionerate, Jammu</t>
  </si>
  <si>
    <t>OB-32, Rail Head Complex, Near Bahu Plaza, Jammu-180012</t>
  </si>
  <si>
    <t>831 Square Metres</t>
  </si>
  <si>
    <t>Rs. 121.52 Lakhs per Kanal              (01-Kanal= 505.86 Sq.metres)</t>
  </si>
  <si>
    <t>9900/- p.a.</t>
  </si>
  <si>
    <t>Acquisition cost of 2.84 Crore includes cost of plot/land and cost of construction of office building.</t>
  </si>
  <si>
    <t>CWP No. 1570 1. Rajiner singh Chauhan, 2. Mahender Singh Chauhan both sons of Late Sh. Vijay Singh Chauhan 3. Smt. Soma Devi Chauhan w/o Late Sh. Vijay Singh Chauhan Versus 1. State of Punjab through it's principal secretary, Department of Local Govt. Punjab, Civil Secretariat Punjab, Chandigarh 2. The Ludhiana Improvement Trust, through its Chairman, feroze Gandhi Market, Ludhiana 3. Union of India through the Secretary, Department of Finance, New Delhi 4. Commissioner, Income Tax Department, Patiala 5. Deputy Commissioner, Income Tax Department, Ludhiana 6. Commissioner, Central excise &amp; Custom Central Excise House, Rishi Nagar, Ludhaina</t>
  </si>
  <si>
    <t>Customs &amp; Central Excise Colony, Sector 37/C, Chandigarh Pin -160036</t>
  </si>
  <si>
    <t>Oct.  - 1985</t>
  </si>
  <si>
    <t xml:space="preserve">Lease </t>
  </si>
  <si>
    <t>99 years w.e.f. 16/04/1979</t>
  </si>
  <si>
    <t>Sector 29, Chandigarh</t>
  </si>
  <si>
    <t>7.32 Cr.</t>
  </si>
  <si>
    <t>99 years</t>
  </si>
  <si>
    <t>Annual Service Charges            Rs. 18,601/- + Ground Rend Rs.8,333/-</t>
  </si>
  <si>
    <t>Sector -39/B, Chandigarh</t>
  </si>
  <si>
    <t>26.5.2009</t>
  </si>
  <si>
    <t>8.26 Cr.</t>
  </si>
  <si>
    <t>Service Charge Rs. 2638/-</t>
  </si>
  <si>
    <t>CGST Commissionerate, Ludhiana</t>
  </si>
  <si>
    <t>GST Bhawan, F-Block, Rishi Nagar, Ludhiana-141001</t>
  </si>
  <si>
    <t>.-----</t>
  </si>
  <si>
    <t>CGST Commissionerate Ludhiana</t>
  </si>
  <si>
    <t>Out of the mentioned Quarters 51 Type-I, 162 Type-II, &amp; 75 Type-III were acquired in Oct, 1985; 16 Type-IV were acquired in 1990; 16 Type-I, 40 Type-II &amp; 32 Type-III were acquired in 1990; 24 Type-III were acquired in 1996; 24 Type-IV were acquired in 2009.</t>
  </si>
  <si>
    <t>CGST Commissionerate Jalandhar</t>
  </si>
  <si>
    <t>CGST Division, Guru Hargobind Nagar, Phagwara</t>
  </si>
  <si>
    <t>1836.26 (2200 Sq Yards)</t>
  </si>
  <si>
    <t>07.03.1989</t>
  </si>
  <si>
    <t>Allotted</t>
  </si>
  <si>
    <t>CGST DIVISION I/II PATIALA ALONG WITH 8 RANGES</t>
  </si>
  <si>
    <t>URBAN ESTATE PHASE-III OPP. ALL INDIA RADIO STATION PATIALA</t>
  </si>
  <si>
    <t>1.12.1998</t>
  </si>
  <si>
    <t>Current circle rate is not available at present, however this office has requested to The Executive Engineer, CPWD to provide the current circle rates vide this office letters dated 09.09.2019, 17.09.2019 &amp; 24.04.2020. Reply is still awaited.</t>
  </si>
  <si>
    <t>Circle rate as per Report of CPWD during 2014-15 was Rs. 4,25,000/- per marla and aprrox value of property of 72.60 Marla (2200 Sq Yards) was Rs. 3,08,55,000/- for the land.</t>
  </si>
  <si>
    <t>6. CHENNAI CGST ZONE</t>
  </si>
  <si>
    <t>Chennai North Commissionerate</t>
  </si>
  <si>
    <t>GST Bhawan (Main &amp; Annexe), No.26/1, Mahatma Gandhi Road, Nungumbakkam, Chennai, Tami Nadu-600 034</t>
  </si>
  <si>
    <t>16.03.1956</t>
  </si>
  <si>
    <t>Purchase, Free hold</t>
  </si>
  <si>
    <t>Constructed by CPWD</t>
  </si>
  <si>
    <t xml:space="preserve"> </t>
  </si>
  <si>
    <t>Central Revenue Quarters, No.121, Mahatma Gandhi Road, Nungumbakkam, Chennai, Tamil Nadu-600 034</t>
  </si>
  <si>
    <t>20.08.1954</t>
  </si>
  <si>
    <t>Initiated Jointly by Chennai Customs Zone &amp; Tanmil Nadu &amp; Puduchery CGST Zone/sent to to DGHRD by Chennai Customs Zone/Sanctioned by Ministry</t>
  </si>
  <si>
    <t>Project in progress</t>
  </si>
  <si>
    <t xml:space="preserve">Joint Ownership by CBDT (Income Tax Chennai) and CBIC (Customs and CGST &amp; Central Excise-Chennai) </t>
  </si>
  <si>
    <t>Central Revenue Quarters, 15th Main Road, Anna Nagar, Chennai, Tamil Nadu-600 040</t>
  </si>
  <si>
    <t>105623 (26.1 acres)</t>
  </si>
  <si>
    <t>28.03.1970</t>
  </si>
  <si>
    <t>Joint Ownership by Income Tax, Customs &amp; CGST &amp; Central Excise</t>
  </si>
  <si>
    <t>South Asian Fedaration (SAF) Games Village, Koyembedu, Chennai, Tamil Nadu-600 106</t>
  </si>
  <si>
    <t>208.00 {UDS Land) 360.00 (4Flats)</t>
  </si>
  <si>
    <t>30.06.1997</t>
  </si>
  <si>
    <t xml:space="preserve">Utilised </t>
  </si>
  <si>
    <t>TNHB Eri Scheme Departmental Quarters, Eri Scheme Road, Mogappair (West), Chennai-600 037</t>
  </si>
  <si>
    <t>5731.93 Plinth Area of 90 Flats</t>
  </si>
  <si>
    <t>03.04.2000</t>
  </si>
  <si>
    <t>TNHB Departmental Qtrs., Shanthi Colony, 7th Main Road, Shanthi Colony, Anna Nagar, Chennai-600 040</t>
  </si>
  <si>
    <t>2055.04 Plinth Area of 32 Flats</t>
  </si>
  <si>
    <t>20.11.1997</t>
  </si>
  <si>
    <t>Puducherry</t>
  </si>
  <si>
    <t>Ward No. F, Block No. 7, revenue VII, Colos Nagar, Puducherry</t>
  </si>
  <si>
    <t>1127***</t>
  </si>
  <si>
    <t>26.05.1994</t>
  </si>
  <si>
    <t>--</t>
  </si>
  <si>
    <t>Litigation</t>
  </si>
  <si>
    <t>The said portion of land was allotted by the Govt. of Puducherry to the dept. vide Order No. 7358/C1/93 dt. 13.05.1993 vide proceeding No. 7053/TOP/E/93 dt. 05.10.1993.
Acquisition Cost - No payment has been made as it was acquired under Urban Celing Act by Govt. of Puducherry and handed over to the Department. Hence, the question of acquisition cost does not arise.</t>
  </si>
  <si>
    <t>MADURAI</t>
  </si>
  <si>
    <t>No. 913, Catholic Centre, Thittakulam Village, Tuticorin Road, Kovilpatti Taluk</t>
  </si>
  <si>
    <t>19.06.1997</t>
  </si>
  <si>
    <t>There is no way the site</t>
  </si>
  <si>
    <t>SALEM</t>
  </si>
  <si>
    <t>BlockNo.39&amp; 42 T.S.No. 4/3A &amp; 2/9, Calicut Main Road, Mettur Dam of Salem II Division</t>
  </si>
  <si>
    <t>1.00 acres</t>
  </si>
  <si>
    <t>06.05.2002</t>
  </si>
  <si>
    <t xml:space="preserve">NA </t>
  </si>
  <si>
    <t>Chennai North</t>
  </si>
  <si>
    <t>20/08/1954</t>
  </si>
  <si>
    <t>As the Department has constructed building.  Current Circle rate ascertained based on https://tnreginet.gov.in/portal &amp; CPWD letters</t>
  </si>
  <si>
    <t>Chennai South</t>
  </si>
  <si>
    <t>No. 692, MHU Complex, Anna Salai, Nandanam, Chennai (Dist) Pin 600035</t>
  </si>
  <si>
    <t xml:space="preserve">3023.44 (UDS) </t>
  </si>
  <si>
    <t>26.12.2003</t>
  </si>
  <si>
    <t>14.12 crores</t>
  </si>
  <si>
    <t>61.84 Crores i.e
 Rs 2,04,520/- per sq mt.</t>
  </si>
  <si>
    <t xml:space="preserve">Value of Land is based on the current guideline value Rs. 19,000 per sq ft </t>
  </si>
  <si>
    <t>Chennai Audit I</t>
  </si>
  <si>
    <t xml:space="preserve">1775, Jawaharlal Nehru Inner Ring Road, Annanagar West, Chennai-600 101 </t>
  </si>
  <si>
    <t>3798.455 Built up  areaon 2403.825 sq.meter Land area</t>
  </si>
  <si>
    <t>8.5 Crore</t>
  </si>
  <si>
    <t>25.13 Crore</t>
  </si>
  <si>
    <t>Coimbatore</t>
  </si>
  <si>
    <t>O/o the Pr. Commissioner of GST &amp; Central Excise,  6/7, A. T. D. Street, Race Course, Coimbatore - 641018.</t>
  </si>
  <si>
    <t>In possession since salt act</t>
  </si>
  <si>
    <t>_ _</t>
  </si>
  <si>
    <t>**</t>
  </si>
  <si>
    <t>Trichy</t>
  </si>
  <si>
    <t>O/o The Commissioner of GST &amp; Central Excise, No. 1. Williams Road, Cantonment Tiruchirappalli- 620 001</t>
  </si>
  <si>
    <t>9500 Sqr Mt</t>
  </si>
  <si>
    <t>October, 1995</t>
  </si>
  <si>
    <t>Cost of Purchase 2.11 Crores for entire land of 12827.30 sq mt</t>
  </si>
  <si>
    <t>Rs. 31.82 Crores (9500 sq mt X Rs. 33500/- per Sq mt)</t>
  </si>
  <si>
    <t>Out of total land area of 12827.30 Sq Mt maximum area of 9500 Sqr Mt is Utilised for construction of four storeyed building to house GST &amp; C.Ex Comm'te and various other Offices i.e GST &amp; C.EXComm'te Hqrs, Trichy, GST C.Ex Divisions I &amp; II, Trichy CC(P) , Trichy Customs Zone, Trichy Customs Comm'te, Customs Divn, Trichy, Customs Retail shop and Seized Goods Godown and Audit Circle, GST &amp; C Ex (Appeals) unit . Remaining area being utilised for Guest House CPWD Offices Gen Set Room, Society Office, Transit Guest House and 12 Quarters of Type- IV, V, and VI with play ground for children.</t>
  </si>
  <si>
    <t>Office of the Assistant Commissioner of GST and  Central Excise,  Thanjavur Division,  No. 374/2A, Ponnagar, Medical College Road, Thanjavur - 613 007.</t>
  </si>
  <si>
    <t>999.15 Sqr Mt</t>
  </si>
  <si>
    <t>1999</t>
  </si>
  <si>
    <t xml:space="preserve"> Cost of purchase 0.43 crores for entire land of 16146.957 sq.mt</t>
  </si>
  <si>
    <t xml:space="preserve"> Rs. 1.44 Crores (999.15 sq.mt X Rs.14430 per sq.mt)</t>
  </si>
  <si>
    <t>No. 1 Goubert avenue, beach Road, Puducherry(Commissioner's block)</t>
  </si>
  <si>
    <t>1966 (since Independence)</t>
  </si>
  <si>
    <t>The land and building came to the Department since Independence.
Acquisition/Construction Cost-Transferred to the Department at free of cost vide Ministry of Finance Ir. F.No.II/31/64 Ad.VIII dated 16.07.1964 &amp; 31.01.1966.</t>
  </si>
  <si>
    <t>No. 1 Goubert avenue, beach Road, Puducherry(Annexe Building)</t>
  </si>
  <si>
    <t>Acquired during 1966 &amp; Constructed during 1998</t>
  </si>
  <si>
    <t>8.5 (construction cost)</t>
  </si>
  <si>
    <t>The land came to the Department since Independence. Acquisition/Construction Cost-Transferred to the Department at free of cost vide Ministry of Finance Ir. F.No.II/31/64 Ad.VIII dated 16.07.1964 &amp; 31.01.1966. Building was constructed during 1998.</t>
  </si>
  <si>
    <t>Old light House, Beach Road, puducherry</t>
  </si>
  <si>
    <t>Since 1950</t>
  </si>
  <si>
    <t>Board approved the renovation of Old light house. CPWD, Puducherry has to renovate.</t>
  </si>
  <si>
    <t>Madurai</t>
  </si>
  <si>
    <t>Office of the Commissioner of Central Excise, Hqrs. Office,No.6. Lalbahadur Shasthri Road, C.R. Building, Bibikulam, Madurai-625002.</t>
  </si>
  <si>
    <t>2.620/ 1.930</t>
  </si>
  <si>
    <t>….</t>
  </si>
  <si>
    <t>O/o the Asst. Commissioner of Central Excise, Madurai-I and II Division, V.P.Rathinasamy Nadar Road, C.R. Building, Biblkulam, Madurai-625 002</t>
  </si>
  <si>
    <t>3.080/ 0.052</t>
  </si>
  <si>
    <t>O/o the Asst. Commissioner of Central Excise, Dindigul-I Division, No.30, Mengles Road, YMR Patty, Dindigul-624 001</t>
  </si>
  <si>
    <t>…</t>
  </si>
  <si>
    <t>O/o the Asst. Commissioner of Central Excise, Virudhunagar Division, No. 130/8-1, Katcheri Road, Virudhunagar- 626 001</t>
  </si>
  <si>
    <t>2.485 / 0.164</t>
  </si>
  <si>
    <t>..</t>
  </si>
  <si>
    <t>O/o the Superintendent of Central Excise, Virudhunagar I and II Range, West NGO Colony, Madurai Road, Virudhunagar</t>
  </si>
  <si>
    <t>O/o the Superintendent of Central Excise, Sattur Range, No. 162, Gurulingapuram, Padanthal Road, Sattur</t>
  </si>
  <si>
    <t>Central Revenue Building, Tractor Street NGO A colony, Palayamkottai</t>
  </si>
  <si>
    <t>Survey No. 146/1, courtallam main Road, Melagaram, village Tankasi</t>
  </si>
  <si>
    <t>12.06.98</t>
  </si>
  <si>
    <t>C-50 SIPCot Industrial Complex Tuticorin</t>
  </si>
  <si>
    <t>05.12.95</t>
  </si>
  <si>
    <t>Survey No. 202/A&amp;B, Samanatha Puram, Village, D/M/P/1/15, Shenbagathoppur Road, Rajapalayam</t>
  </si>
  <si>
    <t>02.04.1987</t>
  </si>
  <si>
    <t>S.No. 1615/1B, 1616/3A, 3B/1617, 1B,1c 1D, &amp; 1618/2, keelathirthangal, Pallapatti Road, Thiruthangal, Sivakashi</t>
  </si>
  <si>
    <t>05.05.1999</t>
  </si>
  <si>
    <t>2.23 Crores/(RS. 2,22,55,000/-)</t>
  </si>
  <si>
    <t>7.79 Crores</t>
  </si>
  <si>
    <t>No. 1 Foulk`s Compound Anaimedu, Salem</t>
  </si>
  <si>
    <t>1.44 acres =  5827.473 sq.mtrs</t>
  </si>
  <si>
    <t>05.12.1995</t>
  </si>
  <si>
    <t>Own</t>
  </si>
  <si>
    <t>81, Bharathi Nagar, Verrappanchatram, Soolai, Erode 638 004.</t>
  </si>
  <si>
    <t>1777 Sq. Mtrs. (Plinth area 2165)</t>
  </si>
  <si>
    <t>01.11.2002</t>
  </si>
  <si>
    <t>Hosur I Division, Thally Raod, Hosur-635 109.</t>
  </si>
  <si>
    <t>1562 Sq.Ms</t>
  </si>
  <si>
    <t>---</t>
  </si>
  <si>
    <t>,SIPCOT Industrial Complex, Hosur II Divn, Hosur-635126</t>
  </si>
  <si>
    <t>1 crore</t>
  </si>
  <si>
    <t>As the Department has constructed building in respect of Sl.No.(1&amp;2) and purhased ready built Flats (Sl.No.3, 4&amp;5).  Current Circle rate ascertained based on https://tnreginet.gov.in/portal &amp; CPWD letters</t>
  </si>
  <si>
    <t>INCOME TAX &amp; CENTRAL EXCISE QUARTERS, New Siddhapudur Coimbatore - 641  044.</t>
  </si>
  <si>
    <t>The land over which quarters have been constructed is under Income Tax Department, Coimbatore</t>
  </si>
  <si>
    <t xml:space="preserve"> No. 1. Williams Road, Cantonment Tiruchirappalli- 620 001</t>
  </si>
  <si>
    <t>1874 sq.mt</t>
  </si>
  <si>
    <t xml:space="preserve">Cost of purchase Rs. 2.11 crores </t>
  </si>
  <si>
    <t xml:space="preserve">Rs. 6.27 crores (1874 sq.mt X Rs. 33500/- per sq.mt) </t>
  </si>
  <si>
    <t>Cost of purchase of land given in coloumn 7 is for entire land in which Office, Quarters, Guest House and other open area etc.</t>
  </si>
  <si>
    <t>Customs and Central Excise Staff Res.Quarters + CPWD's Staff Essential Qtrs.  Sakthi Nagar, Karumandapam, Tiruchirappalli - 620001</t>
  </si>
  <si>
    <t>9125 Sqr mt</t>
  </si>
  <si>
    <t>March 2000</t>
  </si>
  <si>
    <t>Puchase cost  of Rs. 0.64 crores</t>
  </si>
  <si>
    <t>Rs.4.94Crores (9125 Sqr mt. x Rs. 5415/- per Sqr mt)</t>
  </si>
  <si>
    <t>Cost of purchase of land given in coloumn 7 including  the land in which quarters having been constructed and  other open area.</t>
  </si>
  <si>
    <t>Central Excise Staff Res.Quarters, GST &amp; Central Excise Division,Thanjavur, No.374/2A, Ponnagar, Medical College Road, Thanjavur- 613 007.</t>
  </si>
  <si>
    <t>3907 sq.mt</t>
  </si>
  <si>
    <t>Cost of purchase 0.43 crores</t>
  </si>
  <si>
    <t>Rs. 5.63 croeres (3907 sq.mt X Rs.14430/- per sq.mt)</t>
  </si>
  <si>
    <t>D.P.Thottam, Puducherry -4</t>
  </si>
  <si>
    <t>freehold</t>
  </si>
  <si>
    <t>No. 30, Mengles Road, Dindigul -624001</t>
  </si>
  <si>
    <t>West NGO Colony Madurai Road, Virudhunagar</t>
  </si>
  <si>
    <t>319/2, Gurulingapuram Padanthal Road, Sattur</t>
  </si>
  <si>
    <t>Tractor Street, NGO A Colony, Palayamkottai</t>
  </si>
  <si>
    <t>Survey No. 146/1, melagaran Village, Tenkasi</t>
  </si>
  <si>
    <t>12.06.1998</t>
  </si>
  <si>
    <t>C-50, Sipcot Industrial complex, Turicorin</t>
  </si>
  <si>
    <t>Survey No; 202/A&amp;IB, Samananthapuram Village, D/M/P/1/15, Shenbagathoppur Road, Rajapalaam</t>
  </si>
  <si>
    <t>Survey No. 1615/IB, 1616/3A, 3B/1617, 1b, 1c, 1d &amp; 1618/s, Keelathirthangal, Pallapatti Road, Thiruthangal Sivakasi</t>
  </si>
  <si>
    <t>05.06.2010</t>
  </si>
  <si>
    <t>1.27 acres =  5139.508 sq.mtrs</t>
  </si>
  <si>
    <t>29.01.2001</t>
  </si>
  <si>
    <t>1,93,97,662</t>
  </si>
  <si>
    <t>2070 Sq. Mtrs  (Plinth Area 2165 Sq Mtrs.</t>
  </si>
  <si>
    <t>08.04.1999</t>
  </si>
  <si>
    <t xml:space="preserve">0.61 Crores </t>
  </si>
  <si>
    <t>6.23  Crores</t>
  </si>
  <si>
    <t xml:space="preserve">Constructed by CPWD </t>
  </si>
  <si>
    <t>Thally Raod, Hosur-635 109.</t>
  </si>
  <si>
    <t>2938 Sq.m.</t>
  </si>
  <si>
    <t>SIPCOT Industrial Complex, Hosur II Divn, Hosur-635126</t>
  </si>
  <si>
    <t>3098 Sq.ft</t>
  </si>
  <si>
    <t>1995-20 Nos, 1999-28 Nos</t>
  </si>
  <si>
    <t>0.6 crore</t>
  </si>
  <si>
    <t>Jothi Nagar 'D' Colony, Pollachi - 642001.</t>
  </si>
  <si>
    <t>20.11.1989</t>
  </si>
  <si>
    <t>12827.30 sq.mt</t>
  </si>
  <si>
    <t>Puchase Cost Rs. 2.11 Crores</t>
  </si>
  <si>
    <t>Rs. 42.97 crores (12827.30 sq. mt X Rs.33500/- per sq.mt)</t>
  </si>
  <si>
    <t>16146.95 sq.mt</t>
  </si>
  <si>
    <t xml:space="preserve">Purchase cost Rs. 0.43crores </t>
  </si>
  <si>
    <t>Rs. 23.30 crores (16146.95 sq.mt X Rs.14430/- per sq.mt)</t>
  </si>
  <si>
    <t>1/15, Shenbagathoppu road, Rajapalayam</t>
  </si>
  <si>
    <t>2.72 acres</t>
  </si>
  <si>
    <t>Central Government</t>
  </si>
  <si>
    <t>1/749, Thiruthngal pallapatti Road, Thiruthangal -626130</t>
  </si>
  <si>
    <t>4095.14 Sq. mtrs</t>
  </si>
  <si>
    <t>4.37 crores.</t>
  </si>
  <si>
    <t>10.75 Crores</t>
  </si>
  <si>
    <t>Office &amp; Quarters building handed over by Cped ON 05.06.2020</t>
  </si>
  <si>
    <t>30, mengles Road, Dindigul-624001</t>
  </si>
  <si>
    <t>No.1 &amp; 1A, coutralam main Road, Melagaram, Tenkasi Tirunelvei-627811</t>
  </si>
  <si>
    <t>C-50, Sipcot Industrial Complex Madathur Tuticorin-208008</t>
  </si>
  <si>
    <t>maintaines charges Rs. 22000/- yearly Water charges Rs. 10000/- ) per months.</t>
  </si>
  <si>
    <t>Office of the Deputy Commissioner of GST &amp; C.Excise, Hosur I Division, Thally Raod, Hosur-635 109.</t>
  </si>
  <si>
    <t>4500 Sq.m.</t>
  </si>
  <si>
    <t>4.84 as on 30.04.14</t>
  </si>
  <si>
    <t>Office cum quarters</t>
  </si>
  <si>
    <t>3847 Sq. Mtrs</t>
  </si>
  <si>
    <t xml:space="preserve">1.95 Crores </t>
  </si>
  <si>
    <t>Chennai Outer</t>
  </si>
  <si>
    <t>S.F.No.62 (Part), Developed Plot No.61, SIPCOT Phase-I, SIPCOT Industrial Complex,           Karai Village, Ranipet Firka, Ranipet 632 401, Ranipet Dist.</t>
  </si>
  <si>
    <t>12.09.1986</t>
  </si>
  <si>
    <t>0.33#</t>
  </si>
  <si>
    <t>99 Years w.e.f.   04.06.1986</t>
  </si>
  <si>
    <t>Water Charges</t>
  </si>
  <si>
    <t>___</t>
  </si>
  <si>
    <t>CGST Delhi Zone</t>
  </si>
  <si>
    <t>Delhi North</t>
  </si>
  <si>
    <t>H-1, Sector-9, Dwarka, Delhi.</t>
  </si>
  <si>
    <t>07.08.96</t>
  </si>
  <si>
    <t>Yes, Ground Rent=Rs.8,09,446/-</t>
  </si>
  <si>
    <t>* This land is under constrution for Residential Flats</t>
  </si>
  <si>
    <t>Delhi East</t>
  </si>
  <si>
    <t>Delhi South</t>
  </si>
  <si>
    <t>Delhi West</t>
  </si>
  <si>
    <t>Delhi Audit-I</t>
  </si>
  <si>
    <t>Delhi-Audit-II</t>
  </si>
  <si>
    <t>Delhi Appeal-I</t>
  </si>
  <si>
    <t>Delhi Appeal-II</t>
  </si>
  <si>
    <t>Plot No.-01, Retails Business Center, Nangal Raya, Janakpuri,  New Delhi,</t>
  </si>
  <si>
    <t>1,38,600/- per Sqm</t>
  </si>
  <si>
    <t>Ground Rent RS.33.40 Laks already paid to DDA</t>
  </si>
  <si>
    <t xml:space="preserve">Not applicable (as acquried newly) </t>
  </si>
  <si>
    <t>7. DELHI CGST ZONE</t>
  </si>
  <si>
    <t>8. GUWAHATI CGST ZONE</t>
  </si>
  <si>
    <t>9. HYDERABAD CGST ZONE</t>
  </si>
  <si>
    <t>Survey No. 28 at Khajaguda Village, Serilingampally Mandal, Ranga Reddy District, Telangana-500032</t>
  </si>
  <si>
    <t>Acquisition process is under progress. Details are given  in remarks coloumn.</t>
  </si>
  <si>
    <t>58.37 (including registration charges and user charges)</t>
  </si>
  <si>
    <t>No litigation is pending as per record.</t>
  </si>
  <si>
    <t>Acquisition process is under progress.</t>
  </si>
  <si>
    <t>Amount of Rs.58,08,00,000/- (Fifty Eight Crores Eight Lakhs only) has been remitted in the treasury of Government of Telangana vide challan dated 21.03.2020. Further, an amount of Rs.29,00,000/- &amp; Rs.4,100/- paid towards registration charges &amp; user charges  vide challans dated 22.05.2020 and original challans has been handed over in Collector Office, RR District for further course of action. The same is under progress.</t>
  </si>
  <si>
    <t>Survey No.240/1, Mamidipally Village, Saroornagar Mandal, Rangareddy Dist.-500032</t>
  </si>
  <si>
    <t>15681.45 (3 acres and 35 Guntas)</t>
  </si>
  <si>
    <t>11.09.2017</t>
  </si>
  <si>
    <t>Alloted</t>
  </si>
  <si>
    <r>
      <rPr>
        <sz val="11"/>
        <color rgb="FFFF0000"/>
        <rFont val="Times New Roman"/>
        <family val="1"/>
      </rPr>
      <t>***</t>
    </r>
    <r>
      <rPr>
        <sz val="11"/>
        <color theme="1"/>
        <rFont val="Times New Roman"/>
        <family val="1"/>
      </rPr>
      <t xml:space="preserve"> Details mentioned below</t>
    </r>
  </si>
  <si>
    <t>Construction of Compound wall is partially done and furhter construciton is stalled due to the reasons mentioned in the col. 12.</t>
  </si>
  <si>
    <t>*** A dispute regarding an existance of cart track in the land allotted to the Customs Commissionerate is goining on. As per the Hon'ble High Court orders, Telangana, Customs Commissionerate addressed a letter to Collector(FAC), Rangareddy Dist. to clearly demark the cart track as per the village map. The marking is pending.</t>
  </si>
  <si>
    <t>GST Bhavan, LB Stadium Rd, New MLA Quarters, Adarsh Nagar, Hyderabad, Telangana 500004</t>
  </si>
  <si>
    <t xml:space="preserve">1887 Sq.mtrs of land was under illegal encroachment and was handed over to the department in 2008 after eviction of the encroachers. Writ petitions have been filed vide W.P.No.3320/2006 in the High Court of Telengana at Hyderabad and the Court has ordered for status-quo. </t>
  </si>
  <si>
    <t>VBG Gardens, Gudi Malkapur Rd, Navodaya Colony, Mehdipatnam, Hyderabad, Telangana 500028</t>
  </si>
  <si>
    <t>21.03.1997</t>
  </si>
  <si>
    <t>A case pertaining to mortgage of purchased apartments is ongoing in DRAT, kolkata. Appeal filed by the Department in DRAT, Kolkata against the order dated 28.03.2018 of the Hon’ble DRT-I at Hyderabad in S.A.No.764/2013.</t>
  </si>
  <si>
    <t>Hashmatpet, Bowenpally, Secunderabad</t>
  </si>
  <si>
    <t>30.11.2015</t>
  </si>
  <si>
    <t xml:space="preserve">30.00 Approximately (Land value only) </t>
  </si>
  <si>
    <t>The buildings constructed are in a dilapidated condition and can only be scrapped</t>
  </si>
  <si>
    <t>10. JAIPUR CGST ZONE</t>
  </si>
  <si>
    <t>11. KOLKATA CGST ZONE</t>
  </si>
  <si>
    <t>12. LUCKNOW CGST ZONE</t>
  </si>
  <si>
    <t>13. MEERUT CGST ZONE</t>
  </si>
  <si>
    <t>14. MUMBAI CGST ZONE</t>
  </si>
  <si>
    <t>15. NAGPUR CGST ZONE</t>
  </si>
  <si>
    <t>16. PANCHKULA CGST ZONE</t>
  </si>
  <si>
    <t>17. PUNE CGST ZONE</t>
  </si>
  <si>
    <t>18. RANCHI CGST ZONE</t>
  </si>
  <si>
    <t>19. THIRUVANANTHAPURAM CGST ZONE</t>
  </si>
  <si>
    <t>20. VADODARA CGST ZONE</t>
  </si>
  <si>
    <t>21. VISAKHAPATNAM CGST ZONE</t>
  </si>
  <si>
    <t>GST &amp; CX COMMISSIONERATE, JAIPUR</t>
  </si>
  <si>
    <t>CGST &amp; CX DIV- E, JAIPUR
(GST &amp; CX COMMISSIONERATE, JAIPUR)</t>
  </si>
  <si>
    <t>CGST &amp; CX Div-D, E, F, G, H &amp; I, Sector-10, Vidyadhar Nagar, Jaipur - 302023.</t>
  </si>
  <si>
    <t>09.10.1996</t>
  </si>
  <si>
    <t>8136 per sq. ft.</t>
  </si>
  <si>
    <t>Customs &amp; Central Excise Colony, Sector-7, Vidhyadhar Nagar, Jaipur - 302023</t>
  </si>
  <si>
    <t>23.12.1996</t>
  </si>
  <si>
    <t>JLN Marg Officers Residential Colony, Jaipur -302017</t>
  </si>
  <si>
    <t>26.11.2001</t>
  </si>
  <si>
    <t>7556 per sq. ft.</t>
  </si>
  <si>
    <t>Central Excise Colony, Panchsheel Nagar, Makarwali Road, Ajmer- 305001</t>
  </si>
  <si>
    <t>05.07.2000</t>
  </si>
  <si>
    <t>1242 per sq. ft.</t>
  </si>
  <si>
    <t>Rajasthan Housing Board Complex, Gol Market, Jawahar Nagar, Jaipur - 302004</t>
  </si>
  <si>
    <t>Total Built up Area 1347.2 Sq. M. (Flats)</t>
  </si>
  <si>
    <t>19.04.1997 (Date of purchase)</t>
  </si>
  <si>
    <t>3597 per sq. ft.</t>
  </si>
  <si>
    <t>GST &amp; CX Commissionerate, Udaipur</t>
  </si>
  <si>
    <t>Block-H Sector-14 Goverdhan Vilas, Udaipur</t>
  </si>
  <si>
    <t>17.04.2001</t>
  </si>
  <si>
    <t>For construction of office building for GST Commissionerate, Udaipur; Audit circle, Udaipur; Commissioner (Appeals) Camp stationed at Udaipur, CGST Division B &amp; C, Udaipur</t>
  </si>
  <si>
    <t>11-Azad Nagar, Bhilwara</t>
  </si>
  <si>
    <t>19.12.2003</t>
  </si>
  <si>
    <t>0.17 (Rs. 16,66,665/-)</t>
  </si>
  <si>
    <t>For construction of office building for Division and newly created Ranges at Bhilwara</t>
  </si>
  <si>
    <t>Sector-V, Gandhinagar, Chittorgarh</t>
  </si>
  <si>
    <t>23.07.2001</t>
  </si>
  <si>
    <t xml:space="preserve">For construction of office building for Division Office, Chittorgarh and residential quarters &amp; Guest House. </t>
  </si>
  <si>
    <t xml:space="preserve">CGST, HQ, Udaipur, 142-B Hiran Magri Sector-11, 313001 </t>
  </si>
  <si>
    <t>14.12.1984</t>
  </si>
  <si>
    <t>CR Building Near CAD Circle Kota, Rajasthan-324009</t>
  </si>
  <si>
    <t>700 (Ground Floor of CR Building)</t>
  </si>
  <si>
    <t>10-Azad Nagar, Bhilwara</t>
  </si>
  <si>
    <t>09.12.1998</t>
  </si>
  <si>
    <t>Gandhi Nagar, Gulabpura</t>
  </si>
  <si>
    <t>30.09.1999</t>
  </si>
  <si>
    <t xml:space="preserve">0.46 Crore </t>
  </si>
  <si>
    <t xml:space="preserve"> CGST Division-D, Near RK Hospital, Housing Board, Kankroli 313326</t>
  </si>
  <si>
    <t>18.03.1996</t>
  </si>
  <si>
    <t>CGST, DIV- G, Chittorgarh, Plot No.168-172, Sector, -IV, Gandhi Nagar, Chittorgarh</t>
  </si>
  <si>
    <t>08.09.2003</t>
  </si>
  <si>
    <t>CGST DIV-G Range, Road, No. 5, Rati Talai, Banswara</t>
  </si>
  <si>
    <t>17.06.1998</t>
  </si>
  <si>
    <t>Central Excise Colony, Behind Alok School, Sector-11, Hiran Magri, Udaipur 313001 (14 quarters)</t>
  </si>
  <si>
    <t>01.07.1993</t>
  </si>
  <si>
    <t>Central Excise Colony, Sector-14, Hiran Magri, Govardhan Vilas Udaipur 313001 (14 +4 quarters)</t>
  </si>
  <si>
    <t>27.03.1997</t>
  </si>
  <si>
    <t>Central Excise Colony, Sector-14, Hiran Magri, Govardhan Vilas Udaipur 313001(66 quarters) 30 HIG, 31 MIG (B), 5 MIG (A)</t>
  </si>
  <si>
    <t>04.11.1999</t>
  </si>
  <si>
    <t>23.05.2002</t>
  </si>
  <si>
    <t>Plot No.168-172, Sector, -IV, Gandhi Nagar, Chittorgarh</t>
  </si>
  <si>
    <t>Central Excise Range, Road, No. 5, Rati Talai, Banswara</t>
  </si>
  <si>
    <t>08.12.1999</t>
  </si>
  <si>
    <t>Customs and Central Excise Colony, Near Power house Mahveer Nagar -III Kota Rajasthan-324005</t>
  </si>
  <si>
    <t>15.09.1993</t>
  </si>
  <si>
    <t>627( 447 for office building 180 for residential quarter)</t>
  </si>
  <si>
    <t xml:space="preserve">GST &amp; CX Commissionerate, Alwar </t>
  </si>
  <si>
    <t>Division Offices, Alwar Bypass Road, Bhiwadi-301019</t>
  </si>
  <si>
    <t>23.11.1994</t>
  </si>
  <si>
    <t>23907200/- (Cost of Office cum Residential quarters)</t>
  </si>
  <si>
    <t>Owned</t>
  </si>
  <si>
    <t>--------</t>
  </si>
  <si>
    <t>Range Offices, Dhaba 'Complex Phool Bagh, Bhiwadi-301019</t>
  </si>
  <si>
    <t>27.04.1984</t>
  </si>
  <si>
    <t>CGST Division E, Near BSNL Office, RIICO Colony, Behror(Alwar, Raj.)- 301701</t>
  </si>
  <si>
    <t>2363.39 (1163.39 + 1200) sq. m.</t>
  </si>
  <si>
    <t>26.03.1998</t>
  </si>
  <si>
    <t>6000 sq. m. for Res. &amp; 12000 sq. m. for commercial</t>
  </si>
  <si>
    <t>80, Sector-C, Sanwali Road, Todi Nagar, Sikar (Raj.) 332001</t>
  </si>
  <si>
    <t>7868.11 sq. yard and 6578 Sq. Mtrs.</t>
  </si>
  <si>
    <t>03.07.2002</t>
  </si>
  <si>
    <t>32058 sq. mtrs.</t>
  </si>
  <si>
    <t>03.07.2002 to 99 years</t>
  </si>
  <si>
    <t>N/A</t>
  </si>
  <si>
    <t>GST &amp; CX Commissionerate, Alwar</t>
  </si>
  <si>
    <t>A, Block, Surya Nagar, Alwar (Raj.)-301001</t>
  </si>
  <si>
    <t>06.04.2018</t>
  </si>
  <si>
    <t>Rs. 35379
 per sq. yard</t>
  </si>
  <si>
    <t>02.04.2018 to 99 years</t>
  </si>
  <si>
    <t>0.4809900/-</t>
  </si>
  <si>
    <t>Proposed under consideration Not yet approved</t>
  </si>
  <si>
    <t>Alwar108</t>
  </si>
  <si>
    <t>-----</t>
  </si>
  <si>
    <t>05.08.1996</t>
  </si>
  <si>
    <t>35379 per sq. yard</t>
  </si>
  <si>
    <t>Division Offices, Alwar Bypass Road, Bhiwadi</t>
  </si>
  <si>
    <t>12556245/-</t>
  </si>
  <si>
    <t>Range Offices, Dhaba 'Complex Phool Bagh, Bhiwadi</t>
  </si>
  <si>
    <t>1163.39 Sq. Meter</t>
  </si>
  <si>
    <t>12000 per sq. m.</t>
  </si>
  <si>
    <t>CGST Range-XXV &amp; XXVI &amp; Div.-F (HQ), Bharatpur</t>
  </si>
  <si>
    <t>28.04.1994</t>
  </si>
  <si>
    <t>587776/-(Cost of Office cum Residential quarters)</t>
  </si>
  <si>
    <t>7,26,44,934 (as per current commercial DLC Rate)</t>
  </si>
  <si>
    <t>Lease (for 99 Year)</t>
  </si>
  <si>
    <t>30.03.2093</t>
  </si>
  <si>
    <t>CGST Colony, Ambedkar Nagar, Alwar</t>
  </si>
  <si>
    <t>12.08.2003</t>
  </si>
  <si>
    <t>3.75 Cr</t>
  </si>
  <si>
    <t>11367 per
 sq. yard</t>
  </si>
  <si>
    <t>1200 Sq. Meter</t>
  </si>
  <si>
    <t>6000 per sq. m.</t>
  </si>
  <si>
    <t>CGST Colony Rajendra Nagar, Bharatpur</t>
  </si>
  <si>
    <t>561894/-</t>
  </si>
  <si>
    <t>1,65,76,384 (as per latest residential DLC rate)</t>
  </si>
  <si>
    <t>Lease (For 99 Years)</t>
  </si>
  <si>
    <t>GST &amp; CX Commissionerate, Jodhpur</t>
  </si>
  <si>
    <t xml:space="preserve">Office of the Supdt. C.G.S.T. RangeXX, Ambaji Ind., Area Abu Road PIN-307 026     Distt. Sirohi (Rajasthan) </t>
  </si>
  <si>
    <t xml:space="preserve">930 Sq. mtrs. </t>
  </si>
  <si>
    <t>15.12.1986</t>
  </si>
  <si>
    <t>Lease</t>
  </si>
  <si>
    <t>22.01.1987 to 21.01.2086</t>
  </si>
  <si>
    <t>Rs. 6,905 per annum (Service &amp; Economic rent)</t>
  </si>
  <si>
    <t xml:space="preserve">C.R. Building, Harsholav Road, Gotan, Tehsil Merta, Distt. Nagaur        </t>
  </si>
  <si>
    <t xml:space="preserve">500 Sq. mtrs. </t>
  </si>
  <si>
    <t>May,1996</t>
  </si>
  <si>
    <t>Income Tax Deptt.</t>
  </si>
  <si>
    <t>Central Revenue Building, opposite Head Post Office.Sriganganagar</t>
  </si>
  <si>
    <t>640 Sq. Mtrs.</t>
  </si>
  <si>
    <t>Constructed old building in 1958.</t>
  </si>
  <si>
    <t>Constructed Office Building shared with Income Tax Deptt. Custodian of the Land &amp; Building is Income Tax Dept.</t>
  </si>
  <si>
    <t xml:space="preserve">CGST Residential Colony, D-684-687 Ambaji Ind. Area,Abu Road PIN-307 026            Distt. Sirohi (Rajasthan) </t>
  </si>
  <si>
    <t>530 Sq. Mtrs.</t>
  </si>
  <si>
    <t>Rs. 7,055  per annum (Service &amp; Economic rent)</t>
  </si>
  <si>
    <t xml:space="preserve">CGST Range-xiv, Gotan, Tehsil Merta, Distt. Nagaur        </t>
  </si>
  <si>
    <t xml:space="preserve">500 Sq. Mtrs.                       </t>
  </si>
  <si>
    <t xml:space="preserve">Ownership </t>
  </si>
  <si>
    <t>GST &amp; CX Audit Commissionerate, Jodhpur</t>
  </si>
  <si>
    <t>Central GST Ghaziabad</t>
  </si>
  <si>
    <t>Sector-19, Kamla Nehru Nagar, Ghaziabad-201002</t>
  </si>
  <si>
    <t>12.05.2016</t>
  </si>
  <si>
    <t>0.58cr</t>
  </si>
  <si>
    <t>yes</t>
  </si>
  <si>
    <t>CGST Noida</t>
  </si>
  <si>
    <t>Plot No. OP-05, Block-D, Anand Vihar Awasiya Yojna, Hapur, Distt. Hapur (U.P.), PIN-245101</t>
  </si>
  <si>
    <t>05.07.2019</t>
  </si>
  <si>
    <t>Rs. 15,154/- per sq. mtrs.</t>
  </si>
  <si>
    <t>Proposal for construction of boundary wall around the plot is under process.</t>
  </si>
  <si>
    <t>E-5, Sector-1, Noida, Distt. Gautam Buddh Nagar (U.P.), PIN-201301</t>
  </si>
  <si>
    <t xml:space="preserve">Year-1993 </t>
  </si>
  <si>
    <t>Rs. 78,500/- per sq. mtrs.</t>
  </si>
  <si>
    <t>G.B.NAGAR</t>
  </si>
  <si>
    <t>Could not ascertained from state authority</t>
  </si>
  <si>
    <t>This Government property includes ground and Ist floor of right portion of the C.R.Building and open area. The ground floor occupy by the Central GST Division II Bareilly and Ist floor is occupied by the Central GST division I Bareilly. Book value not known and to be ascertained from CPWD.</t>
  </si>
  <si>
    <t>MIG 133-139, Avanti Nagar, Avas Vikas Colony, Bulandshahr</t>
  </si>
  <si>
    <t>01.07.1997</t>
  </si>
  <si>
    <t>CGST Commissionerate Dehradun, CGST Division Haldwani</t>
  </si>
  <si>
    <t>03.11.2000</t>
  </si>
  <si>
    <t xml:space="preserve">Rs. 3400 per sqr mtr as per ammended circle rate of Distt. NTL vide Order/Circular C.No. 1533//2- स्टाम्प/संशोधित मूल्यांकन- 2016-2017 (सर्किल रेट)   of Office of District Magistrate, Nainital w.e.f. 16.08.2016. </t>
  </si>
  <si>
    <t>CGST Commissionerate Dehradun, CGST Division Roorkee</t>
  </si>
  <si>
    <t>Avas Vikas Colony, Near BSNL Telephone Exchange, Roorkee, Uttarakhand</t>
  </si>
  <si>
    <t>CGST Commissionerate Dehradun, CGST Division Rudrapur</t>
  </si>
  <si>
    <t>NEAR LIC OFFICE, AVAS VIKAS GANPUR, CIVIL LINES, RAMPUR (U.P.) 244901</t>
  </si>
  <si>
    <t>05.12.2000</t>
  </si>
  <si>
    <t>RS.20000/- (AS ON 09/2017)</t>
  </si>
  <si>
    <t>CGST Meerut, Div. Muzaffar Nagar-I</t>
  </si>
  <si>
    <t>Avas Vikas Colony, Delhi Road, Khatauli-251201</t>
  </si>
  <si>
    <t>27.04.1997</t>
  </si>
  <si>
    <t>Rs.9600 per Sq. meter</t>
  </si>
  <si>
    <t>Office Building</t>
  </si>
  <si>
    <t>CGST Meerut, Div. Saharanpur</t>
  </si>
  <si>
    <t>Avas Vikas Colony, Near Hari Mandir, Delhi Road, Saharanpur, U.P.-247001</t>
  </si>
  <si>
    <t>1580.64 Sq. Metre</t>
  </si>
  <si>
    <t>July,1985</t>
  </si>
  <si>
    <t>117000/- per Sq. meter</t>
  </si>
  <si>
    <t>CGST Meerut</t>
  </si>
  <si>
    <t>Office of the Pr. Commissioner, CGST, Mangal Pandey Nagar, Opposite CCS University, Meerut</t>
  </si>
  <si>
    <t>36000/- Per sq. metre</t>
  </si>
  <si>
    <t xml:space="preserve">CGST Meerut,Div. Meerut-I &amp;II </t>
  </si>
  <si>
    <t>Office of the Assistant Commissioner CGST Div.-I/II, Meerut, Mangal Pandey Nagar, Near CCS University, Meerut</t>
  </si>
  <si>
    <t>CGST Meerut, Div. Moradabab</t>
  </si>
  <si>
    <t>Office of the Deputy Commissioner, CGST Div.-Moradabad, Budhi Vihar, Near LIC Office, Moradabad.</t>
  </si>
  <si>
    <t>Feb.,2000</t>
  </si>
  <si>
    <t>Rs.95000/- per Sq. metre</t>
  </si>
  <si>
    <t>Awas Vikas Colony, Near Telephone Exchange, Roorkee 247667</t>
  </si>
  <si>
    <t>RS.8000/- AS ON 09/2017)</t>
  </si>
  <si>
    <t>1505.17 Sq. metre</t>
  </si>
  <si>
    <t>July, 1985</t>
  </si>
  <si>
    <t>Rs.59500/- per Sq. metre</t>
  </si>
  <si>
    <t>Customs &amp; CGST Colony, Magal Pandey Nagar Meerut-250004</t>
  </si>
  <si>
    <t>January,2001</t>
  </si>
  <si>
    <t>Shastri Nagar, Meerut-250004</t>
  </si>
  <si>
    <t>Nov.,1991</t>
  </si>
  <si>
    <t>35000/- Per sq. metre</t>
  </si>
  <si>
    <t>C.Ex. Colony, Budhi Vihar, Delhi Road, Awas Vikas Moradabad.</t>
  </si>
  <si>
    <t>21.08.2003</t>
  </si>
  <si>
    <t>95000 per Sq. metre</t>
  </si>
  <si>
    <t>Avas Vikas Colony, Circular Road, Muzaffarnagar-251001</t>
  </si>
  <si>
    <t>21.06.2000</t>
  </si>
  <si>
    <t>Rs.19200 per Sq. meter</t>
  </si>
  <si>
    <t xml:space="preserve">Office Building </t>
  </si>
  <si>
    <t>13.09.2010</t>
  </si>
  <si>
    <t>Rs.19200 per Sq.meter</t>
  </si>
  <si>
    <t>Residential Quarter</t>
  </si>
  <si>
    <t>Raigad Commissionerate</t>
  </si>
  <si>
    <t xml:space="preserve"> Bhiwandi Commissionerate</t>
  </si>
  <si>
    <t>CGST &amp; C.Ex., Thane Commissionerate</t>
  </si>
  <si>
    <t xml:space="preserve">Plot No 37 &amp; 38A, Tikka No-5, Near Kalwa Bridge, Old Bombay Pune Road, Thane </t>
  </si>
  <si>
    <t>16.7.2008</t>
  </si>
  <si>
    <t>Rs.28,300/- per sq.mtr.</t>
  </si>
  <si>
    <t xml:space="preserve">Acquired from Salt Department </t>
  </si>
  <si>
    <t>As the plot is  adjacent to the thane police commr office, the police vehicles are being parked on the said plot. As such no encroachment in the said plot</t>
  </si>
  <si>
    <t>This office is in process of preparation of the proposal for construction on the said plot</t>
  </si>
  <si>
    <t>City Survey No-216, Chendani Bunder, Thane ( E)</t>
  </si>
  <si>
    <t>30.1.1990</t>
  </si>
  <si>
    <t>Rs.40,200/- per sq.mtr.</t>
  </si>
  <si>
    <t>Encroachment by opening a gym, park for locals</t>
  </si>
  <si>
    <t>This office is in process of demarcation of the said plot</t>
  </si>
  <si>
    <t>City Survey No-214, Chendani Bunder, Thane ( E)</t>
  </si>
  <si>
    <t>15.7.1989</t>
  </si>
  <si>
    <t>Encroachment by locals</t>
  </si>
  <si>
    <t>City Survey No-2000, Chendani Bunder, Thane ( E)</t>
  </si>
  <si>
    <t>Mumbai East Commissionerate</t>
  </si>
  <si>
    <t>Mumbai West Commissionerate</t>
  </si>
  <si>
    <t xml:space="preserve">CGST &amp; C.Ex Belapur, Commissionerate         </t>
  </si>
  <si>
    <t xml:space="preserve">Office of the Commissioner, CGST &amp; C.Ex Belapur City Survey.no.93, Shahbaz, Belapur, Navi Mumbai </t>
  </si>
  <si>
    <t>As per rule card 23.01.92</t>
  </si>
  <si>
    <t>Free-hold- acquired from Customs &amp; Salt Dept.</t>
  </si>
  <si>
    <t xml:space="preserve">Navi Mumbai </t>
  </si>
  <si>
    <t>Survey No. 389,CTS No. 1069, Mithagar Road, Mulund ( E), Mumbai 400081</t>
  </si>
  <si>
    <t xml:space="preserve">27.03.1998 by Central Excise Mumbai -I. </t>
  </si>
  <si>
    <t>Rs. 30,363/- Purchased in 1985</t>
  </si>
  <si>
    <t xml:space="preserve"> * </t>
  </si>
  <si>
    <t>Purchased from Dept. Of Salt, Ministry of Industries</t>
  </si>
  <si>
    <t xml:space="preserve">___ </t>
  </si>
  <si>
    <t xml:space="preserve">____ </t>
  </si>
  <si>
    <t xml:space="preserve">Few hutments (Encroachment) in the some portion of the land.   </t>
  </si>
  <si>
    <t>----</t>
  </si>
  <si>
    <t xml:space="preserve">Correspondence is going on with The collector  Mumbai Sub-Urban District,  for Demarcation of Boundaries.   </t>
  </si>
  <si>
    <t>CGST Audit-I Commisionerate, Mumbai.</t>
  </si>
  <si>
    <t>CGST Audit-II Commisionerate, Mumbai.</t>
  </si>
  <si>
    <t>CGST Audit-III Commisionerate, Mumbai.</t>
  </si>
  <si>
    <t>Palghar Commisisonerate</t>
  </si>
  <si>
    <t>P-94, MIDC, Boisar</t>
  </si>
  <si>
    <t>LEASE HOLD</t>
  </si>
  <si>
    <t>Lease Period of 95 years computed from the date of execution of agreement to lease i.e. 11/07/1990</t>
  </si>
  <si>
    <t>Administrative approval and expenditure sanction of the project for Rs 33.24 Crore has been sanctioned by the Ministry of Finance on 01/07/2019</t>
  </si>
  <si>
    <t>Rs 1 Crore has been released to CPWD. However, CPWD is in process of obtaining building plan approval from MIDC.</t>
  </si>
  <si>
    <t>GST(Audit) 
RAIGAD</t>
  </si>
  <si>
    <t>CGST &amp;  C.Ex., Audit Thane</t>
  </si>
  <si>
    <t>CGST &amp;  C.Ex., Appeals- I, Mumbai</t>
  </si>
  <si>
    <t>CGST &amp;  C.Ex., Appeals- II, Mumbai</t>
  </si>
  <si>
    <t>CGST &amp;  C.Ex., Appeals-III, Mumbai</t>
  </si>
  <si>
    <t>CGST &amp;  C.Ex., Raigarh- Appeals</t>
  </si>
  <si>
    <t>CGST &amp;  C.Ex., Appeals-Thane</t>
  </si>
  <si>
    <t xml:space="preserve"> CGST &amp; C Ex 
Mumbai South Commissionerate</t>
  </si>
  <si>
    <t>CGST &amp;  C.Ex., Thane Rural</t>
  </si>
  <si>
    <t>CGST &amp; CX, Mumbai Central Commissionerate</t>
  </si>
  <si>
    <t xml:space="preserve">Measuring land 1011 Sq. Mtrs.
</t>
  </si>
  <si>
    <t>The land purchased from MHADA  under payment of World bank Project @ Rs. 15,56,172 /-</t>
  </si>
  <si>
    <t>Constructed Residential pool  at Rs. 1,45,30,000/- on 30/06/2004 through DGHRD (CPWD) 
(1) Type -II     =   02 qtrs.
(2) Type -III    =  18 qtrs.</t>
  </si>
  <si>
    <t>(1) The land purchased from MHADA  under payment of World bank Project @ Rs. 15,56,172 /-
(2)Constructed Residential pool  at Rs. 1,45,30,000/- on 30/06/2004 through DGHRD (CPWD) 
(1) Type -II     =   02 qtrs.
(2) Type -III    =  18 qtrs.</t>
  </si>
  <si>
    <t>Built- up 5027.22  Sq.Mtrs for Type-III (04 qtrs.) &amp; Type IV (56 qtrs.)</t>
  </si>
  <si>
    <t>Ready 60 Flats purchased from MHADA , Built- up 5027.22  Sq.Mtrs for Type-III (04 qtrs.) &amp; Type IV (56 qtrs.) @ 12.1334432</t>
  </si>
  <si>
    <t>Ready 60 Flats purchased from MHADA , Built- up 5027.22  Sq.Mtrs for Type-III (04 qtrs.) &amp; Type IV (56 qtrs.)</t>
  </si>
  <si>
    <t>(1) Ready 60 Flats purchased from MHADA
(2)Built- up 5027.22  Sq.Mtrs for Type-III (04 qtrs.) &amp; Type IV (56 qtrs.)</t>
  </si>
  <si>
    <t xml:space="preserve">Measuring land 930.00 Sq. Mtrs.
</t>
  </si>
  <si>
    <t>The land acquisition free  of cost from salt Dept.</t>
  </si>
  <si>
    <t>The land acquisition free  of cost from salt Dept. and Constructed Residential pool  at Rs. 88,81,000/- through DGHRD (CPWD),Type -III    =  20 qtrs.</t>
  </si>
  <si>
    <t>Constructed Residential pool  at Rs. 88,81,000/- through DGHRD (CPWD),Type -III    =  20 qtrs.</t>
  </si>
  <si>
    <t>(1)The land acquisition free  of cost from salt Dept.
(2)Constructed Residential pool  at Rs. 88,81,000/- through DGHRD (CPWD),Type -III    =  20 qtrs.</t>
  </si>
  <si>
    <t>Type I     = Antophill Buld. No-45,51 = 34 ( 32.3 Sq.Mtrs.) ,  Total build up area- 1088 Sq. Mtrs.
Type II    = Antophill Build. No-47,49,52,56 =184 ( 42.43 Sq.Mtrs.) Total build up area- 8832 Sq. Mtrs.
Type III   = Antop hill Build. No-1,2,11,16,17 =106 ( 51.56 Sq.Mtrs.) Total build up area- 5512 Sq. Mtrs.
Type IV   = Antophill Build No-04  =  04 ( 75.0 Sq.Mtrs.) Total build up area- 300 Sq. Mtrs.
Type -A  =  Antophill (Old Chawl)  =  0/  Total build up area- 299  Sq. Mtrs. (Un popular)</t>
  </si>
  <si>
    <t>(1)Date of acquisition &amp; acquision / Construction on cost ( Rs. In Cr.) There quarters were acquired long back, no records pertaining to acquisition are available.
(2)Quarters ownership/ possession with,CGST, Mumbai Central.
(3) Total build up area-300 Sq. Mtrs., 5512 Sq. Mtrs., 8832 Sq. Mtrs.,1088 Sq. Mtrs. &amp; 299  Sq. Mtrs. (Un popular)</t>
  </si>
  <si>
    <t>Type I     = Bhandup Buld. No- 06 = 09  ( 28.4 Sq.Mtrs.) Total build up area- 256 Sq. Mtrs.
Type II    = Bhandup  Build. No- 05 &amp; 08 =  22 ( 38.39 Sq.Mtrs.) Total build up area- 845 Sq. Mtrs.
Type III   = Bhandup  Build. No- 02, 03, &amp; 04  =  31 ( 51.14 Sq.Mtrs.) Total build up area- 1688 Sq. Mtrs.
Type IV   = Bhandup  Build No-01  =  03 ( 61.69 Sq.Mtrs.) Total build up area- 186 Sq. Mtrs.</t>
  </si>
  <si>
    <t>(1)Date of acquisition &amp; acquision / Construction on cost ( Rs. In Cr.) There quarters were acquired long back, no records pertaining to acquisition are available.
(2)Quarters ownership/ possession with,CGST, Mumbai Central
(3) Total build up area- 256 Sq. Mtrs., 845 Sq. Mtrs., 1688 Sq. Mtrs., &amp;  186 Sq. Mtrs.</t>
  </si>
  <si>
    <t xml:space="preserve">Type II    = Lloyds Estate  =  08 ( Transit Accomadation) Total built up area 328  Sq. Mtrs. 
</t>
  </si>
  <si>
    <t>(1)Date of acquisition &amp; acquision / Construction on cost ( Rs. In Cr.) There quarters were acquired long back, no records pertaining to acquisition are available.
(2)Quarters ownership/ possession with Mumbai -I,CGST, Mumbai Central
(3) Total build up area 328 Sq. Mtrs.</t>
  </si>
  <si>
    <t>Type IV   =  Katrak road Build. No- B, C, &amp; D  =  21 ( 66.37 Sq.Mtrs.) (Buil up area 1386 Sq. Mtrs.)
Type  V   =  Katrak road Build No- A =   04  ( 101.9  Sq.Mtrs.)(Buil up area 408 Sq. Mtrs.)</t>
  </si>
  <si>
    <t>(1)Date of acquisition &amp; acquision / Construction on cost ( Rs. In Cr.) There quarters were acquired long back, no records pertaining to acquisition are available.
(2)Quarters ownership/ possession with,CGST, Mumbai Central
(3)Total build up area-1386 Sq. Ntrs.  + 408 Sq. Mtrs.</t>
  </si>
  <si>
    <t>Type III   =  Darbanga House No- E  =  16 ( 50.11 Sq.Mtrs.)
Type  V   =  Katrak road Build No- A =   04  ( 101.9  Sq.Mtrs.)
Total build up area-1100 Sq. Mtrs.</t>
  </si>
  <si>
    <t>(1)Date of acquisition &amp; acquision / Construction on cost ( Rs. In Cr.) There quarters were acquired long back, no records pertaining to acquisition are available.
(2)Quarters ownership/ possession with,CGST, Mumbai Central
(3) Total build up area-1100 Sq. Mtrs.</t>
  </si>
  <si>
    <t xml:space="preserve">Type IV (Sp)   =  Building  No- E  =   07 ( 72.71 Sq.Mtrs.)  Total build up area- 584 Sq. Mtrs.
</t>
  </si>
  <si>
    <t>(1)The Land ownership/ possession with CPWD.
(2)only Quarters  (Transit Accomadation)ownership/ possession with Mumbai -I,CGST, Mumbai Central.
(3)Total build up area- 584 Sq. Mtrs.</t>
  </si>
  <si>
    <t>Type IV    =  Building  No- 9 &amp; 10  =   08 ( 69.01 Sq.Mtrs.)  Total build up area- 621 Sq. Mtrs.</t>
  </si>
  <si>
    <t>(1) Date of acquisition &amp; acquision / Construction on cost ( Rs. In Cr.) There quarters were purchased from MHADA on being enquired about the date of construction transferred to dept.. It was revealed that the record available as the matter is quite old.
(2)Total build up area-  621 Sq. Mtrs.</t>
  </si>
  <si>
    <t>Type IV (Sp)    =  B K C   =   18 ( 111.5 Sq.Mtrs.)  Total build up area- 1400 Sq. Mtrs.</t>
  </si>
  <si>
    <t>(1) Date of acquisition &amp; acquision  of land 28/01/1986. Occupancey Certificate for quarters issued on  24/07/1998,      Acquisition / Construction on cost ( Rs. In 0.38 Cr.)  Land Acquistion cost 1.07, Construction cost , total 1.45 Cr.
(2)Total build up area-  1400 Sq. Mtrs.</t>
  </si>
  <si>
    <t>Type IV    Mhada Powai =  10  ( 83.00 Sq.Mtrs.)  Total build up area- 1577 Sq. Mtrs.</t>
  </si>
  <si>
    <t>(1) Date of acquisition 31/03/1998.
(2)Total build up area- 1577 Sq. Mtrs.</t>
  </si>
  <si>
    <t>Daroga Bunglow, Village Kanjur, (Bhandup -East), Mumbai-</t>
  </si>
  <si>
    <t>Measuring land 200 Sq. Mtrs. (build up area 50 Sq. Mtrs.</t>
  </si>
  <si>
    <t xml:space="preserve">Not available </t>
  </si>
  <si>
    <t>This qtrs. are transferred by the Salt Dept. long back. Record of which are not available. BMC Property tax (07)receipt   are available.</t>
  </si>
  <si>
    <t>the chawls are in the depilated condition and  therefore there is no value for this Structure</t>
  </si>
  <si>
    <t>the chawls are in the dated condition and  therefore there is no value for this Structure</t>
  </si>
  <si>
    <t>(1)Measuring land 200 Sq. Mtrs. (build up area 50 Sq. Mtrs.
(2) BMC Property tax (07)receipt  are available.
(2)the chawls are in the depilated condition and  therefore there is no value for this Structure.</t>
  </si>
  <si>
    <t>Land Survey no. 246 (pt.) /CTS No 658 (pt.), Village Kanjur, (Bhandup -East), Mumbai-</t>
  </si>
  <si>
    <t>Measuring land 8085 Sq. Mtrs.</t>
  </si>
  <si>
    <t>Rs. 5779/- book value towards purchase/ transfer of land at Kanjur, Vide F. No. 11030/4/Bldg./81/11/658 of the Salt Commissionerate.</t>
  </si>
  <si>
    <t>27.08 Crore  as on 31/12/2010</t>
  </si>
  <si>
    <t>The Boundary wall works is in process.</t>
  </si>
  <si>
    <t>(2)Total build up area-  621 Sq. Mtrs.</t>
  </si>
  <si>
    <t>Line of Seven Rooms (Cabin Chawl) Stn. Rd. Bhandup, Mumbai</t>
  </si>
  <si>
    <t>BMC Property tax bills are available.</t>
  </si>
  <si>
    <t>(1) Acquisition / Construction on cost (Rs. Cr.) Acquisition free of cost from Salt Dept.
(2) BMC Property tax (07)receipt  are available.</t>
  </si>
  <si>
    <t>Saza Office Chowky Trombay (Un Populer Chawl), Trombay, Mumbai.</t>
  </si>
  <si>
    <t>Not asertained</t>
  </si>
  <si>
    <t>Free  of  cost from Salt Commissioner</t>
  </si>
  <si>
    <t>BMC Property tax receipt are available.</t>
  </si>
  <si>
    <t>Uttaran  Chowky No- 25,  Trombay (Un Populer Chawl), Trombay, Mumbai.</t>
  </si>
  <si>
    <t>the chawls are in the dipalated condition and  therefore there is no value for this Structure</t>
  </si>
  <si>
    <t>BMC Property tax receipt  are available.</t>
  </si>
  <si>
    <t>CTS No-106, Cheeta Camp, Trombay, Mumbai.</t>
  </si>
  <si>
    <t>28.33 Crore  as on 31/12/2010</t>
  </si>
  <si>
    <t>BMC Property tax receipt   available.</t>
  </si>
  <si>
    <t>Trombay (Un Populer Chawl), Trombay, Mumbai.</t>
  </si>
  <si>
    <t>BMC Property tax receipt   are available</t>
  </si>
  <si>
    <t xml:space="preserve"> Raigad Commissionerate</t>
  </si>
  <si>
    <t>Address: Plot no 1 sector-17 Khandeshwar, New panvel, Raigad-410206</t>
  </si>
  <si>
    <t>December, 2003</t>
  </si>
  <si>
    <t xml:space="preserve"> Address:  MIDC Dhatav, Opp L.P.Chemicals Tal: Roha Dist: Raigad Maharashtra </t>
  </si>
  <si>
    <t>Alloted on 04.01.1978</t>
  </si>
  <si>
    <t>Alloted from MIDC 04.01.1978 to 04.01.2077</t>
  </si>
  <si>
    <t>1035/- per Month</t>
  </si>
  <si>
    <t>Plot was alloted from MIDC on lease.</t>
  </si>
  <si>
    <t>Thane Commissionerate</t>
  </si>
  <si>
    <t xml:space="preserve"> Belapur, Commissionerate         </t>
  </si>
  <si>
    <t>Navi Mumbai Commissionerate</t>
  </si>
  <si>
    <t>Palghar Commissionerate</t>
  </si>
  <si>
    <t>C-24, Sector 'E', Bandra Kurla Complex-400051</t>
  </si>
  <si>
    <t>29.01.1986</t>
  </si>
  <si>
    <t>LEASE-HOLD</t>
  </si>
  <si>
    <t>80 years from the date of possession</t>
  </si>
  <si>
    <t xml:space="preserve">Ground lease rent of Rs 2,92,404/- paid to MMRDA this year </t>
  </si>
  <si>
    <t>CGST &amp;  C.Ex., Appeals-I, Mumbai</t>
  </si>
  <si>
    <t>CGST &amp;  C.Ex., Appeals-II, Mumbai</t>
  </si>
  <si>
    <t xml:space="preserve"> CGST &amp; Central Excise 
Mumbai South Commissionerate</t>
  </si>
  <si>
    <t>CGST &amp; C Ex. Mumbai Central Commissionerate</t>
  </si>
  <si>
    <t>New Central Excise building, 115, M K Road, Opposite Churchgate Station Mumbai- 400 020</t>
  </si>
  <si>
    <t>Total built up area 3015 (In sq. mtrs.)</t>
  </si>
  <si>
    <t>The bldg. was constructed by CPWD Renovation of Churchgate bldg.</t>
  </si>
  <si>
    <t>CGST and Central Excise Raigad Commissionerate</t>
  </si>
  <si>
    <t>Plot No. 16 Sector-7 Kharghar Navi Mumbai-410210</t>
  </si>
  <si>
    <t>owned</t>
  </si>
  <si>
    <t>60 year from the date of purchase i.e. 08.10.1996</t>
  </si>
  <si>
    <t xml:space="preserve">Rent of Rs. 100/- per year, service charges and Additional Lease Premium charges as applicable </t>
  </si>
  <si>
    <t>Work is under construction</t>
  </si>
  <si>
    <t>Construction work of 187 residential Departmental quarters at the said plot has been initiated by M/s NBCC(I) Ltd on 10.02.2020</t>
  </si>
  <si>
    <t>CGST &amp; C EX Mumbai Central Commissionerate</t>
  </si>
  <si>
    <t>(1)Date of acquisition &amp; acquision / Construction on cost ( Rs. In Cr.) These quarters were acquired long back, no records pertaining to acquisition are available.
(2)Quarters ownership/ possession with,CGST, Mumbai Central.
(3) Total build up area-300 Sq. Mtrs., 5512 Sq. Mtrs., 8832 Sq. Mtrs.,1088 Sq. Mtrs. &amp; 299  Sq. Mtrs. (Un popular)</t>
  </si>
  <si>
    <t>(1)Date of acquisition &amp; acquision / Construction on cost ( Rs. In Cr.) These quarters were acquired long back, no records pertaining to acquisition are available.
(2)Quarters ownership/ possession with,CGST, Mumbai Central
(3) Total build up area- 256 Sq. Mtrs., 845 Sq. Mtrs., 1688 Sq. Mtrs., &amp;  186 Sq. Mtrs.</t>
  </si>
  <si>
    <t xml:space="preserve">Type II    = Lloyds Estate  =  08 ( Transit Accomadation) Total buil up area 328  Sq. Mtrs. 
</t>
  </si>
  <si>
    <t>(1)Date of acquisition &amp; acquision / Construction on cost ( Rs. In Cr.) These quarters were acquired long back, no records pertaining to acquisition are available.
(2)Quarters ownership/ possession with CGST, Mumbai Central
(3) Total build up area 328 Sq. Mtrs.</t>
  </si>
  <si>
    <t>(1)Date of acquisition &amp; acquision / Construction on cost ( Rs. In Cr.) These quarters were acquired long back, no records pertaining to acquisition are available.
(2)Quarters ownership/ possession with GST, Mumbai Central
(3)Total build up area-1386 Sq. Ntrs.  + 408 Sq. Mtrs.</t>
  </si>
  <si>
    <t>(1)Date of acquisition &amp; acquision / Construction on cost ( Rs. In Cr.) These quarters were acquired long back, no records pertaining to acquisition are available.
(2)Quarters ownership/ possession with ,CGST, Mumbai Central
(3) Total build up area-1100 Sq. Mtrs.</t>
  </si>
  <si>
    <t>(1) Date of acquisition &amp; acquision / Construction on cost ( Rs. In Cr.) These quarters were purchased from MHADA. On being enquired about the date of construction transferred to dept.. It was revealed that the record is unavailable as the matter is quite old.
(2)Total build up area-  621 Sq. Mtrs.</t>
  </si>
  <si>
    <t>(1) Date of acquisition 31/03/1998.
(2)Total build up area-  1577 Sq. Mtrs.</t>
  </si>
  <si>
    <t>This qtrs. are transferred by the Salt Dept. long back. Record of which are not available. BMC Property tax bills are available.</t>
  </si>
  <si>
    <t>(1)Measuring land 200 Sq. Mtrs. (build up area 50 Sq. Mtrs.
(2) BMC Property tax bills are available.
(2)the chawls are in the depilated condition and  therefore there is no value for this Structure.</t>
  </si>
  <si>
    <t>(1) Acquisition / Construction on cost (Rs. Cr.) Acquisition free of cost from Salt Dept.
(2) BMC Property tax bills are available.</t>
  </si>
  <si>
    <t>CGST &amp; C.Ex., Mumbai Central Commissionerate</t>
  </si>
  <si>
    <t>(1)Date of acquisition &amp; acquision / Construction on cost ( Rs. In Cr.) There quarters were acquired long back, no records pertaining to acquisition are available.
(2)Quarters ownership/ possession with CGST, Mumbai Central.
(3) Total build up area-300 Sq. Mtrs., 5512 Sq. Mtrs., 8832 Sq. Mtrs.,1088 Sq. Mtrs. &amp; 299  Sq. Mtrs. (Un popular)</t>
  </si>
  <si>
    <t>(1)Date of acquisition &amp; acquision / Construction on cost ( Rs. In Cr.) These quarters were acquired long back, no records pertaining to acquisition are available.
(2)Quarters ownership/ possession with CGST, Mumbai Central
(3) Total build up area- 256 Sq. Mtrs., 845 Sq. Mtrs., 1688 Sq. Mtrs., &amp;  186 Sq. Mtrs.</t>
  </si>
  <si>
    <t>(1)Date of acquisition &amp; acquision / Construction on cost ( Rs. In Cr.) There quarters were acquired long back, no records pertaining to acquisition are available.
(2)Quarters ownership/ possession with ,CGST, Mumbai Central
(3) Total build up area 328 Sq. Mtrs.</t>
  </si>
  <si>
    <t>(1)Date of acquisition &amp; acquision / Construction on cost ( Rs. In Cr.) These quarters were acquired long back, no records pertaining to acquisition are available.
(2)Quarters ownership/ possession with ,CGST, Mumbai Central
(3)Total build up area-1386 Sq. Ntrs.  + 408 Sq. Mtrs.</t>
  </si>
  <si>
    <t>(1)Date of acquisition &amp; acquision / Construction on cost ( Rs. In Cr.) There quarters were acquired long back, no records pertaining to acquisition are available.
(2)Quarters ownership/ possession with CGST, Mumbai Central
(3) Total build up area-1100 Sq. Mtrs.</t>
  </si>
  <si>
    <t>(1)The Land ownership/ possession with CPWD.
(2)only Quarters  (Transit Accomadation)ownership/ possession with CGST, Mumbai Central.
(3)Total build up area- 584 Sq. Mtrs.</t>
  </si>
  <si>
    <t>This qtrs. are transferred by the Salt Dept. long back. Record of which are not available. BMC Property tax (07)receipt  of Current date are available.</t>
  </si>
  <si>
    <t>(1)Measuring land 200 Sq. Mtrs. (build up area 50 Sq. Mtrs.
(2) BMC Property tax (07)receipt  of Current date are available.
(2)the chawls are in the depilated condition and  therefore there is no value for this Structure.</t>
  </si>
  <si>
    <t>BMC Property tax (07)receipt  are available.</t>
  </si>
  <si>
    <t>BMC Property tax receipt  of Current date are available.</t>
  </si>
  <si>
    <t>Nagpur-I</t>
  </si>
  <si>
    <t>Khasara No. 90/1, Plot No. 19, Brahmhapuri</t>
  </si>
  <si>
    <t>26.01.1965</t>
  </si>
  <si>
    <t>1.008 Crores</t>
  </si>
  <si>
    <t xml:space="preserve"> NIL</t>
  </si>
  <si>
    <t>No production of excisable goods, naxalite area</t>
  </si>
  <si>
    <t xml:space="preserve">As per availble records </t>
  </si>
  <si>
    <t>Survey No. 86, Village Alapalli, Taluka Aher, Dist. Gadchiroli</t>
  </si>
  <si>
    <t>05.05.1990</t>
  </si>
  <si>
    <t>0.176 crores</t>
  </si>
  <si>
    <t>Aurangabad</t>
  </si>
  <si>
    <t>Plot No. C,D,E Sector No. S.N.51, Survey No. 51, Village Vasarani, New Monda, CIDCO, Nanded</t>
  </si>
  <si>
    <t>21.06.2002</t>
  </si>
  <si>
    <t>4.51  Cr</t>
  </si>
  <si>
    <t xml:space="preserve">Allotted  by CIDCO on lease </t>
  </si>
  <si>
    <t>60 years</t>
  </si>
  <si>
    <t>Increase in project cost</t>
  </si>
  <si>
    <t>Revised proposal of Rs.18.51 crore ia pending  for approval with DGHRD</t>
  </si>
  <si>
    <t>Nashik</t>
  </si>
  <si>
    <t xml:space="preserve">Lsurvey No. 105, Chandani Chowk, (part) Ahmendnagar Cantonment, Dist. Ahmednagar. </t>
  </si>
  <si>
    <t>05.03.2010</t>
  </si>
  <si>
    <t>Possession (free-hold)</t>
  </si>
  <si>
    <t xml:space="preserve">Under Correspondence </t>
  </si>
  <si>
    <t>Survey No. 105</t>
  </si>
  <si>
    <t>Propsal for construction of the building submitted to DGHRD, New Delhi.</t>
  </si>
  <si>
    <t>GST Bhavan, Civil Lines, Telengkhedi Road, Nagpur - 440001</t>
  </si>
  <si>
    <t>10.10.1988 (Date of Acquisition)</t>
  </si>
  <si>
    <t>Cost of Construcition Rs. 1.27 Crores + Cost of Purchases Rs. 93,000/-  = Total = 1.28 Crores</t>
  </si>
  <si>
    <t>Rs. 34.74 Crores (Approx.)</t>
  </si>
  <si>
    <t>Plot No.155,Sector P-34, NH Jaishtha &amp; Vaishakh, CIDCO, Nashik-422008 (Tal &amp; Distt. Nashik,MH)</t>
  </si>
  <si>
    <t>16.04.2004</t>
  </si>
  <si>
    <t>1.26 Cr. cost for Plot (CIDCO), Rs.13.97 Cr. Construction cost.</t>
  </si>
  <si>
    <t xml:space="preserve">Rs.26,600/- per sq.mtr Total Cost = Rs.15.97 cr </t>
  </si>
  <si>
    <t xml:space="preserve"> 60 Yrs Lease for which A.A.&amp;E.S. is given on 13.02.2004</t>
  </si>
  <si>
    <t>Service Charges payable to Municipal Corpn., Nashik</t>
  </si>
  <si>
    <t>P.N.155,Sector P-34, NH, Jaishtha &amp; Vaishakh, CIDCO, Nashik</t>
  </si>
  <si>
    <t>E.No.1 of A"B"</t>
  </si>
  <si>
    <t>Additional Lease Premium of Rs. 1,63,00,000/- is under correspondence with DGHRD, New Delhi for A.A.&amp; E.S.Occupancy Certificate is pending for want of ALP Payment, Service Charges rate yet to finalize. Under Corresp with Corpn.</t>
  </si>
  <si>
    <t>Plot No. 08 S.No. 76 Pt. N-5, Town Centre, CIDCO, A'bad</t>
  </si>
  <si>
    <t>Services charges  to Aurangabad Municipal  Corporation</t>
  </si>
  <si>
    <t>Main office building is constructed</t>
  </si>
  <si>
    <t>Kendriya Rajaswa Bhawan, Gadkari Chowk, Old Agra Road, Nashik.422 002.Maharashtra</t>
  </si>
  <si>
    <t>6900 Sq Mtr</t>
  </si>
  <si>
    <t xml:space="preserve">Total Rs.21 Cr                 </t>
  </si>
  <si>
    <t>Sl.No.1</t>
  </si>
  <si>
    <t xml:space="preserve">   N/A</t>
  </si>
  <si>
    <t>Bungalow No. 12 Seminary Hills Nagpur - 440006</t>
  </si>
  <si>
    <t>31.03.2003</t>
  </si>
  <si>
    <t>Cost of Construction Rs. 7.22 Crores (The Land transfer from Ministry of Urban Development, New Delhi)</t>
  </si>
  <si>
    <t>Rs. 33.14 Crores (Approx.)</t>
  </si>
  <si>
    <t>Central Excise Staff Colony, Survey No.925, Ashwin Sector, Sahyadri Nagar, CIDCO, Nashik (MH)</t>
  </si>
  <si>
    <t>7000 Sq.mtrs</t>
  </si>
  <si>
    <t>01.04.1982 (Construction completed-Jan.1990)</t>
  </si>
  <si>
    <t>Rs.22,900/-per sq.mtr (Total Cost is Rs.16.03 Cr)</t>
  </si>
  <si>
    <t xml:space="preserve"> (90 Yrs Lease w.e.f.01.04.1982)</t>
  </si>
  <si>
    <t>Lease Rent Rs.1 per yr., Service Charges are payable to Corporation.</t>
  </si>
  <si>
    <t xml:space="preserve">No Court Case or litigation or encroachment.  </t>
  </si>
  <si>
    <t>Survey No.925</t>
  </si>
  <si>
    <t>E.No.1</t>
  </si>
  <si>
    <t>Occupancy certificate is pending for want of ALP payment. Service charges issue is under corresp for finalization of rate.</t>
  </si>
  <si>
    <t>Nashik Comm'te (Jalgaon Division)</t>
  </si>
  <si>
    <t>i. Central Excise Staff Quarters, Near SMIT College, MHADA Colony, Build No. 10 &amp; 11, Jalgaon (Tal.&amp; Distt.Jalgaon)(MH)</t>
  </si>
  <si>
    <t>1129.44 sq mtr</t>
  </si>
  <si>
    <t>Rs.29460/-Per sq.mtr (Total Cost is Rs.3.33 Cr)</t>
  </si>
  <si>
    <t>Service Charges payable to Corporation</t>
  </si>
  <si>
    <t>No Court case/ Litigation or dispute.</t>
  </si>
  <si>
    <t>Survey No. 290/A/1</t>
  </si>
  <si>
    <t>E.No.2(i)</t>
  </si>
  <si>
    <t>Type-II = 24 Qtrs</t>
  </si>
  <si>
    <t>ii. Central Excise Staff Quarters MHADA Colony,  MIDC, Jalgaon, Tal &amp; Distt. Jalgaon (MH)</t>
  </si>
  <si>
    <t>273.45 Sq Mtr</t>
  </si>
  <si>
    <t>05.02.1987</t>
  </si>
  <si>
    <t>E.No.2(ii)</t>
  </si>
  <si>
    <t>Type-I = 06 Qtrs</t>
  </si>
  <si>
    <t>Plot No. 230A, 230B, 230C,&amp; 230D, N-1, CIDCO, A'bad</t>
  </si>
  <si>
    <t>1281.49 Sq. Mtrs</t>
  </si>
  <si>
    <t>14.05.92</t>
  </si>
  <si>
    <t>lease</t>
  </si>
  <si>
    <t>90 years</t>
  </si>
  <si>
    <t>Three type V and one  type VI quarter  constructed</t>
  </si>
  <si>
    <t>Plot No. 12 to 35 (24 Plots) in Sector C-4, Town Centre, S.No. 81, part, Vill Mukundwadi, A'bad</t>
  </si>
  <si>
    <t>7233 Sq. Mtrs.</t>
  </si>
  <si>
    <t>68 type III and 10type IV quarters constructed</t>
  </si>
  <si>
    <t>4049.94 Sq. Mtrs.</t>
  </si>
  <si>
    <t>Type I, Type II and Type III quarters constructed</t>
  </si>
  <si>
    <t>1,2,3</t>
  </si>
  <si>
    <t>Central Excise Chandrapur, Jagaannath Baba Nagar, Datala Road Chandrapur -442401</t>
  </si>
  <si>
    <t xml:space="preserve">10000 Sq.mtr (107639.1 Sq. Ft.) </t>
  </si>
  <si>
    <t>02.01.1985</t>
  </si>
  <si>
    <t>0.04 Crores</t>
  </si>
  <si>
    <t>4.50 Crores approx.</t>
  </si>
  <si>
    <t>Possesseion</t>
  </si>
  <si>
    <t>As per available records</t>
  </si>
  <si>
    <t>Nagpur-II</t>
  </si>
  <si>
    <t>Office Of The Assistant Commissioner CGST&amp; Central Excise Division Amravati</t>
  </si>
  <si>
    <t>7300Sqm</t>
  </si>
  <si>
    <t>14th,December.1998</t>
  </si>
  <si>
    <t>Rs.2,31,88,000/-</t>
  </si>
  <si>
    <t xml:space="preserve">Plot No. 08, S.No. 76 Pt. N-5, Town Centre CIDCO, A'bad </t>
  </si>
  <si>
    <t xml:space="preserve">12227 Sq. Mtrs </t>
  </si>
  <si>
    <t>CGST Pune II Commissionerate</t>
  </si>
  <si>
    <t>Kolhapur</t>
  </si>
  <si>
    <t>City Survey, No.2357-C, Jaysingpur, Tal.Shirol, Kolhapur</t>
  </si>
  <si>
    <t>3750.5 Sq.Mtrs.</t>
  </si>
  <si>
    <t>6.7.1989</t>
  </si>
  <si>
    <t>The proposal of sale of the said vacant land has already been sent to CCO, Pune for onward submission to DGHRD vide this office F.No. KOP.I/L&amp;B/Div-II 2013-14 dt.14.7.2020. As no requirement of plot by the officers presently as well as in future. Further taking into accout the risk of encroachment in future.</t>
  </si>
  <si>
    <t>Presently 3 Range offices &amp; residential quarters on plot of 7803.9 sq. mtr. The said plot is sufficient for office &amp; resi. Quarters. Hence the vacant land of 3750.5 is not in use.</t>
  </si>
  <si>
    <t>Survey No.73/2 &amp; 73/3, Pimplewadi, (Sakharwadi), Tal. Phaltan Dist.Satara</t>
  </si>
  <si>
    <t>24.7.1951</t>
  </si>
  <si>
    <t xml:space="preserve"> Not Available</t>
  </si>
  <si>
    <t>The matter is subjudice and the same is pending in High Court, Mumbai.</t>
  </si>
  <si>
    <t>Goa GST Commissionerate</t>
  </si>
  <si>
    <t xml:space="preserve">Survey No.131, Patradevi, Torxem Village, Pernem Taluka, North Goa-Goa. </t>
  </si>
  <si>
    <t>1242 sq. mtrs.</t>
  </si>
  <si>
    <t>11.09.1980</t>
  </si>
  <si>
    <t>500/- per sq mtrs #</t>
  </si>
  <si>
    <t>The said property is situated at Goa Maharashtra Land border and were being used as Checkpost earlier. At present the property is lying vacant.</t>
  </si>
  <si>
    <t>Pune Customs</t>
  </si>
  <si>
    <t>CTS 1 Survey No.1A, Govalkot Jetty, Govalkot, Chiplun</t>
  </si>
  <si>
    <t>2425</t>
  </si>
  <si>
    <t>29.08.1968</t>
  </si>
  <si>
    <t>127B 22 CTS 4 of CS 1, Near Govalkot Dharamshala</t>
  </si>
  <si>
    <t>341.25</t>
  </si>
  <si>
    <t>225 A -CTS No.4344 Prabhat Gali Chiplun City.</t>
  </si>
  <si>
    <t>231.1</t>
  </si>
  <si>
    <t>30.07.1974</t>
  </si>
  <si>
    <t>127C Gowalkot, Chiplun</t>
  </si>
  <si>
    <t>277 A Bhendi Naka, Machchi Market, Chiplun</t>
  </si>
  <si>
    <t>Phungus, Sangmeshwar</t>
  </si>
  <si>
    <t>S.No.79 (old 21), Anjenwel Chouky, Gaothen, Near Dargah.</t>
  </si>
  <si>
    <t>3200</t>
  </si>
  <si>
    <t>1928-29</t>
  </si>
  <si>
    <t>Anjanwel Port Chowky Near Light House s.NO.239.</t>
  </si>
  <si>
    <t>Date of Acquisition is not available as these lands are transferred from salt Department</t>
  </si>
  <si>
    <t>Old S.NO.89 of Boria, Post Adur, Tal. Guhagar</t>
  </si>
  <si>
    <t>S.No.80/1, Kharaba Panburuj</t>
  </si>
  <si>
    <t>2400</t>
  </si>
  <si>
    <t>S.No.77B, New 217B, Killyadri Pakhar</t>
  </si>
  <si>
    <t>600</t>
  </si>
  <si>
    <t>S.No.6A,Near Masjid Bankot.</t>
  </si>
  <si>
    <t>812</t>
  </si>
  <si>
    <t>S.No. 80/5, Near Mauje Bankot</t>
  </si>
  <si>
    <t>512</t>
  </si>
  <si>
    <t>S.No.95/1 (Old S.NO.34 B), Mhapral</t>
  </si>
  <si>
    <t>800</t>
  </si>
  <si>
    <t>S.No.06 (Old S.No.38 B), Mhapral</t>
  </si>
  <si>
    <t>900</t>
  </si>
  <si>
    <t>S.NO.198, next to Customs office, harne Near Phategad Fort</t>
  </si>
  <si>
    <t>13710</t>
  </si>
  <si>
    <t xml:space="preserve">S.No.39, Paj Chowkey </t>
  </si>
  <si>
    <t>1400</t>
  </si>
  <si>
    <t>1908</t>
  </si>
  <si>
    <t>S.No.69/B, Gujar</t>
  </si>
  <si>
    <t>320</t>
  </si>
  <si>
    <t>1923-24</t>
  </si>
  <si>
    <t>S.No.162B,Gujar wada,kelshi</t>
  </si>
  <si>
    <t>350</t>
  </si>
  <si>
    <t>1902</t>
  </si>
  <si>
    <t>Survey No.229, raod behind ST Stand</t>
  </si>
  <si>
    <t>151.92</t>
  </si>
  <si>
    <t>Survey No.142B near Police Chowkey, Dabhol</t>
  </si>
  <si>
    <t>303.84</t>
  </si>
  <si>
    <t>Survey No. 182B</t>
  </si>
  <si>
    <t>202.56</t>
  </si>
  <si>
    <t>S. No. 97/A, Uttambar Customs Chowkey</t>
  </si>
  <si>
    <t>Survey No. 205, Saliwada, Gaothan Area, Dabhol</t>
  </si>
  <si>
    <t>Survey No. 207, Dorse Kabristan, Dabhol land on Creek Coast</t>
  </si>
  <si>
    <t>Survey No. 193/B, Dorse Kabristan, Gaothan area Dabhol Adjacent to Creek Coast</t>
  </si>
  <si>
    <t>S.No.5-0, Mandvi, Jaigad</t>
  </si>
  <si>
    <t>Proposal has been sent to headquarters for demarcation &amp; compounding of all open lands.</t>
  </si>
  <si>
    <t>S.No. 9 (old 5 B), Pathwadi, Jaigad</t>
  </si>
  <si>
    <t>S.No. 13-A, Pathwadi, Jaigad</t>
  </si>
  <si>
    <t>S.No. 42, Near Port Office, Jaigad</t>
  </si>
  <si>
    <t>S.No. 95-1, Inside Fort, Jaigad</t>
  </si>
  <si>
    <t>S.No. 483 A, Near Sea Shore, Bunder Road, Mandvi, Ratnagiri</t>
  </si>
  <si>
    <t>S.No. 498, Near Sea Shore, Bunder Road, Mandvi, Ratnagiri</t>
  </si>
  <si>
    <t>S.No. 63, Jaki Mirya Ratnagiri</t>
  </si>
  <si>
    <t>S.No. 68, Jaki Mirya, Ratnagiri</t>
  </si>
  <si>
    <t>S.No. 55, Sakhartar, Ratnagiri</t>
  </si>
  <si>
    <t>S.No. 34, Mouje Ghera, Near Lagoon Shore, Purnagad</t>
  </si>
  <si>
    <t>S.No. 38-90, Gaondar, Ambolgad</t>
  </si>
  <si>
    <t>1905-1906</t>
  </si>
  <si>
    <t>S.No. 79-1, Near Sagam Wadi,  Shivre Kurd, Ratnagiri</t>
  </si>
  <si>
    <t>S.No. 31, Oppo. S.G. Office, Jaitapur</t>
  </si>
  <si>
    <t>S.No. 32, Opp. S.G. Office, Udalwadi, Jaitapur</t>
  </si>
  <si>
    <t>S.No. 16A-13, Near Light House, Inside Fort Devgad</t>
  </si>
  <si>
    <t>S.No. 18A-5, Near Light Hosue, Inside Fort Devgad</t>
  </si>
  <si>
    <t>S.No. 293, Lila Shankar Park, Gaganbawda</t>
  </si>
  <si>
    <t>S.No. 37, Near to Jetty Sarjekot, Malvan</t>
  </si>
  <si>
    <t>S.No. 28, Sarjekot, Malvan</t>
  </si>
  <si>
    <t>S.No. 51A-26, Bagbagiti, Starda, Swantwadi</t>
  </si>
  <si>
    <t>S.No. 45 B, Near Kinara Hotel, Near Port Vengurla</t>
  </si>
  <si>
    <t>S.No. 55, Shiramwadi, Vengurla</t>
  </si>
  <si>
    <t>S.No. 3-2, Behind Mauli, Mandir, Nagolewadi, Redi</t>
  </si>
  <si>
    <t>S.No. 1-5B, Khalchi Ker, Near Shiroda, Redi</t>
  </si>
  <si>
    <t>S.No. 33B, tak, Arawali, Shiroda</t>
  </si>
  <si>
    <t>Pune Customs Commissionerate</t>
  </si>
  <si>
    <t>Goa Customs</t>
  </si>
  <si>
    <t>Pune-I Commissionerate</t>
  </si>
  <si>
    <t>June, 1999</t>
  </si>
  <si>
    <t xml:space="preserve">Court case/ litigation/ dispute/  </t>
  </si>
  <si>
    <t>GST bhavan, Akurdi, S.No. 26, near Akurdi Railway Statioin, Pradhikaran, Akurdi</t>
  </si>
  <si>
    <t>May, 2000</t>
  </si>
  <si>
    <t>Office of the Dy/ Asstt.Commr., CGST, Division-I. Plot No.P-11/14, Old MIDC, Satara</t>
  </si>
  <si>
    <t>Purchase</t>
  </si>
  <si>
    <t>GST Bhavan, Plot No.6, EDC Complex, Patto, Panaji, Goa - 403 001.</t>
  </si>
  <si>
    <t>1869 sq. mtrs.</t>
  </si>
  <si>
    <t>Feb,2000</t>
  </si>
  <si>
    <t>5000/- per sq mtrs #</t>
  </si>
  <si>
    <t>Blue Building, Customs and GST Museum, Near Panaji Jetty, Panaji, North-Goa, Goa - 403001.</t>
  </si>
  <si>
    <t>1221 sq. mtrs.</t>
  </si>
  <si>
    <t>Not known*</t>
  </si>
  <si>
    <t>*taken over during Portugese Regime</t>
  </si>
  <si>
    <t>Chhapora Minor Port, Chhapora, North-Goa, Goa.</t>
  </si>
  <si>
    <t>1280 sq. mtrs.</t>
  </si>
  <si>
    <t>0.0768 Crores</t>
  </si>
  <si>
    <t>4500/-per sq mtrs #</t>
  </si>
  <si>
    <t>Old Checkpost Building, Dodamarg, North-Goa, Goa.</t>
  </si>
  <si>
    <t>2400 sq.mtr.</t>
  </si>
  <si>
    <t>0.024 Crores</t>
  </si>
  <si>
    <t>500/- per sq mtr.#</t>
  </si>
  <si>
    <t>S.No.11 /2, Custom Office, Dabhol,</t>
  </si>
  <si>
    <t>200</t>
  </si>
  <si>
    <t>1989-90</t>
  </si>
  <si>
    <t xml:space="preserve">In Possession </t>
  </si>
  <si>
    <t xml:space="preserve">S. No. 228, Behind Custom Office, </t>
  </si>
  <si>
    <t>30.384</t>
  </si>
  <si>
    <t>S. No. 61/B Panchanadi, Kolthare Chowki (Area 0.1.0 Hec)</t>
  </si>
  <si>
    <t>101.28</t>
  </si>
  <si>
    <t>1917-18</t>
  </si>
  <si>
    <t>S.No.202,Customs Office Harne near Phategad Fort.</t>
  </si>
  <si>
    <t>1939</t>
  </si>
  <si>
    <t>S.No.39,Village Paj Pandhari near Anjarla Creek.</t>
  </si>
  <si>
    <t>50</t>
  </si>
  <si>
    <t>S.No.156 Palshet Customs Chowkey.</t>
  </si>
  <si>
    <t>S.No.89  Adur, Kondkarod, Boria, Ta;. Guhagar.</t>
  </si>
  <si>
    <t>S.No. 81/A (Old 266Bankot)</t>
  </si>
  <si>
    <t>400</t>
  </si>
  <si>
    <t>S.No.97/A,Uttambar Village,Tal Dapoli.</t>
  </si>
  <si>
    <t>40</t>
  </si>
  <si>
    <t>1906</t>
  </si>
  <si>
    <t>S. No. 11, Customs, Burundi Chowkey, Near Hotel Sagar Sawali.</t>
  </si>
  <si>
    <t>1927-28</t>
  </si>
  <si>
    <t>S.No. 6-17, Mandvi, Jaigad</t>
  </si>
  <si>
    <t>.....</t>
  </si>
  <si>
    <t>S.No. 440 B-1, Bunder Road, Mandvi, Ratnagiri</t>
  </si>
  <si>
    <t>....</t>
  </si>
  <si>
    <t>S.No. 4, Mandvi Bazarwadi, Jaitapur</t>
  </si>
  <si>
    <t>S.No. 34, S.G. office, Udalwal, Jaitapur</t>
  </si>
  <si>
    <t>S.No. 125-1, C.H. Office Vijaydurg</t>
  </si>
  <si>
    <t>S.No. 16 B-1, C.H. Office Devgad</t>
  </si>
  <si>
    <t>S.No. 24-25, Customs Office, Pirawadi, Achara</t>
  </si>
  <si>
    <t>S.No. 67-2, Near C.H. Office, Port Vengurla</t>
  </si>
  <si>
    <t>S.No. 766, C.H. Office, Near Jetty, Malvan</t>
  </si>
  <si>
    <t>1913-14</t>
  </si>
  <si>
    <t>Customs House, Marmagoa, 403803, South Goa, Goa</t>
  </si>
  <si>
    <t>Acquired from Portuges Regime, after Liberation of Goa</t>
  </si>
  <si>
    <t>***</t>
  </si>
  <si>
    <t>Glass House, Marmagoa, Goa</t>
  </si>
  <si>
    <t>.--do--</t>
  </si>
  <si>
    <t>New Guard Room, Mormugao</t>
  </si>
  <si>
    <t>Customs outpost Khol</t>
  </si>
  <si>
    <t>New Marine deptt.</t>
  </si>
  <si>
    <t>Betul Check post</t>
  </si>
  <si>
    <t>Talpona Customs House, Minor Port, Cancona</t>
  </si>
  <si>
    <t>Old MIDC, khandoba mal, Sambhaji Nagar, Chinchwad.</t>
  </si>
  <si>
    <t>January, 1985</t>
  </si>
  <si>
    <t>Pune II Commissionerate</t>
  </si>
  <si>
    <t>1779 Sq.Mts</t>
  </si>
  <si>
    <t>66.12 Lakhs</t>
  </si>
  <si>
    <t>1074.6 Sq.Mts</t>
  </si>
  <si>
    <t>14.1 Lakhs</t>
  </si>
  <si>
    <t xml:space="preserve">Proposal of construction of residential qauarters is approved. </t>
  </si>
  <si>
    <t>Plot No.R-45 to R-50, Additional MIDC, Satara</t>
  </si>
  <si>
    <t>8.10.1998</t>
  </si>
  <si>
    <t>Customs and Central Excise Colony, Alto-Porvorim, North-Goa, Goa- 403521</t>
  </si>
  <si>
    <t xml:space="preserve">18962 sq mtrs </t>
  </si>
  <si>
    <t>07.12.1973</t>
  </si>
  <si>
    <t>3000/- per  sq mtrs #</t>
  </si>
  <si>
    <t>Residential Quarters, Damien Terrece, Alto-Porvorim, North-Goa, Goa - 403521</t>
  </si>
  <si>
    <t>456 sq. mtr.</t>
  </si>
  <si>
    <t>5000/- per  sq mtrs #</t>
  </si>
  <si>
    <t>Residential Quarters, Royal Plaza, Merces, North-Goa, Goa.</t>
  </si>
  <si>
    <t>880 sq. mtr.</t>
  </si>
  <si>
    <t>3000/-  sq mtrs #</t>
  </si>
  <si>
    <t>Residental Quarters, Housing Board Colony, Durgawadi, Taleigao, North-Goa, Goa - 403002</t>
  </si>
  <si>
    <t>not known</t>
  </si>
  <si>
    <t>Residential Quarters, Premier Real Estate, Bainguinim, Old Goa, North-Goa, Goa - 403402</t>
  </si>
  <si>
    <t>695 Sq. Mtr.</t>
  </si>
  <si>
    <t>0.72 Crores</t>
  </si>
  <si>
    <t>Miramar Guest House, Fermino Complex, Miramar, North-Goa, Goa</t>
  </si>
  <si>
    <t xml:space="preserve">70 sq mtrs </t>
  </si>
  <si>
    <t>0.11 Crores</t>
  </si>
  <si>
    <t>5000/- sq mtrs #</t>
  </si>
  <si>
    <t>Sinquerim Guest House, Near Sinquerim Jetty, Sinquerim, North-Goa, Goa - 403 511</t>
  </si>
  <si>
    <t xml:space="preserve">264 sq mtrs </t>
  </si>
  <si>
    <t>Panaji Guest House, Near PJanaji Jetty, Panaji, North-Goa, Goa - 403001</t>
  </si>
  <si>
    <t xml:space="preserve">480 sq mtrs </t>
  </si>
  <si>
    <t>S.No.29 A/1,23.8 Hec.Cus.Qtrs Dabhol</t>
  </si>
  <si>
    <t>1100</t>
  </si>
  <si>
    <t xml:space="preserve"> June,2004, June,2004, June,2004</t>
  </si>
  <si>
    <t>0.8</t>
  </si>
  <si>
    <t xml:space="preserve">N/A </t>
  </si>
  <si>
    <t xml:space="preserve">in Possession </t>
  </si>
  <si>
    <t>S.No.202,Customs Office Harne near Phalegad Fort.(Area 0.11.4 Hec)</t>
  </si>
  <si>
    <t>375</t>
  </si>
  <si>
    <t xml:space="preserve"> (1939) Reconstructed in 1993, (1939) Reconstructed in 1993</t>
  </si>
  <si>
    <t>0.25</t>
  </si>
  <si>
    <t>S.No. 15-B &amp; 23-B, Rahatghar Bunder Road, Mandvi, Ratngiri</t>
  </si>
  <si>
    <t>S.No. 197, 198, 200, Shrigaon Grampanchyat, Ratnagiri</t>
  </si>
  <si>
    <t>S.No. 5-0, Mandvi Bazarwadi, Jaitapur</t>
  </si>
  <si>
    <t>S.No. 1012, Staff Quarters, Customs Office, Malvan</t>
  </si>
  <si>
    <t>S.No. 1011, Staff Quarters, Opp. Govt. Godown, Malvan</t>
  </si>
  <si>
    <t>1454.8Sq.Mtrs.</t>
  </si>
  <si>
    <t>S.No. 1014, Staff Quarters, Opp. Govt. Godown, Malvan</t>
  </si>
  <si>
    <t>S.No. 1009, Staff Quarters, Opp. Govt. Godown, Malvan</t>
  </si>
  <si>
    <t>S.No. 67, Near C.H. Office, Port Vengurla</t>
  </si>
  <si>
    <t>Customs Colony, Headland Sada, Marmagoa</t>
  </si>
  <si>
    <t>Court Case</t>
  </si>
  <si>
    <t>Office of the Dy/ Asstt. Commr., CGST,Division-III and Residential Quarters at 228/ 229, 'E' Ward, Tarabai Park, Kolhapur</t>
  </si>
  <si>
    <t>In the said plot, the DGHRD, New Delhi vide their letter F.No. F/916/21/Const/Pune HRD/2014 dt.25.6.20 has accorded administrative approval &amp; expenditure sanction of construction of New Building for this Commissionerate.</t>
  </si>
  <si>
    <t>Offic of the Dy/ Asstt. Commr., CGST, Division-IV Sangli and 2 No. of Type-IV Qtrs. at Sangli-Miraj Road, Miaraj</t>
  </si>
  <si>
    <t>Office of the Superintendent CGST, Range-II and residential quarters at R.S.No. 2357-B, Opp.Shah Petrol Pump,Kolahpur Road, Jaysingpur</t>
  </si>
  <si>
    <t>Q.No. 256 B-1, Jail Road, Ratngiri</t>
  </si>
  <si>
    <t>S.No. 35-21, Kharviwada, Varoda</t>
  </si>
  <si>
    <t>S.No. 188 -B, Customs Office, Kankavli</t>
  </si>
  <si>
    <t>S.No. 26 A-5, Mandvi, Purnagad</t>
  </si>
  <si>
    <t>Central Revenue Colony,Salimpur, Dumrah, Patna</t>
  </si>
  <si>
    <t>1974-75</t>
  </si>
  <si>
    <t>Matter is pending against Encroachment with  High Court Patna by case CWJC NO..12076/17</t>
  </si>
  <si>
    <t>New Sipahi Tola,Purnea 854301</t>
  </si>
  <si>
    <t>12.04.1965</t>
  </si>
  <si>
    <t>Central Excise Colony,Mata Chowk,New Sipahi Tola,Purnea 854301</t>
  </si>
  <si>
    <t>27.12.1965</t>
  </si>
  <si>
    <t>Dholi Sakra Faridpur, Muzaffarpur-843105</t>
  </si>
  <si>
    <t>Baghra, Mauza Baghra Distt- Samstipur</t>
  </si>
  <si>
    <t>30.07.1954</t>
  </si>
  <si>
    <t>Rajapakar Vaishali</t>
  </si>
  <si>
    <t>06.01.1954</t>
  </si>
  <si>
    <t>Singhara Vaishali</t>
  </si>
  <si>
    <t>15.11.1965</t>
  </si>
  <si>
    <t>Patepur Vaishali</t>
  </si>
  <si>
    <t>12.02.1964</t>
  </si>
  <si>
    <t>Central  GST  &amp; CX   Ranchi Commissionerate</t>
  </si>
  <si>
    <t>2.09 Acre</t>
  </si>
  <si>
    <t>Not handed over till date</t>
  </si>
  <si>
    <t>No despute</t>
  </si>
  <si>
    <t>Land handover process  is in final stage in NAGRI, RANCHI of the area of 2.09 acre. The amount of Rs. 8,16,00,000/- has been deposited in the account of Govt. of Jharkhand.</t>
  </si>
  <si>
    <t>Central GST &amp; CX,        Ranchi Zone,      Patna</t>
  </si>
  <si>
    <t>New Sipahi Tola, Purnea -854301</t>
  </si>
  <si>
    <t>CGST PURNEA DIVISION</t>
  </si>
  <si>
    <t>New Sipahi Tola,   Purnea - 854301</t>
  </si>
  <si>
    <t>H.E.School Road, Vistipara , Dhanbad</t>
  </si>
  <si>
    <t>Possession</t>
  </si>
  <si>
    <t>Book value of Assets as on 30.04.2016 (Rs.in crores) is 0.91</t>
  </si>
  <si>
    <t>CGST Division-I &amp; II Bokaro</t>
  </si>
  <si>
    <t>0.75 acre</t>
  </si>
  <si>
    <t>21.04.1982</t>
  </si>
  <si>
    <t>Rs. 1,56,750/-</t>
  </si>
  <si>
    <t>Initially for 33 years, renew due w.e.f. 21.04.2015</t>
  </si>
  <si>
    <t>Rs. 24,76,570.75/-</t>
  </si>
  <si>
    <t>No remarks</t>
  </si>
  <si>
    <t>CGST Hqrs., Ranchi</t>
  </si>
  <si>
    <t>The building was constructed by Income Tax Dept..</t>
  </si>
  <si>
    <t>CGST &amp; CX   Jamshedpur Commissionerate</t>
  </si>
  <si>
    <t>O/o the Commissioner, CGST&amp; CX, Outer Circle Road, Bistupur, Jamshedpur, East Singhbhum, Jharkhand. Pin-831001</t>
  </si>
  <si>
    <t>08.04.1996</t>
  </si>
  <si>
    <t>Ownership (Freehold)</t>
  </si>
  <si>
    <t>one case</t>
  </si>
  <si>
    <t xml:space="preserve">Purchase </t>
  </si>
  <si>
    <t>1.3 Acre</t>
  </si>
  <si>
    <t>20.03.1982</t>
  </si>
  <si>
    <t xml:space="preserve"> 2,71,700/-</t>
  </si>
  <si>
    <t>33 years lease</t>
  </si>
  <si>
    <t>w.e.f. 20.03.1982</t>
  </si>
  <si>
    <t>Rs. 35,77,317.84/- per annum w.e.f. 21.03.2015</t>
  </si>
  <si>
    <t>Renewal of the lease is due w.e.f. 21.03.2015</t>
  </si>
  <si>
    <t>Old Income Tax Colony, Dhanbad</t>
  </si>
  <si>
    <t>Income Tax Colony, Lalpur, Ranchi.</t>
  </si>
  <si>
    <t>Block- 17&amp;18 Sector-1 Khelgaon Residential 1 Complex Hotwar, Ranchi</t>
  </si>
  <si>
    <t>99 years w/e.f. 31.03.2014</t>
  </si>
  <si>
    <t>Ready build flat purchased</t>
  </si>
  <si>
    <t>Central Revenue Building, Imalichatti, Muzaffarpur-842001</t>
  </si>
  <si>
    <t>23.06.1966</t>
  </si>
  <si>
    <t>Dak Bunglo Road Hajipur-844101</t>
  </si>
  <si>
    <t xml:space="preserve">Partial Encrochment in north side </t>
  </si>
  <si>
    <t>Chhapra-841301</t>
  </si>
  <si>
    <t>07.08.1965</t>
  </si>
  <si>
    <t>Customs Preventive Commissionerate, Cochin</t>
  </si>
  <si>
    <t>Opposite to Port Office Complex, Pallithottam, Kollam 691 006</t>
  </si>
  <si>
    <t>96 sq.mtrs</t>
  </si>
  <si>
    <t>Encroach-ment</t>
  </si>
  <si>
    <t>Remnants of two old buildings are still there</t>
  </si>
  <si>
    <t>Own Land situated in front of Port office, Thalassery.  TS No. 342/2 of Ward No. 9 Block No. 5 of Thalassery Amsom Desam, Kannur Dist. 670101</t>
  </si>
  <si>
    <t>80.94 SqM</t>
  </si>
  <si>
    <t xml:space="preserve">* The AC CPD Calicut vide C.No. I/4/3/97 dated 12/11/2002 informed that The port officer,Kozhikode stated that there should not be any kind of constructionin in front of port office, since their office is a war watching station of Indian Navy </t>
  </si>
  <si>
    <t>(2 cents)</t>
  </si>
  <si>
    <t>Cochin Customs</t>
  </si>
  <si>
    <t>Cochin Customs Commissionerate</t>
  </si>
  <si>
    <t>Chilavanoor, Kadavanthra, Cochin-20</t>
  </si>
  <si>
    <t>02.03.2001</t>
  </si>
  <si>
    <t>Thiruvananthapuram Zone</t>
  </si>
  <si>
    <t>Central Tax &amp; Central Excise, Kochi Commissionerate</t>
  </si>
  <si>
    <t>Survey No. 635, Elamkulam Village, Kanayannur Thaluk, Chilavanoor, Kochi - 682 020, Ernakulam, Kerala</t>
  </si>
  <si>
    <t>25/09/1998 = 12140.6 Sq. M.               25/03/2003 = 4622 Sq. M.</t>
  </si>
  <si>
    <t xml:space="preserve">Rs.4.5 Cr. For   12140.6 Sq. M.                 Rs.1.71 Cr. For    4622 Sq. M.  </t>
  </si>
  <si>
    <t>The construction work could not progress beyond the site development by land filling with earth, due to extant Coastal Regulation Zone (CRZ)issues in the area.</t>
  </si>
  <si>
    <t>A large extant of the site is hit by CRZ regulation. Requested the  authorities to undertake re-survey &amp; ascertain the actual amount of land on which construction can be done and accordingly revised layout &amp; building plan can be done.</t>
  </si>
  <si>
    <t>Kozhikode Commissionerate</t>
  </si>
  <si>
    <t>R S No. 24/6B, Chokli Amsom, Peringadi desom, Thalassery Taluk, Kannur Pin 673312</t>
  </si>
  <si>
    <t>No.</t>
  </si>
  <si>
    <t>Address given incorrectly as New Mahe in asset register 2017</t>
  </si>
  <si>
    <t>Central Excise Bhavan, Kathrikkadavu, Kochi - 682 017, Ernakulam, Kerala</t>
  </si>
  <si>
    <t>Free-Hold</t>
  </si>
  <si>
    <t>Central Tax, Central Excise &amp; Customs Residential Quarters, Near KSEB Sub-station, CSEZ P.O., Kochi-682 037, Ernakulam, Kerala</t>
  </si>
  <si>
    <t>Central Tax, Central Excise &amp; Customs officers Villa No. 5 (type-VII), Ambady Retreat, Chilavanoor, Kochi 682 020, Ermakulam, Kerala</t>
  </si>
  <si>
    <t>12.03.1998</t>
  </si>
  <si>
    <t>Central Tax, Central Excise &amp; Customs officers Villa No. 8 (type-VII), Ambady Retreat, Chilavanoor, Kochi 682 020, Ermakulam, Kerala</t>
  </si>
  <si>
    <t>Kuttanellur, Thrissur, Pin Code- 680006</t>
  </si>
  <si>
    <t>5018.28 </t>
  </si>
  <si>
    <t>14.03.1997</t>
  </si>
  <si>
    <t>Kannamkulangara Desam, Koorkanchery, Thrissur Village, Thrissur Taluk, Sakthan Thampuran Nagar, Thrissur, 680001</t>
  </si>
  <si>
    <t>27.03.1987</t>
  </si>
  <si>
    <t>Guruvayur Village, West Nada, Guruvayur, Thrissur Dist, 
Pin-680101</t>
  </si>
  <si>
    <t>06.01.1998</t>
  </si>
  <si>
    <t>Thiruvananthapuram</t>
  </si>
  <si>
    <t>Thiruvananthapuram Central GST &amp; C.Ex. Comm'te.</t>
  </si>
  <si>
    <t>GST Bhavan, Press Club Road, Statue, Thiruvananthapuram-695001.
Sy. No.2836/4,5,6,8,5(10) &amp; 12</t>
  </si>
  <si>
    <t>2185 Sq.Mtr.</t>
  </si>
  <si>
    <t>28.06.1988</t>
  </si>
  <si>
    <t>0.31 Crore</t>
  </si>
  <si>
    <t>6.56 Crore</t>
  </si>
  <si>
    <t>Central GST &amp;C.Ex. Staff Quarters, Valiyathura, Muttathara Village, Thiruvananthapuram-695008.
Sy. No.2882, 2900</t>
  </si>
  <si>
    <t>3399 Sq. Mtr.</t>
  </si>
  <si>
    <t>01.04.1950</t>
  </si>
  <si>
    <t>0.0005 Crore</t>
  </si>
  <si>
    <t>1.02 Crore</t>
  </si>
  <si>
    <t>Brief Facts of the case shown in note below ##.</t>
  </si>
  <si>
    <t>Mananchira, Calicut-673001</t>
  </si>
  <si>
    <t>With the department from pre independence days</t>
  </si>
  <si>
    <t>1, 2</t>
  </si>
  <si>
    <t>Opp.Light House, beach Road (PO), Calicut-673032</t>
  </si>
  <si>
    <t>Office/ Staff Quarters, Central Revenue Building, Kuzhikunnu P.O Kannur 670001</t>
  </si>
  <si>
    <t>23.01.1993</t>
  </si>
  <si>
    <t>Office/Staff quarters, Mettupalayam street, Palakkad III village, Palakkad</t>
  </si>
  <si>
    <t>28.03.1990</t>
  </si>
  <si>
    <t>The Superintendent, Customs Preventive Unit, Beach Road, Vadakara-673103</t>
  </si>
  <si>
    <t>4 Cents acquired in 1872 and 14 cents in April, 1926</t>
  </si>
  <si>
    <t>24.25 paise</t>
  </si>
  <si>
    <t>18 Lakhs</t>
  </si>
  <si>
    <t>Own Land No.112 (RS No. 312) of Thalassery Village &amp; Taluk.  Central Excise &amp; Customs Building, Customs Road, Thalassery, Kannur Dist. 670101</t>
  </si>
  <si>
    <t>323.47Sq.m  (8 cents)</t>
  </si>
  <si>
    <t>Beach Raod, Alapuzha, Pin: 688012</t>
  </si>
  <si>
    <t>1535 Sq meter</t>
  </si>
  <si>
    <t xml:space="preserve"> year1935</t>
  </si>
  <si>
    <t>25 lakhs per cent</t>
  </si>
  <si>
    <t>Allotted by Maharaja of Travancore, Possession Certificate obtained on 27.01.19</t>
  </si>
  <si>
    <t>50 cents</t>
  </si>
  <si>
    <t>31.07.1987</t>
  </si>
  <si>
    <t>Near Railway Station, Kasaragod - 671 121</t>
  </si>
  <si>
    <t>2.38 cents</t>
  </si>
  <si>
    <t xml:space="preserve">As per Adangal  Certificate No:CA/179/90 Cx dt:04.04.1990 issued by Tahsildar, Kasaragod </t>
  </si>
  <si>
    <t>Custom House, Willingdon Island, Cochin-09</t>
  </si>
  <si>
    <t>As per TAMP (Tariff Authority for Major Port)</t>
  </si>
  <si>
    <t>1&amp;2</t>
  </si>
  <si>
    <t>alloted vide order No. S2-6416/2018/DDDis dated 23.07.2018 of tahasildar, Kochi</t>
  </si>
  <si>
    <t>Customs Quarters, North End, Willingdon Island, Cochin-09</t>
  </si>
  <si>
    <t>Commissioners Bungalow, North End, Willingdon Island, Cochin-09</t>
  </si>
  <si>
    <t>Vadodara Zone</t>
  </si>
  <si>
    <t>CGST, Vadodara - II</t>
  </si>
  <si>
    <t>Ellora park, Subhanpura, Vadodara - 390023</t>
  </si>
  <si>
    <t>1.21 Cr.</t>
  </si>
  <si>
    <t>Plot no. 1, Opp. Gujarat Gas Company Ltd, Amidhara Township, Bharuch - 392012</t>
  </si>
  <si>
    <t>Plot no. 622 &amp; 624, GIDC, Opp. Shaily Engg,Halol - 389350</t>
  </si>
  <si>
    <t>Plot no. C/4/9, Behind Roshan Cinema, GIDC, Ankleshwar -393002</t>
  </si>
  <si>
    <t>25.10.1982</t>
  </si>
  <si>
    <t>2nd Floor R.K.Casta, Station Road Bharuch</t>
  </si>
  <si>
    <t>15.02.2016</t>
  </si>
  <si>
    <t>Lease/Rented</t>
  </si>
  <si>
    <t>1.49792 Lakh/Month</t>
  </si>
  <si>
    <t>Lease terniminated w.e.f. 31.05.2020.</t>
  </si>
  <si>
    <t>Cental Revenue Colony, Plot no. RP-204/1, GIDC, Ankleshwar- 393002</t>
  </si>
  <si>
    <t>1993-94</t>
  </si>
  <si>
    <t>CGST Commissionerate- Vadodara-1</t>
  </si>
  <si>
    <t>Subhas Road, Anand, Plot No. 295, Anand-388001</t>
  </si>
  <si>
    <t>Central Excise &amp; Customs Office Building, Race Course Circle, Vadodara-390007</t>
  </si>
  <si>
    <t>1955-56</t>
  </si>
  <si>
    <t>Central GST Building Juna Dadar Nr. Old Bus Stop Plot No. 274 Anand-388001</t>
  </si>
  <si>
    <t>Subhas Road Anand Plot No. 295-388001</t>
  </si>
  <si>
    <t>Plot No 432  Central Excise Building and Qtr. Near LIC Office, Pij Road Nadiad-387012</t>
  </si>
  <si>
    <t>27/09/2004</t>
  </si>
  <si>
    <t>Visakhapatnam Zone</t>
  </si>
  <si>
    <t>Visakhapatnam Central GST Commissionerate</t>
  </si>
  <si>
    <t xml:space="preserve">Salt Land at Kakinada   at TS No 2/1/B, at Srinagar, Pithapuram Road, Kakinada          </t>
  </si>
  <si>
    <t>17.04.2019</t>
  </si>
  <si>
    <t>Paid Rs.1/- as token value to the Salt Department. Paid Rs.38624/- towards value of trees to the Salt Department. Paid an amount of Rs. 1666720/- towards fee for registration of the documents to the AP Stamps &amp; Registration Department.</t>
  </si>
  <si>
    <t>Market value of the property as on date is Rs.14,66,52,000/-.</t>
  </si>
  <si>
    <t>Plot No. 79, Survey No. 79 (part) of Pedamadaka Village, Nehru Marg, Steel Plant, Vishkhapatnam.</t>
  </si>
  <si>
    <t>1500</t>
  </si>
  <si>
    <t>01.02.2011</t>
  </si>
  <si>
    <t>0.01</t>
  </si>
  <si>
    <t xml:space="preserve"> Acquired for 33 years long lease from M/s RINL since 01.02.2011</t>
  </si>
  <si>
    <t>1. Acquisition/Purchase Cost(Rs.in crores) - "0.01 (Rs. 1,11,195/-)" 2. Bookvalue of Assets as on 30.04.2014 (Rs.in crores) - "0.01 (Rs.11195/-)"</t>
  </si>
  <si>
    <t>Guntur CGST Commissionerate</t>
  </si>
  <si>
    <t>D.No.14.2.17, T.S.No.
660/34 of Eluru Town,
Located in D-ward, Block No.10</t>
  </si>
  <si>
    <t>05.12.2014</t>
  </si>
  <si>
    <t>Owned by 
Government</t>
  </si>
  <si>
    <t>Proposals submitted tto DGHRD. Matter still under Correspondence</t>
  </si>
  <si>
    <t>Bit-I Kothur Village Nellore Mandal - 524004</t>
  </si>
  <si>
    <t>130680   (3 Acres)</t>
  </si>
  <si>
    <t>12.07.2018</t>
  </si>
  <si>
    <t>Purchased from Govt. of Andhra Pradesh</t>
  </si>
  <si>
    <t>Request to CPWD authorites to send proposal for construction of office building and boundary wall on 17.09.2020</t>
  </si>
  <si>
    <t>Tirupati/ 
Kadapa Division</t>
  </si>
  <si>
    <t>Putlampalli Village, Kadapa - 516 217</t>
  </si>
  <si>
    <t>12.12.2014</t>
  </si>
  <si>
    <t>(*) 2.28</t>
  </si>
  <si>
    <t>In favour of AC of Central Excise &amp; Service Tax, Kadapa.</t>
  </si>
  <si>
    <t>Proposals submitted to DGHRD. Matter still under Correspondence</t>
  </si>
  <si>
    <t>Tirupati/ 
Hqrs Office</t>
  </si>
  <si>
    <t>Sy. No. 246/24, 246/25, 246/26, 246/27, 246/49, Opp Doordarshan Kendra, AIR By Pass Road, M.R.Palli, Tirupati, AP.</t>
  </si>
  <si>
    <t xml:space="preserve">04.09.2014 </t>
  </si>
  <si>
    <t>19.14 
(as on 10.08.2020)</t>
  </si>
  <si>
    <t>In favour of Commissioner of Central Tax, GST Commissionerate, Tirupati</t>
  </si>
  <si>
    <t>Customs Commissionerate Preventive, Vijayawada</t>
  </si>
  <si>
    <t>Sy.No.29/8, Kesarapally village, Gannavaram Mandal, Krishna District, Andhra Pradesh   PIN 521102</t>
  </si>
  <si>
    <t>15539.93</t>
  </si>
  <si>
    <t>09.03.2016</t>
  </si>
  <si>
    <t>GO MS No.84 dt.12.02.2016</t>
  </si>
  <si>
    <t>allotted by AP State Govt.</t>
  </si>
  <si>
    <t>GST Bhavan, Port Area, Visakhapatnam</t>
  </si>
  <si>
    <t>June, 2000</t>
  </si>
  <si>
    <t>3.4</t>
  </si>
  <si>
    <t>137232672‬</t>
  </si>
  <si>
    <t>On lease from Visakhapatnam Port Trust for 99 years for an amount of Rs 1/- per annum</t>
  </si>
  <si>
    <t>O/o.The Deputy Commissioner of Central Tax, Vizianagaram CGST Division, Near Dandumaramma Temple, Contonment Area, Vizianagaram District, Andhra Pradesh - 535003</t>
  </si>
  <si>
    <t>14.02.2001</t>
  </si>
  <si>
    <t>The land alienated/assigned to this office vide GO M.S.No.909 dt.13.12.2000 by Revenue (Assignment-I) Department and handed over to this department on 14.02.2001 vide Collector, Vizianagaram proceedings RC No.3494/99-E.1, dt.08.01.2001.</t>
  </si>
  <si>
    <t>(1)Bheemunipatnam Range of North CGST Division, Visakhapatnam CGST Comm'te  (2)  O/o the Superintendent of Central Tax, Bheemunipatnam CGST Range, North Division, Opp. Muncipal Office, Pedda Bazar, Bheemunipatnam - 531 163, Visakhapatnam Dt.   (AP)</t>
  </si>
  <si>
    <t>‭56221200.8‬</t>
  </si>
  <si>
    <t>As it is a very old building (Heritage),  no data is available.</t>
  </si>
  <si>
    <t>C.R.Buildings, Kannavarithota,Guntur-522004</t>
  </si>
  <si>
    <t>Owned by Govt.of
India</t>
  </si>
  <si>
    <t xml:space="preserve">Tirupati CGST </t>
  </si>
  <si>
    <t>S.NO.990/3A,1991, Sangamesh Nagar, Anantapur</t>
  </si>
  <si>
    <t>30.5.2005</t>
  </si>
  <si>
    <t>9.96 (as per previous valuation report)</t>
  </si>
  <si>
    <t>Office building construction is under progress.</t>
  </si>
  <si>
    <t>Custom House, Vishakhapatnam</t>
  </si>
  <si>
    <t>New Customs House, Port Area, Vishakhapatnam- 530 035</t>
  </si>
  <si>
    <t>21.04.1961 / 1984-86</t>
  </si>
  <si>
    <t>Rs. 24,000/- per sq. yard</t>
  </si>
  <si>
    <t>Custom House, Beach Road,Port area, Kakinada- 533 007</t>
  </si>
  <si>
    <t>2770</t>
  </si>
  <si>
    <t>1985</t>
  </si>
  <si>
    <t>0.21</t>
  </si>
  <si>
    <t>C.Ex Housing Complex, 
Staff quarters, 
Nagarampalem,
 Grand Trunk Road, 
Guntur</t>
  </si>
  <si>
    <t>17.03.1986</t>
  </si>
  <si>
    <t>Recomeneded for  dismantling by CPWD as Quarters are in dilapidated condition</t>
  </si>
  <si>
    <t>Tirupati/ 
Kurnool Division</t>
  </si>
  <si>
    <t>17.08.2011</t>
  </si>
  <si>
    <t>__</t>
  </si>
  <si>
    <t>One Guest and 07 Type-IV Quarters are being Constructed at the mentioned land. More than 50% of the work has been done as on 28.05.2020 as per CPWD,Kurnool</t>
  </si>
  <si>
    <t xml:space="preserve"> Custom House, Vishakhapatnam</t>
  </si>
  <si>
    <t>CR  Quarters, Daba Gardens, Vishakhapatnam</t>
  </si>
  <si>
    <t>1963  &amp; 1981</t>
  </si>
  <si>
    <t>Rs. 69,000/- per sq. yard</t>
  </si>
  <si>
    <t>CR  Quarters, Sand Hills, Vishakhapatnam</t>
  </si>
  <si>
    <t>1979, 1991 &amp; 2005</t>
  </si>
  <si>
    <t>Sea Shells Apt., D.No. 11-2-1/53, Daspalla Layout, Vishakhapatnam</t>
  </si>
  <si>
    <t xml:space="preserve">      --</t>
  </si>
  <si>
    <t>Customhouse, Beach Road,Port area, Kakinada- 533 007</t>
  </si>
  <si>
    <t>1 ACRE equivalent to 4840 Sq. Yards or 401.34 Sq Mts.</t>
  </si>
  <si>
    <t>Form II (a) Transfer of Sale Registrationdocument vide register No. 6407 dated 28.08.1995</t>
  </si>
  <si>
    <t>3,92,04,000/-</t>
  </si>
  <si>
    <t>No Records Available    (RS No. 380/1)</t>
  </si>
  <si>
    <t>-------</t>
  </si>
  <si>
    <t>Tirupati/ Kurnool Division</t>
  </si>
  <si>
    <t>99 year (from 24.10.1991)</t>
  </si>
  <si>
    <t>ANNEXURE B: Office Buildings</t>
  </si>
  <si>
    <t>Zone/ Directorate</t>
  </si>
  <si>
    <t xml:space="preserve">Location of the building  with complete address including District &amp; Pin Code </t>
  </si>
  <si>
    <t>Name(s) of the office(s) located in the building</t>
  </si>
  <si>
    <t xml:space="preserve">Date of Construction </t>
  </si>
  <si>
    <t xml:space="preserve">Current Circle rate* of building as on 31.03.2020  </t>
  </si>
  <si>
    <t>S. No. of entry   in Annexure A2 **</t>
  </si>
  <si>
    <t>S. No. of entry   in Annexure A4 **</t>
  </si>
  <si>
    <t xml:space="preserve">Remarks/ Other relevant information# </t>
  </si>
  <si>
    <t xml:space="preserve">CGST, Ahmedabad South </t>
  </si>
  <si>
    <t>PCCO Ahmedabad Zone, CGST Ahmedabad South Commissionerate, Appeal Commissionerate Ahmedabad</t>
  </si>
  <si>
    <t>6297.46</t>
  </si>
  <si>
    <t>April, 2001</t>
  </si>
  <si>
    <t>6.68</t>
  </si>
  <si>
    <t>31000-Approx</t>
  </si>
  <si>
    <t>Custom House, Opp. Old high Court, B/h Akashwani, Navrangpura, Ahmedabad</t>
  </si>
  <si>
    <t>CGST Ahmedabad North, CGST Gandhinagar &amp; Customs Ahmedabad</t>
  </si>
  <si>
    <t>467.9526*</t>
  </si>
  <si>
    <t>The building was constructed approx 55 years ago</t>
  </si>
  <si>
    <t>8 lakhs</t>
  </si>
  <si>
    <t>Customs Bungalow, Survey No. 376, Ward No. 1, Dhandhuka, Dist: Ahmedabad</t>
  </si>
  <si>
    <t>The said property is witht the Department since 1896.</t>
  </si>
  <si>
    <t>Gandhinagar Division office and 5 (five ranges) and Himmatnagar Division Office and 2 ranges</t>
  </si>
  <si>
    <t>12.12.1996</t>
  </si>
  <si>
    <t>Station Road, Nr. Bus stand, Kalol</t>
  </si>
  <si>
    <t>it is an old building which is not usable</t>
  </si>
  <si>
    <t>17.05.1995</t>
  </si>
  <si>
    <t>own</t>
  </si>
  <si>
    <t>CGST RajkotRajkot</t>
  </si>
  <si>
    <t>Central GST Bhavan, Race Course Ring Road, Rajkot-360001.</t>
  </si>
  <si>
    <t xml:space="preserve">Office of the Commissioner, Central GST and Excise, Rajkot </t>
  </si>
  <si>
    <t>02.04.2002</t>
  </si>
  <si>
    <t>Commissionerate (Custodian/ Estate Manager)</t>
  </si>
  <si>
    <t xml:space="preserve">Location of the residential quarters  with complete address including District &amp; Pin Code </t>
  </si>
  <si>
    <t>Date of purchase      (in case of  ready-built purchase)</t>
  </si>
  <si>
    <t>Charges being paid e.g. maintenance etc. (for building only), if yes details thereof</t>
  </si>
  <si>
    <t>S. No. of entry   in Annexure A3 **</t>
  </si>
  <si>
    <t>4118</t>
  </si>
  <si>
    <t>4032</t>
  </si>
  <si>
    <t>1403</t>
  </si>
  <si>
    <t>1170</t>
  </si>
  <si>
    <t>2250</t>
  </si>
  <si>
    <t>0.98621</t>
  </si>
  <si>
    <t>1724</t>
  </si>
  <si>
    <t>13.05.99</t>
  </si>
  <si>
    <t>11.07.94</t>
  </si>
  <si>
    <t>No. of Type of Quarters (Available/ Habitable/Allotted) as on 31.03.2020</t>
  </si>
  <si>
    <t>I</t>
  </si>
  <si>
    <t>II</t>
  </si>
  <si>
    <t>III</t>
  </si>
  <si>
    <t>IV</t>
  </si>
  <si>
    <t>V</t>
  </si>
  <si>
    <t xml:space="preserve">Available </t>
  </si>
  <si>
    <t>Habitable</t>
  </si>
  <si>
    <t>In Type V quarter out of 11 one is guest house.</t>
  </si>
  <si>
    <t>VI</t>
  </si>
  <si>
    <t>VII</t>
  </si>
  <si>
    <t>Other Type/Category (specify)</t>
  </si>
  <si>
    <t>*Purchase/ Circle rate of residential buildings only may be provided in this Annexure.</t>
  </si>
  <si>
    <t>*However, composite cost (land+building) may be provided in this Annexure in r/o ready-built residential buildings purchased, if separate land cost is not mentioned under Annexure A3/A4</t>
  </si>
  <si>
    <t>**S. Nos. of entries in Annexure A3 &amp; A4 (whichever applicable) wherein details of Land on which residential building(s) have been constructed may be given in these column.</t>
  </si>
  <si>
    <t>Commissionerate</t>
  </si>
  <si>
    <t>Name(s) of the office(s) located in the hired premises</t>
  </si>
  <si>
    <t>Location of the premises with complete address</t>
  </si>
  <si>
    <t>Date of Hiring with Sanction Order &amp; Date</t>
  </si>
  <si>
    <t>Sanctioning Authority</t>
  </si>
  <si>
    <t>Period of Lease</t>
  </si>
  <si>
    <t>Due Date of Renewal of Lease</t>
  </si>
  <si>
    <t>Rent Amount Per Month (In Rs.)</t>
  </si>
  <si>
    <t>Rent Rate (Rs. per sq. mtrs.)</t>
  </si>
  <si>
    <t>Remarks</t>
  </si>
  <si>
    <t>Division-VIII &amp; VI, CGST, Ahmedabad South Commissionerate</t>
  </si>
  <si>
    <t>3rd Floor, APM Mall, Near Sachin Tower, FP No. 174, TPS-3, Vejalpur, 100 FT Road, Ahmedabad. 
(Range / Division)</t>
  </si>
  <si>
    <t>01.07.2018 , F.No. I/04-04/18-19/प्रशासन dated 01.03.2019</t>
  </si>
  <si>
    <t>Commissioner, CGST Ahmedabad South</t>
  </si>
  <si>
    <t>3yrs</t>
  </si>
  <si>
    <t>Division-VII &amp; VI, CGST, Ahmedabad South Commissionerate</t>
  </si>
  <si>
    <t>1st Floor, APM Mall, Near Sachin Tower, FP No. 174, TPS-3, Vejalpur, 100 FT Road, Ahmedabad.
(Range / Division)</t>
  </si>
  <si>
    <t>540.4</t>
  </si>
  <si>
    <t>01.02.2018, F.No. I/22-18/18-19/Adm dated 01.03.2019</t>
  </si>
  <si>
    <t>PAO, CBIC, Ahmedabad</t>
  </si>
  <si>
    <t xml:space="preserve">21.03.2018, F.NO.I/11-07/76/Adm dated 11.01.2019 </t>
  </si>
  <si>
    <t>21.03.2021</t>
  </si>
  <si>
    <t>CGST North</t>
  </si>
  <si>
    <t>Division I</t>
  </si>
  <si>
    <t>Jivabhai Mansion, B/h Sheikh and Co., Ashram Road, Ahmedabad</t>
  </si>
  <si>
    <t xml:space="preserve">10.09.2018, F. No. I/11-01/2014-15-Adm dated 10.09.2018  </t>
  </si>
  <si>
    <t>Commissioner</t>
  </si>
  <si>
    <t>3 Years</t>
  </si>
  <si>
    <t>10.09.2021</t>
  </si>
  <si>
    <t>2,48,856</t>
  </si>
  <si>
    <t>Division II</t>
  </si>
  <si>
    <t>3rd Floor, Sahjanand Arcade, Near Helmet Circle, Memnagar, Ahmedabad</t>
  </si>
  <si>
    <t xml:space="preserve">03.07.2018, F.No. I/11-02/2008-Adm dated 03.07.2018     </t>
  </si>
  <si>
    <t>03.07.2021</t>
  </si>
  <si>
    <t>1,25,967</t>
  </si>
  <si>
    <t>Division V</t>
  </si>
  <si>
    <t>2nd Floor, Sahjanand Arcade, Near Helmet Circle, Memnagar, Ahmedabad</t>
  </si>
  <si>
    <t>20.06.2018, F. No. I/04-04/2016-17/Adm  dated 20.06.2018</t>
  </si>
  <si>
    <t>5 Years</t>
  </si>
  <si>
    <t>20.06.2023</t>
  </si>
  <si>
    <t>Division VII</t>
  </si>
  <si>
    <t>4th Floor, Sahjanand Arcade, Near Helmet Circle, Memnagar, Ahmedabad</t>
  </si>
  <si>
    <t xml:space="preserve">16.09.2019, F.No. I/4-03/05-Adm dated 16.09.2019    </t>
  </si>
  <si>
    <t>16.09.2024</t>
  </si>
  <si>
    <t>Division III &amp; IV</t>
  </si>
  <si>
    <t>2nd Floor, Gokuldham Arcade, Sarkhj-Sanand Road, Ahmedabad</t>
  </si>
  <si>
    <t xml:space="preserve">11.02.2019, F.No. I/4-3/76-Adm/Pt-II dated 11.02.2019     </t>
  </si>
  <si>
    <t>11.02.2022</t>
  </si>
  <si>
    <t>2,54,200</t>
  </si>
  <si>
    <t>Division VI</t>
  </si>
  <si>
    <t>7th Floor, B.D. Patel House, Near Sardar Patel Statue, Naranpura - 380014</t>
  </si>
  <si>
    <t>01.01.2018, F.No. I/04-03/2016-17-Adm   dated 01.01.2018</t>
  </si>
  <si>
    <t>01.01.2021</t>
  </si>
  <si>
    <t xml:space="preserve">CGST Commissionerate Gandhinagar </t>
  </si>
  <si>
    <t>HQ - CGST &amp; Cen. Ex., of Gandhinagar Commissionerate</t>
  </si>
  <si>
    <t xml:space="preserve"> 3rd floor, Jivabhai Mansion, Ashram Road, Ahmedabad</t>
  </si>
  <si>
    <t>01.04.2020, F.No.I/04-01/2016-17/L&amp;B dated 04.06.2020</t>
  </si>
  <si>
    <t>1 year</t>
  </si>
  <si>
    <t>01.04.2021</t>
  </si>
  <si>
    <t>HQ - CGST &amp; Cen. Ex., Gandhinagar, 4th floor Mrudul Tower, Ashram Road, Ahmedabad</t>
  </si>
  <si>
    <t>01.10.2019,  F.No.I/04-01/L&amp;B/2018-19 dated 01.07.2020</t>
  </si>
  <si>
    <t>3 years</t>
  </si>
  <si>
    <t xml:space="preserve">30.09.2022 </t>
  </si>
  <si>
    <t>Palanpur &amp; Mehsana - Division offices.          AR- I to V                  (all Ranges) of Mehsana Division</t>
  </si>
  <si>
    <t>2nd Floor,Sardar Patel Vyapam Sankul, Mal godown Road, Mehsana.</t>
  </si>
  <si>
    <t>01.08.2016, F.No.I/11-11/89-ADMN/L&amp;B/Pt.I dated 20.03.2018</t>
  </si>
  <si>
    <t>5 years</t>
  </si>
  <si>
    <t>01.08.2021</t>
  </si>
  <si>
    <t>AR- I, II &amp;  III of  Division- Palanpur,</t>
  </si>
  <si>
    <t xml:space="preserve">      1st floor, Dhudhiya wadi Sub plot no. 3/P, Survey no. 10849, Near Railway Station, Palanpur, Dist Banaskatha.</t>
  </si>
  <si>
    <t xml:space="preserve">11.04.2017,  to 10.07.2018 vide F.No.I/04-02/72-Adm dated 27.03.2018 and 11.07.2018 to 10.04.2022 vide F.No.I/11-02/72-Admn dated 06.12.2019 </t>
  </si>
  <si>
    <t>11.04.2022</t>
  </si>
  <si>
    <t>AR- Sidhpur,         AR - Patan  of  Division-Palanpur</t>
  </si>
  <si>
    <t xml:space="preserve"> 13/A, Alka Society (Ambala Avenue) Ward No. 5/6, Sidhpur, Dist. Patan.</t>
  </si>
  <si>
    <t>01.05.2019, F.No.I/11-04/74/ADMN/Pt.I dated 14.07.2020</t>
  </si>
  <si>
    <t>01.05.2024</t>
  </si>
  <si>
    <t>CGST-Kalol - Divison</t>
  </si>
  <si>
    <t xml:space="preserve"> 2nd floor, Janta Super Market, Nr. Khuni Bunglow, Kalol, Dist. Mehsana</t>
  </si>
  <si>
    <t>01.03.2017, F.No.I/04-03/2004-19/2015-16/Admn dated 08.03.2018</t>
  </si>
  <si>
    <t>01.03.2022</t>
  </si>
  <si>
    <t xml:space="preserve">All  Range offices of CGST Kalol - Divison </t>
  </si>
  <si>
    <t xml:space="preserve"> 3rd floor, Janta Super Market, Nr. Khuni Bunglow, Kalol, Dist. Mehsana</t>
  </si>
  <si>
    <t>11.01.2019, F.No.I/04-19/2015-16/L&amp;B dated 10.01.2020</t>
  </si>
  <si>
    <t>11.01.2024</t>
  </si>
  <si>
    <t xml:space="preserve">CGST-Kadi - Division   offcie and AR - IV </t>
  </si>
  <si>
    <t xml:space="preserve"> 4th floor, Janta super Market,Nr. Khuni Bunglow, Kalol Central Excise, Kadi Division</t>
  </si>
  <si>
    <t>01.03.2017, F.No.I/04-05/2004-5/Admn dated 20.03.2018</t>
  </si>
  <si>
    <t>AR - I  of CGST Kadi - Division</t>
  </si>
  <si>
    <t xml:space="preserve"> Block No. 3, Jay Gujarat Housing Society, Kadi-Kalol Road, Kadi, Dist. Mehsansa</t>
  </si>
  <si>
    <t>01.04.2017. F.No.I/11-02/92/Admn/Pt.I dated 27.03.2018</t>
  </si>
  <si>
    <t>01.04.2022</t>
  </si>
  <si>
    <t>AR - II  of CGST Kadi - Division</t>
  </si>
  <si>
    <t>01.05.2017, F.No.I/11-02/Admn/Pt.I dated 27.03.2018</t>
  </si>
  <si>
    <t>01.10.2022</t>
  </si>
  <si>
    <t>AR - III  of CGST Kadi - Division</t>
  </si>
  <si>
    <t xml:space="preserve"> Bolock No. 3, Jay Gujarat Housing Society, Kadi-Kalol Road, Kadi, Dist. Mehsansa</t>
  </si>
  <si>
    <t>01.05.2017, F.No. I/11-02/92/Admn/Pt.I dated 27.03.2018</t>
  </si>
  <si>
    <t>AR - I, II &amp; V  of Himatnagar- Division</t>
  </si>
  <si>
    <t xml:space="preserve"> 3rd Floor, Telephone Exchange Building, B/h Town Hall, Himatnagar</t>
  </si>
  <si>
    <t>01.09.2019, F.No. I/11-12/79-Admn dated 03.09.2019</t>
  </si>
  <si>
    <t>10 years</t>
  </si>
  <si>
    <t>01.08.2029</t>
  </si>
  <si>
    <t>CGST Range-Gondal</t>
  </si>
  <si>
    <t xml:space="preserve"> Haridwar, Gulmohar Road,Opposite Mahila College, Gondal</t>
  </si>
  <si>
    <t xml:space="preserve">   ------ </t>
  </si>
  <si>
    <t>date of hiring from 01.04.2018 for period of 03 year, Sanctioned  vide  F.No. I/11-02/2014-Adm on 28.03.2018</t>
  </si>
  <si>
    <t>The Commissioner, CGST, Rajkot</t>
  </si>
  <si>
    <t>03 years</t>
  </si>
  <si>
    <t xml:space="preserve">    -----     </t>
  </si>
  <si>
    <t>CGST Division-I &amp;II, Jamnagar and their range offices</t>
  </si>
  <si>
    <t xml:space="preserve"> Shop No. 201-204 of 2nd  Floor  and Shop No. 301-304 of 3rd Floor, Platinum, above SBI in-Touch, Near Joggers Park, Park Colony, Jamnagar</t>
  </si>
  <si>
    <t>date of hiring from 01.10.2017 for period of 03 years vide F.No. I/11-02/Adm/ 2017-18 dated 11.07.2017</t>
  </si>
  <si>
    <t>The Principal Commissioner, CGST, Rajkot</t>
  </si>
  <si>
    <t>01.10.2020</t>
  </si>
  <si>
    <t>CGST Range-Wankaner</t>
  </si>
  <si>
    <t xml:space="preserve"> Sahaj Complex, 3rd Floor, City Station Road, Wankaner</t>
  </si>
  <si>
    <t>07.05.2018, Sanctioned vide F.NO. I/L&amp;B/9-Wankaner/17-18 dated 01.06.2018</t>
  </si>
  <si>
    <t>07.05.2021</t>
  </si>
  <si>
    <t>CGST Division-I &amp;II, Morbi and their Range offices</t>
  </si>
  <si>
    <t>Shop No. 5-10, 2nd Floor Dariyalal Business Centre, Near Rafaleshwar, Morbi</t>
  </si>
  <si>
    <t>date of hiring from 01.10.2017 for period of 03 years, vide F.No. I/11-03/ADM/ 2017-18 dated 04.09.2017</t>
  </si>
  <si>
    <t>Central GST, HQ, Bhavnagar</t>
  </si>
  <si>
    <t>Plot No. B-1/67-76, Siddhi Sadan Building, Narayan Upadhyay Marg, Bhavnagar</t>
  </si>
  <si>
    <t>01.11.2017  sanctioned vide F. No. 924/29/Hiring/C.Ex.HQ/Bhavnagar/HRD/2018 dated 22.11.2018</t>
  </si>
  <si>
    <t>Financial Advisor (Finance), Ministry of Finance</t>
  </si>
  <si>
    <t>01.11.2020</t>
  </si>
  <si>
    <t xml:space="preserve">5,00,000/- </t>
  </si>
  <si>
    <t>304.79/- per Sq. Mtr. (calculated on Plinth area)</t>
  </si>
  <si>
    <t xml:space="preserve">Central GST  Division, Bhavnagar - 1 and CGST Range - 1, 2, 3 </t>
  </si>
  <si>
    <t>43, Hariyala Plot, Opp. Telghani Kendra, Krishnagar, Bhavnagar</t>
  </si>
  <si>
    <t>01.06.2019  sanctioned vide F. No. I/11-02/2016-17/Adm dated 16.10.2019</t>
  </si>
  <si>
    <t>Commissioner, Central GST, Bhavnagar</t>
  </si>
  <si>
    <t>01.06.2022</t>
  </si>
  <si>
    <t xml:space="preserve">1,21,000/-  </t>
  </si>
  <si>
    <t>229.80/- per Sq. Mtr.</t>
  </si>
  <si>
    <t>Central GST Range, Sihor-I</t>
  </si>
  <si>
    <t>"Shivalik Prime", Plot No. 80/A, C.S. 1052, Opp. Punjab Nation Bank, Bhavnagar road, Sihor</t>
  </si>
  <si>
    <t>142.42 Sq. mtr.</t>
  </si>
  <si>
    <t>01.04.2018 sanctioned vide letter F. No. I/11-07/78/Adm dated 15.03.2018</t>
  </si>
  <si>
    <t xml:space="preserve">37,000/- </t>
  </si>
  <si>
    <t>220.81/- per Sq. Mtr.</t>
  </si>
  <si>
    <t>Central GST Range, Sihor-II</t>
  </si>
  <si>
    <t>"Adeshwar Corner", First Floor, Chhatriwala Chowk, Station Road, Botad.</t>
  </si>
  <si>
    <t>134.37 Sq. Mtr.</t>
  </si>
  <si>
    <t>01.04.2018 sanctioned vide letter F. No. I/11-01/2010/Adm dated 06.03.2018</t>
  </si>
  <si>
    <t xml:space="preserve">48,000/- </t>
  </si>
  <si>
    <t>303.62/- per Sq. Mtr.</t>
  </si>
  <si>
    <t>Central GST Division Bhavnagar - 2 &amp; Audit -III (Rajkot Commr'te), Circle-VI, Bhavnagar</t>
  </si>
  <si>
    <t xml:space="preserve">2nd floor, Silver Arc Building, Opp. Dakshinamurti High School, Waghawadi Road, Bhavnagar </t>
  </si>
  <si>
    <t>16.11.2015 sanctioned vide letter F. No. 924/11/Hiring/Bhavnagar/Rural Div./HRD/2017 dated 21.11.2017</t>
  </si>
  <si>
    <t>16.11.2018</t>
  </si>
  <si>
    <t xml:space="preserve">2,28,000/- </t>
  </si>
  <si>
    <t>370.04/- per Sq. Mtr.</t>
  </si>
  <si>
    <t>CGST Range, Alang – 1, 2, 3 &amp; 4</t>
  </si>
  <si>
    <t>Near Fire Station, Alang 364-081</t>
  </si>
  <si>
    <t>All these Range offices are functioning from the premises provided by the G.M.C. (Gujarat Maritime Board).</t>
  </si>
  <si>
    <t>Central GST Range – Mahuva</t>
  </si>
  <si>
    <t>2nd floor, Sangam Complex, office No. 12 to 17, Gandhi Bag Road, Mahuva</t>
  </si>
  <si>
    <t>01.04.2019 sanctioned vide letter F. No. I/11-02/2009-10/Adm dated 24.07.2019</t>
  </si>
  <si>
    <t>5 yrs</t>
  </si>
  <si>
    <t>01.04.2024</t>
  </si>
  <si>
    <t xml:space="preserve">16,901/- </t>
  </si>
  <si>
    <t>151.51/- per Sq. Mtr.</t>
  </si>
  <si>
    <t>Central GST Division, Bhavnagar – 3 (Amreli)</t>
  </si>
  <si>
    <t>3rd floor, Silver Arc Building, Opp. Dakshinamurti High School, Waghawadi road, Bhavnagar</t>
  </si>
  <si>
    <t>16.11.2015 sanctioend vide letter F. No. 924/02/Hiring/Bhavnagar/HRD/2017 dated 21.03.2017</t>
  </si>
  <si>
    <t xml:space="preserve">2,30,000/- </t>
  </si>
  <si>
    <t>353.48/- per Sq. Mtr.</t>
  </si>
  <si>
    <t>Central GST Range - Amreli</t>
  </si>
  <si>
    <t>Om complex, Plot No. 2, Survey No. 37, Paiky Chital Road, Amreli</t>
  </si>
  <si>
    <t>115.88 Sq. Mtr.</t>
  </si>
  <si>
    <t>25.03.2018 sanctioned vide letter F. No. I/11-01/2016/Adm Part-II dated 19.03.2018</t>
  </si>
  <si>
    <t>25.03.2021</t>
  </si>
  <si>
    <t>36,700/- e</t>
  </si>
  <si>
    <t>269.18/- per Sq. mtr.</t>
  </si>
  <si>
    <t>Central GST Range, Rajula &amp; Jafrabad</t>
  </si>
  <si>
    <t>Siddhi Vinayak Vila &amp; Mall, Survey No. 234, Rajula-Jafrabad Road, Opp. Krishna Gate, Near Lion Lords, Rajula – 365560</t>
  </si>
  <si>
    <t>171.27 sq.mtr.</t>
  </si>
  <si>
    <t>30.09.2019, sanctioned vide letter F. No. I/11-01/2015-16/Adm dated 20.09.2019</t>
  </si>
  <si>
    <t>30.09.2022</t>
  </si>
  <si>
    <t xml:space="preserve">66,500/- </t>
  </si>
  <si>
    <t>330.02/- per Sq. Mtr.</t>
  </si>
  <si>
    <t>CGST Range, Una</t>
  </si>
  <si>
    <t>P.O. Ambuja Nagar, Kodinar – 362 715</t>
  </si>
  <si>
    <t>The office is functioning fromn the premises is provided by the Amjuja Cement, Kodinar.</t>
  </si>
  <si>
    <t>GST Division, Surendrangar, GST Range - I, II Surendranagar</t>
  </si>
  <si>
    <t>1st Floor, Millenium Plaza, Malhar Chowk, Dhrangadhara Road, Surendranagar</t>
  </si>
  <si>
    <t>22.05.2019 sanctioned vide letter F. No. I/11-04/SNR/2016-17/Adm dated 18.11.2019</t>
  </si>
  <si>
    <t>22.05.2022</t>
  </si>
  <si>
    <t xml:space="preserve">94,265/- </t>
  </si>
  <si>
    <t xml:space="preserve">160.23/- per Sq. mtr. </t>
  </si>
  <si>
    <t>GST Range - Limbdi</t>
  </si>
  <si>
    <t>1st floor, Bharaj Complex, Behind Petrol Pump, Limbdi</t>
  </si>
  <si>
    <t>01.04.2019 sanctioned vide letter F. No. I/11-03/2011/Adm dated 24.12.2019</t>
  </si>
  <si>
    <t xml:space="preserve">22,863/- </t>
  </si>
  <si>
    <t>198.01/- per sq. mtr.</t>
  </si>
  <si>
    <t>GST Range – Dhrangdhara</t>
  </si>
  <si>
    <t>Business Park Complex, 2nd floor right office No. 243 to 248, City Survey No. 2267 Paiki, Dhrangadhara</t>
  </si>
  <si>
    <t>119.90 sq. mtr.</t>
  </si>
  <si>
    <t>01.02.2018 sanctioned vide letter F. No. I/11-01/2015-16/Adm dated 23.01.2018</t>
  </si>
  <si>
    <t>01.02.2021</t>
  </si>
  <si>
    <t xml:space="preserve">36,170/- </t>
  </si>
  <si>
    <t>241.33/- per Sq. Mtr.</t>
  </si>
  <si>
    <t>GST Range – Chotila</t>
  </si>
  <si>
    <t>Shastrinagar, Behind Bank of Baroda, Chotila</t>
  </si>
  <si>
    <t>103.42 Sq. mtr.</t>
  </si>
  <si>
    <t>01.05.2018 sanctioned vide letter F. No. I/11-03/2016-17/Adm dated 20.04.2018</t>
  </si>
  <si>
    <t>01.05.2021</t>
  </si>
  <si>
    <t xml:space="preserve">21,913/- </t>
  </si>
  <si>
    <t>190.68/- per Sq. mtr</t>
  </si>
  <si>
    <t>Central GST Division - Junagadh</t>
  </si>
  <si>
    <t>2nd floor, Sardar Patel Bhavan, Jayshree Talkies Road, Junagadh</t>
  </si>
  <si>
    <t>01.01.2018 sanctioned vide letter F. No. I/11-01/JND/2018-19/Adm dated 14.05.2018</t>
  </si>
  <si>
    <t xml:space="preserve">80,000/- </t>
  </si>
  <si>
    <t>151.63/- per Sq. Mtr.</t>
  </si>
  <si>
    <t>GST Range Porbandar – 1 &amp; 2</t>
  </si>
  <si>
    <t>New Customs &amp; Central Excise Complex, 3rd floor, Opp. Civil Aerodrume, Behind N. K. Mehta hospital, Porbandar</t>
  </si>
  <si>
    <t>The offices are functioning from the premises provided by the Customs Department, Jamnagar.</t>
  </si>
  <si>
    <t>GST Range, Veraval, 1 &amp; 2</t>
  </si>
  <si>
    <t>Plot No. 176, Survey No. 1537, Near Old Dy. S.P. Bunglow, Rajendra Bhuvan Road, Veraval</t>
  </si>
  <si>
    <t>GST Range Junagadh – I &amp; II</t>
  </si>
  <si>
    <t>Kotecha Commercial Centre Jayshree Talkies Road, Junagadh</t>
  </si>
  <si>
    <t>01.04.2017 sanctioned vide letter F. No. I/11-05/JND/2016-17/Adm dated 16.06.2017</t>
  </si>
  <si>
    <t>01.04.2020</t>
  </si>
  <si>
    <t>32000/-</t>
  </si>
  <si>
    <t>138.30/- per Sq. mtr.</t>
  </si>
  <si>
    <t>Kutch Commissionerate</t>
  </si>
  <si>
    <t>Office of the Commissioner of CGST, Kutch Commissionerate
[HQ, Anjar-Bhachau Division, Mundra Division, Gandhidham Rural Division, Gandhidham Urban Division]</t>
  </si>
  <si>
    <t>GST Bhawan, Plot No. 82, Sector 8, Opposite Ramleela Maidan, Gandhidham, Kutch-370201</t>
  </si>
  <si>
    <t>01.06.2018, F. No. 924/47/Hiring/Kutch/(Gandhidham)/HRD/2018 dated 01.08.2018</t>
  </si>
  <si>
    <t>Director Ad. IV &amp; VIII (EC)</t>
  </si>
  <si>
    <t>01.06.2021</t>
  </si>
  <si>
    <t>11,74,934/-</t>
  </si>
  <si>
    <t>01.10.2018, F. No. I/11-01/2014/Adm./Pt.-1 dated 27.09.2018</t>
  </si>
  <si>
    <t>HOD (Commissioner)</t>
  </si>
  <si>
    <t>01.10.2021</t>
  </si>
  <si>
    <t>1,06,200/-</t>
  </si>
  <si>
    <t>01.02.2019, F. No. I/15-02/2017-18/ADM
dated 18.01.2019</t>
  </si>
  <si>
    <t>01.02.2022</t>
  </si>
  <si>
    <t>93,332/-</t>
  </si>
  <si>
    <t>Office of the Assistant Commissioner of CGST &amp; CX,
Bhuj Division, Kutch Commissionerate</t>
  </si>
  <si>
    <t>Plot No. 73A, 73AB and 96A, 2nd Line, Lotus Colony, Bhuj-370001</t>
  </si>
  <si>
    <t>01.12.2019, F. No. I/11-01/2017-18-ADM
dated 27.11.2019</t>
  </si>
  <si>
    <t>01.12.2022</t>
  </si>
  <si>
    <t>124845/-</t>
  </si>
  <si>
    <t xml:space="preserve">O/O the Commissioner of CGST AUDIT </t>
  </si>
  <si>
    <t>301,302,504,603,801A,801B and 804 GNFC INFOTOWER SG HIGHWAY of M/S GNFC LTD</t>
  </si>
  <si>
    <t>01-12-2015, Sanction Order dated 06.11.2015</t>
  </si>
  <si>
    <t>Under Secretary of G.O.I , Ministry of Finance New  Delhi</t>
  </si>
  <si>
    <t xml:space="preserve">3 years </t>
  </si>
  <si>
    <t>01.12.2018</t>
  </si>
  <si>
    <t>Forwarded to DGHRD for Renewal of Lease agreement</t>
  </si>
  <si>
    <t xml:space="preserve">Central GST Audit Commissionerate, Rajkot </t>
  </si>
  <si>
    <t>HQ Office + Four Circle officesviz; Circle-I, Circle-II,Circle-III &amp; Circle-V</t>
  </si>
  <si>
    <t>Hotel Royal Inn Building Near Girnar cinema , Rajkot-360001</t>
  </si>
  <si>
    <t>1864.56 plus 52.16 parking area</t>
  </si>
  <si>
    <t>2225(approx)</t>
  </si>
  <si>
    <t>08.06.2018, sanction order No. Rent/10/SANCTION/2018-19 dated 29.06.2018 issued from F.No.924/08/Hiring/Audit Rajkot/HRD/18</t>
  </si>
  <si>
    <t>Financial adviser(Finance) and chairman, CBEC</t>
  </si>
  <si>
    <t>08.06.2021</t>
  </si>
  <si>
    <t>7,55,200/-</t>
  </si>
  <si>
    <t>Bengaluru South Commissionerate</t>
  </si>
  <si>
    <t>O/o The Commissioner of Central Tax, Bengaluru South, C R Building, Queen's Road, Bengaluru-01</t>
  </si>
  <si>
    <t>Other- Mutual understanding between depts.</t>
  </si>
  <si>
    <t xml:space="preserve">Owned by the Pr. Chief Commissioner of Income Tax. </t>
  </si>
  <si>
    <t>C R Building, Annex, Queen's Road, Bengaluru-01</t>
  </si>
  <si>
    <t>O/o The Commissioner of Central Tax, , annexe Building, Queen's Road, Bengaluru-01</t>
  </si>
  <si>
    <t>Owned by the Pr. Chief Commissioner of Income Tax</t>
  </si>
  <si>
    <t>C R Building, , Queen's Road, Bengaluru-01</t>
  </si>
  <si>
    <t>O/o The Commissioner of Central Tax, , C R Building, Queen's Road, Bengaluru-01</t>
  </si>
  <si>
    <t>Mysuru GST Commissionerate, 5 Divisions with Ranges, Mysuru Audit Commissionerate, Mysuru Appeals Commissionerate, Customs EPC Cell  &amp; PAO Office</t>
  </si>
  <si>
    <t>Hassan Division Office and 3 Range offices</t>
  </si>
  <si>
    <t>2 Range Offices</t>
  </si>
  <si>
    <t xml:space="preserve">Sivamogga Division and </t>
  </si>
  <si>
    <t>O/o the Chief Commissioner, CGST, Bhopal Zone</t>
  </si>
  <si>
    <t>29.99 lacs</t>
  </si>
  <si>
    <t>S. No. 1</t>
  </si>
  <si>
    <t>O/o the Chief Commissioner, CGST, Bhopal Zone and CGST, Bhopal Commissionerate functioning from this building.</t>
  </si>
  <si>
    <t xml:space="preserve">O/o the Pr. Commissioner, CGST, Bhopal </t>
  </si>
  <si>
    <t>Block No. 2, Paryawas Bhawan, Arera Hills, Bhopal</t>
  </si>
  <si>
    <t>4 Divisional office of CGST, Bhopal Commissionerate</t>
  </si>
  <si>
    <t>1.90 Cr.</t>
  </si>
  <si>
    <t>Building purchase from M.P. Housing Board, Bhopal</t>
  </si>
  <si>
    <t>Sagar-Division, CGST, Bhopal</t>
  </si>
  <si>
    <t>Sl. No. 1</t>
  </si>
  <si>
    <t>Audit Bhopal(Hqrs.) &amp; Circle (I  &amp; II)</t>
  </si>
  <si>
    <t>Not applicatble</t>
  </si>
  <si>
    <t>Hq and 02 Divisions</t>
  </si>
  <si>
    <t>Divisional Office</t>
  </si>
  <si>
    <t>Range Office</t>
  </si>
  <si>
    <t>Div-I,II,III</t>
  </si>
  <si>
    <t>O/o the Commissioner, CGST &amp; Central Excise,  Manik Bagh Palace</t>
  </si>
  <si>
    <t xml:space="preserve">O/o the DC/AC, CGST &amp; Central Excise Division Dewas </t>
  </si>
  <si>
    <t>Office of the Commissioner, CGST &amp; CEX Hqrs., Jabalpur</t>
  </si>
  <si>
    <t>CGST, Division - Rewa</t>
  </si>
  <si>
    <t>CGST, Range - I, Rewa</t>
  </si>
  <si>
    <t>CGST, Range - II, Rewa</t>
  </si>
  <si>
    <t>Office of the Principal Commissioner, CGST &amp; CE, GST Bhawan, Tikrapara, Dhamtari Road, Raipur (C.G.) 492001</t>
  </si>
  <si>
    <t>4.81 Crores</t>
  </si>
  <si>
    <t>Not assesed</t>
  </si>
  <si>
    <t>Property Tax ₹75000</t>
  </si>
  <si>
    <t>Office of the Assistant Commissioner, CGST and CE, Central Revenue Building, Civil Lines, Raipur 492001</t>
  </si>
  <si>
    <t>CGST Div-II and Div-III, Raipur</t>
  </si>
  <si>
    <t>Construction cost not available</t>
  </si>
  <si>
    <t>Office of Assistant Commissioner, CGST and CE Building, HUDCO, Bhilai (C.G.)</t>
  </si>
  <si>
    <t>CGST Div-I &amp; Div-II, Bhilai</t>
  </si>
  <si>
    <t>Office of Assistant Commissioner, CGST and CE Building, GST Bhawan, Vyapar Vihar,Bilaspur (C.G.)</t>
  </si>
  <si>
    <t>CGST Div- Bilaspur along with 3 Ranges-I/II/IV</t>
  </si>
  <si>
    <t>C R Building, Rajaswa Vihar, Bhubneswar, District- khurda, Pin - 751007.</t>
  </si>
  <si>
    <t>25.08.1989</t>
  </si>
  <si>
    <t>Annex Building, C R Building Complex, Rajaswa Vihar, Bhubneswar, District- khurda, Pin - 751007.</t>
  </si>
  <si>
    <t xml:space="preserve">GST &amp; Central Excise, BBSR. </t>
  </si>
  <si>
    <t>19.09.1987</t>
  </si>
  <si>
    <t>Rayagada Ashoka Talkies Road, Rayagad, Orissa</t>
  </si>
  <si>
    <t>Customs Commissionerate, (Paradeep Customs Division)</t>
  </si>
  <si>
    <t>Paradeep Customs Division</t>
  </si>
  <si>
    <t>Rourkela Commissionerate (O/o- the Asst. Commissioner, CX &amp; CGST, Sambalpur-I Dvn  under CX &amp; CGST, Rourkela Comm'te.)</t>
  </si>
  <si>
    <t>Central Excise &amp; CGST, Sambalpur-I and Central Excise &amp; CGST, Sambalpur-II Division</t>
  </si>
  <si>
    <t>..........</t>
  </si>
  <si>
    <t>.......</t>
  </si>
  <si>
    <t>......</t>
  </si>
  <si>
    <t>GST, Commissinerate, Chandigarh</t>
  </si>
  <si>
    <t>462.36 Cr.</t>
  </si>
  <si>
    <t>Annual  Property Tax     Rs. 1,93,939/- + Ground Rend Rs.2,00,471/-</t>
  </si>
  <si>
    <t>3130 Sq.Mtrs.</t>
  </si>
  <si>
    <t>1st Floor</t>
  </si>
  <si>
    <t>29.03.1999</t>
  </si>
  <si>
    <t xml:space="preserve">CGST DIVISION I/II PATIALA </t>
  </si>
  <si>
    <t>16.06.2014</t>
  </si>
  <si>
    <t>O/o the Commissioner, CGST &amp; Central Excise Commissionerate, Jammu</t>
  </si>
  <si>
    <t>1493 Square Metres</t>
  </si>
  <si>
    <t>Rs. 1130/- per Square Foot as per O/o DC, Jammu(J&amp;K Govt.) Notification No.DCJ/SQ/Stamp-Duty/2019-20/3531-69 dated 31-12-2019</t>
  </si>
  <si>
    <t>Out right purchase and constructed by CPWD</t>
  </si>
  <si>
    <t>14,11,75,740/-</t>
  </si>
  <si>
    <t>150,00,00,000 i.e Rs 14,400 per sqft.</t>
  </si>
  <si>
    <t>O/o the Pr. Commissioner of Central Excise,  6/7, A. T. D. Street, Race Course, Coimbatore - 641018.)</t>
  </si>
  <si>
    <t>The details have been sought from CPWD and the same will be furnished immediately on receipt</t>
  </si>
  <si>
    <t>O/o the Assistant Commissioner of Central Excise, Jothi Nagar 'D' Colony, Pollachi - 642001.</t>
  </si>
  <si>
    <t>No.1, Williams Road, Cantonment, Tiruchchirappalli-620001.</t>
  </si>
  <si>
    <t>9500 Sqr.Mtr.</t>
  </si>
  <si>
    <t>Construction cost of Office Building  Rs. 3.58 Crs.</t>
  </si>
  <si>
    <t>Rs.17.13 Crores + Rs. 1.14 crores = Total   Rs. 18.27 Crores</t>
  </si>
  <si>
    <t>Buildings are being maintained by CPWD from their fund</t>
  </si>
  <si>
    <t>Out of total land area of 12,827.30 Sq Mt maximum area of 9500 Sqr Mt is Utilised for construction of four storeyed building to house GST &amp; C.Ex Comm'te and various other Offices i.e GST &amp; C.EXComm'te Hqrs, Trichy, GST C.Ex Divisions I &amp; II, Trichy CC(P) , Trichy Customs Zone, Trichy Customs Comm'te, Customs Divn, Trichy, Customs Retail shop and Seized Goods Godown and Audit Circle, GST &amp; C Ex (Appeals) unit. Remaining area being utilised for CPWD Offices Gen Set Room, Society Office, Transit Guest House and 12 Quarters of Type- IV, V, and VI with play ground for children.park.</t>
  </si>
  <si>
    <t>Office of the Assistant Commissioner of GST &amp;Cex Division, Thanjavur-613 007</t>
  </si>
  <si>
    <t>374/2A Ponnagar, Medical College Road,Thanjavur-613 007</t>
  </si>
  <si>
    <t xml:space="preserve"> Construction cost of Office Building  Rs.1.52 Crores</t>
  </si>
  <si>
    <t>Rs. 2.06 crores</t>
  </si>
  <si>
    <t>Utilised fully to house the Divisional Office Two  Range Offices, Guest House and also Residential Quarters within the same premises.</t>
  </si>
  <si>
    <t>No. 1 Goubert avenue, beach Road, Puducherry</t>
  </si>
  <si>
    <t>Commissioner's block</t>
  </si>
  <si>
    <t>No. 1 Goubert avenue, beach Road, Puducherry)</t>
  </si>
  <si>
    <t>Annexe Building</t>
  </si>
  <si>
    <t>Constructed during 1998</t>
  </si>
  <si>
    <t xml:space="preserve"> 1966 (since Independence). </t>
  </si>
  <si>
    <t>O/o the Commissioner of GST &amp; Central Excise</t>
  </si>
  <si>
    <t>O/o the Assistant Commissioner</t>
  </si>
  <si>
    <t>…..</t>
  </si>
  <si>
    <t>O/o the DC/AC GST &amp; Central Excise</t>
  </si>
  <si>
    <t>O/o the Superintendent of Central Excise,</t>
  </si>
  <si>
    <t>Hqrs office sub-commissionerate</t>
  </si>
  <si>
    <t>02.03.2006</t>
  </si>
  <si>
    <t>Divisional office Rajapalayam Range-I, Range-II and Srivilliputhur Range</t>
  </si>
  <si>
    <t>O/o The Commissioner of GST &amp; C.Ex, Salem Commissionerate</t>
  </si>
  <si>
    <t>4567 (Plinth area 5827)</t>
  </si>
  <si>
    <t>3.1938 crores</t>
  </si>
  <si>
    <t>constructed by CPWD</t>
  </si>
  <si>
    <t>Erode II Dn/Erode I Divn./Komarapalayam Range/Pallipalayam Range/Erode I / II/III Ranges</t>
  </si>
  <si>
    <t>1777 Sq. Mtrs (Ground Floor + 2 Floors)</t>
  </si>
  <si>
    <t xml:space="preserve"> Thally Road, Hosur-635 109, Krishnagiri district</t>
  </si>
  <si>
    <t>Hosur I Division</t>
  </si>
  <si>
    <t>1562 Sq.m.</t>
  </si>
  <si>
    <t>Office of the Assistant Commissionr of GST and Central Excise, Hosur II Division</t>
  </si>
  <si>
    <t>R-40, A1, 100 FEET ROAD, MOGAPPAIR EAST, CHENNAI - 37.</t>
  </si>
  <si>
    <t xml:space="preserve">Gummidipoondi division and Ponneri division, chennai outer commissionerate and Ambattur division, Chennai north commissionerate </t>
  </si>
  <si>
    <t>Purchased from TNHB on 03.09.2003</t>
  </si>
  <si>
    <t>30091 sqft as per TNHB.  Guideline value as per tamilnadu government is Rs.5500/- per sqft.  Total cost is  Approximately 16.55 Crores</t>
  </si>
  <si>
    <t>Approximately Rs. 47 lakhs is spent per year on security and external maintenance of this building, of which 63% is paid by this Dept. and the rest 37% is paid by the EPFO, ambattur who is a co-owner in this building.</t>
  </si>
  <si>
    <t>TNHB</t>
  </si>
  <si>
    <t xml:space="preserve">Chennai Outer </t>
  </si>
  <si>
    <t>Central Revenue Building , Barracks Maidan, Vellore -632001</t>
  </si>
  <si>
    <t>Assistant Commissioner of GST &amp; Central Excise ,Central Revenue Building , Barracks Maidan, Vellore -632001</t>
  </si>
  <si>
    <t>1932X10.764=20796.048.sq,ft.xRs.103980.24(Value -Rs.5/- per sq.ft.in 1984)</t>
  </si>
  <si>
    <t>Purchased / Constructed by the Income Tax Department (Estate Officer)</t>
  </si>
  <si>
    <t>Poramboke Land allotted to Income Tax Department (Estate Officer). No value fixed.</t>
  </si>
  <si>
    <t>No charges are being paid</t>
  </si>
  <si>
    <t>Allotted by Income Tax Department (being Estate Officer)</t>
  </si>
  <si>
    <t>430 SqM</t>
  </si>
  <si>
    <t>23,01,377.00</t>
  </si>
  <si>
    <t xml:space="preserve">Annexue Building construction cost borne by Central Excise Department </t>
  </si>
  <si>
    <t>1188 Sq. Mtrs.</t>
  </si>
  <si>
    <t xml:space="preserve">05.10.1994      </t>
  </si>
  <si>
    <t>Not applicable</t>
  </si>
  <si>
    <t>____</t>
  </si>
  <si>
    <t>C.R. Building, I.P.Estate, New Delhi</t>
  </si>
  <si>
    <t>1.Delhi North
2. Delhi East
3.Audit-I
4.Appeal-I
5.DGTS
6.DG Audit
7. DGOV
8.DG Systems</t>
  </si>
  <si>
    <t>CGST Delhi West Likely to be shited</t>
  </si>
  <si>
    <t>Land cost 2.54 Cr end Construction cost 32.82 Cr</t>
  </si>
  <si>
    <t>2,91,96,941/- paid for compsition fees and ground rent</t>
  </si>
  <si>
    <t>Vacant land allotted by DDA to Income Tax Deptt and thereafter IT Deptt transferred the same to Central Excise Delhi, now CGST Delhi South. Vide D.O  letter of worthy Chief Commissioner GST No. CGST(DZ) CCO/Admn/124/2019 dated 20.05.19 has conveyed that CGST Delhi West which has jurisdiction over the areas to be shifted.</t>
  </si>
  <si>
    <t>GST BHAVAN</t>
  </si>
  <si>
    <t>32.93 (Composite rate of builtup area</t>
  </si>
  <si>
    <t>Maintained by CPWD where in charges submitted vide Preliminary Estimates for each year is not same. For the FY 2020-21 maintenance charges are Rs.68,03,000/-.</t>
  </si>
  <si>
    <t>CGST &amp; CX DIV-D, E, F, G, H &amp; I, JAIPUR</t>
  </si>
  <si>
    <t>05.04.2000</t>
  </si>
  <si>
    <t>Rajasthan Housing Board Complex, Gol Market, Jawahar Nagar, Jaipur- 302004</t>
  </si>
  <si>
    <t>Vacant</t>
  </si>
  <si>
    <t>19.04.1997</t>
  </si>
  <si>
    <t>Two showrooms were purchased from Rajasthan Housing Board for office use. Land is not purchased. Therefore, the entry is not made in Annexure A2. Moreover, a proposal for auction of these two showrooms has been sent to the DGHRD on 04.11.2019.</t>
  </si>
  <si>
    <t>CGST HQ, Udaipur</t>
  </si>
  <si>
    <t>Government Buiding</t>
  </si>
  <si>
    <t>Total area is 2019.46 Sqmr.</t>
  </si>
  <si>
    <t>CGST Div-H, I and Audit Circle  Kota</t>
  </si>
  <si>
    <t>The value petains to whole Central Revenue Building</t>
  </si>
  <si>
    <t>CGST Div-E &amp; F Bhilwara</t>
  </si>
  <si>
    <t>Acquistion/Cosntruction Cost-0.31 (2595100 + 481739 = 307 6839) (Construction cost of office &amp; Residential Bldg+Boundry)</t>
  </si>
  <si>
    <t>* Under Construction</t>
  </si>
  <si>
    <t>* 19.12.2003</t>
  </si>
  <si>
    <t xml:space="preserve">*Building for Total built up area 1858 is  under construction.             </t>
  </si>
  <si>
    <t>Office of Superintendent Range XXIII, XXIV,XXV, Bhilwara</t>
  </si>
  <si>
    <t>Acquistion/ Cosntruction Cost 0.46 (Construction cost of office &amp; Residential Building)</t>
  </si>
  <si>
    <t>CGST Division-D, Kankroli</t>
  </si>
  <si>
    <t>* 23.05.2002</t>
  </si>
  <si>
    <t>* 18.03.1996</t>
  </si>
  <si>
    <t>Alloted by CPWD</t>
  </si>
  <si>
    <t>CGST, DIV- G, Chittorgarh</t>
  </si>
  <si>
    <t>CGST-Range XXX &amp; XXXI DIV-G Chittorgarh</t>
  </si>
  <si>
    <t>O/o the Commissioner, CGST &amp; CX, Alwar</t>
  </si>
  <si>
    <t>23.03.2005</t>
  </si>
  <si>
    <t>1.99  Cr.</t>
  </si>
  <si>
    <t>3,29,40,069 approx</t>
  </si>
  <si>
    <t>O/o Dy./ Asstt.Commr, CGST Div.-C and Office of the Supdt, Range-XII</t>
  </si>
  <si>
    <t>02.01.2002</t>
  </si>
  <si>
    <t>Alloted by MoHUA</t>
  </si>
  <si>
    <t>O/o Supdt., Range-XI,XIII,XIV,XV</t>
  </si>
  <si>
    <t>2,69,84,73.8</t>
  </si>
  <si>
    <t>CGST Division E, Behror</t>
  </si>
  <si>
    <t>04.04.2003</t>
  </si>
  <si>
    <t>69,48,300 (Office Building along with a guest house of 2 Nos. of suits and 4 Nos. of staff quarters (Type-I-01 &amp;Type-III-3)</t>
  </si>
  <si>
    <t>12000 sq. m.</t>
  </si>
  <si>
    <t>CGST Range- XXV &amp; XXVI &amp; Div.-F (HQ), Bharatpur</t>
  </si>
  <si>
    <t>O/o Dy./ Asstt.Commr, CGST Div.-F and O/o Supdt, Range-XV &amp; XVI</t>
  </si>
  <si>
    <t>27.12.1999</t>
  </si>
  <si>
    <t>27.12.1999 (Hand over by CPWD)</t>
  </si>
  <si>
    <t>587776/-</t>
  </si>
  <si>
    <t>72644934 (as per curent commercial DLC rate)</t>
  </si>
  <si>
    <t>Sikar</t>
  </si>
  <si>
    <t>G. Floor- 506.28
1st floor- 542.42
2nd Floor- 501.44</t>
  </si>
  <si>
    <t>01.06.2010</t>
  </si>
  <si>
    <t xml:space="preserve">Ambaji Ind., Area Abu Road PIN-307 026     Distt. Sirohi (Rajasthan) </t>
  </si>
  <si>
    <t>16.05.1987</t>
  </si>
  <si>
    <t xml:space="preserve">Office of the Supdt., CGST Range-XIV, Gotan, Tehsil Merta, Distt. Nagaur        </t>
  </si>
  <si>
    <t>09.07.2001</t>
  </si>
  <si>
    <t>Central Revenue Building, opposite Head Post Office.Sriganganagar-</t>
  </si>
  <si>
    <t>Office of the Supdt., CGST  Range-XXXII, XXXIII &amp; XXXIV, Sriganganagar are functioning from this office.</t>
  </si>
  <si>
    <t>This Deptt. has about 640 Sq. Mtrs. area in possession</t>
  </si>
  <si>
    <t>Constructed Office Building shared with Income Tax Deptt. Custodian of the Land &amp; Building is Income Tax Dept.(This Deptt. has about 640 Sq. Mtrs. area in possession.)</t>
  </si>
  <si>
    <t>CGST Divisions-IV, V &amp; VI and Ranges -16 to 30, Noida.</t>
  </si>
  <si>
    <t>220 Sq. mtrs. (Approx)</t>
  </si>
  <si>
    <t>Year-2001</t>
  </si>
  <si>
    <t>Could not asertained from state authority</t>
  </si>
  <si>
    <t>No fixed charge paid</t>
  </si>
  <si>
    <t>Office of the Superintendent Range Bulandshahr</t>
  </si>
  <si>
    <t>Rs.19500/-</t>
  </si>
  <si>
    <t>CGST Commissionerate Dehradun</t>
  </si>
  <si>
    <t>E-Block, Nehru Colony, Haridwar Road, Dehradun, Uttarakhand</t>
  </si>
  <si>
    <t>HQrs Dehradun</t>
  </si>
  <si>
    <t>Year 2000</t>
  </si>
  <si>
    <t>Rs. 24000 per sq mtr</t>
  </si>
  <si>
    <t xml:space="preserve">Kendriye GST Bhawan, Mishra Kunj, Near LIC Office,Kathgodam, Uttarakhand       </t>
  </si>
  <si>
    <t>Haldwani Division along with its range-I and II, CGST Audit circle and CGST AE-II Dehradun</t>
  </si>
  <si>
    <t xml:space="preserve">Rs. 27780 per sqr mtr. as per ammended circle rate of Distt. NTL vide Order/Circular C.No. 1533//2- स्टाम्प/संशोधित मूल्यांकन- 2016-2017 (सर्किल रेट)   of Office of District Magistrate, Nainital w.e.f. 16.08.2016. </t>
  </si>
  <si>
    <t>No manitenance charges are being paid as on date from Division office, However Horticulture maintenance expences are being paid to the concerned department by CGST, HQ Office.</t>
  </si>
  <si>
    <t>Roorkee Division along with Ranges I, II, III, IV &amp; V</t>
  </si>
  <si>
    <t>08.09.2000</t>
  </si>
  <si>
    <t>CPWD</t>
  </si>
  <si>
    <t>CGST Commissionerate Dehradun, CGST Division Rishikesh</t>
  </si>
  <si>
    <t>124-129, Avas Vikas Colony, Veerbhadra Marg, Rishikesh, Uttarakhand</t>
  </si>
  <si>
    <t>Rishikesh along with range II, III, IV, V &amp;VI</t>
  </si>
  <si>
    <t>Year 1997</t>
  </si>
  <si>
    <t>1.78 (Book value of asset as on 30.04.2016)</t>
  </si>
  <si>
    <t>Near LIC Office, Gangapur, Avas vikas, Civil Lines, Rampur-244901</t>
  </si>
  <si>
    <t>CGST Division Rudrapur</t>
  </si>
  <si>
    <t>Rs. 20,000/- per sq. mtr (as on 09/2017)</t>
  </si>
  <si>
    <t>Avas Vikas Colony, Circular Road, Muzaffar Nagar-251001</t>
  </si>
  <si>
    <t>Centrl GST, Division-I/II, MZN</t>
  </si>
  <si>
    <t>Office Building of CGST Division-I/II, Muzaffarnagar</t>
  </si>
  <si>
    <t>Range-Khatauli, CGST, Div.-I, MZN</t>
  </si>
  <si>
    <t>Khatauli Rang Office Building under CGST Division-I/II, Muzaffarnagar</t>
  </si>
  <si>
    <t>Avas Vikas Colony, Near Hari Mandir, Delhi road, Saharanpur, U.P.-247001</t>
  </si>
  <si>
    <t>Office of the Assistant Commissioner, Central Goods and Services Tax, Division-Saharanpur</t>
  </si>
  <si>
    <t>117000 per Sq. metre</t>
  </si>
  <si>
    <t>Rs.991117/- per year towards service charges to Nagar Nigam Saharanpur</t>
  </si>
  <si>
    <t>Mangal Pandey Nagar, Opposite CCS University, Meerut</t>
  </si>
  <si>
    <t>36000/-per sq. metre</t>
  </si>
  <si>
    <t>Office of the Assistant Commissioner CGST Div.-I/II, Meerut Near CCS University, Meerut</t>
  </si>
  <si>
    <t>Office of the Dy. Commissioner,CGST Div.-Moradabad,Budhi Vihar, Near LIC office,Moradabad.</t>
  </si>
  <si>
    <t>CGST, Div.-Moradabad</t>
  </si>
  <si>
    <t>Office of the Commissioner, CGST &amp; C.Ex, Raigad</t>
  </si>
  <si>
    <t>Departmental owned Building</t>
  </si>
  <si>
    <t>Division -III Range III to Range VI (VT0303 to VT 0306) CGST CX Raigad Commissionerate</t>
  </si>
  <si>
    <t>1035/-</t>
  </si>
  <si>
    <t>CGST &amp; C.Ex., Thane</t>
  </si>
  <si>
    <t>B-91,Wagle Industrial Area, Road No-22, Thane (W)</t>
  </si>
  <si>
    <t>1. Division I to IV and VI of CGST &amp; C.Ex., Thane
2. Audit Groups of CGST &amp; C.Ex. (Audit) Thane
3. PAO, CGST &amp; C.Ex., Thane</t>
  </si>
  <si>
    <t>01.07.1982</t>
  </si>
  <si>
    <t>Taken possession from CPWD on 15.05.1986</t>
  </si>
  <si>
    <t>Taken on lease from CPWD</t>
  </si>
  <si>
    <t>Thane Rural Commissionerate</t>
  </si>
  <si>
    <t>3rd &amp; 4th Floor, Vardan Trade Centre, M.I.D.C., Wagle Industrial Estate, Thane (West)-400604.</t>
  </si>
  <si>
    <t>Office of the Dy. Commissioner of CGST &amp; C. Ex., Div. II, IV, V &amp; VI</t>
  </si>
  <si>
    <t xml:space="preserve">      ---</t>
  </si>
  <si>
    <t xml:space="preserve"> ---</t>
  </si>
  <si>
    <t xml:space="preserve">  ---</t>
  </si>
  <si>
    <t>New C.Ex. Building, 115, M K Road, Opposite Churchgate Station, Mumbai-400 020</t>
  </si>
  <si>
    <t>1) Office of the Pr. Chief Commissioner of CGST &amp; C EX, Mumbai Zone and 
2) Office of the Commissioner of CGST &amp; C.Ex. Mumbai Central Commissionerate</t>
  </si>
  <si>
    <t>Total built up area 3015 (in sq. mtrs.)</t>
  </si>
  <si>
    <t>S. No. 21  of entry   in Annexure A2</t>
  </si>
  <si>
    <t xml:space="preserve">This Bldg. was constructed by CPWD Renovation of Churchgate bldg. </t>
  </si>
  <si>
    <t>7566 Sq. Mtr</t>
  </si>
  <si>
    <t>10.10.1988 (date of Acquisition)</t>
  </si>
  <si>
    <t>Ministry vide their letter F.No. 201/13/85/VII(EC)MFDR, New Delhi conveyed A/S &amp; E/S at estimated cost of Rs. 1.27 Crores</t>
  </si>
  <si>
    <t>Nagpur - II</t>
  </si>
  <si>
    <t>Central Excise Bhawan, V.M.V. Road, Navsari Amravati - 444604</t>
  </si>
  <si>
    <t>Office of the Assistance Commissioner, Division Amravati</t>
  </si>
  <si>
    <t>14278.5 Sq. Feet. (1327 Sq. Mtr.)</t>
  </si>
  <si>
    <t>14 Dec. 1998 (Date of Acquisition)</t>
  </si>
  <si>
    <t>2.33  Crore</t>
  </si>
  <si>
    <t>(Approx)12.54 crore(including Residential Building)</t>
  </si>
  <si>
    <t>Utilized fully</t>
  </si>
  <si>
    <t>Total sanction of expenditure for office building and 22 residential accomdation Rs. 2,31 Crores vide F.No. 202/29/96-Ad-VIII(EC) dt, 25.10.96.</t>
  </si>
  <si>
    <t>6013.67 Sq mts (Plot Area)    5516.21 Sq Mtr( Built up area)</t>
  </si>
  <si>
    <t>25.05.2016</t>
  </si>
  <si>
    <t>Plot (CIDCO) Rs.1.26 Cr Construction cost- Rs.13.97 Cr</t>
  </si>
  <si>
    <t>15.97 Cr</t>
  </si>
  <si>
    <t>Service Charges payable to Municipal Corporation, Nashik</t>
  </si>
  <si>
    <t>E.No. 1</t>
  </si>
  <si>
    <t>Issue of Addl Lease Premium payment of Rs.1.63 Cr is under correspondence with the DGHRD, N.Delhi.  Service Charges rate issue is under correspndence with Nashik Municipal Corpn.</t>
  </si>
  <si>
    <t>Main Building, N-5, Town Centre, CIDCO, Aurangabad</t>
  </si>
  <si>
    <t>Commissioner, Additional/ Joint Commissioners, Asstt/Deputy Commissioners  Supdt.s &amp; Inspr.s</t>
  </si>
  <si>
    <t>2.53 Cr</t>
  </si>
  <si>
    <t xml:space="preserve"> NA</t>
  </si>
  <si>
    <t>Annex Building, N-5, Town Centre, CIDCO, Aurangabad</t>
  </si>
  <si>
    <t>Asstt/Deputy Commissioners  Supdt.s &amp; Inspr.s</t>
  </si>
  <si>
    <t>Audit Nashik</t>
  </si>
  <si>
    <t xml:space="preserve">Total Area 5326. Sq Mtr( Built up area)..( 3550 Sq Mtrs Shared by Income Tax Deptt &amp; 1776 By GST Audit Commissionerate) </t>
  </si>
  <si>
    <t>28.03.1985</t>
  </si>
  <si>
    <t xml:space="preserve"> Construction cost- Rs.00.41 Cr</t>
  </si>
  <si>
    <t>9.00 Cr</t>
  </si>
  <si>
    <t>Talegaon,Piompri, Chakan, Bhosari Division and Audit Circule</t>
  </si>
  <si>
    <t>i) Office of The Superintendent - Range - V</t>
  </si>
  <si>
    <t>96.9 Sq.Mts</t>
  </si>
  <si>
    <t>Proposal of construction of new office building is approved. Work is in progress.</t>
  </si>
  <si>
    <t>Plot No : 3, Opp Kinara Hotel, Hotgi Road, Solapur              PIN : 413003</t>
  </si>
  <si>
    <t>1310.91 Sq.Mts</t>
  </si>
  <si>
    <t>36.71 Lakhs</t>
  </si>
  <si>
    <t>O/o the AC/DC, CGST, Division-I, P-11/14, Old MIDC, Satara</t>
  </si>
  <si>
    <t>O/o of the Supdt., CGST Range-IV, Jaysingpur,Tal. Shirol, Dist. Kolhapur</t>
  </si>
  <si>
    <t>O/o the AC/ DC, CGST, Division-III 228/229, 'E', Ward, Tarabai Park, Kolhapur - 416 001</t>
  </si>
  <si>
    <t>O/o the AC /DC, CGST, Division-IV, Sangli-Miraj Road, Miraj</t>
  </si>
  <si>
    <t>Office of the Commissioner, CGST, Goa.</t>
  </si>
  <si>
    <t>Dec,2003</t>
  </si>
  <si>
    <t>to be ascertained</t>
  </si>
  <si>
    <t>Built up area include area of 8 Nos of  floor</t>
  </si>
  <si>
    <t>Customs and GST Museum</t>
  </si>
  <si>
    <t>taken over during Portugese Regime</t>
  </si>
  <si>
    <t>Old check post</t>
  </si>
  <si>
    <t>Inspector of Customs,Jaigad</t>
  </si>
  <si>
    <t>Inspector of Customs,Mandavi</t>
  </si>
  <si>
    <t>Inspector of Customs,Jaitapur</t>
  </si>
  <si>
    <t>Inspector of Customs, Vijaydurg</t>
  </si>
  <si>
    <t>Superintendent of Customs</t>
  </si>
  <si>
    <t>Deputy Commissioner</t>
  </si>
  <si>
    <t>Inspector of Customs</t>
  </si>
  <si>
    <t>Customs House, Marmagoa, 403803, Goa</t>
  </si>
  <si>
    <t>Customs</t>
  </si>
  <si>
    <t>Acquired from Portuguese</t>
  </si>
  <si>
    <t>Glass House, Mormogao, South Goa, 403803</t>
  </si>
  <si>
    <t>New Guard Room, MRMUGAO Harbour</t>
  </si>
  <si>
    <t>Customs Marin Department</t>
  </si>
  <si>
    <t>Customs Outpost Khol</t>
  </si>
  <si>
    <t>Betul Customs House, Betul , Quepem, south Goa</t>
  </si>
  <si>
    <t>Talpona Customs House, Cancona</t>
  </si>
  <si>
    <t>CGST &amp; CX, Patna-I Commissionerate</t>
  </si>
  <si>
    <t>Central Revenue Building (Annexe), Birchand Patel Path, Patna</t>
  </si>
  <si>
    <t>1988 Year of Construcation</t>
  </si>
  <si>
    <t>1.95 Construcation Cost</t>
  </si>
  <si>
    <t>CGST  &amp; CX Patna-II  Commissionerate</t>
  </si>
  <si>
    <t>2.25 crores</t>
  </si>
  <si>
    <t>Dak Bunglo Road Hajipur-</t>
  </si>
  <si>
    <t>CGST Vaishali Division, Customs (P) Circle Hajipur Hajipur</t>
  </si>
  <si>
    <t>15.12.2000</t>
  </si>
  <si>
    <t>Chhapra</t>
  </si>
  <si>
    <t>CGST and C. Ex. Range office Chhapra</t>
  </si>
  <si>
    <t>04.01.2002</t>
  </si>
  <si>
    <t>CGST &amp; CX       (Audit), Patna</t>
  </si>
  <si>
    <t xml:space="preserve"> 4th Floor of the  C.R. Building (Annexe), B.C.Path, Patna-800001</t>
  </si>
  <si>
    <t>The Hqrs. Of the CGST &amp; CX (Audit), Commissionerate, Patna</t>
  </si>
  <si>
    <t>Customs, CGST &amp; CX (Appeal), Patna</t>
  </si>
  <si>
    <t>2nd Floor of the of the C.R. Building (Annexe), B.C.Path, Patna-80001</t>
  </si>
  <si>
    <t>Customs, CGST &amp; CX Appeal  Commissionerate Hqrs., Patna</t>
  </si>
  <si>
    <t>CGST &amp; CX      Ranchi Commissionerate</t>
  </si>
  <si>
    <t>C.R.Building,5A Main Road, Ranchi</t>
  </si>
  <si>
    <t>CGST HQ Ranchi</t>
  </si>
  <si>
    <t>The C.R. Building was construted by CPWD</t>
  </si>
  <si>
    <t xml:space="preserve">Dhanbad North Division </t>
  </si>
  <si>
    <t>Book value of Assets as on 30.04.2016 (Rs.in crores) is 1.58</t>
  </si>
  <si>
    <t>Cenrtal Excise BuildingSec-IV,B.S.City-4</t>
  </si>
  <si>
    <t>21.10.1998</t>
  </si>
  <si>
    <t xml:space="preserve">       -</t>
  </si>
  <si>
    <t xml:space="preserve">      -</t>
  </si>
  <si>
    <t>CGST &amp; CX  Jamshedpur Commissionerate</t>
  </si>
  <si>
    <t>12.02.2016</t>
  </si>
  <si>
    <t>18.63 Croes</t>
  </si>
  <si>
    <t>CGST &amp; CX  (Audit),  Ranchi</t>
  </si>
  <si>
    <t>Outer Circle road, Bistupur, Jamshedpur</t>
  </si>
  <si>
    <t>CGST &amp; CX, Audit Circle- Jamshedpur</t>
  </si>
  <si>
    <t xml:space="preserve">                                                                                                                  Alloctaed by CGST &amp;CX,  Executive Commissionerate, Jamshedpur</t>
  </si>
  <si>
    <t>Chief Commissioner Office</t>
  </si>
  <si>
    <t xml:space="preserve">C.R.Building, I.S.Press Road, Kochi-682 018, Ernakulam </t>
  </si>
  <si>
    <t>O/o the Chief Commissioner of CT, CX &amp; Customs, TVM Zone</t>
  </si>
  <si>
    <t>15.01.1989</t>
  </si>
  <si>
    <t>CPWD Maintenance Charges Rs. 12,00,000/-</t>
  </si>
  <si>
    <t xml:space="preserve">Building shared &amp; alloted by Income Tax Department </t>
  </si>
  <si>
    <t>CGST &amp; CX. Hqrs. Kochi Commissionerate</t>
  </si>
  <si>
    <t xml:space="preserve">O/o the Pr. Commissioner of CGST &amp; CX, Hqrs. Office, Kochi Commissionerate </t>
  </si>
  <si>
    <t>CGST &amp; CX Audit Commissionerate, TVM Zone</t>
  </si>
  <si>
    <t xml:space="preserve">O/o the Commissioner of CT &amp; CX (Audit), TVM Zone </t>
  </si>
  <si>
    <t>Central Excise Bhavan, Kathrikkadavu, Kochi- 682 017</t>
  </si>
  <si>
    <t>O/o the Assistant Commissioner of CGST &amp; CX, Ernakulam (EKM) Division</t>
  </si>
  <si>
    <t>CPWD Maintenance Charges Rs. 10,65,750/-</t>
  </si>
  <si>
    <t xml:space="preserve">Central Excise Bhavan is a  six storied office building occupies four offices viz., DGGI (2 floors), EKM Divn. (2 floors), KKD Divn (1 floor) &amp; Audit Circles (1 floor) </t>
  </si>
  <si>
    <t>O/o the Assistant Commissioner of CGST &amp; CX, Kakkanad (KKD) Division</t>
  </si>
  <si>
    <t>CGST Thrissur Division,
CPD Thrissur</t>
  </si>
  <si>
    <t>CGST Guruvayur Range
CPD Chavakad</t>
  </si>
  <si>
    <t>28.07.2003</t>
  </si>
  <si>
    <t>GST Bhavan, Press Club Road, Statue, Thiruvananthapuram-695001.</t>
  </si>
  <si>
    <t>1. CGST &amp; C.Ex. Hqrs. Office.
2. CGST &amp; C.Ex. North Divn., Tvpm.
3. CGST &amp; C.Ex. Pattom Range
4. CGST &amp; C.Ex. Veli Range
5. Audit Circle, Tvpm.
6. Customs Prev. Division, Tvpm.</t>
  </si>
  <si>
    <t>3713 Sq.Mtr.</t>
  </si>
  <si>
    <t>4.21 Crores</t>
  </si>
  <si>
    <t>08.09.1986</t>
  </si>
  <si>
    <t>Calicut Hqrs Office, Audit Circle VIII, Customs preventive Division, Pay and Accounts Office</t>
  </si>
  <si>
    <t>15.05.2008</t>
  </si>
  <si>
    <t>22.10.2000</t>
  </si>
  <si>
    <t>12.01.1996</t>
  </si>
  <si>
    <t>April, 1872</t>
  </si>
  <si>
    <t>Thalassery-Central Excise &amp; Customs Building, Customs Road, Thalassery, Kannur Dist. 670101</t>
  </si>
  <si>
    <t>351.52 SQM</t>
  </si>
  <si>
    <t>Pulikunnu, Kasaragod - 671 121</t>
  </si>
  <si>
    <t xml:space="preserve"> 462.52 sq.metres   </t>
  </si>
  <si>
    <t>22.03.1997</t>
  </si>
  <si>
    <t>0.47 Crores including 8 residential quarters</t>
  </si>
  <si>
    <t>Office of the Commissioner of Customs, Willingdon Island, Cochin -682009</t>
  </si>
  <si>
    <t>Office of the Commissioner of Customs</t>
  </si>
  <si>
    <t xml:space="preserve">4409 sq m plinth area (two floors) </t>
  </si>
  <si>
    <t xml:space="preserve">Office of the Commissioner of Customs,  Annexe Building </t>
  </si>
  <si>
    <t>GST Bhavan, Central Excise &amp; Customs Office Building, Race Course Circle, Vadodara-390007</t>
  </si>
  <si>
    <t>Plot No 432  Central Ewxcise Building and Qtr. Near LIC Office, Pij Road Nadiad-387012</t>
  </si>
  <si>
    <t>Office of the Commissioner, CGST,Vadodara - II</t>
  </si>
  <si>
    <t>Office of the Assistant Commissioner, Div. VI &amp; VII,Vadodara - II</t>
  </si>
  <si>
    <t>Office of the Assistant Commissioner, Div. I, II &amp; III,Vadodara - II</t>
  </si>
  <si>
    <t>Office of the Assistant Commissioner, Div. VIII, IX &amp; X ,Vadodara - II</t>
  </si>
  <si>
    <t>Office of the Assistant Commissioner, Div. XI, Vadodara - II</t>
  </si>
  <si>
    <t>CENTRAL GST &amp; EXCISE, SURAT COMMISSIONERATE</t>
  </si>
  <si>
    <t xml:space="preserve">HQ </t>
  </si>
  <si>
    <t>Div.-I to Div.-V</t>
  </si>
  <si>
    <t>01.09.1927</t>
  </si>
  <si>
    <t>6.72 for Land    12.74 for Construction</t>
  </si>
  <si>
    <t>As per the record Building was handed over to CGST department by CPWD in 2019</t>
  </si>
  <si>
    <t>Umbergaon Range-I to VIII</t>
  </si>
  <si>
    <t>04.04.1985</t>
  </si>
  <si>
    <t>RCP Compound, Near Vapi overbridge, Vapi, District- Valsacl, Gujarat-396191</t>
  </si>
  <si>
    <t>Vapi Div-IX, X &amp; XI</t>
  </si>
  <si>
    <t xml:space="preserve">Date of shifting 06.08.2020, as per TRADE NOTICE NO. 03 /2020 dated 06.08.2020 </t>
  </si>
  <si>
    <t>Daman CGST &amp; CE Commissionerate</t>
  </si>
  <si>
    <t>R.S. No. 556 &amp; 237, RCP Compound, Vapi</t>
  </si>
  <si>
    <t>HQ, Daman CGST &amp; CE Commissionerate, Division II to IV, Daman and Division-IX to XI of Surat GST &amp; CE Commissionerate.</t>
  </si>
  <si>
    <t>~4189 sq. mtrs.</t>
  </si>
  <si>
    <t>18.01.2020 (as reported by CPWD vide its letter dated 18.01.2020)</t>
  </si>
  <si>
    <t>22 Lakh for Lift Maintenance</t>
  </si>
  <si>
    <t>4781 sq mtrs</t>
  </si>
  <si>
    <t>2718 Sq Mtrs</t>
  </si>
  <si>
    <t>19.05.2014</t>
  </si>
  <si>
    <t>Not purchased, Constructed,  (The Office &amp; Quarters building constructed by CPWD on own land)</t>
  </si>
  <si>
    <t>Not purchses, Construction Cost Rs.10.25 Crores</t>
  </si>
  <si>
    <t>----------</t>
  </si>
  <si>
    <t>No, Constructed by CPWD on own land</t>
  </si>
  <si>
    <t>7.8.2006</t>
  </si>
  <si>
    <t xml:space="preserve">The said building has been constructed and handed over by CPWD vide letter No.23(13)/2006/VCSD-ii/644 , Dt.07.08.2006 </t>
  </si>
  <si>
    <t>Bheeminipaatnam Range of North GST Division</t>
  </si>
  <si>
    <r>
      <t>438.6 Sq. Mtrs    (</t>
    </r>
    <r>
      <rPr>
        <b/>
        <sz val="11"/>
        <rFont val="Times New Roman"/>
        <family val="1"/>
      </rPr>
      <t>4721</t>
    </r>
    <r>
      <rPr>
        <sz val="11"/>
        <rFont val="Times New Roman"/>
        <family val="1"/>
      </rPr>
      <t xml:space="preserve"> Sft /1 0.764) = 438.6 Sq. Mtrs)</t>
    </r>
  </si>
  <si>
    <t>Office of the Excise Wing, Income Tax Wing and Accounts Office</t>
  </si>
  <si>
    <t>7 crore</t>
  </si>
  <si>
    <t>N.R.Peta,Near Children's Park,Kurnool-518001</t>
  </si>
  <si>
    <t>Office of the Assistant Commissioner of Central Tax,Kurnool CGST Division</t>
  </si>
  <si>
    <t xml:space="preserve">Property Tax to be paid for the period from 01.04.2019 to 31.03.2020 totaling to an amount of Rs.3,06,434/- </t>
  </si>
  <si>
    <t>Office of Deputy/ Assistant Commisioner of CGST Division Anantapur</t>
  </si>
  <si>
    <t>July 2019 to November 2020</t>
  </si>
  <si>
    <t>Actual Cost will be known after completion of construction work.</t>
  </si>
  <si>
    <t>O/o The Pr. Commr. of Customs, Custom House, Vishakhapatnam</t>
  </si>
  <si>
    <t>Office of the Pr. Commissioner of Customs</t>
  </si>
  <si>
    <t>1984-86</t>
  </si>
  <si>
    <t>Kakinada Custom House</t>
  </si>
  <si>
    <t xml:space="preserve">  - </t>
  </si>
  <si>
    <t>99000 
per Sq. Mtr</t>
  </si>
  <si>
    <t>28000
per Sq. Mtr</t>
  </si>
  <si>
    <t>37900 
Sq.Ft.</t>
  </si>
  <si>
    <t>1000 
sq. mtrs</t>
  </si>
  <si>
    <t>The office had proposed the setting up of Canine Rock, vide letter F.NO 916/12/Const/zonal Members/HRD/17 DATED 25/10/2019. it was conveyed that the said proposal for setting up canine center at castle rock could not be considered. Further DGHRD has requested NACIN to examine whether they are interested in setting up Green customs Academy in castle rock.</t>
  </si>
  <si>
    <t>Unutilised and it is Fragile/frail condition</t>
  </si>
  <si>
    <t>land procured on 19.06.1997 central excise quarters are constructed on 07/03/2005. 
15 Type-1, 
15 Type-II,
30 Type-III, 
08 Type-IV, 
04 Type-V</t>
  </si>
  <si>
    <t>Building was alloted by CPWD</t>
  </si>
  <si>
    <t>17.10.1995 &amp;
20.10.1997</t>
  </si>
  <si>
    <t>28000 
per Sq. Mtr.</t>
  </si>
  <si>
    <t>Acquisition / Purchase Cost
(Rs.in crores)**</t>
  </si>
  <si>
    <t>Mode of ownership/ possession    
(free-hold/ lease hold/ allotted/other- to be specified)</t>
  </si>
  <si>
    <t>Mode of ownership/ possession 
(free-hold/ lease hold/ allotted/ other- to be specified)</t>
  </si>
  <si>
    <t>1310 (Office) 3319 
(Resi.)</t>
  </si>
  <si>
    <t>Total land Area 16146.957 Sqr. Mt.  utilised fully to house the Divisional Office and Two Range Offices  (Thanjavur I &amp; II Range) Guest House and also 31 Nos of Residenial Quarters within the same premises.</t>
  </si>
  <si>
    <t>4046.7 Sq.Mts.               
(1 Acre)</t>
  </si>
  <si>
    <t>3.71 
(Cost includes apartments also as flats were purchased outrightly)</t>
  </si>
  <si>
    <t>2.86
(Land Value only)</t>
  </si>
  <si>
    <r>
      <rPr>
        <b/>
        <sz val="11"/>
        <color indexed="8"/>
        <rFont val="Times New Roman"/>
        <family val="1"/>
      </rPr>
      <t>*</t>
    </r>
    <r>
      <rPr>
        <sz val="11"/>
        <color indexed="8"/>
        <rFont val="Times New Roman"/>
        <family val="1"/>
      </rPr>
      <t xml:space="preserve"> 0.31 Crores (2595100 + 481739 = 3076839)  (Construction cost of Office &amp; Residential Building + Boundry)</t>
    </r>
  </si>
  <si>
    <t>1684300/- (Cost of Office cum Residential quarters)</t>
  </si>
  <si>
    <t>1004 
(544 for Office Building and 460 for residential Quarter)</t>
  </si>
  <si>
    <t>700 
(520  for office building and 180 for residential quarter)</t>
  </si>
  <si>
    <t>805 
( 570 for office building and 235 for residential quarter)</t>
  </si>
  <si>
    <r>
      <t>(Central Excise Residential Pool), Plot No-5, L.T.Road ,</t>
    </r>
    <r>
      <rPr>
        <b/>
        <sz val="11"/>
        <color theme="1"/>
        <rFont val="Times New Roman"/>
        <family val="1"/>
      </rPr>
      <t>Gorai,</t>
    </r>
    <r>
      <rPr>
        <sz val="11"/>
        <color theme="1"/>
        <rFont val="Times New Roman"/>
        <family val="1"/>
      </rPr>
      <t xml:space="preserve"> Borivali (West) Mumbai -400092</t>
    </r>
  </si>
  <si>
    <r>
      <t xml:space="preserve">(Central Excise Residential Pool), Building No-26 (Plot No-H34) &amp; 27 (Plot No.-H33) , </t>
    </r>
    <r>
      <rPr>
        <b/>
        <sz val="11"/>
        <color theme="1"/>
        <rFont val="Times New Roman"/>
        <family val="1"/>
      </rPr>
      <t>Oshiwara</t>
    </r>
    <r>
      <rPr>
        <sz val="11"/>
        <color theme="1"/>
        <rFont val="Times New Roman"/>
        <family val="1"/>
      </rPr>
      <t>, New Link road, Jojeshwari (West) Mumbai 400053.</t>
    </r>
  </si>
  <si>
    <r>
      <t xml:space="preserve">(Central Excise Residential Pool), </t>
    </r>
    <r>
      <rPr>
        <b/>
        <sz val="11"/>
        <color theme="1"/>
        <rFont val="Times New Roman"/>
        <family val="1"/>
      </rPr>
      <t>MithChouky</t>
    </r>
    <r>
      <rPr>
        <sz val="11"/>
        <color theme="1"/>
        <rFont val="Times New Roman"/>
        <family val="1"/>
      </rPr>
      <t>, Malad (West), CST No. 303, Marve road, Mumbai 4000.64</t>
    </r>
  </si>
  <si>
    <r>
      <t xml:space="preserve">(Central Excise Residential Pool), Sector - VII, S.M. Plot,  </t>
    </r>
    <r>
      <rPr>
        <b/>
        <sz val="11"/>
        <color theme="1"/>
        <rFont val="Times New Roman"/>
        <family val="1"/>
      </rPr>
      <t>Antophill</t>
    </r>
    <r>
      <rPr>
        <sz val="11"/>
        <color theme="1"/>
        <rFont val="Times New Roman"/>
        <family val="1"/>
      </rPr>
      <t>, Mumbai -400037</t>
    </r>
  </si>
  <si>
    <r>
      <t>(Central Excise Residential Pool) Village Kanjur, (</t>
    </r>
    <r>
      <rPr>
        <b/>
        <sz val="11"/>
        <color theme="1"/>
        <rFont val="Times New Roman"/>
        <family val="1"/>
      </rPr>
      <t>Bhandup</t>
    </r>
    <r>
      <rPr>
        <sz val="11"/>
        <color theme="1"/>
        <rFont val="Times New Roman"/>
        <family val="1"/>
      </rPr>
      <t xml:space="preserve"> -East), Mumbai-</t>
    </r>
  </si>
  <si>
    <r>
      <t xml:space="preserve">(Central Excise Residential Pool) </t>
    </r>
    <r>
      <rPr>
        <b/>
        <sz val="11"/>
        <color theme="1"/>
        <rFont val="Times New Roman"/>
        <family val="1"/>
      </rPr>
      <t>Lloyds Estate</t>
    </r>
    <r>
      <rPr>
        <sz val="11"/>
        <color theme="1"/>
        <rFont val="Times New Roman"/>
        <family val="1"/>
      </rPr>
      <t xml:space="preserve"> , Sangam Nagar,Wadala (East) Mumbai 400037.</t>
    </r>
  </si>
  <si>
    <r>
      <t xml:space="preserve">(Central Excise Residential Pool) </t>
    </r>
    <r>
      <rPr>
        <b/>
        <sz val="11"/>
        <color theme="1"/>
        <rFont val="Times New Roman"/>
        <family val="1"/>
      </rPr>
      <t>Katrak road</t>
    </r>
    <r>
      <rPr>
        <sz val="11"/>
        <color theme="1"/>
        <rFont val="Times New Roman"/>
        <family val="1"/>
      </rPr>
      <t xml:space="preserve"> , Wadala (West) Mumbai 400031.</t>
    </r>
  </si>
  <si>
    <r>
      <t xml:space="preserve">(Central Excise Residential Pool) </t>
    </r>
    <r>
      <rPr>
        <b/>
        <sz val="11"/>
        <color theme="1"/>
        <rFont val="Times New Roman"/>
        <family val="1"/>
      </rPr>
      <t>Peddar road</t>
    </r>
    <r>
      <rPr>
        <sz val="11"/>
        <color theme="1"/>
        <rFont val="Times New Roman"/>
        <family val="1"/>
      </rPr>
      <t xml:space="preserve"> , Darbanga house, Mumbai 400026.</t>
    </r>
  </si>
  <si>
    <r>
      <t xml:space="preserve">(Central Excise Residential Pool) Kashi Mitha, </t>
    </r>
    <r>
      <rPr>
        <b/>
        <sz val="11"/>
        <color theme="1"/>
        <rFont val="Times New Roman"/>
        <family val="1"/>
      </rPr>
      <t>N D road</t>
    </r>
    <r>
      <rPr>
        <sz val="11"/>
        <color theme="1"/>
        <rFont val="Times New Roman"/>
        <family val="1"/>
      </rPr>
      <t xml:space="preserve"> , Malbar Hill,  Mumbai 400006.</t>
    </r>
  </si>
  <si>
    <r>
      <t xml:space="preserve">(Central Excise Residential Pool) Building no -9 &amp; 10, </t>
    </r>
    <r>
      <rPr>
        <b/>
        <sz val="11"/>
        <color theme="1"/>
        <rFont val="Times New Roman"/>
        <family val="1"/>
      </rPr>
      <t>MIG Bandra Colony</t>
    </r>
    <r>
      <rPr>
        <sz val="11"/>
        <color theme="1"/>
        <rFont val="Times New Roman"/>
        <family val="1"/>
      </rPr>
      <t>, Kher Nagar, Bandra,  Mumbai 400051.</t>
    </r>
  </si>
  <si>
    <r>
      <t xml:space="preserve">(Central Excise Residential Pool), </t>
    </r>
    <r>
      <rPr>
        <b/>
        <sz val="11"/>
        <color theme="1"/>
        <rFont val="Times New Roman"/>
        <family val="1"/>
      </rPr>
      <t>B K C</t>
    </r>
    <r>
      <rPr>
        <sz val="11"/>
        <color theme="1"/>
        <rFont val="Times New Roman"/>
        <family val="1"/>
      </rPr>
      <t xml:space="preserve"> ,  Plot-1, E-Blok, Bandra,  Mumbai 400051.</t>
    </r>
  </si>
  <si>
    <r>
      <t xml:space="preserve">(Central Excise Residential Pool), </t>
    </r>
    <r>
      <rPr>
        <b/>
        <sz val="11"/>
        <color theme="1"/>
        <rFont val="Times New Roman"/>
        <family val="1"/>
      </rPr>
      <t xml:space="preserve">Mhada Powai, </t>
    </r>
    <r>
      <rPr>
        <sz val="11"/>
        <color theme="1"/>
        <rFont val="Times New Roman"/>
        <family val="1"/>
      </rPr>
      <t>Mumbai 400076.</t>
    </r>
  </si>
  <si>
    <t>3895
(as per data from ascconline.com)</t>
  </si>
  <si>
    <t>(Central Excise Residential Pool), Plot No-5, L.T.Road ,Gorai, Borivali (West) Mumbai -400092</t>
  </si>
  <si>
    <t>(Central Excise Residential Pool), Building No-26 (Plot No-H34) &amp; 27 (Plot No.-H33) , Oshiwara, New Link road, Jojeshwari (West) Mumbai 400053.</t>
  </si>
  <si>
    <t>(Central Excise Residential Pool), MithChouky, Malad (West), CST No. 303, Marve road, Mumbai 4000.64</t>
  </si>
  <si>
    <t>(Central Excise Residential Pool), Sector - VII, S.M. Plot,  Antophill, Mumbai -400037</t>
  </si>
  <si>
    <t>(Central Excise Residential Pool) Village Kanjur, (Bhandup -East), Mumbai-</t>
  </si>
  <si>
    <t>(Central Excise Residential Pool) Lloyds Estate , Sangam Nagar,Wadala (East) Mumbai 400037.</t>
  </si>
  <si>
    <t>(Central Excise Residential Pool) Katrak road , Wadala (West) Mumbai 400031.</t>
  </si>
  <si>
    <t>(Central Excise Residential Pool) Peddar road , Darbanga house, Mumbai 400026.</t>
  </si>
  <si>
    <t>(Central Excise Residential Pool) Kashi Mitha, N D road , Malbar Hill,  Mumbai 400006.</t>
  </si>
  <si>
    <t>(Central Excise Residential Pool) Building no -9 &amp; 10, MIG Bandra Colony, Kher Nagar, Bandra,  Mumbai 400051.</t>
  </si>
  <si>
    <t>(Central Excise Residential Pool), B K C ,  Plot-1, E-Blok, Bandra,  Mumbai 400051.</t>
  </si>
  <si>
    <t>(Central Excise Residential Pool), Mhada Powai, Mumbai 400076.</t>
  </si>
  <si>
    <t>Mode of ownership/ possession 
(free-hold/ lease hold/ allotted/other- to be specified)</t>
  </si>
  <si>
    <r>
      <rPr>
        <b/>
        <sz val="11"/>
        <color theme="1"/>
        <rFont val="Times New Roman"/>
        <family val="1"/>
      </rPr>
      <t>S. No.  8</t>
    </r>
    <r>
      <rPr>
        <sz val="11"/>
        <color theme="1"/>
        <rFont val="Times New Roman"/>
        <family val="1"/>
      </rPr>
      <t xml:space="preserve"> of enrty  in  Ann.  C</t>
    </r>
  </si>
  <si>
    <r>
      <rPr>
        <b/>
        <sz val="11"/>
        <color theme="1"/>
        <rFont val="Times New Roman"/>
        <family val="1"/>
      </rPr>
      <t>S. No. 9</t>
    </r>
    <r>
      <rPr>
        <sz val="11"/>
        <color theme="1"/>
        <rFont val="Times New Roman"/>
        <family val="1"/>
      </rPr>
      <t xml:space="preserve"> of enrty  in  Ann.  C</t>
    </r>
  </si>
  <si>
    <r>
      <rPr>
        <b/>
        <sz val="11"/>
        <color theme="1"/>
        <rFont val="Times New Roman"/>
        <family val="1"/>
      </rPr>
      <t>S. No.  10</t>
    </r>
    <r>
      <rPr>
        <sz val="11"/>
        <color theme="1"/>
        <rFont val="Times New Roman"/>
        <family val="1"/>
      </rPr>
      <t xml:space="preserve"> of enrty  in  Ann.  C</t>
    </r>
  </si>
  <si>
    <t>Rs.21,350/-per Sq Mtr. 
(Total Cost Rs. 0.58 Cr)</t>
  </si>
  <si>
    <t>Outright  purchae of 4Type I,32 Type II and 14 Type III quarters from MHADA</t>
  </si>
  <si>
    <t>Outright  purchase of 36 Type I,8 typeIi and 5Type III quarters from CIDCO</t>
  </si>
  <si>
    <t>Privately purchased ready built flats.</t>
  </si>
  <si>
    <t>Ready built flats were purchased through Goa Housing Board.</t>
  </si>
  <si>
    <t>There is no court case/ litigation/ dispute/ encorhment</t>
  </si>
  <si>
    <t>Central GST &amp; CX,  Patna-II Commissionerate</t>
  </si>
  <si>
    <t>Central GST &amp; CX, Patna-II Commissionerate</t>
  </si>
  <si>
    <t>Central GST &amp; CX, Patna-I Commissionerate</t>
  </si>
  <si>
    <t>Swarnjyoti Coloney,Ranikudar, Jamshedpur, East Singhbhum,Jharkhand.  Pin- 831005</t>
  </si>
  <si>
    <t>Allotted by State</t>
  </si>
  <si>
    <t>A/A &amp; E/S of Rs. 106.59 Crs. was sanctioned  for construction of 228 residential quarters by the Ministry vide F.No.916/05/Cont./Cochin/HRD/2011 dated 12.01.2017</t>
  </si>
  <si>
    <t>Pulikunnu, Kasaragod     - 671 121</t>
  </si>
  <si>
    <t>Sy.No.584/3 &amp; 583/2,B.Camp,Kallur Village, Kurnool</t>
  </si>
  <si>
    <t>N.r.Peta, Near Children's Park,Kurnool-518001</t>
  </si>
  <si>
    <t>N.r.Peta, Near Children's Park, Kurnool-518001</t>
  </si>
  <si>
    <t>Alloted by State Governemnt</t>
  </si>
  <si>
    <t>30 year 01/04/1986</t>
  </si>
  <si>
    <t xml:space="preserve"> Urban Estate Phase-III Opp. All India Radio Stattion Patiala</t>
  </si>
  <si>
    <t>Meenambalpuram, Kulamangalam Main Road Madurai - 625 002</t>
  </si>
  <si>
    <t>Bda Colony Near Tibrinath Mandir Bareilly-243001</t>
  </si>
  <si>
    <t>Central Excise Colony, Behind Head Post Office, Rampur U.P.- 244901</t>
  </si>
  <si>
    <t>Could Not Ascertained From State Authority</t>
  </si>
  <si>
    <t>GST Bhawan, CR Building, Rampur, Garden Bareilly - 2430041</t>
  </si>
  <si>
    <t xml:space="preserve">Kendriye GST Bhawan, Mishra Kunj, Near LIC Office, Kathgodam, Uttarakhand    </t>
  </si>
  <si>
    <t>Bhiwandi Commissionerate</t>
  </si>
  <si>
    <t>GST(Audit) RAIGAD</t>
  </si>
  <si>
    <r>
      <rPr>
        <b/>
        <sz val="11"/>
        <color theme="1"/>
        <rFont val="Times New Roman"/>
        <family val="1"/>
      </rPr>
      <t>S. No.  21</t>
    </r>
    <r>
      <rPr>
        <sz val="11"/>
        <color theme="1"/>
        <rFont val="Times New Roman"/>
        <family val="1"/>
      </rPr>
      <t xml:space="preserve"> of enrty  in Ann. -A 3 &amp; Ann. C</t>
    </r>
  </si>
  <si>
    <r>
      <rPr>
        <b/>
        <sz val="11"/>
        <color theme="1"/>
        <rFont val="Times New Roman"/>
        <family val="1"/>
      </rPr>
      <t>S. No.  22</t>
    </r>
    <r>
      <rPr>
        <sz val="11"/>
        <color theme="1"/>
        <rFont val="Times New Roman"/>
        <family val="1"/>
      </rPr>
      <t xml:space="preserve"> of enrty  in Ann. -A 3 &amp; Ann. C</t>
    </r>
  </si>
  <si>
    <r>
      <rPr>
        <b/>
        <sz val="11"/>
        <color theme="1"/>
        <rFont val="Times New Roman"/>
        <family val="1"/>
      </rPr>
      <t>S. No.  23</t>
    </r>
    <r>
      <rPr>
        <sz val="11"/>
        <color theme="1"/>
        <rFont val="Times New Roman"/>
        <family val="1"/>
      </rPr>
      <t xml:space="preserve"> of enrty  in Ann. -A 3 &amp; Ann. C</t>
    </r>
  </si>
  <si>
    <r>
      <rPr>
        <b/>
        <sz val="11"/>
        <color theme="1"/>
        <rFont val="Times New Roman"/>
        <family val="1"/>
      </rPr>
      <t>S. No. 24</t>
    </r>
    <r>
      <rPr>
        <sz val="11"/>
        <color theme="1"/>
        <rFont val="Times New Roman"/>
        <family val="1"/>
      </rPr>
      <t xml:space="preserve"> of enrty  in Ann. -A 3 &amp; Ann. C</t>
    </r>
  </si>
  <si>
    <r>
      <rPr>
        <b/>
        <sz val="11"/>
        <color theme="1"/>
        <rFont val="Times New Roman"/>
        <family val="1"/>
      </rPr>
      <t>S. No.  25</t>
    </r>
    <r>
      <rPr>
        <sz val="11"/>
        <color theme="1"/>
        <rFont val="Times New Roman"/>
        <family val="1"/>
      </rPr>
      <t xml:space="preserve"> of enrty  in Ann. -A 3 &amp; Ann. C</t>
    </r>
  </si>
  <si>
    <r>
      <rPr>
        <b/>
        <sz val="11"/>
        <color theme="1"/>
        <rFont val="Times New Roman"/>
        <family val="1"/>
      </rPr>
      <t>S. No.  26</t>
    </r>
    <r>
      <rPr>
        <sz val="11"/>
        <color theme="1"/>
        <rFont val="Times New Roman"/>
        <family val="1"/>
      </rPr>
      <t xml:space="preserve"> of enrty  in Ann. -A 3 &amp; Ann. C</t>
    </r>
  </si>
  <si>
    <r>
      <rPr>
        <b/>
        <sz val="11"/>
        <color theme="1"/>
        <rFont val="Times New Roman"/>
        <family val="1"/>
      </rPr>
      <t>S. No.  27</t>
    </r>
    <r>
      <rPr>
        <sz val="11"/>
        <color theme="1"/>
        <rFont val="Times New Roman"/>
        <family val="1"/>
      </rPr>
      <t xml:space="preserve"> of enrty  in Ann. -A 3 &amp; Ann. C</t>
    </r>
  </si>
  <si>
    <r>
      <rPr>
        <b/>
        <sz val="11"/>
        <color theme="1"/>
        <rFont val="Times New Roman"/>
        <family val="1"/>
      </rPr>
      <t>S. No.28</t>
    </r>
    <r>
      <rPr>
        <sz val="11"/>
        <color theme="1"/>
        <rFont val="Times New Roman"/>
        <family val="1"/>
      </rPr>
      <t xml:space="preserve"> of enrty  in Ann. -A 3 &amp; Ann. C</t>
    </r>
  </si>
  <si>
    <r>
      <rPr>
        <b/>
        <sz val="11"/>
        <color theme="1"/>
        <rFont val="Times New Roman"/>
        <family val="1"/>
      </rPr>
      <t>S. No. 29</t>
    </r>
    <r>
      <rPr>
        <sz val="11"/>
        <color theme="1"/>
        <rFont val="Times New Roman"/>
        <family val="1"/>
      </rPr>
      <t xml:space="preserve"> of enrty  in Ann. -A 3 &amp; Ann. C</t>
    </r>
  </si>
  <si>
    <r>
      <rPr>
        <b/>
        <sz val="11"/>
        <color theme="1"/>
        <rFont val="Times New Roman"/>
        <family val="1"/>
      </rPr>
      <t>S. No. 30</t>
    </r>
    <r>
      <rPr>
        <sz val="11"/>
        <color theme="1"/>
        <rFont val="Times New Roman"/>
        <family val="1"/>
      </rPr>
      <t xml:space="preserve"> of enrty  in Ann. -A 3 &amp; Ann. C</t>
    </r>
  </si>
  <si>
    <r>
      <rPr>
        <b/>
        <sz val="11"/>
        <color theme="1"/>
        <rFont val="Times New Roman"/>
        <family val="1"/>
      </rPr>
      <t>S. No.  31</t>
    </r>
    <r>
      <rPr>
        <sz val="11"/>
        <color theme="1"/>
        <rFont val="Times New Roman"/>
        <family val="1"/>
      </rPr>
      <t xml:space="preserve"> of enrty  in Ann. -A 3 &amp; Ann. C</t>
    </r>
  </si>
  <si>
    <r>
      <rPr>
        <b/>
        <sz val="11"/>
        <color theme="1"/>
        <rFont val="Times New Roman"/>
        <family val="1"/>
      </rPr>
      <t>S. No.  32</t>
    </r>
    <r>
      <rPr>
        <sz val="11"/>
        <color theme="1"/>
        <rFont val="Times New Roman"/>
        <family val="1"/>
      </rPr>
      <t xml:space="preserve"> of enrty  in Ann. -A 3 &amp; Ann. C</t>
    </r>
  </si>
  <si>
    <r>
      <rPr>
        <b/>
        <sz val="11"/>
        <color theme="1"/>
        <rFont val="Times New Roman"/>
        <family val="1"/>
      </rPr>
      <t>S. No.  33</t>
    </r>
    <r>
      <rPr>
        <sz val="11"/>
        <color theme="1"/>
        <rFont val="Times New Roman"/>
        <family val="1"/>
      </rPr>
      <t xml:space="preserve"> of enrty  in Ann. -A 3 &amp; Ann. C</t>
    </r>
  </si>
  <si>
    <r>
      <rPr>
        <b/>
        <sz val="11"/>
        <color theme="1"/>
        <rFont val="Times New Roman"/>
        <family val="1"/>
      </rPr>
      <t>S. No.  3</t>
    </r>
    <r>
      <rPr>
        <sz val="11"/>
        <color theme="1"/>
        <rFont val="Times New Roman"/>
        <family val="1"/>
      </rPr>
      <t>4 of enrty  in Ann. -A 3 &amp; Ann. C</t>
    </r>
  </si>
  <si>
    <r>
      <rPr>
        <b/>
        <sz val="11"/>
        <color theme="1"/>
        <rFont val="Times New Roman"/>
        <family val="1"/>
      </rPr>
      <t>S. No.  35</t>
    </r>
    <r>
      <rPr>
        <sz val="11"/>
        <color theme="1"/>
        <rFont val="Times New Roman"/>
        <family val="1"/>
      </rPr>
      <t xml:space="preserve"> of enrty  in Ann. -A 3 &amp; Ann. C</t>
    </r>
  </si>
  <si>
    <r>
      <rPr>
        <b/>
        <sz val="11"/>
        <color theme="1"/>
        <rFont val="Times New Roman"/>
        <family val="1"/>
      </rPr>
      <t>S. No.  36</t>
    </r>
    <r>
      <rPr>
        <sz val="11"/>
        <color theme="1"/>
        <rFont val="Times New Roman"/>
        <family val="1"/>
      </rPr>
      <t xml:space="preserve"> of enrty  in Ann. -A 3 &amp; Ann. C</t>
    </r>
  </si>
  <si>
    <r>
      <rPr>
        <b/>
        <sz val="11"/>
        <color theme="1"/>
        <rFont val="Times New Roman"/>
        <family val="1"/>
      </rPr>
      <t>S. No.  37</t>
    </r>
    <r>
      <rPr>
        <sz val="11"/>
        <color theme="1"/>
        <rFont val="Times New Roman"/>
        <family val="1"/>
      </rPr>
      <t xml:space="preserve"> of enrty  in Ann. -A 3 &amp; Ann. C</t>
    </r>
  </si>
  <si>
    <r>
      <rPr>
        <b/>
        <sz val="11"/>
        <color theme="1"/>
        <rFont val="Times New Roman"/>
        <family val="1"/>
      </rPr>
      <t>S. No.  38</t>
    </r>
    <r>
      <rPr>
        <sz val="11"/>
        <color theme="1"/>
        <rFont val="Times New Roman"/>
        <family val="1"/>
      </rPr>
      <t xml:space="preserve"> of enrty  in Ann. -A 3 &amp; Ann. C</t>
    </r>
  </si>
  <si>
    <r>
      <rPr>
        <b/>
        <sz val="11"/>
        <color theme="1"/>
        <rFont val="Times New Roman"/>
        <family val="1"/>
      </rPr>
      <t>S. No.  39</t>
    </r>
    <r>
      <rPr>
        <sz val="11"/>
        <color theme="1"/>
        <rFont val="Times New Roman"/>
        <family val="1"/>
      </rPr>
      <t xml:space="preserve"> of enrty  in Ann. -A 3 &amp; Ann. C</t>
    </r>
  </si>
  <si>
    <t>N-5,CIDCO, Aurangabad</t>
  </si>
  <si>
    <t>Peer Bazar , osmanpura/ Eknathnagar , Aurangabad</t>
  </si>
  <si>
    <t>Survey No. 24 Pt. Jaswant singh Pura N-7, CIDCO, A'bad</t>
  </si>
  <si>
    <t>It is an old building which is not usable</t>
  </si>
  <si>
    <t>CGST &amp; CE Gandhinagar Commissionerate</t>
  </si>
  <si>
    <t>The chawls are in the depilated condition and  therefore there is no value for this Structure</t>
  </si>
  <si>
    <t>As the Department has constructedbuilding.  Current Circle rate ascertained based on https://tnreginet.gov.in/portal &amp; CPWD letters</t>
  </si>
  <si>
    <t>1. Chennai South Comissionerate (HQrs) 
2. Pallikaranai Division 
3. Thyagaraya Nagar Division 
4. Sholinganallur Division          5. Audit-II Commissionerate</t>
  </si>
  <si>
    <t xml:space="preserve">1. GST Commissionerate 
a. Hqrs office
b. Coimbatore I-A &amp; I-B Range 
c. Coimbatore III-A,III-B, III-C Range                                
2. Audit Commissionerate (Hqrs Office)       
3.  Appeals Commissionerate (Hqrs. Office)                    
4. PAO Office                       </t>
  </si>
  <si>
    <t>Value Of Land Plus Building Since Fully Constructed Building Was Purchased From TNHB</t>
  </si>
  <si>
    <t>1. Divisional Office                      
2. Pollachi I/II/III Ranges          
3. Udumalpet I/II Range</t>
  </si>
  <si>
    <t>Assistant Commissioner of GST &amp; Central Excise ,Central Revenue Building , Barracks Maidan, Vellore -632001 (ANNEXUE BUILDING)</t>
  </si>
  <si>
    <t>Audit Nashik.  Comm'te.</t>
  </si>
  <si>
    <t xml:space="preserve"> Mumbai Zone</t>
  </si>
  <si>
    <t>Hyderabad</t>
  </si>
  <si>
    <t xml:space="preserve"> Secunderabad</t>
  </si>
  <si>
    <t>Annex office building and teo type V quarters are  constructed  and used</t>
  </si>
  <si>
    <t>Pune-II commissionerate</t>
  </si>
  <si>
    <t>GST Bhavan, 1st Floor,41/A Sasson Road, Opposite Wadia College, Pune-411001</t>
  </si>
  <si>
    <t>Comes under the pune-I L&amp;B</t>
  </si>
  <si>
    <t>S.No : 4075-1, Opp Police Station , Chandrashekar Agase Road, Pandharpur, Dist:Solapur  PIN : 413304</t>
  </si>
  <si>
    <t>Plot No : 3, Opp Kinara Hotel, Hotgi Road, Solapur, PIN : 413003</t>
  </si>
  <si>
    <t>Circle rate as per Order No. : 17/1/Fixation of Land Rates/2012-RD/5004 dated 03.01.2013 and Circuler 17/1/Fixation of Land Rates/2012-RD dated 30.01.2015 issued by Govt. of Goa.</t>
  </si>
  <si>
    <t>Govt Qtrs, Mohite Nagar, Hotgi Road, Solapur, PIN : 413003</t>
  </si>
  <si>
    <t>Residential Quarters, Chandrashekar Agase Road, Pandharpur, Dist : Solapur, PIN : 413304</t>
  </si>
  <si>
    <t>Pune-II, Commissionerate</t>
  </si>
  <si>
    <t>Goa GST</t>
  </si>
  <si>
    <t>Nagri, Ranchi</t>
  </si>
  <si>
    <t>Plot has been fenced by CPWD and proposal for office building and residential quarters for staff is under process.  Proposal was sent to DGHRD on 08.05.2017.</t>
  </si>
  <si>
    <t>CGST Audit Ahmedabad</t>
  </si>
  <si>
    <t>While pursuing the proposal, the IFU adviced not to take up the project for construction of office premises during the current financial year</t>
  </si>
  <si>
    <t xml:space="preserve">In possession </t>
  </si>
  <si>
    <t>City Surevy No. 4173, NEAR POLICE QUARTERS, VALSAD</t>
  </si>
  <si>
    <t>26.08.2016</t>
  </si>
  <si>
    <t xml:space="preserve">1. process for purchase of adjacent 264 sq. mtrs. land to get direct approach from the main road is under progress, 
2. A letter to DGHRD was submitted on 29.11.2018 with a request to make provision 28.42 Lacs for purchase of the said land 
3. A letter submitted to CPWD officers for physical verification and for making markings on the said plot as during the visit of Additional Commissioner, it was observed that some encroachment was there </t>
  </si>
  <si>
    <t>Daman CGST &amp; CE</t>
  </si>
  <si>
    <t>R.S. 193, Vapi</t>
  </si>
  <si>
    <t>CGST Commissionerate- Vadodara-II</t>
  </si>
  <si>
    <t xml:space="preserve">Appeals Commissionerate Surat </t>
  </si>
  <si>
    <t>CGST &amp; CX, Commissionerate Lucknow</t>
  </si>
  <si>
    <t xml:space="preserve">NIL </t>
  </si>
  <si>
    <t>Luck128</t>
  </si>
  <si>
    <t xml:space="preserve">Being combined revenue building, details  are avilable with Income Tax Deptt.
</t>
  </si>
  <si>
    <t>Office of the Commissioner, Central Goods &amp; Service Tax, 117/07, Sarvoday Nagar Kanpur - 208005</t>
  </si>
  <si>
    <t>O/o the Assistant Commissioner, Central Goods &amp; Service Tax, Jhansi, Mauja , Jhansi Khaas, Jhansi Pargana, Jhansi - 284001</t>
  </si>
  <si>
    <t>24.03.1988</t>
  </si>
  <si>
    <t xml:space="preserve">उक्त जमीन झाँसी में नगरीय क्षेत्र में आ गयी है, एवं नगरीय क्षेत्र में circle rate , चौड़े रास्ते के अनुसार होता है  परन्तु विभाग की जमीन के आस पास अभी कोई पक्का रास्ता नहीं बना हुआ इसलिए circle rate बता पाना संभव नहीं है | </t>
  </si>
  <si>
    <t xml:space="preserve">Transferred </t>
  </si>
  <si>
    <t xml:space="preserve">CGST &amp; CX Commissionerate, Allahabad </t>
  </si>
  <si>
    <t>Pragatipuram, opposite Suyash restaurant, Raebareli(CGST &amp; C.Ex. Div.- Raebareli)</t>
  </si>
  <si>
    <t>01.12.1997</t>
  </si>
  <si>
    <t>Proposal initiated</t>
  </si>
  <si>
    <t>CGST &amp; CX Commissionerate Agra</t>
  </si>
  <si>
    <t>Talanagri Ramghat Road, Aligarh-202001</t>
  </si>
  <si>
    <t>02.04.1996</t>
  </si>
  <si>
    <t>CGST &amp; CX Commissionerate  Varanasi</t>
  </si>
  <si>
    <t>Sidhari, Azamgarh</t>
  </si>
  <si>
    <t>4817 Sq. Mtr</t>
  </si>
  <si>
    <t>Rs. 7400/- Per. Sq. Mtr.</t>
  </si>
  <si>
    <t>Proposed for construction of office as well as residential Colony. CPWD is to submit map of the construction</t>
  </si>
  <si>
    <t>Vibhuti Khand, Gomti Nagar, Lucknow-226010</t>
  </si>
  <si>
    <t>11.07.1989</t>
  </si>
  <si>
    <t>The Office Building is under construction</t>
  </si>
  <si>
    <t>CGST &amp; CX, Commissionerate Kanpur</t>
  </si>
  <si>
    <t>Office of the Commissioner, Central Goods &amp; Service Tax, 117/07, Sarvoday Nagar Kanpur -208005</t>
  </si>
  <si>
    <t xml:space="preserve">1963-64, 1971-72, 1981-82 </t>
  </si>
  <si>
    <t>CGST Division Farrukhabad at Civil Lines, Fatehgarh - 209601</t>
  </si>
  <si>
    <t>1986-87</t>
  </si>
  <si>
    <t xml:space="preserve">0.478 (including cost of construction office accomodation at the time of constructions) </t>
  </si>
  <si>
    <t>Service Chage of Cantonment Board fatehgarh - Rs. 13,68,016/-</t>
  </si>
  <si>
    <t>CGST Commissionerate Allahabad</t>
  </si>
  <si>
    <t>38, M.G. Marg, Civil lines, Allahabad-211001</t>
  </si>
  <si>
    <t>CGST Commissionerate Agra</t>
  </si>
  <si>
    <t>GST Bhawan Lal Diggi Road Civil Lines, Aligarh</t>
  </si>
  <si>
    <t>Allotted by State Govt./Agency</t>
  </si>
  <si>
    <t>Office of the Commissioner, CGST &amp; Central Excise, Commissionerate, Agra, 113/4 Sanjay Place, Agra</t>
  </si>
  <si>
    <t>CGST CommissionerateVaranasi</t>
  </si>
  <si>
    <t>M.A. Road, Varnasi</t>
  </si>
  <si>
    <t xml:space="preserve">Office for Deptt. As well Income Tax already Contstructed </t>
  </si>
  <si>
    <t>Civil Lines, Gorakhpur</t>
  </si>
  <si>
    <t>14.07.2004</t>
  </si>
  <si>
    <t xml:space="preserve">Office for Deptt. As well Cusotms already Contstructed </t>
  </si>
  <si>
    <t>Acquisition / Purchase Cost (Rs.in crores)**</t>
  </si>
  <si>
    <t>Current Circle rate  
(as on 31.03.2020)**</t>
  </si>
  <si>
    <t>M.G. Colony Aliganj, Lucknow</t>
  </si>
  <si>
    <t>25.03.1976</t>
  </si>
  <si>
    <t xml:space="preserve">Being combined revenue building, details are avilable with Income Tax Deptt.
</t>
  </si>
  <si>
    <t>Rahat Appartment, 60-B, Parag Narayan Road, Lucknow</t>
  </si>
  <si>
    <t>ICE Tower, Vibhutikhand, Gomtinagar, Lucknow</t>
  </si>
  <si>
    <t>21.09.2016</t>
  </si>
  <si>
    <t xml:space="preserve"> Wazir Hasan Colony, Lucknow</t>
  </si>
  <si>
    <t>CGST Division Farrukhabad at Civil Lines Fatehgarh - 209601</t>
  </si>
  <si>
    <t>Central Revenue Colony, 6 Muir Road Allahabad-211002</t>
  </si>
  <si>
    <t xml:space="preserve">N.A. </t>
  </si>
  <si>
    <t>........</t>
  </si>
  <si>
    <t>Income Tax Colony, Patrika Marg, Civil lines Allahabad</t>
  </si>
  <si>
    <t>Land is under possession of Income Tax Office Allahabad</t>
  </si>
  <si>
    <t>CGST &amp; CX  Commissionerate Allahabad</t>
  </si>
  <si>
    <t>CGST &amp; CX  CommissionerateAgra</t>
  </si>
  <si>
    <t>01.02.1994</t>
  </si>
  <si>
    <t>CGST &amp; CX  CommissionerateVaranasi</t>
  </si>
  <si>
    <t>Mavaiya, Sarnath, Varanasi</t>
  </si>
  <si>
    <t>Rs. 24000/- per Sq. Mtr.</t>
  </si>
  <si>
    <t>Colony for Deptt. As well Income Tax already constructed.</t>
  </si>
  <si>
    <t>Zone/ 
Directorate</t>
  </si>
  <si>
    <t>Mode of ownership/ possession    
( free-hold/ lease hold/ allotted/other- to be specified)</t>
  </si>
  <si>
    <t>Sitapur CGST &amp; Central Excise Division, Lucknow</t>
  </si>
  <si>
    <t>CGST &amp; CX Division- Sitapur,Revenue Building,Elgin Road</t>
  </si>
  <si>
    <t>07.02.1994</t>
  </si>
  <si>
    <t>The land handed over by the Narcotics Department</t>
  </si>
  <si>
    <t xml:space="preserve">उक्त जमीन झाँसी में नगरीय क्षेत्र में आ गयी है, एवं नगरीय क्षेत्र में circle rate , चौड़े रास्ते के अनुसार होता हा परन्तु विभाग की जमीन के आस पास अभी कोई पक्का रास्ता नहीं बना हुआ इसलिए circle rate बता पाना संभव नहीं है | </t>
  </si>
  <si>
    <t>CGST &amp; CX Commissionerate, Allahabad</t>
  </si>
  <si>
    <t>Acquisition / Purchase Cost  (Rs.in crores)**</t>
  </si>
  <si>
    <t>Central Excise Colony Vaishali,Sector-15, Sikandra, Agra</t>
  </si>
  <si>
    <t xml:space="preserve">Zone/ 
Directorate </t>
  </si>
  <si>
    <t>Location of the Property with complete address 
(with district &amp; Pin Code)*</t>
  </si>
  <si>
    <t>Acquisition/ Purchase Cost  (Rs.in crores)</t>
  </si>
  <si>
    <t xml:space="preserve"> Current Circle rate  
(as on 31.03.2020)            </t>
  </si>
  <si>
    <t>Location of the Property with complete address
(with district &amp; Pin Code)*</t>
  </si>
  <si>
    <t>Zone/ 
Direc-torate</t>
  </si>
  <si>
    <t>Vadodara CGST Zone</t>
  </si>
  <si>
    <t>Thiruvananthapuram  CGST Zone</t>
  </si>
  <si>
    <t>Thiruvananthapuram CGST Zone</t>
  </si>
  <si>
    <t>Rs. 5779/- book value towards purchase/ transfer of land at Kanjur, Vide F. No. 11030/4/Bldg./81/11/658 of the Salt Commissionerate</t>
  </si>
  <si>
    <t>Mumbai  CGST Zone</t>
  </si>
  <si>
    <t>Meerut CGST Zone</t>
  </si>
  <si>
    <t>Hyderabad CGST Zone</t>
  </si>
  <si>
    <t>Delhi CGST Zone</t>
  </si>
  <si>
    <t>Delhi CGST  Zone</t>
  </si>
  <si>
    <t>Chennai CGST Zone</t>
  </si>
  <si>
    <t>Chandigarh CGST Zone</t>
  </si>
  <si>
    <t xml:space="preserve">Bhubaneswar CGST Zone </t>
  </si>
  <si>
    <t>Bhubaneswar CGST Zone</t>
  </si>
  <si>
    <t>Bhopal CGST Zone</t>
  </si>
  <si>
    <t>Bangalore CGST Zone</t>
  </si>
  <si>
    <t>Ahmedabad CGST Zone</t>
  </si>
  <si>
    <t>Jaipur CGST Zone</t>
  </si>
  <si>
    <t>Lucknow CGST Zone</t>
  </si>
  <si>
    <t>Mumbai CGST Zone</t>
  </si>
  <si>
    <t>Nagpur  CGST Zone</t>
  </si>
  <si>
    <t>Nagpur CGST Zone</t>
  </si>
  <si>
    <t>Pune CGST Zone</t>
  </si>
  <si>
    <t>Pune CSGT Zone</t>
  </si>
  <si>
    <t>Ranchi CGST Zone</t>
  </si>
  <si>
    <t>Bangalore CGST  Zone</t>
  </si>
  <si>
    <t>Total built- up area
(in sq. mtrs.)</t>
  </si>
  <si>
    <t>Date of purchase
(in case  of ready-built purchase)</t>
  </si>
  <si>
    <t>Purchase*/ Construction Cost
(Rs.in crores)</t>
  </si>
  <si>
    <t>Mode of ownership/ possession
( free-hold/ lease hold/ allotted/other- to be specified)</t>
  </si>
  <si>
    <t>Mode of ownership/ possession   
( free-hold/ lease hold/ allotted/other- to be specified)</t>
  </si>
  <si>
    <r>
      <rPr>
        <b/>
        <sz val="11"/>
        <color indexed="8"/>
        <rFont val="Times New Roman"/>
        <family val="1"/>
      </rPr>
      <t>*</t>
    </r>
    <r>
      <rPr>
        <sz val="11"/>
        <color indexed="8"/>
        <rFont val="Times New Roman"/>
        <family val="1"/>
      </rPr>
      <t xml:space="preserve"> 0.46 Crores (4584300) (Construction cost of Office &amp; Residential Building)</t>
    </r>
  </si>
  <si>
    <t>2.39072 Cr.
 (Cost of Office cum Residential quarters)</t>
  </si>
  <si>
    <t>CGST Division-D, Near RK Hospital, Housing Board, Kankroli 313326</t>
  </si>
  <si>
    <t>Zone/
Directorate</t>
  </si>
  <si>
    <t>Commissionerate 
(Custodian)</t>
  </si>
  <si>
    <t>Charges being paid e.g. maintenance/ licence fee etc. (for building only), if yes details thereof</t>
  </si>
  <si>
    <t xml:space="preserve">In case building allotted by MoHUA/ Dte. of Estates/ CPWD/ Income Tax/ Others- details thereof </t>
  </si>
  <si>
    <t>(i) CGST Hqrs, 
(ii)  CGST Div-I,
(iii)CGST Div-IV,  
(iv)Audit Commissionerate, Raipur
(v) Office of Executive Engineer (Civil) CPWD, Raipur</t>
  </si>
  <si>
    <t xml:space="preserve">1. GST &amp; Central Excise Rayagada Division.             
2. GST &amp; Central Excise Range-I, Rayagada.                        
3. GST &amp; Central Excise Range-II, Rayagada. </t>
  </si>
  <si>
    <t>1. GST &amp; Central Excise, BBSR.
2. Customs (Prev.) Commissionerate,
3. Audit Commissionerate, 
4. Appeals Commissionetate &amp;
5. O/o. the Chief Commissioner, Bhubaneswar Zone</t>
  </si>
  <si>
    <t>CCU office, 
GST Comm'te Chandigarh, 
GST (Audit) Comm'te Chandigarh,
GST (Appeals) Comm'te Chandigarh, 
GST, Sub-Comm'te, Mohali, 
Zonal campus (NACIN) Chandigarh, 
DGGSTI Chandigarh &amp; 
PAO Office, Chandigarh I/II.</t>
  </si>
  <si>
    <t>(Construction) 3.94 Cr/   
(Acquisition)   1.8 Cr</t>
  </si>
  <si>
    <t>(1) Office of the Principal Chief Commissioner of GST &amp; Central Excise 
(2) Office of the Principal Commissioner of GST &amp; Central Excise,  GST Bhawan, No.26/1, Mahatma Gandhi Road, Nungumbakkam, Chennai, Tami Nadu-600 034</t>
  </si>
  <si>
    <t>1. O/o the Commr of GST &amp; C.Excise 
2. O/o the C C of Customs and Preventive, CC(P)  
3.O/o the Commr of Customs (Prev) 
4.O/o the Asst Commr of GST &amp;C. Ex Division I        
5.O/o the Asst Commr of GST &amp; C. Ex Division II               
6. O/o the Asst Cmmr of Audit Circle                        
7.O/o the SC/Ac Commr of Custom Division                   
8. O/ o the PAO      
9. O/o the Commr of Appeals</t>
  </si>
  <si>
    <t>1. Office of the Assistant Commissioner of GST &amp; Central Excise, Ranipet Division, Ranipet    2. Office of the Superintendent of GST &amp; Central Excise, Ranipet - I Range, Ranipet.     
3. Office of the Superintendent of GST &amp; Central Excise, Ranipet - II Range, Ranipet.   
 4. Office of the Superintendent of GST &amp; Central Excise, Ranipet - III Range, Ranipet.   
5. Office of the Superintendent of GST &amp; Central Excise, Ranipet - IV Range, Ranipet.</t>
  </si>
  <si>
    <t xml:space="preserve"> *Total area is 1418 sqmtrs  of which 371 sq mtrs is of office building and 1047 sq mtr is for residential quarter </t>
  </si>
  <si>
    <t>GST Division-I Bareilly &amp; Division Bareilly - II</t>
  </si>
  <si>
    <t>GST Bhawan, CR Building, Rampur Garden Bareilly - 243001.</t>
  </si>
  <si>
    <t xml:space="preserve">1) Chief Commissioner Office, Nagpur Zone. 
(2) Pr. Commissioner Office, Nagpur-I 
(3) Commissioner Nagpur-II 
(4) Commissioner (Customs), Nagpur 
(5) Commissioner (Appeal), Nagpur
(6) AC/DC City Division, Nagpur-I
(7) AC/DC City Division, Nagpur-II
(8)  AC/DC Kalmeshwar Division (9) AC/DC Customs Division 
(10) Range -1 City Division Nagpur-I  
(11) Range -2 City Division Nagpur-I  
(12) Range -3 City Division Nagpur-I  
(13) Range -4 City Division Nagpur-I  
(14) Range -5 City Division Nagpur-I </t>
  </si>
  <si>
    <t>i. CGST &amp; CX, Nashik Comm'te &amp; Nashik-I &amp; II Divisions
ii. Commissioner (Appeals),            iii. Customs Chapter Cell, Nashik</t>
  </si>
  <si>
    <t>Office building is utilised</t>
  </si>
  <si>
    <t>This office complex houses 
1. the office of the Chief Commissioner, 
2. CGST I &amp; II Commissionerate, 3. Audit I &amp; II Commissionerate, 
4. Pune Customs Commissionerate and 
5.Appeals I &amp; II Commissionerate along with 8 Divisions, 40 Ranges and Audit circles.</t>
  </si>
  <si>
    <t>i) Office of The Assistant Commissioner, Solapur
ii) Office of The Superintendent - Range - I
iii) Office of The Superintendent - Range - II    
iv) Office of The Superintendent - Range - III
v) Office of The Superintendent - Range - IV 
vi) Office of The Superintendent -Technical   
vii) Office of The Superintendent-Adjudication</t>
  </si>
  <si>
    <t>S.No : 4075-1, Opp Police Station , Chandrashekar Agase Road, Pandharpur, Dist: Solapur, PIN : 413304</t>
  </si>
  <si>
    <t>1) CGST and C. Ex. Division, Muzaffarpur 
(ii) Customs (P) Division, Muzaffarpur  
(iii)DRI (RU)Muzaffarpur   
(iv) Audit Circle, Muzaffarpur</t>
  </si>
  <si>
    <t>Own Building</t>
  </si>
  <si>
    <t>Office of the Assistant/ Deputy Commissioner</t>
  </si>
  <si>
    <t>9430
(G+3)</t>
  </si>
  <si>
    <t>Customs Prev Unit, Thalassery, (2) Central GST Office, Thalassery &amp; 
(3)Badagara</t>
  </si>
  <si>
    <t>1. Customs Preventive Unit 
2. Central GST &amp; Central Excise Range Office</t>
  </si>
  <si>
    <t>As per the information received from collector, surat the area in which the office building is lying is declared in the heritage square project</t>
  </si>
  <si>
    <t>CGST Building - B, Opp. Gandhi Baug, Chowk Bazar, Surat-394163</t>
  </si>
  <si>
    <t>GST Bhawan, Plot NO.  517, Opp. Bahumali, Nanpura, Surat-395001</t>
  </si>
  <si>
    <t>Plot No. 601/3rd Phase, GIDC, Umergaon-396165</t>
  </si>
  <si>
    <t>CGST &amp; Excise, Surat Commissionerate</t>
  </si>
  <si>
    <t>CGST Building - A, Opp. Gandhi Baug, Chowk Bazar, Surat-394163</t>
  </si>
  <si>
    <t>Visakhapatnam CGST Zone</t>
  </si>
  <si>
    <t>1. O/o the Chief Commissioner of GST &amp; Customs   
2. O/o the Pr. Commissioner of Visakhapatnam CGST Commissionerate    
3. O/o the Commissioner of Guntur Audit Commissionerate, Visakhapatnam</t>
  </si>
  <si>
    <t>Deputy Commissioner of Central Tax, CGST Division, Srinagar Morampudi Junction, Rajamahendravaram, East Godavari, Andhra Pradesh-533107</t>
  </si>
  <si>
    <t xml:space="preserve">1. Deputy/Assistant Commissioner of Central Tax, CGST Division, Srinagar Morampudi Junction, Rajamahendravaram  
2. Seven Ranges.             
3. O/O the Kakinada Audit Circle
</t>
  </si>
  <si>
    <t xml:space="preserve">1.Divisional office including local Range offices               (i)Vizianagaram CGST East Range
(ii) Vizianagaram CGST West Range and
(iii) Vizianagaram CGST South Range, </t>
  </si>
  <si>
    <t>Annexure D: Hired Premises</t>
  </si>
  <si>
    <t>Total Carpet Area 
(In Sq. Mtrs.)</t>
  </si>
  <si>
    <t>Built Up Area 
(In Sq. Mtrs.)</t>
  </si>
  <si>
    <t>5.  CHANDIGARH CGST ZONE</t>
  </si>
  <si>
    <t>8.  GUWAHATI CGST ZONE</t>
  </si>
  <si>
    <t>16. PANCHKULA  CGST ZONE</t>
  </si>
  <si>
    <t>20.  VADODARA CGST ZONE</t>
  </si>
  <si>
    <t>West</t>
  </si>
  <si>
    <t>All divisions ond Ranges of West Commissionerates and Audit -1 and Bangalore south Divisions-1,2,3&amp;6</t>
  </si>
  <si>
    <t>M/s BMTC Banashankari bus stop complex</t>
  </si>
  <si>
    <t>28/08/2015 , RENT/29/2015-16-SANCTION, 28/08/2015</t>
  </si>
  <si>
    <t>28/08/2015 TO 27/08/2018</t>
  </si>
  <si>
    <t>Bengaluru  East</t>
  </si>
  <si>
    <t>TTMC/BMTC Building, Old Airport Road, Domlur, Bengaluru</t>
  </si>
  <si>
    <t>4930.9 Sq mt (53076 sq ft)</t>
  </si>
  <si>
    <t>DGHRD vide F No 924/16/Hiring/Service Tax/Bangalore/HRD/11 dated 02.11.2012</t>
  </si>
  <si>
    <t xml:space="preserve">DGHRD </t>
  </si>
  <si>
    <t>Initial lease period from 16.09.2013 to 15.09.2018. Lease was extended for further period of 3 years till 15.09.2021</t>
  </si>
  <si>
    <t>Rs 328.94/sq mt (Rs. 30.56/sq ft)</t>
  </si>
  <si>
    <t>Agreement for floor I to V of main building was for the 16.09.2013 to 15.09.2018. Leased is further extended for further period of 3 years. Lease aggrement was signed on 06.01.2020. Letter C.No. I/15/02/2018 BEAST/Admin dated 18.03.2020 was sent to PCCO enclosing the Annexure 5.4(b) for onward forwaring to DGHRD. Reply from DGHRD/PCCO is awited.</t>
  </si>
  <si>
    <t>5th floor, Trade Center Building Bunts Hostel Road, Mangalore</t>
  </si>
  <si>
    <t>01/05/2015 to 30/04/2020</t>
  </si>
  <si>
    <t>1,16,600</t>
  </si>
  <si>
    <t>6th floor, Trade Center Building Bunts Hostel Road, Mangalore</t>
  </si>
  <si>
    <t>1,12,600</t>
  </si>
  <si>
    <t>7th floor, Trade Center Building Bunts Hostel Road, Mangalore</t>
  </si>
  <si>
    <t>1,16,200</t>
  </si>
  <si>
    <t>5th floor, Left Wing, Punja Building Trade Center Building Annex, M.G.Road, Lalbagh, Mangalore</t>
  </si>
  <si>
    <t>01/04/2018 to 31/03/2023</t>
  </si>
  <si>
    <t>31/03/2023</t>
  </si>
  <si>
    <t>South Division range offices</t>
  </si>
  <si>
    <t>01/03/2016 to 28/02/2021</t>
  </si>
  <si>
    <t>28/02/2021</t>
  </si>
  <si>
    <t>Puttur range offices of (Puttur I and II and Sulia range office) , Mangalore East</t>
  </si>
  <si>
    <t>Keerthana Paradise, 1st floor, Kalimar, Puttur</t>
  </si>
  <si>
    <t>18/02/2018 to 17/02/2021</t>
  </si>
  <si>
    <t>18/02/2021</t>
  </si>
  <si>
    <t>Bantwal Range office, Central Excise and Central Tax (East Division)</t>
  </si>
  <si>
    <t>1st floor, BehindService Bus Stand, Meena Bazar Building Bantwal Taluk</t>
  </si>
  <si>
    <t>01/04/2014 to 31/03/2019</t>
  </si>
  <si>
    <t>31/03/2019</t>
  </si>
  <si>
    <t>Udupi Central Excise and Central Tax Division office and Ranges offices</t>
  </si>
  <si>
    <t>Vishnu Priya Bidg, LBS Marg, Ajjarkad, Udupi</t>
  </si>
  <si>
    <t>01/02/2017 to 30/01/2022</t>
  </si>
  <si>
    <t>30/01/2022</t>
  </si>
  <si>
    <t>Karkala Range office North Division</t>
  </si>
  <si>
    <t>D.No .S-435/7, 1st floor, SBI Building, Mysore Main road, Karkala Udupi</t>
  </si>
  <si>
    <t>21/10/1989</t>
  </si>
  <si>
    <t>01/05/2017 to 01/01/2022</t>
  </si>
  <si>
    <t>Dandeli Range office</t>
  </si>
  <si>
    <t>M/s West Coast Paper Mill, Dandeli</t>
  </si>
  <si>
    <t>14/10/2018 to 15/10/2019</t>
  </si>
  <si>
    <t>15/10/2019</t>
  </si>
  <si>
    <t>Belgavi Audit</t>
  </si>
  <si>
    <t>Mangalore Audit Circle</t>
  </si>
  <si>
    <t>2nd Floor, MUDA Building, North Side, Urwa Stores, Mangalore - 575006</t>
  </si>
  <si>
    <t>01/12/2019
Letter C.No.I/15/02/2019-20 Admn.dated 14-11-2019</t>
  </si>
  <si>
    <t>Commissioner of Central Tax, Belgavi Audit Commissionerate, Belgavi</t>
  </si>
  <si>
    <t>3 Years from the date of hiring</t>
  </si>
  <si>
    <t>30-11-2022</t>
  </si>
  <si>
    <t>Ballari Audit Circle</t>
  </si>
  <si>
    <t>2nd Floor, Modi Chambers, 2nd Cross, Gandhi Nagar, Ballari - 583103</t>
  </si>
  <si>
    <t>08/05/2019
Letter C.No.I/11/02/2018-19 Admn.dated 08-05-2019</t>
  </si>
  <si>
    <t>51000 (excl. of GST)</t>
  </si>
  <si>
    <t>Audit II</t>
  </si>
  <si>
    <t>Bangalore Audit Circle II</t>
  </si>
  <si>
    <t>JSS Tower Banashankari</t>
  </si>
  <si>
    <t>F.No 924/94/hiring/LTU/Bengaluru/HRD/2015 DATE 20/05/2016</t>
  </si>
  <si>
    <t>Mysuru Audit Circle</t>
  </si>
  <si>
    <t>EPC Cell of Customs</t>
  </si>
  <si>
    <t>North West</t>
  </si>
  <si>
    <t>Office of the Commisisoner of Central tax</t>
  </si>
  <si>
    <t>BMTC Shivaji nagar</t>
  </si>
  <si>
    <t>28.08.2015, RENT/29/2015-16-SANCTION, 28/08/2015</t>
  </si>
  <si>
    <t>28/08/2018</t>
  </si>
  <si>
    <t>Bengaluru South</t>
  </si>
  <si>
    <t>Bangaluru South, Kendriya Sadan( Div- 4,5,6,7,8)</t>
  </si>
  <si>
    <t>6th &amp; 7th floor of 'A' and 'C' Wing, Kendriya Sadan, 17th Main,Koramangala, Bengaluru.</t>
  </si>
  <si>
    <t>Not available with this office</t>
  </si>
  <si>
    <t>Bengaluru</t>
  </si>
  <si>
    <t>Nanjangud Range</t>
  </si>
  <si>
    <t>No3235,  19th Cross,    RP Road, Nanjangud, Mysuru District</t>
  </si>
  <si>
    <t>01.01.2015</t>
  </si>
  <si>
    <t>01.01.2020</t>
  </si>
  <si>
    <t>Mandya West Range &amp; Mandya East Range</t>
  </si>
  <si>
    <t>No KL-181, 1st Cross, 1st Floor, 1st Cross, V V nagar, Mandya</t>
  </si>
  <si>
    <t>01.01.2018</t>
  </si>
  <si>
    <t>01.08.2023</t>
  </si>
  <si>
    <t>Hunsur Range</t>
  </si>
  <si>
    <t>No 1461, Out House, Club Road, Hunsur, Mysuru District</t>
  </si>
  <si>
    <t>01.07.2018</t>
  </si>
  <si>
    <t>Chamarajanagar Range</t>
  </si>
  <si>
    <t>1st Cross, Bhujangeshwara Layout, Chamarajanagar</t>
  </si>
  <si>
    <t>03.04.2018</t>
  </si>
  <si>
    <t>03.04.2021</t>
  </si>
  <si>
    <t>Madikeri Range</t>
  </si>
  <si>
    <t>Block No 18/1, Main Temple Road, Madikeri</t>
  </si>
  <si>
    <t>01.04.2018</t>
  </si>
  <si>
    <t>Virajpet Range</t>
  </si>
  <si>
    <t>No 5, Sri Ganapathy Arcade, Main Road, Virajpet</t>
  </si>
  <si>
    <t>Bhadravathi Range</t>
  </si>
  <si>
    <t>1st Floor, BSNL Telephone Exchange Building, Basaveshwara Circle, Old town, Bhadravathi</t>
  </si>
  <si>
    <t>01.06.2018</t>
  </si>
  <si>
    <t>Sagar Range</t>
  </si>
  <si>
    <t>Telecom Quarters, L B Nagar, Near Pragathi School, Sagar, Shivamogga District</t>
  </si>
  <si>
    <t>Bangalore North Commissionerate</t>
  </si>
  <si>
    <t>No.59, Ground Floor, Hmt Bvhavan, Bellary Road, Bangalore 560032</t>
  </si>
  <si>
    <t>05.11.2015</t>
  </si>
  <si>
    <t>F.No.924/67/Hiring Bengaluru IV/HRD/15 dated 23.09.2015</t>
  </si>
  <si>
    <t>05.11.2015 to 05.11.2018</t>
  </si>
  <si>
    <t>05.11.2018</t>
  </si>
  <si>
    <t>Renewal under process. Awaiting RRC from CPWD, Bangalore</t>
  </si>
  <si>
    <t>Opp. Mallige HospitalCrescent Road, Bangalore</t>
  </si>
  <si>
    <t>01.02.2016</t>
  </si>
  <si>
    <t>F.No.I/15/3/2016 AD B.III dated 09.03.2016</t>
  </si>
  <si>
    <t>01.02.2016 to 01.02.2019</t>
  </si>
  <si>
    <t>02.02.2019</t>
  </si>
  <si>
    <t>125365 + 22566 =147931</t>
  </si>
  <si>
    <t xml:space="preserve">ND-2 &amp; ND-3 ,              Ground, Ist &amp; 2nd Floor </t>
  </si>
  <si>
    <t>F.No.I/15/2/2016 A4B.III dated 09.03.2016 dated 16.12.2016</t>
  </si>
  <si>
    <t>111506 + 20071 =131576</t>
  </si>
  <si>
    <t xml:space="preserve">                           ND-4  1st Floor            </t>
  </si>
  <si>
    <t>S.P Complex, No.16/1, Lal bagh Road, Bangalore 560027</t>
  </si>
  <si>
    <t>01.01.2017</t>
  </si>
  <si>
    <t>F.No.I/15/1/2017 dated 23.08.2017</t>
  </si>
  <si>
    <t>01.01.2017  to 01.01.2020</t>
  </si>
  <si>
    <t>02.01.2020</t>
  </si>
  <si>
    <t>197624+35572 =233196</t>
  </si>
  <si>
    <t xml:space="preserve">ND-5, 2nd floor </t>
  </si>
  <si>
    <t>S.P Complex, No.16/2, Lal bagh Road, Bangalore 560027</t>
  </si>
  <si>
    <t>206279 + 37130 =243409</t>
  </si>
  <si>
    <t>ND-6 , 3rd Floor</t>
  </si>
  <si>
    <t xml:space="preserve">ND-7, 4th Floor </t>
  </si>
  <si>
    <t>214509 +38612 =253121</t>
  </si>
  <si>
    <t xml:space="preserve">North West Div-4&amp;5 5th floor  </t>
  </si>
  <si>
    <t>S.P Complex, No.16/3, Lal bagh Road, Bangalore 560027</t>
  </si>
  <si>
    <t xml:space="preserve">BND-9  </t>
  </si>
  <si>
    <t>Kata 5290  V ward, Besterpet, Dodaballapur Bangalore-561203</t>
  </si>
  <si>
    <t>01.06.2015</t>
  </si>
  <si>
    <t>F.No.I/15/01/2015 A4BIV dated 05.12.2016</t>
  </si>
  <si>
    <t>01.06.2015 to 01.06.2020</t>
  </si>
  <si>
    <t>02.06.2020</t>
  </si>
  <si>
    <t xml:space="preserve">CND-9 </t>
  </si>
  <si>
    <t>Kata 5288  V Ward, Besterpet, Dodsallapur Bangalore 561203</t>
  </si>
  <si>
    <t>Ranges A/B/C/D,Hubballi Division</t>
  </si>
  <si>
    <t>"shivaleela Arcade",2 nd Cross,Behind Hans Hotel,Kalyanagar,Vidyanagar,Hubballi-580031</t>
  </si>
  <si>
    <t>243.2202 Sq.Mtrs (2618 Sq.ft.)</t>
  </si>
  <si>
    <t>260.0sq,mtrs</t>
  </si>
  <si>
    <t>01.07.2016</t>
  </si>
  <si>
    <t>Commissioner,Belagavi</t>
  </si>
  <si>
    <t>31.07.2021</t>
  </si>
  <si>
    <t>Rs 52,800/-</t>
  </si>
  <si>
    <t>Rs 217.08/-</t>
  </si>
  <si>
    <t>Dharwad 'A&amp;B' Range Dharwad Division</t>
  </si>
  <si>
    <t>Zedem Tower, 1nd Floor, ward B Ashwamedha Nagar Navanagar Hubli-58025</t>
  </si>
  <si>
    <t xml:space="preserve">156.08 Sq Mtrs </t>
  </si>
  <si>
    <t>167.2254Sq. Mtrs</t>
  </si>
  <si>
    <t xml:space="preserve">01.12.2016 Sanction Order I/04/02/2016 Admn dtd:30.09.2016 </t>
  </si>
  <si>
    <t>The Commissioner of Central Tax Belagavi</t>
  </si>
  <si>
    <t>01.12.2019</t>
  </si>
  <si>
    <t>33,600/-</t>
  </si>
  <si>
    <t>Rs.24/-</t>
  </si>
  <si>
    <t>Renewal and Rent is Settled by the Rent Negotiation Committee w.e.f. 01.12.2019</t>
  </si>
  <si>
    <t>Dharwad 'C' Range Dharwad Division</t>
  </si>
  <si>
    <t>Zedem Tower, 2nd Floor, ward B Ashwamedha Nagar Navanagar Hubli-58026</t>
  </si>
  <si>
    <t>92.9Sq Mtrs</t>
  </si>
  <si>
    <t>139.3545Sq Mtrs</t>
  </si>
  <si>
    <t xml:space="preserve">01.08.2017 Sanction Order I/04/02/2016 Admn dtd:13.07.2017 </t>
  </si>
  <si>
    <t>01.08.2020</t>
  </si>
  <si>
    <t>20,000/-</t>
  </si>
  <si>
    <t>As pproved By Commissioner Dharwad 'C' Shifted to Dharwad 'A&amp;B' Range Premises has been surrendered on 01.08.2020</t>
  </si>
  <si>
    <t>Gadag  'A'  &amp; B Range Dharwad Division</t>
  </si>
  <si>
    <t>Smt. G.H.Bulla Building Gujjar Basti, Gadag-582101</t>
  </si>
  <si>
    <t>111.4836Sq Mtrs</t>
  </si>
  <si>
    <t>120.7739Sq Mtrs</t>
  </si>
  <si>
    <t xml:space="preserve">01.02.2018 Sanction Order I/04/02/2016 Admn dtd:13.07.2017 </t>
  </si>
  <si>
    <t>13,000/-</t>
  </si>
  <si>
    <t>Rs.25/-</t>
  </si>
  <si>
    <t>Gadag  'C' Range Dharwad Division</t>
  </si>
  <si>
    <t>Smt. G.H.Bulla Building Gujjar Basti, Gadag-582102</t>
  </si>
  <si>
    <t>59.922435Sq Ft</t>
  </si>
  <si>
    <t>65.0321Sq Mtrs</t>
  </si>
  <si>
    <t>01.07.2018 Sanction Order I/4/01/1997Admn 03.02.2014</t>
  </si>
  <si>
    <t>*01.07.2021</t>
  </si>
  <si>
    <t>10,000/-</t>
  </si>
  <si>
    <t>*As approved By Commissioner Gadag 'B' Range Shifted to Gadag A Range Premises  Gadag B Range has been surrendered on 01.04.2020</t>
  </si>
  <si>
    <t>Office of the Superintendnet , CGST &amp; Central Excise , Parande Building, Rural Police Station, Old IB Road , Bagalkot -587301</t>
  </si>
  <si>
    <t>2400 Sq Feet (Closed Area) 3357 .39 Sq Feet Open Area</t>
  </si>
  <si>
    <t>Commissioner of Central Tax, Belagavi</t>
  </si>
  <si>
    <t>03 years  From 01/01/2018 to 31/12/2020</t>
  </si>
  <si>
    <t>15,000/- per Month</t>
  </si>
  <si>
    <t>Bellary Division Office [including Bellary Ranges 'A', 'B' &amp; 'C']</t>
  </si>
  <si>
    <t>III Floor, II Cross, Gandhi Nagar, Bellary - 583103</t>
  </si>
  <si>
    <t>622.45 Sq. mtrs [6700 sq ft]</t>
  </si>
  <si>
    <t>622.45 sq. mtrs [6700 sq ft]</t>
  </si>
  <si>
    <t>14.06.2018 / S.O. No. I/4/02/91-Admn/6500 dt. 03.11.2017</t>
  </si>
  <si>
    <t>Commissioner of CGST, Belagavi</t>
  </si>
  <si>
    <t>14.06.2021</t>
  </si>
  <si>
    <t xml:space="preserve">Raichur Ranges 'A' &amp; 'B' </t>
  </si>
  <si>
    <t xml:space="preserve">H. No. 1-10-47, Station Road, Raichur </t>
  </si>
  <si>
    <t>148.65 Sq. mtrs. [1600 Sq. ft]</t>
  </si>
  <si>
    <t>17.06.2019 / S.O. No. I/4/3/95-Admn Dt. 26.04.2019</t>
  </si>
  <si>
    <t>17.06.2022</t>
  </si>
  <si>
    <t>O/O Superintendent of Central Excise &amp; Central Excise,    Range Bidar , Gulbarga Division</t>
  </si>
  <si>
    <t>MIG 24, KHB Colony, Bidar-585401</t>
  </si>
  <si>
    <t>110.98</t>
  </si>
  <si>
    <t>01.09.2017</t>
  </si>
  <si>
    <t>01.09.2022</t>
  </si>
  <si>
    <t>9000/-</t>
  </si>
  <si>
    <t>81.09/-</t>
  </si>
  <si>
    <t>O/O Superintendent of Central Excise &amp; Central Excise,    Range Yadgir , Gulbarga Division</t>
  </si>
  <si>
    <t>Plot No. 7 and 18, Sy. No. 391/1-2A, 1st Floor, Chittapur Road, Yadgir</t>
  </si>
  <si>
    <t>01.10.2018</t>
  </si>
  <si>
    <t>01.10.2023</t>
  </si>
  <si>
    <t>15000/-</t>
  </si>
  <si>
    <t>187.50/-</t>
  </si>
  <si>
    <t>Directorate</t>
  </si>
  <si>
    <t>Directorate General of GST Intelligence</t>
  </si>
  <si>
    <t>No. 112, SP Enclave, Adjacent to Karnataka Bank, K.H.Road</t>
  </si>
  <si>
    <t>a) 12881 sq ft  b) 3274 sq ft area</t>
  </si>
  <si>
    <t>16155 sq ft</t>
  </si>
  <si>
    <t>a) 15-10-2016 &amp; b) 01/07/2017</t>
  </si>
  <si>
    <t>15/10/2019 for 1st agreement and 01/07/2020 for 2nd agreement</t>
  </si>
  <si>
    <t>Rs 9,53,143/- for total area of 16155 sq ft + car parking area</t>
  </si>
  <si>
    <t>Rs 50/- per sq.ft</t>
  </si>
  <si>
    <t>CGST, Bhopal Zone</t>
  </si>
  <si>
    <t>O/o the Supdt. Range-Sehore/ Rajgarh at Sehore</t>
  </si>
  <si>
    <t>Near Kotwali, Sehore</t>
  </si>
  <si>
    <t>19.11.2013</t>
  </si>
  <si>
    <t>HOD</t>
  </si>
  <si>
    <t>5 Years + extended two years</t>
  </si>
  <si>
    <t>due date 19.11.2020</t>
  </si>
  <si>
    <t>11463/-</t>
  </si>
  <si>
    <t>O/o the Supdt. Range-itarsi/Betul/ Hoshangabad at Itarsi</t>
  </si>
  <si>
    <t>Shree Gurunanak Dev, Free Dispensary, Gurunanak Bhawan, Itarsi</t>
  </si>
  <si>
    <t>29.05.2019</t>
  </si>
  <si>
    <t>01.06.2024</t>
  </si>
  <si>
    <t>30,000/-</t>
  </si>
  <si>
    <t>O/o the Asstt. Commissioner, Div-I &amp; II, Gwalior at Gwalior</t>
  </si>
  <si>
    <t>Garden Palace, Near James School, Dongarpur,Gwalior</t>
  </si>
  <si>
    <t>12.07.2017</t>
  </si>
  <si>
    <t>31.08.2020</t>
  </si>
  <si>
    <t>218000/-</t>
  </si>
  <si>
    <t>O/o the Supdt. Range-Morena at Banmore</t>
  </si>
  <si>
    <t>Opp. Club ward, 7 Adarsh Colony, A. B.  Road, Banmore</t>
  </si>
  <si>
    <t>01.07.2014</t>
  </si>
  <si>
    <t>30.06.2019</t>
  </si>
  <si>
    <t>10290/-</t>
  </si>
  <si>
    <t>O/o the Supdt. Range-Shivpuri/Sheopur/ Datia at Dabra</t>
  </si>
  <si>
    <t>Shivnagar, Dabra</t>
  </si>
  <si>
    <t>31.10.2023</t>
  </si>
  <si>
    <t>15500/-</t>
  </si>
  <si>
    <t>O/o the Supdt. Range-Guna/Ashok Nagar at Guna</t>
  </si>
  <si>
    <t>Near Patanjali Chikitasalaya Jagdish Colony, Guna</t>
  </si>
  <si>
    <t>01.09.2018</t>
  </si>
  <si>
    <t>01.09.2021</t>
  </si>
  <si>
    <t>14967/-</t>
  </si>
  <si>
    <t>Audit Commissionerate, Raipur</t>
  </si>
  <si>
    <t>O/o the Assistant Commissioner, CGST &amp; Central Excise, Audit Circle, Raigarh ,Audit Commissionerate, Raipur</t>
  </si>
  <si>
    <t>Hotel Sagarika International, Dhimrapur Chowk, Bypass Road, Raigarh (CG)-496001</t>
  </si>
  <si>
    <t>3 yrs</t>
  </si>
  <si>
    <t>Office of the Assistant Commissioner , Circle Jabalpur</t>
  </si>
  <si>
    <t>Office of the Assistant Commissioner (Audit),  1st &amp; 3rd Floor Katariya Plaza Near Sukhsagar Valley Narmada Road, Gwarighat Jabalpur</t>
  </si>
  <si>
    <t>COMMISSIONER</t>
  </si>
  <si>
    <t>30.09.2023</t>
  </si>
  <si>
    <t>84,877/-</t>
  </si>
  <si>
    <t>Office of the Assistant Commissioner (Audit),  Circle Satna</t>
  </si>
  <si>
    <t>Office of the Assistant Commissioner (Audit),  69, Master Plan, Civil Lines, Circle Satna (M.P.)</t>
  </si>
  <si>
    <t>01.11.2015</t>
  </si>
  <si>
    <t>45,000/-</t>
  </si>
  <si>
    <t xml:space="preserve">Office of the Assistant Commissioner (Audit),  Circle Gwalior </t>
  </si>
  <si>
    <t>Office of the Assistant Commissioner (Audit),  Circle Gwalior, 1st Floor Mela Vikas Pradhikaran Office, Mela Ground, Race Coure Road, Gwalior(M.P.)</t>
  </si>
  <si>
    <t>07.09.2016</t>
  </si>
  <si>
    <t>1,66,380/-</t>
  </si>
  <si>
    <t>Office of The Deputy/Assistant Commissioner, CGST &amp; CX</t>
  </si>
  <si>
    <t>510, Sector-III, Pithampur, DistDhar (MP)-454774</t>
  </si>
  <si>
    <t>23.01.2018</t>
  </si>
  <si>
    <t>05 years</t>
  </si>
  <si>
    <t>22.01.2023</t>
  </si>
  <si>
    <t>Office of The Deputy/Assistant Commissioner- CGST &amp; CX,</t>
  </si>
  <si>
    <t>7-A, Subhash Nagar, BT College Road Khandwa(MP)- 450001</t>
  </si>
  <si>
    <t>01.11.2017</t>
  </si>
  <si>
    <t>06 years</t>
  </si>
  <si>
    <t xml:space="preserve">O/o the DC/AC CGST, Division -I,  208, Corporate House, RNT marg, Indore MP </t>
  </si>
  <si>
    <t>I(II)03/2013/Admn/34714-716 dated 08.02.2014</t>
  </si>
  <si>
    <t>Initially hired for 5 years (period 08.02.2014 to 07.02.2019) howevere still running the Office in said premisses last renewed for one year w.e.f. 08.02.2019</t>
  </si>
  <si>
    <t>08.02.2020</t>
  </si>
  <si>
    <t>100669 (w.e.f. 08.02.2019)</t>
  </si>
  <si>
    <t>Presently, in the said hired premisses the Office of CGST and Central Excise Division-I Indore is running and working</t>
  </si>
  <si>
    <t>Office of The Deputy Commissioner/ Assistant Commissioner, CGST &amp; CEX.,  Div.-Jabalpur I &amp; II</t>
  </si>
  <si>
    <t>Kataria Plaza, Near Sukhsagar Valley, Narmada Road, Gwarighat, Jabalpur</t>
  </si>
  <si>
    <t>01.03.2019</t>
  </si>
  <si>
    <t>01.03.2019 to 28.02.2022 ( 03 Years)</t>
  </si>
  <si>
    <t>28.02.2022</t>
  </si>
  <si>
    <t>Office of The Superintendent, CGST &amp; CEX., Range- Gadarwara</t>
  </si>
  <si>
    <t>Meerangan, Station Road, Maharana Pratap Ward, Gadarwara, District- Narsinghpur</t>
  </si>
  <si>
    <t>01.03.2018</t>
  </si>
  <si>
    <t>01.03.2018 to 28.03.2021 ( 03 Years)</t>
  </si>
  <si>
    <t>28.02.2021</t>
  </si>
  <si>
    <t>Office of The Superintendent, CGST &amp; CEX., Range- Narsinghpur</t>
  </si>
  <si>
    <t>Flat No.-03, Ramnagar Colony, Belakpurkar Ward, Narsinghpur (M.P.)</t>
  </si>
  <si>
    <t>17.07.2018</t>
  </si>
  <si>
    <t>17.07.2018 to 16.07.2021</t>
  </si>
  <si>
    <t>16.07.2021</t>
  </si>
  <si>
    <t>Office of The Deputy Commissioner/ Assistant Commissioner, CGST &amp; CEX.,  Div.- Katni</t>
  </si>
  <si>
    <t>O/o The Deputy Commissioner/ Assistant Commissioner, CGST , Division - Katni, Jr HIG, D-3, Housing Board Colony, Shanti Nagar, Katni (MP) - 483501</t>
  </si>
  <si>
    <t>2 Months</t>
  </si>
  <si>
    <t>31/12/2020</t>
  </si>
  <si>
    <t>Rs. 10.5 per square feet</t>
  </si>
  <si>
    <t>O/o The Superintendent, CGST, Range - Sahdol</t>
  </si>
  <si>
    <t>O/o The Superintendent, CGST, Range - Sahdol, Indira - Kamlesh Villa, Sales Tax Complex, Behind Rajendra Talkies, Shahdol</t>
  </si>
  <si>
    <t>03 Years</t>
  </si>
  <si>
    <t>14/10/2021</t>
  </si>
  <si>
    <t>CGST, Range-I &amp; II, Waidhan and Range-Sidhi</t>
  </si>
  <si>
    <t>Khasra No.-851, Siddhu House, Ganiyari Road, Behind Ramleela Maidan, Waidhan, Dist.-Singrauli - 486886</t>
  </si>
  <si>
    <t>05.02.2015</t>
  </si>
  <si>
    <t>01.03.2015 to 29.02.2020</t>
  </si>
  <si>
    <t>01.03.2020</t>
  </si>
  <si>
    <t>The new contract/ The contract renewal process is currently underway.</t>
  </si>
  <si>
    <t>O/o The Superintendent, CGST, Range - I &amp; II</t>
  </si>
  <si>
    <t>Arjun Hotel, Railway Station, Damoh</t>
  </si>
  <si>
    <t>01.04.2017 to 31.03.2022</t>
  </si>
  <si>
    <t>Moti Masjid, Katara Bazar, Tikamgarh</t>
  </si>
  <si>
    <t>02.12.2019</t>
  </si>
  <si>
    <t>227, Shanti Nagar, Sagar Road, Chhatarpur</t>
  </si>
  <si>
    <t>31.08.2015</t>
  </si>
  <si>
    <t>01.09.2015 to 31.08.2020</t>
  </si>
  <si>
    <t>01.09.2020</t>
  </si>
  <si>
    <t>O/o The Superintendent, CGST, Range -Sausar/Pandhurna</t>
  </si>
  <si>
    <t>MPAKVN, Industrial Area, Boregaon, Tehsil Sausar, Dist. Chhindwara (MP)</t>
  </si>
  <si>
    <t>48.18 Sq. Meter</t>
  </si>
  <si>
    <t>12.06.1995</t>
  </si>
  <si>
    <t>Upto 31.03.2019</t>
  </si>
  <si>
    <t>01.04.2019</t>
  </si>
  <si>
    <t>4921/-</t>
  </si>
  <si>
    <t>O/o The Superintendent, CGST, Range -Balaghat</t>
  </si>
  <si>
    <t xml:space="preserve">C/o Shri Gopichand Sachdeo, Ward No.4, Near Railway Crossing, Baihar Chowky,Balaghat.Dist Blalghat (M.P)
</t>
  </si>
  <si>
    <t>65.03 Sq. Feet</t>
  </si>
  <si>
    <t>Upto 31.03.2023</t>
  </si>
  <si>
    <t>01.04.2023</t>
  </si>
  <si>
    <t>8932/-</t>
  </si>
  <si>
    <t>O/o The Superintendent, CGST, Range -Seoni</t>
  </si>
  <si>
    <t>Mission Complex, Barapathhar, Seoni, Dist. Seoni (MP)</t>
  </si>
  <si>
    <t>37.16 Sq. Meter</t>
  </si>
  <si>
    <t>3240/-</t>
  </si>
  <si>
    <t>CGST R-I/II Maihar</t>
  </si>
  <si>
    <t>Chopra Complex Station road Maihar</t>
  </si>
  <si>
    <t>01.05.2015</t>
  </si>
  <si>
    <t>JointCommissioner</t>
  </si>
  <si>
    <t>3 years.</t>
  </si>
  <si>
    <t>01.05.2018</t>
  </si>
  <si>
    <t>28137/-</t>
  </si>
  <si>
    <t>168.26/-</t>
  </si>
  <si>
    <t>Customs Commissionerate, Indore</t>
  </si>
  <si>
    <t>1300.64 Sq. Mtrs. (14000 Sq. Ft.)</t>
  </si>
  <si>
    <t>1430.70 Sq. Mtrs. (15400 Sq. Ft.) (Approx)</t>
  </si>
  <si>
    <t>09/10/2019, F.No. 924/Hiring/Indore Commr./HRD/2019-20 Govt. of India, Min. of Finance, Department of Revenue, CBITC, New Delhi 28/08/2019</t>
  </si>
  <si>
    <t>Under Sec. to the Govt. of India</t>
  </si>
  <si>
    <t>545020 + GST</t>
  </si>
  <si>
    <t>419.04 per Sq. Mtr. of Carpet Area (38.93 per Sq. Ft. of Carpet Area)</t>
  </si>
  <si>
    <t>Range-IV &amp; V   Jagdalpur (Div-IV, Raipur)</t>
  </si>
  <si>
    <t>Swapnil Bhawan Behind Danteswari College, Shanti Nagar, Jagdalpur, Bastar</t>
  </si>
  <si>
    <t>20.06.2012</t>
  </si>
  <si>
    <t>Pr.Commissioner, Central GST Hqrs, Raipur</t>
  </si>
  <si>
    <t>18000/-</t>
  </si>
  <si>
    <t>Div-Korba with all Range offices</t>
  </si>
  <si>
    <t>Nidhi Biz Complex, 1st Floor, plot No. 05, infront of Hotel Heritage INN, Transport Nagar Korba-495677</t>
  </si>
  <si>
    <t>1,44,176/-</t>
  </si>
  <si>
    <t>Div-Raigarh with all Range Offices except Ambikapur</t>
  </si>
  <si>
    <t>Hotel sagarika International, Dhimrapur Chowk, By Pass Road, Raigarh (C.G.)</t>
  </si>
  <si>
    <t>Additional Commissioner (P&amp;V)</t>
  </si>
  <si>
    <t>1,48,625/-</t>
  </si>
  <si>
    <t>Range-Ambikapur, Div-Raigarh</t>
  </si>
  <si>
    <t>Sinha Complex, Trikon Chowk, Ambikapur (C.G.)</t>
  </si>
  <si>
    <t>3,615/-</t>
  </si>
  <si>
    <t>Range-III, Div-Bilaspur</t>
  </si>
  <si>
    <t>Station Road, Barpali Chowk, Champa</t>
  </si>
  <si>
    <t>11,700/-</t>
  </si>
  <si>
    <t xml:space="preserve">Range-V, Bhatapara, Div- Bilaspur </t>
  </si>
  <si>
    <t>KK Ward, Hathnipara, Bhatapara</t>
  </si>
  <si>
    <t>62,900/-</t>
  </si>
  <si>
    <t>Range-III &amp; IV, Rajnandgaon, Div-II, Bhilai</t>
  </si>
  <si>
    <t>M-19, Anupam Nagar, Rajnandgaon</t>
  </si>
  <si>
    <t>Not extended</t>
  </si>
  <si>
    <t>4,080/-</t>
  </si>
  <si>
    <t xml:space="preserve">Owner has not extended the lease agreement and requested to vacat the property </t>
  </si>
  <si>
    <t>CGST &amp; Central Excise, Audit Indore</t>
  </si>
  <si>
    <t>Comissioner, Audit Indore</t>
  </si>
  <si>
    <t>5th Floor, Omega Tower, Vijay Nagar, Indore</t>
  </si>
  <si>
    <t>13/11/2018</t>
  </si>
  <si>
    <t>2 Years</t>
  </si>
  <si>
    <t>21/11/2020`</t>
  </si>
  <si>
    <t>21/01/2021</t>
  </si>
  <si>
    <t>Asstt Commissioner, Circle IV &amp; V, Audit Indore</t>
  </si>
  <si>
    <t>1st &amp; 2nd Floor, Transport Nagar, BSNL, Indore</t>
  </si>
  <si>
    <t xml:space="preserve"> 3 Year</t>
  </si>
  <si>
    <t>28/02/2022</t>
  </si>
  <si>
    <t>Asstt Commissioner, Circle VI, Ujjain</t>
  </si>
  <si>
    <t>C-25/10, shri Mahakak, Vinigiyak Center, Ujjain</t>
  </si>
  <si>
    <t>GST &amp; Central Excise BBSR-I &amp; II Divn and their 11 Range offices</t>
  </si>
  <si>
    <t>Sri H.K. Tripathy , Plot No. 258, District Center, Chandrasekharpur, Bhubneswar-751016</t>
  </si>
  <si>
    <t>01.08.2014.
F. No. 924/21/Hiring/BhubaneswarDivision/HRD /2016
dated. 08.01.2018.</t>
  </si>
  <si>
    <t>13.11.2019</t>
  </si>
  <si>
    <t>GST &amp; Central Excise Khurda-I &amp; II Range office</t>
  </si>
  <si>
    <t>Geetanjali Das, Plot No.428/1015, Valiabadi, Pallahat, Khurda-752056.</t>
  </si>
  <si>
    <t>22.10.2018.</t>
  </si>
  <si>
    <t>22.10.2021</t>
  </si>
  <si>
    <t>GST &amp; Central Excise Puri-I &amp; II Range</t>
  </si>
  <si>
    <t>VIP Road Area, Near Convent School, Puri-752002.</t>
  </si>
  <si>
    <t>01.07.2020.</t>
  </si>
  <si>
    <t>01.07.2023</t>
  </si>
  <si>
    <t>GST &amp; Central Excise Nayagarh Range</t>
  </si>
  <si>
    <t>Sri Gopal Chandra Pattnaik, Plot No. 604, At/PO.- Lekudipada, Nayagarh-752070.</t>
  </si>
  <si>
    <t>04.12.2017.</t>
  </si>
  <si>
    <t>04.12.2020</t>
  </si>
  <si>
    <t>GST &amp; Central Excise CTC-I Divn &amp; CTC -III,IV, V, &amp; VI Range office</t>
  </si>
  <si>
    <t>Plot No-5(P), Sector-6, Abhinav Bidanasi, CDA, Cuttack-753014.</t>
  </si>
  <si>
    <t>12.01.1991.</t>
  </si>
  <si>
    <t>12.01.2021</t>
  </si>
  <si>
    <t>GST &amp; Central Excise CTC-I &amp; II Range</t>
  </si>
  <si>
    <t>Plot No: 1195/30, Sector-6, CDA, Cuttack-753014.</t>
  </si>
  <si>
    <t>25.02.2015.</t>
  </si>
  <si>
    <t>25.02.2020</t>
  </si>
  <si>
    <t>GST &amp; Central Excise Dhenkanal I &amp; II Range</t>
  </si>
  <si>
    <t>Plot No-1413, Hata Road, At- Gopabandhu Bazar, Dhenkanal.</t>
  </si>
  <si>
    <t>20.09.2017.</t>
  </si>
  <si>
    <t>GST &amp; Central Excise CTC-II Divn &amp; CTC -VII,VIII &amp; IX Range office</t>
  </si>
  <si>
    <t>Plot No-C/12, Sector-6, Abhinav Bidanasi, CDA, Cuttack-753014.</t>
  </si>
  <si>
    <t>25.02.2015</t>
  </si>
  <si>
    <t>GST &amp; Central Excise Kendrapara, Range</t>
  </si>
  <si>
    <t>Smt. Bandana Choudhury, Plot No.680/1828, Garpur, Kendrapara-754250.</t>
  </si>
  <si>
    <t>11.10.2017</t>
  </si>
  <si>
    <t>11.10.2022</t>
  </si>
  <si>
    <t>GST &amp; Central Excise Jagatsinghpur Range</t>
  </si>
  <si>
    <t>Sri Sriram Chandra Sahoo, Plot No.276/543 Mahalaxmi Market Complex, Gopalsagar, Jagatsinghpur.</t>
  </si>
  <si>
    <t>05.10.2017</t>
  </si>
  <si>
    <t>05.10.2022</t>
  </si>
  <si>
    <t>GST &amp; Central Excise Choudwar Range office</t>
  </si>
  <si>
    <t>Baikunth Shri Bhavan, At/Po-Kapaleswar, P.s-Chodwar, Dist-Cuttack-754071.</t>
  </si>
  <si>
    <t>01.03.2024</t>
  </si>
  <si>
    <t>GST &amp; Central Excise Balasore Division and I, III &amp; IV Range</t>
  </si>
  <si>
    <t>Kuntala Nandi, Plot No. 273/617, Khata No. 274, Bhaskarganj-A, White House lane, Balasore-756001</t>
  </si>
  <si>
    <t>01.04.2017
C.NO. I(11)2/GL/ACM/BBSR-II/2009/5991-A
dated 14.06.2017.</t>
  </si>
  <si>
    <t>GST &amp; Central Excise Bhadrak &amp; Dhamra Range</t>
  </si>
  <si>
    <t>Sri Ballav Das, Plot No.799/2154, Ward No.10, Jagganathpur, Bhadrak-756100</t>
  </si>
  <si>
    <t xml:space="preserve">01.03.2019
C.No. I(11)5/GL/B-I/2014/3645-A  
dated 11.02.2019.
</t>
  </si>
  <si>
    <t>GST &amp; Central Excise Jajpur Divn &amp; Its Five Range</t>
  </si>
  <si>
    <t>Plot No. 1016, Khata No. 19, Sapagadia, Jajpur Road, Jajpur, Odisha- 755020.</t>
  </si>
  <si>
    <t>02.03.2018
C.No. I(11)06/GL/B-I/07/13323-A
dated 25.04.2018.</t>
  </si>
  <si>
    <t>02.03.2021</t>
  </si>
  <si>
    <t>GST &amp; Central Excise Berhampur Divn&amp; Berhampur- I, II, III &amp; IV Range office</t>
  </si>
  <si>
    <t>Old Be.D.A. Office Building, Khata No. 314, Mardarajpur, Berhampur, Odisha-760004.</t>
  </si>
  <si>
    <t>24.11.2017</t>
  </si>
  <si>
    <t>25.11.2027</t>
  </si>
  <si>
    <t>GST &amp; Central Excise Jeypore-I &amp; II Range</t>
  </si>
  <si>
    <t>Susil Kumar Nayak, New Bank Colony, P.R. Peta, Jeypore</t>
  </si>
  <si>
    <t>01.06.2016</t>
  </si>
  <si>
    <t>01.06.2019</t>
  </si>
  <si>
    <t>GST &amp; Central Excise Bhawanipatna Range</t>
  </si>
  <si>
    <t>Sri Arun Kumar Parida, Paradeshi Para, Bhawanipatna</t>
  </si>
  <si>
    <t>26.12.2014</t>
  </si>
  <si>
    <t>26.12.2019</t>
  </si>
  <si>
    <t>GST &amp; CENTRAL EXCISE ROURKELA COMMISSIONERATE</t>
  </si>
  <si>
    <t>GST &amp; Central Excise, Rourkela Commissionerate Hqrs</t>
  </si>
  <si>
    <t>KK-42, Civil Township, Rourkela, Odisha, Pin-769004</t>
  </si>
  <si>
    <t>01.02.2019</t>
  </si>
  <si>
    <t>1,43,340/-</t>
  </si>
  <si>
    <t>GST &amp; Central Excise, Rourkela -II Division</t>
  </si>
  <si>
    <t>71,670/-</t>
  </si>
  <si>
    <t>Bargarh- I &amp; II Range (Sambalpur- II Division)</t>
  </si>
  <si>
    <t>Plot No- 7955/100063, Panchayat College Road, W.No. 13, Bargarh, 768028</t>
  </si>
  <si>
    <t>13000/-</t>
  </si>
  <si>
    <t>Balangir I &amp; II Range (Sambalpur- II Division)</t>
  </si>
  <si>
    <t>Plot No- 1466/8427, Palace line Koshal Tower, Balangir- 767001</t>
  </si>
  <si>
    <t>01.01.2019</t>
  </si>
  <si>
    <t>01.01.2022</t>
  </si>
  <si>
    <t>34,940/-</t>
  </si>
  <si>
    <t>GST &amp; Central Excise, Keonjhar Division</t>
  </si>
  <si>
    <t>Keonjhar, Odisha</t>
  </si>
  <si>
    <t>01.11.2019</t>
  </si>
  <si>
    <t>01.11.2022</t>
  </si>
  <si>
    <t>61,500/-</t>
  </si>
  <si>
    <t>Keonjhar-I &amp; II Range (Keonjhar Division)</t>
  </si>
  <si>
    <t>01.09.2019</t>
  </si>
  <si>
    <t>12,700/-</t>
  </si>
  <si>
    <t>Rairangpur Range (Keonjhar Division)</t>
  </si>
  <si>
    <t>Rairangpur, Mayurbhanj, Odisha</t>
  </si>
  <si>
    <t>17,280/-</t>
  </si>
  <si>
    <t>Barbil Range (Keonjhar Division)</t>
  </si>
  <si>
    <t>Barbil, Odisha</t>
  </si>
  <si>
    <t>01.11.2018</t>
  </si>
  <si>
    <t>01.11.2021</t>
  </si>
  <si>
    <t>4,545/-</t>
  </si>
  <si>
    <t>GST &amp; Central Excise, Jharsuguda Division</t>
  </si>
  <si>
    <t>Plot No- 2605/8399 &amp; 2611/8400, Banamali Basera, Cox Colony, Industrial Estate, Jharsuguda, Pin- 768203</t>
  </si>
  <si>
    <t>01.08.2018</t>
  </si>
  <si>
    <t>31.08.2021</t>
  </si>
  <si>
    <t>1,23,552/-</t>
  </si>
  <si>
    <t>GST &amp; Central Excise, Angul Division</t>
  </si>
  <si>
    <t>Plot No- 838/2196, At- 1st Lane, Similipada, Pal Bhawan, Near Nigamananda Ashram, Angul- 759122</t>
  </si>
  <si>
    <t>Joint Commissioner</t>
  </si>
  <si>
    <t>61,919/-</t>
  </si>
  <si>
    <t>CGST Zone Chandigarh</t>
  </si>
  <si>
    <t xml:space="preserve">CGST Jalandhar
</t>
  </si>
  <si>
    <t>O/o the Assistant
Commissioner, CGST
Division, G. T. Road, Opposite Railway Station,
Batala-143505.</t>
  </si>
  <si>
    <t>G.T.Road,  Opposite Railway Station, Batala-143505.</t>
  </si>
  <si>
    <t xml:space="preserve"> 01.06.2018</t>
  </si>
  <si>
    <t xml:space="preserve"> Commissioner</t>
  </si>
  <si>
    <t>05-Years</t>
  </si>
  <si>
    <t>After completion of 05 years i.e. 01.06.2023</t>
  </si>
  <si>
    <t>Rs.122780/-</t>
  </si>
  <si>
    <t>1st Floor and 2nd Floor RK Tower Building near Presisdency Hotel, Model Town  Hoshiarpur, PIN- 146001</t>
  </si>
  <si>
    <t>28.03.2019</t>
  </si>
  <si>
    <t>27.03.2024</t>
  </si>
  <si>
    <t>Rs. 145000/- + GST per month</t>
  </si>
  <si>
    <t>Rs.240.46 per sq m</t>
  </si>
  <si>
    <t>Division Office Kapurthala</t>
  </si>
  <si>
    <t>Ist floor, SBI Building, Aman Nagar, Kapurthala</t>
  </si>
  <si>
    <t>01.07.2015</t>
  </si>
  <si>
    <t>Assistatant Commissioner</t>
  </si>
  <si>
    <t>Due of renewal</t>
  </si>
  <si>
    <t>Range III, Sultanpur Lodhi</t>
  </si>
  <si>
    <t>Opp. Civil hospital, Ber sabih road, Sultanpur Lodhi</t>
  </si>
  <si>
    <t>04.04.2018</t>
  </si>
  <si>
    <t>04.04.2021</t>
  </si>
  <si>
    <t>CGST Jalandhar</t>
  </si>
  <si>
    <t>Range V, Nakodar</t>
  </si>
  <si>
    <t>Shop No. 1, Bhalla Complex, Bhalla enclave, Jalandhar Road, Nakodar</t>
  </si>
  <si>
    <t>22.03.2018</t>
  </si>
  <si>
    <t>22.03.2021</t>
  </si>
  <si>
    <t>CGST Division Pathankt</t>
  </si>
  <si>
    <t>Mission Road Pathankot</t>
  </si>
  <si>
    <t>141* as per record available</t>
  </si>
  <si>
    <t>Not available in the record</t>
  </si>
  <si>
    <t xml:space="preserve">30.04.1990 </t>
  </si>
  <si>
    <t xml:space="preserve"> not available in the record</t>
  </si>
  <si>
    <t>2 years</t>
  </si>
  <si>
    <t xml:space="preserve">22.69 itself </t>
  </si>
  <si>
    <t>CGST Division-II, Amritsar</t>
  </si>
  <si>
    <t>B-12, Ranjit Avenue, Amritsar</t>
  </si>
  <si>
    <t>01.07.2019</t>
  </si>
  <si>
    <t>30.06.2024</t>
  </si>
  <si>
    <t>1,21,536/- + GST</t>
  </si>
  <si>
    <t>Range-Tarn Tarna, Div-II, Amritsar</t>
  </si>
  <si>
    <t>Gill Complex, Amritsar road, Tarn Taran</t>
  </si>
  <si>
    <t>01.10.2017</t>
  </si>
  <si>
    <t>30.09.2020</t>
  </si>
  <si>
    <t>20000/- (including taxes)</t>
  </si>
  <si>
    <t>CGST Range -I/II/III, SBS NAGAR, Division Phagwara</t>
  </si>
  <si>
    <t>R.V Tower, Chandigarh Road, Nawanshahar</t>
  </si>
  <si>
    <t>_______</t>
  </si>
  <si>
    <t>12.07.2023</t>
  </si>
  <si>
    <t>76,788/-</t>
  </si>
  <si>
    <t>CGST Range-I toV of Division-I jalandhar and CGST Range-III and IV of Division-II Jalandhar</t>
  </si>
  <si>
    <t>SCO-45, PUDA Complex, Opp Tehsil Complex, Jalandhar</t>
  </si>
  <si>
    <t>01.04.2003              (presently hired w.e.f 15.04.2017)</t>
  </si>
  <si>
    <t>Headquarter Office</t>
  </si>
  <si>
    <t>36  months</t>
  </si>
  <si>
    <t>14.04.2020</t>
  </si>
  <si>
    <t>Rs 107639/-</t>
  </si>
  <si>
    <t>CGST Jammu</t>
  </si>
  <si>
    <t>O/o Superintendent, CGST Range-1, 2, 3 &amp; 4 of CGST Division-Jammu-1</t>
  </si>
  <si>
    <t>43, Ashok Nagar, Satwari Jammu-180004</t>
  </si>
  <si>
    <t>482.65 Sq. Metres (5195.25 Sq. Feet)</t>
  </si>
  <si>
    <t>30.01.2018</t>
  </si>
  <si>
    <t xml:space="preserve">03-Years (From 17.05.2016 to 16.05.2019) </t>
  </si>
  <si>
    <t>17.05.2019</t>
  </si>
  <si>
    <t>47400/- per month</t>
  </si>
  <si>
    <t>The lease deed is due for renewal and the same is under process. By the time lease deed is renewed, rent at the earlier agreed rate is being given to the landlord.</t>
  </si>
  <si>
    <t>O/o Superintendent, CGST Range-5 of CGST Division-Jammu-1</t>
  </si>
  <si>
    <t>Khasra No.188 Min, Khewat No.2, Khata No.31 Min, Opposite Gurudwara Byepass, Chhanni Rama, Jammu-180011</t>
  </si>
  <si>
    <t>165.05 Sq. Metres (1776.62 Sq. Feet)</t>
  </si>
  <si>
    <t>08.06.2018</t>
  </si>
  <si>
    <t xml:space="preserve">03-Years (From 08.06.2018 to 07.06.2021) </t>
  </si>
  <si>
    <t>59000/- per month</t>
  </si>
  <si>
    <t>CGST Range-II, Rajouri (Div-II)</t>
  </si>
  <si>
    <t>Ward No. 7 Tariq Bridge, Rajouri</t>
  </si>
  <si>
    <t>138 sq. Mtrs.</t>
  </si>
  <si>
    <t>03.04.2019</t>
  </si>
  <si>
    <t>Commisssioner, CGST, Jammu</t>
  </si>
  <si>
    <t>01.04.2019 to 30.03.2022</t>
  </si>
  <si>
    <t>Rs. 39500/- per month</t>
  </si>
  <si>
    <t>CGST Range-III, Udhampur (Div-II)</t>
  </si>
  <si>
    <t>Opposite Sant Park, New Jail Road, Udhampur</t>
  </si>
  <si>
    <t>158 sq. Feet</t>
  </si>
  <si>
    <t xml:space="preserve">02.04.2019 </t>
  </si>
  <si>
    <t>Rs. 24600/- per month</t>
  </si>
  <si>
    <t>CGST Range-IV, Katra (Div-II)</t>
  </si>
  <si>
    <t>Hotel Kerni Palace, Katra</t>
  </si>
  <si>
    <t>138 sq. Mtrs</t>
  </si>
  <si>
    <t>20.03.2019</t>
  </si>
  <si>
    <t>12.03.2019 to 01.03.2022</t>
  </si>
  <si>
    <t>02.03.2022</t>
  </si>
  <si>
    <t>Rs. 80000/- per month</t>
  </si>
  <si>
    <t xml:space="preserve">(1) O/o Assistant Commissioner, CGST Division, Samba,             (2)  O/o Superintendent, CGST Range-1, 2 &amp; 3 of CGST Division, Samba   </t>
  </si>
  <si>
    <t>Ward No.5, Mandi Kotli, Opposite District Hospital, Samba(J&amp;K) 184121</t>
  </si>
  <si>
    <t>789.14 Sq. Metres (8494.27 Sq. Feet)</t>
  </si>
  <si>
    <t>03-Years (From 01.07.2018 to 30.06.2021)</t>
  </si>
  <si>
    <t>01.07.2021</t>
  </si>
  <si>
    <t>135000/-+GST per month</t>
  </si>
  <si>
    <t xml:space="preserve">O/o Superintendent, CGST Range-4 &amp; 5(Kathua) of CGST Division, Samba   </t>
  </si>
  <si>
    <t>Survey No. 428/179/88 min, Situated at Chak Sona Nupa, Ward No. 16, Upper Shiva Nagar, Near OBC Bank, Kathua-184101</t>
  </si>
  <si>
    <t>320.33 Sq. Metres (3448 Sq. Feet)</t>
  </si>
  <si>
    <t>320.33 Sq. Metres</t>
  </si>
  <si>
    <t>28.11.2017</t>
  </si>
  <si>
    <t>03-Years (From 01-12-2017 to 30-11-2020)</t>
  </si>
  <si>
    <t>01.12.2020</t>
  </si>
  <si>
    <t>93,000/-+GST per month</t>
  </si>
  <si>
    <t xml:space="preserve">(1) O/o Assistant Commissioner, CGST Division, Srinagar             (2)  O/o Superintendent, CGST Range-1, 2, 3 , 4  &amp;  5 of CGST Division, Srinagar   </t>
  </si>
  <si>
    <t>Hotel Mini Ikhwan, Bishember Nagar, Srinagar-190001</t>
  </si>
  <si>
    <t>861.39 sq. Mt. (9271.88 sft)</t>
  </si>
  <si>
    <t>01.08.2006; (Sanction order issued by MOF on 27.07.2006)</t>
  </si>
  <si>
    <t>U/Secretary to GOI, MOF, Deptt of Revenue</t>
  </si>
  <si>
    <t>Initially 3 years, renewed from time to time thereafter.</t>
  </si>
  <si>
    <t>Lease deed is due for renewal since 01.05.2020.</t>
  </si>
  <si>
    <t>164576/- per month</t>
  </si>
  <si>
    <t>Residential accommodation for staff of Customs &amp; CGST Division Srinagar</t>
  </si>
  <si>
    <t>Bishember Nagar, Srinagar</t>
  </si>
  <si>
    <t>178.93 sq mtrs  (1926 sft)</t>
  </si>
  <si>
    <t>01.06.2011 ( Grant fo sanction conveyed vide letter dated 11.08.2011)</t>
  </si>
  <si>
    <t>Commisssioner, CCE J&amp;K</t>
  </si>
  <si>
    <t>Initially 5 years, renewed from time to time thereafter.</t>
  </si>
  <si>
    <t>Lease deed is due for renewal since 01.06.2020.</t>
  </si>
  <si>
    <t>40250/- per month</t>
  </si>
  <si>
    <t>CGST Divison-I, Bathinda alongwith its   CGST Range Offices .</t>
  </si>
  <si>
    <t>M.R. Complex,SCO No. 25-26, Model Town, Phase-2, Bathinda.</t>
  </si>
  <si>
    <t>5900 Square Feet (548.13 approx Sq. Mtrs)</t>
  </si>
  <si>
    <t xml:space="preserve">  CNo I-11(4)Admn/Hqrs/91/Pt/524 dated 23.06.2015</t>
  </si>
  <si>
    <t>Principal Commissioner, Central Excise Commissionerate, Chandigarh-II.</t>
  </si>
  <si>
    <t>01.08.2015 to 31.07.2020</t>
  </si>
  <si>
    <t>31.07.2020</t>
  </si>
  <si>
    <t>Rs1,49,654</t>
  </si>
  <si>
    <t>Rs22.25 Per Sq. Feet( Rs273.02 per Sq.Mtr)</t>
  </si>
  <si>
    <t>CGST Ludhiana</t>
  </si>
  <si>
    <t>CGST Division-II, Bathinda alongwith its five CGST Range Offices i.e. CGST Range-I, II, Rampura, Phul, Nathana</t>
  </si>
  <si>
    <t xml:space="preserve">Ludhiana Square, SCO 18-19, Model Town, Phase II, Bathinda </t>
  </si>
  <si>
    <t>6142.06 Square Feet</t>
  </si>
  <si>
    <t>I-II(3)A/H/2017/4345 dated 06.03.2018</t>
  </si>
  <si>
    <t>Principal Commissioner, CGST Commissionerate, Ludhiana</t>
  </si>
  <si>
    <t>13.04.2018 to 13.04.2021</t>
  </si>
  <si>
    <t>13.04.2021</t>
  </si>
  <si>
    <t>Rs.1,53,552/-</t>
  </si>
  <si>
    <t>Rs25 Per Sq. Feet</t>
  </si>
  <si>
    <t>CGST Division-Ludhiana(Central) &amp; its five Ranges, Ludhiana(North) &amp; its five Ranges, Ferozepur &amp; its two Ranges</t>
  </si>
  <si>
    <t>Savitri Complex-II, 1st floor, Dada Motors, G.T. Road, Ludhiana</t>
  </si>
  <si>
    <t>01.02.2008</t>
  </si>
  <si>
    <t>IFU</t>
  </si>
  <si>
    <t>3 years(renewed on 01.02.2016)</t>
  </si>
  <si>
    <t>31.01.2019</t>
  </si>
  <si>
    <t>Office of the Assistant Commissioner/Office ot the Superintendent, CGST Division/Range Sri Muktsar Sahib</t>
  </si>
  <si>
    <t>GST Bhawan Opposite Malwa Ortho Hospital kotkapura Road Sri Muktsar Sahib</t>
  </si>
  <si>
    <t xml:space="preserve">533.40 Sq Mtrs. </t>
  </si>
  <si>
    <t xml:space="preserve">12.03.2018 
C.No. I-11(10)A/H/2017/3037  Dated 13.02.2018 </t>
  </si>
  <si>
    <t xml:space="preserve"> 3 Years</t>
  </si>
  <si>
    <t>11.03.2021</t>
  </si>
  <si>
    <t xml:space="preserve">360.58 Sq Mtrs. </t>
  </si>
  <si>
    <t xml:space="preserve">                                  -</t>
  </si>
  <si>
    <t>Office of the Superintendent CGST Range Faridkot(CGST Division Sri Muktsar Sahib)</t>
  </si>
  <si>
    <t>1st Floor Batth Complex , Old Cant Road , Faridkot</t>
  </si>
  <si>
    <t xml:space="preserve"> 124 Sq Mtrs. </t>
  </si>
  <si>
    <t xml:space="preserve">14.11.2017
C.No. I-11(11)A/H/2017/10107 Dated 03.11.2017 </t>
  </si>
  <si>
    <t>13.11.2020</t>
  </si>
  <si>
    <t xml:space="preserve">279.28 Sq Mtrs. </t>
  </si>
  <si>
    <t xml:space="preserve">                                 -</t>
  </si>
  <si>
    <t>Office of the Superintendent CGST Range Malout(CGST Division Sri Muktsar Sahib)</t>
  </si>
  <si>
    <t>Shop No. 50 , 1st Floor ,New Grain Market Malout</t>
  </si>
  <si>
    <t xml:space="preserve"> 156 Sq Mtrs. </t>
  </si>
  <si>
    <t>27.01.2003</t>
  </si>
  <si>
    <t>CGST COMMISSIONERATE CHANDIGARH</t>
  </si>
  <si>
    <t>26.01.2006</t>
  </si>
  <si>
    <t xml:space="preserve">57.69 Sq Mtrs. </t>
  </si>
  <si>
    <t>CGST Division, Sangrur alongwith its range i.e. CGST Range, Sangrur, CGST Range, Sunam, CGST Range, Lehragaga</t>
  </si>
  <si>
    <t>Zakhmi Building,Dhuri Patiala Bye Pass Road, Shivam Colony, Sangrur</t>
  </si>
  <si>
    <t>5340.82 Sq. Feet</t>
  </si>
  <si>
    <t>16.03.2018/ C.No. I-11(6)A/H/2017/4184 dated 01.03.2018</t>
  </si>
  <si>
    <t xml:space="preserve"> Commissioner, CGST Commissionerate, Ludhiana</t>
  </si>
  <si>
    <t>15.03.2021</t>
  </si>
  <si>
    <t>Rs.125509.27</t>
  </si>
  <si>
    <t>23.50 per Sq. feet</t>
  </si>
  <si>
    <t>CGST Range,Malerkotla(CGST Division Sangrur)</t>
  </si>
  <si>
    <t>Kothi No. 22, Guru Gobind Singh Colony, Malerkotla</t>
  </si>
  <si>
    <t>1171.00 Sq. Feet</t>
  </si>
  <si>
    <t xml:space="preserve">13.02.2020 /File No.  ADMIN-INFR0HRNG/8/2019-DIV-GST-SNG dated 19.05.2020 </t>
  </si>
  <si>
    <t>12.02.2025</t>
  </si>
  <si>
    <t>Rs. 15563/-</t>
  </si>
  <si>
    <t>13.29 per Sq. Feet</t>
  </si>
  <si>
    <t>CGST Range,Dhuri(CGST Division Sangrur)</t>
  </si>
  <si>
    <t>W.No. 7 B, H.No. 8, Near Telephone Exchange, Dhuri</t>
  </si>
  <si>
    <t>1331.97 Sq. feet</t>
  </si>
  <si>
    <t>05.03.2018 / C.No. I-11(6)A/H/2017/10565 dated17.11.2017</t>
  </si>
  <si>
    <t>04.03.2021</t>
  </si>
  <si>
    <t>18.50 per Sq. feet</t>
  </si>
  <si>
    <t xml:space="preserve">   CGST Range Offices ,Mandi Gobindgarh</t>
  </si>
  <si>
    <t>S.C.O No.519,Sector 20A,Mandi Gobindgarh</t>
  </si>
  <si>
    <t>6769.56 Square Feet (628.91 approx Sq. Mtrs)</t>
  </si>
  <si>
    <t xml:space="preserve">  CNo I-II(1)Admn/Hqrs/MGG/2015/1140 dated 23.02.2016</t>
  </si>
  <si>
    <t>01.07.2016 to 30.06.2019</t>
  </si>
  <si>
    <t>Rs1,50,000</t>
  </si>
  <si>
    <t>Rs22.15 Per Sq. Feet( Rs238.50 per Sq.Mtr)</t>
  </si>
  <si>
    <t xml:space="preserve">   CGST Division Office ,Mandi Gobindgarh</t>
  </si>
  <si>
    <t>Municipal No.323/340,Block-C,Sector-3,Loha Bazar,Mandi Gobindgarh</t>
  </si>
  <si>
    <t>5365 Square Feet (498.42 approx Sq. Mtrs)</t>
  </si>
  <si>
    <t xml:space="preserve">  CNo I-II(1)Admn/Hqrs/2013/3487 dated 11.04.2016</t>
  </si>
  <si>
    <t>17.09.2016 to 16.09.2019</t>
  </si>
  <si>
    <t>17.09.2019</t>
  </si>
  <si>
    <t>Rs.99,520</t>
  </si>
  <si>
    <t>Rs.18.54 Per Sq. Feet( Rs.199.67 per Sq.Mtr)</t>
  </si>
  <si>
    <t>CGST Divison-Khanna alongwith its   CGST Range Offices .</t>
  </si>
  <si>
    <t>CGST Division,555/3,G T Road above OBC Bank,Khanna.</t>
  </si>
  <si>
    <t>2703 Square Feet (251.1169 approx Sq. Mtrs)</t>
  </si>
  <si>
    <t xml:space="preserve">  CNo I-II(4)Admn/02/pt dated 07.11.2019</t>
  </si>
  <si>
    <t>01.08.2018 to 31.07.2021</t>
  </si>
  <si>
    <t>Rs.46,106</t>
  </si>
  <si>
    <t>Rs17.05 Per Sq. Feet( Rs183.60 per Sq.Mtr)</t>
  </si>
  <si>
    <t>CGST Division Barnala</t>
  </si>
  <si>
    <t>B-013-00153, T.R.Tower, Near Court Chowk, Barnala</t>
  </si>
  <si>
    <t>10.11.2017                            C.No. I-11(14)A/H/2017/9644                   dated 24.10.2017</t>
  </si>
  <si>
    <t>10.11.2020</t>
  </si>
  <si>
    <t>202951.16/-</t>
  </si>
  <si>
    <t>38/-</t>
  </si>
  <si>
    <t>CGST Divison Ludhiana-East</t>
  </si>
  <si>
    <t>Majestic Tower, BXXX-154, Kailash Nagar, Focal Point Road, Sherpur, Ludhiana-141010</t>
  </si>
  <si>
    <t>7343.91 Square Feet (682.27 approx Sq. Mtrs)</t>
  </si>
  <si>
    <t xml:space="preserve">  05.02.2018, C.No. I-11(16)A/H/2017/239A dated 17.01.2018</t>
  </si>
  <si>
    <t>05.02.2018 to 05.02.2021</t>
  </si>
  <si>
    <t>05.02.2021</t>
  </si>
  <si>
    <t xml:space="preserve">Rs 1,61,566/- +GST </t>
  </si>
  <si>
    <t>Rs 22 Per Sq. Feet( Rs 236.81 per Sq.Mtr)</t>
  </si>
  <si>
    <t>CGST Division, Mohali-I</t>
  </si>
  <si>
    <t>D-190, Iind Floor, Industrial Area, Phase-8B, Mohali</t>
  </si>
  <si>
    <t>7142 Sft. (663.508 Sq. Mtrs)</t>
  </si>
  <si>
    <t>10.10.2017</t>
  </si>
  <si>
    <t>10.10.2022</t>
  </si>
  <si>
    <t xml:space="preserve">199976+GST as applicable </t>
  </si>
  <si>
    <t>Rs.28 per Sft.(301.392/Sq Mtrs.)</t>
  </si>
  <si>
    <t>CGST Division, Mohali-II</t>
  </si>
  <si>
    <t>2858 Sft. (265.514 Sq. Mtrs)</t>
  </si>
  <si>
    <t xml:space="preserve">80024+GST as applicable </t>
  </si>
  <si>
    <t>CGST Division, Rajpura</t>
  </si>
  <si>
    <t>Tandon Complex, Above SBI Main Branch, Calibre Market, Rajpura-140401</t>
  </si>
  <si>
    <t>27.09.2017</t>
  </si>
  <si>
    <t>26.09.2022</t>
  </si>
  <si>
    <t>Rs.59.92</t>
  </si>
  <si>
    <t>GST Division-I, Derabassi</t>
  </si>
  <si>
    <t>1st floor, paras plaza complex, Zirakpur-ambala highway, Derabassi</t>
  </si>
  <si>
    <t>21.07.2014</t>
  </si>
  <si>
    <t>21.07.2019</t>
  </si>
  <si>
    <t>File for renewal of lease agreement for futher period is under the process.</t>
  </si>
  <si>
    <t>Semi basement,  paras plaza complex, Zirakpur, ambala highway, Derabassi</t>
  </si>
  <si>
    <t>01.11.2014</t>
  </si>
  <si>
    <t>GST Division-II, Derabassi</t>
  </si>
  <si>
    <t>1st floor, Raksha Business Centre, Village Lohgarh, Ambala-Zirakpur Highway, Zirakpur</t>
  </si>
  <si>
    <t>1.04.2018</t>
  </si>
  <si>
    <t xml:space="preserve">283550+GST </t>
  </si>
  <si>
    <t>CGST Range, Naya Nangal(CGST Division-Ropar)</t>
  </si>
  <si>
    <t>National Fertilizers Limited, Govt. undertaking Nangal Unit, Naya Nangal</t>
  </si>
  <si>
    <t>F.No. III(9)Admn/Hqrs/93/8048 dt. 08.08.2016</t>
  </si>
  <si>
    <t>01.02.2016 to 31.01.2021</t>
  </si>
  <si>
    <t>3575 (per month)</t>
  </si>
  <si>
    <t>Assistant Comissioner CGST Div. Moga(PB)</t>
  </si>
  <si>
    <t>#247 Gandhi Road,C/O Kansal Hospital, Moga, 142001</t>
  </si>
  <si>
    <t>6142.06 (Sq.Ft.)</t>
  </si>
  <si>
    <t>27.10.2017   C.No. I.11(15)A/H/2017/9643 dated 24.10.2017</t>
  </si>
  <si>
    <t>27.10.2017 for Three(3) Years</t>
  </si>
  <si>
    <t>27.10.2020</t>
  </si>
  <si>
    <t>1,84,262.00 CGST 9%  16583.58  SGST 9% 16583.58  G.Total = 2,17,429.16</t>
  </si>
  <si>
    <t xml:space="preserve"> Rs. 30     (per Sq. Ft.)/Per Month.</t>
  </si>
  <si>
    <t xml:space="preserve">The Landlord requested to extend the agreement for further 3 years. </t>
  </si>
  <si>
    <t>CGST Division, Ludhiana-South</t>
  </si>
  <si>
    <t>SCO 43,44,45 &amp; 46, G.K.Mall, Southern Canal, Bye Pass, Jawaddi, Ludhiana-141002</t>
  </si>
  <si>
    <t>7343.91Sq Ft.</t>
  </si>
  <si>
    <t>9578.00 Sq Ft.</t>
  </si>
  <si>
    <t>I-11(16)A/H/2017/9757 Dt.27.10.17</t>
  </si>
  <si>
    <t xml:space="preserve">Three Years </t>
  </si>
  <si>
    <t>20.12.20</t>
  </si>
  <si>
    <t>249693 +GST</t>
  </si>
  <si>
    <t>CGST Shimla</t>
  </si>
  <si>
    <t>CGST Hqrs. Office, Chotta Shimla, Shimla</t>
  </si>
  <si>
    <t xml:space="preserve">Ground and First Floor, Commerical Parking Complex, Chotta Shimla, Shimla </t>
  </si>
  <si>
    <t>23.03.2018</t>
  </si>
  <si>
    <t>22.03.2023</t>
  </si>
  <si>
    <t xml:space="preserve"> CGST Division, Shimla</t>
  </si>
  <si>
    <t>Out House No. 2 of Bosewell Building, Boileauganj, Shimla -171005</t>
  </si>
  <si>
    <t>21.12.2009</t>
  </si>
  <si>
    <t xml:space="preserve">The office premises of the Division has been allotted by the Asstt. Estate Manager, CPWD, Grand Hotel, Shimla. They have demanded Rs. 133516 /- per month as licence Fee w.e.f. 01.04.2017 which is still payble. </t>
  </si>
  <si>
    <t>8A Park Khalini</t>
  </si>
  <si>
    <t>CGST Range Solan, Shimla Division</t>
  </si>
  <si>
    <t>Goyal Niwas,Power House Road,Saproon, Solan</t>
  </si>
  <si>
    <t>09.12.2019 vide sanction order dated 06.05.2019</t>
  </si>
  <si>
    <t>09.12.2019 to 08.12.2022</t>
  </si>
  <si>
    <t>09.12.2022</t>
  </si>
  <si>
    <t>CGST Division, Dharamshala</t>
  </si>
  <si>
    <t>KANFED Bhawan, Depot Bazar, Dharmahala - 176215</t>
  </si>
  <si>
    <t>15.01.2018, sanction order no nil dated 15.01.2018</t>
  </si>
  <si>
    <t>15.01.2018 to 14.01.2023</t>
  </si>
  <si>
    <t>15.01.2023</t>
  </si>
  <si>
    <t>CGST Range-Una , Dharamshala Division (HP)</t>
  </si>
  <si>
    <t>C/o Sh. Mangat Ram, Village Arniala, Hamirpur Road, Old Income Tax Building, Una - 176403</t>
  </si>
  <si>
    <t>23.10.2019 sanction order no nil dated 23.10.2019</t>
  </si>
  <si>
    <t>23.10.2019 to 22.10.2024</t>
  </si>
  <si>
    <t>23.10.2024</t>
  </si>
  <si>
    <t>CGST Division, Baddi</t>
  </si>
  <si>
    <t>SCO No. 47-51, Fauji Complex, Sai Road, Baddi (First Floor), Distt Solan(HP)-173205</t>
  </si>
  <si>
    <t>01.03.2016, sanction order no nil dated 01.03.2016</t>
  </si>
  <si>
    <t>Commissioner, CGST Commissionerate, Shimla</t>
  </si>
  <si>
    <t>01.03.2016 to 28.02.2021</t>
  </si>
  <si>
    <t>01.03.2021</t>
  </si>
  <si>
    <t>CGST Range-I,II,III and Nalagarh of CGST Division, Baddi</t>
  </si>
  <si>
    <t>SCO No. 48-51, Fauji Complex, Sai Road, Baddi Ground Floor), Distt Solan(HP)-173205</t>
  </si>
  <si>
    <t>25.02.2020, sanction order no Admn-INFR0L-B(HRNG)1/2020-HQ-GST-SML Dated 25.02.2020</t>
  </si>
  <si>
    <t>01.02.2019 to 31.03.2024</t>
  </si>
  <si>
    <t>Central Goods &amp; Service Tax Division, Mandi(HP)</t>
  </si>
  <si>
    <t>Village-Dadaur, Ward no.-10, Nagar Parishad, Chandigarh-Manali Highway, Ner Chowk, Tehsil-Balh, Distt.-Mandi(HP)-175008</t>
  </si>
  <si>
    <t>1-II(01)Admn./Mandi/Hiring office/17 dated 01.08.2018</t>
  </si>
  <si>
    <t xml:space="preserve">1,48,500/- </t>
  </si>
  <si>
    <t>322.827/-(per sq. Meter)</t>
  </si>
  <si>
    <t>CGST Range, Bilaspur of Mandi Division (HP)</t>
  </si>
  <si>
    <t>2nd floor of building, National Highway-21, Near ITI, Village-Bamta,  Tehsil-Sadar, Distt.-Bilaspur(HP)</t>
  </si>
  <si>
    <t>1-II(01)Admn./Mandi/Hiring office/17 dated 01.03.2018</t>
  </si>
  <si>
    <t>01.03.2023</t>
  </si>
  <si>
    <t>39,900/-</t>
  </si>
  <si>
    <t>188.208/-(per sq. Meter)</t>
  </si>
  <si>
    <t>CGST Range,  Manali of Mandi Division (HP)</t>
  </si>
  <si>
    <t>Village-15 Miles, P.O.-Badagran, Tehsil-Manali, Distt.-Kullu(HP)</t>
  </si>
  <si>
    <t>1-II(01)Admn./Mandi/Hiring office/17 dated 01.08.2017</t>
  </si>
  <si>
    <t>01.08.2022</t>
  </si>
  <si>
    <t>53,500/-</t>
  </si>
  <si>
    <t>322.290/-(per sq. Meter)</t>
  </si>
  <si>
    <t>CGST Parwanoo Division Office</t>
  </si>
  <si>
    <t>10-A, Sector 1A, Parwanoo, Solan, Himachal Pardesh, 173220</t>
  </si>
  <si>
    <t>01.08.2017</t>
  </si>
  <si>
    <t>1Aug 2017 to 31 Jul2022</t>
  </si>
  <si>
    <t>CGST Range I &amp; II Office, Parwanoo  Division,</t>
  </si>
  <si>
    <t>01.08.2016 31.07.2019</t>
  </si>
  <si>
    <t>01.08.2019</t>
  </si>
  <si>
    <t>Ready for agreement as per old terms and conditions. Tender is under Process</t>
  </si>
  <si>
    <t>Paonta Sahib Range, Parwanoo  Division,</t>
  </si>
  <si>
    <t>Rajban Road, Paonta Sahib, Sirmor, Himachal</t>
  </si>
  <si>
    <t>,,,</t>
  </si>
  <si>
    <t>01.04.2016 TO 31.03.2019</t>
  </si>
  <si>
    <t>Kala Amb Range, Parwanoo  Division,</t>
  </si>
  <si>
    <t>Nahan Road, Kala Amb, Sirmor, Himachal</t>
  </si>
  <si>
    <t>01.09.2013 to 31.08.2018</t>
  </si>
  <si>
    <t>New Tender is in Process</t>
  </si>
  <si>
    <t>CGST Audit Ludhiana</t>
  </si>
  <si>
    <t>CGST Audit Circle Phagwara</t>
  </si>
  <si>
    <t>Inder Plaza, GT Road, Jalandhar side, Phagwara</t>
  </si>
  <si>
    <t>31.08.2023</t>
  </si>
  <si>
    <t>CGST Audit circle Bathinda</t>
  </si>
  <si>
    <t>1st Floor, SCO No. 10-11, Phase-1, Model Town Bathinda</t>
  </si>
  <si>
    <t>14.01.2020</t>
  </si>
  <si>
    <t>14.01.2020 to 05.12.2023</t>
  </si>
  <si>
    <t>06.12.2023</t>
  </si>
  <si>
    <t>CGST Audit Circle Amritsar</t>
  </si>
  <si>
    <t>SCO B-57, Ranjit Avenue, Amritsar</t>
  </si>
  <si>
    <t>15.06.2018</t>
  </si>
  <si>
    <t>15.06.2023</t>
  </si>
  <si>
    <t>CGST Audit Circle Patiala</t>
  </si>
  <si>
    <t>SCO No. 40C, Urban Estate, Phase-II, Patiala</t>
  </si>
  <si>
    <t>15.07.2018</t>
  </si>
  <si>
    <t>14.07.2023</t>
  </si>
  <si>
    <t>CGST Audit Circle Jalandhar</t>
  </si>
  <si>
    <t>2nd Floor, Big C Mall, Guru Nanak Mission Chowk, Lajpat Nagar, Jalandhar</t>
  </si>
  <si>
    <t>19.11.2018</t>
  </si>
  <si>
    <t>18.11.2023</t>
  </si>
  <si>
    <t>As per the record of the CPD, Pathankot file no. I-11(1)Admn/Ptk/Accomodation/2005. This building was got under a lease agreement valid from 30.04.1990 to 29.04.1992. Though the agreement was signed on 30.05.1990, it was made effective from 30.04.1990 when the department took over possession of the building. This two floor building was got rented under two separate agreements for housing the CPD at the ground floor and Central Excise Division on the first floor. The total rent payable was Rs. 13000/- per month with the two Divisions sharing Rs. 9800/- and Rs. 3200/- respectively. However, there was no move for the next 15 years from the either party for renewal of lease or enhancement of rent, with the lassoers satisfied with receiving the rent amount originally agreed to i.e. 3200/- P.M. The Assistant Commissioner of Customs Preventive Division requested many time for renewal the agreement. In respond of letters written from the CPD the lessor requested for reassessment of the rent by the CPWD till then pay the rent as prevailing until the new rent is fixed by the CPWD. In response to his letter he was requested to submit the new lease agreement signed by all the partners so that further payment of rent could be sanctioned but, the lessors failed to submit the new lease agreement till date. The rent has not been paid since March,2007, The co-owner of the building Sh. Harbhajan Singh visited the CPD, on 03.05.2016 and informed that he has a dispute with his brother &amp; that he will not sign the deed until the dispute between them is resolved.</t>
  </si>
  <si>
    <t>Lease of the bulding has already been expired on january,2006. However, as per lease only 8% enhancement in rent is required to be made. But now the  onwer of building of Sh. Vijay Kumar Jain has expired and new Land lord of Smt. Kiran Bala Jain is insisting of Rs. 30,000/- rent per month. The matter is under process.</t>
  </si>
  <si>
    <t>Tamil Nadu &amp; Puducherry Zone</t>
  </si>
  <si>
    <t>Office of the Assistant/Deputy Commissioner of CGST &amp; Central Excise, Thiruvottiyur Division</t>
  </si>
  <si>
    <t>Ananda Complex, 459, Anna Salai, Teynampet, Chennai-600 018</t>
  </si>
  <si>
    <t>Commissioner, Chennai North</t>
  </si>
  <si>
    <t>Office of the Assistant/Deputy Commissioner of CGST &amp; Central Excise, Royapuram Division</t>
  </si>
  <si>
    <t xml:space="preserve">Chennai South </t>
  </si>
  <si>
    <t xml:space="preserve">1. Guindy Division
2. Alandur Division
3. Thuraipakkam Division 
</t>
  </si>
  <si>
    <t>690, E.V.R Periyar building(3rd Floor), Anna Salai, Nandanam, Chennai-600035</t>
  </si>
  <si>
    <t>20.02.2003</t>
  </si>
  <si>
    <t>Comissioner Chennai IV</t>
  </si>
  <si>
    <t>20.02.2018</t>
  </si>
  <si>
    <t>Rs.4,33,691/-</t>
  </si>
  <si>
    <t>Rs. 425.60</t>
  </si>
  <si>
    <t>A Letter has been issued by the TNHB to vacate the premises for demolition and the same has been agreed</t>
  </si>
  <si>
    <t>1. Perungudi Division
2. Adyar Division 
E.V.R Periyar building(4th  Floor), Anna Salai, Nandanam, Chennai-600035</t>
  </si>
  <si>
    <t>690, E.V.R Periyar building(4th Floor), Anna Salai, Nandanam, Chennai-600035</t>
  </si>
  <si>
    <t>Coimbatore - III - E Range</t>
  </si>
  <si>
    <t>O/o the Superintendent of GST &amp; Central Excise,  III E Range. Door no. 1/1 d, Kurichi Puthu Nagar New town Industrial Estate Post, Coimbatore-641021</t>
  </si>
  <si>
    <t>14.02.2014  &amp;   C.No.I/14/17/1996-Admn   Dt:07.01.2014</t>
  </si>
  <si>
    <t>14.02.2020 to 13.02.2023</t>
  </si>
  <si>
    <t>14.02.2023</t>
  </si>
  <si>
    <t>Coimbatore - III-F &amp; III-G Range</t>
  </si>
  <si>
    <t>O/o the Superintendent of GST &amp; Central Excise,  III F &amp; III G Range. Door no.9/2, Ramanujam nagar, B.K.Pudur,  Kuniamuthur, Coimbatore -641008.</t>
  </si>
  <si>
    <t>13.08.2012    &amp;   C.No.I/4/10/1993-Admn   Dt:02.09.2015</t>
  </si>
  <si>
    <t>17.08.2018 to 16.08.2021</t>
  </si>
  <si>
    <t>17.08.2021</t>
  </si>
  <si>
    <t>Tirupur Division</t>
  </si>
  <si>
    <t>Deputy/Assistant Commissioner of GST &amp; C.Ex. Tirupur Division. First floor, Kumaran shopping Complex, Tirupur-641604.</t>
  </si>
  <si>
    <t>16.12.2002      &amp;  C.No.I/4/10/2002-Admn   Dt:24.03.2003</t>
  </si>
  <si>
    <t>01.12.2017 to 30.11.2020</t>
  </si>
  <si>
    <t>Tirupur I/II/III/IV/V Range</t>
  </si>
  <si>
    <t xml:space="preserve">O/o the  Superintendent of GST &amp; Central Excise, I to V Ranges. Room No. 6&amp;7, II Floor, New Shopping Complex, Coimbatore Market Committee Building, Palladam road, Tirupur-641604 </t>
  </si>
  <si>
    <t>10.11.2003    &amp; C.No.I/4/12/2003-Admn                        Dt:01.07.2004</t>
  </si>
  <si>
    <t>01.04.2018  to  31.03.2021</t>
  </si>
  <si>
    <t>Coonoor Division</t>
  </si>
  <si>
    <t>Deputy/Assistant Commissioner of GST &amp; Central Excise, Conoor Division. Lord Hobarts Road, Quill Hill, Conoor Pincode-643101</t>
  </si>
  <si>
    <t>24.02.2014    &amp; C.No.I/4/7/1997-Admn   Dt:06.08.2014</t>
  </si>
  <si>
    <t>01.07.2020 to 30.06.2023</t>
  </si>
  <si>
    <t>01.07.2020</t>
  </si>
  <si>
    <t>Ooty Range</t>
  </si>
  <si>
    <t xml:space="preserve">O/o the  Superintendent of GST &amp; Central Excise, (Ooty range). No.59, New Castle, TNDDC, Guest House, Ooty-643001 </t>
  </si>
  <si>
    <t>15.03.2007   &amp; C.No.I/4/16/98-Admn    Dt:28.01.2016</t>
  </si>
  <si>
    <t>15.03.2018 to 14.03.2021</t>
  </si>
  <si>
    <t>Karamadai Range &amp; Mettupalayam Range</t>
  </si>
  <si>
    <t>O/o the  Superintendent of GST &amp; Central Excise, Karamadai Range &amp; Mettupalayam Range. Door No.56/57, Gandhi Maithanam, Karamadai-641104</t>
  </si>
  <si>
    <t>12.04.2010   &amp; C.No.I/4/1/2006-Admn                            Dt:28.01.2016</t>
  </si>
  <si>
    <t>12.04.2018 to 11.04.2021</t>
  </si>
  <si>
    <t>12.04.2021</t>
  </si>
  <si>
    <t>Coimbatore - I, II, III, IV Division</t>
  </si>
  <si>
    <t xml:space="preserve">Deputy/Assistant Commissioner of GST &amp; C.Ex.I/II/III/IV DVN, O/o the  Superintendent of GST &amp; Central Excise II-A, II-B,II-C, II-D, II-E, III-C, IV-B, IV-C   Ranges .  M/s. Elgi. Equipments Limited , No.1441, Elgi Buliding, Trichy Road, Coimbatore-18.    </t>
  </si>
  <si>
    <t>12.06.2003  &amp;          F.No.924/11/Hiring/Hw/08                     Dt:28.07.2015              by DGHRD</t>
  </si>
  <si>
    <t>CBIC Board</t>
  </si>
  <si>
    <t>18.09.2017   to 17.09.2020</t>
  </si>
  <si>
    <t>18.09.2020</t>
  </si>
  <si>
    <t>Coimbatore - I-C, I-D &amp; I-E Range</t>
  </si>
  <si>
    <t xml:space="preserve">O/o the Superintendent of GST &amp; Central Excise  IC, ID &amp;IE Ranges. Door no 681,  Ooty road,  Periyanaickenpalayam Coimbatore - 641020 </t>
  </si>
  <si>
    <t>01.06.2014  &amp;                  C.No.I/4/2/2009-Admn    Dt:21.01.2014</t>
  </si>
  <si>
    <t>01.06.2017   to  31.05.2020</t>
  </si>
  <si>
    <t>01.06.2020</t>
  </si>
  <si>
    <t>Arasur Range, Neelambur Range, IV-C and IV-D Range</t>
  </si>
  <si>
    <t>O/o Supdt. of GST &amp; Central Excise, Arasur Range, Neelambur Range &amp; IV-C Range. Door No.18-A,  A.K.Ramasamy Nagar, Sulur, Coimbatore-402</t>
  </si>
  <si>
    <t>01.06.1983     &amp;    C.No.I/4/14/1983-Admn  Dt:02.11.2015</t>
  </si>
  <si>
    <t>15.01.2018 to 14.01.2021</t>
  </si>
  <si>
    <t>15.01.2021</t>
  </si>
  <si>
    <t>Annur Range</t>
  </si>
  <si>
    <t>O/o the  Superintendent of GST &amp; Central Excise, Annur  Range. Door No.24, Agraharam Street, Annur-641654</t>
  </si>
  <si>
    <t>01.01.2015  &amp; C.No.I/14/15/1996-Admn    Dt:31.05.2015</t>
  </si>
  <si>
    <t>01.01.2018 to  31.12.2020</t>
  </si>
  <si>
    <t>Gudalur Range</t>
  </si>
  <si>
    <t xml:space="preserve">O/o the Superintendent of GST &amp; Central Excise Gudalur Range. BSNL, Microwave Tower, Coonoor - 643101 </t>
  </si>
  <si>
    <t>01.01.2013  &amp; C.No.I/4/7/2005-Admn  Dt:18.02.2014</t>
  </si>
  <si>
    <t>01.01.2018 to 31.12.2020</t>
  </si>
  <si>
    <t>Palladam Range</t>
  </si>
  <si>
    <t>O/o Supdt. of GST &amp; Central Excise, Palladam Range. 390/1 Anna Nagar, Palladam -641664</t>
  </si>
  <si>
    <t>01.03.2019 to 28.02.2022</t>
  </si>
  <si>
    <t>O/o. the Superintendent of GST &amp; C.Ex., Thiruvarumbur Range,</t>
  </si>
  <si>
    <t>BHEL Campus, Civil Maintenance Building, First Floor, Thiruverumbur, Trichy- 620 014.</t>
  </si>
  <si>
    <t>17.07.1989</t>
  </si>
  <si>
    <t>25 Yrs</t>
  </si>
  <si>
    <t>01.04.2015</t>
  </si>
  <si>
    <t xml:space="preserve">O/o. the Superintendent of GST and C.Ex., Ariyamangalam Range, </t>
  </si>
  <si>
    <t xml:space="preserve">Plot No.2, [Old Door No. 5/121] New No. 4/567, Prakash Nagar, Malaikovil, Thiruverumbur, Trichy- 620 013. </t>
  </si>
  <si>
    <t>01.9.1993</t>
  </si>
  <si>
    <t>3 Yrs</t>
  </si>
  <si>
    <t>01.09.2016</t>
  </si>
  <si>
    <t>O/o. the Superintendent of GST &amp; C.Ex., Viralimalai Range,</t>
  </si>
  <si>
    <t xml:space="preserve">37/12. Konar Complex, Trichy Main Road, Viralimalai., Pudukkottai Dt. </t>
  </si>
  <si>
    <t xml:space="preserve">01.5.1997 </t>
  </si>
  <si>
    <t>08.09.2018</t>
  </si>
  <si>
    <t>O/o. the Superintendent of GST &amp; C.Ex., Musiri Range</t>
  </si>
  <si>
    <t>Plot No.14, Gokulam Colony, Chennai Main Road, No.1 Tolgate ,Trichy-621216.</t>
  </si>
  <si>
    <t>01.01.1997</t>
  </si>
  <si>
    <t xml:space="preserve">O/o. the Superintendent of GST &amp;C.Ex., Lalgudi Range, </t>
  </si>
  <si>
    <t>No.3/15(Ground Floor), Paramasivapuram,6th Cross Street, Lalgudi 621601.</t>
  </si>
  <si>
    <t>21.09.2009</t>
  </si>
  <si>
    <t>21.09.2017</t>
  </si>
  <si>
    <t xml:space="preserve">O/o. the Superintendent of GST &amp;C.Ex.,Perambalur Range </t>
  </si>
  <si>
    <t xml:space="preserve">220 B, Plot No.82, Avvayar Street, 4 Roads, Ariyalur road, Perambalur- 621 220 </t>
  </si>
  <si>
    <t>01.12.2017</t>
  </si>
  <si>
    <t xml:space="preserve">O/o. the Superintendent of GST &amp; C.Ex., Ariyalur I Range, II Range </t>
  </si>
  <si>
    <t>No.5, Oppillatha Amman Koil Street, Ariyalur -621704.</t>
  </si>
  <si>
    <t>01.10.1994</t>
  </si>
  <si>
    <t>01.03.2017</t>
  </si>
  <si>
    <t>O/o. the Superintendent of GST &amp;C.Ex., Pudukottai – I  Range/II  Range</t>
  </si>
  <si>
    <t xml:space="preserve"> Sri Visalatchi Illam, T.S.3028, Door No.33, East II Street, Pudukottai-622001.</t>
  </si>
  <si>
    <t>01.05.1993</t>
  </si>
  <si>
    <t>01.05.2023</t>
  </si>
  <si>
    <t>O/o. the Superintendent of GST &amp; C.Ex., Kumbakonam Range,</t>
  </si>
  <si>
    <t>14/A, Noor Nagar, Pidarikulam Road, Kumbakonam.</t>
  </si>
  <si>
    <t>01.9.1996</t>
  </si>
  <si>
    <t>O/o. the Superintendent  GST &amp; C.Ex., Thiruvarur Range</t>
  </si>
  <si>
    <t>12-A, Kumaran Koil Street. Thiruvarur.</t>
  </si>
  <si>
    <t>14.9.1975</t>
  </si>
  <si>
    <t xml:space="preserve">O/o. the Deputy Commissioiner of GST &amp; C.Ex., Karur Dvn./Karur I,II, III,IV &amp; V Ranges, </t>
  </si>
  <si>
    <t xml:space="preserve"> No.15, Ground Floor to 4th  Floor, Gowripuram Extn. Area, Opp. To Water Tank, Anna Nagar Main Road, Karur-639001.</t>
  </si>
  <si>
    <t>01.02.2007</t>
  </si>
  <si>
    <t>O/o. the Asst. Commissioiner of GST &amp; C.Ex., Cuddalore Dvn.,  Cuddalore - I &amp; II Ranges</t>
  </si>
  <si>
    <t xml:space="preserve">  No.1, Vallalar Nagar, Manjakuppam, Cuddalore - 607 001.</t>
  </si>
  <si>
    <t>19.02.1999</t>
  </si>
  <si>
    <t>30.06.2018</t>
  </si>
  <si>
    <t>O/o. the Superintendent  GST &amp; C.Ex., Neyveli I Range</t>
  </si>
  <si>
    <t>Quarters No.F-1, Visitors Road,          Block - 2, Neyveli Township, Neyveli - 607 308.</t>
  </si>
  <si>
    <t>01.10.1997</t>
  </si>
  <si>
    <t>O/o. the Superintendent  GST &amp; C.Ex., Neyveli  II Range at Vadalur</t>
  </si>
  <si>
    <t>81 A, Chidambaram Main Road, Vadalur-607 303</t>
  </si>
  <si>
    <t>O/o. the Superintendent  GST &amp; C.Ex., Mayiladuthurai Range</t>
  </si>
  <si>
    <t>30/6C, 1st Floor, Deen Plaza, SBI Road, Mayiladuthurai.</t>
  </si>
  <si>
    <t>No.14, Municipal Office, Azeez Nagar, Reddiarpalayam, 
Puducherry - 605 010.</t>
  </si>
  <si>
    <t>I, II &amp; III Divisional Office</t>
  </si>
  <si>
    <t>01.01.2013 , C. No. I/15/1/2014-Admn , 29-04-2016</t>
  </si>
  <si>
    <t>01-01-2018
to 
31-12-2020</t>
  </si>
  <si>
    <t>Rent revision Under process</t>
  </si>
  <si>
    <t>No.14, Municipal Office, 
4th Floor, Azeez Nagar, Reddiarpalayam, 
Puducherry - 605 010.</t>
  </si>
  <si>
    <t>Range IIA, IIB, IIC, IID &amp; IIE
[total 5 Ranges]</t>
  </si>
  <si>
    <t>27-04-2018 
to
26-04-2021</t>
  </si>
  <si>
    <t>No.48/1, Azeez Nagar Main Road, Reddiarpalayam, 
Puducherry - 605 010.</t>
  </si>
  <si>
    <t>Range IA, IB, IC, ID, IE, IIA, IIB, IIC, IID, IIE
[Total 10 Ranges]</t>
  </si>
  <si>
    <t>01-10-2016
to 
30-09-2019</t>
  </si>
  <si>
    <t>No.1, Noolkodal Street, Karikal-609 602</t>
  </si>
  <si>
    <t xml:space="preserve">Karaikal Divsional office </t>
  </si>
  <si>
    <t>01-11-2018 
to
31-10-2021</t>
  </si>
  <si>
    <t>No.14, Tajkudil, Kazhair Street, Karaikal-609 602.</t>
  </si>
  <si>
    <t>Karaikal Range II and III</t>
  </si>
  <si>
    <t>01-10-2019
to
31-09-2022</t>
  </si>
  <si>
    <t>No.3-231, Vankayalavani Lane, Yanam</t>
  </si>
  <si>
    <t>Yanam Range 
of Karikal Division</t>
  </si>
  <si>
    <t>01-07-2017
to 
01-01-2021</t>
  </si>
  <si>
    <t>MMC-V/200-B, Pinakkatu Complex, Maniakal, Mahe</t>
  </si>
  <si>
    <t>Mahe Range 
of Karikal Division</t>
  </si>
  <si>
    <t>01-03-2018
to
28-02-2012</t>
  </si>
  <si>
    <t>O/o the Supdt of C.Ex., Karaikudi Range,  Madurai -II Division</t>
  </si>
  <si>
    <t>23, 100pt. Road, T.T. Nagar, Karaikudi.</t>
  </si>
  <si>
    <t>Commissioner's letter C.No.I/II/02/2004-Admn. Dated 14.03.2016</t>
  </si>
  <si>
    <t>3year</t>
  </si>
  <si>
    <t>06.11.2022</t>
  </si>
  <si>
    <t>O/o the Supdt of C.Ex., Ramanathapuram Range, Madurai -II Division</t>
  </si>
  <si>
    <t>1/4070 Adham nagar, Mandabam Road Sakkaraikottai Panchayat, Ramnathpuram</t>
  </si>
  <si>
    <t>Commissioner's letter C.No.I/II/02/2008-Admn. Dated 16.03.2018</t>
  </si>
  <si>
    <t>3 year</t>
  </si>
  <si>
    <t>31.03.2021</t>
  </si>
  <si>
    <t xml:space="preserve"> O/o the Supdt of C.Ex., Sivagangai Range , Madurai -II Division </t>
  </si>
  <si>
    <t>No.175-1, Gandhi Street(First floor), Sivagangai</t>
  </si>
  <si>
    <t>5 year</t>
  </si>
  <si>
    <t>16.03.2024</t>
  </si>
  <si>
    <t>O/o.the Assistant Commissioner of Central GST &amp; Central Excise Dindigul - I Division</t>
  </si>
  <si>
    <t xml:space="preserve"> No.68, Nehruji Nagar, R.M. Colony Road, Dindigul</t>
  </si>
  <si>
    <t>16.02.2016 C. No. I/II/3/2008 admn dated 17.10.2019</t>
  </si>
  <si>
    <t>31.05.2021</t>
  </si>
  <si>
    <t xml:space="preserve">O/o the Supdt of C.Ex., Dindigul - I Range </t>
  </si>
  <si>
    <t>5/30(SF), 49/1 &amp; 50/3, NGO Colony, Dingidul</t>
  </si>
  <si>
    <t>19.08.2014 C. No.I/II/30/2000 Admn. Dated  16.04.2015</t>
  </si>
  <si>
    <t>19.08.2017</t>
  </si>
  <si>
    <t xml:space="preserve">O/o the Supdt of C.Ex., Dindigul - II Range &amp; Vadamadurai Ranges </t>
  </si>
  <si>
    <t>2/75, NGO Colony (New No.5/112), Dindigul</t>
  </si>
  <si>
    <t>From 12.02.2014 C. No. I/II/02/2009-Admn. Dated 17.06.2017</t>
  </si>
  <si>
    <t>12.12.2017</t>
  </si>
  <si>
    <t>O/o the Supdt of C.Ex., Vedasandur - I &amp; II Ranges</t>
  </si>
  <si>
    <t>5/28, new No. 2/9G, NGO Colony, Dindigul-624005</t>
  </si>
  <si>
    <t>01.04.2017 C. No. I/15/1/2019-Admn. Dated 25.09.2019</t>
  </si>
  <si>
    <t>01.04.2017</t>
  </si>
  <si>
    <t>O/o.the Assistant Commissioner of Central GST &amp; Central Excise Dindigul - II Division</t>
  </si>
  <si>
    <t>Plot NO.5, SI Complex,Race Course Road, Dindigul - 624 005</t>
  </si>
  <si>
    <t>Assistant Commissioner</t>
  </si>
  <si>
    <t>30.06.2021</t>
  </si>
  <si>
    <t xml:space="preserve">O/o the Supdt of C.Ex., Palani - I &amp; II Ranges </t>
  </si>
  <si>
    <t>No.95, New No.258, Dindigul Road, Sivagiripatti, Palani</t>
  </si>
  <si>
    <t>01.08.2016, C. No. I/II/03/2007-admn dated 02.05.2016</t>
  </si>
  <si>
    <t>O/o the Supdt of C.Ex., Theni Range</t>
  </si>
  <si>
    <t>No. 54-1, first Floor, 2nd Street, Vasavi Colony, Palanichettipatti, Theni</t>
  </si>
  <si>
    <t xml:space="preserve">18.08.2018, C.No.I/II/2004 Admn dated 27.07.2018 </t>
  </si>
  <si>
    <t>17.08.2023</t>
  </si>
  <si>
    <t xml:space="preserve">O/o the Supdt of C.Ex., Batlagundu Range </t>
  </si>
  <si>
    <t>No.17/13/10A, Mariammal Colony, Second Street, Gandhi Nagar Main Road, Batlagundu</t>
  </si>
  <si>
    <t>15.03.2016, C.No.:I/II/03/2004-Admn dated 08.06.2016</t>
  </si>
  <si>
    <t>14.03.2021</t>
  </si>
  <si>
    <t>O/o the Supdt of C.Ex., Vadipatti Range</t>
  </si>
  <si>
    <t xml:space="preserve"> No.8-3/2, First floor, Tharmathukal Street, Vadipatti</t>
  </si>
  <si>
    <t>11.11.2015 C. No. I/II/02/2010-Admn. Dated 08.06.2016</t>
  </si>
  <si>
    <t>O/o the Supdt. Of C.Ex., Tirunelveli,   Palayamkottai &amp; Sankarnagar Range,</t>
  </si>
  <si>
    <t xml:space="preserve"> No. 1&amp; 1A, Sankarapuram, near Perumalpuram Police Station,  Tirunelveli.</t>
  </si>
  <si>
    <t xml:space="preserve">22.02.2016 to 22.02.20 vide C.No. I/11/21/2003 </t>
  </si>
  <si>
    <t>3 YEAR</t>
  </si>
  <si>
    <t>21.02.2022</t>
  </si>
  <si>
    <t xml:space="preserve">O/o the Supdt of C.Ex.,   Nagercoil Range,           </t>
  </si>
  <si>
    <t xml:space="preserve">Door No. 48/1-4, First floor, Sivaraj Building, Tower Junction, Nagercoil .          </t>
  </si>
  <si>
    <t>06.01.2014 reveval 01.09.2020 C. No. I/11/01/2007</t>
  </si>
  <si>
    <t>commissioner</t>
  </si>
  <si>
    <t>06.01.2020</t>
  </si>
  <si>
    <t>O/o the Supdt. Of C.Ex., Ambai-I &amp; II Range,</t>
  </si>
  <si>
    <t xml:space="preserve"> 3, Sandhai Bazaar Main Road, Ambasamudram.</t>
  </si>
  <si>
    <t xml:space="preserve">15.07.1993 C.No. I/11/01/2007 </t>
  </si>
  <si>
    <t>O/o the Supdt. Of C.Ex., Tiruchendur Range,</t>
  </si>
  <si>
    <t xml:space="preserve"> No. 99 West Car Street, Tiruchendur.</t>
  </si>
  <si>
    <t>24.08.2020</t>
  </si>
  <si>
    <t>24.08.2023</t>
  </si>
  <si>
    <t>O/o the AC, GSt&amp; C.Ex. .</t>
  </si>
  <si>
    <t>Dn., 913, Main Road, Kovilpatti</t>
  </si>
  <si>
    <t>Cno. I/II/01/2004-Admn. Dated14.01.2019</t>
  </si>
  <si>
    <t xml:space="preserve">O/o the Supdt. Of C.Ex., Sankarankoil Range, </t>
  </si>
  <si>
    <t>103-A, South Car Street, Sankarankoil.</t>
  </si>
  <si>
    <t>F. No. i(11)/18/2020 Admn SC-TLTV-CGST madurai</t>
  </si>
  <si>
    <t>31.08.2022</t>
  </si>
  <si>
    <t>O/o Assistnat Commissioner of Central Excise, Salem I division</t>
  </si>
  <si>
    <t>Salem I division, 106 Varalakshmi Orchid Ramakrishna Road Salem</t>
  </si>
  <si>
    <t>01.05.2017</t>
  </si>
  <si>
    <t>Commissioner of GST Hqrs., Salem</t>
  </si>
  <si>
    <t>Three years</t>
  </si>
  <si>
    <t>01.05.2020</t>
  </si>
  <si>
    <t>O/o the Superintendent  of Central Excise, Salem III &amp; IV ranges</t>
  </si>
  <si>
    <t>Siva Tover, new No 589/3(Old No 1/276) Meyyanur Road Salem 636004</t>
  </si>
  <si>
    <t>06.11.2015</t>
  </si>
  <si>
    <t>This office is going to shift in new premises, old rate has been paid to the owner till the vacation</t>
  </si>
  <si>
    <t>O/o the Superintendent  of Central Excise, Dharmapuri range</t>
  </si>
  <si>
    <t>D.No 4/631 - B-1, Kadalai Mandi Street , Teachers Colony Dharmapuri 636701</t>
  </si>
  <si>
    <t>01.11.2016</t>
  </si>
  <si>
    <t>Office of the Superintendent of CGST &amp; Central Excise, Attur Range</t>
  </si>
  <si>
    <t>NO. 1-E, Perumal Street, South Udayarpalayam, Attur, Salem-636102.</t>
  </si>
  <si>
    <t>547.5(Sq.ft)</t>
  </si>
  <si>
    <t>1223(Sq.ft)</t>
  </si>
  <si>
    <t xml:space="preserve">01.09.2017 to 31.08.2020 </t>
  </si>
  <si>
    <t>Office of the Superintendent of CGST &amp; Central Excise, Mettur I &amp; II Range</t>
  </si>
  <si>
    <t>Dno.16/1 &amp; 16/2, First Floor, Mettur Main Road, Opp, State Bank India, Omalur Branch, Omalur - 636455.</t>
  </si>
  <si>
    <t>547.5(sq.ft)</t>
  </si>
  <si>
    <t>1223(sq.ft)</t>
  </si>
  <si>
    <t xml:space="preserve">01.04.2020 to 31.03.2023. </t>
  </si>
  <si>
    <t>Office of the Superintendent of CGST &amp; Central Excise, Namakkal  Range</t>
  </si>
  <si>
    <t>No.782, A2(First Floor),          RSR Complex,                          Salem Main Road,             Namakkal-637002.</t>
  </si>
  <si>
    <t>1200(Sq.ft)</t>
  </si>
  <si>
    <t>,</t>
  </si>
  <si>
    <t>Due to expiry of lease agreement it is yet to be renewed</t>
  </si>
  <si>
    <t>Office of the Superintendent of CGST &amp; Central Excise, Rasipuram Range</t>
  </si>
  <si>
    <t>No.34(Ground Floor), Koneripatty Extension No.1, Rasipuram,                           Namakkal-637408.</t>
  </si>
  <si>
    <t>973(Sq.ft)</t>
  </si>
  <si>
    <t>1300(Sq.ft)</t>
  </si>
  <si>
    <t xml:space="preserve"> 01.07.2015 to 30.06.2018. Extended upto 31.12.2018</t>
  </si>
  <si>
    <t>O/O the Superintendent of GST &amp; C.Ex., Dharapuram I &amp; II Ranges</t>
  </si>
  <si>
    <t>No.76/60 MSP Nagar, Vasantha Road Cross St. - 3, Dharapuram</t>
  </si>
  <si>
    <t>76.951 Sq Mtrs.   (828.30 Sq.Ft)</t>
  </si>
  <si>
    <t>Commrs. C.No.I/4/16/2005 Admn. dt.01.03.2017</t>
  </si>
  <si>
    <t>Commissioner.</t>
  </si>
  <si>
    <t>4 years</t>
  </si>
  <si>
    <t xml:space="preserve">13000/-                                     [Revised to Rs.16028/- vide CPWD  letterNo.1(8)/CCD/PB2020/1162 Dt.07.07.2020 w.e. from 01.07.2018] </t>
  </si>
  <si>
    <t>Rs.19.35 per Sq. Ft.</t>
  </si>
  <si>
    <t>Gobi range</t>
  </si>
  <si>
    <t>Door No.47,  Cutchery street,      Gobichettipalayam-638452</t>
  </si>
  <si>
    <t>317.98 Sq.mtr</t>
  </si>
  <si>
    <t>C.No:I/4/6/80 Admin    dt.8.12.2004 of Commissioner,  Salem and subsequent sanction accorded  C.No.I/11/02/2004 Admin dt.21.4.2011 of AC,Erode II Dn</t>
  </si>
  <si>
    <t>15.12.17 to 14.12.20     ( 3 years)</t>
  </si>
  <si>
    <t>14.12.20</t>
  </si>
  <si>
    <t>tiruchengode range</t>
  </si>
  <si>
    <t>Door No.78 ,      North Car street,   Oppsite to Old Bus stand,            Tiruchengode       637 211</t>
  </si>
  <si>
    <t>1465 sq.ft.</t>
  </si>
  <si>
    <t>C.No:I/04/12/2005 Admin    dt.3.8.2006 of Commssioner,  Salem, subsequent period vide AC, Erode dn  C.NO.I/11/01/2006 Admn dt.30.3.2012.</t>
  </si>
  <si>
    <t>11.9.16 to 10.9.21 (5 years)</t>
  </si>
  <si>
    <t>11.09.2021</t>
  </si>
  <si>
    <t>Fair Rent Cetificate not issued by CPWD</t>
  </si>
  <si>
    <t>sathy range</t>
  </si>
  <si>
    <t>Door No.118/H2 ,        Mysore Trunck Road,    Rangasamudrum,    Sathyamangalam-638402</t>
  </si>
  <si>
    <t>149 sq.mts (1600 Sq.ft.)</t>
  </si>
  <si>
    <t>C.No:I/4/4/2006 Admin    dt.4.8.2006 of Commissioner,   Salem.</t>
  </si>
  <si>
    <t>23.12.16 to 22.12.21 (5 years)</t>
  </si>
  <si>
    <t>24.12.2021</t>
  </si>
  <si>
    <t xml:space="preserve">Office of the Superintendent of Central Tax, </t>
  </si>
  <si>
    <t>No.65/19-A,  Thammana Nagar, 1st Floor, 3rd cross, Co-operative colony, Krishnagiri-635 001</t>
  </si>
  <si>
    <t>92 Sq.m.</t>
  </si>
  <si>
    <t>01.09.2020 to 31.08.2023</t>
  </si>
  <si>
    <t>01.09.2023</t>
  </si>
  <si>
    <t>Rs.15750/-</t>
  </si>
  <si>
    <t>Office of the Commissioner of GST &amp; Central Excise, Hqrs. Office</t>
  </si>
  <si>
    <t>Newry Towers, No: 2054-I, II Avenue, Anna Nagar, Chennai-600040.</t>
  </si>
  <si>
    <t>10.09.2012</t>
  </si>
  <si>
    <t>CBIC</t>
  </si>
  <si>
    <t>10.09.2018 to 09.09.2021</t>
  </si>
  <si>
    <t>Office of the Deputy Commissioner of GST &amp; Central Excise</t>
  </si>
  <si>
    <t xml:space="preserve"> Poonamallee Division, C-48, TNHB Building II Avenue, Anna  Nagar, Chennai-40 (Ist Floor East  Wing )</t>
  </si>
  <si>
    <t xml:space="preserve">10.06.2003 </t>
  </si>
  <si>
    <t>09.06.2013</t>
  </si>
  <si>
    <t>10.06.2013</t>
  </si>
  <si>
    <t>Lease agreement has expired on 09.06.2013.correspondence regarding fixation of  rent is under process with TNHB.</t>
  </si>
  <si>
    <t>Office of the Deputy Commissioner of GST &amp; Central Excise, Irungattukottai Division</t>
  </si>
  <si>
    <t>2nd floor (West Wing)    C-48, TNHB Building II Avenue, Anna  Nagar, Chennai-40 (2nd Floor West  Wing )</t>
  </si>
  <si>
    <t xml:space="preserve">08.04.2003 </t>
  </si>
  <si>
    <t>07.04.2013</t>
  </si>
  <si>
    <t>08.04.2013</t>
  </si>
  <si>
    <t>Lease agreement has expired on 07.04.2013.correspondence regarding fixation of  rent is under process with TNHB.</t>
  </si>
  <si>
    <t>Office of the Assistant Commissioner of GST  &amp; Central Excise,Sriperumbudur Division</t>
  </si>
  <si>
    <t>2nd floor(East Wing)   C-48, TNHB Building II Avenue, Anna  Nagar, Chennai-40 (2nd Floor East  Wing )</t>
  </si>
  <si>
    <t xml:space="preserve">Office of the Superintendent of GST &amp; Central Excise,. Poonamallee Ranges </t>
  </si>
  <si>
    <t>Ist Floor, 1)Poonamallee Range-I/II and Maduravoyal Ranges. No 42 Trunk Road,Poonamallee Chennai 53.</t>
  </si>
  <si>
    <t>01.01.2003</t>
  </si>
  <si>
    <t xml:space="preserve"> 01.03.2016 to 28.02.2019.</t>
  </si>
  <si>
    <t xml:space="preserve">FRC received / renewal under process </t>
  </si>
  <si>
    <t xml:space="preserve">Office of the Superintendent of GST &amp; Central Excise, Irungattukottai Ranges </t>
  </si>
  <si>
    <t>2nd Floor  1)Irungattukottai Ranges-I/II/III, Thandalam   and Padapai Ranges. No 42 Trunk Road,Poonamallee Chennai 53.</t>
  </si>
  <si>
    <t xml:space="preserve">Office of the Superintendent of GST &amp; Central Excise, Sriperumbudur Ranges </t>
  </si>
  <si>
    <t>3rd Floor 1)Sriperumbudur Range,Manapakkam, Vallam,Sukanvanchaitram,and Maduramangalam Ranges, No 42 Trunk Road,Poonamallee Chennai 53.</t>
  </si>
  <si>
    <t>Office of the Superintendent of GST &amp; Central Excise, Tiruvallur Range-I/II</t>
  </si>
  <si>
    <t>No 46, Vallalar street,periakuppam,Thiruvallur-602001.</t>
  </si>
  <si>
    <t>01.01.2008</t>
  </si>
  <si>
    <t xml:space="preserve">01.01.2016 to 31.12.2019 </t>
  </si>
  <si>
    <t>Office of the Superintendent of GST &amp; Central Excise, Gummidipoondi Range I/II/III &amp; IV</t>
  </si>
  <si>
    <t xml:space="preserve"> No.11/18A, Balakrishnapuram, Gummidipoondi </t>
  </si>
  <si>
    <t xml:space="preserve">01.05.2017 to 30.04.2020. </t>
  </si>
  <si>
    <t>The rental agreement could not be renewed ontime due to the pandemic lockdown. Letter has been written to CPWD requesting for FRC for further processing by this Office.</t>
  </si>
  <si>
    <t xml:space="preserve"> Office of the Superintendent of GST &amp; Central Excise,  Ponneri I &amp; II Ranges</t>
  </si>
  <si>
    <t>Survey No.509/11, No.41/1, Railway Station Road (Opp. Govt. Higher Sec. School), Ponneri - 601 204.</t>
  </si>
  <si>
    <t xml:space="preserve">01.03.2019                  </t>
  </si>
  <si>
    <t xml:space="preserve">Office of the Deputy Commissioner of GST &amp; Central Excise, Pallavaram Division </t>
  </si>
  <si>
    <t>No. 445, Guna Complex, 3rd Floor, Teynampet, Chennai 600018</t>
  </si>
  <si>
    <t>15.05.1998</t>
  </si>
  <si>
    <t>14.05.2016 to 13.05.2019</t>
  </si>
  <si>
    <t>14.05.2019</t>
  </si>
  <si>
    <t>Division is shifted to the new premises at Sri Devi Temple Towers, Sembakkam, Chennai  from 01.10.2020</t>
  </si>
  <si>
    <t>Office of the Assistant Commissioner of GST &amp; Central Excise, Marai Malai Nagar Division</t>
  </si>
  <si>
    <t>No.40 ,Ranga Colony, Rajakilpakkam, Chennai-600073</t>
  </si>
  <si>
    <t xml:space="preserve">Office of the Superintendent of GST and Central Excise, Kancheepuram range </t>
  </si>
  <si>
    <t>No.28/7,First Floor, Madam street, Kancheepuram-631502</t>
  </si>
  <si>
    <t>From 01.09.2008</t>
  </si>
  <si>
    <t>01.09.2017 to 31.08.2020</t>
  </si>
  <si>
    <t>Land lord requested for vacation, searching for a new premises</t>
  </si>
  <si>
    <t>Office of the Assistant Commissioner of GST &amp; Central Excise, Tambaram Division</t>
  </si>
  <si>
    <t>Plot No 40 Ranga Colony Rajakilpakkam Chennai 600 073</t>
  </si>
  <si>
    <t>01.08.2018 TO 31.07.2021</t>
  </si>
  <si>
    <t>Office of the Superintendent of GST &amp; Central Excise, Gudiyatham Range</t>
  </si>
  <si>
    <t>No.41/B, Goodanagaram Road, Thazhayatham, Gudiyatham-632 602</t>
  </si>
  <si>
    <t>21.01.2008</t>
  </si>
  <si>
    <t>21.01.2011 to 20.01.2014</t>
  </si>
  <si>
    <t>21.01.2014</t>
  </si>
  <si>
    <t>Lease expired  on 20.01.2014. requested for FRC for the period from 21.01.2014 to 20.01.2017 from CPWD, Chennai.  Fair Rent Certificate yet to be issued.</t>
  </si>
  <si>
    <t>Office of the Superintendent of GST &amp; Central Excise, Ambur Range</t>
  </si>
  <si>
    <t>First Floor, P-8, Bye Pass Road, S S Avenue, Ambur-635802.</t>
  </si>
  <si>
    <t xml:space="preserve">01.11.2013   </t>
  </si>
  <si>
    <t>01.11.2013 to 31.10.2016</t>
  </si>
  <si>
    <t>Lease expired on 31.10.2016. The FRC for the period from  01.11.2016 to 31.10.2019 obtained from CPWD. The lease agreement is tobe executed by  the Owner .</t>
  </si>
  <si>
    <t>Office of the Superintendent of GST &amp; Central Excise, Vaniyambadi range</t>
  </si>
  <si>
    <t>No.392/A-2, Gokul complex Road, vaniyambadi-635751</t>
  </si>
  <si>
    <t>01.08.2010</t>
  </si>
  <si>
    <t>01.08.2013 to 31.07.2016</t>
  </si>
  <si>
    <t>01.08.2016</t>
  </si>
  <si>
    <t xml:space="preserve">LEASE expired on 31.07.2016. This Office has requested from the owner to submit the documents for FRC to renew the agreement. The owner has not submitted documents. </t>
  </si>
  <si>
    <t>Office of the Superintendent of GST &amp; Central Excise, Arakkonam Range</t>
  </si>
  <si>
    <t xml:space="preserve"> Ground floor, No.9, Abdul Majeed Street, Arakkonam 631 001.</t>
  </si>
  <si>
    <t xml:space="preserve">01.05.2016 </t>
  </si>
  <si>
    <t xml:space="preserve">01/05/2016 to 30/04/2019 </t>
  </si>
  <si>
    <t xml:space="preserve">01.05.2019                                  </t>
  </si>
  <si>
    <t>*A request  letter has been sent to the Executive Engineer (Civil), CPWD, Chennai for Fair Rent Certificate. On receipt of Fair Rent Certificate lease agreement will be processed.</t>
  </si>
  <si>
    <t>O/o The Assistant Commissioner of GST &amp; Central Excise, Villupuram Division</t>
  </si>
  <si>
    <t>No. 9A, Sudhakar Nagar, Villupuram - 605602</t>
  </si>
  <si>
    <t xml:space="preserve">18.02.2004 </t>
  </si>
  <si>
    <t>08.04.2006 to 07.03.2009</t>
  </si>
  <si>
    <t>08.03.2009</t>
  </si>
  <si>
    <t>Division is shifted from 01.10.2020 to the new premises at  Old TE Building, Hospital Road, Villupuram</t>
  </si>
  <si>
    <t>Office of the Superintendent of GST and Central Excise, Tiruvannamalai Range</t>
  </si>
  <si>
    <t>No. 26/42, Gopal Polaiyar Kovil Street, Tiruvannamalai</t>
  </si>
  <si>
    <t xml:space="preserve">16.09.2009 </t>
  </si>
  <si>
    <t>01.09.2015 to 31.08.2018</t>
  </si>
  <si>
    <t xml:space="preserve">Letter forwarded to CPWD, Puducherry for Fair Rent Certificate. </t>
  </si>
  <si>
    <t>Office of the Superintendent of GST and Central Excise, Madurantakam I and II Ranges</t>
  </si>
  <si>
    <t xml:space="preserve">01.03.2001                  </t>
  </si>
  <si>
    <t>01.04.2019 to 31.03.2022</t>
  </si>
  <si>
    <t>Office of the Deputy/Assistant Commissioner, Abids Division</t>
  </si>
  <si>
    <t>Akhira Shikara Plaza, 1st floor (PART),  5-8-196 to 207 and 207 /A, Jusbagh, Nampally, Hyderabad, 500001</t>
  </si>
  <si>
    <t>20.01.2018 Sanctioned Vide C.No. I/22/19/2017 (Infra)</t>
  </si>
  <si>
    <t xml:space="preserve"> Office of the Principal Commissioner, Hyderabad GST Commissionerate.</t>
  </si>
  <si>
    <t>20.01.2021</t>
  </si>
  <si>
    <t>Office of the Deputy/Assistant Commissioner, Falaknauma  Division</t>
  </si>
  <si>
    <t xml:space="preserve"> Akhira Shikara Plaza,2nd floor,  5-8-196 to 207 and 207 /A, Jusbagh,Hyderabad, 500001</t>
  </si>
  <si>
    <t>01.01.2018 Sanctioned Vide C.No. I/22/08/2017 Infra</t>
  </si>
  <si>
    <t>- do -</t>
  </si>
  <si>
    <t>Office of the Deputy/Assistant Commissioner, Begum Bazaar  Division</t>
  </si>
  <si>
    <t>Akhira Shikara Plaza,3rd  floor,  5-8-196 to 207 and 207 /A, Jusbagh,Hyderabad, 500001</t>
  </si>
  <si>
    <t>01.01.2018 Sanctioned Vide C.No. I/22/09/2017 - Infra</t>
  </si>
  <si>
    <t>Office of the Deputy/Assistant Commissioner, Charminar  Division</t>
  </si>
  <si>
    <t>Akhira Shikara Plaza,4th floor,  5-8-196 to 207 and 207 /A, Jusbagh,Hyderabad, 500001</t>
  </si>
  <si>
    <t>01.01.2018 Sanctioned Vide C.No. I/22/10/2017 Infra</t>
  </si>
  <si>
    <t>Office of the Deputy/Assistant Commissioner, Banjara Hills  Division</t>
  </si>
  <si>
    <t>1st, 2nd &amp; 3rd floors, Amiso Plaza, House no 8-2-677/P, Road no 12, banjara hills, Hyderabad</t>
  </si>
  <si>
    <t xml:space="preserve">01.01.2018 Sanctioned Vide C.No. I/22/12/2017 Infra </t>
  </si>
  <si>
    <t>Office of the Deputy/Assistant Commissioner, Ameerpet  Division</t>
  </si>
  <si>
    <t>3rd, 4th &amp; 5th floors, 8-3-1040(plot no 140) , Srinagar colony, Hyderabad-500072</t>
  </si>
  <si>
    <t>07.02.2018 Sanctioned Vide C.No. I/22/15/2017 (Infra)</t>
  </si>
  <si>
    <t>07.02.2021</t>
  </si>
  <si>
    <t>Office of the Deputy/Assistant Commissioner, Mehidipatnam  Division</t>
  </si>
  <si>
    <t>Orbit constructions, 2nd floor, 10-3-301 to 303, Serene Heights, Humayunagar, Masab Tank, Hyderabad-28</t>
  </si>
  <si>
    <t xml:space="preserve">10.05.2018 Sanctioned Vide C.NO.I/22/13/2018-Infra </t>
  </si>
  <si>
    <t>10.05.2021</t>
  </si>
  <si>
    <t>Office of the Deputy/Assistant Commissioner, Himayatnagar  Division</t>
  </si>
  <si>
    <t>3-6-436/1 &amp; 3-6-437/1 &amp; 3-6-438/1 , FIRST FLOOR, "NASPUR HOUSE, HIMAYAT NAGAR , Hyderabad</t>
  </si>
  <si>
    <t>20.10.2017 Sanctioned Vide C.No. I/22/14/2017 (Infra)</t>
  </si>
  <si>
    <t>20.10.2020</t>
  </si>
  <si>
    <t>Office of the Superintendent, Tolichowki Range, Abids Division</t>
  </si>
  <si>
    <t>H-No:8-1-21/21/126, Surya Nagar Colony, Tolichowki, Hyderabad</t>
  </si>
  <si>
    <t>20.01.2018 Sanctioned Vide C.No. I/22/07/2017 (Infra)</t>
  </si>
  <si>
    <t>SECUNDERABAD GST</t>
  </si>
  <si>
    <t xml:space="preserve">Malkajgiri Division &amp; Uppal Division along with 2 Ranges(Uppal, Kapra) </t>
  </si>
  <si>
    <t>Navya Estates, Moula ali, Hyderabad-500040</t>
  </si>
  <si>
    <t>1st floor - 725 sq.m
2nd floor - 725 sq.m</t>
  </si>
  <si>
    <t>1st floor - 01.07.2018
2nd floor - 01.09.2017</t>
  </si>
  <si>
    <t>lst floor-3 years
2nd floor - 3 years</t>
  </si>
  <si>
    <t>1st floor - 30.06.2021
2nd floor - 30.08.2020</t>
  </si>
  <si>
    <t>1st floor - Rs. 1,94,700/-
2nd floor - 1,91,629/-</t>
  </si>
  <si>
    <t>1st floor - Rs.268.5/-
2nd floorRs. 264/-</t>
  </si>
  <si>
    <t>Warangal Division, Hanmakonda Range,
Warangal Range</t>
  </si>
  <si>
    <t>H.No.2-7-391,2-7 391/2, Sri Sai Nivas, Sri venkateswara Temple, Excise
Colony, Hanmakonda</t>
  </si>
  <si>
    <t>01.06.2017</t>
  </si>
  <si>
    <t>Rs. 111.6</t>
  </si>
  <si>
    <t>Bhupalpally Range, Warangal Division</t>
  </si>
  <si>
    <t>H.No.317/A, Karl Marx colony, Bhupdlpally</t>
  </si>
  <si>
    <t>Rs. 101.9</t>
  </si>
  <si>
    <t>Jangaon Range, Warangal Division</t>
  </si>
  <si>
    <t>H.No. 1-10-43, 11 floor, Bank street, Jangaon</t>
  </si>
  <si>
    <t>16.08.2017</t>
  </si>
  <si>
    <t>16.08.2020</t>
  </si>
  <si>
    <t>Rs. 95.1</t>
  </si>
  <si>
    <t>Mahaboobabad Range, Warangal Division</t>
  </si>
  <si>
    <t>H.No. 1-5-19, 1 floor, Yellandu road, Mahaboobabad 506101</t>
  </si>
  <si>
    <t>Rs. 119.5</t>
  </si>
  <si>
    <t>1. O/o the Assistant Commissioner of Central Tax, Begumpet Division.along with Begumpet Range-l,
Begumpet Range-11, Begumpet Range- Ifl,
luanda Market Range- 1, Mondamarket Range II</t>
  </si>
  <si>
    <t>Unit Nos. 3A &amp; 3B, 3rd floor, Queen's plaza, S.P. Road, Begurnpet,
Secunderabad-500003</t>
  </si>
  <si>
    <t>within 6 months after expiry of initial period of 3 years</t>
  </si>
  <si>
    <t>Rs. 587.8</t>
  </si>
  <si>
    <t>Amberpet Division along with Golnaka Range, Nallakunta-I Range, Naliakunta-ll Range, Amberpet Range, Bagh Amberpet Range, Nacharam &amp; Ramanthapur ranges of Uppal Division</t>
  </si>
  <si>
    <t>H.No. 3-4-118/2, Elegant edifice building, Ramanthapur, Hvderabad - 500073</t>
  </si>
  <si>
    <t>19.09.2017</t>
  </si>
  <si>
    <t>22.08.2020</t>
  </si>
  <si>
    <t>364192 + 18% GST</t>
  </si>
  <si>
    <t>Rs. 376.9</t>
  </si>
  <si>
    <t>Secunderabad Divisional office along with five Range offices. Musheerabad Division &amp; Musheerabad Range</t>
  </si>
  <si>
    <t>Salike senate. D.No.2-4-416 and 417. Ramgopalpet, Secunderabad-
500003</t>
  </si>
  <si>
    <t>5,10,000/-</t>
  </si>
  <si>
    <t>Rs. 423.5/-</t>
  </si>
  <si>
    <t>Tarnaka Divisional office along with Adikmet Range,  Mettuguda Range, Ramnagar Range,
Sitafalmandi Range, Tarnaka Range</t>
  </si>
  <si>
    <t>2nd floor, Elegant edifice, 3-4-118/2 NR, Ramanthapur, Hyderabad-
500013</t>
  </si>
  <si>
    <t>23.08.2017</t>
  </si>
  <si>
    <t>23.08.2020</t>
  </si>
  <si>
    <t>3,33,198 + 18% GST</t>
  </si>
  <si>
    <t>Rs. 376.60</t>
  </si>
  <si>
    <t>O/o Superintendent of Central Tax - Bholakpur range, Musheerabad Division</t>
  </si>
  <si>
    <t>1-7-387A, 1st floor - 201, GNR Heights, Bakaram, Hyderabad - 500020</t>
  </si>
  <si>
    <t>10.01.2018</t>
  </si>
  <si>
    <t>31.12.2021</t>
  </si>
  <si>
    <t>Rs. 428.8</t>
  </si>
  <si>
    <t>O/o Superintendent of Central Tax - Kavadiguda range, Musheerabad Division</t>
  </si>
  <si>
    <t>38,600/-</t>
  </si>
  <si>
    <t>1st,. 2nd, 3rd &amp; 4th Floor, H.No.11-4-649/B, LAKDI-KA-PUL, Hyderabad - 500004</t>
  </si>
  <si>
    <t>9,35,000/-</t>
  </si>
  <si>
    <t>632/-</t>
  </si>
  <si>
    <t>II &amp; III FLOOR, LORDS COURT BUILDING, PLOT NO. 80 &amp; 81, SURVEY NO. 166, NEAR SOUTH INDIA SHOPPING MALL , USHAMULLAPUDI ROAD, A.S RAJU NAGAR, KUKATPALLY,
 500 072.</t>
  </si>
  <si>
    <t>31.10.2021</t>
  </si>
  <si>
    <t xml:space="preserve"> 2,99,500/-</t>
  </si>
  <si>
    <t>316/-</t>
  </si>
  <si>
    <t>1. Kukatpally Range</t>
  </si>
  <si>
    <t>2. KPHB Range</t>
  </si>
  <si>
    <t>3. Balanagar Range</t>
  </si>
  <si>
    <t>4. Fatehnagar Range</t>
  </si>
  <si>
    <t>5.Moosapet Range</t>
  </si>
  <si>
    <t xml:space="preserve">Plot no 16 &amp;21, Ground and first floor, Aditya Towers, Sri Sai Enclave, old Bowenpally, Secunderabad </t>
  </si>
  <si>
    <t>31.08.2019</t>
  </si>
  <si>
    <t xml:space="preserve">6,20,000/- </t>
  </si>
  <si>
    <t>Letter addressed to Divisional Office to obtain Fair Rent Certificate  is sent.</t>
  </si>
  <si>
    <t>1. Qutbullapur Range</t>
  </si>
  <si>
    <t>2. Gajularamaram Range</t>
  </si>
  <si>
    <t>3. Jagadgirigutta Range</t>
  </si>
  <si>
    <t>4. Chintal Range</t>
  </si>
  <si>
    <t>5.Jeedimetla Range</t>
  </si>
  <si>
    <t xml:space="preserve">Plot no 16 &amp;21, Second and Third floor, Aditya Towers, Sri Sai Enclave, old Bowenpally, Secunderabad </t>
  </si>
  <si>
    <t>1. Shameerpet Range</t>
  </si>
  <si>
    <t>2. Medchal Range</t>
  </si>
  <si>
    <t>3. Keesara Range</t>
  </si>
  <si>
    <t>4. Bachypally Range</t>
  </si>
  <si>
    <t>5. Siddipet Range</t>
  </si>
  <si>
    <t>18-19-25/1, BJR Circle, Opp. MPDO Office, Siddipet-502103</t>
  </si>
  <si>
    <t xml:space="preserve"> 30,000/- </t>
  </si>
  <si>
    <t>D.No.7-9-832/1, KNAR Estate, Godown Road, Nizamabad</t>
  </si>
  <si>
    <t xml:space="preserve"> 72,775/-</t>
  </si>
  <si>
    <t>Letter addressed to Divisional Office to obtain FRC is sent for renewing the lease</t>
  </si>
  <si>
    <t>1. Nizamabad Range</t>
  </si>
  <si>
    <t>2. Nirmal Range</t>
  </si>
  <si>
    <t>H.No.7-2-83/14B, Indira nagar, Nirmal</t>
  </si>
  <si>
    <t>01.6.2015</t>
  </si>
  <si>
    <t xml:space="preserve"> 5,248/-</t>
  </si>
  <si>
    <t>3. Armoor Range</t>
  </si>
  <si>
    <r>
      <t>H.No.3-1-92/18, 1</t>
    </r>
    <r>
      <rPr>
        <vertAlign val="superscript"/>
        <sz val="11"/>
        <color theme="1"/>
        <rFont val="Times New Roman"/>
        <family val="1"/>
      </rPr>
      <t>st</t>
    </r>
    <r>
      <rPr>
        <sz val="11"/>
        <color theme="1"/>
        <rFont val="Times New Roman"/>
        <family val="1"/>
      </rPr>
      <t xml:space="preserve"> floor, Nizamabad Road, ARMOOR.</t>
    </r>
  </si>
  <si>
    <t>29,800/-</t>
  </si>
  <si>
    <t>4. Bodhan Range</t>
  </si>
  <si>
    <t>H.No.4-2-368, Shakkarnagar X Road, BODHAN</t>
  </si>
  <si>
    <t xml:space="preserve"> 29,000/-</t>
  </si>
  <si>
    <t>5. Adilabad Range</t>
  </si>
  <si>
    <r>
      <t>H.No.6-10-86/8/1, 2</t>
    </r>
    <r>
      <rPr>
        <vertAlign val="superscript"/>
        <sz val="11"/>
        <color theme="1"/>
        <rFont val="Times New Roman"/>
        <family val="1"/>
      </rPr>
      <t>nd</t>
    </r>
    <r>
      <rPr>
        <sz val="11"/>
        <color theme="1"/>
        <rFont val="Times New Roman"/>
        <family val="1"/>
      </rPr>
      <t xml:space="preserve"> floor. Bhuktapur. Opp: Natraj Theatre, ADILABAD</t>
    </r>
  </si>
  <si>
    <t xml:space="preserve"> 37,500/-</t>
  </si>
  <si>
    <t>Plot No.328. SSR Arcade, Mathrusri Nagar, Miyapur, Hyderabad-500049</t>
  </si>
  <si>
    <t xml:space="preserve"> 2,51,600/-</t>
  </si>
  <si>
    <t>1. Patancheru Range</t>
  </si>
  <si>
    <t>2. Sangareddy Range</t>
  </si>
  <si>
    <t>3. Medak Range</t>
  </si>
  <si>
    <t>3-9-136/3/24, 1st Floor, Narasapur Road,Autonagar, Yerrolla Basti, Medak 502110</t>
  </si>
  <si>
    <t>27.12.2017</t>
  </si>
  <si>
    <t>28.12.2020</t>
  </si>
  <si>
    <t xml:space="preserve"> 19,922/-</t>
  </si>
  <si>
    <t>4. Vikarabad Range</t>
  </si>
  <si>
    <t>4-7-136, Opp. Gandhi Park, Vikarabad</t>
  </si>
  <si>
    <t xml:space="preserve"> 36,000/-</t>
  </si>
  <si>
    <t>5. Zaheerabad Range</t>
  </si>
  <si>
    <t>5-92, SBH Colony, Zaheerabad</t>
  </si>
  <si>
    <t>01.12.2016</t>
  </si>
  <si>
    <t>12,400/-</t>
  </si>
  <si>
    <t>H. No. 47-87/1, Navya Estates, 3rd Floor, Moula Ali, Kaman Road, Hyderabad</t>
  </si>
  <si>
    <t xml:space="preserve"> 3,24,880/-</t>
  </si>
  <si>
    <t>1. Malkajgiri Range</t>
  </si>
  <si>
    <t>2. Alwal Range</t>
  </si>
  <si>
    <t>3. Moula Ali Range</t>
  </si>
  <si>
    <t>4. Naredmet Range</t>
  </si>
  <si>
    <t>5. Cantonment Range</t>
  </si>
  <si>
    <t>Mancherial Division Office</t>
  </si>
  <si>
    <t>Ground floor, I floor, part of II floor,  H.No.1/1-2, bypass Raod, Mancherial 504208</t>
  </si>
  <si>
    <t>15.11.2017</t>
  </si>
  <si>
    <t>15.11.2020</t>
  </si>
  <si>
    <t xml:space="preserve"> 87,000/-</t>
  </si>
  <si>
    <t>1. Mancherial Range</t>
  </si>
  <si>
    <t>03.08.2016</t>
  </si>
  <si>
    <t>03.08.2019</t>
  </si>
  <si>
    <t>9,600/-</t>
  </si>
  <si>
    <t>2. Bellampally Range</t>
  </si>
  <si>
    <t>H.No.28-1-16/1, Caltex Area, Bellampally- 504251</t>
  </si>
  <si>
    <t>22.01.2018</t>
  </si>
  <si>
    <t>21.01.2021</t>
  </si>
  <si>
    <t>24,000/-</t>
  </si>
  <si>
    <t>3. Asifabad Range office</t>
  </si>
  <si>
    <t>H.No.4-202/1/B, Second Floor, Near RTO Office, Opp:Court Road, Asifabad- 504293</t>
  </si>
  <si>
    <t>16.01.2018</t>
  </si>
  <si>
    <t>16.01.2021</t>
  </si>
  <si>
    <t>22,000/-</t>
  </si>
  <si>
    <t>4. Ramagundam Range office</t>
  </si>
  <si>
    <t>H.No.19-3-45, Markandeya Colony, Godavarikhani, Ramagundam Mandal, Peddapally Dist.  505209</t>
  </si>
  <si>
    <t>22.01.2021</t>
  </si>
  <si>
    <t>23,000/-</t>
  </si>
  <si>
    <t>5. Peddapally Range office</t>
  </si>
  <si>
    <t>H.No.1-3-47/L,Shanti Nagar,  Peddapally.  505172</t>
  </si>
  <si>
    <t>5,600/-</t>
  </si>
  <si>
    <t>2nd Floor, H.No.8-7-296/1, Manikanta Complex, Hanuman Nagar, Karimnagar-505001.</t>
  </si>
  <si>
    <t>31.12.2015</t>
  </si>
  <si>
    <t>-do-</t>
  </si>
  <si>
    <t>31.12.2020</t>
  </si>
  <si>
    <t>65,632/-</t>
  </si>
  <si>
    <t>1. Karimnagar (Urban) Range</t>
  </si>
  <si>
    <t>2. Karimnagar (Rural) Range</t>
  </si>
  <si>
    <t>3. Kamareddy Range</t>
  </si>
  <si>
    <t>H.No.5-6-530, NGO Colony, Kamareddy</t>
  </si>
  <si>
    <t>29.11.2016</t>
  </si>
  <si>
    <t>13.09.2021</t>
  </si>
  <si>
    <t>12,000/-</t>
  </si>
  <si>
    <t>4. Sircilla Range</t>
  </si>
  <si>
    <t>1st Floor, H.No.6-2-92&amp;93, Markendaya Street, Bhavan Rushi Nagar, Sircilla-505301.</t>
  </si>
  <si>
    <t>16.10.2017</t>
  </si>
  <si>
    <t>15.10.2020</t>
  </si>
  <si>
    <t>41,100/-</t>
  </si>
  <si>
    <t>5. Jagityal Range</t>
  </si>
  <si>
    <t>1st Floor, H.No.2-28/2/2A, Opp.Padmanayaka Function Hall, Dharoor, Jagityal-505327.</t>
  </si>
  <si>
    <t>24,500/-</t>
  </si>
  <si>
    <t xml:space="preserve"> Office of The  Commissioner, Rangareddy GST Commissionerate.</t>
  </si>
  <si>
    <t>Posnett Bhavan, Tilak Road, Ramkote</t>
  </si>
  <si>
    <t>Hiring of C.No.I/15/01/2019-Admn dt 18.09.2017 sanction vide dt.30.01.2020</t>
  </si>
  <si>
    <t>17.09.2020</t>
  </si>
  <si>
    <t xml:space="preserve">2-3-908, Sai Balaji Arcade, 3rd Floor, Nagole Bandlaguda Road, Cooperative Bank Colony,Nagole(V),Uppal(M),Hyderabad </t>
  </si>
  <si>
    <t>Sanction vide C.No.I/22/29/2013-Admn dt.06.03.2017</t>
  </si>
  <si>
    <t xml:space="preserve">Office of the Deputy  Commissioner of Saroornagar Div &amp; 5 Ranges </t>
  </si>
  <si>
    <t>2-3-908, Sai Balaji Arcade, 3rd Floor, Nagole Bandlaguda Road, Cooperative Bank Colony</t>
  </si>
  <si>
    <t>Sanction vide F.No.I/11/06/2017-Admn dt.11.12.2017</t>
  </si>
  <si>
    <t xml:space="preserve">Office of the Deputy Commissioner of  Gachibowli Div &amp; 5 Ranges </t>
  </si>
  <si>
    <t>10-3-301-303, 4 th Floor, Serene Heights, Humayun Nagar,     Masab Tank</t>
  </si>
  <si>
    <t>Sanction vide F.No.I/11/01/2017-pf-II dt.12.04.2018</t>
  </si>
  <si>
    <t>09.05.2021</t>
  </si>
  <si>
    <t>Office of the Deputy Commissioner of Nalgonda Division &amp; Nalgonda Range</t>
  </si>
  <si>
    <t>6-2-20,  Opp. Beat Market, Hyderabad Road, Nalgonda-508001.</t>
  </si>
  <si>
    <t xml:space="preserve">Sanction vide C.No.I/24/01/2020-Admn </t>
  </si>
  <si>
    <t>31.12.2019</t>
  </si>
  <si>
    <t>Office of the Superintendent of Kodad Range</t>
  </si>
  <si>
    <t>H.No.4-51/4, Near IOC Petrol Pump, Khammam X Roads, Kodad - 508 206</t>
  </si>
  <si>
    <t>Sanction vide C.No.I/11/11/2017-Admn dt.07.05.2018</t>
  </si>
  <si>
    <t>30.11.2020</t>
  </si>
  <si>
    <t>Office of the Superintendent of Miryalguda Range</t>
  </si>
  <si>
    <t>D.No.18-695, Ashoknagar, Miryalguda - 505 207</t>
  </si>
  <si>
    <t>Sanction vide C.No.I/11/11/2017-Admn dt.06.12.2018</t>
  </si>
  <si>
    <t>30.06.2020</t>
  </si>
  <si>
    <t>Office of the Superintendent of Suryapet Range</t>
  </si>
  <si>
    <t>H.No. 1-2-270/87/33/B1, Ground Floor, Krishna nagar Colony,Road No-3, Suryapet- 508213</t>
  </si>
  <si>
    <t>Sanction vide C.No.I/11/04/2017-Admn dt.11.08.2017</t>
  </si>
  <si>
    <t>03.08.2020</t>
  </si>
  <si>
    <t>Office of the Superintendent of Deverakonda Range</t>
  </si>
  <si>
    <t xml:space="preserve">House No. 20-300/1/1, Ground Floor, Opp. LIC Office, Dindi Road, Devarakonda </t>
  </si>
  <si>
    <t>Sanction vide C.No.I/11/03/2017-Admn dt.21.09.2017</t>
  </si>
  <si>
    <t>14.09.2020</t>
  </si>
  <si>
    <t xml:space="preserve">Office of the Assistant Commissioner of Khammam GST Division </t>
  </si>
  <si>
    <t>H.NO. 15-13-154, NST Road, Bank Colony, Sithapathi Vijaya Raghava Towers, Khammam-507002</t>
  </si>
  <si>
    <t>Hiring of dt. 15.09.2017 Sanction vide C.No.I/11/09/2017-Admn. Dt.27.09.2017</t>
  </si>
  <si>
    <t>Office of the Superintendent of Kalluru GST Range</t>
  </si>
  <si>
    <t>H.No.7-78, Mahima Nilayam,1st Floor, Ambedkar Nagar, Kalluru - 507 209.</t>
  </si>
  <si>
    <t>Hiring of dt. 10.08.2017 Sanction vide C.No.I/11/05/Part-1/2017-Admn. Dt.29.08.2017</t>
  </si>
  <si>
    <t>09.08.2020</t>
  </si>
  <si>
    <t>Office of the Superintendent of Kothagudem GST Range</t>
  </si>
  <si>
    <t>M/s NMDC Ltd, Sponge Iron Unit, Quarter No. B-3, Type-II, Kothagudem – Bhadrachalam Road, Bhadradri, Kothagudem Dist - 507154</t>
  </si>
  <si>
    <t>Hiring of dt. 30.09.2019 Sanction C.No.I/11/08/2017-Admn. Dt.  .09.2017</t>
  </si>
  <si>
    <t>September,2019</t>
  </si>
  <si>
    <t>Office of the Assistant Commissioner of Mahabubnagar GST Division</t>
  </si>
  <si>
    <t>10-6-40/10/2,  Srinivasa Colony, Mahabubnagar</t>
  </si>
  <si>
    <t>Sanction vide F.No.I/11/02/2017-Admn dt.    .07.2017</t>
  </si>
  <si>
    <t>03.07.2020</t>
  </si>
  <si>
    <t>Office of the Superintendent of Gadwal Range</t>
  </si>
  <si>
    <t>H.No. 1-4-3/3, 1st Floor, Bheem Nagar, Krishnaveni Chowk, Gadwal - 509125</t>
  </si>
  <si>
    <t>Sanction vide F.No.I/11/05/Part-2/2017-Admn dt.25.07.2017</t>
  </si>
  <si>
    <t>06.08.2020</t>
  </si>
  <si>
    <t>Office of the Superintendent of Wanaparthy Range</t>
  </si>
  <si>
    <t>H.No. 40-37, 2nd Floor, Vallabh Nagar, SSR Complex, Wanaparthy- 509103</t>
  </si>
  <si>
    <t>Sanction vide F.No.I/11/05/part-1/2017-Admn dt.25.07.2017</t>
  </si>
  <si>
    <t>Office of the Superintendent of Narayanpet Range</t>
  </si>
  <si>
    <t>1st Floor, H.No. 1-6-63/1/C, Hyderabad Road, Narayanpet- 509210</t>
  </si>
  <si>
    <t>Sanction vide C.No.I/11/02/2017-Admn dt.06.12.2017</t>
  </si>
  <si>
    <t>10.12.2020</t>
  </si>
  <si>
    <t>Nagarkurnool Range</t>
  </si>
  <si>
    <t>2nd Floor, M/s. Padmanayaka Velama Sangam, Achampet Road, Nagarkurnool - 509209</t>
  </si>
  <si>
    <t>Sanction vide F.No.I/01/08/2017-Admn dt.30.11.2017</t>
  </si>
  <si>
    <t>29.11.2020</t>
  </si>
  <si>
    <t>Office of the Assistant Commissioner of Shamshabad Division.</t>
  </si>
  <si>
    <t>Plot no. 1,2,24 &amp; 25,  Pathange Trade House, Mohan Reddy Nagar, Shivrampally</t>
  </si>
  <si>
    <t>Sanction vide C.No.I/11/01/2017-Admn dt.04.06.2018</t>
  </si>
  <si>
    <t>02.04.2022</t>
  </si>
  <si>
    <t>Office of the Superintendent of Ibrahimpatnam Range</t>
  </si>
  <si>
    <t>H.No.07-222/B, MBR Nagar, Ibrahimpatnam, Ranga Reddy Dist</t>
  </si>
  <si>
    <t>Sanction vide F.No.I/11/05/part-4/2017-Admn dt. 16.08.2017</t>
  </si>
  <si>
    <t>05.09.2020</t>
  </si>
  <si>
    <t>Office of the Superintendent of Kottur Range</t>
  </si>
  <si>
    <t>1st Floor, H.No.1-27, Penjarla Road, Near Andhra Bank, Kothur, Ranga Reddy Dist.</t>
  </si>
  <si>
    <t>Sanction vide C.No.I/11/05/part-3/2017-Admn dt.26.09.2017</t>
  </si>
  <si>
    <t>Office of the Superintendent of Chevella Range</t>
  </si>
  <si>
    <t>2nd Floor, House No. 1-87/3, Main Road, Chevella, R.R. Dist</t>
  </si>
  <si>
    <t>Sanction vide F.No.I/11/02/2017-Admn dt. 05.12.2017</t>
  </si>
  <si>
    <t>Office of the Commissioner, Customs &amp; Central Tax, Hyderabad Audit-I Commr'te</t>
  </si>
  <si>
    <t>H.No.3-4-118/1 NR, 1st Floor, Elegant Maharaja, Ramanthapur, Hyderabad-500 013</t>
  </si>
  <si>
    <t>27.03.2018 (date of agreement) and hiring w.e.f 01.07.2018 16.02.2018 (Acceptance Sanction of HoD)</t>
  </si>
  <si>
    <t xml:space="preserve"> Office of The  Commissioner, Audit-I Commissionerate.</t>
  </si>
  <si>
    <t>Office of the Deputy / Assistant Commissioner, Central Tax, Audit Circle-VII, Hyderabad Audit-I Commr'te</t>
  </si>
  <si>
    <t>D.No.6-8-222/2, Ravindra Nagar Colony, Nalgonda-508 001</t>
  </si>
  <si>
    <t>17.07.2017 (Acceptance/ Sanction of HoD)
29.11.2017 (Date of agreement and hiring w.e.f. 01.12.2017)</t>
  </si>
  <si>
    <t>Hyderabad Audit-II 
Commissionerate/ HQRS</t>
  </si>
  <si>
    <t>Hqrs &amp;
Six Circle Offices</t>
  </si>
  <si>
    <t>1-98/B,20,21, Sanvi Yamuna Pride, Krithika Layout</t>
  </si>
  <si>
    <t>1951.33 
( 21004 Sq.Ft)</t>
  </si>
  <si>
    <t>20.02.2020
RENT/13/SANCTION/2019-20 dated 17.07.2019</t>
  </si>
  <si>
    <t>Under Secretary to the Govt. of India</t>
  </si>
  <si>
    <t>20.02.2023</t>
  </si>
  <si>
    <t>Rs. 1462298/- including Rs. 2,23,062 GST per month</t>
  </si>
  <si>
    <t>As per sanction order rent rate is Rs. 59/- per Sq.ft exclusive of GST</t>
  </si>
  <si>
    <t>Hyderabad Audit-II
Commissionerate/
Warangal Circle Office</t>
  </si>
  <si>
    <t>Circle-IV Office</t>
  </si>
  <si>
    <t>2-9-268/7, Vikas Nagar, NGO's Colony Road, Hanmakonda- 506001, warangal</t>
  </si>
  <si>
    <t xml:space="preserve">724.5 
( plinth area only) 
( 7798 Sq.ft)
</t>
  </si>
  <si>
    <t>01.11.2017
C.No.I/12/01/2017-Admn</t>
  </si>
  <si>
    <t xml:space="preserve"> Office of The  Commissioner, Audit-II Commissionerate.</t>
  </si>
  <si>
    <r>
      <rPr>
        <b/>
        <sz val="11"/>
        <color theme="1"/>
        <rFont val="Times New Roman"/>
        <family val="1"/>
      </rPr>
      <t>*</t>
    </r>
    <r>
      <rPr>
        <sz val="11"/>
        <color theme="1"/>
        <rFont val="Times New Roman"/>
        <family val="1"/>
      </rPr>
      <t>01.11.2020</t>
    </r>
  </si>
  <si>
    <t>Rs. 1,54,219/- 
including
 Rs. 23,525
 GST per Month</t>
  </si>
  <si>
    <t>As per FRC Rent amount is 1,30,694/- per month exclusive of GST.</t>
  </si>
  <si>
    <t>Hyderabad Audit-II
 Commissionerate/
Nizamabad Circle Office</t>
  </si>
  <si>
    <t>Circle-V office</t>
  </si>
  <si>
    <t>6-2-129, 
Kanteshwar Road,
 Subhash Nagar,
 Nizamabad, Telengana</t>
  </si>
  <si>
    <r>
      <t xml:space="preserve"> 568.56</t>
    </r>
    <r>
      <rPr>
        <b/>
        <sz val="11"/>
        <color theme="1"/>
        <rFont val="Times New Roman"/>
        <family val="1"/>
      </rPr>
      <t xml:space="preserve">
</t>
    </r>
    <r>
      <rPr>
        <sz val="11"/>
        <color theme="1"/>
        <rFont val="Times New Roman"/>
        <family val="1"/>
      </rPr>
      <t>(6120 Sq.ft)</t>
    </r>
  </si>
  <si>
    <r>
      <t>01.01.2018</t>
    </r>
    <r>
      <rPr>
        <b/>
        <sz val="11"/>
        <color theme="1"/>
        <rFont val="Times New Roman"/>
        <family val="1"/>
      </rPr>
      <t xml:space="preserve">
</t>
    </r>
    <r>
      <rPr>
        <sz val="11"/>
        <color theme="1"/>
        <rFont val="Times New Roman"/>
        <family val="1"/>
      </rPr>
      <t>C.No.I/12/02/2017-Admn</t>
    </r>
  </si>
  <si>
    <r>
      <rPr>
        <b/>
        <sz val="11"/>
        <color theme="1"/>
        <rFont val="Times New Roman"/>
        <family val="1"/>
      </rPr>
      <t>**</t>
    </r>
    <r>
      <rPr>
        <sz val="11"/>
        <color theme="1"/>
        <rFont val="Times New Roman"/>
        <family val="1"/>
      </rPr>
      <t>01.01.2021</t>
    </r>
  </si>
  <si>
    <t>Rs.102800/-
per month</t>
  </si>
  <si>
    <t>As per FRC Rent amount is 1,02,800/- per month</t>
  </si>
  <si>
    <t>Export Promotion Division and Circles of Customs Commissionerate</t>
  </si>
  <si>
    <t>Jade Arcade, M.G.Road, Secunderabad</t>
  </si>
  <si>
    <t>6192 Sq.ft.</t>
  </si>
  <si>
    <t>01-10-2018, C.No.I/11/02/2017-Admn. Dated 09.08.2018</t>
  </si>
  <si>
    <t>Office of the Principal Commissioner, Customs Commissionerate</t>
  </si>
  <si>
    <t>Rs.2,59,383</t>
  </si>
  <si>
    <t>41.89/ Sq.ft.</t>
  </si>
  <si>
    <t>Note: * In r/o Warangal circle. The office space has been downsized from the existing 7798 sq.ft. To 5198.66 sq.ft w.e.f. 01.06.2020 and accordingly rent amount per month is Rs.87,129/- exclusive of GST.</t>
  </si>
  <si>
    <t xml:space="preserve">       ** In r/o Nizamabad circle, the office space has been downsized from the existing 6120 sq.ft. To 2860 sq.ft. W.e.f. 01.06.2020 and accordingllu rent amount per m,onth is Rs.48,019/- exclusive of GST.</t>
  </si>
  <si>
    <t>CGST Commissionerate, Noida, CGST, Division-II &amp; III and Ranges 6 to 15</t>
  </si>
  <si>
    <t>Renu Tower, C-56/42, Sector-62, Noida, Distt. Gautam Budh Nagar, U.P-201307</t>
  </si>
  <si>
    <t>5 Yrs</t>
  </si>
  <si>
    <t>25,80,000</t>
  </si>
  <si>
    <t>CGST Division-I Noida and Ranges 1 to 5</t>
  </si>
  <si>
    <t>E-23B, Sector-8, Noida, Distt. Gautam Budh Nagar, U.P-201301</t>
  </si>
  <si>
    <t>1,80,209</t>
  </si>
  <si>
    <t>CGST Division- Hapur and Ranges 31 to 35</t>
  </si>
  <si>
    <t>M.No.986, Near SSV Degree College, Delhi Road Hapur, Distt. Hapur, U.P-245101</t>
  </si>
  <si>
    <t>01.09.2015</t>
  </si>
  <si>
    <t>1,31,480</t>
  </si>
  <si>
    <t>Gautam Buddh Nagar</t>
  </si>
  <si>
    <t>Commissionerate HQ office alongwith four Divisional office and fifteen Range offices</t>
  </si>
  <si>
    <t>3rd Floor, Wegmans Business Park, Knowledge Park-III, Greater Noida (U.P)</t>
  </si>
  <si>
    <t>01.12.2015</t>
  </si>
  <si>
    <t>01.12.2018 to 30.11.2021</t>
  </si>
  <si>
    <t>01.12.2021</t>
  </si>
  <si>
    <t>Range SIKANDRABAD-I &amp; II</t>
  </si>
  <si>
    <t>Opp- BSNL Exchange, Jokhabad, Industrial Area, Sikandrabad</t>
  </si>
  <si>
    <t>24.07.2013</t>
  </si>
  <si>
    <t>Range - Khurja</t>
  </si>
  <si>
    <t xml:space="preserve">Shri Ji Vishnu guest house, Lakshmanganj,  Navalty Road, Khurja, </t>
  </si>
  <si>
    <t>01.04.2018 to 31.03.2021</t>
  </si>
  <si>
    <t>Division- Budaun</t>
  </si>
  <si>
    <t>Near Indira Chowk, Mal Godown Road, Civil line, Budaun-243601</t>
  </si>
  <si>
    <t>Range- chandausi &amp; sambhal</t>
  </si>
  <si>
    <t>Sita Road Tiraha Chandausi, District- sambhal (U.P) 202412</t>
  </si>
  <si>
    <t>13.04.2018</t>
  </si>
  <si>
    <t>13.04.2018 to 12.04.2021</t>
  </si>
  <si>
    <t>Range- Pilibit-I &amp; II</t>
  </si>
  <si>
    <t>Civil Line Soth Opp. Raja Bagh</t>
  </si>
  <si>
    <t>01.10.2018 to 30.09.2021</t>
  </si>
  <si>
    <t>Dehradun</t>
  </si>
  <si>
    <t>CGST Division Rudrapur alongwith Central GST Range-I,II &amp;III</t>
  </si>
  <si>
    <t xml:space="preserve">Krishi Utpadan Mandi Samiti, Naveen Mandi Baghwara, Kichha road, Rudrapur, Distt. U.S.Nagar, Uttarakhand </t>
  </si>
  <si>
    <t>21.12.2015</t>
  </si>
  <si>
    <t>Commissioner, Central excise Hapur</t>
  </si>
  <si>
    <t>15.01.2016 to 14.01.2021</t>
  </si>
  <si>
    <t>CGST Range Khatima (Div. Rudrapur)</t>
  </si>
  <si>
    <t xml:space="preserve">Bhur, Bhurarani Road, Khatima, Distt.U.S.Nagar, Uttarakhand </t>
  </si>
  <si>
    <t>22.03.1995</t>
  </si>
  <si>
    <t>Collector, Central Excise, Meerut</t>
  </si>
  <si>
    <t>25.03.2005 To 07.09.2018</t>
  </si>
  <si>
    <t>CGST Division-Haridwar, along with Range-I &amp; II</t>
  </si>
  <si>
    <t>4th Floor, The Pentagon Mall, SIDCUL, Haridwar, Uttarakhand</t>
  </si>
  <si>
    <t>04.04.2016</t>
  </si>
  <si>
    <t>Commissioner, CGST Dehradun</t>
  </si>
  <si>
    <t>04.04.2016 To 03.04.2019</t>
  </si>
  <si>
    <t>CGST Ranges III, IV &amp; V ( Div-Haridwar)</t>
  </si>
  <si>
    <t>Hotel Orange Country, 802, Rawli Mahmood, SIDCUL, Haridwar, Uttarakhand</t>
  </si>
  <si>
    <t xml:space="preserve">17.07.2018 </t>
  </si>
  <si>
    <t>16.07.2015 to 30.06.2021</t>
  </si>
  <si>
    <t>CGST Division Dehradun along with Range II, III, IV &amp; V</t>
  </si>
  <si>
    <t>Shree Tower, 2nd Floor, Haridwar Road, Dehradun, Uttarakhand</t>
  </si>
  <si>
    <t>01.07.2015 to 30.06.2019</t>
  </si>
  <si>
    <t>CGST Division Kashipur along with Range I, II, III &amp; IV</t>
  </si>
  <si>
    <t>1st Floor, Guriya Complex(Kapas Mill), Bazpur Road, Near Roadways, Kashipur, Uttarakhand</t>
  </si>
  <si>
    <t xml:space="preserve">01.08.2010 </t>
  </si>
  <si>
    <t>01.08.2015 to 31.07.2018</t>
  </si>
  <si>
    <t>CGST Range Almora ( Div Haldwani)</t>
  </si>
  <si>
    <t>Zila Panchayat Bhawan, Dharnaula, Almora, Uttarakhand</t>
  </si>
  <si>
    <t>01.03.2018 to 28.02.2021</t>
  </si>
  <si>
    <t>CGST Range Kotdwar ( Div Rishikesh)</t>
  </si>
  <si>
    <t>NH 534, Najibabad Road, Patti-Sukhrow, Pargana-Bhabar, tehsil Kotdwar, pauriGharwal, Uttarakhand</t>
  </si>
  <si>
    <t>27.11.2017</t>
  </si>
  <si>
    <t>CGST Range Nainital (Div Haldwani)</t>
  </si>
  <si>
    <t>Near Sattal Chawnk, Sattal Road, Mehragaon, Bhimtal, Dist. Nainital, Uttrakhand</t>
  </si>
  <si>
    <t>03.01.2019</t>
  </si>
  <si>
    <t>03.01.2018 to 02.01.2021</t>
  </si>
  <si>
    <t>02.01.2022</t>
  </si>
  <si>
    <t>CGST Range Ramnagar (Div Haldwani)</t>
  </si>
  <si>
    <t>Station Road, Mohalla Khatayaadi, Near Telephone Exchange, Tehsil Ramnagar, Zila Nainital</t>
  </si>
  <si>
    <t>30.11.2021</t>
  </si>
  <si>
    <t>CGST Range Uttarkashi (Div Rishikesh)</t>
  </si>
  <si>
    <t>Village Barethi, Manera Byepass, Uttarkashi (UK) 249193</t>
  </si>
  <si>
    <t>15.03.2019</t>
  </si>
  <si>
    <t xml:space="preserve">CGST Range VI Srinagar (Div Rishikesh) </t>
  </si>
  <si>
    <t>Ganganali Badrinath Road, Opposite Chauhan Bengali Sweet Shop, Srikot, Srinagar Gharwal (UK) 246174</t>
  </si>
  <si>
    <t>08.03.2019</t>
  </si>
  <si>
    <t>CGST Range New Tehri</t>
  </si>
  <si>
    <t>A-34 Model House New Tehri, Tehri Garhwal, Uttarakhand Pin- 249001</t>
  </si>
  <si>
    <t xml:space="preserve">FROM: 01.04.2020 TO: 31.03.2025 </t>
  </si>
  <si>
    <t>01.04.2025</t>
  </si>
  <si>
    <t>CGST Audit Noida</t>
  </si>
  <si>
    <t>A-17, first Floor, Discovery Tower, Sector-62, Noida</t>
  </si>
  <si>
    <t>08.10.2018</t>
  </si>
  <si>
    <t>08.10.2021</t>
  </si>
  <si>
    <t>14,22,792/- +GST Extra</t>
  </si>
  <si>
    <t>1356.25/- + GST Extra</t>
  </si>
  <si>
    <t>CGST AUDIT, DEHRADUN</t>
  </si>
  <si>
    <t>CGST Audit</t>
  </si>
  <si>
    <t>3D Plaza, Near Ambiwala Gurudwara, Dharampur danda, Dehradun - 248001</t>
  </si>
  <si>
    <t>576*</t>
  </si>
  <si>
    <t>27.03.2018</t>
  </si>
  <si>
    <t>Commissioner, CGST Audit, Dehradun</t>
  </si>
  <si>
    <t>26.03.2021</t>
  </si>
  <si>
    <t>CGST Meerut, Div. Shamli</t>
  </si>
  <si>
    <t>CGST Division Shamli</t>
  </si>
  <si>
    <t>Plot No.630, Patel Nagar, Jhinjhana, Road, Shamli</t>
  </si>
  <si>
    <t xml:space="preserve">1st July 2018 </t>
  </si>
  <si>
    <t>Pr. Commissioner</t>
  </si>
  <si>
    <t>1st July 2018 to 30th June, 2021</t>
  </si>
  <si>
    <t>1st July, 2021</t>
  </si>
  <si>
    <t>CGST Meerut, Div. Muzaffarnagar-II</t>
  </si>
  <si>
    <t>Office of the Supdt.,CGST, Range-Mawana</t>
  </si>
  <si>
    <t>1st Floor, Kisan Haryali Market, Near Utsav Mandap, Mawana</t>
  </si>
  <si>
    <t>A.C.</t>
  </si>
  <si>
    <t>CGST Meerut, Div. Bijnore</t>
  </si>
  <si>
    <t xml:space="preserve">Assistant Commissioner, Div.-Bijnore </t>
  </si>
  <si>
    <t>Chandna Building, Dayal Kunj, Kiratpur Road,  Bijnore-246701</t>
  </si>
  <si>
    <t>Commr.</t>
  </si>
  <si>
    <t>3 yrs.</t>
  </si>
  <si>
    <t>Aug.,2021</t>
  </si>
  <si>
    <t>Office of the Supdt.</t>
  </si>
  <si>
    <t>Range-Gajraula at Paliwal Building, Near ICIC Bank, NH-24, Gajraula, Amroha</t>
  </si>
  <si>
    <t>23.03.09</t>
  </si>
  <si>
    <t>Apr.,14</t>
  </si>
  <si>
    <t>44/-</t>
  </si>
  <si>
    <t>Range-Amroha, at Awas Vikas-1, Near Prathma Bank, Amroha</t>
  </si>
  <si>
    <t>01.03.2008</t>
  </si>
  <si>
    <t>5 yrs.</t>
  </si>
  <si>
    <t>01.03.2013</t>
  </si>
  <si>
    <t>CGST &amp; CX, Jaipur Zone</t>
  </si>
  <si>
    <t>CGST &amp; CX DIV-A, B &amp; C, JAIPUR</t>
  </si>
  <si>
    <t>CP-21, 22, 23 Road No. 1-D, VKI, Jaipur</t>
  </si>
  <si>
    <t>01.09.2017 &amp; I-04(01)Admn/ JPR/2016/825 dt. 23.08.17</t>
  </si>
  <si>
    <t>Commissioner, Central Goods &amp; Service Tax Commissionerate, Jaipur</t>
  </si>
  <si>
    <t>308902/-</t>
  </si>
  <si>
    <t>CGST Range-XXII, Kotputli</t>
  </si>
  <si>
    <t>Mansi Market, Side of N. H. No. 8, Kotputli, Distt.-Jaipur</t>
  </si>
  <si>
    <t>15.07.2018 &amp; I-04(02)Admn./ JPR/2016/832 dt. 28.06.2018</t>
  </si>
  <si>
    <t>14.07.2021</t>
  </si>
  <si>
    <t>55000/-</t>
  </si>
  <si>
    <t xml:space="preserve">Central Goods &amp; Service Tax Range-XL-IX, Beawar &amp; L, Bijainagar </t>
  </si>
  <si>
    <t xml:space="preserve">C-158, RIICO Housing Colony, Near Power House, Ajmer Road Highway, Beawar, Distt- Ajmer </t>
  </si>
  <si>
    <t>09.03.2024</t>
  </si>
  <si>
    <t>32060/-</t>
  </si>
  <si>
    <t xml:space="preserve">  --</t>
  </si>
  <si>
    <t>Office of the Superintendent, Central Goods &amp; Service Tax Range-L-I/II/III,Madanganj-Kishangarh, Distt.-Ajmer</t>
  </si>
  <si>
    <t xml:space="preserve"> A-1, Laxmi Narayan Vihar, Opp. Central Bank of India, Madanganj-Kishangar, Distt.-Ajmer</t>
  </si>
  <si>
    <t>24.06.2017/I-04(2) Admn/ JPR/2015/949 Dated 21.06.2017</t>
  </si>
  <si>
    <t xml:space="preserve">5 yrs. </t>
  </si>
  <si>
    <t>25.06.2022</t>
  </si>
  <si>
    <t>Office of the Superintendent, Central Goods &amp; Service Tax Range-L-IV, Village Balwanta,Tehsil-Nasirabad, Distt.-Ajmer</t>
  </si>
  <si>
    <t xml:space="preserve"> Plot No.7, Near Balaji Tempal, Near Village Balwanta,Tehsil-Nasirabad, Distt.-Ajmer</t>
  </si>
  <si>
    <t>06.11.2017 /I-04(2) Admn/ JPR/Nasi./ 2017/1148 Dated 12.10.2017</t>
  </si>
  <si>
    <t>07.11.2022</t>
  </si>
  <si>
    <t>Office Of Assistant Commissioner, CGST &amp; CX Div A &amp; B Udaipur</t>
  </si>
  <si>
    <t>4th Floor, LIC Building Near Reti Stand, Udaipur</t>
  </si>
  <si>
    <t>14.06.2019</t>
  </si>
  <si>
    <t>DGHRD</t>
  </si>
  <si>
    <t>5Years</t>
  </si>
  <si>
    <t>15.06.2024</t>
  </si>
  <si>
    <t>3,06,000/-</t>
  </si>
  <si>
    <t>Office of Superintendent, CGST&amp; CX RANGE XVIII/IXI/XX/XXI/XXII/XVI &amp; XVII, Bhilwara</t>
  </si>
  <si>
    <t>43, Gandhi Nagar, Bhilwara</t>
  </si>
  <si>
    <t>24.03.1998</t>
  </si>
  <si>
    <t>26.02.2019</t>
  </si>
  <si>
    <t>36543/-</t>
  </si>
  <si>
    <t>Office of Superintendent, CGST&amp; CX RANGE XXXII at Pratapgarh</t>
  </si>
  <si>
    <t>House No. 4/16, Rajasthan Housing Board Colony, Pratapgarh</t>
  </si>
  <si>
    <t>01.07.2017</t>
  </si>
  <si>
    <t>3Years</t>
  </si>
  <si>
    <t>10000/-</t>
  </si>
  <si>
    <t>Office Of Superintendent, CGST Range -XXXVIII, Kota at Jhalawar</t>
  </si>
  <si>
    <t>Plot No. Second Floor, Near Gayatri Mandir Jhalarapatan Road Jhalawar</t>
  </si>
  <si>
    <t>01.07.17 (I-4(04)Admn/UDR/2017/7938 dt.23.06.2017)</t>
  </si>
  <si>
    <t>3Yrs</t>
  </si>
  <si>
    <t>Requirement of Office space is calculated by CPWD</t>
  </si>
  <si>
    <t>Office Of Superintendent Range- XXXIX, Kota at Jhalawar</t>
  </si>
  <si>
    <t>Office of Superintendent Range - XL, Kota a Baran</t>
  </si>
  <si>
    <t>Infront of Vivekanand Park, Vivekanand colony Kota Road, Baran</t>
  </si>
  <si>
    <t>Office of Superintendent, Range- XLI, Kota at Bundi</t>
  </si>
  <si>
    <t>133, Rajat Grih Colony, Nainwa Road Bundi</t>
  </si>
  <si>
    <t>Office of Superintendent Range-XLII, Kota at Ramganj Mandi</t>
  </si>
  <si>
    <t>Bazar No. 3 Infront of Old government Hospital,. RamganjMandi, kota</t>
  </si>
  <si>
    <t>CGST Division-A, Alwar</t>
  </si>
  <si>
    <t>1st Floor, 1 Old Industrial Area, Alwar</t>
  </si>
  <si>
    <t>Commissioner CGST (HQ), Alwar</t>
  </si>
  <si>
    <t>23.01.2021</t>
  </si>
  <si>
    <t>106295/-</t>
  </si>
  <si>
    <t>236.81/-</t>
  </si>
  <si>
    <t>CGST Division-B, Alwar</t>
  </si>
  <si>
    <t>2nd Floor, 1 Old Industrial Area, Alwar</t>
  </si>
  <si>
    <t>Asstt. Commissioner (P&amp;V)</t>
  </si>
  <si>
    <t>91205/-</t>
  </si>
  <si>
    <t>176.25/-</t>
  </si>
  <si>
    <t>Range- IX &amp; X, Dausa (Under CSGT Div.- B, Alwar)</t>
  </si>
  <si>
    <t>l-508/2 Shikshak Colony Gupteshwar Road, Dausa</t>
  </si>
  <si>
    <t>31.09.2020</t>
  </si>
  <si>
    <t>42000/-</t>
  </si>
  <si>
    <t>365.38/-</t>
  </si>
  <si>
    <t>CGST Range-Dholpur</t>
  </si>
  <si>
    <t>Near Water Works Chouraha GT Road, Dholpur (Raj.) 328001</t>
  </si>
  <si>
    <t>2017 to 2021</t>
  </si>
  <si>
    <t>Rs 6.04 oer sq. ft. per month of built up area.</t>
  </si>
  <si>
    <t>CGST Range- Sawai Madhopur</t>
  </si>
  <si>
    <t>68, Mahaveer Nagar, Opposite Vastsalaya Hosital, Sawai Madhopur</t>
  </si>
  <si>
    <t>27.01.2019 to 27.01.2024</t>
  </si>
  <si>
    <t>28.01.2019</t>
  </si>
  <si>
    <t>18232/-</t>
  </si>
  <si>
    <t>CGST Range- Karauli</t>
  </si>
  <si>
    <t>4, Bhola Nagar, Opposite Shri Jee Marriage Hall, Near Tin Bad, Kala Devi Road, Karauli</t>
  </si>
  <si>
    <t>06.11.2017 to 06.11.2022</t>
  </si>
  <si>
    <t>07.01.2020</t>
  </si>
  <si>
    <t>14846/-</t>
  </si>
  <si>
    <t>CGST Range- Gangapur City</t>
  </si>
  <si>
    <t>Adarsh Nagar, harath Hotel, Gangapur City</t>
  </si>
  <si>
    <t>30.05.2018 to 30.05.2020</t>
  </si>
  <si>
    <t>31.02.2020</t>
  </si>
  <si>
    <t>28944/-</t>
  </si>
  <si>
    <t>CGST Range-XXXIV</t>
  </si>
  <si>
    <t>1st Floor, SP-3, commercial Area, RIICO Phase-I, Jhunjhunu (Raj.)</t>
  </si>
  <si>
    <t>46.83 Approx</t>
  </si>
  <si>
    <t>F.No.I-4(5)Admn./Alwar/L&amp;B/2017/6152 dated 11.07.2017</t>
  </si>
  <si>
    <t>The Commissioner, CGST &amp; CX, Alwar</t>
  </si>
  <si>
    <t>23.07.2020</t>
  </si>
  <si>
    <t>CGST Range-XXXV</t>
  </si>
  <si>
    <t>F.No.I-4(5)Admn./Alwar/L&amp;B/2017/9496 dated 07.09.2017</t>
  </si>
  <si>
    <t>06.09.2020</t>
  </si>
  <si>
    <t>28900/-</t>
  </si>
  <si>
    <t xml:space="preserve">Office of the Commissioner, CGST Commissionerate Jodhpur </t>
  </si>
  <si>
    <t xml:space="preserve">G-105, NEW JODHPUR INDUSTRIAL AREA, JODHPUR-342003 </t>
  </si>
  <si>
    <t>03.08.2017 (F.No. I(4)4/Adm./JDR/2017 dt. 03.08.2017)</t>
  </si>
  <si>
    <t>1.09.2017 to 31.08.2020</t>
  </si>
  <si>
    <t>1.09.2020</t>
  </si>
  <si>
    <t>CGST Division-A, Jodhpur 
CGST Division-B Jodhpur
CGST Division-C Jodhpur</t>
  </si>
  <si>
    <t>117/5 P.W.D. Colony,Raranada Jodhpur –342028  (Rajasthan)</t>
  </si>
  <si>
    <t>08.04.2016 (F.No. I(4)5/Adm./JDR/2015 dt. 07.04.2016)</t>
  </si>
  <si>
    <t>11.04.2016 to 10.04.2020</t>
  </si>
  <si>
    <t>11.04.2020</t>
  </si>
  <si>
    <t>Office of the Supdt ,Range- I to VII &amp; XI, Jodhpur (8 Range Offices)   12/3 Civil Lines, Jodhpur</t>
  </si>
  <si>
    <t>12/3 Civil Lines, Jodhpur</t>
  </si>
  <si>
    <t>11.09.2019 (F.No. I(4)6/Adm./19 dt. 09.04.2019)</t>
  </si>
  <si>
    <t>01.08.2017    to 31.7.2020</t>
  </si>
  <si>
    <t>1.07.2020</t>
  </si>
  <si>
    <t xml:space="preserve">Office of the Assistant Commissioner, CGST Division-D &amp; E, Pali/ CGST Range XVI  to XI, Pali. </t>
  </si>
  <si>
    <t>Ground floor,TDM Campus, BSNL Mahavir Nagar, Pali</t>
  </si>
  <si>
    <t>04.11.2015 (F.No. I(15)1/Adm./JDR/2015 dt. 30.09.2015)</t>
  </si>
  <si>
    <t>04.11.2015 to 03.11.2018</t>
  </si>
  <si>
    <t>04.11.2018</t>
  </si>
  <si>
    <t>Office of the Supdt , CGST  Range-X, Balotra (Distt. Barmer)</t>
  </si>
  <si>
    <t>First Floor of Maha Balaji Bhawan, Near Akhariya Mahadev Temple, Pachpadra Road, Balotra (Distt. Barmer)</t>
  </si>
  <si>
    <t>04.05.2018 (F.No. I(11)2/Adm./JDR/2017 dt. 01.11.2017)</t>
  </si>
  <si>
    <t>04.05.2018 to 03.05.2021</t>
  </si>
  <si>
    <t>4.05.2021</t>
  </si>
  <si>
    <t>Office of the Supdt , CGST  Range-XII, Merta</t>
  </si>
  <si>
    <t>Saint Laxmi Das Nagar, Near Jodhpur Choki, Merta City (Distt. Nagaur)</t>
  </si>
  <si>
    <t>13.10.2017 (F.No. I(11)4/Adm./JDR/2017 dt. 10.10.2017)</t>
  </si>
  <si>
    <t>13.10.2017 to 12.10.2020</t>
  </si>
  <si>
    <t>13.10.2020</t>
  </si>
  <si>
    <t>Office of the Supdt ,CGST Range-XV, Makarana</t>
  </si>
  <si>
    <t>Near Police Station, Manglana Road, Makrana (Distt. Nagaur)</t>
  </si>
  <si>
    <t>22.09.2017 (F.No. I(11)3/Adm./JDR/2017 dt. 22.09.2017)</t>
  </si>
  <si>
    <t>22.09.2017 to 21.09.2020</t>
  </si>
  <si>
    <t>22.09.2020</t>
  </si>
  <si>
    <t>Office of the Supdt,CGST Range-XXII, Jalore</t>
  </si>
  <si>
    <t>C-6, Shivaji Nagar, Jalore.</t>
  </si>
  <si>
    <t>06.03.2018 (F.No. I(11)7/Adm./JDR/2017 dt. 05.03.2018)</t>
  </si>
  <si>
    <t>16.03.2018 to 15.03.2019</t>
  </si>
  <si>
    <t>16.03.2021</t>
  </si>
  <si>
    <t>Office of the Supdt, CGST Range-XXIII, Sumerpur</t>
  </si>
  <si>
    <t>Poonam Niwas, Hawala Gali, Sumerpur (Distt. Pali)</t>
  </si>
  <si>
    <t>27.02.2018 (F.No. I(4)9/Adm./JDR/2017 dt. 23.02.18)</t>
  </si>
  <si>
    <t>CGST Range, Hanumangarh – XXXVI &amp; XXXVII (2 Range Offices)</t>
  </si>
  <si>
    <t>Plot No. 28 &amp; 29 Chak-48, NGC, Bhagwan Mahaveer mard, Hanumangarh.</t>
  </si>
  <si>
    <t>21.12.2017 (F.No. I(11)1/Adm./JDR/2016 dt. 21.12.2017)</t>
  </si>
  <si>
    <t>21.12.2017 to 20.12.2020</t>
  </si>
  <si>
    <t>21.12.2020</t>
  </si>
  <si>
    <t>Office of the Supdt, CGST Range-XXXVIII, Rawatsar</t>
  </si>
  <si>
    <t>C/o Mrs. Vidya devi W/o Shri Prithvi Raj Kularia, ward no. 19, Mistri Maket ke piche, Rawatsar, Distt.- Hanumangarh</t>
  </si>
  <si>
    <t>06.09.2017 (F.No. I(11)6/Adm./JDR/2017 dt. 30.08.2017)</t>
  </si>
  <si>
    <t>06.09.2017 to 05.09.2020</t>
  </si>
  <si>
    <t>Office of the Supdt. CGST Range-XXXIX, Suratgarh</t>
  </si>
  <si>
    <t>Ist floor of commercial building of Mr. Desh Pal Gupta, Ward No. 19, Bikaner Road, Suratgarh</t>
  </si>
  <si>
    <t>21.09.2017 (F.No. I(11)1/Adm./JDR/2017 dt. 19.09.2017)</t>
  </si>
  <si>
    <t>21.09.2017 to 20.09.2020</t>
  </si>
  <si>
    <t>21.09.2020</t>
  </si>
  <si>
    <t>Office of the Supdt, CGST Range-XXI, Sirohi</t>
  </si>
  <si>
    <t>113, Shanti Nagar, Sirohi (House of Shri Ganesh Dan Charan)</t>
  </si>
  <si>
    <t>27.02.2018 (F.No. I(11)9/Adm./JDR/2017 dt. 22.02.18)</t>
  </si>
  <si>
    <t xml:space="preserve">Plot No. 9-10, Khasara No. 437-448, Maharanana Pratap Housing  Society, Hiran Magri, Sector-13, Udaipur </t>
  </si>
  <si>
    <t>30.05.2018 (Lease agreement date and Possession date on 01.06.2018)</t>
  </si>
  <si>
    <t>F-227, Aazad Nagar, Bhilwada-311001</t>
  </si>
  <si>
    <t>17.09.2018 (Lease agreement date and Possession date)</t>
  </si>
  <si>
    <t>17.09.2021</t>
  </si>
  <si>
    <t>CGST &amp; CX Commissionerate, Lucknow</t>
  </si>
  <si>
    <t>CGST Lucknow (HQ)</t>
  </si>
  <si>
    <t>Navchetna Building, 10-A Ashok Marg, Lucknow</t>
  </si>
  <si>
    <t>01.06.2007</t>
  </si>
  <si>
    <t>13.05.2017</t>
  </si>
  <si>
    <t>Division Lucknow-I</t>
  </si>
  <si>
    <t>Hall no 01 &amp; 03, 12th floor, CGO Complex,Sector- H Aligang,Lucknow</t>
  </si>
  <si>
    <t>01.04.2016</t>
  </si>
  <si>
    <t>Range VI-VII, Lucknow Division-I</t>
  </si>
  <si>
    <t>203-204 C Block, Awas Vikas, Unnao</t>
  </si>
  <si>
    <t>05 Years</t>
  </si>
  <si>
    <t>01.07.2022</t>
  </si>
  <si>
    <t>25,200/-</t>
  </si>
  <si>
    <t>146.62/-</t>
  </si>
  <si>
    <t>Division Lucknow-II</t>
  </si>
  <si>
    <t>Division Lucknow-III</t>
  </si>
  <si>
    <t>Division-IV (Barabanki)</t>
  </si>
  <si>
    <t>1st floor, Amar Villa, Shri Ram Colony, Haidergarh Road, Barabanki</t>
  </si>
  <si>
    <t>18.02.2019</t>
  </si>
  <si>
    <t>3 Years (01.12.2020 to 30.11.2020)</t>
  </si>
  <si>
    <t>40,246/-</t>
  </si>
  <si>
    <t xml:space="preserve">Range , Barabanki Division </t>
  </si>
  <si>
    <t>Rajkamal Road, Satyapremi Nagar, Barabanki</t>
  </si>
  <si>
    <t>01.09.2014  to 01.09.2017</t>
  </si>
  <si>
    <t>Range,Bahraich, Barabanki Division</t>
  </si>
  <si>
    <t>Civil Lines ,Opposite SP Office ,Bahraich,U.P</t>
  </si>
  <si>
    <t>07.08.2018</t>
  </si>
  <si>
    <t>28.08.2018 to 28.08.2021</t>
  </si>
  <si>
    <t>28.08.2021</t>
  </si>
  <si>
    <t>Range-Gonda, Barabanki Division</t>
  </si>
  <si>
    <t>BSNL Parisar Opposite Roadways Bus Stand, Gonda-271001</t>
  </si>
  <si>
    <t>Range-Balrampur, Barabanki Division</t>
  </si>
  <si>
    <t>Ramleela Ground, Civil Lines, Balrampur</t>
  </si>
  <si>
    <t>Range-Shrawasti, Barabanki Division</t>
  </si>
  <si>
    <t>Sirsia Road, Bhinga, Shrawasti</t>
  </si>
  <si>
    <t>O/o the Superintendent, CGST&amp; Central Excise, Range-Lakhimpur</t>
  </si>
  <si>
    <t>Satyasang Bhawan, Bajpai Colony, Lakhimpur</t>
  </si>
  <si>
    <t>5269/-</t>
  </si>
  <si>
    <t>O/o the Superintendent, CGST&amp; Central Excise, Range-Hardoi</t>
  </si>
  <si>
    <t>154-A, Railway Ganj, Hardoi</t>
  </si>
  <si>
    <t>16.03.2004</t>
  </si>
  <si>
    <t>7079/-</t>
  </si>
  <si>
    <t>O/o the Superintendent, CGST&amp; Central Excise, Range-Shahjahanpur</t>
  </si>
  <si>
    <t>50/02, Rufas Charan Lane, Shahjahanpur</t>
  </si>
  <si>
    <t>06.02.1986</t>
  </si>
  <si>
    <t>9469/-</t>
  </si>
  <si>
    <t>CGST &amp; CX Commissionerate, Kanpur</t>
  </si>
  <si>
    <t>O/o the Assistant Commissioner, Customs &amp; Central GST Div- Jhansi</t>
  </si>
  <si>
    <t>1984/1 Civil Lines Elite Crossing, Jhansi - 284001</t>
  </si>
  <si>
    <t>01.01.2013 (sanction order C.No. I(22)38-Admn-97/17207 dated 26.11.2012</t>
  </si>
  <si>
    <t>Commissioner, CGST Kanpur</t>
  </si>
  <si>
    <t>01.01.2019 - 31.12.2019</t>
  </si>
  <si>
    <t>107632/-</t>
  </si>
  <si>
    <t>O/o the Superintnedent, Customs &amp; Central GST Range - I/II/III/IV, Jhansi</t>
  </si>
  <si>
    <t xml:space="preserve">01.02.2017 (sanction order C.No. I(22)38-Admn-97/4583 dated </t>
  </si>
  <si>
    <t>01.02.2020 - 31.01.2023</t>
  </si>
  <si>
    <t>01.02.2023</t>
  </si>
  <si>
    <t>64480/-</t>
  </si>
  <si>
    <t>O/o the Superintnedent, Customs &amp; Central GST Range - Orai</t>
  </si>
  <si>
    <t>1009 A, Rajendra Nagar Station Road, Orai - 285001</t>
  </si>
  <si>
    <t xml:space="preserve">01.06.1997 (sanction order C.No. I(22)13-Admn/ 91/714 dated 24.10.1997 </t>
  </si>
  <si>
    <t>01.02.2019- 31.01.2022</t>
  </si>
  <si>
    <t>30752/-</t>
  </si>
  <si>
    <t>O/o the Superintnedent, Customs &amp; Central GST Range - Lalitpur</t>
  </si>
  <si>
    <t xml:space="preserve">2855, Ravatyana Gour Colony, Kailangwa Road, Near Four Line Crossing, Lalitpur  </t>
  </si>
  <si>
    <t>15.11.2017 (sanction order C.No. I(22)28-Admn/Lalitpur/2017/4047dated 13.10.2017</t>
  </si>
  <si>
    <t>15.11.2017 - 14.11.2020</t>
  </si>
  <si>
    <t>R-XXIV</t>
  </si>
  <si>
    <t>Mahoba</t>
  </si>
  <si>
    <t xml:space="preserve">3 Years </t>
  </si>
  <si>
    <t>30000/-</t>
  </si>
  <si>
    <t>Annexure - A,B, C may be treated as Nil</t>
  </si>
  <si>
    <t>R-XXV</t>
  </si>
  <si>
    <t>Hamirpur</t>
  </si>
  <si>
    <t>01.04.2012</t>
  </si>
  <si>
    <t>Range - Kaimganj</t>
  </si>
  <si>
    <t>Khan, Patwan Gali, Near Water Tank, Kaimganj, Farrukhabad</t>
  </si>
  <si>
    <t>18.08.1991</t>
  </si>
  <si>
    <t>Feb. 2019</t>
  </si>
  <si>
    <t>12120/-</t>
  </si>
  <si>
    <t>104/-</t>
  </si>
  <si>
    <t>Range - Mainpuri</t>
  </si>
  <si>
    <t xml:space="preserve">Kadna Raman Road, Near UCO Bank Mainpuri </t>
  </si>
  <si>
    <t>09.07.2018</t>
  </si>
  <si>
    <t>20000/-</t>
  </si>
  <si>
    <t>125/-</t>
  </si>
  <si>
    <t>Range - Kannauj</t>
  </si>
  <si>
    <t>Makrand Nagar, Knnnauj</t>
  </si>
  <si>
    <t>05.03.1999</t>
  </si>
  <si>
    <t>11058/-</t>
  </si>
  <si>
    <t xml:space="preserve">90/- </t>
  </si>
  <si>
    <t>CGST &amp; C.Ex. Range- Banda(CGST &amp; C.Ex. Div.-I Allahabad)</t>
  </si>
  <si>
    <t>Siddiqui Complex, Awas Vikas, Chilla Road, Banda-210001</t>
  </si>
  <si>
    <t>25.09.2018</t>
  </si>
  <si>
    <t>25.09.2021</t>
  </si>
  <si>
    <t>21,041/-</t>
  </si>
  <si>
    <t>CGST &amp; C.Ex. Range- Chitrakoot(CGST &amp; C.Ex. Div.-I Allahabad)</t>
  </si>
  <si>
    <t>IInd floor, T.E. Building Kalupor, Karwi, Chitrakoot</t>
  </si>
  <si>
    <t xml:space="preserve">04.06.2019  </t>
  </si>
  <si>
    <t>04.06.2020</t>
  </si>
  <si>
    <t>44,700/-+GST</t>
  </si>
  <si>
    <t>.........</t>
  </si>
  <si>
    <t>CGST &amp; C.Ex. Range- Kaushambi(CGST &amp; C.Ex. Div.-II Allahabad)</t>
  </si>
  <si>
    <t>BSNL Compound, Manjhanpur, Kaushambi</t>
  </si>
  <si>
    <t>22,700/-</t>
  </si>
  <si>
    <t>Possession has not been taken so far, rent is not being paid</t>
  </si>
  <si>
    <t>CGST &amp; C.Ex. Div.-Jaunpur, Range- I &amp;II Jaunpur</t>
  </si>
  <si>
    <t>Machhilishahar, Padav Road, Faizbagh, Umarpur, Jaunpur</t>
  </si>
  <si>
    <t>14.12.2017</t>
  </si>
  <si>
    <t>14.12.2020</t>
  </si>
  <si>
    <t>40,000/-</t>
  </si>
  <si>
    <t>Rs. 10/- per sqft.</t>
  </si>
  <si>
    <t xml:space="preserve"> Range Jaunpur- III, (CGST &amp; C.Ex. Div.-Jaunpur)</t>
  </si>
  <si>
    <t>Naiganj Town, Mungra Badshahpur, Jaunpur</t>
  </si>
  <si>
    <t>6,215/-</t>
  </si>
  <si>
    <t xml:space="preserve"> Range Bhadohi, (CGST &amp; C.Ex. Div.-Jaunpur)</t>
  </si>
  <si>
    <t>Shop No. 66, Niryat Bhawan, Station Road, Bhadohi</t>
  </si>
  <si>
    <t>01.02.2005</t>
  </si>
  <si>
    <t>1,531/-</t>
  </si>
  <si>
    <t xml:space="preserve"> Range Pratapgarh (CGST &amp; C.Ex. Div.-Jaunpur)</t>
  </si>
  <si>
    <t>BSNL Quarter Type -V, Telephone Exchange Compound, Dahilamau, Pratapgarh</t>
  </si>
  <si>
    <t>22989/- +    Tax</t>
  </si>
  <si>
    <t>CGST &amp; C.Ex., Div.-Faizabad</t>
  </si>
  <si>
    <t>1/13/19/18-B, Naiyar Colony, Civil lines, Faizabad</t>
  </si>
  <si>
    <t>62,350/-</t>
  </si>
  <si>
    <t>Renewal of lease is under process.</t>
  </si>
  <si>
    <t xml:space="preserve"> Range-Faizabad-I, (CGST &amp; C.Ex. Div.-Faizabad)</t>
  </si>
  <si>
    <t>11,000/-</t>
  </si>
  <si>
    <t xml:space="preserve"> Due to non receipt of FRRC from CPWD the renewal of lease is under process.</t>
  </si>
  <si>
    <t xml:space="preserve"> Range-Faizabad-II, (CGST &amp; C.Ex. Div.-Faizabad)</t>
  </si>
  <si>
    <t>Working in the premises of  Range- Faizabad-I.</t>
  </si>
  <si>
    <t xml:space="preserve"> Range-Basti, (CGST &amp; C.Ex. Div.-Faizabad)</t>
  </si>
  <si>
    <t>H.No. 366, Ward No. 1, Pandey Bazar, Mehdawal Road, Basti</t>
  </si>
  <si>
    <t>9,314/-</t>
  </si>
  <si>
    <t xml:space="preserve"> Range-Ambedkar Nagar, (CGST &amp; C.Ex. Div.-Faizabad)</t>
  </si>
  <si>
    <t>Tamsa Marg, Meeranpur, Akbarpur, Distt.-Ambedkarnagar</t>
  </si>
  <si>
    <t>01.02.2017</t>
  </si>
  <si>
    <t>2.5 years</t>
  </si>
  <si>
    <t>1,000/-</t>
  </si>
  <si>
    <t xml:space="preserve"> Procedure for hiring a new building for Range- Ambedkarnagar is under process.</t>
  </si>
  <si>
    <t xml:space="preserve"> Range-Sultanpur, (CGST &amp; C.Ex. Div.-Faizabad)</t>
  </si>
  <si>
    <t>Working in the premises of Div.- Faizabad and new building for hiring on rent is under process.</t>
  </si>
  <si>
    <t>CGST &amp; C.Ex. Div.-Raebareli/Range-I/II, Raebareli</t>
  </si>
  <si>
    <t>18/18K, Mangalam civil lines, Raebareli</t>
  </si>
  <si>
    <t>01.10.2004</t>
  </si>
  <si>
    <t>1,26,014/-</t>
  </si>
  <si>
    <t>CGST Range-Fatehpur (CGST &amp; C.Ex. Div.-Raebareli)</t>
  </si>
  <si>
    <t>874-Abu Nagar, Fatehpur</t>
  </si>
  <si>
    <t>01.07.2008</t>
  </si>
  <si>
    <t>14,492/-</t>
  </si>
  <si>
    <t>CGST Range-Amethi (CGST &amp; C.Ex. Div.-Raebareli)</t>
  </si>
  <si>
    <t>Road No.-4,A-3, Sector-21, Industrial area, Jagdispur</t>
  </si>
  <si>
    <t>07.03.2003</t>
  </si>
  <si>
    <t>12,575/-</t>
  </si>
  <si>
    <t>...</t>
  </si>
  <si>
    <t>CGST &amp; Central Excise, Range-Hathras</t>
  </si>
  <si>
    <t>Dharam Raj Plaza, Puran Mill Compound, Hathras</t>
  </si>
  <si>
    <t>I(15)1-admn/2015  dated-01.10.2014</t>
  </si>
  <si>
    <t>6 years</t>
  </si>
  <si>
    <t>CGST &amp; Central Excise, Range-Kasganj</t>
  </si>
  <si>
    <t>1062/1-2, Laxmiganj, Kasganj</t>
  </si>
  <si>
    <t>I(20)admn/kasganj/93/pt dated 16.02.2009</t>
  </si>
  <si>
    <t>17.02.2022</t>
  </si>
  <si>
    <t>CGST &amp; Central Excise, Range-Etah</t>
  </si>
  <si>
    <t>405, Ashok Nagar, Nidhouli Road, Etah-207001</t>
  </si>
  <si>
    <t>I(20)46/admn/R-etah/2018 dated-08.02.2019</t>
  </si>
  <si>
    <t>08.02.2021</t>
  </si>
  <si>
    <t>CGST &amp; Central Excise Division-Firozabad</t>
  </si>
  <si>
    <t>Aman Motors Building, Surya Nagar, Firozabad-283203</t>
  </si>
  <si>
    <t>01.04.2015, V(1)Tech/CR/Agra/10/2014</t>
  </si>
  <si>
    <t>1,33,100</t>
  </si>
  <si>
    <t>CGST &amp; Central Excise Range-Shikohabad</t>
  </si>
  <si>
    <t>Nai Basti, Shikohabad, Firozabad-283135</t>
  </si>
  <si>
    <t>01.08.2016 II-Misc/के. लो. नि./Repair/11/2015, dated-18.11.2015</t>
  </si>
  <si>
    <t>CGST &amp; Central Excise Range-Etawah</t>
  </si>
  <si>
    <t>Vikas Colony Part-3, Pakka Bagh, Near Harshabardhan Hotel, Etawah-206001</t>
  </si>
  <si>
    <t>12.08.2016, I(04)-Admn./Building/FZD/2016/2007, dated 23.06.2016</t>
  </si>
  <si>
    <t>12.08.2020</t>
  </si>
  <si>
    <t>CGST &amp; Central Excise, Range-Auraiya</t>
  </si>
  <si>
    <t>Maharana Pratap Nagar, Near Jalaun Chauraha Auraiya-206122</t>
  </si>
  <si>
    <t>13.07.2017, I(04)-Admn./Building/FZD/2016/2245, dated24.05.2017</t>
  </si>
  <si>
    <t>13.07.2020</t>
  </si>
  <si>
    <t>CGST &amp; Central Excise, Division-Mathura</t>
  </si>
  <si>
    <t>A-8, Kadamb Vihar, Township, Mathura-281006</t>
  </si>
  <si>
    <t>01.04.2018 I(15)27/Admn/RRT/MTR/2018</t>
  </si>
  <si>
    <t>CGST &amp; Central Excise, Range-Kosikalan</t>
  </si>
  <si>
    <t>Arya Nagar, Kosikalan</t>
  </si>
  <si>
    <t>01.03.2018 I(20)-10/Admn/Rent/Kosi/99/pt.</t>
  </si>
  <si>
    <t>CGST &amp; CX Commissionerate Varanasi</t>
  </si>
  <si>
    <t>Belasia Azamgarh</t>
  </si>
  <si>
    <t>CGST Division Azamgrh</t>
  </si>
  <si>
    <t>Natwa, Jangi Road, Mirzapur</t>
  </si>
  <si>
    <t>CGST Division Mirzapur</t>
  </si>
  <si>
    <t>Hired on 27.06.2016</t>
  </si>
  <si>
    <t>Ram Bhawan, Stn Road, Chunar</t>
  </si>
  <si>
    <t>CGST Division Chunar</t>
  </si>
  <si>
    <t>Hired on 01.11.1994</t>
  </si>
  <si>
    <t>Murdhwa Renukoot</t>
  </si>
  <si>
    <t>CGST Division Renukoot</t>
  </si>
  <si>
    <t>Hired on 15.02.1993</t>
  </si>
  <si>
    <t xml:space="preserve">CGST &amp; CX Audit Lucknow </t>
  </si>
  <si>
    <t>Office of the Assistant Commissioner, Central Goods &amp; Service Tax, First Floor 50, New Raja Ki Mandi, Audit Circle, Agra</t>
  </si>
  <si>
    <t>01-09-2019 To 31.08.2022</t>
  </si>
  <si>
    <t>99120/-</t>
  </si>
  <si>
    <t>Office of the Commissioner, Central Goods &amp; Service Tax, Audit Commissionerate,7-Havelock Road, opp Yojna Bhawan, Lucknow 226001</t>
  </si>
  <si>
    <t>15.10.2015</t>
  </si>
  <si>
    <t>Rent/39/2015-16-Sanction</t>
  </si>
  <si>
    <t>15.10.2018 To 14.10.2021</t>
  </si>
  <si>
    <t>15.10.2021</t>
  </si>
  <si>
    <t>CGST &amp; CX Appeals Lucknow</t>
  </si>
  <si>
    <t>O/o the Commissioner(Appeals), Cusotms, CGST &amp; CX, Lucknow</t>
  </si>
  <si>
    <t>3/194, Vishal Khand -3, Gomti Nagar, Lucknow</t>
  </si>
  <si>
    <t>01.06.2018 - 31.05.2021</t>
  </si>
  <si>
    <t>297832/- excluding GST</t>
  </si>
  <si>
    <t xml:space="preserve">194.3/- </t>
  </si>
  <si>
    <t>CGST &amp; CX Mumbai Zone</t>
  </si>
  <si>
    <t xml:space="preserve">Division I Raigad GST ( VT-01) Comissionerate and Ranges Range III( VT0103) to Range VI(VT0106)    </t>
  </si>
  <si>
    <t xml:space="preserve">Address : 1st Floor, Monalisa Building Plot No. 1543, Nagothane, Tal-Roha, Dist Raigad Maharashtra   </t>
  </si>
  <si>
    <t>01.03.2016 &amp; F.No. C.Ex./RGD/PRO/NagothaneRO/2014-15 dated 25.02.2016</t>
  </si>
  <si>
    <t>19790/-</t>
  </si>
  <si>
    <t>6.79/-</t>
  </si>
  <si>
    <t>Division II Raigad GST (VT02) and Ranges VT0201 to VT0206)</t>
  </si>
  <si>
    <t xml:space="preserve"> Address :Chandrakant Complex, 2nd Floor, Near Reliance petrol pump, N.H.66, Mahad Dist Raigad</t>
  </si>
  <si>
    <t>16.10.2017 &amp; F.No. C.Ex./RGD/L&amp;B/Mahad /2016 dated 16.10.2017</t>
  </si>
  <si>
    <t>64832.27/-</t>
  </si>
  <si>
    <t>20.13/-</t>
  </si>
  <si>
    <t>04.01.1978 &amp; alloted dated 04.01.1978</t>
  </si>
  <si>
    <t>year 2077</t>
  </si>
  <si>
    <t>1.02/-</t>
  </si>
  <si>
    <t>Bhiwandi Comm'te</t>
  </si>
  <si>
    <t>Range I to V, Division II CGST &amp; Cx Bhiwandi Comm'te</t>
  </si>
  <si>
    <t>1st Floor, Sai Prasad Building, Gandhi Chowk, Badlapur East -421503</t>
  </si>
  <si>
    <t>01.08.1994</t>
  </si>
  <si>
    <t>Additional Collector, Central Excise Bombay-III</t>
  </si>
  <si>
    <t>01.09.1997</t>
  </si>
  <si>
    <t>Till date rent agreement is not renewed and office had paid rent upto Feb-18 at older rate of Rs. 6762/- per month. Now rent agreement renewal is under process</t>
  </si>
  <si>
    <t>Division III CGST &amp; Cx Bhiwandi Comm'te</t>
  </si>
  <si>
    <t>2nd &amp; 3rd Floor, Chandrama Building, Valipeer Road, Kalyan (W) 421302</t>
  </si>
  <si>
    <t>01.12.1977 
santion order F.No.I/Admn(4)4/Chandrama/L&amp;B/Th-I/13 dtd.25.03.2015</t>
  </si>
  <si>
    <t>Commissioner, Thane-I, Central Excise</t>
  </si>
  <si>
    <t>Rent Renewal is under Process</t>
  </si>
  <si>
    <t>Division IV CGST &amp; Cx Bhiwandi Comm'te</t>
  </si>
  <si>
    <t>2nd Floor, Rabee Plaza Building, Dhamankar Naka, Bhiwandi-421302</t>
  </si>
  <si>
    <t>09.06.1998</t>
  </si>
  <si>
    <t>Commissioner, CGST, Bhiwandi</t>
  </si>
  <si>
    <t>07.09.2018</t>
  </si>
  <si>
    <t>3rd Floor, Rabee Plaza Building, Dhamankar Naka, Bhiwandi-421302</t>
  </si>
  <si>
    <t>15.07.2011
santion order F.No.I/Admn(11)2/79/Pt-II dtd.02.07.2011</t>
  </si>
  <si>
    <t>14.07.2016</t>
  </si>
  <si>
    <t>Division V CGST &amp; Cx Bhiwandi Comm'te</t>
  </si>
  <si>
    <t>3rd Floor, Niharika Building, Valipeer Road, Kalyan (W)  421302</t>
  </si>
  <si>
    <t>01.11.1992, santioned oder F.No.I/Admn(4)4/Niharika/L&amp;B/Th-I/13 dtd.25.03.2015</t>
  </si>
  <si>
    <t>CGST &amp; C.Ex., Thane (Hqrs.)</t>
  </si>
  <si>
    <t>Navprabhat Chambers, Ranade Road, Dadar (West), Mumbai - 400028</t>
  </si>
  <si>
    <t>1561.23 sq mtr for office and 203.59 for stilt garrage</t>
  </si>
  <si>
    <t>1795.40 sq. mtr for office and 234.14 for stilt garrage</t>
  </si>
  <si>
    <t>The said premises has been hired since 1970. The last sanction was received from the Ministry vide F. No. 924/774/Hiring/Navprabhat Chambers/ Thane/HRD/15 dated 15.03.2016</t>
  </si>
  <si>
    <t>President of India</t>
  </si>
  <si>
    <t>01.11.2013 to 31.10.2018</t>
  </si>
  <si>
    <t>Rs. 2840419/- per month (excluding taxes) i.e. Rs. 2762422/- for office and Rs. 75997/- for garrage area</t>
  </si>
  <si>
    <t>Rs. 164.5 per sq.ft for office and Rs. 34.67 per sq.ft for garrage 
i.e. Rs. 1770.678 per sq. mtr for office and Rs. 373.18 per sq. mtr of garrage</t>
  </si>
  <si>
    <t>The Rent revision proposal has been forwarded to DGHRD. After approval for the said revision Rent would be paid @ Rs. 31,91,023/- per month (i.e. Rs. 30,96,153/- for office and Rs. 94,870/- for garrage)</t>
  </si>
  <si>
    <t>Division - V, CGST &amp; C.Ex., Thane</t>
  </si>
  <si>
    <t>Atharva Building, 3rd &amp; 4th Floor, Mira-Bhayandar Road, Thane-401107</t>
  </si>
  <si>
    <t>The said premises has been hired since 2012. The last sanction towards rent was accorded by the Commissioner, CGST &amp; C.Ex., Thane vide F. No. I/Adm(4)/L&amp;B/Rent/Divn-V/GST/TH/2017 dated 02.03.2020</t>
  </si>
  <si>
    <t>Commissioner, CGST &amp; C.Ex., Thane</t>
  </si>
  <si>
    <t>01.08.2019 to 31.07.2022</t>
  </si>
  <si>
    <t>Rs.299600/- (inclusive of municipal taxes but exclusive of GST, water &amp; electricity charges)</t>
  </si>
  <si>
    <t>Rs. 60.66 per sq.ft
i.e. Rs. 652.944 per sq.meter</t>
  </si>
  <si>
    <t>Mumbai East</t>
  </si>
  <si>
    <t>Mumbai East, Audit-III, Thane Appeals, Bhiwandi Commissionerate (4 Comm'te)</t>
  </si>
  <si>
    <t>five floor i.e. 1st, 9th to 12th floor,Lotus InfoCentre,Parel  Station Road, Bhatankar Marg, Parel (East)-12</t>
  </si>
  <si>
    <t>20.11.2014, RENT/13/2014-15 SANCTION dated 16.10.2014 under F.No. 924/18/Hiring/Service Tax/Mumbai-I/HRD/13 dated 16.10.2014</t>
  </si>
  <si>
    <t>20.11.2014 to 19.11.2017</t>
  </si>
  <si>
    <t>From 20.11.2017</t>
  </si>
  <si>
    <t>the Lotus Info Centre building consisting four Comm't namely Mumbai East, Bhiwandi, Audit-III, Thane Appeal.The Total Hired area is 4796.54 sq mtr   out of the space 4796.54 sqmtr, the space 2169.71 sqr mtr ( Gr,1st,9th&amp;10th floor) occupied by Mumbai East commissionerate.</t>
  </si>
  <si>
    <t>four floor i.e. Ground, 8th(part), 14th &amp; 15th floor,Lotus InfoCentre,Parel  Station Road, Bhatankar Marg, Parel (East)-12</t>
  </si>
  <si>
    <t>01.03.2016, Rent/52/2015-16 sanction dtd. 16.02.2016 under F.No. 924/51/Hiring/Service Tax/ Mumbai-I/HRD/13, dtd.16.02.2016</t>
  </si>
  <si>
    <t>01.03.2016 to 28.02.2019</t>
  </si>
  <si>
    <t xml:space="preserve"> From 01.03.2019</t>
  </si>
  <si>
    <t>**     Mumbai East Div-III</t>
  </si>
  <si>
    <t>Ist floor 'A'Wing of polyshoor Building, LBS Marg, Vikhroli(West),Mumbai-83</t>
  </si>
  <si>
    <t>**This premises has already been vacated on 31.12.2019 and the new premises at 2nd floor, Ganga House building, vikhroli (Hired area is 2735 sqft with Rs 88/- sqft per month) has been hired w.e.f.01.04.2020</t>
  </si>
  <si>
    <t>Ist floor 'B'Wing of polyshoor Building, LBS Marg, Vikhroli(West),Mumbai-83</t>
  </si>
  <si>
    <t>Mumbai East Div-I,II,IV</t>
  </si>
  <si>
    <t xml:space="preserve"> 'A' wing Ganga House,110 LBS marg,Vikhroli(W),Mumbai-83</t>
  </si>
  <si>
    <t>upto 26.03.2018</t>
  </si>
  <si>
    <t xml:space="preserve"> From 27.03.2018</t>
  </si>
  <si>
    <t xml:space="preserve"> 'B' wing Ganga House,110 LBS marg,Vikhroli(W),Mumbai-83</t>
  </si>
  <si>
    <t>Not usable spce</t>
  </si>
  <si>
    <t>2nd floor MSEB Building Estrella Batteries Compound, Dharavi Road, Mumbai-19</t>
  </si>
  <si>
    <t>Not usable space,                                         *** the matter is in Court</t>
  </si>
  <si>
    <t>GST, Mumbai West Commissionerate</t>
  </si>
  <si>
    <t>Divisions VI to X of GST, Mumbai West</t>
  </si>
  <si>
    <t>Takshashila Building, Samant Estate, Goregaon (East), Mumbai-63</t>
  </si>
  <si>
    <t xml:space="preserve">10275.10+
652.84 (parking)
954.58+
60.65 Sq.Mtr.
</t>
  </si>
  <si>
    <t>F.No. 924/47/ Hiring/Mumbai /HRD/2019 dated 17.06.2019</t>
  </si>
  <si>
    <t>Hiring Department, New Delhi</t>
  </si>
  <si>
    <t>02.12.2015 to 01.12.2018</t>
  </si>
  <si>
    <t>02.12.2018</t>
  </si>
  <si>
    <t>15,15,012/-</t>
  </si>
  <si>
    <t>Renewal of rent agreement for 02.12.2018 to 01.12.2021 under process</t>
  </si>
  <si>
    <t>Belapur</t>
  </si>
  <si>
    <t>Office of the Commissioner of CGST &amp; CX, Belapur  and         O/o the Deputy/ Assistant Commissioner of CGST &amp; CX - Divisions -Belapur -I , Belapur-II, Belapur-III, Belapur-IV, Belapur-V &amp; Belapur-VI</t>
  </si>
  <si>
    <t>CGO Complex, Sector 10A, CBD, Belapur, Navi Mumbai- 400614</t>
  </si>
  <si>
    <t>1.07.2017</t>
  </si>
  <si>
    <t>Lic Fee - Rs. 15.28 lakhs per mmonth</t>
  </si>
  <si>
    <t>@Rs.36/- per sq.ft. per month</t>
  </si>
  <si>
    <t>This office has been directed to pay licence fee w.e.f. 01.07.2017 videe letter F.No.12/GPOA/GST/LF Bill/2017-EMM/449 dtd. 18.12.17.</t>
  </si>
  <si>
    <t>Office of the Commissionerate of Central GST&amp; C Excise, Navi Mumbai.</t>
  </si>
  <si>
    <t xml:space="preserve">16th Floor, Satra Plaza, Sector-19-D, Palm Beach Road, Vashi, Navi Mumbai. </t>
  </si>
  <si>
    <t>15.04.2019 F No. 924/22/ Hiring/CGST/Navi Mumbai</t>
  </si>
  <si>
    <t>Under Secretary to the Govt of India</t>
  </si>
  <si>
    <t>15.04.2019 to 14.04.2022</t>
  </si>
  <si>
    <t>15.04.2022</t>
  </si>
  <si>
    <t xml:space="preserve">24,50,250/- </t>
  </si>
  <si>
    <t> </t>
  </si>
  <si>
    <t>Office of the Commissioner of CGST, Audit-I, Mumbai,</t>
  </si>
  <si>
    <t xml:space="preserve"> 14th &amp; 15th Floor, Air India Building, Nariman Point, Mumbai 400 021.</t>
  </si>
  <si>
    <t>***This office is in possession of the entire 14th floor and part area of 15th floor of Air India Building.  13th floor and part of the 15th floor is in possession of CGST Mumbay South Commissionerate.Office of the Commissioner CGST, Mumbai South Commissionerate, Mumbai, is the caretaker and having administrative control over this rented office premises and the rent agreement and renewable thereof is being monitored by them. As such the details in respect of col.no.8 to 13 may be taken up with Mumbai South Commissionerate.</t>
  </si>
  <si>
    <t>CGST AUDIT -II MUMBAI COMMISSIONERATE</t>
  </si>
  <si>
    <t>O/o THE COMMISSIONER CGST &amp; CX AUDIT-II MUMBAI</t>
  </si>
  <si>
    <t>30TH FLOOR, CENTRE-I, WORLD TRADE CENTRE CUFF PARADE MUMBAI 400005</t>
  </si>
  <si>
    <t>1435.71 SQ. MTRS (15454.01)</t>
  </si>
  <si>
    <t>DGHRD HRD/IW (Infrstracfure and Welfare Wing) Central Excise &amp; Customs,  IRCON Building District  Centre Saket New Delhi 110017</t>
  </si>
  <si>
    <t>10.02.2019 to 09.02.2022 (for three years)</t>
  </si>
  <si>
    <t>10.02.2022</t>
  </si>
  <si>
    <t>43,27,123/- + + GST as applicable.</t>
  </si>
  <si>
    <t>280 per sq ft</t>
  </si>
  <si>
    <t>** The santion for renuawal of agreement for the current period is awaited.</t>
  </si>
  <si>
    <t>Laxmi Insurance Building was allocated to Gold Control Administrator in 1963 by way of an order of Kolkata High Court/Official Liqidator. (Under Tenancy Right)</t>
  </si>
  <si>
    <t>P.M. Road, Fort, Mumbai-400 001</t>
  </si>
  <si>
    <t>6237 Sft</t>
  </si>
  <si>
    <t>DGCEI   CDR/CESTAT
CDR/CESTAT
CDR/CESTAT
LTU, Mumbai
Central Excise Audit Mumbai-1 Commissionerate
CGST, Audit-II Mumbai
*</t>
  </si>
  <si>
    <t>On the transition to GST, the premises were placed under the administrative control of Audit-II Commissinerte vide SO No. 06/2017 dated 13.07.2017 issued by CCO Mumbai Zone.</t>
  </si>
  <si>
    <t xml:space="preserve">Under Tenancy Right </t>
  </si>
  <si>
    <t>62,381 (since August, 2000 to Frbruary, 2018)</t>
  </si>
  <si>
    <t xml:space="preserve">A lump sum rent of Rs. 1.13 Crore was paid in January, 2018 and March, 2018 for the period August 2001 to February 2018, </t>
  </si>
  <si>
    <t>CGST Audit-III Commiss-ionerate, Mumbai.</t>
  </si>
  <si>
    <t>Office of the Commissioner of CGST, Audit-III, Mumbai,</t>
  </si>
  <si>
    <t>CGST, Palghar</t>
  </si>
  <si>
    <t>Office of the Superintendent, Range-I to Range-VI, Division-IV, Palghar</t>
  </si>
  <si>
    <t>Sai Shopping Complex, Chitralaya, MIDC, Boisar West, Dist. Palghar, Maharashtra - 401501</t>
  </si>
  <si>
    <t>564.48 sq.mtr</t>
  </si>
  <si>
    <t>806.41 Sq. Mtr
8677 Sq. Ft.</t>
  </si>
  <si>
    <t>From 01.11.2013 
Ministry F.No. 924/18/Hiring/Boisar Mumbai-I/HRD/2014 dated 22.06.2015</t>
  </si>
  <si>
    <t>HRD, New Delhi</t>
  </si>
  <si>
    <t>5 Years (Period from 01.11.2013 to 31.10.2018</t>
  </si>
  <si>
    <t>381778/-</t>
  </si>
  <si>
    <t>RS. 44/- per sq.ft</t>
  </si>
  <si>
    <t xml:space="preserve">New proposal of agreement for the period 01.11.2018 to 30.10.2023 has been forwarded to Hqrs. for approval  </t>
  </si>
  <si>
    <t>Palghar Commissionerate, Division-V</t>
  </si>
  <si>
    <t>Office of the Assistant Commissioner, Hrishikesh Apartment, Boisar, Palghar Road, Boisar West - 401 501.</t>
  </si>
  <si>
    <t>487.31 Sq. Mtr</t>
  </si>
  <si>
    <t>575.02 Sq. mtr</t>
  </si>
  <si>
    <t>25.02.2016. F.No. 924/84/Hiring /Boisar/Thane-II/HRD/15, Issued by Under Secretary to the Govt.of India.</t>
  </si>
  <si>
    <t>Issued by Under Secretary to the Govt.of India.</t>
  </si>
  <si>
    <t>05 Years (01.01.2014 to 31.12.2018)</t>
  </si>
  <si>
    <t>Rs. 2,46,539/- per month</t>
  </si>
  <si>
    <t>Rs. 505.92 per sq. mtr (carpet area)</t>
  </si>
  <si>
    <t>Renewal of lease agreement is under process. FRC is pending from CPWD office.</t>
  </si>
  <si>
    <t>CGST Palghar</t>
  </si>
  <si>
    <t>DIVISION - I&amp;II, CGST, PALGHAR DIVISION OFFICE</t>
  </si>
  <si>
    <t>1st &amp; 2nd Floor Vimal Shopping Center , Manikpur Road Vasai West 401202</t>
  </si>
  <si>
    <t>Not mentioned in CPWD letter as well as Agreement</t>
  </si>
  <si>
    <t>203 Sq. Mtrs(2185 sq ft )</t>
  </si>
  <si>
    <t>F.N/924/38/Hiring/vasai/Thane-II/HRD/18 dtd 30.05.2019</t>
  </si>
  <si>
    <t>Under Secretary</t>
  </si>
  <si>
    <t>Rs.164006/-  (Inclusive of Mun. Tax + GST</t>
  </si>
  <si>
    <t>807.91 per sq mtrs (75.06 per sq ft)</t>
  </si>
  <si>
    <t>As per record available with the office Carpet area not available in the agreement only built area is provided.</t>
  </si>
  <si>
    <t>DIVISION - I&amp;II, CGST, PALGHAR RANGE OFFICE</t>
  </si>
  <si>
    <t>477.61 Sq Mtrs(5141 sq.ft)</t>
  </si>
  <si>
    <t>01.06.2017 to 31.05.2022</t>
  </si>
  <si>
    <t>Rs.385883/-  (Inclusive of Mun. Tax + GST)</t>
  </si>
  <si>
    <t>Division-III &amp;VI, CGST, Palghar              Division Office</t>
  </si>
  <si>
    <t>1st Floor &amp; 2nd Floor, Mahavir Chambers, Kacheri Road, Palghar - 401404</t>
  </si>
  <si>
    <t>4101 Sq.Ft [381 Sq.Mtrs]</t>
  </si>
  <si>
    <t>4357 Sq.Ft [405 Sq.Mtrs] As per FRC issued by CPWD</t>
  </si>
  <si>
    <t>01.04.2013 vide Sanction Order under F.No.924/13/ Hiring/Thane-II/ Palghar/HRD/2014 dt. 25.02.2016 from US, MOF, DOR, CBEC</t>
  </si>
  <si>
    <t>01.04.2013 to 31.03.2018</t>
  </si>
  <si>
    <t>Rs.1,33,533/- plus  S.Tax applicable</t>
  </si>
  <si>
    <t>Rs.33/- per Sq.Ft</t>
  </si>
  <si>
    <t>Renewal of Lease agreeement from 01.04.2018 under process</t>
  </si>
  <si>
    <t>Division-III &amp;VI, CGST, Palghar              Range Office</t>
  </si>
  <si>
    <t>1st Floor, Shiv Kalyan Building, Near ICICI Bank, Mahim Road, Palghar -401404</t>
  </si>
  <si>
    <t>2250 Sq.Ft [209 Sq.Mtrs]</t>
  </si>
  <si>
    <t>2893 Sq.Ft [268.86 Sq.Mtrs] As per FRC issued by CPWD</t>
  </si>
  <si>
    <t>01.04.2016 vide Sanction Order letter F.No.6/L&amp;B/ Shiv Kalyan/Palghar/2018 dt. 18.08.2018  from Addl. Commr, CGST, Palghar</t>
  </si>
  <si>
    <t>Addl. Commr, CGST, Palghar</t>
  </si>
  <si>
    <t>01.04.2016 to 31.03.2021</t>
  </si>
  <si>
    <t>Rs.37935/-</t>
  </si>
  <si>
    <t>Rs.16.86/- per Sq.Ft.</t>
  </si>
  <si>
    <t>Hqrs &amp; Circles</t>
  </si>
  <si>
    <t>MTNL Bulding, Sec16/A, Vashi, Navi Mumbai</t>
  </si>
  <si>
    <t>F.No. 924/07/Hiring/ Mumbai-II(Audit)/ HRD/15 dt. 26/4/2016</t>
  </si>
  <si>
    <t>Ministry of Finance</t>
  </si>
  <si>
    <t>4071790/-</t>
  </si>
  <si>
    <t>1505.32      
plus taxes</t>
  </si>
  <si>
    <t>Renewal of rent is pending due to re assessment by CPWD for Fair Rent Certificate</t>
  </si>
  <si>
    <t xml:space="preserve">Office of The CGST &amp;  C.Ex., Audit Thane, </t>
  </si>
  <si>
    <t>Piramal Chambers, 9th Floor, Jijibhoy Lane, Lalbaug, Parel, Mumbai-400012</t>
  </si>
  <si>
    <t>6501 sq.ft.</t>
  </si>
  <si>
    <t>The premises is hired by the CGST &amp; C.Ex. Mumbai Central Commr'ate  &amp; the rent is being paid by them, hence the information in respect of Col. No.5 to 7 is not available in this office.</t>
  </si>
  <si>
    <t>Office of The CGST &amp;  C.Ex., Appeals- I, Mumbai</t>
  </si>
  <si>
    <t>The premises is hired by the CGST &amp; C.Ex. Mumbai Central Commr'ate  &amp; the rent is being paid by them, .</t>
  </si>
  <si>
    <t>Office of The CGST &amp;  C.Ex., Appeals- II, Mumbai</t>
  </si>
  <si>
    <t>3rd Floor, Plot No.C-24, Sector-E, CGST Bhavan, BKC, Bandra (E), Mumbai-51</t>
  </si>
  <si>
    <t>Palghar Comm'te is the care taker of this CGST Bhavan.</t>
  </si>
  <si>
    <t>Office of The CGST &amp;  C.Ex., Appeals- III, Mumbai</t>
  </si>
  <si>
    <t>Office of The CGST &amp;  C.Ex., Raigarh- Appeals</t>
  </si>
  <si>
    <t>5th floor, CGO Complex, CBD Belapur, Navi Mumbai - 400 614</t>
  </si>
  <si>
    <t>Office of  The CGST &amp;  C.Ex., Appeals-Thane</t>
  </si>
  <si>
    <t>12th floor, B wing, Lotus InfoCentre,Parel  Station Road, Bhatankar Marg, Parel (East)- Mumbai-12</t>
  </si>
  <si>
    <t>1) Mumbai South CGST &amp; Central Excise Commissionerate           
 2) Audit-I Commissionerate             
3) The Maharashtra Appeallate Authority for Advance Ruling for GST</t>
  </si>
  <si>
    <t>1) Hqtrs. Of CGST Mumbai South alongwith all Ranges of Division-III, IV, VI, VII, VIII &amp; X                                             2) offices of the Audit-I Comm'te                   3) The Maharashtra Appeallate Authority for Advance Ruling for GST</t>
  </si>
  <si>
    <t>13th, 14th &amp; 15th Floor, Air India Building, Nariman Point, Mumbai- 400 021</t>
  </si>
  <si>
    <t>Inital date of hiring 22.05.2015. Subsequently   extended from 22.05.2018 vide F.No. 924/50/Hiring /CGST/Mumbai/HRD/19 dated 01.05.2019 for 3 yrs</t>
  </si>
  <si>
    <t>DGHRD as communicated by Under Secretary, GOI,</t>
  </si>
  <si>
    <t>22.05.2021</t>
  </si>
  <si>
    <t>Rs.1,41,13,332/- + applicable GST</t>
  </si>
  <si>
    <t xml:space="preserve">The Administrative control of the property is with Mumbai South Comm'te. </t>
  </si>
  <si>
    <t>1) Mumbai South CGST &amp; Central Excise Commissionerate 2) ADG(Audit), Mumbai</t>
  </si>
  <si>
    <t>1) All Ranges of Division-V &amp; IX  2) Offices of ADG(Audit), Mumbai</t>
  </si>
  <si>
    <t>1st Floor, Old Customs House, Shahid Bhagatsingh Road, Fort, Mumbai- 400 001</t>
  </si>
  <si>
    <t>Apprx. 445</t>
  </si>
  <si>
    <t>As per the records available with this office it is to state that the acquisition of the property was done long before.  No documents are available or handed over to CGST, Mumbai South Comm'te incorporating the date of acquisition and the lease period</t>
  </si>
  <si>
    <t xml:space="preserve">As per the records available with this office the property is leased by State Govt. and no rent is payable </t>
  </si>
  <si>
    <t xml:space="preserve">1) Mumbai South CGST &amp; Central Excise Commissionerate            2) Offices of Mumbai Central CGST Commissionerate             </t>
  </si>
  <si>
    <t>1) All Ranges of Division-II &amp; 2) Offices of Mumbai Central CGST Comm'te</t>
  </si>
  <si>
    <t>Meher Building, Dadi Seth Agiyari Lane, Bombay Garrage, Chowpaty, Mumbai</t>
  </si>
  <si>
    <t>Apprx. 135</t>
  </si>
  <si>
    <t xml:space="preserve">The Administrative Control of the property is with Mumbai Central GST Comm'te  Presently the space occupied by officers  of this Comm'te is  120.77 Sq. Mt. </t>
  </si>
  <si>
    <t>Thane Rural</t>
  </si>
  <si>
    <t>Office of the Dy. Commissioner of CGST &amp; C.Ex., Div.-I</t>
  </si>
  <si>
    <t>Abha Building, 3rd Floor, Vali Peer Road, Kalyan(W)-421301</t>
  </si>
  <si>
    <t>01.05.2013</t>
  </si>
  <si>
    <t>30.04.2018</t>
  </si>
  <si>
    <t>1,44,287.50/-</t>
  </si>
  <si>
    <t>Office of the Dy. Commissioner of CGST &amp; C.Ex., Div.-II</t>
  </si>
  <si>
    <t>Bhagwandas Mension, Shivaji Chowk, Ist Floor, Kalyan (W)-421301</t>
  </si>
  <si>
    <t>05.10.2011</t>
  </si>
  <si>
    <t>04.10.2016</t>
  </si>
  <si>
    <t xml:space="preserve">33,855/- </t>
  </si>
  <si>
    <t xml:space="preserve">398.3/- </t>
  </si>
  <si>
    <t>Bhagwandas Mension, Shivaji Chowk,  IInd Floor, Kalyan (W)-421301</t>
  </si>
  <si>
    <t>04.10.2017</t>
  </si>
  <si>
    <t>2,09,264/-</t>
  </si>
  <si>
    <t xml:space="preserve">441.5/- </t>
  </si>
  <si>
    <t>Bhiwandi  (Caretaker Thane Rural)</t>
  </si>
  <si>
    <t>Office of the Dy. Commissioner of Bhiwandi Division</t>
  </si>
  <si>
    <t>Abha Building, 2nd Floor, Vali Peer Road, Kalyan(W)-421301</t>
  </si>
  <si>
    <t>Caretaker Thene Rural</t>
  </si>
  <si>
    <t xml:space="preserve">Office of the Asstt. Commissioner of CGST &amp; Central Excise,  Mumbai Central, Div- I &amp; IV, (All Ranges)                                               </t>
  </si>
  <si>
    <t>Construction House, 1st Floor, Walchand Hirachand Marg, Mumbai - 400 001</t>
  </si>
  <si>
    <t>Total Carpet Area (277.00 In Sq. Mtrs.) 2981.63 Sq.ft.</t>
  </si>
  <si>
    <t>Court Case pending for rent revision</t>
  </si>
  <si>
    <t xml:space="preserve">Office of the Asstt. Commissioner of CGST &amp; Central Excise,  Mumbai Central, Div- II &amp; III, (All Ranges)                                                    </t>
  </si>
  <si>
    <t>Meher Building, Dadiseth Agiary Lane, Chowpatty, Mumbai - 400 007</t>
  </si>
  <si>
    <t>Total Carpet Area (1677.92 In Sq. Mtrs.)18061.99 Sq.ft.</t>
  </si>
  <si>
    <t xml:space="preserve">There is no formal agreement with Owner since 1972. </t>
  </si>
  <si>
    <t>Revision of rent called for by the Owner. Law Ministry opined that Deptt.is statutory tenant of the owner and rent revision is subject to Rent Control Act, 2000 effective from April, 2001. Property covered under The Enemy Property Act. Matter has been taken up with Ministry of Home for clarification on the issue of payment of rent to owner. Their reply is awaited. Since, the rent amount is less than Rs.3 lakhs per month, the revision decision will be taken up by Commissioner on receipt of clarification from Home Ministry in consultation with DGHRD/IFU.</t>
  </si>
  <si>
    <t xml:space="preserve">Office of the Asstt. Commissioner of CGST &amp; Central Excise,  Mumbai Central, Div V to X (All Ranges)                                               
</t>
  </si>
  <si>
    <t>Piramal Chambers, 7th, 8th &amp; 9th Floor, Jijibhoy Lane, Lalbaug, Mumbai - 400 012</t>
  </si>
  <si>
    <t>Total Carpet Area (3623.87 In Sq. Mtrs.)39007 Sq.ft.</t>
  </si>
  <si>
    <t>Governor General of the  Council of  India</t>
  </si>
  <si>
    <t>Rent is being paid by Mumbai Central Commissionerate</t>
  </si>
  <si>
    <t xml:space="preserve">Appeals- I  Comm'te - </t>
  </si>
  <si>
    <t>9th floor, Piramal Chambers, Lalbaug , Mumbai - 400 012</t>
  </si>
  <si>
    <t xml:space="preserve">Appeals- III Comm'te - </t>
  </si>
  <si>
    <t xml:space="preserve">Commissioner of Thane Audit- </t>
  </si>
  <si>
    <t>9th Floor, Piramal Chambers, Lalbaug, Mumbai - 400 012</t>
  </si>
  <si>
    <t xml:space="preserve">AC/ DC, Division Hingna, </t>
  </si>
  <si>
    <t>Dy Commissioner CGST &amp; CX. Divn. Hingna Nagpur-I Plot No.35, Sector-A CIDCO Layout Village Rengapar, Near Lokmat Press Butibori-</t>
  </si>
  <si>
    <t xml:space="preserve">504.63 Sqm </t>
  </si>
  <si>
    <t>I (22)01/2018/Admn dated 08.10.2018</t>
  </si>
  <si>
    <t>Commmissioner</t>
  </si>
  <si>
    <t>01-07-2018 to 30-06-2021</t>
  </si>
  <si>
    <t>147420=00</t>
  </si>
  <si>
    <t>As per CPWD</t>
  </si>
  <si>
    <t>Superintendent, Range -Wardha</t>
  </si>
  <si>
    <t>Office of  the   Superintendeant CGST &amp; CX. Range Wardha  C/o Akhuj Building, Socialist Chowk Main Road Wardha</t>
  </si>
  <si>
    <t xml:space="preserve">140.47Sqm   </t>
  </si>
  <si>
    <t>I(5)4/2017/Rent/R-Wardha dated 11.12.2017</t>
  </si>
  <si>
    <t>01-04-2017 to 31-03-2020</t>
  </si>
  <si>
    <t>28007=00</t>
  </si>
  <si>
    <t>Renewal is under process</t>
  </si>
  <si>
    <t>Superintendent, Range -Hingna</t>
  </si>
  <si>
    <t>Office of the    Superintendeant CGST &amp; CX.  Range  Hingna  C/o  BSNL Building, Wadi Hingna</t>
  </si>
  <si>
    <t xml:space="preserve">106.38 Sqm </t>
  </si>
  <si>
    <t>IV(16)30-02/R-Hingna/2017-18 dated 07-07-2020</t>
  </si>
  <si>
    <t>01-09-2020 to 31-08-2022</t>
  </si>
  <si>
    <t>44000=00</t>
  </si>
  <si>
    <t>Superintendent, Range -Besa</t>
  </si>
  <si>
    <t xml:space="preserve">Office of the   Superintendeant CGST &amp; CX.  Range -Umrer  C/o Mane Tower Plot No.4, Besa Nagpur </t>
  </si>
  <si>
    <t xml:space="preserve">119.20 Sqm </t>
  </si>
  <si>
    <t xml:space="preserve">125.11 Sqm </t>
  </si>
  <si>
    <t>I(15)2/2018/Rent Bill/R-Umred dated12/04/2018</t>
  </si>
  <si>
    <t>15-04-2018 to 14-04-2021</t>
  </si>
  <si>
    <t>37085=00</t>
  </si>
  <si>
    <t>CGST &amp; CX, Nagpur-I</t>
  </si>
  <si>
    <t xml:space="preserve">O/o the Assistant Commissioner CGST &amp; Central Excise, Division-Bhandara, </t>
  </si>
  <si>
    <t>Petkar Bhawan, Tukdoji Ward, Bhandara</t>
  </si>
  <si>
    <t xml:space="preserve">    326.087 Sq Mtr</t>
  </si>
  <si>
    <t>33552/-</t>
  </si>
  <si>
    <t>Letter has been isssued to CPWD for issuing fair rent certificate from April 2020 and non availability Certificate for rent revision of the premises with owner is due since 01.04.2020. Reply is awaited.</t>
  </si>
  <si>
    <t xml:space="preserve">O/o the Superintendent  CGST &amp; Central Excise,Range-Bhandara &amp; Sakoli  Division-Bhandara. </t>
  </si>
  <si>
    <t>2nd floor of Sri. Ambika Niwas, Z.P.Square, Near Bank of Maharashtra, Bhandara</t>
  </si>
  <si>
    <t xml:space="preserve"> 139.35 sq Mtr.</t>
  </si>
  <si>
    <t xml:space="preserve">    121.32 Sq. Mtr</t>
  </si>
  <si>
    <t>12400/-</t>
  </si>
  <si>
    <t>Letter has been isssued to CPWD for issuing fair rent certificate from April 2018 and non availability Certificate for rent revision of the premises with owner is due since 01.04.2018. Reply is  awaited.</t>
  </si>
  <si>
    <t xml:space="preserve">O/o the Superintendent  CGST &amp; Central Excise,Range-Tumsar  Division-Bhandara. </t>
  </si>
  <si>
    <t>1st of Yashoda Bhagvat Niwas, Bajaj Nagar, Tumsar Tah-Tumsar Distt. Bhandara</t>
  </si>
  <si>
    <t>172.61 Sq mtr</t>
  </si>
  <si>
    <t>8000/-</t>
  </si>
  <si>
    <t xml:space="preserve">O/o the Superintendent  CGST &amp; Central Excise,Range-Gondia Division-Bhandara. </t>
  </si>
  <si>
    <t>Kh. No. 38/1, Bopche Complex, 1St floor, Opp. BSNL office,Balaghat Road, Gondia.</t>
  </si>
  <si>
    <t>334.44 Sq,.Mtr.</t>
  </si>
  <si>
    <t xml:space="preserve">    143.53 Sq. Mtr</t>
  </si>
  <si>
    <t>01.04.2029</t>
  </si>
  <si>
    <t>23598/-</t>
  </si>
  <si>
    <t>Letter has been isssued to CPWD for issuing fair rent certificate from April 2019 and non availability Certificate for rent revision of the premises with owner is due since 01.04.2019. Reply is  awaited.</t>
  </si>
  <si>
    <t>Division Akola</t>
  </si>
  <si>
    <t>Range - I Akola, SahebSmruti, RautWadi, Akola - 440005(M.S.)</t>
  </si>
  <si>
    <t>5 Years (01.04.2015 - 31.03.2020)</t>
  </si>
  <si>
    <t>Consent letter/FRC yet to be received for further period.</t>
  </si>
  <si>
    <t xml:space="preserve"> Division - Akola and Range-Akola-II/III, Shri Anand Harsh Bangad, Ram Adarsh, 330, Gaurakshan Road, Akola</t>
  </si>
  <si>
    <t xml:space="preserve">01.02.2018
Sanction Order under F.No.  I(11)03/2017/NGP-II/Admn
Dated 12/01/2018 
</t>
  </si>
  <si>
    <t>3 Years (01.02.2018 to 28.02.2021)</t>
  </si>
  <si>
    <t>Range-Khamgaon, Nirant Building, Near Doordarshan Kendra Road, Waman Nagar, Khamgaon, Dist, Buldhana-444303</t>
  </si>
  <si>
    <t>20-11-2008
Sanction Order under F.No. I(11)13/59/Admn/Pt.II/937 dated 18.02.2019</t>
  </si>
  <si>
    <t>3 Years (01.04.2017 - 31.03.2020)</t>
  </si>
  <si>
    <t>FRC yet to be received for further period.</t>
  </si>
  <si>
    <t>Range-Washim, Smt. Vandana Nilesh Patni, First Floor, S.rNo. 320/1, Paras Plaza, Risod Road, Washim</t>
  </si>
  <si>
    <t>01-03-2019
Sanction Order under F.No. I(11)04/2017/NGP-II/Admn/6190 dated 15.11.2018</t>
  </si>
  <si>
    <t>3 Years (01.03.2019 - 28.02.2022)</t>
  </si>
  <si>
    <t>Division Kalmeshwar</t>
  </si>
  <si>
    <t>Range -  Kalmeshwar, Plot No. 1, Khasra No. 261/5, Bramhani Phata, Saoner Road, Kalmeshwar-441501</t>
  </si>
  <si>
    <t>01.09.1998  Sanction Order under F.No I(11)03/98/Admn/2729 dated 22.07.2019</t>
  </si>
  <si>
    <t>3 Years (01.05.2019 to 30.04.2022)</t>
  </si>
  <si>
    <t>01.05.2022</t>
  </si>
  <si>
    <t>Range-Kamptee, Kanti Oil, ground floor, Plot No. 6, Kalpatru Society, Kamptee-441401</t>
  </si>
  <si>
    <t>05.06.2007  Sanction Order under F.No. I(11)01/89/Admn/2071 dated 24.05.2019</t>
  </si>
  <si>
    <t>5 Years (05.06.2017 to 04.06.2022)</t>
  </si>
  <si>
    <t>05.06.2022</t>
  </si>
  <si>
    <t>Range Mouda, Lapka Road, Tehasil Mouda, Ward No. 3 441104</t>
  </si>
  <si>
    <t>01.03.2013  Sanction Order under F.No. I(11)01/97/Admn/1821 dated 01.05.2019</t>
  </si>
  <si>
    <t>5 Years (01.01.2018 to 31.12.2022)</t>
  </si>
  <si>
    <t>01.01.2023</t>
  </si>
  <si>
    <t>Office of The Suprintendent CGST &amp;C.Ex. Range-I&amp;II ,Peshve Complex,Peshve Plot,Yavatmal-445001</t>
  </si>
  <si>
    <t>,Peshve Complex,Peshve Plot,Yavatmal-445001</t>
  </si>
  <si>
    <t>679 sqm</t>
  </si>
  <si>
    <t>1199.77 sft 341.39 Sqm</t>
  </si>
  <si>
    <t>1/4/2018 to 31.03.2021 Vide F.No.I(1)01/98/Admn./276 dated.09th,January,2019</t>
  </si>
  <si>
    <t>16,934/-</t>
  </si>
  <si>
    <t>15.12 sqm</t>
  </si>
  <si>
    <t>Audit Nagpur</t>
  </si>
  <si>
    <t xml:space="preserve">O/o the Commissioner, CGST &amp; Central Excise, Audit Commissionerate. </t>
  </si>
  <si>
    <t>4th Floor, A-Block, CGO Complex, Seminary Hills, Nagpur - 440006</t>
  </si>
  <si>
    <t>3,25,044/-</t>
  </si>
  <si>
    <t>317.23 sqm</t>
  </si>
  <si>
    <t xml:space="preserve">Audit Nagpur is functioning in GPOA  under the suprevision of CPWD and paying license fee for GPOA allotted on monthly basis to Direcorate of Estates, Nagpur which is fixed. Therefore, no lease agreement exists between Audit Nagpur and CPWD. </t>
  </si>
  <si>
    <t>Customs Nagpur</t>
  </si>
  <si>
    <t>Customs Division, Nashik</t>
  </si>
  <si>
    <t>Plot No. 9, CFC Building, Ambad, IND. Area, Nashik</t>
  </si>
  <si>
    <t>362.50 Sq. Mtr</t>
  </si>
  <si>
    <t>416.00 Sq.Mtr</t>
  </si>
  <si>
    <t>15.07.1983 Vide F.No. 221/9/82-ADVIII-EC Dt. 21.02.82</t>
  </si>
  <si>
    <t>SH. Ram Phal, Under Secreatry, GOI</t>
  </si>
  <si>
    <t>Still in continuation</t>
  </si>
  <si>
    <t>27,178/-</t>
  </si>
  <si>
    <t>57/- Sq mtrs</t>
  </si>
  <si>
    <t>Till No., 2020 an amount of Rs. 1,14,78,208/- is outstanding against MIDC</t>
  </si>
  <si>
    <t xml:space="preserve">Nashik Commissionerate </t>
  </si>
  <si>
    <t xml:space="preserve">O/o. The Dy./Assistant Commissioner, CGST &amp; Central Excise, Ahmednagar Division.      </t>
  </si>
  <si>
    <t>2nd Floor, Kisan Kranti Building, Market Yard, Station Road, Ahmednagar - 414001 (Maharashtra)</t>
  </si>
  <si>
    <t>01.04.1986 which has been extended further from time to time.</t>
  </si>
  <si>
    <t>5 Yrs (01.04.2016 to 31.03.2021)</t>
  </si>
  <si>
    <t>Rs.40,000/-</t>
  </si>
  <si>
    <t>Rs.86.02/-per sq. mtrs</t>
  </si>
  <si>
    <t xml:space="preserve">Office of the Superitendent, CGST &amp; CX, Sangamner Range, Ahmednagar Dn., Sangamner  </t>
  </si>
  <si>
    <t>Vishusuman Complex, In front of Sayadri College, Nashik Pune Road, Sangamner - 422605, Tal. Sangamner, Distt. Ahmednagar (MH)</t>
  </si>
  <si>
    <t>11.10.2012 (renewed on 27-02-2018 for 3 years upto 26-02-2021) Order under F.No.               dated 09.02.2018</t>
  </si>
  <si>
    <t>3 Yrs          (27-02-2018 to                    26-02-2021)</t>
  </si>
  <si>
    <t>27.02.2021</t>
  </si>
  <si>
    <t>Rs.23,000/-</t>
  </si>
  <si>
    <t>Rs.226.74/-per sq. mtrs</t>
  </si>
  <si>
    <t>Office of the Superitendent, CGST &amp; CX, Shirdi  Range, Shirdi  , Ahmednagar Dn.</t>
  </si>
  <si>
    <t>Chatrapati Shivaji Sankul,  PT. A, 2nd Floor, Shirdi Nagar Panhayat Building, Shirdi - 423109 Tal. Rahata &amp; Distt. Ahmednagar ( MH)</t>
  </si>
  <si>
    <t>18.10.2012 (extended further vide F.No.Nsk-II/L&amp;B/Hiring Kopergaon/172017/Pt-II/9920 dtd. 07-11-2019)</t>
  </si>
  <si>
    <t xml:space="preserve">3 Yrs               (01-10-2019 to 30-09-2022) </t>
  </si>
  <si>
    <t xml:space="preserve">Rs.37241/- </t>
  </si>
  <si>
    <t xml:space="preserve">Rs.141.98/-per sq. mtrs </t>
  </si>
  <si>
    <t>Rent Renewal demanded as per bye laws of Civil Bodies (i.e. Nagar Panchayat). Under corresp.</t>
  </si>
  <si>
    <t>Nashik Commissionerate</t>
  </si>
  <si>
    <t xml:space="preserve">O/o. The Dy./Assistant Commissioner, CGST &amp; Central Excise, Dhule Division      </t>
  </si>
  <si>
    <t xml:space="preserve">Plot No.19, Swami Dayanand Housing Society, Behind Sinchan Bhavan, Opp. Navjeevan English Medium School, Sakari Road, Dhule, Tal &amp; Distt. Dhule (Pin-424001) </t>
  </si>
  <si>
    <t>01.09.2017                Order under                    F. No.I/Adm/L&amp;B/Land Pur/15-16 dated 12.02.2019</t>
  </si>
  <si>
    <t>5 Yrs         (01.09.2017 to 31.08.2022)</t>
  </si>
  <si>
    <t xml:space="preserve">01.09.2022  </t>
  </si>
  <si>
    <t>Rs.46,000/-</t>
  </si>
  <si>
    <t>Rs.182.12/-per sq. mtrs</t>
  </si>
  <si>
    <t xml:space="preserve">Office of the Superitendent, CGST &amp; CX, Nandurbar Range, Dhule Dn.   </t>
  </si>
  <si>
    <t>Plot No.04, Raghukul Nagar, Khodai Mata Road, Telephone Colony, Nandurbar (Pin-425412)</t>
  </si>
  <si>
    <t>16.01.2018                                    Order under F.No.GST/Nsk/L&amp;B/Nandurbar/2017-18 dated 09.02.2018</t>
  </si>
  <si>
    <t>5 Yrs                16-01-2018 to                    15-01-2023</t>
  </si>
  <si>
    <t>16.01.2023</t>
  </si>
  <si>
    <t>Rs.21,000/-</t>
  </si>
  <si>
    <t>Rs.243.22/-per sq. mtrs</t>
  </si>
  <si>
    <t xml:space="preserve">Office of the Superitendent, CGST &amp; CX, Shindkheda Range, Dhule Dn.  </t>
  </si>
  <si>
    <t>Plot No.41, CTS No.415, Near Hasti Co.Op. Bank Ltd., Dondaicha, Tal-Shindkheda, District-Dhule (Pin-425408)</t>
  </si>
  <si>
    <t>01.10.2020                                    Order under F.No.NSK/L&amp;B/GST/Shindkheda/2017-18 dated 18.09.2020</t>
  </si>
  <si>
    <t>5 Yrs               (01-10-2020 to                    30-09-2025)</t>
  </si>
  <si>
    <t>01.10.2025</t>
  </si>
  <si>
    <t>Rs.12,500/-</t>
  </si>
  <si>
    <t xml:space="preserve">Rs.112.89/-per sq. mtrs </t>
  </si>
  <si>
    <t>Office of the Assistant commissioner, Jalgoan Division</t>
  </si>
  <si>
    <t>Dr. Bendre Tower, Near Iccha devi chowk, NH-6, Joyti Nagar, Jalgaon, Tal &amp; Distt. Jalgaon (Pin-425001)</t>
  </si>
  <si>
    <t>19.02.2019 vide F.No. I/Adm/L&amp;B/LandPur/15-16 dtd. 04.02.2019</t>
  </si>
  <si>
    <t>5 Yrs (19.02.2019 to 18.02.2024</t>
  </si>
  <si>
    <t>19.02.2024</t>
  </si>
  <si>
    <t>Rs.283643</t>
  </si>
  <si>
    <t>Rs.351.74  per sq mtr</t>
  </si>
  <si>
    <t>Amalner Range, Jalgaon Dn.</t>
  </si>
  <si>
    <t>NAVKAR Plaza, Dhule Road,2nd Floor, Flat No. 01, Amalner, Tal. Amalner &amp;Distt. Jalgaon (MH) Pin-425401</t>
  </si>
  <si>
    <t>01.10.2018 vide F.No. I(Adm)22-23/2002 Pt-II Dated19.9.2019</t>
  </si>
  <si>
    <t>05 years (01.10.2018 to 30.09.2023)</t>
  </si>
  <si>
    <t>Rs.13520/-</t>
  </si>
  <si>
    <t>Rs. 149.21  per sq mtr</t>
  </si>
  <si>
    <t>Chalishgaon Range, Jalgaon Dn.</t>
  </si>
  <si>
    <t>plot no- 2&amp;3 J.J.Anna Tower Malegaon Road Chalishgaon Dist-Jalgaon</t>
  </si>
  <si>
    <t>29.01.2018 vide F.No. I/Adm/L&amp;B/LandPur/15-16 dtd. 05.03.2018</t>
  </si>
  <si>
    <t>05 years (29.01.2018 to 28.01.2023</t>
  </si>
  <si>
    <t>29.01.2023</t>
  </si>
  <si>
    <t>Rs.23000/-</t>
  </si>
  <si>
    <t>Rs.329.13  per sq mtr</t>
  </si>
  <si>
    <t xml:space="preserve">CGST &amp; CX, Nashik Commissionerate </t>
  </si>
  <si>
    <t xml:space="preserve">Malegaon Range, Nashik-I Division, </t>
  </si>
  <si>
    <t xml:space="preserve"> Market Yard, Camp Rd., Malegaon, Tal Malegaon, Distt. Nashik (Pin-423203)</t>
  </si>
  <si>
    <t>01.04.1988 (O/O dtd.28.04.1988) Extended further from time to time.</t>
  </si>
  <si>
    <t>5 Yrs (01.01.2020 to 31.12.2024)</t>
  </si>
  <si>
    <t>01.01.2025</t>
  </si>
  <si>
    <t>Rs.546/-</t>
  </si>
  <si>
    <t>Rs.3.42 per Sq Mtr</t>
  </si>
  <si>
    <t>Manmad Range, Tal. Manmad, Distt. Nashik</t>
  </si>
  <si>
    <t>Mahatma Phule Chowk, Datta Mandir Road, Manmad, Distt. Nashik -423104</t>
  </si>
  <si>
    <t xml:space="preserve">O/O dt. 01.06.2018 - F.No.I/ADM/11-2/2005 dtd.01.06.2018 </t>
  </si>
  <si>
    <t>03 Yrs                   ( 01.06.2018 to 31.05.2021)</t>
  </si>
  <si>
    <t>Rs.25,000/-</t>
  </si>
  <si>
    <t>250.451 per sq mtr</t>
  </si>
  <si>
    <t>Asstt./Deputy  Commr.&amp; Supdt. CGST &amp; Central Excise ,Nanded  Div.</t>
  </si>
  <si>
    <t xml:space="preserve">Aswan Building , Air Port Road  Hingoli Naka, Nanded </t>
  </si>
  <si>
    <t>Five Years</t>
  </si>
  <si>
    <t>Asstt./Deputy  Commr.CGST &amp; Central Excise , Jalna Division</t>
  </si>
  <si>
    <t xml:space="preserve"> 2nd Floor, Nidhish Tower, Above Cosmos Bank, Bhokardan Naka, Jalna-431203</t>
  </si>
  <si>
    <t>07.02.2018</t>
  </si>
  <si>
    <t xml:space="preserve">Three years </t>
  </si>
  <si>
    <t xml:space="preserve">  01.02.21</t>
  </si>
  <si>
    <t>Superintendent , Jalna  Urban range</t>
  </si>
  <si>
    <t xml:space="preserve">   Nidhish Tower, Above Cosmos Bank, Bhokardan Naka, Jalna-431203</t>
  </si>
  <si>
    <t>Superintendent , Jalna  Rural  range</t>
  </si>
  <si>
    <t>Superintendent , Latur  Urban &amp;Rural range</t>
  </si>
  <si>
    <t>Padile Complex, Ambajogai Road,Ltur</t>
  </si>
  <si>
    <t>01.01.2016</t>
  </si>
  <si>
    <t>Superintendent, Hingoli Range</t>
  </si>
  <si>
    <t>Plot no.394, Khotlaj Road, Tapadia Estate, NTC, Hingoli</t>
  </si>
  <si>
    <t>Superintendent, Parbhani  Range</t>
  </si>
  <si>
    <t>Shivram Nagar, Basmath Road, Parbhani-431401</t>
  </si>
  <si>
    <t>08.07.2015</t>
  </si>
  <si>
    <t>Agreement  renewal is under process</t>
  </si>
  <si>
    <t>Superintendent, Beed  Range</t>
  </si>
  <si>
    <t>D.P. Road, Adarsh Nagar,Beed - 431122</t>
  </si>
  <si>
    <t>03.02.2018</t>
  </si>
  <si>
    <t>one year</t>
  </si>
  <si>
    <t>07.01.2019</t>
  </si>
  <si>
    <t>Superintendent, Osmanabad  Range</t>
  </si>
  <si>
    <t>1st Floor, Kapse Building, Opp. Central Building, Osmanabad - 413501</t>
  </si>
  <si>
    <t>15.10.2014</t>
  </si>
  <si>
    <t>15.10.2019</t>
  </si>
  <si>
    <t xml:space="preserve">O/o the Commissioner, Audit Commissionerate </t>
  </si>
  <si>
    <t xml:space="preserve">1) dated 16.08.2017 for the allotted space 648.38 Sq. Mtr and 2) dated 08.11.2017 for the additional allotted space 190.45 Sq. Mtr </t>
  </si>
  <si>
    <t>Pune - II</t>
  </si>
  <si>
    <t>Office of the Deputy/Assistant Commissioner, Division - I , Central GST,   Pune-II</t>
  </si>
  <si>
    <t>2nd Floor, BSNL Telephone Exchange Building, 480/A,  Lakaki Road, Deep Bunglow Chowk,  Model Colony, Pune-411016</t>
  </si>
  <si>
    <t>278.71 sq mtrs</t>
  </si>
  <si>
    <t>16.04.2018 F.No. I/L&amp;B/GST-II/17-18 dtd 28.03.2018</t>
  </si>
  <si>
    <t>9 Years from 16.04.2018 to 15.04.2027</t>
  </si>
  <si>
    <t>16.04.2027</t>
  </si>
  <si>
    <t>403500 per month</t>
  </si>
  <si>
    <t>1447.74 per sq mtrs</t>
  </si>
  <si>
    <t>Office of the Deputy/Assistant Commissioner, Division - III, Central GST,   Pune-II</t>
  </si>
  <si>
    <t>Pune</t>
  </si>
  <si>
    <t>CGST Pune-II Comm'te</t>
  </si>
  <si>
    <t>Division Office Baramati</t>
  </si>
  <si>
    <t>Office of the Assistant Commissioner of Central GST Baramati Division / 1st Floor, Seth Ramchand Malukchand Udyog Bhavan, Teen Hatti Chowk, Baramati-413102</t>
  </si>
  <si>
    <t>09.05.2018</t>
  </si>
  <si>
    <t>Commissioner, CGST Pune-II Comm'te</t>
  </si>
  <si>
    <t>08.05.2021</t>
  </si>
  <si>
    <t xml:space="preserve">139380/- + GST </t>
  </si>
  <si>
    <t>Range Office Jejuri (Range -III),Division-Baramati.</t>
  </si>
  <si>
    <t>Office of the Superintendent of Central GST Jejuri Range (Range-III), CFC Centre, MIDC, Jejuri, Purandhar, Pune, Jejuri Nira Road, District: PUNE State: MAHARASHTRA PINCODE: 412303</t>
  </si>
  <si>
    <t>Principal Commissioner, Central Excise Pune-III Comm'te</t>
  </si>
  <si>
    <t>31.01.2022</t>
  </si>
  <si>
    <t>5332/- + GST</t>
  </si>
  <si>
    <t>Range Office Daund (Range -IV), Division-Baramati.</t>
  </si>
  <si>
    <t>Office of the Superintendent of Central GST Kurkumbh Range (Range-IV), Godhai Niwas, Shree Mahesg Society, Plot No.-19, Gopalwadi Road. Daund, District: PUNE State: MAHARASHTRA PINCODE: 413801</t>
  </si>
  <si>
    <t>10.12.2016</t>
  </si>
  <si>
    <t>09.12.2021</t>
  </si>
  <si>
    <t>i) Office of The Superintendent - Range - VI, Division-Solapur</t>
  </si>
  <si>
    <t>Dr. Baba Saheb Ambedkar Shopping Centre, Shop No : 42-45, Near Barshi Nagar Parishad, Barshi, Solapur  PIN : 413401</t>
  </si>
  <si>
    <t>49.49 Sq.Mts</t>
  </si>
  <si>
    <t>3 yrs with an option to extend for further term</t>
  </si>
  <si>
    <t>Rs. 7250/-</t>
  </si>
  <si>
    <t>Rs. 146.49 / Sq.Mt</t>
  </si>
  <si>
    <t>Commissioner, CGST, Kolhapur, Comm'te Kolhapur</t>
  </si>
  <si>
    <t>Hall A-3 &amp;B3 Vasant Plaza, C.S.No.1079, KH/2, 'E' Rajaram Road, Kolhapur</t>
  </si>
  <si>
    <t>01.03.2018
F.No.924/27/Hiring/Kolhapur HRD/2019-20 dt.21.10.2019</t>
  </si>
  <si>
    <t>DGHRD, New Delhi</t>
  </si>
  <si>
    <t>1.3.2018 to 28.2.2021</t>
  </si>
  <si>
    <t>Hall-C-3 &amp; 4th Floor, Vasant Plaza, C.S.No.1079, KH/2, 'E', Rajaram Road Kolhapur</t>
  </si>
  <si>
    <t>Same as above</t>
  </si>
  <si>
    <t>1.4.2018 to 31.03.2021</t>
  </si>
  <si>
    <t>Hall B-4 &amp;C-4, 5th Floor, Vasant Plaza, C.S.No.1079, KH/2, 'E' Rajaram Road Kolhapur</t>
  </si>
  <si>
    <t>Hall B-1, 2nd Floor, Vasant Plaza, C.S.No.1079 KH/2, 'E' Rajaram Road</t>
  </si>
  <si>
    <t>1.1.2019 to 31.12.2021</t>
  </si>
  <si>
    <t>Godown at Basement, Vasant Plaza C.S.No.1079, KH/2, 'E', Rajaram Road, Kolhapur</t>
  </si>
  <si>
    <t>01.04.2018 to31.03.2021</t>
  </si>
  <si>
    <t>Division-II</t>
  </si>
  <si>
    <t>Dy./Asstt. Commissioner,CGST, Divn-II, Ratikamal, Complex, 2nd Floor, Opp. Basant Bahar Talkies Kolhapur</t>
  </si>
  <si>
    <t>6.12.2017
F.No.KOP/L&amp;BHiring/2013-14 Dt.18.3.2018</t>
  </si>
  <si>
    <t>Commissioner CGST,Kolhapur</t>
  </si>
  <si>
    <t>6.12.2017 to
5.12.2020</t>
  </si>
  <si>
    <t>6.12.2020</t>
  </si>
  <si>
    <t>Range-I, Division-I</t>
  </si>
  <si>
    <t>O/o the Supdt. CGST, Range-I, Jay Bhavani, Complex, Shirwal, Tal., Khandala, Dist. Satara</t>
  </si>
  <si>
    <t>1.4.2015
F.No.KOP/L&amp;BShirwal/12-13 Dt.30.6.2015</t>
  </si>
  <si>
    <t>01.04.2015 to 31.03.2020</t>
  </si>
  <si>
    <t>The agreeement expired on 31.3.2020. Further process for renewal of agreement is in progress.</t>
  </si>
  <si>
    <t>Range-IV, Division-I</t>
  </si>
  <si>
    <t>O/o the Supdt. CGST, Range-IV, S.No.1987 &amp; 1989, Navi Peth above SBI Building, Khandala Road,Lonand</t>
  </si>
  <si>
    <t>12.6.2018
F.No.KOP/L&amp;B(42)/Hiring/R-IV Phaltan/2015-16 Dt. 20.02.2019</t>
  </si>
  <si>
    <t>12.6.2018 to 11.06.2021</t>
  </si>
  <si>
    <t>12.6.2021</t>
  </si>
  <si>
    <t>Range-V, Division-I</t>
  </si>
  <si>
    <t>O/o the Supdt. CGST, Range - V, 58, Sanjivani Shivaji Hsg. Soc., Karad</t>
  </si>
  <si>
    <t>01.06.2018 
F.No.KOP/L&amp;B 19/Karad/12-13 Dt.5.12.2018</t>
  </si>
  <si>
    <t>Commissioner, CGST,Kolhapur</t>
  </si>
  <si>
    <t>1.6.2018 to 31.5.2021</t>
  </si>
  <si>
    <t>Range-V, Division-III</t>
  </si>
  <si>
    <t>O/O the Supdt. CGST, Range - V, Haval Bldg. Rani Laxmibai Road, Gadhinglaj, Dist.Kolhapur</t>
  </si>
  <si>
    <t>01.09.2018 
F.No.KOP/L&amp;B Gadhinglaj/ 2012-13 Dt.10.12.2019</t>
  </si>
  <si>
    <t>01.09.2018 to 31.08.2021</t>
  </si>
  <si>
    <t>Range-V,Division-IV</t>
  </si>
  <si>
    <t>O/o the Supdt. CGST, Range - V, Omkar Colony, Near ST Stand, Islampur, Dist. Sangli</t>
  </si>
  <si>
    <t>01.06.2018
F.No.KOP/L&amp;B/Islampur/Divn. IV/2017-18</t>
  </si>
  <si>
    <t>01.06.2018 to 31.5.2021</t>
  </si>
  <si>
    <t>Range-I, II &amp; III, Division-V</t>
  </si>
  <si>
    <t>O/o the Supdts.Range-I/II/III CGST, 2nd Floor Jeevan Jyoti Bldg., Shivaji Nagar, Mumbai Goa, Highway,Chiplun Dist. Ratnagiri</t>
  </si>
  <si>
    <t>15.10.2016
F.No.KOP/L&amp;B/Chiplun/2010/1353 Dt.27.10.2017</t>
  </si>
  <si>
    <t>15.10.2016 to 14.10.2019</t>
  </si>
  <si>
    <t>Renewal of agreement is pendnig for want of R.R.C. (Rent  Reasonable  Certificiate) from CPWD authorities,Goa.</t>
  </si>
  <si>
    <t>Range-I,Division-I</t>
  </si>
  <si>
    <t>F.F. Town Center Building, Bicholim, North Goa-403504</t>
  </si>
  <si>
    <t>02.09.1991</t>
  </si>
  <si>
    <t>30 YEARS</t>
  </si>
  <si>
    <t>02.09.2021</t>
  </si>
  <si>
    <t>Range- I &amp; II, Division-III</t>
  </si>
  <si>
    <t>The premises is of Goa Govt. The office has not been paying any rent for 5-6 years.</t>
  </si>
  <si>
    <t>Draft agreement is pending</t>
  </si>
  <si>
    <t>Range-III &amp; IV, Division-III</t>
  </si>
  <si>
    <t>3 YEARS</t>
  </si>
  <si>
    <t>25,00</t>
  </si>
  <si>
    <t>Division- IV &amp; V,</t>
  </si>
  <si>
    <t>31.07.2018</t>
  </si>
  <si>
    <t>Range-IV, Division-IV</t>
  </si>
  <si>
    <t>Behind IDC Administrative Building, Verna-Goa-403722</t>
  </si>
  <si>
    <t>Agreement not renewed</t>
  </si>
  <si>
    <t>Range-I,II,III &amp; V Division-IV</t>
  </si>
  <si>
    <t>C/o Unique Packaging, Plot No. S-77, Verna industrial Estate, Verna-Goa-403722</t>
  </si>
  <si>
    <t xml:space="preserve">Office of the Inspector of Customs, </t>
  </si>
  <si>
    <t>Office of the Inspector of Customs, House No. 180 H-1, Bhise Building, 1st Floor, Salaiwada, Sawantwadi</t>
  </si>
  <si>
    <t>1087 Sq. Ft.</t>
  </si>
  <si>
    <t>Commisioner of Customs</t>
  </si>
  <si>
    <t>06/11/2018 to 05.11.2021</t>
  </si>
  <si>
    <t>Rs. 8500/- per month</t>
  </si>
  <si>
    <t>Office of the Inspector of Customs, House No. 439, 1st Floor, Vijaydurg, Tal-Devgad.</t>
  </si>
  <si>
    <t>792 Sq. Ft.</t>
  </si>
  <si>
    <t xml:space="preserve">This Office has been occupied as an emergency measure as the current Govt. office of Customs is in dilapidated condition. No agreement has been made as on date for the want of reasonable rent Certificate from CPWD. The house owner has demanded Rs. 2500/- per month, but as of now Rs. 1000/- is being paid and the balance will be paid as and when proper Rent Agreement is made. </t>
  </si>
  <si>
    <t>Amboli (Wireless Repeater Station), Survey No. 64, At-post Amboli, owned by M.T.D.C.</t>
  </si>
  <si>
    <t>3229 Sq. ft.</t>
  </si>
  <si>
    <t>06.10.1993</t>
  </si>
  <si>
    <t>Expired on 15.06.2005. Agreement couldn’t be renewed for the want of Reasonable rent Certificate. Matter is being pursued.</t>
  </si>
  <si>
    <t xml:space="preserve">Gaganbawda Wireless Repeater Station </t>
  </si>
  <si>
    <t xml:space="preserve">Gaganbawda Wireless Repeater Station S.No. 293, Lila Shankar Park, Gaganbawda </t>
  </si>
  <si>
    <t>500 Sq. ft.</t>
  </si>
  <si>
    <t>Expired on 21.06.2015. Agreement couldn’t be renewed for the want of Reasonable rent Certificate. As CPWD is not providing it, letter has been written to Dy. SP Kolhapur to obtain the RRC and then submit it to this Office for renewal of Rent Agreement. Proposal has been sent to headquarters for renewal of Rent Agreement.</t>
  </si>
  <si>
    <t>Inspector Customs Redi,</t>
  </si>
  <si>
    <t>Inspector Customs Redi,First Floor of Gram Panchayat, Building H. No.666-D, Mharatalewadi, Redi, Tal: Vengurla, Dist: Sindhudurg.</t>
  </si>
  <si>
    <t>753 Sq. ft.</t>
  </si>
  <si>
    <t>01.02.2020</t>
  </si>
  <si>
    <t>Pune Customs / Dapoli Division</t>
  </si>
  <si>
    <t>Dapoli Division Office</t>
  </si>
  <si>
    <t>1st Floor, Jayant Padmaja Compound, Above SBI, Dapoli-Dabhol Road, Dapoli-415712</t>
  </si>
  <si>
    <t xml:space="preserve">Commr Pune Customs </t>
  </si>
  <si>
    <t>FROM: 01-01-2020 To: 31-12-2022</t>
  </si>
  <si>
    <t>House No. 175, Mangalya, 1st Floor at Post Tal - Guhagar, Distt.-Ratnagiri.
(Guhagar Customs Office)</t>
  </si>
  <si>
    <t>192.40</t>
  </si>
  <si>
    <t>01.11.2010</t>
  </si>
  <si>
    <t>FROM: 01-11-2018 To: 31-10-2021</t>
  </si>
  <si>
    <t>S.No. 83/6 &amp; 83/11, House No. 1100, Sathe Ali, Vill &amp; Post Keishi, Tal - Dapoli, Distt. Ratnagiri.
(Keishi Customs Office)</t>
  </si>
  <si>
    <t>62.43</t>
  </si>
  <si>
    <t>01.11.2012</t>
  </si>
  <si>
    <t>Survey No. 169, Personage Bungalow, Mahabaleshwar.
(Mahabaleshwar Customs Office)</t>
  </si>
  <si>
    <t>772.95</t>
  </si>
  <si>
    <t>01.04.1975</t>
  </si>
  <si>
    <t>Case is pending decision in Satara District Court till date</t>
  </si>
  <si>
    <t>3000</t>
  </si>
  <si>
    <t>House No. 205, Laxmi Niwas, 1st Floor National Highway No. 17, Bharne Naka, Tal - Khed, Distt. Ratnagiri.
(Khed Customs Office)</t>
  </si>
  <si>
    <t>58.81</t>
  </si>
  <si>
    <t>FROM: 01-04-2019 To: 31-03-2020</t>
  </si>
  <si>
    <t>2650</t>
  </si>
  <si>
    <t>Seeta Sadan, Mumbai-Goa Highway at Post Chiplun, Distt. - Ratnagiri.
(Chiplun Customs Office)</t>
  </si>
  <si>
    <t>221.96</t>
  </si>
  <si>
    <t>FROM: 01-09-2018 To: 31-08-2021</t>
  </si>
  <si>
    <t>Indira Bhawan, Village Bhingloli, Tal - Mandangad, Distt.-Ratnagiri.
(Mandangad Customs Office)</t>
  </si>
  <si>
    <t>79.80</t>
  </si>
  <si>
    <t>FROM: 01-02-2019 To: 31-01-2012</t>
  </si>
  <si>
    <t>Customs Commissionerate</t>
  </si>
  <si>
    <t>CGST &amp; CX Ranchi Zone,  Patna</t>
  </si>
  <si>
    <t>CGST &amp; CX          Patna-I Commissionerate</t>
  </si>
  <si>
    <t>Chandpura Palace Opposite Dadi Maa Temple, Bank Road, West Gandhi Maidan, Patna-800001</t>
  </si>
  <si>
    <t>Under Secretary, CBEC, New Delhi</t>
  </si>
  <si>
    <t xml:space="preserve">01.12.2015 to 30.11.2018 Lease extended up to 30.06.2020 </t>
  </si>
  <si>
    <t>2,85,729/-</t>
  </si>
  <si>
    <t>Sujeevan house, Sahid Bhagat Singh Marg, Bajrangpuri Near Gandhi Setu  approach Road, Patna-800007</t>
  </si>
  <si>
    <t>12.03.2018 F.No.I((11)01-GL/Accomo/Patna (East)Div. &amp; Range/2017/1526 dated 28.02.2018</t>
  </si>
  <si>
    <t xml:space="preserve">Joint Commissioner, CGST &amp; CX, Patna-I </t>
  </si>
  <si>
    <t>12.03.2018 to 11.03.2021</t>
  </si>
  <si>
    <t>12.03.2021</t>
  </si>
  <si>
    <t>Fatuha Range</t>
  </si>
  <si>
    <t>C/o Ashok Kumar Singh, Raghubansh Complex, Station Road, Fatuha</t>
  </si>
  <si>
    <t xml:space="preserve">01.05.2018 F.No. I(22)99/GL/Fatuha Range/2009/Pt.I dated 26.05.2020 </t>
  </si>
  <si>
    <t>Commissioenr CGST &amp; CX, Patna-I</t>
  </si>
  <si>
    <t>01.05.2018 to 30.04.2021</t>
  </si>
  <si>
    <t>Jehanabad Range</t>
  </si>
  <si>
    <t>Horilganj, Ambedkar Chowk, Jehanabad-804408</t>
  </si>
  <si>
    <t>13.04.2018 F.No. I(4)09/GL/Accomo/Jehanabad Range/2017/4010 dated 16.04.2018</t>
  </si>
  <si>
    <t>15.05.2018 to 14.05.2021</t>
  </si>
  <si>
    <t>15.05.2021</t>
  </si>
  <si>
    <t>Bihar Sharif Range</t>
  </si>
  <si>
    <t>Tower Building, Kantapar, Near Laheri Thana, Kolkata Bus stand, Bihar Sharif</t>
  </si>
  <si>
    <t>27.06.2018 F.No. I(4)-GL/Accomo/Bihar Shrif Range/2017/6755 dated 27.06.2018</t>
  </si>
  <si>
    <t>16.07.2018 to 15.07.2021</t>
  </si>
  <si>
    <t>2nd Floor (E Block), 6th Floor (B Block),Karpuri Thakur Sadan, Kendriya Karmchari Parisar, Ashiyana –Digha Road, Patna-800025</t>
  </si>
  <si>
    <t>(239.7 + 170)= 409.7</t>
  </si>
  <si>
    <t>02.05.2018 F.No. 56(6) CGST /GPOA/2018/159 dated 13.03.2018</t>
  </si>
  <si>
    <t>Executive Engineer, GPOA, Patna</t>
  </si>
  <si>
    <t>Ara Range</t>
  </si>
  <si>
    <t>C/o Shushila Devi, Kanakpuri, Katira, Near Railway Station, Ara</t>
  </si>
  <si>
    <t>23.11.2017 F.No. I(15)-GL/accomo/2012/1594 dated 23.11.2017</t>
  </si>
  <si>
    <t>Buxar Range</t>
  </si>
  <si>
    <t>C/o Kunti Devi, B.K. House, Behind Geetanjali hotel, Musafirganj, Gajadharganj, Buxar</t>
  </si>
  <si>
    <t>18.12.2018 F.No. I(4)01-GL/Accomo/Buxar Range/2018/14031 dated 18.12.2018</t>
  </si>
  <si>
    <t>01.01.2019 to 31.12.2022</t>
  </si>
  <si>
    <t xml:space="preserve">Arwal Range     </t>
  </si>
  <si>
    <t>C/o Lal Babu Singh, Shanti Kunj, Pitambar Nagar, Near Hotel Aniket, Bihta, Patna-801103</t>
  </si>
  <si>
    <t>23.12.2016 F.No. I(4)1/GL/Hiring/of Building/2015/13535 dated 23.12.2016</t>
  </si>
  <si>
    <t>Joint Commissioenr CGST &amp; CX, Patna-I</t>
  </si>
  <si>
    <t>01.01.2017 to 31.12.2020</t>
  </si>
  <si>
    <t>1. Bhagalpur Divisional Office                   2. Bhagalpur Range Office</t>
  </si>
  <si>
    <t>Abhinav mension, S.K. Tarafdar Road, Adampur, Bhagalpur-812001</t>
  </si>
  <si>
    <t>28.06.2018 F.No. I(11)10/Admn//92/Pt.I/7348 dated 11.07.2018</t>
  </si>
  <si>
    <t xml:space="preserve">01.07.2015 to 30.06.2018 Lease Extended upto 31.07.2020 </t>
  </si>
  <si>
    <t>1,27,131/-</t>
  </si>
  <si>
    <t>Jamui Range</t>
  </si>
  <si>
    <t>C/o Sunder Prasad, Tenghara, PO-Malayapur, PS-Barhat, Jamui-811313</t>
  </si>
  <si>
    <t>25.07.2019 F.No. I(22) 02/GL/Accomo/Jamui Range/2017/9779 dated 03.06.2019</t>
  </si>
  <si>
    <t xml:space="preserve">Lakhisarai Range </t>
  </si>
  <si>
    <t>Sheela Block, Jubile Well Chowk, Jamalpur (Munger)</t>
  </si>
  <si>
    <t>06.03.2018 F.no. I(11) 06-GL/Accomo/Munger Range/2017/2702 dated 07.03.2018</t>
  </si>
  <si>
    <t>01.06.2020 to 31.05.2023</t>
  </si>
  <si>
    <t>01.06.2023</t>
  </si>
  <si>
    <t>Sheikhpura Range</t>
  </si>
  <si>
    <t>C/o Shambhu Kumar Yadav, Budholi Bypass Opp. Kashi fuel, Sheikhpura-811105</t>
  </si>
  <si>
    <t>29.05.2020 F.No. I(11)03-GL/Accomo/sheikhpura/2017/2914 dated 29.05.2020</t>
  </si>
  <si>
    <t>1.Gaya Divisional Office 2. Gaya Range Office 3. Aurangabad Range</t>
  </si>
  <si>
    <t>C/o Ramjay Prasad Singh, R.J. Place, Swarajpuri Road, Gaya-823001</t>
  </si>
  <si>
    <t xml:space="preserve">01.06.2015 F.NO.I(11)31-GL/RRT/2006 dated 01.06.2015 </t>
  </si>
  <si>
    <t xml:space="preserve">01.07.2015 to 30.06.2018 Lease Extended upto 30.06.2020 </t>
  </si>
  <si>
    <t>Nawada Range</t>
  </si>
  <si>
    <t>C/o Ashok Kumar, Khata No. 506, Khasra No. 1703 (old) Gonma Nawada-805110</t>
  </si>
  <si>
    <t>25.03.2019 F.No. I(4)02-GL/Accomo/Nawada Range/2017/3272 dated 27.03.2019</t>
  </si>
  <si>
    <t>11.06.2019 to 10.06.2022</t>
  </si>
  <si>
    <t>11.06.2022</t>
  </si>
  <si>
    <t>Sasaram Range</t>
  </si>
  <si>
    <t>C/o Radhyeshyam Prasad, Shri Shri Balaji Complex, old G.T. Raod, new Raj Colony, Sasaram-821115</t>
  </si>
  <si>
    <t xml:space="preserve">17.09.2018 F.No. I(4)06-GL/Accomo/Sasaram Range/2017/10069 dated 17.09.2018 </t>
  </si>
  <si>
    <t>27.09.2018 to 26.09.2021</t>
  </si>
  <si>
    <t>27.09.2021</t>
  </si>
  <si>
    <t xml:space="preserve">Bhabhua Range </t>
  </si>
  <si>
    <t>C/o Pravan Kumar Singh, Khata No. 17, plot No. 1068, Swastic Complex Station Road Mohaniya Bhabhua</t>
  </si>
  <si>
    <t>17.09.2018 F.No. I(4)03-GL/Accomo/Bhabhua Range/2017/10070 dated 17.09.2018</t>
  </si>
  <si>
    <t xml:space="preserve">24.09.2018 to 23.09.2021 </t>
  </si>
  <si>
    <t>24.09.2021</t>
  </si>
  <si>
    <t>CGST &amp; CX  Patna-II Commissionerate</t>
  </si>
  <si>
    <t>CGST &amp; CX Commissionerate, Patna-II</t>
  </si>
  <si>
    <t>3rd to 5th Floor, CTTC Building, Sanchar Parisar, Buddh Marg, Patna-80001</t>
  </si>
  <si>
    <t>12867 Sq.ft.</t>
  </si>
  <si>
    <t>CBIC New Delhi F.No. 924/37/Hiring/Head quarter Patna-II/HRD/18</t>
  </si>
  <si>
    <t>1042227/-(Excluding GST)</t>
  </si>
  <si>
    <t>Bheria Rahika,Katihar 854105</t>
  </si>
  <si>
    <t>CCE,PATNA-II</t>
  </si>
  <si>
    <t>31.05.2024</t>
  </si>
  <si>
    <t>12524/-</t>
  </si>
  <si>
    <t>CGST and CX Range, Raxaul-845305</t>
  </si>
  <si>
    <t>Koiriya Tola, Nahar Chowk, Triloki Nagar, Raxaul-845305</t>
  </si>
  <si>
    <t>1DG Room &amp; 1st floor area 190.45sq. Mtr</t>
  </si>
  <si>
    <t>Date of Hiring 01.01.2017 Sanction OrderLetter C. No. I(11)01-Accom/Raxaul/2015/11120 dated 14.10.2016</t>
  </si>
  <si>
    <t>The Joint Commissioner (Admin), C. Ex.&amp; S. Tax Patna</t>
  </si>
  <si>
    <t>30.01.2020</t>
  </si>
  <si>
    <t>25200/-</t>
  </si>
  <si>
    <t>CGST and CX Range, Darbhanga</t>
  </si>
  <si>
    <t>MRM Colloage, Bajaj Bhawan, Lalbagh Darbhanga</t>
  </si>
  <si>
    <t>The  Commissioner, C. Ex.&amp; S. Tax Patna</t>
  </si>
  <si>
    <t>2 years 4 month</t>
  </si>
  <si>
    <t>24240/-</t>
  </si>
  <si>
    <t>CGST and C. Ex. Range, Samstipur</t>
  </si>
  <si>
    <t>Kabir Ashram Road, Begali Tola, Samstipur</t>
  </si>
  <si>
    <t>31.03.2022</t>
  </si>
  <si>
    <t>12500/-</t>
  </si>
  <si>
    <t>CGST and C. Ex. Range, Madhubani</t>
  </si>
  <si>
    <t>ward no 4, bara Bazar, Madhubani</t>
  </si>
  <si>
    <t>20.12.2019</t>
  </si>
  <si>
    <t>19.12.2022</t>
  </si>
  <si>
    <t>17000/-</t>
  </si>
  <si>
    <t>CGST and C. Ex. Range, Supaul</t>
  </si>
  <si>
    <t>CGST and C. Ex. Division cum Range office Begusarai</t>
  </si>
  <si>
    <t>Bagha, Raghuver Nagar, Ward o. 29, P.O. Suhird Nagar, Begusarai-851218</t>
  </si>
  <si>
    <t>4310.35 sq. ft</t>
  </si>
  <si>
    <t>65000/-</t>
  </si>
  <si>
    <t>CGST Range Barauni</t>
  </si>
  <si>
    <t>Qtr. No. D1/28 Barauni Refinery, Township, Begusarai-851117</t>
  </si>
  <si>
    <t>900 sq. ft</t>
  </si>
  <si>
    <t>office accomodation provided by IOCL, Barauni Townsheep free of cost</t>
  </si>
  <si>
    <t>CGST Range Khagariya</t>
  </si>
  <si>
    <t>3rd floor, Khalifa Market, M.G. Marg, Opp-JNKT Stadium &amp; School, Jay Prakash Nagar, Khagariya-851204</t>
  </si>
  <si>
    <t>950 sq. ft</t>
  </si>
  <si>
    <t>CCE, Patna-II</t>
  </si>
  <si>
    <t>18500/-</t>
  </si>
  <si>
    <t>CGST Range Sahrsa</t>
  </si>
  <si>
    <t>Ward No. 4, Buchchan Tola, Gandhi Path Saharsa</t>
  </si>
  <si>
    <t>950sq. Ft</t>
  </si>
  <si>
    <t>20700/-</t>
  </si>
  <si>
    <t>CGST Range Gopalganj</t>
  </si>
  <si>
    <t>Gopalganj</t>
  </si>
  <si>
    <t>143.46 sq.mtr</t>
  </si>
  <si>
    <t>01.08.2009</t>
  </si>
  <si>
    <t>Hqrs order dated 29.06.2009 issued under C. No. I(22)62/GL/Gopalganj/09/7373-7375 dated03.07.2009</t>
  </si>
  <si>
    <t>13897/-</t>
  </si>
  <si>
    <t>CGST &amp; CX (Audit), Patna</t>
  </si>
  <si>
    <t>Audit Circle, Patna</t>
  </si>
  <si>
    <t>9, Adarsh Co-op- Soceity, Kidwaipuri, Patna -800001</t>
  </si>
  <si>
    <t>not mentioned in CPWD letter</t>
  </si>
  <si>
    <t xml:space="preserve"> 01-01-2016, File No. I(11)04-GL/Hiring of office space/2015 dated 23.12.2015</t>
  </si>
  <si>
    <t>upto 31-12-2020</t>
  </si>
  <si>
    <t>Audit Circle, Darbhanga</t>
  </si>
  <si>
    <t>Mishra  Bhawan, Laxmipur, Balbhadarpur,Leheriasarai, Darbhanga-846001</t>
  </si>
  <si>
    <t>01-09-2018; I-6/Hiring Darbhanga/Welfare/Audit/Pat/2017/3867 dated 27.08.2019</t>
  </si>
  <si>
    <t>upto 31-08-2021</t>
  </si>
  <si>
    <t>Audit Circle, Bhagalpur</t>
  </si>
  <si>
    <t>H/o N.K P Singh &amp; Sons, Shitla Sathan Road. Tilkamanjhi, Bhagalpur,812001</t>
  </si>
  <si>
    <t xml:space="preserve">01-09-2018; I-5/Hiring Bhagalpur/Welfare/Audit/Patna/2017/3508 dated 30.07.2018 </t>
  </si>
  <si>
    <t>CGST &amp; CX              Ranchi         Commissionerate</t>
  </si>
  <si>
    <t>Office of the Assistant Commissioner of CGST &amp; Central Excise, Division-Giridih</t>
  </si>
  <si>
    <t>Barmasiya Road, Giridih (Besides Jain Gas Company) Pin-815301</t>
  </si>
  <si>
    <t>Hiring date:- 1st July,2015, Sanction Order &amp; date :- vide C.No. I(21)2/Welfare/Ran-II/Tender/2014-15/Pt.III/4282 dated 19.06.2015</t>
  </si>
  <si>
    <t>Comissioner, Central Excise &amp; Service Tax, Ranchi-II</t>
  </si>
  <si>
    <t>Due date of Renewal of Lease was on 1st July,2018 which has been completed on 30.08.2019 for a term of three years from 1st July,2018</t>
  </si>
  <si>
    <t>1,47,359 /- (excluding tax)</t>
  </si>
  <si>
    <t>263.71 per sq mtr, 24.50 per sq ft</t>
  </si>
  <si>
    <t>Office of The Dy./Assistant Commissioner, 1st &amp; 2nd Floor, Trinity Commercial, N.H. 33 (Old), PO- Marar, Ramgarh - 829117</t>
  </si>
  <si>
    <t>1st &amp; 2nd Floor, Trinity Commercial, N.H. 33 (Old), PO- Marar, Ramgarh - 829117</t>
  </si>
  <si>
    <t>Feb. 2015</t>
  </si>
  <si>
    <t>Commissioner, Central Excise &amp; Service Tax, Ranchi</t>
  </si>
  <si>
    <t>₹ 1,27,916</t>
  </si>
  <si>
    <t>₹ 63,950 Per Month</t>
  </si>
  <si>
    <t>Office of the Deputy  Commissioner of CGST &amp; Central Excise, Division-Ranchi South Division</t>
  </si>
  <si>
    <t>Midtown Chamber opposite Star Hotel Milan Palace Bylane-I, club road Ranchi, Jharkhand</t>
  </si>
  <si>
    <t>01.08.2015</t>
  </si>
  <si>
    <t xml:space="preserve">Office of the Superintendent of CGST &amp; Central Excise - Range- Gumla </t>
  </si>
  <si>
    <t>Surendra Singh S/o Dhanurjay Singh Resident Palkot Road, Pugu, Behratoli, Gumla</t>
  </si>
  <si>
    <t>The Princial Commissioner , CGST &amp; CX., Ranchi</t>
  </si>
  <si>
    <t>CGST &amp; CX Dhanbad Sub-Commissionerate &amp; CGST &amp; CX South Division Dhanbad</t>
  </si>
  <si>
    <t>8th and 9th floor, Ozone Centre, Ashok Nagar, Dhanbad-828106</t>
  </si>
  <si>
    <t>Finance</t>
  </si>
  <si>
    <t>Financial Advisor (Finance) vide Dy. No. 565/2015/IFU dated 09.09.2015</t>
  </si>
  <si>
    <t>12.08.2016 to 11.08.2019</t>
  </si>
  <si>
    <t>12.08.2019</t>
  </si>
  <si>
    <t>359136 (including tax)</t>
  </si>
  <si>
    <t xml:space="preserve">Uniit No.602 &amp; 603, Assistant Commissioner, CGST North Division, Ranchi
</t>
  </si>
  <si>
    <t>Mahabir Tower, 6th Floor, Main Road, Ranchi-834001</t>
  </si>
  <si>
    <t>602-1172 &amp; 603-1207SFT</t>
  </si>
  <si>
    <t>15.02.2003</t>
  </si>
  <si>
    <t>CGST II(02)/Wel/Rent Agreement/Ranchi North/Ranchi (H)/2019/1823 dated 25.02.2020</t>
  </si>
  <si>
    <t>14.02.2020</t>
  </si>
  <si>
    <t>67547+18%GST</t>
  </si>
  <si>
    <t xml:space="preserve">Uniit No.604&amp; 605Assistant Commissioner, CGST North Division, Ranchi
</t>
  </si>
  <si>
    <t>604-1218 &amp; 605-1180SFT</t>
  </si>
  <si>
    <t>14.02.2022</t>
  </si>
  <si>
    <t xml:space="preserve">Uniit No.601&amp; 606Assistant Commissioner, CGST North Division, Ranchi
</t>
  </si>
  <si>
    <t>601-7455 &amp; 606-1146SFT</t>
  </si>
  <si>
    <t xml:space="preserve">Uniit No.702
</t>
  </si>
  <si>
    <t>1200 SFT</t>
  </si>
  <si>
    <t>27.03.2006</t>
  </si>
  <si>
    <t>27.03.2022</t>
  </si>
  <si>
    <t xml:space="preserve">Uniit No.703Assistant Commissioner, CGST North Division, Ranchi
</t>
  </si>
  <si>
    <t>Daltonganj AC/Supdt</t>
  </si>
  <si>
    <t>Reso Villa, Suresh Singh Chowk, Panki Road, Redma, Daltonganj, Palamu, Jharkhand 822101</t>
  </si>
  <si>
    <t>1399 SFT</t>
  </si>
  <si>
    <t>30.05.2021</t>
  </si>
  <si>
    <t>23000/-</t>
  </si>
  <si>
    <t>Lohardagga, Ranchi North Division</t>
  </si>
  <si>
    <t>M.S.Plot Number 52, Ward No. -05, Near Sahu Petrol Pump, Main Road, Powerganj, Lohardagga</t>
  </si>
  <si>
    <t>15800/-</t>
  </si>
  <si>
    <t>Gomia Range, CGST Division-II Bokaro</t>
  </si>
  <si>
    <t>Bank More, Gomia, Bokaro, Jharkhand</t>
  </si>
  <si>
    <t>1702.84 SFT</t>
  </si>
  <si>
    <t>19.11.2015</t>
  </si>
  <si>
    <t>31000/- per month inclusive taxes</t>
  </si>
  <si>
    <t>CGST Division Deoghar</t>
  </si>
  <si>
    <t>Deoghar Palace, VIP Chowk Deoghar</t>
  </si>
  <si>
    <t>Dhanbad Sub-Commissionerate</t>
  </si>
  <si>
    <t>Not finalized till date</t>
  </si>
  <si>
    <t>Renewal agreement is pending</t>
  </si>
  <si>
    <t>1.Total Area of CGST &amp; CX, Division was 8050 Sq. Ft. before regime of GST included area of erstwhile Deoghar Division-II, 2.4032 sq. ft. has been surrendered out of 8050 Sq. ft.3. Presentl the division office is working in 4018 Sq. ft.</t>
  </si>
  <si>
    <t>Office of the Superintendent, CGST &amp; C.Ex, Range-Madhupur</t>
  </si>
  <si>
    <t>Panhia Kola Road Madhupur, Dist- Deoghar.</t>
  </si>
  <si>
    <t>1376 Sq. ft.</t>
  </si>
  <si>
    <t xml:space="preserve">12.03.2015 </t>
  </si>
  <si>
    <t>Commissioner, Central Excise &amp; Services Tax, Dhanbad-Commissionerate</t>
  </si>
  <si>
    <t>Not finalized till date.</t>
  </si>
  <si>
    <t xml:space="preserve">Renewal agreement is pending </t>
  </si>
  <si>
    <t>office of the Superintendent, CGST &amp; C.Ex, Range-Sahebganj</t>
  </si>
  <si>
    <t>Hanumant Niwas, Sakrugarh, Sahebganj-</t>
  </si>
  <si>
    <t>117.99Sq.Mt</t>
  </si>
  <si>
    <t>01.01.2005</t>
  </si>
  <si>
    <t>31.12.2010</t>
  </si>
  <si>
    <t>Office of the Asstt./ Deputy Commissioner, CGST &amp; Cx Division Hazaribagh</t>
  </si>
  <si>
    <t>Opposite Arya Nagar, NH-33, Hazaribagh, PIN-825301</t>
  </si>
  <si>
    <t>Hiring dt. 15.02.2013 &amp; Sanction Order dt. 29.01.2014</t>
  </si>
  <si>
    <t>The Commissioner, Central Excise &amp; Service Tax</t>
  </si>
  <si>
    <t>5years</t>
  </si>
  <si>
    <t>15.02.2018</t>
  </si>
  <si>
    <t>Agreement has been finalized &amp; shifting of office in process (delayed due to Lock Down)</t>
  </si>
  <si>
    <t>CGST &amp; CX Rang-I, Koderma</t>
  </si>
  <si>
    <t>House of Avinash Kaur At Bhadodih, T.O.P. Gali, Jhumari Tilaya, Dist.- Koderma-825409</t>
  </si>
  <si>
    <t>Hiring dt. 01.07.2015</t>
  </si>
  <si>
    <t>In process for the lease renewal</t>
  </si>
  <si>
    <t>CGST &amp; Cx Range-II, Koderma</t>
  </si>
  <si>
    <t>House of Avinash Kaur At Bhadodih, T.O.P. Gali, Jhumari Tilaya, Dist.- Koderma-825410</t>
  </si>
  <si>
    <t xml:space="preserve">Hiring dt. 16.06.2016 </t>
  </si>
  <si>
    <t>15.06.2019</t>
  </si>
  <si>
    <t>CGST &amp; CX  Jamshedpur  Commissionerate</t>
  </si>
  <si>
    <t>O/o the Assistant Commissioner, CGST &amp; CX,Division-I,             5E Road, Bistupur, Jamshedpur</t>
  </si>
  <si>
    <t>O/o the Assistant Commissioner, CGST &amp; CX,Division-I,             5E Road, Bistupur, Jamshedpur-831001</t>
  </si>
  <si>
    <t>CGST Range Chakradharpur</t>
  </si>
  <si>
    <t>O/o the Superintendent of Central GST Range Chakradharpur, Chaibasa city, Chaibasa Rural Main Road, Chakradharpur</t>
  </si>
  <si>
    <t>13.03.2012</t>
  </si>
  <si>
    <t>Commissioner, Central Excise &amp; Service Tax, Jamshedpur</t>
  </si>
  <si>
    <t>01.04.2012 to 31.03.2015</t>
  </si>
  <si>
    <t>As per terms of lease agrement dated 29.03.2012 and the reuest of landlord, payment of rent at old rate has been continued, which resulted less expense of government exchequer.</t>
  </si>
  <si>
    <t>O/o the Assistant Commissioner, CGST &amp; CX,Division-II,Outer Circle Road, Bistupur, Jamshedpur</t>
  </si>
  <si>
    <t>O/o the Superintendent, CGST &amp; CX,Telco North Range,Telco South Range, Golmuri mines Range,Telco Jamshedpur</t>
  </si>
  <si>
    <t>3700 sqr.ft.</t>
  </si>
  <si>
    <t>01.09.2010</t>
  </si>
  <si>
    <t>Tata motors limited</t>
  </si>
  <si>
    <t>01.08.2016 to 30.06.2017</t>
  </si>
  <si>
    <t>Suo-moto provided by the Tata Motors Ltd.,   Jamshedpur</t>
  </si>
  <si>
    <t>CGST &amp; CX, Jamshedpur</t>
  </si>
  <si>
    <t>O/o the Superintendent,CGST &amp; CX, Ghatsila Range, Q.No. JTAQ-10, Maubhandhar, Ghatsila-832103</t>
  </si>
  <si>
    <t>2368.598 sq.ft.</t>
  </si>
  <si>
    <t>13.04.2009</t>
  </si>
  <si>
    <t>CGST &amp; CX  (Audit), Ranchi</t>
  </si>
  <si>
    <t>O/o the Commissionerate , CGST &amp;CX, Audit, Ranchi</t>
  </si>
  <si>
    <t>04th 05th &amp; 06th floor Grand Emeral Building, Ashok Nagar, Ranchi</t>
  </si>
  <si>
    <t xml:space="preserve">19Month </t>
  </si>
  <si>
    <t>2,04,276(Exclusive of GST)</t>
  </si>
  <si>
    <t>O/o the Assistant Commissioner, CGST &amp;CX, Audit Circle-Ranchi</t>
  </si>
  <si>
    <t>04th floor, Saluja Tower, Pee Pee Compount, Main road, Ranchi</t>
  </si>
  <si>
    <t>03 Year</t>
  </si>
  <si>
    <t>31.07.2019</t>
  </si>
  <si>
    <t>1,16,278</t>
  </si>
  <si>
    <t>O/o the Assistant Commissioner, CGST &amp;CX, Audit Circle-Bokaro</t>
  </si>
  <si>
    <t>HSCL Adminstrative Building, ground floor  Naya More, Bokaro-827001</t>
  </si>
  <si>
    <t>20.03.2015</t>
  </si>
  <si>
    <t xml:space="preserve"> 04 and Half year</t>
  </si>
  <si>
    <t>18.09.2019</t>
  </si>
  <si>
    <t>1,06,680</t>
  </si>
  <si>
    <t>O/o the Assistant Commissioner, CGST &amp;CX, Audit Circle-Dhanbad</t>
  </si>
  <si>
    <t>9th floor, Ozone Centre, Ashok Nagar, Dhanbad-828106</t>
  </si>
  <si>
    <t>Paid by Executive Commissionerate, Ranchi</t>
  </si>
  <si>
    <t>CGST &amp; CX Appeals,  Ranchi</t>
  </si>
  <si>
    <t>475m</t>
  </si>
  <si>
    <t>29.06.2019</t>
  </si>
  <si>
    <t>RS. 175035/- including GST.</t>
  </si>
  <si>
    <t>312/mtr</t>
  </si>
  <si>
    <t xml:space="preserve">CT &amp; CX, Kochi Commissionerate </t>
  </si>
  <si>
    <t>Idukki Division</t>
  </si>
  <si>
    <t>K.P.Varkey`s Mall, 2nd floor, VI/574, Rotary junction, Thodupuzha, Idukki - 685 584</t>
  </si>
  <si>
    <t>01.01.2018 C.No.I/22/12/2017-PRO dated 05.12.2017</t>
  </si>
  <si>
    <t>Aluva Division</t>
  </si>
  <si>
    <t xml:space="preserve">Vathaiattu Building, Ward No.XXIV/299, Thottakattukara P.O., Aluva- 683 108, Ernakulam </t>
  </si>
  <si>
    <t>01.03.2018 C.No.I/05/01/2018- PRO dated 13.03.2018</t>
  </si>
  <si>
    <t>Chalakkudy Division</t>
  </si>
  <si>
    <t xml:space="preserve">Majestic Square, 1st &amp; 2nd Floor, XXI/386 G&amp;H, YMCA Road, Chalakkudy - 680307, Thrissur </t>
  </si>
  <si>
    <t>01.03.2018 C.No.I/22/11/2017-PRO dated 28.11.2017</t>
  </si>
  <si>
    <t>Perumbavoor Division</t>
  </si>
  <si>
    <t>G. Arcade, G1-8635/2017, Thotumkal Road, Perumbavoor, Ernakulam -683 542</t>
  </si>
  <si>
    <t>01.03.2018 C.No.I/22/13/2017-PRO dated 06.03.2018</t>
  </si>
  <si>
    <t>Kodungallur Range</t>
  </si>
  <si>
    <t>Edison four- five, 4th floor, XIV 406 (f), lokamaleswaran village, Kodungallur, Thrissur-680664</t>
  </si>
  <si>
    <t>01.09.2018 C.No.I/4/2/2018-PRO dated 15.05.2018</t>
  </si>
  <si>
    <t>Muvattupuzha Range</t>
  </si>
  <si>
    <t>K.P.C.Tower, Kacherithazhum, Muvattupuzha, Ernakulam - 686 661</t>
  </si>
  <si>
    <t>10.03.2018 C.No.I/4/5/2019-PRO dated 29.10.2019</t>
  </si>
  <si>
    <t>10.03.2023</t>
  </si>
  <si>
    <t>Amballur Range</t>
  </si>
  <si>
    <t>Koovakadan Arcade, NH Road, Amballur, Pudukad, Thrissur-680 301</t>
  </si>
  <si>
    <t>01.01.2019  C.No.I/4/4/2018-PRO dated 31.12.2018</t>
  </si>
  <si>
    <t>01.01.2024</t>
  </si>
  <si>
    <t>Irinjalakuda Range</t>
  </si>
  <si>
    <t>Jyothis, XXII/874, Murali Nagar, irinjalakuda, Thrisuur -680 121</t>
  </si>
  <si>
    <t>08.09.2018 C.No.I/4/6/2018-PRO dated 01.10.2019</t>
  </si>
  <si>
    <t>08.09.2023</t>
  </si>
  <si>
    <t>Kizhakambalam Range</t>
  </si>
  <si>
    <t>Kachapalli Joseph`s Arcade, 1st floor, XII/708 Q &amp; R, Near Bust Stand Kizhakambalam, Ernakulam -683 562</t>
  </si>
  <si>
    <t>16.04.2019 C.No.I/4/2/2019-PRO dated 12.04.2019</t>
  </si>
  <si>
    <t>16.04.2024</t>
  </si>
  <si>
    <t>Vandiperiyar Range</t>
  </si>
  <si>
    <t>St. mary`s Building, 1st floor, XV/22 , Peermade Idukki -635 531</t>
  </si>
  <si>
    <t>01.11.2018 C.No.I/4/3/2018-PRO dated 23.07.2018</t>
  </si>
  <si>
    <t>01.11.2023</t>
  </si>
  <si>
    <t>Kunnamkulam Range</t>
  </si>
  <si>
    <t>Business Avenue, Jesudas Road, Kunanmkulam, Thrissur - 680 503</t>
  </si>
  <si>
    <t xml:space="preserve">15.02.2019 C.No.I/4/1/2018 dated 14.04.2019 </t>
  </si>
  <si>
    <t>15.02.2024</t>
  </si>
  <si>
    <t>Aluva Range</t>
  </si>
  <si>
    <t>1st Floor, MAK Arcade, Civil Station road, Aluva -683 101, Ernakulam</t>
  </si>
  <si>
    <t>01.09.2014 C.No.I/4/8/95-Admn. Dated 26.08.2014</t>
  </si>
  <si>
    <t>Kattapana Range</t>
  </si>
  <si>
    <t>Vandanathu Building, Kattappana, Idukki -685508</t>
  </si>
  <si>
    <t>01.01.2018, C.No.I/22/14/2017.PRO dated 05.12.2017</t>
  </si>
  <si>
    <t>Angamaly Range</t>
  </si>
  <si>
    <t>Building No.IV/150C, 1st floor, Haris Tower, Muncipal Market Road, Angamaly -683 572</t>
  </si>
  <si>
    <t>01.01.2017,  C.No.I/4/6/88 Admn. Dated 06.03.2018</t>
  </si>
  <si>
    <t>Perumbavoor Range</t>
  </si>
  <si>
    <t>Bldg. No.XVIII/306, Arunalayam, G.K.Pillai Road, Perumbavoor</t>
  </si>
  <si>
    <t>17.07.2015, C.No.I/4/7/93 dated 04.08.2015</t>
  </si>
  <si>
    <t>16.07.2020</t>
  </si>
  <si>
    <t>Thiruvananthapuram CGST &amp; C.Ex. COMM'TE.</t>
  </si>
  <si>
    <t>Alappuzha Division</t>
  </si>
  <si>
    <t>1st Floor, BSNL Bhavan, Exchange Road, Opp. Head Post Office, Alappuzha-688001</t>
  </si>
  <si>
    <t>17.10.17
C.No:I/4/11/2017-Admn. dt.27.10.17</t>
  </si>
  <si>
    <t>HoD</t>
  </si>
  <si>
    <t>17.10.2017 to 16.10.2020</t>
  </si>
  <si>
    <t>16.10.2020</t>
  </si>
  <si>
    <t>1,01,685/-</t>
  </si>
  <si>
    <t>Alappuzha Range</t>
  </si>
  <si>
    <t>Chandra Square, Cullen Road, Alappuzha.</t>
  </si>
  <si>
    <t>2.2016
C.No.I/4/11/2017-Admn. dt.14.01.19</t>
  </si>
  <si>
    <t>24.12.2013 to 23.12.2018</t>
  </si>
  <si>
    <t>23.12.2018</t>
  </si>
  <si>
    <t>19,440/-</t>
  </si>
  <si>
    <t>Rent revision is pending for  FRC from CPWD.  Permission for continued hiring till revision is accorded.</t>
  </si>
  <si>
    <t>Chengannur Range</t>
  </si>
  <si>
    <t>1st Floor, BSNL CSC Building, Telephone Exchange, Near Althara Junction, Chengannur-698121</t>
  </si>
  <si>
    <t>08.01.18
C.No:I/4/14/2017-Admn. dt.04.01.18</t>
  </si>
  <si>
    <t>08.01.2018 to 07.01.2021</t>
  </si>
  <si>
    <t>07.01.2021</t>
  </si>
  <si>
    <t>48,519/-</t>
  </si>
  <si>
    <t>Cherthala Range</t>
  </si>
  <si>
    <t>XI/142/P. Varukkath Towers, Near Govt. Girls High School, Cherthala-686534</t>
  </si>
  <si>
    <t>01.12.13
I/11/2/2018-Admn. dt.26.09.18</t>
  </si>
  <si>
    <t>01.12.2013 to 30.11.2018</t>
  </si>
  <si>
    <t>30.11.2018</t>
  </si>
  <si>
    <t>6,784/-</t>
  </si>
  <si>
    <t>Kayamkulam Range</t>
  </si>
  <si>
    <t>CSC Building (Old Telephone Exchange), Kayamkulam-690502</t>
  </si>
  <si>
    <t>01.11.17
C.No:I/4/12/2017-Admn. dt.30.10.17</t>
  </si>
  <si>
    <t>01.11.2017 to 31.10.2020</t>
  </si>
  <si>
    <t>31.10.2020</t>
  </si>
  <si>
    <t>27,588/-</t>
  </si>
  <si>
    <t>Kollam Division
City Range
Kottiyam Range</t>
  </si>
  <si>
    <t>Kollam Corporation No.IX/748 &amp; 749, St. Mary's Building, Kadappakada, Kollam-691008.</t>
  </si>
  <si>
    <t>20.10.17
C.No:I/4/7/2017-Admn. dt.09.10.17</t>
  </si>
  <si>
    <t>1,40,092/-</t>
  </si>
  <si>
    <t>Karunagapally Range</t>
  </si>
  <si>
    <t>Sivam, 1st Floor, House No.3/1729-3, Near KSRTC Bus stand, Pada South, Karunagapally-690518.</t>
  </si>
  <si>
    <t>01.11.17
C.No:I/4/19/2017-Admn. dt.01.11.17</t>
  </si>
  <si>
    <t>19,191/-</t>
  </si>
  <si>
    <t>Kottarakkara Range</t>
  </si>
  <si>
    <t>2nd Floor, Vijaya Arcade, Pulamon P.O., Kottarakkara-691531</t>
  </si>
  <si>
    <t>01.05.13
C.No:I/4/1/2019-Admn. dt.29.04.19</t>
  </si>
  <si>
    <t>30.04.2021</t>
  </si>
  <si>
    <t>34,708/-</t>
  </si>
  <si>
    <t>Punalur Range</t>
  </si>
  <si>
    <t>PM No.X/707H &amp; X/707 I, S.R. Complex, 1st Floor, Chemmanthoor, Punalur-691305.</t>
  </si>
  <si>
    <t>16.11.17
C.No:I/4/13/2017-Admn. dt.13.11.17</t>
  </si>
  <si>
    <t>20.11.2017 to 19.11.2020</t>
  </si>
  <si>
    <t>19.11.2020</t>
  </si>
  <si>
    <t>Kottayam Division
Kottayam-I Range
Kottayam-II Range</t>
  </si>
  <si>
    <t>2nd Floor, Building No.XVII/470C, V Publishers Building, Sreenivasa Iyer Road, Kottayam-686001</t>
  </si>
  <si>
    <t>03.04.13
C.No:I/15/1/2017-Admn. dt.18.01.19</t>
  </si>
  <si>
    <t>02.04.2018</t>
  </si>
  <si>
    <t>1,27,960/-</t>
  </si>
  <si>
    <t>Changanacherry Range</t>
  </si>
  <si>
    <t>Marina Plaza, Mulavupadam Building, Kurishmmod PO., Changanacherry-686 104.</t>
  </si>
  <si>
    <t>14.01.19
C.No.I/4/16/2017-Admn. dt.19.12.18</t>
  </si>
  <si>
    <t>13.01.2022</t>
  </si>
  <si>
    <t>23,046/-</t>
  </si>
  <si>
    <t>Mundakkayam Range</t>
  </si>
  <si>
    <t>2nd Floor, Popsons Building, K.K. Road, Mundakkayam-686515</t>
  </si>
  <si>
    <t>C.No:I/11/1/2018-Admn. dt.26.03.18</t>
  </si>
  <si>
    <t>18.02.2013 to 17.02.2018</t>
  </si>
  <si>
    <t>17.02.2018</t>
  </si>
  <si>
    <t>16,800/-</t>
  </si>
  <si>
    <t>Pala Range</t>
  </si>
  <si>
    <t>3rd Floor, Chooranolickal Mareena Tower, Kattakkayam Road, Pala, Kottayam-686575</t>
  </si>
  <si>
    <t>01.01.16
C.No:I/11/4/2018-Admn. dt.23.01.19</t>
  </si>
  <si>
    <t>01.01.2016 to 31.12.2018</t>
  </si>
  <si>
    <t>31.12.2018</t>
  </si>
  <si>
    <t>39,776/-</t>
  </si>
  <si>
    <t>Pathanamthitta Division &amp; 
Pathanamthitta Range</t>
  </si>
  <si>
    <t>Thazhathekkethil Building, StSt. Peter's Junction, Ring Road, Pathanamthitta-689645</t>
  </si>
  <si>
    <t>19.08.17
C.No:I/4/8/2017-Admn. dt.16.08.17</t>
  </si>
  <si>
    <t>21.08.2017 to 20.08.2020</t>
  </si>
  <si>
    <t>20.08.2020</t>
  </si>
  <si>
    <t>1,76,567/-</t>
  </si>
  <si>
    <t>Adoor Range</t>
  </si>
  <si>
    <t>XVII/255(AB), Vadakkedath Philip's Bhavan, Nellimoottil, Adoor-691523</t>
  </si>
  <si>
    <t>03.11.17
C.No:I/4/9/2017-Admn. dt.30.10.17</t>
  </si>
  <si>
    <t>02.11.2017 to 01.11.2020</t>
  </si>
  <si>
    <t>36,583/-</t>
  </si>
  <si>
    <t>Ranni Range</t>
  </si>
  <si>
    <t>1st Floor, DEO Building (BSNL Building), Near Post office,Ranni, Pathanamthitta-689672</t>
  </si>
  <si>
    <t>28.09.17
C.No:I/4/10/2017-Admn. dt.26.09.17</t>
  </si>
  <si>
    <t>01.10.2017 to 31.09.2020</t>
  </si>
  <si>
    <t>31,350/-</t>
  </si>
  <si>
    <t>Thiruvalla Range</t>
  </si>
  <si>
    <t>1st Floor, Central Tower, Cross Junction, Thiruvalla-689101</t>
  </si>
  <si>
    <t>C.NO:II/4/4/2018 dated 26.03.18</t>
  </si>
  <si>
    <t>01.09.2016 to 31.08.2019</t>
  </si>
  <si>
    <t>19,909/-</t>
  </si>
  <si>
    <t>Attingal Range</t>
  </si>
  <si>
    <t>Ist Floor, Regency Mall, Kizhuvilam PO., Mamam, Attingal, Thiruvananthapuram-695104</t>
  </si>
  <si>
    <t>06.11.17
C.No.I/4/17/2017-Admn. dt.14.11.17</t>
  </si>
  <si>
    <t>06.11.2017 to 05.11.2020</t>
  </si>
  <si>
    <t>05.11.2020</t>
  </si>
  <si>
    <t>31,150/-</t>
  </si>
  <si>
    <t>Kazhakuttam Range</t>
  </si>
  <si>
    <t>Ist Floor, T.C. 98/9283(1), Thottumugham Building, Attipra Village, Mukkolakkal, Kazhakuttam, Thiruvananthapuram-695582</t>
  </si>
  <si>
    <t>13.03.18
C.No:I/4/3/2018-Admn. dt.02.03.17</t>
  </si>
  <si>
    <t>19.03.2018 to 18.03.2021</t>
  </si>
  <si>
    <t>18.03.2021</t>
  </si>
  <si>
    <t>47,124/-</t>
  </si>
  <si>
    <t>Nedumangad Range</t>
  </si>
  <si>
    <t>1st Floor, Vadakkathyil Tower, NMC 13/342(1), Nedumangad-695541.</t>
  </si>
  <si>
    <t>14.08.17
C.No:I/4/6/2017-Admn. dt.09.08.17</t>
  </si>
  <si>
    <t>14.08.2017 to 13.08.2020</t>
  </si>
  <si>
    <t>13.08.2020</t>
  </si>
  <si>
    <t>22,968/-</t>
  </si>
  <si>
    <t>Sreyas, TC 26/1932(1-4), Secretariat Ward, Subbiah Pillai Road, GPO Lane, Trivandrum-695001.</t>
  </si>
  <si>
    <t>C.No:I/4/2/2009-Admn. dt.31.10.19</t>
  </si>
  <si>
    <t>26.02.2018 to 25.02.2021</t>
  </si>
  <si>
    <t>25.02.2021</t>
  </si>
  <si>
    <t>1,44,250/-</t>
  </si>
  <si>
    <t>Kattakada Range</t>
  </si>
  <si>
    <t>1st Floor, Citadel, 4/795-B, Near College Road, Kattakkada P.O., Thiruvananthapuram-695572</t>
  </si>
  <si>
    <t>09.11.17
C.No:I/4/14/2017-Admn. dt.14.11.17</t>
  </si>
  <si>
    <t>07.11.2017 to 06.11.2020</t>
  </si>
  <si>
    <t>06.11.2020</t>
  </si>
  <si>
    <t>28,876/-</t>
  </si>
  <si>
    <t>Neyyattinkara Range</t>
  </si>
  <si>
    <t>Aparna Building, Ist Floor, NMC-XII/301D, Neyyattinkara, Thiruvananthapuram-21.</t>
  </si>
  <si>
    <t>19.03.19
C.No:I/11/3/2018-Admn. dt.27.12.18</t>
  </si>
  <si>
    <t>19.03.2019 to 18.03.2022</t>
  </si>
  <si>
    <t>18.03.2022</t>
  </si>
  <si>
    <t>28,000/-</t>
  </si>
  <si>
    <t>O/o the Superintendent of Central Tax and Central Excise, Kanhangad Range, Bldng No. KMC/III-537 D, 2nd floor, Ganesh Towers, Hosdurg Kanhangad.</t>
  </si>
  <si>
    <t>With effect from 01.04.2019 vide Sanction Order No. I/04/16/1983-Admn dated 08.06.2020</t>
  </si>
  <si>
    <t>10,502/-</t>
  </si>
  <si>
    <t>Rent revision under process</t>
  </si>
  <si>
    <t>O/o the Superintendent of Central Tax and Central Excise, Taliparamba Range, Bldng No.XI/1416, 2nd floor, National Shopping Complex,Taliparamba.</t>
  </si>
  <si>
    <t>With effect from 19.05.2017 vide Sanction Order No. I/04/18/1993-Admn dated 04.12.2017</t>
  </si>
  <si>
    <t>18.05.2019</t>
  </si>
  <si>
    <t>7,500/-</t>
  </si>
  <si>
    <t>Rent revision and renewal under process</t>
  </si>
  <si>
    <t>O/o the Superintendent of Central Tax and Central Excise, Tirur Range, Door No.20/1240 M, 2 nd Floor, Thariff Bazar, Tirur.</t>
  </si>
  <si>
    <t>With effect from 01.01.2015 vide Sanction Order No. I/04/22/1984-Admn dated 15.01.2016</t>
  </si>
  <si>
    <t>13,600/-</t>
  </si>
  <si>
    <t>Under process of renewal</t>
  </si>
  <si>
    <t>O/o the Superintendent of Central Tax and Central Excise, Manjeri Range, Building No.XV/637, 2nd Floor, Pulikkal Towers, Manjeri.</t>
  </si>
  <si>
    <t>With effect from 01.04.2019 vide Sanction Order No. I/04/13/1978-Admn dated 11.03.2019</t>
  </si>
  <si>
    <t>12,053/-</t>
  </si>
  <si>
    <t>O/o the Superintendent of Central Tax and Central Excise, Kondotty Range, 2nd Floor, Kondotty Telephone Exchange Building, Kondotty.</t>
  </si>
  <si>
    <t>With effect from 01.01.2018 vide Sanction Order No. I/04/04/2017-Admn dated 05.12.2017</t>
  </si>
  <si>
    <t>38,298/-  (+ GST)</t>
  </si>
  <si>
    <t>O/o the Assistant Commissioner of Central Tax and Central Excise, 2nd, 3rd 4th and 5th Floors, AwalTowers, Malappuram.</t>
  </si>
  <si>
    <t>With effect from 01.03.2018 vide Sanction Order No. I/04/06/2017-Admn dated 21.02.2018</t>
  </si>
  <si>
    <t>2,80,000/- (+  GST)</t>
  </si>
  <si>
    <t>Also houses Perinthalmana and Malappuram Ranges</t>
  </si>
  <si>
    <t>O/o the Superintendent of Central Tax and Central Excise, Kalpetta Range, Building No.KP/XII/70, 2nd Floor, Opp. Municipal Town Hall, Kalpetta P.O., Wayanad 673121</t>
  </si>
  <si>
    <t>With effect from 05.10.2018 vide Sanction Order No. I/04/01/2006-Admn dated 06.02.2019</t>
  </si>
  <si>
    <t>3 years or upto the date of hiring new building, whichever is earlier</t>
  </si>
  <si>
    <t>05.10.2021</t>
  </si>
  <si>
    <t>5,310/-</t>
  </si>
  <si>
    <t>Also houses Sulthan Bathery Range. Move from building imminenet.</t>
  </si>
  <si>
    <t>O/o the Superintendent of Central Tax and Central Excise, Koyilandy Range, Building No. 432/28, M. M Street, LIC street, Koyilandy</t>
  </si>
  <si>
    <t>With effect from 04.10.2018 vide Sanction Order No. I/04/05/2000-Admn dated 13.03.2020</t>
  </si>
  <si>
    <t>03.10.2021</t>
  </si>
  <si>
    <t>3,047/-</t>
  </si>
  <si>
    <t>O/o the Superintendent of Central Tax and Central Excise, Thamarassery Range, Door No.4/91E, R.J Tower, Chungam, Thamarassery.</t>
  </si>
  <si>
    <t>With effect from 31.12.2018 vide Sanction Order No. I/04/03/2018-Admn dated 19.12.2018</t>
  </si>
  <si>
    <t>30.12.2021</t>
  </si>
  <si>
    <t xml:space="preserve">39,000/-  (+ GST) </t>
  </si>
  <si>
    <t>O/o the Superintendent of Central Tax and Central Excise, Ottapalam Range, J.R.J. Complex, Shornur Road, Ottappalam,  Palakkad</t>
  </si>
  <si>
    <t>With effect from 01.09.2012 vide Sanction Order No. I/04/04/2002-Admn dated 13.11.2014</t>
  </si>
  <si>
    <t>31.08.2017</t>
  </si>
  <si>
    <t>11,531/-</t>
  </si>
  <si>
    <t>In process for renewal/transition from current building</t>
  </si>
  <si>
    <t>O/o the Superintendent of Central Tax and Central Excise, Chittur Range, Building No.110/348, ground Floor, Chitur Co Operative Society Building, Chittur.</t>
  </si>
  <si>
    <t>With effect from 01.02.2018 vide Sanction Order No. I/04/13/1992-Admn dated 17.01.2018</t>
  </si>
  <si>
    <t>31.01.2021</t>
  </si>
  <si>
    <t>9,467/-</t>
  </si>
  <si>
    <t>O/o the Superintendent of Central Tax and Central Excise, Alathur Range, Building No.03/786, ground Floor, M. R. K Building, Alathur.</t>
  </si>
  <si>
    <t>With effect from 16.02.2018 vide Sanction Order No. I/04/02/2003-Admn dated 19.12.2018</t>
  </si>
  <si>
    <t>16.02.2021</t>
  </si>
  <si>
    <t>9,982/-</t>
  </si>
  <si>
    <t>Audit Commissionerate</t>
  </si>
  <si>
    <t>Audit Circle II,  St.Marys Building, Ground Floor,Kadappakkada, Kollam-691008</t>
  </si>
  <si>
    <t>19.12.2017 of Audit  Commte,Cochin</t>
  </si>
  <si>
    <t>Commissioner, Audit Commissionerate,Cochin</t>
  </si>
  <si>
    <t>31.3.2021</t>
  </si>
  <si>
    <t>O/o. The Assistant Commissioner of Central Tax and Central Excise, Audit Circle III</t>
  </si>
  <si>
    <t>O/o. The Assistant Commissioner of Central Tax and Central Excise, Audit Circle III, 3rd Floor, Joyees Arcade, YMCA Road, Kottayam - 686001</t>
  </si>
  <si>
    <t>453.98 sq.mtr [4886.66 sq.ft)</t>
  </si>
  <si>
    <t>567.48 sq.mtr [6108.32 sq.ft)</t>
  </si>
  <si>
    <t>22.02.2018 Sanctio Order No.I/22/07/2015 Audit (Admin) Pt.II dated 19.12.2017</t>
  </si>
  <si>
    <t>Commissioner of Central Tax and Central Excise (AUDIT), Kochi</t>
  </si>
  <si>
    <t>3 years from the date of Agreement ie 22.02.2018</t>
  </si>
  <si>
    <t>21.02.2021</t>
  </si>
  <si>
    <t>Rs.175920/-[excluding GST], Rs.207586/- [including GST]</t>
  </si>
  <si>
    <t>Rs.36/ per sq.feet [ Rs.36 X 4886.66]</t>
  </si>
  <si>
    <t>3RD, 4TH &amp; 5TH FLOORS, CATHOLIC CENTRE, BROADWAY, COCHIN, 682031</t>
  </si>
  <si>
    <t>1696 SQ.M</t>
  </si>
  <si>
    <t>2240.61 SQ.M</t>
  </si>
  <si>
    <t>30.06.2022</t>
  </si>
  <si>
    <t>Rent Rate  apporximately Rs. 23.52/sq.ft</t>
  </si>
  <si>
    <t>SPU, Beypore</t>
  </si>
  <si>
    <t>Office of the Superintendent, Sea Patrolling Unit, Beypore, Kozhikode</t>
  </si>
  <si>
    <t>CMWS, Beypore</t>
  </si>
  <si>
    <t>Office of the Workshop Manager, Beypore, Calicut</t>
  </si>
  <si>
    <t>Port Office, Beypore</t>
  </si>
  <si>
    <t>Office of the Senior Port Conservator, Beypore Port, Kozhikode</t>
  </si>
  <si>
    <t>Port Office Building</t>
  </si>
  <si>
    <t>CPU, Malappuram</t>
  </si>
  <si>
    <t>The Superintendent of Customs, Customs Preventive Unit, Up Hill, Malappuram</t>
  </si>
  <si>
    <t xml:space="preserve">Customs Preventive Unit, Manjeswar </t>
  </si>
  <si>
    <t>First Floor, Sakeena Complex, Manjeswar ,  Kasaragod Dist</t>
  </si>
  <si>
    <t>03.03.2019</t>
  </si>
  <si>
    <t>01.03.2019-28.02.2022</t>
  </si>
  <si>
    <t>Rs.10,600</t>
  </si>
  <si>
    <t>Rs.70/ Sq. Metres</t>
  </si>
  <si>
    <t xml:space="preserve"> Customs Preventive Unit, Kanhangad</t>
  </si>
  <si>
    <t xml:space="preserve">CPU Kanhangad, Building No. 211 in Ward No. XXX(42/371)  Near A.L.P. School, Avikkara, Kanhangad
</t>
  </si>
  <si>
    <t>01.04.1992, Collectorate's R.T.Message C.No.I/4/392 dated 25.03.1992</t>
  </si>
  <si>
    <t>Collector of Customs (Now Commissioner of Customs)</t>
  </si>
  <si>
    <t>01/04/2017 to 31/03/2021</t>
  </si>
  <si>
    <t>Rs. 15,850/-</t>
  </si>
  <si>
    <t xml:space="preserve"> Customs Preventive Unit, Uduma</t>
  </si>
  <si>
    <t>CPU Uduma,               Door No.1/265F (New 2/744), "Centre Point Business Hub", Uduma Gramam Panchayat, R.S. No.136/1, Uduma, Kasargod Dist.-671319</t>
  </si>
  <si>
    <t>I/11/1/12 Admn CCP dated 31.07.2012</t>
  </si>
  <si>
    <t>01.08.2012-31.07.2017</t>
  </si>
  <si>
    <t>Renewed pending from 01.08.2017 Applied for Fair Rent Certificate from CPWD for renewing the rent</t>
  </si>
  <si>
    <t>Rs.10.500/-</t>
  </si>
  <si>
    <t>Customs Preventive Unit, Kollam</t>
  </si>
  <si>
    <t>Krishna, Building No.KMC 46/1559 &amp; 1560, Thamarakulam, Kollam 691 001</t>
  </si>
  <si>
    <t>01.02.2019 C.No. I/22/03/2018 Admn.CCP dated 02.03.2020</t>
  </si>
  <si>
    <t>14.86/Sq. Ft.</t>
  </si>
  <si>
    <t>Customs Preventive Unit, Vizhinjam</t>
  </si>
  <si>
    <t>TC No. 62/1028,  Mini villa, Kilikulam, Vizhinjam PO,     Pin 695521</t>
  </si>
  <si>
    <t>C.No. I/22/03/2018 Admn CCP dtd. 03.06.20</t>
  </si>
  <si>
    <t>11.11.2022</t>
  </si>
  <si>
    <t>13.17/sq.ft</t>
  </si>
  <si>
    <t>CPU, Thodupuzha</t>
  </si>
  <si>
    <t>Sree Nilayam, Bld. Kaniramattam Bye Pass Raod, Thodupuzha, 685 584</t>
  </si>
  <si>
    <t>131.96 Sq mtr.</t>
  </si>
  <si>
    <t>112.166 Sq. Mtr</t>
  </si>
  <si>
    <t>22.08.15</t>
  </si>
  <si>
    <t>Assst. Commissioner</t>
  </si>
  <si>
    <t>Rs.14500/-</t>
  </si>
  <si>
    <t>Rs. 110 per sq mtr.</t>
  </si>
  <si>
    <t>CPU Kottayam</t>
  </si>
  <si>
    <t>Plachirakal Mansion -II, C.M.S College Road, Kottayam-1</t>
  </si>
  <si>
    <t>144.68 Sq Mtr.</t>
  </si>
  <si>
    <t>123.03 Sq Mtr</t>
  </si>
  <si>
    <t>01.12.15</t>
  </si>
  <si>
    <t>01.02.2018 #</t>
  </si>
  <si>
    <t>Rs.21800/-</t>
  </si>
  <si>
    <t>Rs. 151 per Sq. mtr.</t>
  </si>
  <si>
    <t>15.02.2019</t>
  </si>
  <si>
    <t xml:space="preserve">Rs. 149792/- </t>
  </si>
  <si>
    <t>17.75/- per Sq. Feet</t>
  </si>
  <si>
    <t>CGST, Vadodara - I</t>
  </si>
  <si>
    <t>15.02.2016
F.No. I/04-06/2015/HQ- Adm, date 19.01.2016</t>
  </si>
  <si>
    <t>Div-VI (Tapi) &amp;      Div- VIII (Valsad)</t>
  </si>
  <si>
    <t>01.04.2017 to 31.03.2020</t>
  </si>
  <si>
    <t>1,67,500/- + GST</t>
  </si>
  <si>
    <t>Div -VII, Navsari (with Range-I,II &amp;III)</t>
  </si>
  <si>
    <t>01.05.2014</t>
  </si>
  <si>
    <t>01.05.2014 to 30.04.2017</t>
  </si>
  <si>
    <t>39,520/-</t>
  </si>
  <si>
    <t>Div-VII Navsari (Range IV &amp; V)</t>
  </si>
  <si>
    <t>01.11.2016 to 31.10.2019</t>
  </si>
  <si>
    <t>18,750/-</t>
  </si>
  <si>
    <t>27.01.2015</t>
  </si>
  <si>
    <t>27.01.2015 to 26.01.2018</t>
  </si>
  <si>
    <t>27.01.2018</t>
  </si>
  <si>
    <t>86,000/- + GST</t>
  </si>
  <si>
    <t>HQ</t>
  </si>
  <si>
    <t>Hani's Landmark, Chala, Vapi-Daman Road, Vapi</t>
  </si>
  <si>
    <t>3 years 8 months</t>
  </si>
  <si>
    <t>1,94,500/-</t>
  </si>
  <si>
    <t>223.62/-</t>
  </si>
  <si>
    <t>Fortune Square Building, Chala, Vapi-Daman Road, Vapi</t>
  </si>
  <si>
    <t>20.10.2015</t>
  </si>
  <si>
    <t>2,45,352/-</t>
  </si>
  <si>
    <t>289/-</t>
  </si>
  <si>
    <t>Division - I to V, Daman</t>
  </si>
  <si>
    <t>Somnath building</t>
  </si>
  <si>
    <t>16.12.2018</t>
  </si>
  <si>
    <t>2,18,600/-</t>
  </si>
  <si>
    <t>220.52/-</t>
  </si>
  <si>
    <t>Division - VI &amp; VII, Daman</t>
  </si>
  <si>
    <t>Sahkar Bhawan, opp. Hiravan Garden, pipariya,  Silvassa</t>
  </si>
  <si>
    <t>15.02.2015</t>
  </si>
  <si>
    <t>1,14,155/-</t>
  </si>
  <si>
    <t>221.66/-</t>
  </si>
  <si>
    <t>Division - VIII &amp; IX, Daman</t>
  </si>
  <si>
    <t>H R House , plot No. 01, survey No. 64/2,   Near District Court, Tokarkhada,Silvassa</t>
  </si>
  <si>
    <t>29.08.2016</t>
  </si>
  <si>
    <t>4 years 9 months</t>
  </si>
  <si>
    <t>15.05.2121</t>
  </si>
  <si>
    <t>2,69,610/-</t>
  </si>
  <si>
    <t>244.70/-</t>
  </si>
  <si>
    <t>Division - X, Daman</t>
  </si>
  <si>
    <t>Jaypee House, Above HDFC Bank, opp patel Petrol pump, Silvassa</t>
  </si>
  <si>
    <t>251.26/-</t>
  </si>
  <si>
    <t>Range - I to V of Division - V, Daman</t>
  </si>
  <si>
    <t>UT govt. owned building</t>
  </si>
  <si>
    <t>Audit Surat</t>
  </si>
  <si>
    <t>Audit Vadodara</t>
  </si>
  <si>
    <t>Vadodara Appeal</t>
  </si>
  <si>
    <t>Office of the Commissioner of the CGST &amp; Central Excise, Appeals Commissionerate Surat.</t>
  </si>
  <si>
    <t>3rd Floor, Magnnus Shopping Mall,  Althan Bhimram Canal Road, Alhtan , Surat -395017</t>
  </si>
  <si>
    <t>Commissioner                  (HOD)</t>
  </si>
  <si>
    <t>328359 + GST</t>
  </si>
  <si>
    <t>CGST Bobbil Range Office</t>
  </si>
  <si>
    <t>D.No.2-134/E, Sri Subrahmanya Swamy Nilayam, Ward 2, Raily Satation Road, Bobbili, Vizianagaram District, Andhra Pradesh - 535558</t>
  </si>
  <si>
    <t>01.02.2018</t>
  </si>
  <si>
    <t>Principal Commissioner</t>
  </si>
  <si>
    <t>CGST Palasa Range Office</t>
  </si>
  <si>
    <t>D.No.13-15-104, Survey No.226/1, 13th Ward, Tilak Nagar, Kasibugga, Palasa, Srikakulam District, Andhra Pradesh - 532222</t>
  </si>
  <si>
    <t>CGST Srikakulam East and West Range Offices</t>
  </si>
  <si>
    <t>D.No.12-2/2-1, Mahalaxmi nagar, Behind Govt Girls High School, Srikakulam District, Andhra Pradesh - 532001</t>
  </si>
  <si>
    <t>It is proposed to shift the offices located in present building to new office building as accorded by the Principal Commissioner vide letter C.No.I/04/03/2010-Admn, Dt.26.04.2019. Further, FRC/RRC is yet to be received from CPWD authorities.</t>
  </si>
  <si>
    <t>O/o the Dy/Asst. Commissioner of central Tax, Central GST Division, Visakhapatnam</t>
  </si>
  <si>
    <t>D.No.28-14-10, Opposite VMAX Theater, Surya Bagh, Visakhapatnam -530020</t>
  </si>
  <si>
    <t>630.90 sq mtrs (or) 6791 sft</t>
  </si>
  <si>
    <t xml:space="preserve"> 841.27 sq mtrs (or ) 9055.35 sft</t>
  </si>
  <si>
    <t>RENT/37/2016-17/SANCTION, dated 20.03.2017</t>
  </si>
  <si>
    <t>Board</t>
  </si>
  <si>
    <t>25.11.2016 to 24.11.2019</t>
  </si>
  <si>
    <t>24.11.2019</t>
  </si>
  <si>
    <t>Rs.2,00,000/- Per Month</t>
  </si>
  <si>
    <t>Rs.237.735/- per sq.mtrs</t>
  </si>
  <si>
    <t xml:space="preserve">Proposals of Re- hiring of the building, letter has send to HqrsOffice for onward submission to DGHRD through proper channel. </t>
  </si>
  <si>
    <t>O/o The Ass. Comm're of Central Tax, Visakhapatnam NORTH GST Division, (One Divisional Office and 9 Ranges)</t>
  </si>
  <si>
    <t>D.No. 10-50-22, Behind Varun Bajaj, Siripuram, Visakhapatnam - 530 003 (AP)</t>
  </si>
  <si>
    <t>From 01/08/2016.  Sanction Lr. F.No.924/12/Hiring/Div. &amp; Range / Visakhapatnam /HRD/16, dated 21-06-2016</t>
  </si>
  <si>
    <t>Rs.3,66,870/-</t>
  </si>
  <si>
    <t>Rs.377/-</t>
  </si>
  <si>
    <t>Proposals of re-hiring of the build,  letter has sent to DGHRD. It is under process and pending with DGHRD</t>
  </si>
  <si>
    <t>CGST South Division</t>
  </si>
  <si>
    <t>47-11-7, SVC Complex, Third Floor, Dwaraka Nagar, Vishakapatnam-530016</t>
  </si>
  <si>
    <t>Proportionate 
Land Area: 150.96
-----------------
Carpet Area: (316.7)</t>
  </si>
  <si>
    <t>27.06.2016</t>
  </si>
  <si>
    <t>2 Years 
1 Month 
4 Days</t>
  </si>
  <si>
    <t>5 Ranges (CGST South Division)
1. Gajuwaka
2. Kurmanipalem
3. HPCL
4. Pedagantiyada
5. Malkapuram</t>
  </si>
  <si>
    <t>47-11-7, SVC Complex, Fifth Floor, Dwaraka Nagar, Vishakapatnam-530016</t>
  </si>
  <si>
    <t>Proportionate 
Land Area: 150.96</t>
  </si>
  <si>
    <t>411.21
(Plinth Area)</t>
  </si>
  <si>
    <t>01.08.2013</t>
  </si>
  <si>
    <t>Anakapalli and Parawada Range office</t>
  </si>
  <si>
    <t>D.No.10-20-5, Near NTR Market Yard, Anakapalli, Andhra Pradesh</t>
  </si>
  <si>
    <t>Proportionate 
Land Area: 85.08</t>
  </si>
  <si>
    <t>192.86
(Plinth Area)</t>
  </si>
  <si>
    <t>10.09.2017</t>
  </si>
  <si>
    <t>20.09.2020</t>
  </si>
  <si>
    <t>Payakaraopeta range office</t>
  </si>
  <si>
    <t>D.No.21-16, Sri Sai Lakshmi Nilayam,opposite to Govt. Jr. College, Payakaraopeta, Andhra Pradesh</t>
  </si>
  <si>
    <t>Proportionate 
Land Area: 104.51</t>
  </si>
  <si>
    <t>105.53
(Plinth Area)</t>
  </si>
  <si>
    <t>VSP Steel Plant range office</t>
  </si>
  <si>
    <t>Office of the Deputy Commissioner of Central Tax, with Ranges.</t>
  </si>
  <si>
    <t>Office of the Deputy Commissioner of Central Tax, D.No. 16-23-62/1/2A, GST Building, Pallamraju Nagar, Kakinada– 533 001</t>
  </si>
  <si>
    <t>10,620 square feet. (986.63 sq. mts)         (1st floor: 3540 sqft., 2nd floor: 3540 sqft., 3rd floor: 3540 sqft.)</t>
  </si>
  <si>
    <t>F.No.924/10/Hiring/Div&amp;Range, Kakinada/Viz/HRD/2017 dated 29.05.2017.</t>
  </si>
  <si>
    <t>2,17,160/-</t>
  </si>
  <si>
    <t>Rs.21.50/-  per square foot per month of carpet area.</t>
  </si>
  <si>
    <t>Office of the Superintendent of Central Tax, Amalapuram CGST Range.</t>
  </si>
  <si>
    <t>Office of the Superintendent of Central Tax, Amalapuram CGST Range, Bhupayya Agraharam, Amalapuram- 533 201.</t>
  </si>
  <si>
    <t>1450 square feet.    (134.70 sq. mts.)</t>
  </si>
  <si>
    <t>1575+96 square feet.   (146.32 sq. mts.)</t>
  </si>
  <si>
    <t>C.No.I/11/02/2007-Admn-II-PF-1 dated 10.07.2018</t>
  </si>
  <si>
    <t>Principal Commissioner of Central Tax, Visakhapatnam CGST Commissionerate, Visakhapatnam</t>
  </si>
  <si>
    <t>13.07.2018 to 12.07.2021</t>
  </si>
  <si>
    <t>13.07.2021</t>
  </si>
  <si>
    <t>12,500/-</t>
  </si>
  <si>
    <t>Rs.10.71/-  per square foot per month of carpet area.</t>
  </si>
  <si>
    <t>Office of the Superintendent of Central Tax, Tuni CGST Range.</t>
  </si>
  <si>
    <t>Office of the Superintendent of Central Tax, Tuni CGST Range, D.No.3-16-6/6, Markandeyarajupeta, Opp. Municipal Elementary School, Tuni- 533401</t>
  </si>
  <si>
    <t>1218 square feet.    (113.15 sq. mts.)</t>
  </si>
  <si>
    <t xml:space="preserve"> 2235 square feet.   (207.63 sq. mts.)</t>
  </si>
  <si>
    <t>C.No.I/11/02/2017-Admin-II(Tuni) dated 10.01.2018</t>
  </si>
  <si>
    <t>17,000/-</t>
  </si>
  <si>
    <t>Rs.13.96/-  per square foot per month of carpet area.</t>
  </si>
  <si>
    <t>Office of the Superintendent of Central Tax, Samalkot CGST Range.</t>
  </si>
  <si>
    <t>Office of the Superintendent of Central Tax, Samalkot CGST Range, D.No.18-6-16/1, Ayodhya Rama Puram, Samalkot- 533 440</t>
  </si>
  <si>
    <t>912 square feet.    (84 sq. mts.)</t>
  </si>
  <si>
    <t xml:space="preserve"> 394.17 sq. metres.</t>
  </si>
  <si>
    <t>I/II/03/2003-Admin-II dated 02.07.2019.</t>
  </si>
  <si>
    <t>11,850/-</t>
  </si>
  <si>
    <t>Rs.13/-  per square foot per month of carpet area.</t>
  </si>
  <si>
    <t>Office of the Superintendent of Central Tax, Ramachandrapuram CGST Range.</t>
  </si>
  <si>
    <t>Office of the Superintendent of Central Tax, Ramachandrapuram CGST Range, 12-9-4/1, Duvvuri Vari Street, Ramachandrapuram- 533 255</t>
  </si>
  <si>
    <t>106.10 square metres.</t>
  </si>
  <si>
    <t>144.22 square metres.</t>
  </si>
  <si>
    <t>C.No.I/11/04/2004-Admin-II dated 24.07.2019</t>
  </si>
  <si>
    <t>10,360/-</t>
  </si>
  <si>
    <t>Rs.10/- per square foot per month of carpet area.</t>
  </si>
  <si>
    <t>Nellore CGST Sub
-Commissionerate</t>
  </si>
  <si>
    <t>Nellore
 CGST Sub-
Commissionerate Office</t>
  </si>
  <si>
    <t>D.No.24-7-48, Mini Bye Pass Road,Annamayya Circle,MSR Lay out, Nellore</t>
  </si>
  <si>
    <t>12,758 Sq.ft</t>
  </si>
  <si>
    <t>14377 Sq.ft</t>
  </si>
  <si>
    <t>01.07.2016 F.No.024/18/Hiring/Nellore/Visakhapatnam/HRD/2018</t>
  </si>
  <si>
    <t>Under Secretary to the Govt. of India, CBEC, Department of Revenue,Ministry of Finance</t>
  </si>
  <si>
    <t>3,50,000/-</t>
  </si>
  <si>
    <t>27.50 per Sq.ft</t>
  </si>
  <si>
    <t>Revised FRC received from CPWD on 02.09.2020. Consent letter received from building owners. Minutes of Negotiation Committee Submitted.</t>
  </si>
  <si>
    <t>Nellore CGST 
Division</t>
  </si>
  <si>
    <t>Range-I/II/III/IV, Nellore</t>
  </si>
  <si>
    <t xml:space="preserve">Sullurpet Range </t>
  </si>
  <si>
    <t>Kapu Street, Sullurpet - 524 121.</t>
  </si>
  <si>
    <t>01.04.2013</t>
  </si>
  <si>
    <t>15,000/-</t>
  </si>
  <si>
    <t xml:space="preserve">Gudur Range </t>
  </si>
  <si>
    <t>D.No.09/163, Thyagaraja Street, Gudur - 524 101.</t>
  </si>
  <si>
    <t>15.05.2018</t>
  </si>
  <si>
    <t>18.5.2021</t>
  </si>
  <si>
    <t>15,400/-</t>
  </si>
  <si>
    <t xml:space="preserve">Ongole Range </t>
  </si>
  <si>
    <t>D.No.9-2-47, Kothapet, Lawyerpet, Ongole-523001, Prakasam District.</t>
  </si>
  <si>
    <t>16,317/-</t>
  </si>
  <si>
    <t xml:space="preserve">Naidupet Range </t>
  </si>
  <si>
    <t>D.No.3-11-82, Near RTC Bus Stand, SKHT By-pass Road, Naidupet–524 126</t>
  </si>
  <si>
    <t>10.01.2021</t>
  </si>
  <si>
    <t>20,250/-</t>
  </si>
  <si>
    <t>Kavali Range</t>
  </si>
  <si>
    <t>D.No.11-1-35, Opp. to MRO Office, Rammurthy Pet, Kavali.</t>
  </si>
  <si>
    <t>33,750/-</t>
  </si>
  <si>
    <t>Chirala Range</t>
  </si>
  <si>
    <t>12.01.2018</t>
  </si>
  <si>
    <t>33,050/-</t>
  </si>
  <si>
    <t>Markapur Range</t>
  </si>
  <si>
    <t>04.01.2018</t>
  </si>
  <si>
    <t>04.01.2021</t>
  </si>
  <si>
    <t>23,888/-</t>
  </si>
  <si>
    <t>Eluru CGST Division</t>
  </si>
  <si>
    <t>Eluru CGST Divisional Office and its local Ranges</t>
  </si>
  <si>
    <t>2nd and 3rd Floor, Ashok Nagar,Eluru-534002</t>
  </si>
  <si>
    <t>21.04.2016</t>
  </si>
  <si>
    <t>20.04.2019</t>
  </si>
  <si>
    <t>64,600/-</t>
  </si>
  <si>
    <t>Jangareddygudem
CGST Range</t>
  </si>
  <si>
    <t>D.No.12-137, Near RDO Office,
Jangareddygudem,
W.G.Dist, AP-534447.</t>
  </si>
  <si>
    <t>15,750/-</t>
  </si>
  <si>
    <t>Nidadavole CGST 
Range</t>
  </si>
  <si>
    <t>D.No.3-10-5/1, Ramnagar,
Nidadavole,W.G.Dist,
AP-534301.</t>
  </si>
  <si>
    <t>30.10.2020</t>
  </si>
  <si>
    <t>10,150/-</t>
  </si>
  <si>
    <t>Tanuku CGST 
Range</t>
  </si>
  <si>
    <t>D.No.22-19-8, SR Plaza,
Tanuku, W.G.Dist,
AP-534211.</t>
  </si>
  <si>
    <t>01.04.2014</t>
  </si>
  <si>
    <t>31.03.2019</t>
  </si>
  <si>
    <t>25,300/-</t>
  </si>
  <si>
    <t>Bhimavaram CGST
Range</t>
  </si>
  <si>
    <t>D.No.23-4-70(3), Sri Lakshmi
Plaza, Town Hall Road,
Bheemavaram,W.G.Dist,
AP-534201.</t>
  </si>
  <si>
    <t>11.02.2018</t>
  </si>
  <si>
    <t>10.02.2023</t>
  </si>
  <si>
    <t>32,147/-</t>
  </si>
  <si>
    <t>Guntur CGST Division</t>
  </si>
  <si>
    <t>Guntur CGST Division and its local Ranges</t>
  </si>
  <si>
    <t>D.No.3-1-197/5. BVSR Plaza Opp. IOCL petrol bank Pattabhipuram Main Road, Guntur - 522006</t>
  </si>
  <si>
    <t>30.08.2018</t>
  </si>
  <si>
    <t>1,62,696/-</t>
  </si>
  <si>
    <t>Dachepalli
CGST Range</t>
  </si>
  <si>
    <t>D.No.9-142, Narayanapuram villager Nadikude, dachepalli 522414</t>
  </si>
  <si>
    <t>25.10.2019</t>
  </si>
  <si>
    <t>30.04.2022</t>
  </si>
  <si>
    <t>Narasaraopet CGST Ranges-I and II</t>
  </si>
  <si>
    <t xml:space="preserve">D.No. 59/A, Opp. Kalika Ammavari temple Issapalem Narasaraopet-522601 </t>
  </si>
  <si>
    <t>48,500/-</t>
  </si>
  <si>
    <t>Vijayawada
CGST Division</t>
  </si>
  <si>
    <t>Vijayawada CGST
 Division and 
04 Local Ranges.</t>
  </si>
  <si>
    <t>Door No.55-17-3, PC-1, 3rd Floor,  Stalin Corporate, Industrial Estate, Road No.02, Autonagar, Vijayawada. Krishna Dist-520007 (Andhra Pradesh)</t>
  </si>
  <si>
    <t>03.11.2018</t>
  </si>
  <si>
    <t xml:space="preserve">Central Board of 
Indirect Taxes &amp; 
Customs, New Delhi. </t>
  </si>
  <si>
    <t>03.11.2021.</t>
  </si>
  <si>
    <t xml:space="preserve">(Rs.5,97,246/- p.m. (including GST)) </t>
  </si>
  <si>
    <t>Rs.43.78 per sq. feet</t>
  </si>
  <si>
    <t>Machilipatnam
CGST Range</t>
  </si>
  <si>
    <t>D.No.24-63, 1st Floor, Opp.Ganganamma Temple,Ramanaidupet, Machilipatnam-521001, Krishna Dist (Andhra Pradesh).</t>
  </si>
  <si>
    <t>27.07.2018</t>
  </si>
  <si>
    <t>27.07.2021.</t>
  </si>
  <si>
    <t>(Rs.24,780/- p.m. (including GST))</t>
  </si>
  <si>
    <t>Rs.17.98 per sq.ft</t>
  </si>
  <si>
    <t>Gudivada CGST 
Range</t>
  </si>
  <si>
    <t>D.No.4/277, 278, 279, ANR Complex, Ganganamma Street, Gudivada-521301. Krishna Dist (Andhra Pradesh)</t>
  </si>
  <si>
    <t>01.10.2021.</t>
  </si>
  <si>
    <t>(Rs.37,500/- p.m.)</t>
  </si>
  <si>
    <t>Rs.25/-per sq.feet</t>
  </si>
  <si>
    <t>Hanuman Junction
 CGST Range</t>
  </si>
  <si>
    <t>D.No.4-124/1, Besides B.S.N.L
 Office, K.S.Talkies Road,
Hanuman Junction-521105, 
Krishna Dist. (Andhra Pradesh)</t>
  </si>
  <si>
    <t>01.06.2021.</t>
  </si>
  <si>
    <t>(Rs.40,883/- p.m. (including GST))</t>
  </si>
  <si>
    <t>Rs.18.40/- per sq feet</t>
  </si>
  <si>
    <t>Amaravathi CGST 
Division</t>
  </si>
  <si>
    <t>Jaggaiahpeta
CGST Range</t>
  </si>
  <si>
    <t>6-1173/A, opp. Mithra Honda Showroom,Kodada Road, Jaggaiahpet - 521175.</t>
  </si>
  <si>
    <t xml:space="preserve">(Rs.17,980/- p.m. (including GST)) </t>
  </si>
  <si>
    <t>Rs. 12.50/-  per sq. meters</t>
  </si>
  <si>
    <t>Tenali CGST Range</t>
  </si>
  <si>
    <t xml:space="preserve">D.No19-15-47, 3rd Floor,Opp. Saibaba Temple, Bose Road, Tenali -52220, </t>
  </si>
  <si>
    <t>08.02.2018</t>
  </si>
  <si>
    <t>(Rs.46,851/- p.m. (including GST))</t>
  </si>
  <si>
    <t>Rs.39.48  per sq.meters</t>
  </si>
  <si>
    <t>Tirupati/ Anantapur Division</t>
  </si>
  <si>
    <t>Tadipatri GST Range</t>
  </si>
  <si>
    <t>D.No.15/1247, Ground Floor, 2nd Road, Sanjeev Nagar, Tadipatri</t>
  </si>
  <si>
    <t>01.01.2016/Hqrs Office, Tirupati C.No.1/11/1/2009-Admn dated 30.06.2016</t>
  </si>
  <si>
    <t>Commissioner of Central Tax, GST Commissionerate, Tirupati</t>
  </si>
  <si>
    <t>HDP 1&amp; 2 GST Ranges</t>
  </si>
  <si>
    <t>H.No.5-4-10/b&amp;d, Naneppa Nagar, Lepakshi Road, Hindupur</t>
  </si>
  <si>
    <t>18.04.2016/Hqrs Office, Tirupati C.NO.1/11/0112004-Admn dated 5.4.2016</t>
  </si>
  <si>
    <t>18.4.2021</t>
  </si>
  <si>
    <t>Tirupati/
Kadapa Division</t>
  </si>
  <si>
    <t>O/o the Assistant Commissioner, CGST, Divisional Office, Kadapa and O/o the Superintendent of Central Tax, Kadapa CGST Range Office, Kadapa</t>
  </si>
  <si>
    <t>D.No.1-343, 2nd Floor, City Plaza Commercial Centre, Opp.: District Court, R.T.C.Bus Stand Road, Kadapa</t>
  </si>
  <si>
    <t>01.11.2018 Sanction intimated through Hqrs. Letter vide C.No.I/11/06/2017-Admn. Dated 02.04.2019.</t>
  </si>
  <si>
    <t>3 Years (01.11.2018 to 31.10.2021)</t>
  </si>
  <si>
    <t>Rs.1,39,364/-</t>
  </si>
  <si>
    <t>O/o the Superintendent of Central Tax, Proddatur CGST I Range, Proddatur &amp;  O/o the Superintendent of Central Tax, Proddatur CGST II Range, Proddatur, YSR Kadapa Dist.</t>
  </si>
  <si>
    <t>D.No.3/916, YMR Colony, Proddatur, Kadapa District.</t>
  </si>
  <si>
    <t>01.06.2017 to 31.05.2020</t>
  </si>
  <si>
    <t>Rs.24000/-</t>
  </si>
  <si>
    <t>O/o the Superintendent of Central Tax, Rajampet CGST Range Office, Rajampet, YSR Kadapa Dist.</t>
  </si>
  <si>
    <t>D.No.8/40-D, Beside Mannur Police Station, Rajampet, YSR Kadapa Dist.</t>
  </si>
  <si>
    <t>08.09.2017 Sanction intimated through Hqrs. Office Letter vide C.No.I/11/02/2017-Admn. Dated 01.09.2017.</t>
  </si>
  <si>
    <t>08.09.2017 to 31.08.2020</t>
  </si>
  <si>
    <t>Rs.14250/-</t>
  </si>
  <si>
    <t>TIRUPATI, Tirupati Division</t>
  </si>
  <si>
    <t>Official/For housing of Divisional Office, Tirupati-I/II Ranges/Service Tax Range Offices</t>
  </si>
  <si>
    <t xml:space="preserve"> Hiring from 11.09.2019 &amp;C.No.I/II/06/2003-Admn dated 27.02.2020</t>
  </si>
  <si>
    <t xml:space="preserve">Commissioner of Central Tax, GST Commissionerate, Tirupati  </t>
  </si>
  <si>
    <t>10.09.2024</t>
  </si>
  <si>
    <t>1,00,338/-</t>
  </si>
  <si>
    <t>Hiring from 17.04.2017, C.No.I/II/04/2006-Admn dated 28.03.2018 of Hqrs.office</t>
  </si>
  <si>
    <t>16.04.2022</t>
  </si>
  <si>
    <t>19,560/-</t>
  </si>
  <si>
    <t>Official/For housing of Sri Kalahasti Range Office</t>
  </si>
  <si>
    <t>Hired from 16.08.2016 C.No.I/11/7/2003-Admn dated 05.01.2017  of Hqrs.office</t>
  </si>
  <si>
    <t>15.08.2021</t>
  </si>
  <si>
    <t>10,500/-</t>
  </si>
  <si>
    <t>Official/For housing of Puttur Range office</t>
  </si>
  <si>
    <t>D.No.1-325/19A, 6th street, Lakshimi Nagar Colony, Puttur-517 583</t>
  </si>
  <si>
    <t>Hired from 07.10.2015, C.No.I/11/5/2006-Admn dated 05.01.2017</t>
  </si>
  <si>
    <t>06.10.2020</t>
  </si>
  <si>
    <t>Madanapalle Range</t>
  </si>
  <si>
    <t>D.No.17-91-6-19, Right porton of gfirst floor, Rajiv nagar, Madanapalle, Chittoor(Dist)</t>
  </si>
  <si>
    <t>Hired from 24.07.2019, C.No.I/11/03/2017-Admn dated 10.02.2020of  Hqrs.office</t>
  </si>
  <si>
    <t>23.07.2022</t>
  </si>
  <si>
    <t>Tirupati/ Hqrs Office</t>
  </si>
  <si>
    <t>Heaquarters Office, Tirupati CGST Commissionerate</t>
  </si>
  <si>
    <t>9/86-A, Amaravathi Nagar, West Church Compund, M.R Palli, Tirupati.</t>
  </si>
  <si>
    <t>Hired on 16.09.2014
vide Order No.27/2014 dated 16.09.2014</t>
  </si>
  <si>
    <t>Board has raised certain queries and the reply for the same is under preparation.</t>
  </si>
  <si>
    <t>NCB Unit, Tirumala</t>
  </si>
  <si>
    <t>ANC, 411 E &amp; F, Tirumala.</t>
  </si>
  <si>
    <t>27/2014 dated 16.09.2014</t>
  </si>
  <si>
    <t xml:space="preserve"> Customs Commissionerate</t>
  </si>
  <si>
    <t>Office of the Commissioner of Cusotms</t>
  </si>
  <si>
    <t>Office of the Commissioner of Customs (Preventive), Door No.55-17-3, C-14, 2nd floor, near CGO Complex, Industrial Estate, Autonagar, Vijayawada-520007.
(O/o the Commissioner of Customs (Preventive), Vijayawada  (Hqrs.))</t>
  </si>
  <si>
    <t>1523.98</t>
  </si>
  <si>
    <t>C.No.I/11/04/2018-Admn 31.01.2019</t>
  </si>
  <si>
    <t>30-06-2021</t>
  </si>
  <si>
    <t>C.No.I/11/03/2018-Admn 29.04.2019</t>
  </si>
  <si>
    <t>Office of theDeputy/ Assistant Commissioner of Customs</t>
  </si>
  <si>
    <t>Office of theDeputy/ Assistant Commissioner of Customs, Customs Preventive Division, ONGOLE, Door No. 37-07-349, Trunk Road, Miriyalapalem, Ongole, Prakasam Dist. A.P-523 001
(1)Office of the  Deputy/ Assistant Commissioner of Customs, Customs Preventive Division, ONGOLE.                                      2) Office of the Superintendent of Customs, SGCP Unit,Ongole.)</t>
  </si>
  <si>
    <t>21.12.2015 , C.No.I/11/2/2014-Admn. , 05.07.2018</t>
  </si>
  <si>
    <t>15.12.2020</t>
  </si>
  <si>
    <t>Office of the Superintendent of Customs</t>
  </si>
  <si>
    <t>Office of the Superintendent of Customs,  SGCP UNIT, NELLORE, Flat G-1, Jwala enclave,Door No. 24-1-1667,24-1-1833 New, Dargamitta,Nellore, SPS Nellore District, Nellore.
(Office of the Superintendent of  Customs, SGCP Unit, NELLORE)</t>
  </si>
  <si>
    <t>01.07.2015 , C.No. I/4/2/2015-Admn. , 05.11.2019</t>
  </si>
  <si>
    <t>Office of the Superintendet of Customs,</t>
  </si>
  <si>
    <t>Office of the Superintendet of Customs, , SGCP UNIT, Narasapur, Door No. 5-9-5, Nehru Bazar, Narasapuram, W.G.Dist. Pin Code: 534275
(Office of the Superintendent of  Customs,   SGCP UNIT, Narasapur.)</t>
  </si>
  <si>
    <t>01.04.2015 , C.No. I/04/05/2015-Admn., , 22.03.2018</t>
  </si>
  <si>
    <t>5000</t>
  </si>
  <si>
    <t>Office of the Superintendent of Customs, SGCP UNIT, 1st Foor, Plot No. 61, Visakha 'B' coloney, Chapuram Panchayat, Balaga rural, Srikakulam. 
(Office of the   Superintendent  of Customs, SGCP Unit, Srikakulam. )</t>
  </si>
  <si>
    <t>01.05.2015 , C.No.I/4/07/15-Admn , 13.02.2019</t>
  </si>
  <si>
    <t>30-04-2021</t>
  </si>
  <si>
    <t xml:space="preserve">Office of the Deputy / Assistant Commissioner of Customs, </t>
  </si>
  <si>
    <t>Office of the Deputy / Assistant Commissioner of Customs, Customs Preventive Division, Kakinada, Door No. 70-3-48/4, A-B-C-, Vaidya Nagar, Ramanayyapeta, Kakinada.
(1. Office of the Deputy / Assistant Commissioner of Customs, Customs Preventive Division, Kakinada, 2. Office of the Superintendent of Customs, SGCP Unit, Kakinada)</t>
  </si>
  <si>
    <t>286.14</t>
  </si>
  <si>
    <t>10.08.2015 , C. No. I/11/2/2014-Admn , 21-08-2018</t>
  </si>
  <si>
    <t>Office of the Deputy / Assistant Commissioner of Customs,</t>
  </si>
  <si>
    <t>Office of the Deputy / Assistant Commissioner of Customs, Customs Preventive Division, Visakhapatnam Savitha Edifice, Door No. 10-1-42/A, Waltair uplands, Visakhapatnam.
(1. Office of the Deputy / Assistant Commissioner of Customs, Customs Preventive Division, Visakhapatnam, 2. Office of the Superintendent of Customs, SGCP Unit, Visakahapatnam)</t>
  </si>
  <si>
    <t>01.10.2015 , C. No. I/11/01/2014-Admn ,14. 11.2018</t>
  </si>
  <si>
    <t>30-09-2021</t>
  </si>
  <si>
    <t>Office of the Deputy / Assistant Commissioner of Customs, Customs Preventive Division,D.No. 15-30/4, 3rd &amp; 4th Floor, srinivasa Towers, Opp Padmavathi Mahila University, Padmavathinagar, Tirupati</t>
  </si>
  <si>
    <t>C.No. I/11/01/2014-admn dt 26.11.2018</t>
  </si>
  <si>
    <t>5yrs</t>
  </si>
  <si>
    <t>GUNTUR CGST AUDIT COMMISSIONERATE, VISAKHAPATNAM</t>
  </si>
  <si>
    <t>GUNTUR AUDIT CIRCLE</t>
  </si>
  <si>
    <t>3rd Floor, Annapurna Complex, Mangalagiri Road, Near Bust stand Guntur 522001</t>
  </si>
  <si>
    <t xml:space="preserve">01.02.2018  vide C.No.I/22/04/2017-Admin dt. 22.01.2018 </t>
  </si>
  <si>
    <t>NELLORE AUDIT CIRCLE</t>
  </si>
  <si>
    <t>2nd Floor, Aditi Crystal, Near Madras Bus stand, Nellore 524003</t>
  </si>
  <si>
    <t>01.10.2019 vide C.No. I/4/01/2015-Admin dt. 01.01.2020</t>
  </si>
  <si>
    <t>Appeals Commissionerate, Guntur</t>
  </si>
  <si>
    <t>Office of the Commissioner of Customs &amp; Central GST (Appeals)</t>
  </si>
  <si>
    <t>D.No.3-30-15, Ring Road, Guntur - 522 006</t>
  </si>
  <si>
    <t>1,44,159/-(exluding GST)
1,70,107/-(including GST)</t>
  </si>
  <si>
    <t>Rs.29/-+GST</t>
  </si>
  <si>
    <t>Annexure D: Residential Quarters</t>
  </si>
  <si>
    <t>Total built- up area      
(in sq. mtrs.)</t>
  </si>
  <si>
    <t>4. BUBANESHWAR CGST ZONE</t>
  </si>
  <si>
    <t>6. CHENNAI  CGST ZONE</t>
  </si>
  <si>
    <t>Annexure C: Residential Quarters</t>
  </si>
  <si>
    <t>Purchase*/ Construction Cost      
(Rs.in crores)</t>
  </si>
  <si>
    <t>Central Excise staff quarters, Kankanady B Village behind Capitanio School</t>
  </si>
  <si>
    <t>Land procured on 19/06/1997, Constructed in 07/03/2005</t>
  </si>
  <si>
    <t>Customs colony Kaju Bagh, M.G.Road, Karwar</t>
  </si>
  <si>
    <t>3156 Sq Feet(Closed Area)</t>
  </si>
  <si>
    <t>2nd Floor C.R Building, Navanagar Hubli-580025</t>
  </si>
  <si>
    <t>337.05Sq.Mtrs</t>
  </si>
  <si>
    <t>Government Building. The land aquired/ office Building constructed by Income Tax department 2/3rd portion has been occupied by Income Tax 1/3rd portion has been occupied by Central Tax ,GST.</t>
  </si>
  <si>
    <t>Behind TV Station, Kapanoor Village Gulbarga.</t>
  </si>
  <si>
    <t>27.02.1987</t>
  </si>
  <si>
    <t>NRI/Lake View Colony, Koh-e-Fiza, Bhopal</t>
  </si>
  <si>
    <t>33000 per sq. mtr</t>
  </si>
  <si>
    <t>HIG-510, E-7, Arera Colony, Bhopal</t>
  </si>
  <si>
    <t>50000 per sq. mtr</t>
  </si>
  <si>
    <t>Income Tax &amp; Central Excise Colony, Bharat Nagar, Shahpura, Bhopal</t>
  </si>
  <si>
    <t>35000 per sq. mtr</t>
  </si>
  <si>
    <t>Income Tax Colony, Kotra Sultanabad, Bhopal</t>
  </si>
  <si>
    <t>33000 per sq. Mtr</t>
  </si>
  <si>
    <t>MIG Qtrs. Saraswati Nagar, Jawahar Chowk, Bhopal</t>
  </si>
  <si>
    <t>24000 per sq. Mtr</t>
  </si>
  <si>
    <t>LIG Qtrs. Saraswati Nagar, Jawahar Chowk, Bhopal</t>
  </si>
  <si>
    <t>EWS Qtrs. Saraswati Nagar, Jawahar Chowk, Bhopal</t>
  </si>
  <si>
    <t>Sector 4-A, BDA Colony, Saket Nagar, Bhopal</t>
  </si>
  <si>
    <t>01.09.1999</t>
  </si>
  <si>
    <t>32000 per sq. Mtr</t>
  </si>
  <si>
    <t>BDA Ccomplex, Sector 9-A, Saket Nagar, Bhopal</t>
  </si>
  <si>
    <t>09.08.1996</t>
  </si>
  <si>
    <t>Ajanta Complex, BDA Colony, Indrapuri, Bhopal</t>
  </si>
  <si>
    <t>08.08.1996</t>
  </si>
  <si>
    <t>25000 per sq. Mtr</t>
  </si>
  <si>
    <t>LIG Qtrs. Old Subhash Nagar</t>
  </si>
  <si>
    <t>9500 per sq. Mtr</t>
  </si>
  <si>
    <t>5, Civil Lines, Central Excise Colony, Sagar</t>
  </si>
  <si>
    <t>2800 per sq. Mtr</t>
  </si>
  <si>
    <t>CGST Ujjain</t>
  </si>
  <si>
    <t>TYPE-III=02 TYPE-IV=00  TYPE-V=00</t>
  </si>
  <si>
    <t>3*</t>
  </si>
  <si>
    <t>15**</t>
  </si>
  <si>
    <t>01.04.1986</t>
  </si>
  <si>
    <t>HIG-I-87, Deen Dayal Dham, Padra, Rewa - M.P.</t>
  </si>
  <si>
    <t>HIG-II-43, Deen Dayal Dham, Padra, Rewa - M.P.</t>
  </si>
  <si>
    <t>HIG-II-115, Deen Dayal Dham, Padra, Rewa - M.P. - 486001</t>
  </si>
  <si>
    <t>HIG-II- 45, Deen Dayal Dham, Padra, Rewa - M.P.</t>
  </si>
  <si>
    <t>HIG-II-44, Deen Dayal Dham, Padra, Rewa, M.P. - 486001</t>
  </si>
  <si>
    <t>MIG - 303, Chirahula, Rewa, M.P. - 486001</t>
  </si>
  <si>
    <t>5/1/1998</t>
  </si>
  <si>
    <t>Deorikhurd Housing Board Colony, Bilaspur</t>
  </si>
  <si>
    <t>9/1/1995</t>
  </si>
  <si>
    <t>Allotted to Shri Rajeev Ranjan, Superintendent, Range-II, Rewa</t>
  </si>
  <si>
    <t>4 type III available quarters are owned by department and in abandoned  condition and requiring repairing/renovation</t>
  </si>
  <si>
    <t>01 type II available quarters are owned by department and in abandoned  condition and requiring repairing/renovation</t>
  </si>
  <si>
    <t>C.R. Colony, Rajaswa Vihar, Bhubneswar - 751007.</t>
  </si>
  <si>
    <t>B-1/1, Unit-IX,Bhubaneswar</t>
  </si>
  <si>
    <t>estate owner  income tax</t>
  </si>
  <si>
    <t>Property under income tax</t>
  </si>
  <si>
    <t xml:space="preserve">GST &amp; Central Excise Colony, Ashoka Talkies Road, Rayagada. </t>
  </si>
  <si>
    <t>26.08.2001</t>
  </si>
  <si>
    <t>26.08.2002</t>
  </si>
  <si>
    <t>GST Coommissionerate, Chandigarh</t>
  </si>
  <si>
    <t>Custom &amp; Central Excise Colony, Sector 37/C, Chandigarhd-160036</t>
  </si>
  <si>
    <t>1990,      1990,       1990,       1990</t>
  </si>
  <si>
    <t>7.06 Cr.</t>
  </si>
  <si>
    <t>94.47 Cr.</t>
  </si>
  <si>
    <t>Annual Service Charges            Rs. 2,67990/- + Ground Rend Rs.1,72,040/-</t>
  </si>
  <si>
    <t>Jalandhar</t>
  </si>
  <si>
    <t>Guru Hargobind Nagar, Phagwara</t>
  </si>
  <si>
    <t>______</t>
  </si>
  <si>
    <t>Income Tax Colony, Tagore Nagar, Ludhiana (141001)</t>
  </si>
  <si>
    <t>NA (The data not available in this office)</t>
  </si>
  <si>
    <t>2.37 (Including  office built-up area)</t>
  </si>
  <si>
    <t>20.06.2014</t>
  </si>
  <si>
    <t>0.89 Cr (Construction Cost)</t>
  </si>
  <si>
    <t>CGST Comm'rate Shimla</t>
  </si>
  <si>
    <t>Block No. 24, Sector-3, New Shimla - 171009</t>
  </si>
  <si>
    <t>Approx 57 sqm per flat</t>
  </si>
  <si>
    <t>02.02.1998</t>
  </si>
  <si>
    <t>Rs. 1,16,60,423/-  &amp; enhanced land compansation Rs. 4,12,286/-</t>
  </si>
  <si>
    <t>Rs. 12072709/-</t>
  </si>
  <si>
    <t xml:space="preserve">Block No. 42, Sector-2, New Shimla </t>
  </si>
  <si>
    <t>54.47 sqm per flat</t>
  </si>
  <si>
    <t>Block No. 50, Sector-IV, New Shimla</t>
  </si>
  <si>
    <t>47.23 sqm per flat</t>
  </si>
  <si>
    <t>Block No. 52, Sector-IV, New Shimla</t>
  </si>
  <si>
    <t>Block No. 43, Sector-IV, New Shimla</t>
  </si>
  <si>
    <t>Block No. 49, Sector-IV, New Shimla</t>
  </si>
  <si>
    <t xml:space="preserve">Block No. 53, Sector-IV, New Shimla </t>
  </si>
  <si>
    <t xml:space="preserve">Block No. 16, Phase-III, Below BCS New Shimla </t>
  </si>
  <si>
    <t xml:space="preserve">Approx 80 sqm </t>
  </si>
  <si>
    <t>16.10.2003</t>
  </si>
  <si>
    <t>Rs. 92,28,870/-  &amp; enhanced land compansation Rs. 210329/-</t>
  </si>
  <si>
    <t>Rs. 9439199/-</t>
  </si>
  <si>
    <t>Block No. 32, Sector-3, New Shimla</t>
  </si>
  <si>
    <t>Approx 80 sqm per flat</t>
  </si>
  <si>
    <t>Current circle rate is not available at present, however this office has requested to The Executive Engineer, CPWD to provide the current circle rates vide this office letters dated 09.09.2019, 17.09.2019 &amp; 24.04.2020 which is still awaited.</t>
  </si>
  <si>
    <t>As per report dated 14.11.2014 of the CPWD, the value of the residential building after depreciation was Rs.0.6510344 crore only.</t>
  </si>
  <si>
    <t>Chandigarh</t>
  </si>
  <si>
    <t>Ludhiana</t>
  </si>
  <si>
    <t>Ropar</t>
  </si>
  <si>
    <t>Patiala</t>
  </si>
  <si>
    <t>Shimla</t>
  </si>
  <si>
    <t>Total</t>
  </si>
  <si>
    <t xml:space="preserve">Chennai North </t>
  </si>
  <si>
    <t>208 (UDS land) 360 (4 Flats)</t>
  </si>
  <si>
    <t>5731.93 (Plinth area) 90 flats</t>
  </si>
  <si>
    <t>2055.04 (Plinth Area of 32 flats)</t>
  </si>
  <si>
    <t>13770 Sq. mt</t>
  </si>
  <si>
    <t>SHARADHAKRUPA  APARTMENTS, Raju Naidu Street, Sivananda Colony, Coimbatore - 641 012</t>
  </si>
  <si>
    <t>984.77 Sq.Mt</t>
  </si>
  <si>
    <t>Ready built flats were purchased from M/s.Ramani Realtors(P) Ltd., Coimbatore.  Handed over on 31.07.1998</t>
  </si>
  <si>
    <t>Rs. 15000/- per month for 10 quarters</t>
  </si>
  <si>
    <t>419 Sq.Mt</t>
  </si>
  <si>
    <t>Rs. 7500/- per month for 3 quarters</t>
  </si>
  <si>
    <t>160.26 Sq.Mt</t>
  </si>
  <si>
    <t>Rs. 2295/- per month for 1 quarter</t>
  </si>
  <si>
    <t>Coimbatore (Pollachi Division)</t>
  </si>
  <si>
    <t>3035 Sq. Mt</t>
  </si>
  <si>
    <t>13.08.1993</t>
  </si>
  <si>
    <t>Quarters were constructed by the CPWD and handed over to the department on 13.08.1993 for Pollachi Division.</t>
  </si>
  <si>
    <t>Customs and Central Excise Group 'A' Officers' Residential Quarters, No.1. Williams Road, Cantonment, Tiruchirapalli-620001.</t>
  </si>
  <si>
    <t>1874 Sqr. Mtr</t>
  </si>
  <si>
    <t>Gr 'A' Officers quarters construction  cost of Rs. 0.67 Crore</t>
  </si>
  <si>
    <t>Rs. 2.49 crores</t>
  </si>
  <si>
    <t>Buildings are being maintained by CPWD from their funds</t>
  </si>
  <si>
    <t>GST &amp; C Ex, Staff Quarters Pratiyur Village, Near Koraiyar River, Sakthi Nagar, Karumandapam, Trichy 620 001</t>
  </si>
  <si>
    <t>9125 Sqr mtr</t>
  </si>
  <si>
    <t>Staff  residential quarters construction cost of Rs.4.91 Crores</t>
  </si>
  <si>
    <t>Rs. 13.92 crores</t>
  </si>
  <si>
    <t xml:space="preserve">Not Applicable    </t>
  </si>
  <si>
    <t>No. 374/2A, Ponnagar, Medical College Road, Thanjavur- 613 007</t>
  </si>
  <si>
    <t>3907 Sqr mt</t>
  </si>
  <si>
    <t>Staff  residential quarters construction cost of Rs.1.50 Crores</t>
  </si>
  <si>
    <t>Rs .6.42 crores</t>
  </si>
  <si>
    <t xml:space="preserve">Acquired 1996 </t>
  </si>
  <si>
    <t>constructed during 2000</t>
  </si>
  <si>
    <t>Meenambalpuram,                      Kulamangalam Main Road Madurai - 625 002</t>
  </si>
  <si>
    <t>1990/1992</t>
  </si>
  <si>
    <t>30.04.2005</t>
  </si>
  <si>
    <t>02.04.87</t>
  </si>
  <si>
    <t>February, 2002</t>
  </si>
  <si>
    <t xml:space="preserve">2.14/2.22 </t>
  </si>
  <si>
    <t>7.79 Cr.</t>
  </si>
  <si>
    <t>3492(Plinth area - 5140)</t>
  </si>
  <si>
    <t>11.06.2003</t>
  </si>
  <si>
    <t>4.479 crore</t>
  </si>
  <si>
    <t>2070 Sq.Mtrs.</t>
  </si>
  <si>
    <t>Office of the Deputy Commissioner of GST &amp; C.Excise, Hosur I Division, Thally Road, Hosur-635 109, Krishnagiri district</t>
  </si>
  <si>
    <t>License fee collected - Rs.18490/- for the quarters allotted</t>
  </si>
  <si>
    <t>O/o the AC of GST &amp; C.Ex, 67/A,SIPCOT Industrial Complex, Hosur II Divn, Hosur-635126</t>
  </si>
  <si>
    <t>Central Excise, Quarters, Phase-I Sathuvachari-632009</t>
  </si>
  <si>
    <t>(1 cent =Rs.490/) 1 Acre =4046.82 Sq.mtr+Rs.</t>
  </si>
  <si>
    <t>05.10.1994</t>
  </si>
  <si>
    <t>1+1</t>
  </si>
  <si>
    <t>One type V is converted in to Transit Guest House.</t>
  </si>
  <si>
    <t>2 Nos of type II quarters converted in guest House</t>
  </si>
  <si>
    <t>Balance Qtrs. (Available less habitable) were demolished for ongoing new construction projects of Dept. Qtrs.</t>
  </si>
  <si>
    <t>Shipra Tower, Vaishali Ghaziabad</t>
  </si>
  <si>
    <t>52.19</t>
  </si>
  <si>
    <t xml:space="preserve"> 03/1998</t>
  </si>
  <si>
    <t>4.81</t>
  </si>
  <si>
    <t>RS.42,59,640</t>
  </si>
  <si>
    <t>Kaveri Tower, Vaishali Ghaziabad</t>
  </si>
  <si>
    <t>89.65</t>
  </si>
  <si>
    <t xml:space="preserve"> 03/1996</t>
  </si>
  <si>
    <t>4.09</t>
  </si>
  <si>
    <t>Nil , Since under complete demolition.</t>
  </si>
  <si>
    <t>Prasad Nagar, New Delhi</t>
  </si>
  <si>
    <t>67.16</t>
  </si>
  <si>
    <t xml:space="preserve"> 11/1977</t>
  </si>
  <si>
    <t>0.24</t>
  </si>
  <si>
    <t>Kalkaji DDA FLATS, L-II Block</t>
  </si>
  <si>
    <t>32.77</t>
  </si>
  <si>
    <t>1.06</t>
  </si>
  <si>
    <t>Mayapuri, DDA MIG Flats, A-Block, (Opp. Metal Forging)</t>
  </si>
  <si>
    <t>74.17</t>
  </si>
  <si>
    <t>0.4</t>
  </si>
  <si>
    <t>Asian Games Village, Hawa Singh Block, Khel Gaon</t>
  </si>
  <si>
    <t xml:space="preserve"> 08/1988</t>
  </si>
  <si>
    <t>0.96</t>
  </si>
  <si>
    <t>Vasant kunj, Pocket C-6</t>
  </si>
  <si>
    <t>79.99</t>
  </si>
  <si>
    <t xml:space="preserve"> July, 2003</t>
  </si>
  <si>
    <t>1.107</t>
  </si>
  <si>
    <t>Vasant kunj, Pocket C-9</t>
  </si>
  <si>
    <t>86.97</t>
  </si>
  <si>
    <t>1.204</t>
  </si>
  <si>
    <t>Sheikh Sarai, DDA SFS Flats, Block "F"</t>
  </si>
  <si>
    <t>1.255</t>
  </si>
  <si>
    <t>CGST &amp; CX, Kolkata Zone</t>
  </si>
  <si>
    <t>Kolkata North</t>
  </si>
  <si>
    <t>City Center, sub block- A/A-4, Kalyani, Nadia, W. B.</t>
  </si>
  <si>
    <t>24.11.2010</t>
  </si>
  <si>
    <t>0.08 Cr.</t>
  </si>
  <si>
    <t>Not Ascertained</t>
  </si>
  <si>
    <t>180, Shantipally, Rajdanga Main Road,  Kolkata 700107</t>
  </si>
  <si>
    <t>3.79 acre</t>
  </si>
  <si>
    <t>0.86 Crore</t>
  </si>
  <si>
    <t>99 Years</t>
  </si>
  <si>
    <t>Customs &amp; Central Excise Residential Cpomplex, Sector-III, GE Block, Salt Lake Kolkata</t>
  </si>
  <si>
    <t>Probably 1972</t>
  </si>
  <si>
    <t>1.4096 Cr</t>
  </si>
  <si>
    <t>Bolpur</t>
  </si>
  <si>
    <t>Banjetia, PO- Cossimbazar-Raj near Berhampore, Dist.- Murshidabad, West Bengal-742102</t>
  </si>
  <si>
    <t>8093.71 sq.m  or 02 acres</t>
  </si>
  <si>
    <t>16.09.1998</t>
  </si>
  <si>
    <t>Yes, Very recently a proposal dated 02.09.2020 forwarded to DGHRD for a/a and e/s.</t>
  </si>
  <si>
    <t>Construction not started Yet.</t>
  </si>
  <si>
    <t>Persuasion of the deptt to construct office building is in process.</t>
  </si>
  <si>
    <t>Satyajit Roy Sarani, City Centre, Durgapur-713216</t>
  </si>
  <si>
    <t>1985-86</t>
  </si>
  <si>
    <t>1.47 Cr</t>
  </si>
  <si>
    <t>7, Ispatpally, Bidhannagar, Durgapur- 713212</t>
  </si>
  <si>
    <t>07.12.1990</t>
  </si>
  <si>
    <t>HUDCO, Bidhannagar, Durgapur-713212</t>
  </si>
  <si>
    <t>Office of the Commissioner of Central GST and Excise, Nanoor Chandidas Road, Sian, Bolpur     Dist. - Birbhum  PIN- 731204</t>
  </si>
  <si>
    <t>Office of the Deputy/ Assistant Commissioner of Central GST and Excise, Asansol - I &amp; II Sen Raleigh Road, Kumarpur More, PO- R.K Mission Campus, Asansol (W.B)  Dist. - Bardhaman PIN- 713305</t>
  </si>
  <si>
    <t>12.08.1988</t>
  </si>
  <si>
    <t>1.39 Cr (Approx)            Rs. 13929820/-</t>
  </si>
  <si>
    <t>3.71(Cost includes land value also as flats were purchased outrightly)</t>
  </si>
  <si>
    <t>8.15 (Excluding Land Cost)</t>
  </si>
  <si>
    <t>Maintained by CPWD where in charges submitted vide Preliminary Estimates for each year is not same. For the FY 2020-21 maintenance charges are Rs.16,45,900/-</t>
  </si>
  <si>
    <t>3 Acres and 5 Guntas (land area) 18157.48 Sq,Mtrs (Plinth Area of the Quarters)</t>
  </si>
  <si>
    <t>Rs.7.49 Crores</t>
  </si>
  <si>
    <t>30.00 approximately (only land value)</t>
  </si>
  <si>
    <t>Rs. 1,84,880/-
payment towards Security Service charges at the property</t>
  </si>
  <si>
    <t>Sept, 1999</t>
  </si>
  <si>
    <t>20.07.2010</t>
  </si>
  <si>
    <t>Customs &amp; Central Excise Colony, Sector-7, Vidhyadhar Nagar, Jaipur - 302023 
One type V Qtrs. is converted into Deptt. Guest House</t>
  </si>
  <si>
    <t xml:space="preserve">JLN Marg Officers Residential Colony, Jaipur -302017
One type VI Qtrs. Is damaged. </t>
  </si>
  <si>
    <t>Rajasthan Housing Board Complex, Gol Market, Jawahar Nagar, Jaipur- 302004 
Two type IV Qtrs. are converted into Deptt. Guest House.</t>
  </si>
  <si>
    <t>Udaipur Commissionerate</t>
  </si>
  <si>
    <t>1. Office of the Principal Commissioner of Central Tax, GST Comm'te, Bengaluru East       
2. Office of the Commissioner of Central Tax and Cex, Appeals-I</t>
  </si>
  <si>
    <t>15.9.21</t>
  </si>
  <si>
    <t>28/08/2015 to 27/08/2018</t>
  </si>
  <si>
    <t>Bengaluru CGST Zone</t>
  </si>
  <si>
    <t xml:space="preserve">Hq North Commissionerate, ND-8 &amp; ND-9 </t>
  </si>
  <si>
    <t>1240725 + 223330        
=1464055</t>
  </si>
  <si>
    <t xml:space="preserve">ND-1 &amp; ND-3 
3rd 4th &amp; 5th Floor </t>
  </si>
  <si>
    <t>Opp. Mallige Hospital Crescent Road, Bangalore</t>
  </si>
  <si>
    <t>a) REMT/18/2016-17-sanction from F.NO 924/97/Hiring/DGCEI/Bangalore/HRD/15 dated 11-08-2016 &amp; 
b) Head of Department</t>
  </si>
  <si>
    <t>Office of the Commissioner of Central Excise and Central Tax</t>
  </si>
  <si>
    <t>Office of the Assistant Commissioner of Central Excise and Central Tax and South Division</t>
  </si>
  <si>
    <r>
      <t>B-ZONE, BUISNESS SPACE, 3</t>
    </r>
    <r>
      <rPr>
        <vertAlign val="superscript"/>
        <sz val="11"/>
        <color theme="1"/>
        <rFont val="Times New Roman"/>
        <family val="1"/>
      </rPr>
      <t>RD</t>
    </r>
    <r>
      <rPr>
        <sz val="11"/>
        <color theme="1"/>
        <rFont val="Times New Roman"/>
        <family val="1"/>
      </rPr>
      <t xml:space="preserve"> FLOOR, 12/2/7 &amp; 12/2/8 VILLAGE PIPLIAKUMR , NIPANIA, INDORE – 452010(M.P.)</t>
    </r>
  </si>
  <si>
    <t>GST &amp; CX Bhubaneshwar Commissionerate</t>
  </si>
  <si>
    <t>CGST Ludhiana.</t>
  </si>
  <si>
    <t>No. 64, Alegasan Nagar,  Chengelpet-603001</t>
  </si>
  <si>
    <t>Hyderabad GST</t>
  </si>
  <si>
    <t xml:space="preserve"> Office of the Commissioner,Secunderabad GST Commissionerate.</t>
  </si>
  <si>
    <t xml:space="preserve"> Office of the Commissioner,Medchal GST Commissionerate.</t>
  </si>
  <si>
    <t xml:space="preserve"> Rangareddy GST</t>
  </si>
  <si>
    <t>Hyderabad Audit - I</t>
  </si>
  <si>
    <t>Karimnagar Division</t>
  </si>
  <si>
    <r>
      <rPr>
        <sz val="11"/>
        <color indexed="8"/>
        <rFont val="Times New Roman"/>
        <family val="1"/>
      </rPr>
      <t>Partly lease (Ground Floor) Commence from 15.11.2017, lease for complete premises 15.01.2018 and on account of owner change of the premises the lease shall commence on 08.03.2019</t>
    </r>
    <r>
      <rPr>
        <sz val="11"/>
        <rFont val="Times New Roman"/>
        <family val="1"/>
      </rPr>
      <t xml:space="preserve"> /IV(6) 74/AE/JPR/2017/1145 dated 12.10.2017</t>
    </r>
  </si>
  <si>
    <t>01.07.17 
(I-4(04)Admn/UDR/2017/7938 dt.23.06.2017)</t>
  </si>
  <si>
    <t>Office of Deputy/Asst. Commissioner, CGST Audit Circle, Bhilwada</t>
  </si>
  <si>
    <t>Office of Deputy/Asstt. Commissioner, CGST Audit Circle, Udaipur</t>
  </si>
  <si>
    <t xml:space="preserve">01.04.2010
Sanction Order under F.No.  I(11)13/84/Admn673
Dated 04/02/2019
</t>
  </si>
  <si>
    <t>CGST &amp; CX, Nagpur-II</t>
  </si>
  <si>
    <t xml:space="preserve">AEM(N)/13(109)/2017/CB dated 16.08.2017 for the allotted space 648.38 Sq. Mtr and 2) AEM(N)/13(109)/2017/CB dated 08.11.2017 for the additional allotted space 190.45 Sq. Mtr </t>
  </si>
  <si>
    <r>
      <t>1</t>
    </r>
    <r>
      <rPr>
        <vertAlign val="superscript"/>
        <sz val="11"/>
        <color theme="1"/>
        <rFont val="Times New Roman"/>
        <family val="1"/>
      </rPr>
      <t>st</t>
    </r>
    <r>
      <rPr>
        <sz val="11"/>
        <color theme="1"/>
        <rFont val="Times New Roman"/>
        <family val="1"/>
      </rPr>
      <t xml:space="preserve"> Floor IDC Administration Building, Kundaim Indl. Estate, Kundaim, Goa-403115.</t>
    </r>
  </si>
  <si>
    <r>
      <t>2</t>
    </r>
    <r>
      <rPr>
        <vertAlign val="superscript"/>
        <sz val="11"/>
        <color theme="1"/>
        <rFont val="Times New Roman"/>
        <family val="1"/>
      </rPr>
      <t>nd</t>
    </r>
    <r>
      <rPr>
        <sz val="11"/>
        <color theme="1"/>
        <rFont val="Times New Roman"/>
        <family val="1"/>
      </rPr>
      <t xml:space="preserve"> floor, Dadaji Mansion, Ponda, Goa-403401</t>
    </r>
  </si>
  <si>
    <r>
      <t>Blessing Pioneer Commercial Complex, 4</t>
    </r>
    <r>
      <rPr>
        <vertAlign val="superscript"/>
        <sz val="11"/>
        <color theme="1"/>
        <rFont val="Times New Roman"/>
        <family val="1"/>
      </rPr>
      <t>th</t>
    </r>
    <r>
      <rPr>
        <sz val="11"/>
        <color theme="1"/>
        <rFont val="Times New Roman"/>
        <family val="1"/>
      </rPr>
      <t xml:space="preserve"> Floor, Opposite District &amp; Session Court, Salcete Margao, Goa-403601</t>
    </r>
  </si>
  <si>
    <t>As per the Lease Agreement Total Carpet Area is 3000 Sq Feet and Monthly Rent Rate is Rs. 134.50/- per Sq Feet which are converted to Sq Meters accordingly</t>
  </si>
  <si>
    <t>1.Patna (Central) Divisional Office 
2.Kotwali Range. 
3.Kadam Kuan Range
4. Kankarbag Range 
5. Gandhi Maidan Range
6. S.K. Puri Range</t>
  </si>
  <si>
    <t>1.Patna East Divisional Office
2. Patnacity Range
3. Deedargnaj Range</t>
  </si>
  <si>
    <r>
      <t xml:space="preserve"> Office of the Superintendent Central GST &amp; CEx Ramgarh Range I, II, III &amp; IV Offic 3</t>
    </r>
    <r>
      <rPr>
        <vertAlign val="superscript"/>
        <sz val="11"/>
        <color theme="1"/>
        <rFont val="Times New Roman"/>
        <family val="1"/>
      </rPr>
      <t>rd</t>
    </r>
    <r>
      <rPr>
        <sz val="11"/>
        <color theme="1"/>
        <rFont val="Times New Roman"/>
        <family val="1"/>
      </rPr>
      <t xml:space="preserve"> Floor,Trinity Commercial, N.H. 33 (Old), PO- Marar, Ramgarh - 829117</t>
    </r>
  </si>
  <si>
    <r>
      <t xml:space="preserve"> 3</t>
    </r>
    <r>
      <rPr>
        <vertAlign val="superscript"/>
        <sz val="11"/>
        <color theme="1"/>
        <rFont val="Times New Roman"/>
        <family val="1"/>
      </rPr>
      <t>rd</t>
    </r>
    <r>
      <rPr>
        <sz val="11"/>
        <color theme="1"/>
        <rFont val="Times New Roman"/>
        <family val="1"/>
      </rPr>
      <t xml:space="preserve"> Floor,Trinity Commercial, N.H. 33 (Old),PO- Marar, Ramgarh - 829117</t>
    </r>
  </si>
  <si>
    <t xml:space="preserve">Office of the Commissioner, Central Goods &amp; Service Tax &amp; CX Appeals Ranchi, 2nd &amp; 3rd Floor, Grand Emerald Building, Ashok Nagar, Ranchi-834002
</t>
  </si>
  <si>
    <t>16 months</t>
  </si>
  <si>
    <t>11038.26 sq.ft. of plinth area/8317.04 sq. ft. area in r/o 2nd &amp; 3rd floor of office building</t>
  </si>
  <si>
    <t>The President of India ( Copy Enclosed )</t>
  </si>
  <si>
    <t>1687 sq.ft.</t>
  </si>
  <si>
    <t xml:space="preserve">2,14,994/-
( Exclusive of Taxes Applicable ) </t>
  </si>
  <si>
    <t>21,509/-
( Inclusive of Taxes Applicable )</t>
  </si>
  <si>
    <t>01.12.2015
F.No. 924/32/Hiring/Patna/HRD/14 dated 17.11.2015</t>
  </si>
  <si>
    <t>CGST Katihar Range</t>
  </si>
  <si>
    <t xml:space="preserve">1. Patna(West) Divisional Office
2. Danapur Range
3. Phulwari Sarif </t>
  </si>
  <si>
    <t>CCE, PATNA-II</t>
  </si>
  <si>
    <t>Thiruvananthapuram (TVM) CGST Zone</t>
  </si>
  <si>
    <t>South Division Thiruvananthapuram
Pappanamcode Range
Thiruvallam Range
Chalai Range
Statue Range</t>
  </si>
  <si>
    <t>03.04.2013 to 02.04.2018</t>
  </si>
  <si>
    <t>14.01.2019 to 13.01.2022</t>
  </si>
  <si>
    <t>Commissioner of Customs (Prev), Cochin</t>
  </si>
  <si>
    <t>Commissionerate Headquarters Office and Customs (Prev.) Division Cochin</t>
  </si>
  <si>
    <r>
      <t>1st Floor Udyog Bhavan , 66 KVA Road, Amli, Silvassa</t>
    </r>
    <r>
      <rPr>
        <vertAlign val="superscript"/>
        <sz val="11"/>
        <color theme="1"/>
        <rFont val="Times New Roman"/>
        <family val="1"/>
      </rPr>
      <t xml:space="preserve">   </t>
    </r>
  </si>
  <si>
    <t>2nd Floor, Om Plaza, Dharampur Road Abrama, Valsad-396002</t>
  </si>
  <si>
    <t>102,  Kailash Tower, Kastury Pari Co-op Housing Society, Opp. Madresa High School, Sataji Road, Navasari-396445</t>
  </si>
  <si>
    <t>Office No. 1 to 5, First Floor, Tulip Residency, Nursery Road, Bilimora-396321</t>
  </si>
  <si>
    <t>Pooja Park, Bhilad, Umbergaon, Dist. Valsad-396105</t>
  </si>
  <si>
    <t>606.04
(Carpet Area)
+
218.17
(Parking Area)</t>
  </si>
  <si>
    <t>5 years 5 months</t>
  </si>
  <si>
    <t>5 years 4 months</t>
  </si>
  <si>
    <t>1 year 6 months</t>
  </si>
  <si>
    <t>4 years 8 months</t>
  </si>
  <si>
    <r>
      <t>2</t>
    </r>
    <r>
      <rPr>
        <vertAlign val="superscript"/>
        <sz val="11"/>
        <color rgb="FF000000"/>
        <rFont val="Times New Roman"/>
        <family val="1"/>
      </rPr>
      <t>nd</t>
    </r>
    <r>
      <rPr>
        <sz val="11"/>
        <color rgb="FF000000"/>
        <rFont val="Times New Roman"/>
        <family val="1"/>
      </rPr>
      <t xml:space="preserve"> Floor, D.No.4-20-28, Venkataramana Complex, LIC Road, Chirala.</t>
    </r>
  </si>
  <si>
    <r>
      <t>3</t>
    </r>
    <r>
      <rPr>
        <vertAlign val="superscript"/>
        <sz val="11"/>
        <color rgb="FF000000"/>
        <rFont val="Times New Roman"/>
        <family val="1"/>
      </rPr>
      <t>rd</t>
    </r>
    <r>
      <rPr>
        <sz val="11"/>
        <color rgb="FF000000"/>
        <rFont val="Times New Roman"/>
        <family val="1"/>
      </rPr>
      <t xml:space="preserve"> Floor, D.No.7-310, Opp. LIC building, Cumbum Road, Markapur.</t>
    </r>
  </si>
  <si>
    <t>D.No.15-30/4, Padmavathi Nagar, Mahila University Road Tirupati-517 502</t>
  </si>
  <si>
    <t>Official/For housing of Chittoor-I/ II Range Offices</t>
  </si>
  <si>
    <t>D.No.24/71-1, Lakshimi Nagar Colony, Chittoor-517 001</t>
  </si>
  <si>
    <t>D.No.17-594, Ground Floor, Panagal, Near Railway Station, Sri Kalahasti-517 640</t>
  </si>
  <si>
    <t>* In case of buildings constructed on plots of land  mentioned under Annexure A4, if it is not possible to provide separate values for office &amp; residential quarters, combined value may be provided in Annexure B only  and appropriate remarks may be given in  Annexure C.</t>
  </si>
  <si>
    <t># In case the residential building is a heritage building; allotted by/shared with Income Tax Deptt.; used for different purpose (other than residential) information may be provided under this column in addition to other relevant details.</t>
  </si>
  <si>
    <t>TYPE-I = 03
TYPE-II =03
TYPE-III =20
TYPE-IV =01</t>
  </si>
  <si>
    <t>TYPE-III=18
TYPE-IV=04
TYPE-V=01</t>
  </si>
  <si>
    <t>Mangaluru</t>
  </si>
  <si>
    <t>Karwar</t>
  </si>
  <si>
    <t>Belagavi</t>
  </si>
  <si>
    <t>Belagavi (Nipani)</t>
  </si>
  <si>
    <t>Belagavi (Gulbarga)</t>
  </si>
  <si>
    <t>Belagavi
 (Hubli)</t>
  </si>
  <si>
    <t>Commissionerate 
(Custodian/ Estate Manager)</t>
  </si>
  <si>
    <t>Rourkela Commissionerate 
(O/o- the Asst. Commissioner, CX &amp; CGST, Sambalpur-I Dvn  under CX &amp; CGST, Rourkela Comm'te.)</t>
  </si>
  <si>
    <t>Customs (Prev.) Commissionrate, Bhubaneswar 
(Paradeep Customs Division)</t>
  </si>
  <si>
    <t>Urban Estate Phase-III Opp. All India Radio Station Patiala</t>
  </si>
  <si>
    <t>Kalpatharu Apartments,  Sampandam Road, R.S.Puram, Coimbatore - 641 002</t>
  </si>
  <si>
    <t>Central Excise Quarters, Vedhandri Maharisi Road, Jothinagar D Colony, Pollachi - 642 001</t>
  </si>
  <si>
    <t>Sudharsanam Apartments, East Ponnurangam Street,  R.S.Puram, Coimbatore - 641 002</t>
  </si>
  <si>
    <t>Salem</t>
  </si>
  <si>
    <t>1995 - 20 Nos.
1999 - 28 Nos.</t>
  </si>
  <si>
    <t>60 lakhs</t>
  </si>
  <si>
    <t>Secunderabad</t>
  </si>
  <si>
    <t>GST &amp; CE Commissionerate, Udaipur</t>
  </si>
  <si>
    <t>19.03.2001</t>
  </si>
  <si>
    <t xml:space="preserve">Rs 53399550/- Approx </t>
  </si>
  <si>
    <t>CGST Division E, Near BSNL Office, RIICO Colony, Behror-301701</t>
  </si>
  <si>
    <t>1200 sq. m</t>
  </si>
  <si>
    <t>6000 sq. m.</t>
  </si>
  <si>
    <t>CGST &amp; CX (HQ) Alwar</t>
  </si>
  <si>
    <t>CGST Div.-C, Bhiwadi</t>
  </si>
  <si>
    <t>CGST Div.-E, Behror</t>
  </si>
  <si>
    <t>CGST Div.-G, Sikar</t>
  </si>
  <si>
    <t>CGST Div.-F, Bharatpur
All quarter condemn.</t>
  </si>
  <si>
    <t>CGST Alwar</t>
  </si>
  <si>
    <t xml:space="preserve">CGST Residential Colony, D-684-687 Ambaji Ind. Area,Abu Road PIN-307 026, Distt. Sirohi (Rajasthan) </t>
  </si>
  <si>
    <t>04.04.1995</t>
  </si>
  <si>
    <t>Jodhpur Commissionerate</t>
  </si>
  <si>
    <t>Audit, Jodhpur</t>
  </si>
  <si>
    <t xml:space="preserve">Vidhyadhar Nagar, Jaipur </t>
  </si>
  <si>
    <t xml:space="preserve">JLN Marg Officers Jaipur </t>
  </si>
  <si>
    <t>Panchsheel Nagar, Makarwali Road, Ajmer</t>
  </si>
  <si>
    <t>Rajasthan Housing Board Complex, Gol Market, Jawahar Nagar, Jaipur</t>
  </si>
  <si>
    <t>Audit Jodhpur</t>
  </si>
  <si>
    <t>CGST &amp; CX Zone Lucknow</t>
  </si>
  <si>
    <t xml:space="preserve">CGST &amp; CX Commissionerate Lucknow </t>
  </si>
  <si>
    <t>Kasmanda Regent Appartment--02 ,Park Road, Luckno</t>
  </si>
  <si>
    <t>21.07.1997</t>
  </si>
  <si>
    <t>Rs.1,17,26,261/-</t>
  </si>
  <si>
    <t>Income Tax Colony, Wazir Hasan Road, Lucknow</t>
  </si>
  <si>
    <t>CGST &amp; CX Commissionerate Kanpur</t>
  </si>
  <si>
    <t>Income Tax Colony Laxman Bagh, Khalasi Line, Kanpur-208002</t>
  </si>
  <si>
    <t xml:space="preserve">      1971-72          1977-78     </t>
  </si>
  <si>
    <t>Central Excise Colony, Ranjeet Nagar, Kanpur-208005</t>
  </si>
  <si>
    <t xml:space="preserve">1961-62           1971-72                 </t>
  </si>
  <si>
    <t>Central Excise and Customs Colony, Gujaini, Kanpur</t>
  </si>
  <si>
    <t>1996-97</t>
  </si>
  <si>
    <t>Income Tax  Colony, Tilak Nagar, Kanpur-208002</t>
  </si>
  <si>
    <t>CGST Divission Farrukhabad at Civil lines Fatehgarh.  209601</t>
  </si>
  <si>
    <t>0.478   (including cost of construction office accomodation at the time of constructions)</t>
  </si>
  <si>
    <t>CGST &amp; CXCommissionerate Allahabad</t>
  </si>
  <si>
    <t>Income Tax Colony, Patrika Marg ,Civil lines, Allahabad-211001</t>
  </si>
  <si>
    <t>Central Excise Colony Vaishali, Sector-15 Sikandra, Agra</t>
  </si>
  <si>
    <t>CGST Commissionerate Varanasi</t>
  </si>
  <si>
    <t>Mavaiya, sarnath, Varanasi</t>
  </si>
  <si>
    <t>CGST Lucknow</t>
  </si>
  <si>
    <t>CGST Kanpur</t>
  </si>
  <si>
    <t>CGST Allahabad</t>
  </si>
  <si>
    <t xml:space="preserve">CGST Agra </t>
  </si>
  <si>
    <t xml:space="preserve">CGST Kanpur
There are 21 quarters in possession of Income Tax 
</t>
  </si>
  <si>
    <t xml:space="preserve">CGST Allahabad
Type I,II,&amp; III are under possesion of Income Tax Office, Allahabad </t>
  </si>
  <si>
    <t>1. B-14, Himgiri Apartment, Sector-34, Noida, PIN-201301 2. B-03, Arawali Apartment, Sector-34, Noida, PIN-201301 3. B-10, Udaygiri Apartment, Sector-34, Noida, PIN-201301</t>
  </si>
  <si>
    <t>30.12.1993</t>
  </si>
  <si>
    <t>In Disreputable Condition, could not ascertained from state authority</t>
  </si>
  <si>
    <t>Houe Tax And water tax are paid as fixed charge</t>
  </si>
  <si>
    <t>E-Block Nehru Colony, Haridwar Road, Dehradun</t>
  </si>
  <si>
    <t>E-18 to 23, Nehru Colony, Haridwar Road, Dehradun</t>
  </si>
  <si>
    <t>D-101, Nehru Colony, Haridwar Road, Dehradun</t>
  </si>
  <si>
    <t>Roorkee Divisional office, Avas Vikas Colony, Near BSNL Telephone Exchange, Roorkee</t>
  </si>
  <si>
    <t>Central Excise Colony, Behind H.P.O. Rampur</t>
  </si>
  <si>
    <t>Year 1988</t>
  </si>
  <si>
    <t>Rs. 8000/- per sq mtr (as on 09/2017)</t>
  </si>
  <si>
    <t>Avvas Vikas Colony, Near Hari Mandir, Delhi Road, Saharanpur, U.P.-247001</t>
  </si>
  <si>
    <t>4160 Sq. metre</t>
  </si>
  <si>
    <t>59500/- per Sq. metre</t>
  </si>
  <si>
    <t>35000/- per sq. metre</t>
  </si>
  <si>
    <t>Central Ex., Residential Colony, Budhi Vihar, Delhi Road, Awas Vikas, Moradabad</t>
  </si>
  <si>
    <t>Near Tibrinath Mandir bareilly 243001</t>
  </si>
  <si>
    <t>(08)Type-III Departmental Quarter at CBD Belapur Building No.C6 Sector-5 , Navi Mumbai</t>
  </si>
  <si>
    <t>As applicable, The data is not available with this office.</t>
  </si>
  <si>
    <t>(05) Type-IV Departmental Quarter at CBD Belapur Building No.C6 Sector-5 , Navi Mumbai</t>
  </si>
  <si>
    <t>(13) Type-I Departmental quarters at Kalamboli Sector-3E &amp; 5E, Navi Mumbai</t>
  </si>
  <si>
    <t>(16) Type-III Departmental quarters at Kalamboli Sector-3E &amp; 5E, Navi Mumbai</t>
  </si>
  <si>
    <t>(04) Type-IV Departmental quarters at Kalamboli Sector-3E &amp; 5E, Navi Mumbai</t>
  </si>
  <si>
    <t>(24) Type-III Departmental quarters at New Panvel Sector-17, Navi Mumbai</t>
  </si>
  <si>
    <t>(04) Type-IV Departmental quarters at New Panvel Sector-18, Navi Mumbai</t>
  </si>
  <si>
    <t>BMC Property tax (07)receipt  of Current date are available.</t>
  </si>
  <si>
    <t>CGST and Central Ex Mumbai Central Commissionerate</t>
  </si>
  <si>
    <r>
      <rPr>
        <b/>
        <sz val="11"/>
        <color theme="1"/>
        <rFont val="Times New Roman"/>
        <family val="1"/>
      </rPr>
      <t xml:space="preserve">S. No. 21 </t>
    </r>
    <r>
      <rPr>
        <sz val="11"/>
        <color theme="1"/>
        <rFont val="Times New Roman"/>
        <family val="1"/>
      </rPr>
      <t xml:space="preserve">of entry   in Ann.A1 &amp;  A3. </t>
    </r>
  </si>
  <si>
    <r>
      <rPr>
        <b/>
        <sz val="11"/>
        <rFont val="Times New Roman"/>
        <family val="1"/>
      </rPr>
      <t xml:space="preserve">S. No.1 </t>
    </r>
    <r>
      <rPr>
        <sz val="11"/>
        <rFont val="Times New Roman"/>
        <family val="1"/>
      </rPr>
      <t>of entry   in Ann.  A4 .</t>
    </r>
  </si>
  <si>
    <r>
      <rPr>
        <b/>
        <sz val="11"/>
        <color theme="1"/>
        <rFont val="Times New Roman"/>
        <family val="1"/>
      </rPr>
      <t xml:space="preserve">S. No. 22 </t>
    </r>
    <r>
      <rPr>
        <sz val="11"/>
        <color theme="1"/>
        <rFont val="Times New Roman"/>
        <family val="1"/>
      </rPr>
      <t xml:space="preserve">of entry   in Ann.A1 &amp;  A3. </t>
    </r>
  </si>
  <si>
    <r>
      <rPr>
        <b/>
        <sz val="11"/>
        <rFont val="Times New Roman"/>
        <family val="1"/>
      </rPr>
      <t xml:space="preserve">S. No.2 </t>
    </r>
    <r>
      <rPr>
        <sz val="11"/>
        <rFont val="Times New Roman"/>
        <family val="1"/>
      </rPr>
      <t>of entry   in Ann.  A4 .</t>
    </r>
  </si>
  <si>
    <r>
      <rPr>
        <b/>
        <sz val="11"/>
        <color theme="1"/>
        <rFont val="Times New Roman"/>
        <family val="1"/>
      </rPr>
      <t xml:space="preserve">S. No.  23 </t>
    </r>
    <r>
      <rPr>
        <sz val="11"/>
        <color theme="1"/>
        <rFont val="Times New Roman"/>
        <family val="1"/>
      </rPr>
      <t xml:space="preserve">of entry   in Ann.A1 &amp;  A3. </t>
    </r>
  </si>
  <si>
    <r>
      <rPr>
        <b/>
        <sz val="11"/>
        <rFont val="Times New Roman"/>
        <family val="1"/>
      </rPr>
      <t xml:space="preserve">S. No.3 </t>
    </r>
    <r>
      <rPr>
        <sz val="11"/>
        <rFont val="Times New Roman"/>
        <family val="1"/>
      </rPr>
      <t>of entry   in Ann.  A4 .</t>
    </r>
  </si>
  <si>
    <r>
      <rPr>
        <b/>
        <sz val="11"/>
        <color theme="1"/>
        <rFont val="Times New Roman"/>
        <family val="1"/>
      </rPr>
      <t xml:space="preserve">S. No. 24 </t>
    </r>
    <r>
      <rPr>
        <sz val="11"/>
        <color theme="1"/>
        <rFont val="Times New Roman"/>
        <family val="1"/>
      </rPr>
      <t xml:space="preserve">of entry   in Ann.A1 &amp;  A3. </t>
    </r>
  </si>
  <si>
    <r>
      <rPr>
        <b/>
        <sz val="11"/>
        <rFont val="Times New Roman"/>
        <family val="1"/>
      </rPr>
      <t xml:space="preserve">S. No.4 </t>
    </r>
    <r>
      <rPr>
        <sz val="11"/>
        <rFont val="Times New Roman"/>
        <family val="1"/>
      </rPr>
      <t>of entry   in Ann.  A4 .</t>
    </r>
  </si>
  <si>
    <r>
      <rPr>
        <b/>
        <sz val="11"/>
        <color theme="1"/>
        <rFont val="Times New Roman"/>
        <family val="1"/>
      </rPr>
      <t xml:space="preserve">S. No.  25 </t>
    </r>
    <r>
      <rPr>
        <sz val="11"/>
        <color theme="1"/>
        <rFont val="Times New Roman"/>
        <family val="1"/>
      </rPr>
      <t xml:space="preserve">of entry   in Ann.A1 &amp;  A3. </t>
    </r>
  </si>
  <si>
    <r>
      <rPr>
        <b/>
        <sz val="11"/>
        <rFont val="Times New Roman"/>
        <family val="1"/>
      </rPr>
      <t xml:space="preserve">S. No.5 </t>
    </r>
    <r>
      <rPr>
        <sz val="11"/>
        <rFont val="Times New Roman"/>
        <family val="1"/>
      </rPr>
      <t>of entry   in Ann.  A4 .</t>
    </r>
  </si>
  <si>
    <r>
      <rPr>
        <b/>
        <sz val="11"/>
        <color theme="1"/>
        <rFont val="Times New Roman"/>
        <family val="1"/>
      </rPr>
      <t xml:space="preserve">S. No.26 </t>
    </r>
    <r>
      <rPr>
        <sz val="11"/>
        <color theme="1"/>
        <rFont val="Times New Roman"/>
        <family val="1"/>
      </rPr>
      <t xml:space="preserve">of entry   in Ann.A1 &amp;  A3. </t>
    </r>
  </si>
  <si>
    <r>
      <rPr>
        <b/>
        <sz val="11"/>
        <rFont val="Times New Roman"/>
        <family val="1"/>
      </rPr>
      <t xml:space="preserve">S. No.6 </t>
    </r>
    <r>
      <rPr>
        <sz val="11"/>
        <rFont val="Times New Roman"/>
        <family val="1"/>
      </rPr>
      <t>of entry   in Ann.  A4 .</t>
    </r>
  </si>
  <si>
    <r>
      <rPr>
        <b/>
        <sz val="11"/>
        <color theme="1"/>
        <rFont val="Times New Roman"/>
        <family val="1"/>
      </rPr>
      <t xml:space="preserve">S. No.  27 </t>
    </r>
    <r>
      <rPr>
        <sz val="11"/>
        <color theme="1"/>
        <rFont val="Times New Roman"/>
        <family val="1"/>
      </rPr>
      <t xml:space="preserve">of entry   in Ann.A1 &amp;  A3. </t>
    </r>
  </si>
  <si>
    <r>
      <rPr>
        <b/>
        <sz val="11"/>
        <rFont val="Times New Roman"/>
        <family val="1"/>
      </rPr>
      <t xml:space="preserve">S. No.7 </t>
    </r>
    <r>
      <rPr>
        <sz val="11"/>
        <rFont val="Times New Roman"/>
        <family val="1"/>
      </rPr>
      <t>of entry   in Ann.  A4 .</t>
    </r>
  </si>
  <si>
    <r>
      <rPr>
        <b/>
        <sz val="11"/>
        <color theme="1"/>
        <rFont val="Times New Roman"/>
        <family val="1"/>
      </rPr>
      <t xml:space="preserve">S. No.28 </t>
    </r>
    <r>
      <rPr>
        <sz val="11"/>
        <color theme="1"/>
        <rFont val="Times New Roman"/>
        <family val="1"/>
      </rPr>
      <t xml:space="preserve">of entry   in Ann.A1 &amp;  A3. </t>
    </r>
  </si>
  <si>
    <r>
      <rPr>
        <b/>
        <sz val="11"/>
        <rFont val="Times New Roman"/>
        <family val="1"/>
      </rPr>
      <t xml:space="preserve">S. No.8 </t>
    </r>
    <r>
      <rPr>
        <sz val="11"/>
        <rFont val="Times New Roman"/>
        <family val="1"/>
      </rPr>
      <t>of entry   in Ann.  A4 .</t>
    </r>
  </si>
  <si>
    <r>
      <rPr>
        <b/>
        <sz val="11"/>
        <color theme="1"/>
        <rFont val="Times New Roman"/>
        <family val="1"/>
      </rPr>
      <t xml:space="preserve">S. No.  29 </t>
    </r>
    <r>
      <rPr>
        <sz val="11"/>
        <color theme="1"/>
        <rFont val="Times New Roman"/>
        <family val="1"/>
      </rPr>
      <t xml:space="preserve">of entry   in Ann.A1 &amp;  A3. </t>
    </r>
  </si>
  <si>
    <r>
      <rPr>
        <b/>
        <sz val="11"/>
        <rFont val="Times New Roman"/>
        <family val="1"/>
      </rPr>
      <t xml:space="preserve">S. No.9 </t>
    </r>
    <r>
      <rPr>
        <sz val="11"/>
        <rFont val="Times New Roman"/>
        <family val="1"/>
      </rPr>
      <t>of entry   in Ann.  A4 .</t>
    </r>
  </si>
  <si>
    <r>
      <rPr>
        <b/>
        <sz val="11"/>
        <color theme="1"/>
        <rFont val="Times New Roman"/>
        <family val="1"/>
      </rPr>
      <t xml:space="preserve">S. No.  30 </t>
    </r>
    <r>
      <rPr>
        <sz val="11"/>
        <color theme="1"/>
        <rFont val="Times New Roman"/>
        <family val="1"/>
      </rPr>
      <t xml:space="preserve">of entry   in Ann.A1 &amp;  A3. </t>
    </r>
  </si>
  <si>
    <r>
      <rPr>
        <b/>
        <sz val="11"/>
        <rFont val="Times New Roman"/>
        <family val="1"/>
      </rPr>
      <t>S. No.10</t>
    </r>
    <r>
      <rPr>
        <sz val="11"/>
        <rFont val="Times New Roman"/>
        <family val="1"/>
      </rPr>
      <t>of entry   in Ann.  A4 .</t>
    </r>
  </si>
  <si>
    <r>
      <rPr>
        <b/>
        <sz val="11"/>
        <color theme="1"/>
        <rFont val="Times New Roman"/>
        <family val="1"/>
      </rPr>
      <t xml:space="preserve">S. No.  31 </t>
    </r>
    <r>
      <rPr>
        <sz val="11"/>
        <color theme="1"/>
        <rFont val="Times New Roman"/>
        <family val="1"/>
      </rPr>
      <t xml:space="preserve">of entry   in Ann.A1 &amp;  A3. </t>
    </r>
  </si>
  <si>
    <r>
      <rPr>
        <b/>
        <sz val="11"/>
        <rFont val="Times New Roman"/>
        <family val="1"/>
      </rPr>
      <t xml:space="preserve">S. No.11  </t>
    </r>
    <r>
      <rPr>
        <sz val="11"/>
        <rFont val="Times New Roman"/>
        <family val="1"/>
      </rPr>
      <t>of entry   in Ann.  A4 .</t>
    </r>
  </si>
  <si>
    <r>
      <rPr>
        <b/>
        <sz val="11"/>
        <color theme="1"/>
        <rFont val="Times New Roman"/>
        <family val="1"/>
      </rPr>
      <t xml:space="preserve">S. No.  32 </t>
    </r>
    <r>
      <rPr>
        <sz val="11"/>
        <color theme="1"/>
        <rFont val="Times New Roman"/>
        <family val="1"/>
      </rPr>
      <t xml:space="preserve">of entry   in Ann.A1 &amp;  A3. </t>
    </r>
  </si>
  <si>
    <r>
      <rPr>
        <b/>
        <sz val="11"/>
        <rFont val="Times New Roman"/>
        <family val="1"/>
      </rPr>
      <t xml:space="preserve">S. No.12 </t>
    </r>
    <r>
      <rPr>
        <sz val="11"/>
        <rFont val="Times New Roman"/>
        <family val="1"/>
      </rPr>
      <t>of entry   in Ann.  A4 .</t>
    </r>
  </si>
  <si>
    <r>
      <rPr>
        <b/>
        <sz val="11"/>
        <color theme="1"/>
        <rFont val="Times New Roman"/>
        <family val="1"/>
      </rPr>
      <t xml:space="preserve">S. No.  33 </t>
    </r>
    <r>
      <rPr>
        <sz val="11"/>
        <color theme="1"/>
        <rFont val="Times New Roman"/>
        <family val="1"/>
      </rPr>
      <t xml:space="preserve">of entry   in Ann.A1 &amp;  A3. </t>
    </r>
  </si>
  <si>
    <r>
      <rPr>
        <b/>
        <sz val="11"/>
        <rFont val="Times New Roman"/>
        <family val="1"/>
      </rPr>
      <t xml:space="preserve">S. No.13 </t>
    </r>
    <r>
      <rPr>
        <sz val="11"/>
        <rFont val="Times New Roman"/>
        <family val="1"/>
      </rPr>
      <t>of entry   in Ann.  A4 .</t>
    </r>
  </si>
  <si>
    <r>
      <rPr>
        <b/>
        <sz val="11"/>
        <color theme="1"/>
        <rFont val="Times New Roman"/>
        <family val="1"/>
      </rPr>
      <t xml:space="preserve">S. No.  34 </t>
    </r>
    <r>
      <rPr>
        <sz val="11"/>
        <color theme="1"/>
        <rFont val="Times New Roman"/>
        <family val="1"/>
      </rPr>
      <t xml:space="preserve">of entry   in Ann.A1 &amp;  A3. </t>
    </r>
  </si>
  <si>
    <r>
      <rPr>
        <b/>
        <sz val="11"/>
        <rFont val="Times New Roman"/>
        <family val="1"/>
      </rPr>
      <t xml:space="preserve">S. No.14 </t>
    </r>
    <r>
      <rPr>
        <sz val="11"/>
        <rFont val="Times New Roman"/>
        <family val="1"/>
      </rPr>
      <t>of entry   in Ann.  A4 .</t>
    </r>
  </si>
  <si>
    <r>
      <rPr>
        <b/>
        <sz val="11"/>
        <color theme="1"/>
        <rFont val="Times New Roman"/>
        <family val="1"/>
      </rPr>
      <t xml:space="preserve">S. No. 35 </t>
    </r>
    <r>
      <rPr>
        <sz val="11"/>
        <color theme="1"/>
        <rFont val="Times New Roman"/>
        <family val="1"/>
      </rPr>
      <t xml:space="preserve">of entry   in Ann.A1 &amp;  A3. </t>
    </r>
  </si>
  <si>
    <r>
      <rPr>
        <b/>
        <sz val="11"/>
        <rFont val="Times New Roman"/>
        <family val="1"/>
      </rPr>
      <t xml:space="preserve">S. No.15 </t>
    </r>
    <r>
      <rPr>
        <sz val="11"/>
        <rFont val="Times New Roman"/>
        <family val="1"/>
      </rPr>
      <t>of entry   in Ann.  A4 .</t>
    </r>
  </si>
  <si>
    <r>
      <rPr>
        <b/>
        <sz val="11"/>
        <color theme="1"/>
        <rFont val="Times New Roman"/>
        <family val="1"/>
      </rPr>
      <t xml:space="preserve">S. No.  36 </t>
    </r>
    <r>
      <rPr>
        <sz val="11"/>
        <color theme="1"/>
        <rFont val="Times New Roman"/>
        <family val="1"/>
      </rPr>
      <t xml:space="preserve">of entry   in Ann.A1 &amp;  A3. </t>
    </r>
  </si>
  <si>
    <r>
      <rPr>
        <b/>
        <sz val="11"/>
        <rFont val="Times New Roman"/>
        <family val="1"/>
      </rPr>
      <t xml:space="preserve">S. No.16 </t>
    </r>
    <r>
      <rPr>
        <sz val="11"/>
        <rFont val="Times New Roman"/>
        <family val="1"/>
      </rPr>
      <t>of entry   in Ann.  A4 .</t>
    </r>
  </si>
  <si>
    <r>
      <rPr>
        <b/>
        <sz val="11"/>
        <color theme="1"/>
        <rFont val="Times New Roman"/>
        <family val="1"/>
      </rPr>
      <t xml:space="preserve">S. No.  37 </t>
    </r>
    <r>
      <rPr>
        <sz val="11"/>
        <color theme="1"/>
        <rFont val="Times New Roman"/>
        <family val="1"/>
      </rPr>
      <t xml:space="preserve">of entry   in Ann.A1 &amp;  A3. </t>
    </r>
  </si>
  <si>
    <r>
      <rPr>
        <b/>
        <sz val="11"/>
        <rFont val="Times New Roman"/>
        <family val="1"/>
      </rPr>
      <t xml:space="preserve">S. No.17 </t>
    </r>
    <r>
      <rPr>
        <sz val="11"/>
        <rFont val="Times New Roman"/>
        <family val="1"/>
      </rPr>
      <t>of entry   in Ann.  A4 .</t>
    </r>
  </si>
  <si>
    <r>
      <rPr>
        <b/>
        <sz val="11"/>
        <color theme="1"/>
        <rFont val="Times New Roman"/>
        <family val="1"/>
      </rPr>
      <t xml:space="preserve">S. No.  38 </t>
    </r>
    <r>
      <rPr>
        <sz val="11"/>
        <color theme="1"/>
        <rFont val="Times New Roman"/>
        <family val="1"/>
      </rPr>
      <t xml:space="preserve">of entry   in Ann.A1 &amp;  A3. </t>
    </r>
  </si>
  <si>
    <r>
      <rPr>
        <b/>
        <sz val="11"/>
        <rFont val="Times New Roman"/>
        <family val="1"/>
      </rPr>
      <t xml:space="preserve">S. No.18 </t>
    </r>
    <r>
      <rPr>
        <sz val="11"/>
        <rFont val="Times New Roman"/>
        <family val="1"/>
      </rPr>
      <t>of entry   in Ann.  A4 .</t>
    </r>
  </si>
  <si>
    <r>
      <rPr>
        <b/>
        <sz val="11"/>
        <color theme="1"/>
        <rFont val="Times New Roman"/>
        <family val="1"/>
      </rPr>
      <t xml:space="preserve">S. No.  39 </t>
    </r>
    <r>
      <rPr>
        <sz val="11"/>
        <color theme="1"/>
        <rFont val="Times New Roman"/>
        <family val="1"/>
      </rPr>
      <t xml:space="preserve">of entry   in Ann.A1 &amp;  A3. </t>
    </r>
  </si>
  <si>
    <r>
      <rPr>
        <b/>
        <sz val="11"/>
        <rFont val="Times New Roman"/>
        <family val="1"/>
      </rPr>
      <t xml:space="preserve">S. No.19 </t>
    </r>
    <r>
      <rPr>
        <sz val="11"/>
        <rFont val="Times New Roman"/>
        <family val="1"/>
      </rPr>
      <t>of entry   in Ann.  A4 .</t>
    </r>
  </si>
  <si>
    <t>All these departmental quarters are 33 years old. Most of the quarters are in dilapidated condition. The work of structural audit of these quarters will be intiated soon by CPWD through IIT Bombay.</t>
  </si>
  <si>
    <t>Nagpur Zone</t>
  </si>
  <si>
    <t>31.03.2003 (Date of acquisition)</t>
  </si>
  <si>
    <t>Central Excise Chandrapur, Jagannath Baba Nagar, Datala Road, Chandarpur</t>
  </si>
  <si>
    <t>March 1998 (Date of acquisition)</t>
  </si>
  <si>
    <t>Cost of Construction Rs. 1.84 Crores + Cost of purchase Rs. 4,20,000/- Total = 1.88 crores</t>
  </si>
  <si>
    <t>Rs. 9.39 Crores (Approx.)</t>
  </si>
  <si>
    <t>Amravati-444604</t>
  </si>
  <si>
    <t>3246Sqm</t>
  </si>
  <si>
    <t>23.04.1992</t>
  </si>
  <si>
    <t>2.32crore</t>
  </si>
  <si>
    <t>Central Excise Staff Colony, Survey No.925 Ashwin Sector, Sahyadri Nagar, CIDCO, Nashik-422008 (MH)</t>
  </si>
  <si>
    <t xml:space="preserve">7000 Sq Mtrs </t>
  </si>
  <si>
    <t>Jan.1990</t>
  </si>
  <si>
    <t>Total Cost is Rs.16.03 Cr (Rs.22,900/-per sq.mtr )</t>
  </si>
  <si>
    <t xml:space="preserve">Service Charges of Municipal Corporation. Under correspence for finalization of rate </t>
  </si>
  <si>
    <t>Nashik Comm'te  (Jalgaon Division)</t>
  </si>
  <si>
    <t>i. Central Excise Staff Quarters, Near SMIT College, MHADA Colony, Build No. 10 &amp; 11, Jalgaon (Tal.&amp; Distt.Jalgaon)(MH) Pin-425001</t>
  </si>
  <si>
    <t>Total Cost is Rs.3.33 Cr (Rs.29460/-er sq.mtr)</t>
  </si>
  <si>
    <t>Service Charges of Muncipal Corporation.</t>
  </si>
  <si>
    <t>E.No.2 (i)</t>
  </si>
  <si>
    <t>ii. Central Excise Staff Quarters MHADA Colony,  MIDC, Jalgaon, Tal &amp; Distt. Jalgaon (MH) Pin-425 003</t>
  </si>
  <si>
    <t>Total Cost Rs. 0.58 Cr(Rs.21350 per Sq Mtr.)</t>
  </si>
  <si>
    <t xml:space="preserve"> A.A.</t>
  </si>
  <si>
    <t>E.No.2 (ii)</t>
  </si>
  <si>
    <t>Survey No. 24 Pt. JaswantsinghPura N-7, CIDCO, A'bad</t>
  </si>
  <si>
    <t>80.51 Sq. Mtrs.</t>
  </si>
  <si>
    <t>N-5,CIDCO,Aurangabad</t>
  </si>
  <si>
    <t>121.2 Sq. Mtrs.</t>
  </si>
  <si>
    <t>Nagpur-I (Including Chandrapur Dn)</t>
  </si>
  <si>
    <t>Jalgaon Dn.</t>
  </si>
  <si>
    <t>Nashik
Converted into Guest House</t>
  </si>
  <si>
    <t>Govt Qtrs, Mohite Nagar, Hotgi Road, Solapur                       PIN : 413003</t>
  </si>
  <si>
    <t>Residential Quarters, Chandrashekar Agase Road, Pandharpur,            Dist :  Solapur                    PIN : 413304</t>
  </si>
  <si>
    <t>228/229, 'E', Tarabai Park, Kolhapur</t>
  </si>
  <si>
    <t>1985 &amp; 1998</t>
  </si>
  <si>
    <t>Plot No.R-45 to R-50, Addl. MIDC,Satara</t>
  </si>
  <si>
    <t>25.02.2005</t>
  </si>
  <si>
    <t>R.S.No.892/S, 2, Miraj Sangli Road, Miraj</t>
  </si>
  <si>
    <t>R.S.No.2357-B, Jaysingpur,Tal Shirol,Dist. Kolahpru</t>
  </si>
  <si>
    <t>March,1979</t>
  </si>
  <si>
    <t>na</t>
  </si>
  <si>
    <t>Praivately purchased Ready built flats.</t>
  </si>
  <si>
    <t>taken over from Portuguese regime</t>
  </si>
  <si>
    <t xml:space="preserve">N /A </t>
  </si>
  <si>
    <t>Customs Colony, Headland Sada, Marmagoa, 403803</t>
  </si>
  <si>
    <t>1971 (acquisition of land)</t>
  </si>
  <si>
    <t>Suroyadya/ Building Chowgule Garden, Zuari Nagar, South Goa, Goa 403726</t>
  </si>
  <si>
    <t>Purchased in the year 1997</t>
  </si>
  <si>
    <t>……..</t>
  </si>
  <si>
    <t>582274              
( cost of land)</t>
  </si>
  <si>
    <t>Pune-I Commissionerate
Many of the quarters are not in habitable condition and the quarters which are habitable are being allotted to the staff of CGST and Income Tax, Solapur</t>
  </si>
  <si>
    <t>Tarabai Park, Kolhapur</t>
  </si>
  <si>
    <t>Raysingpur,Tal Shirol,Dist. Kolahpru</t>
  </si>
  <si>
    <t>Pune-II Commissionerate</t>
  </si>
  <si>
    <t>CGST Goa Commissionerate</t>
  </si>
  <si>
    <t>40 
+ 10</t>
  </si>
  <si>
    <t>32
+2</t>
  </si>
  <si>
    <t>Goa Customs
However, 32 type I quarter, 08 type III quarter, 04 type IV quarters are proposed for demolition as they are unsafe for occupation</t>
  </si>
  <si>
    <t>CGST &amp; CX Ranchi Zone, Patna</t>
  </si>
  <si>
    <t>CGST &amp; CX      Patna-I Commissionerate</t>
  </si>
  <si>
    <t>Central Revenue Colony Salimpur, Dumrah, Patna</t>
  </si>
  <si>
    <t>1984-85</t>
  </si>
  <si>
    <t xml:space="preserve">charged not being paid for maintenance.Maintenance baeing done by CPWD </t>
  </si>
  <si>
    <t xml:space="preserve">Central Revenue Colony ,C.R.Building, BC Patel Path,Patna </t>
  </si>
  <si>
    <t>13.10.2011</t>
  </si>
  <si>
    <t xml:space="preserve">Construction cost is not available as CPWD has not provided </t>
  </si>
  <si>
    <t>Estate Manager CGST and C. Ex. Division, Muzaffarpur</t>
  </si>
  <si>
    <t>CGST and Customs Colony, Imlichatti, Muzaffarpur-842001</t>
  </si>
  <si>
    <t>164 crore</t>
  </si>
  <si>
    <t>Estate Manager CGST and C Range, Chapra</t>
  </si>
  <si>
    <t>Chapra</t>
  </si>
  <si>
    <t>Estate Manager CGST and C. Ex. Division, Vaishali</t>
  </si>
  <si>
    <t>Dak Bunglow Road Hajipur</t>
  </si>
  <si>
    <t>1998-99</t>
  </si>
  <si>
    <t>CGST &amp; CX  Ranchi  Commissionerate</t>
  </si>
  <si>
    <t>Cenral Excise Resd. Colony,Sec-V/B,B.S.City.</t>
  </si>
  <si>
    <t>12.02.2001</t>
  </si>
  <si>
    <t xml:space="preserve">  -</t>
  </si>
  <si>
    <t>Swarnjyoti Coloney,Ranikudar, Jamshedpur, East Singhbhum,Jharkhand.            Pin- 831005</t>
  </si>
  <si>
    <t>Oct'2003</t>
  </si>
  <si>
    <t>4.84 Crores</t>
  </si>
  <si>
    <t xml:space="preserve">Central Revenue Colony ,    C.R.Building, BC Patel Path,Patna </t>
  </si>
  <si>
    <t>Income Tax Colony, Lalpur, Ranchi</t>
  </si>
  <si>
    <t>PURNEA</t>
  </si>
  <si>
    <t>Muz</t>
  </si>
  <si>
    <t>HAJ</t>
  </si>
  <si>
    <t>(Ch)</t>
  </si>
  <si>
    <t>CGST Colony, Bokaro</t>
  </si>
  <si>
    <t>Swarnjyoti Coloney,Ranikudar, Jamshedpur</t>
  </si>
  <si>
    <t>Jamshedpur, East Singhbhum,Jharkhand.</t>
  </si>
  <si>
    <t xml:space="preserve">Central Tax, Central Excise &amp; Customs Residential Quarters, Kakkanad, Near KSEB Sub-Station, CSEZ, Kochi- 682 037, Kerala  </t>
  </si>
  <si>
    <t>8.12 Cr (as on 31.12.2014)</t>
  </si>
  <si>
    <t>49,27,520</t>
  </si>
  <si>
    <t>1,75,94,608</t>
  </si>
  <si>
    <t>Only 2 Type-IV Qtrs and 1 Type-III Qtrs (at ST Nagar) occupied by department officiers. All Qtrs at Guruvayur Vacant and Quarters at Kuttanellur occupied by officers of other department.</t>
  </si>
  <si>
    <t>Central GST &amp;C.Ex. Staff Quarters, Valiyathura, Muttathara Village, Thiruvananthapuram-695008.</t>
  </si>
  <si>
    <t>0.16 Crore</t>
  </si>
  <si>
    <t>28.09.2002</t>
  </si>
  <si>
    <t>20.10.2000</t>
  </si>
  <si>
    <t>07.01.1997</t>
  </si>
  <si>
    <t>388 sq. Metres  Eight Residential quarters -  Type I -  2 , T ype -II -2     &amp; Type III - 4   )</t>
  </si>
  <si>
    <t xml:space="preserve">Rs.0.47 Crores including  office building </t>
  </si>
  <si>
    <t>Customs Preventive Staff Qtrs., North End, W/Island, Cochin-09</t>
  </si>
  <si>
    <t>1954 &amp; 1960</t>
  </si>
  <si>
    <t>declared unfit for occupation by CPWD</t>
  </si>
  <si>
    <t>Commissioner's Bungalow, Near Embarkation Jetty, W/Island, Cochin-09</t>
  </si>
  <si>
    <t>Central Revenue Colony, Race Course Circle, Vadodara-390007</t>
  </si>
  <si>
    <t>Central Excise Colony, Juna Dadar Nr. Old Bus Stop Plot No. 274 Anand-388001</t>
  </si>
  <si>
    <t>Central Revenue Colony, Race Course Circle, Vadodara</t>
  </si>
  <si>
    <t>Central Excise Colony, Juna Dadar Nr. Old Bus Stop Plot No. 274 Anand</t>
  </si>
  <si>
    <t>Central Excise Building and Qtr. Near LIC Office, Pij Road Nadiad</t>
  </si>
  <si>
    <t>Converted in transit Hostel</t>
  </si>
  <si>
    <t>CENTRAL GST &amp; EXCISE, VADODARA ZONE</t>
  </si>
  <si>
    <t>CENTRAL REVENUE COLONY, NEAR POLICE HQ, ATHWA LINES, SURAT</t>
  </si>
  <si>
    <t>KENDRIYA RAJASWA AWAS, SARELA WADI, GHOD DOD ROAD, SURAT</t>
  </si>
  <si>
    <t>04.03.1995</t>
  </si>
  <si>
    <t>CUSTOMS COLONY, MAKAIPUL, SURAT</t>
  </si>
  <si>
    <t>PLOT NO. 84 &amp; 85, GIDC, UMBERGAON</t>
  </si>
  <si>
    <t>18.02.1983</t>
  </si>
  <si>
    <t>DADANGWAD, TEKRA, OPP. KANYA SHALA, NEAR LIBRARY, NAVASARI</t>
  </si>
  <si>
    <t>28.04.1992</t>
  </si>
  <si>
    <t>Custom Colony, near Railway station, Vapi</t>
  </si>
  <si>
    <t>Daman CGST</t>
  </si>
  <si>
    <t>Surat Commissionerate</t>
  </si>
  <si>
    <t>Surat Commissionerate
Quarters in Athwalines are under Repairs &amp; maintenance</t>
  </si>
  <si>
    <t>Visakhapatnam Central GST Commissionerate ( Deputy Commissioner, Rajamundry CGST Division)</t>
  </si>
  <si>
    <t>19504 Sq Feet or 1812 Sq Mts. (27 No.s of Quarters, Type II, III &amp; IV)</t>
  </si>
  <si>
    <t>Rs. 10.25 Crores (Office Building &amp; Quarters)</t>
  </si>
  <si>
    <t>Already shown in Annexure B (Office Building and Quarters)</t>
  </si>
  <si>
    <t>Guntur</t>
  </si>
  <si>
    <t>It is to submit that the details of Residential Quarters of Guntur CGST Commissionerate has been mentioned in Annexure-A3 and in respect of those,  no one is living in quarters situated at Nagarampalem, Guntur as CPWD has 
sent the letter to this office that the said quarters are in deteroited condition. Letter addressed to DGHRD seeking permission for dismantling the said quarters</t>
  </si>
  <si>
    <t>NTS NO.75, Revenue 
Ward No.11 Blcok-4, 
D.No.40-15/1-19/3, 
Series Raju Street, 
Vinayaghar Brundavan 
Apartments, Brindavan
 Colony,Labbipet,
Vijayawada</t>
  </si>
  <si>
    <t>31.03.2016</t>
  </si>
  <si>
    <t>Sy.No.584/3 &amp; 583/2,B.Camp,Kallur Village,Kurnool</t>
  </si>
  <si>
    <t>Samahita Enclave Green Park Opp. D.R.Mahal Road Tirupati A.P.</t>
  </si>
  <si>
    <t>01.03.2002 (Purchase date)</t>
  </si>
  <si>
    <t>10.42 
(As on 10.08.2020)</t>
  </si>
  <si>
    <t xml:space="preserve"> Custom House, Vishakhapatnam ( Principal Commissioner, Customs)</t>
  </si>
  <si>
    <t>1991, 2005</t>
  </si>
  <si>
    <t>1984 &amp; 1990</t>
  </si>
  <si>
    <t>Guwahati
Zone</t>
  </si>
  <si>
    <t>CGST, Shillong</t>
  </si>
  <si>
    <t>Umsawli New Shillong township</t>
  </si>
  <si>
    <t>15 acres</t>
  </si>
  <si>
    <t>26.03.2015</t>
  </si>
  <si>
    <t>Departmental Lease Rs. 3,000/-</t>
  </si>
  <si>
    <t>18.06.2019 for a period of 30 yrs</t>
  </si>
  <si>
    <t>CGST, Guwahati</t>
  </si>
  <si>
    <t>CGST, Dibrugarh</t>
  </si>
  <si>
    <t>CGST, Agartala</t>
  </si>
  <si>
    <t>CGST, Aizawl</t>
  </si>
  <si>
    <t>CGST, Imphal</t>
  </si>
  <si>
    <t>CGST, Itanagar</t>
  </si>
  <si>
    <t>CGST, Dimapur</t>
  </si>
  <si>
    <t>Audit, Shillong</t>
  </si>
  <si>
    <t>Appeals, Guwahati</t>
  </si>
  <si>
    <t>Customs (P), NER, Shillong</t>
  </si>
  <si>
    <t xml:space="preserve">Bakur, Dawki, Adjacent to Police Station of Dawki Jaintia Hills, Meghalaya </t>
  </si>
  <si>
    <t>Formally acquired on January 2006 by agreement with the respective landowner</t>
  </si>
  <si>
    <t>12 nos. of residential quarters available on land and 50% of land is vacant</t>
  </si>
  <si>
    <t>Kitting Road, Dhubri, Assam</t>
  </si>
  <si>
    <t>2047.57 sq. mts</t>
  </si>
  <si>
    <t>4.46Lakh</t>
  </si>
  <si>
    <t>Barakpur, Silchar Town, Silchar, Assam</t>
  </si>
  <si>
    <t>9638.5 sq. mts</t>
  </si>
  <si>
    <t>4.061 Lakh</t>
  </si>
  <si>
    <t>Kanakpur Part-II, Silchar, Assam</t>
  </si>
  <si>
    <t>9656.351 sq .mts</t>
  </si>
  <si>
    <t>17.01.67</t>
  </si>
  <si>
    <t>0.65268 Lakhs</t>
  </si>
  <si>
    <t xml:space="preserve">Customs Hqrs. Office, Customs House, MG Road, Shillong </t>
  </si>
  <si>
    <t>23.07.1996</t>
  </si>
  <si>
    <t>Dawki LCS, Tamabil, Jaintia Hills, Meghalaya</t>
  </si>
  <si>
    <t>Jan, 2006</t>
  </si>
  <si>
    <t>Bakur, Dawki, Jaintia Hills, Meghalaya</t>
  </si>
  <si>
    <t>31.12.2003</t>
  </si>
  <si>
    <t>Customs Divn, Nampong LCS, Arunachal Pradesh</t>
  </si>
  <si>
    <t>Karimganj Customs Divn</t>
  </si>
  <si>
    <t>Sutarkandi LCS, Sutarkandi, Karimganj</t>
  </si>
  <si>
    <t>Dharmanagar CPF, Dharmanagar, North Tripura</t>
  </si>
  <si>
    <t>Old Raghna Bazar LCS, North Tripura</t>
  </si>
  <si>
    <t>Manu LCS, Kailashpur, North Tripura</t>
  </si>
  <si>
    <t>Mahishasion LCS, Dist. Karimganj</t>
  </si>
  <si>
    <t>Kailasahar PP PO, North tripura</t>
  </si>
  <si>
    <t>Agartala Customs Division, West Tripura, Agartala</t>
  </si>
  <si>
    <t>Belonia CPF &amp; Muharighat LCS, North Tripura</t>
  </si>
  <si>
    <t>17.08.1950</t>
  </si>
  <si>
    <t>Srimantapur LCS, Sonamura, West Tripura</t>
  </si>
  <si>
    <t>Dailaghat LCS, Kamalpur, South Tripura</t>
  </si>
  <si>
    <t>Agartala LCS, Wes tTripura</t>
  </si>
  <si>
    <t>15.10.1949</t>
  </si>
  <si>
    <t>Lamphelpat Imphal, West Manipur</t>
  </si>
  <si>
    <t>Moreh CPF, Chandel Dist. Manipur</t>
  </si>
  <si>
    <t>11.11.1952</t>
  </si>
  <si>
    <t>Moreh LCS, Chandel Dist. , Manipur</t>
  </si>
  <si>
    <t>09.08.1994</t>
  </si>
  <si>
    <t>Tura CPF, West Garo Hills, Meghalaya</t>
  </si>
  <si>
    <t>Dalu LCS, West Garo Hills, Meghalaya</t>
  </si>
  <si>
    <t>Mahendraganj LCS, West Garo Hills, Meghalaya</t>
  </si>
  <si>
    <t>Mankachar LCS, Dhubri, Assam</t>
  </si>
  <si>
    <t>Baghmara LCS, South Garo Hills, Meghalaya</t>
  </si>
  <si>
    <t>Golakganj LCS, Dhubri, Assam</t>
  </si>
  <si>
    <t>Aizawl Customs Divn, Chandmari, Aizawl, Mizoram</t>
  </si>
  <si>
    <t>09.10.1998</t>
  </si>
  <si>
    <t>Darranga Mela , Dist. Baksa, Assam</t>
  </si>
  <si>
    <t>24.01.1986</t>
  </si>
  <si>
    <t>Rangapani LCS, Kaklabari</t>
  </si>
  <si>
    <t>Bkajuli LCS, Assam</t>
  </si>
  <si>
    <t>Pathar Quarry, Narengi, Guwahati - 781171</t>
  </si>
  <si>
    <t>26257.24 sq mts</t>
  </si>
  <si>
    <t>19.08.1995</t>
  </si>
  <si>
    <t>713.61 Lakhs (including cost of 132 flats)</t>
  </si>
  <si>
    <t>Guwahati Zone</t>
  </si>
  <si>
    <t>GST Bhawan, Kedar Road, Machkhowa, Guwahati-781001</t>
  </si>
  <si>
    <t>9660 sq mt</t>
  </si>
  <si>
    <t>18.11.2018</t>
  </si>
  <si>
    <t>93 Cr. Approx</t>
  </si>
  <si>
    <t>Guwahati Customs Divisional Office, Christian Basti, Nilamoni Phukan Path, Guwahati - 5</t>
  </si>
  <si>
    <t>3938 sq. mt</t>
  </si>
  <si>
    <t>Customs House, 110 MG Road, Shillong - 01</t>
  </si>
  <si>
    <t>2115 sq mt</t>
  </si>
  <si>
    <t>Dawki LCS Tamabil, Dawki, Jaintia Hills District, Meghalaya</t>
  </si>
  <si>
    <t>Aizawl Customs Division, Ramhluan Road, Chandmari, Aizawl, Mizoram - 796007</t>
  </si>
  <si>
    <t>Moreh CPF, Moreh, Chandel District, Manipur</t>
  </si>
  <si>
    <t>Moreh LCS, P.O Moreh, Chandel district, Manipur</t>
  </si>
  <si>
    <t>Karimganj Customs Division, Shivbari Road, P.O Karimganj</t>
  </si>
  <si>
    <t>30.05.2016</t>
  </si>
  <si>
    <t>Sutarkandi LCS, P.O Sutarkandi, Dist. Karimganj</t>
  </si>
  <si>
    <t>Dharmanagar CPF, Dharmanagar</t>
  </si>
  <si>
    <t>Mahisashion LCS, Karimganj</t>
  </si>
  <si>
    <t>Customs Divisional Office, Agartala</t>
  </si>
  <si>
    <t>Belonia Customs PP and Muhurighat LCS, Tripura North</t>
  </si>
  <si>
    <t>Srimantapur LCS, Sonamura, Tripura</t>
  </si>
  <si>
    <t>Dhalaighat LCS, Kamalpur, Tripura</t>
  </si>
  <si>
    <t>Agartala LCS, Tripura West</t>
  </si>
  <si>
    <t>15.10.1959</t>
  </si>
  <si>
    <t>Tura CPF</t>
  </si>
  <si>
    <t>Manckachar LCS</t>
  </si>
  <si>
    <t>25.08.1955</t>
  </si>
  <si>
    <t>Nampong LCS, Arunacahal Pradesh</t>
  </si>
  <si>
    <t>Customs House Annex Building, 110 MG Road, Shillong - 1</t>
  </si>
  <si>
    <t>4.11.2013</t>
  </si>
  <si>
    <t>Nilamoni Phukan Path, Christian Basti Guwahati</t>
  </si>
  <si>
    <t>nil</t>
  </si>
  <si>
    <t>Rangareddy GST</t>
  </si>
  <si>
    <t xml:space="preserve">Customs </t>
  </si>
  <si>
    <t>Panchkula Zone</t>
  </si>
  <si>
    <t>GST Gurugram</t>
  </si>
  <si>
    <t>Plot No. 36-37 Sector-32, Gurgaon Haryana</t>
  </si>
  <si>
    <t>4440 Sq. mt</t>
  </si>
  <si>
    <t>20.03.2013</t>
  </si>
  <si>
    <t>70,000 per Sq. Yard</t>
  </si>
  <si>
    <t>Panchkula</t>
  </si>
  <si>
    <t>Plot No. 05,Sec.25, Panchkula</t>
  </si>
  <si>
    <t>23.03.2011</t>
  </si>
  <si>
    <t>Building is under construction</t>
  </si>
  <si>
    <t>Rohtak</t>
  </si>
  <si>
    <t>alloted by HSVP</t>
  </si>
  <si>
    <t>This property was owned by the then Customs &amp; Central Excise Ahmedabad more than 100 years ago. Since, no records are available with this office as on date, details w.r.t. Sl.No.6 &amp; 7 can not be submitted.</t>
  </si>
  <si>
    <t>Present office building</t>
  </si>
  <si>
    <t>Survey no-55 16/69 Moodanidamboor village, udupi district</t>
  </si>
  <si>
    <t xml:space="preserve">Yes </t>
  </si>
  <si>
    <t>11.12.1986</t>
  </si>
  <si>
    <t>07.11.2001</t>
  </si>
  <si>
    <t>0.75 Acres area Includes Office &amp; Quarters</t>
  </si>
  <si>
    <t>Vijayanagar Extention, 1st Stage, DM Halli, Kandli Post, Hassan</t>
  </si>
  <si>
    <t>Sector 62, Near Amba Bhavani Temple , Central Jail Road,  Navanagar, Bagalkot</t>
  </si>
  <si>
    <t>09.07.2007</t>
  </si>
  <si>
    <t>Purchased from Govt of Odisha</t>
  </si>
  <si>
    <t>Lease purchased from Govt of Odisha</t>
  </si>
  <si>
    <t>30 years
05.12.1992-04.12.2022</t>
  </si>
  <si>
    <t>data in coloum 4 is not correct</t>
  </si>
  <si>
    <t>Utilised</t>
  </si>
  <si>
    <t>NIL-</t>
  </si>
  <si>
    <t>A part of the property ie SF No. 1417 was encroached by the State police department uNILaterally in 1946. Against order of the High Court dated 20.08.2019 in CRP No. 775 and 776/2011, the department has preferred SLP Dairy No. 18230/2020 in the Hon'ble Supreme Court.</t>
  </si>
  <si>
    <t>Guwahati Customs Divn, NILamoni Phukan Path, Christian Basti, Guwahati</t>
  </si>
  <si>
    <t>Acquired in 1996 constructed during 2000</t>
  </si>
  <si>
    <t>1.72 Lakh (One lease for 99 years from M/s. Sipcot limited)</t>
  </si>
  <si>
    <t>27.11.1992</t>
  </si>
  <si>
    <t>Ownership of the department</t>
  </si>
  <si>
    <t>Not Available in this office</t>
  </si>
  <si>
    <t xml:space="preserve">Not Available </t>
  </si>
  <si>
    <t>G.B.Nagar</t>
  </si>
  <si>
    <t>7.17.1996</t>
  </si>
  <si>
    <t>3.5.2001</t>
  </si>
  <si>
    <t>05.04.1987</t>
  </si>
  <si>
    <t>03.05.2001</t>
  </si>
  <si>
    <t>3.11.1994</t>
  </si>
  <si>
    <t>8.20.1968</t>
  </si>
  <si>
    <t>9.16.1967</t>
  </si>
  <si>
    <t>05.30.1967</t>
  </si>
  <si>
    <t>09.16.1967</t>
  </si>
  <si>
    <t>28.33 Crore  as on 31.12.2010</t>
  </si>
  <si>
    <t>07.11.1990</t>
  </si>
  <si>
    <t>5.30.1967</t>
  </si>
  <si>
    <t>Office of the Pr. Commissioner, CGST Pune-I Comm'te, GST Bhavan (ICE House), 41/A, Sassoon Road, Pune-411001</t>
  </si>
  <si>
    <t>GST Residential Complex, GST Bhavan (ICE House), 41/A, Sassoon Road, Pune – 411 001</t>
  </si>
  <si>
    <t>Possession (Free hold)</t>
  </si>
  <si>
    <t xml:space="preserve">Possession Free hold </t>
  </si>
  <si>
    <t xml:space="preserve">Free hold </t>
  </si>
  <si>
    <t>Office of the Pr. Commissioner, CGST Pune-I Comm'te, GST BHAVAN (ICE HOUSE), 41/A, Sassoon Raod, PUNE – 411 001</t>
  </si>
  <si>
    <t>Customs Circle Purnea</t>
  </si>
  <si>
    <t>18.03.2004</t>
  </si>
  <si>
    <t>Deputy Commissioner of Central Tax, CGST Division, Srinagar Morampudi Junction, Rajamahendrava Ram, East Godavari, Andhra Pradesh 533107.</t>
  </si>
  <si>
    <t>Vijayanagar Extention, 1st State, DM Halli, Kandli Post, Hassan</t>
  </si>
  <si>
    <t>48, Administrative Area, Arera Hills, Hoshangabad Road, Bhopal ,Pin Code-462011</t>
  </si>
  <si>
    <t>09.01.2002</t>
  </si>
  <si>
    <t>03.1.2002</t>
  </si>
  <si>
    <t>16.07.2017</t>
  </si>
  <si>
    <t>25.08.2017</t>
  </si>
  <si>
    <t>CGST &amp; CX Commissionerate Lucknow</t>
  </si>
  <si>
    <t>7-A, Ashok Marg, Lucknow</t>
  </si>
  <si>
    <t>07.11.1955</t>
  </si>
  <si>
    <t xml:space="preserve">Headquarter </t>
  </si>
  <si>
    <t>Fatehgarh, Distt- Farrukhabad (UP)</t>
  </si>
  <si>
    <t>Land Purchased from Cantonment Board Fatehgarh</t>
  </si>
  <si>
    <t>CGST CX Commissionerate Allahabad</t>
  </si>
  <si>
    <t>CGST Commissionerate Allahabad, CGST Div.-I &amp; II Allahabad</t>
  </si>
  <si>
    <t>1942/1962</t>
  </si>
  <si>
    <t>NIL              (Owned building)</t>
  </si>
  <si>
    <t>CGST &amp; CX, Commissionerate Agra</t>
  </si>
  <si>
    <t>GST Bhawan Lal Diggi Road, Civil Lines, Aligarh-202001</t>
  </si>
  <si>
    <t>Division Office, Range-I &amp; Range-II Aligarh</t>
  </si>
  <si>
    <t>Office of the Commissioner, CGST &amp; Central Excise, Commissionerate, Agra, 113/4, Sanjay Place, Agra 282002</t>
  </si>
  <si>
    <t>Commissionerate-Agra, Division-I Agra, Division-II Agra.</t>
  </si>
  <si>
    <t>25.05.1988</t>
  </si>
  <si>
    <t>CGST &amp; CX, Commissionerate Varanasi</t>
  </si>
  <si>
    <t>M.A. Road, Varanasi</t>
  </si>
  <si>
    <t>CGST Varanasi</t>
  </si>
  <si>
    <t>Nagar Nigam, Water Tax, Manintenance fee etc.</t>
  </si>
  <si>
    <t>CGST Commissionerate, division and Customs Division exist in the building.</t>
  </si>
  <si>
    <t>Civil Lines Gorakhpur</t>
  </si>
  <si>
    <t>CGST Div-I &amp; II Gorakhpur and Customs div. Gorakhpur</t>
  </si>
  <si>
    <t>CGST &amp; Cusotms Office both runnig in the same building.</t>
  </si>
  <si>
    <t xml:space="preserve">1963-64, 
1971-72, 
1981-82 </t>
  </si>
  <si>
    <t xml:space="preserve">i. GST Audit , Nashik Comm'te.
ii. Audit Circle ,IV to VII           </t>
  </si>
  <si>
    <t>Plot No. 36-37, Sector-32, Gurgaon</t>
  </si>
  <si>
    <t>GST Gurugram Commissionerate including all Divisions</t>
  </si>
  <si>
    <t>20.02.2013</t>
  </si>
  <si>
    <t>800 per sq. ft.</t>
  </si>
  <si>
    <t xml:space="preserve">Panchkula CGST Zone </t>
  </si>
  <si>
    <t>Office of the Pr. Commissioner, CGST Pune-I Commissionerate,  GST Bhavan (ICE House), 41/A, Sassoon Road, Pune-411001</t>
  </si>
  <si>
    <t>Calicut Urban Division, Calicut Rural Division, Customs Preventive Unit</t>
  </si>
  <si>
    <t>Vijayanagar Extension, 1st Stage, DM Halli, Kandli Post, Hassan</t>
  </si>
  <si>
    <t>GST Residential Complex, GST Bhawan (ICE House), 41/A,Sassoon Road, Pune-411 001</t>
  </si>
  <si>
    <t>Srinagar Morampudi Junction, Rajamahendravaram, East Godavari, Andhra Pradesh-533107</t>
  </si>
  <si>
    <t>Custom house, Beach Road,Port area, Kakinada- 533 007</t>
  </si>
  <si>
    <t>Proposal sent to DGHRD for renewal</t>
  </si>
  <si>
    <t>47441
(incl. of GST)</t>
  </si>
  <si>
    <t>01.07.2018, C. no. I/II/2008 Dated 22.08.2019</t>
  </si>
  <si>
    <t>1.Division-Kamla Nagar
2.Division-Karol Bagh
3.Division-Model Town</t>
  </si>
  <si>
    <t>4/10, Asaf Ali Road, New Delhi-110002.</t>
  </si>
  <si>
    <t>Principal North Commissioner</t>
  </si>
  <si>
    <t>12 Years</t>
  </si>
  <si>
    <t>01.02.2030</t>
  </si>
  <si>
    <t>Rs. 1608.51/-</t>
  </si>
  <si>
    <t>DIV-Nehru Place, South Ex. &amp; MCIE</t>
  </si>
  <si>
    <t>14-15 Farm Bhawan, Nehru Place</t>
  </si>
  <si>
    <t xml:space="preserve">Commissioner </t>
  </si>
  <si>
    <t>Rs. 16,41,867/-</t>
  </si>
  <si>
    <t>Rs. 89.88/-</t>
  </si>
  <si>
    <t>Laxmi Nagar Division &amp; Shahdara Division</t>
  </si>
  <si>
    <t>Core-4, 1st Floor, Scope  minar, Laxmi Nagar, Delhi 110092</t>
  </si>
  <si>
    <t>10.11.2016</t>
  </si>
  <si>
    <t>10.11.2019</t>
  </si>
  <si>
    <t>Rs. 5,33,708/-</t>
  </si>
  <si>
    <t>Rs. 87.4/-</t>
  </si>
  <si>
    <t>Premises was hired on 10.11.2004 from Gujrat Fertiliser Ltd. Since then this office renews rent agreement at interval of 3 years</t>
  </si>
  <si>
    <t>Mandoli Division &amp; Mayur Vihar Division</t>
  </si>
  <si>
    <t>Plot No. 164, FIE, Patparganj</t>
  </si>
  <si>
    <t>18.02.2018</t>
  </si>
  <si>
    <t>18.02.2021</t>
  </si>
  <si>
    <t>Rs. 749925/-</t>
  </si>
  <si>
    <t>Rs. 83.5/-</t>
  </si>
  <si>
    <t>Gandhi Nagar Division</t>
  </si>
  <si>
    <t>A-511, 602 &amp; 609 DDA Building, Plot No 4, District Center, Laxmi Nagar, Delhi 92</t>
  </si>
  <si>
    <t>CTT-20/BUILDING RENT/DIV SAHADARA/ 74/17-18/303 dt. 01.07.2017</t>
  </si>
  <si>
    <t>Additional Commissioner</t>
  </si>
  <si>
    <t>10.03.2019 to 10.03.2022 (3 years)</t>
  </si>
  <si>
    <t>11.03.2022</t>
  </si>
  <si>
    <t>Rs. 187110/-</t>
  </si>
  <si>
    <t>Rs. 81/-</t>
  </si>
  <si>
    <t>Central Goods and Services Tax, Delhi-South/West/Audit-II/Appeal-II/DGTS</t>
  </si>
  <si>
    <t>Plot No. 2B, EIL Annexe Building, Bhikaji Cama Place, New Delhi-110066</t>
  </si>
  <si>
    <t>DOH-30.01.2017 Rent/30/2016-17/Santion dated 30.11.2016</t>
  </si>
  <si>
    <t>Revenue Secretary</t>
  </si>
  <si>
    <t>30.01.2017 to 30.01.2020</t>
  </si>
  <si>
    <t>92,81,765/- +taxex as applicable upto 30.01.2020 and proposed for 1,00,24,306/- +taxes as applicable w.e.f. 31.01.2020 as per the lease agreement.</t>
  </si>
  <si>
    <t>Rs.1065.4/-</t>
  </si>
  <si>
    <t>Rent renewal proposal was forwarded to DGHRD for approval and reply is still awaited.</t>
  </si>
  <si>
    <t>Kirti Nagar &amp; Wazirpur Divisions</t>
  </si>
  <si>
    <t>7th Floor, Block 11, CGO Complex, Lodhi Road, New Delhi</t>
  </si>
  <si>
    <t>Allocated by directorate of Estates</t>
  </si>
  <si>
    <t>Rohini, Pitampura, Mundka &amp; Mangolpuri Div.</t>
  </si>
  <si>
    <t>4th &amp; 7th Floor, Ambedkar Bhawan, Sector 16, Rohini, New Delhi</t>
  </si>
  <si>
    <t>28.03.2018</t>
  </si>
  <si>
    <t>Rs.671 Per Sqm</t>
  </si>
  <si>
    <t>Renewal file is pending with HRD</t>
  </si>
  <si>
    <t>Janakpuri &amp; Uttam Nagar Div.</t>
  </si>
  <si>
    <t>C-19, Community Centre, Janakpuri, New Delhi</t>
  </si>
  <si>
    <t>Rs.823 Per Sqm</t>
  </si>
  <si>
    <t>GST Audit-I CIRCLE 6,7,8</t>
  </si>
  <si>
    <t>IAEA House, 17-B, Shafiq Memorial, Indraprastha Estate, New Delhi-110002</t>
  </si>
  <si>
    <t>21.04.2017</t>
  </si>
  <si>
    <t>Presidential Section</t>
  </si>
  <si>
    <t>22.04.2020*</t>
  </si>
  <si>
    <t>12,37,662/-</t>
  </si>
  <si>
    <t>Rs.118/- per sq ft., Rs. 1283/- per sq. mt.</t>
  </si>
  <si>
    <t>* The process of renewal/hiring is underway</t>
  </si>
  <si>
    <t>GST Audit-I CIRCLE 2 &amp; 4</t>
  </si>
  <si>
    <t>Rajendra Bhawan Trust Building, 210 DDU Marg, New Delhi-110002</t>
  </si>
  <si>
    <t>11.08.2017</t>
  </si>
  <si>
    <t>Commissioner Audit-I</t>
  </si>
  <si>
    <t>12.08.2022</t>
  </si>
  <si>
    <t>Rs. 4,34,240/-</t>
  </si>
  <si>
    <t>Rs.110/- per sq ft, Rs. 1196/-per sq mt</t>
  </si>
  <si>
    <t>Medchal GST</t>
  </si>
  <si>
    <t>Medchal Commissionerate HQRS</t>
  </si>
  <si>
    <t>Kukapally Division</t>
  </si>
  <si>
    <t>Jeedimetla Division</t>
  </si>
  <si>
    <t>Medchal Division</t>
  </si>
  <si>
    <t>Nizamabad Division</t>
  </si>
  <si>
    <t>Sangareddy Division</t>
  </si>
  <si>
    <t>Malkajgiri Division</t>
  </si>
  <si>
    <t>Office of the Assistant Commissioner of Nagole Division &amp; 5 Ranges</t>
  </si>
  <si>
    <t>N IL</t>
  </si>
  <si>
    <t>Div- XII, Umbergaon</t>
  </si>
  <si>
    <t xml:space="preserve"> Provided  By RINL</t>
  </si>
  <si>
    <t>Provided by the M/s Tata Steel Ltd., Jamshedpur</t>
  </si>
  <si>
    <t>Suo-moto provided by the M/s Hindustan Copper Ltd. Ghatshila</t>
  </si>
  <si>
    <t>Haldia Commissinerate</t>
  </si>
  <si>
    <t>Commissioner of CGST &amp; Central Excise, Siliguri</t>
  </si>
  <si>
    <t>O/o the Commissioner of CGST &amp; Central Excise, Haren Mukherjee Road, Hakimpara, Siliguri, West Bengal- 734001</t>
  </si>
  <si>
    <t>2217 Sq.meter</t>
  </si>
  <si>
    <t>under possession</t>
  </si>
  <si>
    <t>The area comes under Siliguri Municipality</t>
  </si>
  <si>
    <t xml:space="preserve">(1)Office of the Assistant Commissioner of CGST &amp; Central Excise,Cooch Behar Division,Kachari More,Sunity Road,Cooch Behar. </t>
  </si>
  <si>
    <t>1477.17 2144.0 (As per dept. record) Sq.m</t>
  </si>
  <si>
    <t>This area including  Building constructed area comes under Cooch Behar Municipality, Cooch Behar District</t>
  </si>
  <si>
    <t>Office of the Superintendent of CGST &amp; Central Excise, Alipurduar-I/II / Jaigaon Range, Alipurduar Court, Alipurduar District</t>
  </si>
  <si>
    <t>3487.66 Sq.m</t>
  </si>
  <si>
    <t>This area including Building Constructed area comes under Alipurduar Municipality, Alipurduar District</t>
  </si>
  <si>
    <t>Mathabhanga Near Bus Stand under Mathabhanga Municipal Ward No.6 Dist- Cooch Behar. Pin-736146</t>
  </si>
  <si>
    <t>3274.5 Sq.m</t>
  </si>
  <si>
    <t>This area including Building Constructed Area comes under Mathabhanga Subdivision and Mathabhanga Municipality, Cooch Behar District</t>
  </si>
  <si>
    <t>Balakandi, P.O- Balakandi, P.S- Dinhata, Dist. Cooch Behar, Pin- 736135</t>
  </si>
  <si>
    <t xml:space="preserve">1099.31 Sq.m </t>
  </si>
  <si>
    <t>The hut is fully damaged, this area comes under Cooch Behar Block-I, Cooch Behar District</t>
  </si>
  <si>
    <t>Nishiganj,P.O- Nishiganj, P.s- Mathabhanga, Dist. Cooch Behar</t>
  </si>
  <si>
    <t>3373.61 Sq.m</t>
  </si>
  <si>
    <t>This area comes under Mathabhanga Block-II, Cooch Behar District</t>
  </si>
  <si>
    <t>Gitaldaha Moricha, P.O- Baro Maricha P.S- Sitalkuchi, Dist- Cooch Behar</t>
  </si>
  <si>
    <t>1338.28 Sq.m</t>
  </si>
  <si>
    <t>This area comes under Sitalkuchi Block, Cooch Behar District</t>
  </si>
  <si>
    <t>Chilkirhat, P.O- Chilkirhat,P.S- Kotwali, Dist- Cooch Behar</t>
  </si>
  <si>
    <t>2241.0 Sq.m</t>
  </si>
  <si>
    <t>This area comes under Cooch Behar Block-I Cooch Behar District</t>
  </si>
  <si>
    <t>Sitalkuchi,P.O&amp; P.S- Sitalkuchi,Dist- Cooch Behar.</t>
  </si>
  <si>
    <t>1599.46 Sq.m</t>
  </si>
  <si>
    <t>Pundibari, P.O- Pundibari, Dist- Cooch Behar</t>
  </si>
  <si>
    <t>1803.00 Sq.m</t>
  </si>
  <si>
    <t>This area comes under Cooch Behar Block-II , Cooch Behar District.</t>
  </si>
  <si>
    <t>Barthar, P.O- chor Khana, P.S- setai, Dist - Cooch Behar</t>
  </si>
  <si>
    <t>1628 Sq.m</t>
  </si>
  <si>
    <t>This area comes under Sitalkuchi Block,Cooch Behar district</t>
  </si>
  <si>
    <t>Sangarbari, P.O- Mahismuri Kholishabari, G.P&amp; P.S-Sitalkuchi,Dist- Cooch Behar.</t>
  </si>
  <si>
    <t>1182.5 Sq.m</t>
  </si>
  <si>
    <t>Commissioner of Income Tax</t>
  </si>
  <si>
    <t>Naya basti, Jalpaiguri P+D, Jalpaiguri, CGST &amp; CX. Jalpaiguri Division, Pin-735101</t>
  </si>
  <si>
    <t>437  S.qm</t>
  </si>
  <si>
    <t>Bolpur Commissionerate</t>
  </si>
  <si>
    <t>Siliguri Commissionerate</t>
  </si>
  <si>
    <t>04 Commissionerate</t>
  </si>
  <si>
    <t>14.11.2008</t>
  </si>
  <si>
    <t>38.03 Cr</t>
  </si>
  <si>
    <t>YES                Paid as per yearly estimate submitted by CPWD</t>
  </si>
  <si>
    <t>All the offices of Barrackpore &amp; khardah Division</t>
  </si>
  <si>
    <t>Reliance Trends Building, Ghoshpara Road, Barrackpore</t>
  </si>
  <si>
    <t xml:space="preserve">Kalyani Division, </t>
  </si>
  <si>
    <t>Central Park, Kalyani, Nadia</t>
  </si>
  <si>
    <t>Range- I, Barasat Division</t>
  </si>
  <si>
    <t>Barasat, 24 Paragans (N)</t>
  </si>
  <si>
    <t>22.12.2017</t>
  </si>
  <si>
    <t>Range -II of Barasat Division</t>
  </si>
  <si>
    <t>M. M. Ghosh Street, Krishnanagar, Nadia</t>
  </si>
  <si>
    <t>Renewed Rent Agreement</t>
  </si>
  <si>
    <t>Haldia CGST Commissionerate</t>
  </si>
  <si>
    <t>Haldia CGST Commissionerate Hdqrs. Office</t>
  </si>
  <si>
    <t>Haldia Commissionerate Andaman &amp; Nicobar CGST Division</t>
  </si>
  <si>
    <t>07.09.2017</t>
  </si>
  <si>
    <t>31.01.1979</t>
  </si>
  <si>
    <t>Kolkata                           
1st, 5th &amp; 7th floor, M.S. Building, Custom House, Kolkata-700001</t>
  </si>
  <si>
    <t xml:space="preserve">Port Blair                                          1. Plot No.: 160/19, Kamraj Marg VIP Road, Port Blair, Pin-744103. 
2. 2337/2 RGT Road,Port Blair, Pin-744103 </t>
  </si>
  <si>
    <t xml:space="preserve">1.  1200
2.   2200                   </t>
  </si>
  <si>
    <t>1.   Office &amp; Departmental Guest House 
2.    Residential Quarter</t>
  </si>
  <si>
    <t>YES
Paid as per estimate submitted by CPWD</t>
  </si>
  <si>
    <t>Port Blair, Plot No.: 2337/2, RGT Road, Port Blair-744103</t>
  </si>
  <si>
    <t>05.05.1989
(date of acquisition)</t>
  </si>
  <si>
    <t>Haldia Commissionerate</t>
  </si>
  <si>
    <t>Junglepur CGST &amp; Cx Division</t>
  </si>
  <si>
    <t>2nd floor, 9C,Sidhoo Kanhoo Dahar, Kolkata-700069</t>
  </si>
  <si>
    <t>Kharagpur CGST &amp; CX Division</t>
  </si>
  <si>
    <t>Kar Udyog Real Estate, 3rd &amp; 4th floor, O T Road, Inda, Kharagpur-721305</t>
  </si>
  <si>
    <t>16.11.2018             Sanctioned by the Commissioner of Haldia CGST Commissionerate</t>
  </si>
  <si>
    <t>10.10.2016    Sanction Order: I(II)1/Accom/MDP/2014</t>
  </si>
  <si>
    <t>16.11.2021</t>
  </si>
  <si>
    <t>10.10.2019</t>
  </si>
  <si>
    <t>259027/-  incl. GST</t>
  </si>
  <si>
    <t>149730/- + GST as applicable</t>
  </si>
  <si>
    <t>21 per sq ft.</t>
  </si>
  <si>
    <t>Renewal of Lease agrrement under process &amp; recently this office has received RRC from CPWD vide no. 2(44)/EE&amp;SMC/IITKPD-I/2020-21/229 dated 16.07.2020</t>
  </si>
  <si>
    <t>CGST Bolpur, Nanoor Chandidas Rd, Sian, Bolpur Dist.- Birbhum, Pin-731204</t>
  </si>
  <si>
    <t>July, 1996</t>
  </si>
  <si>
    <t>4 Cr</t>
  </si>
  <si>
    <t>Satyajit Roy Sarani, City Centre, Durgapur- 713216, West Bengal</t>
  </si>
  <si>
    <t>Sen Raleigh Road, Kumarpur More Asansol-713305 Dist. - Burdwan</t>
  </si>
  <si>
    <t>1.39 Cr (Approx)</t>
  </si>
  <si>
    <t>CGST Residential Complex, Sian, Bolpur, Birbhum - 731204</t>
  </si>
  <si>
    <t>7, Ispatpally, Bidhannagar, Durgapur-713212</t>
  </si>
  <si>
    <t>Sen Raleigh Road, Kumarpur More, Asansol - 713305</t>
  </si>
  <si>
    <t>01.04.1997</t>
  </si>
  <si>
    <t xml:space="preserve">1.39 Cr* </t>
  </si>
  <si>
    <t>32
8</t>
  </si>
  <si>
    <t>5
1</t>
  </si>
  <si>
    <t>DGP</t>
  </si>
  <si>
    <t>HUDCO</t>
  </si>
  <si>
    <t>* Combined Cost for Office and Qtrs.             Type- V, VI &amp; VII not avl  in Asansol.</t>
  </si>
  <si>
    <t xml:space="preserve">Bolpur </t>
  </si>
  <si>
    <t>O/o The Assistant Commissioner Central GST &amp; Central Excise, Bardhaman Division &amp; Range - I to IV</t>
  </si>
  <si>
    <t>25, GT Road, Boronilpur More, Bardhaman-713103</t>
  </si>
  <si>
    <t>14.06.2004 (renewed on 01.04.2008) for 03 years</t>
  </si>
  <si>
    <t>Commissioner, Bolpur</t>
  </si>
  <si>
    <t>Initially 05 years then for 03 years</t>
  </si>
  <si>
    <t>31.03.2011</t>
  </si>
  <si>
    <t>30030/-</t>
  </si>
  <si>
    <t>52/-</t>
  </si>
  <si>
    <t>e-Tender floated on CPPP on 26.09.20</t>
  </si>
  <si>
    <t>O/o The Superintendent Range V(Katwa) Central GST &amp; Central Excise, Bardhaman Division</t>
  </si>
  <si>
    <t>Circus Maidan, Station Bazar, Katwa, Bardhaman-713130</t>
  </si>
  <si>
    <t>01.05.2009</t>
  </si>
  <si>
    <t>12018/-</t>
  </si>
  <si>
    <t>134/-</t>
  </si>
  <si>
    <t>Owner/landlord has not submitted requisite docs to CPWD for FRC.</t>
  </si>
  <si>
    <t>O/o The Assistant Commissioner Central GST &amp; Central Excise, Bankura Division</t>
  </si>
  <si>
    <t>Lokpur Main Road, Kankata More, Kenduadihi, Bankura, W.B - 722102</t>
  </si>
  <si>
    <t>01.08.2016 vide order dated 27.03.17</t>
  </si>
  <si>
    <t>45000/-</t>
  </si>
  <si>
    <t>121.09/-</t>
  </si>
  <si>
    <t>O/o The Superintendent Range II, III &amp; IV Central GST &amp; Central Excise, Bankura Division</t>
  </si>
  <si>
    <t>Barjora Forest Road, PO+PS- Barjora, Dist.- Bankura, Pin-722202, W.B</t>
  </si>
  <si>
    <t>23.02.2015 vide order dated 16.02.15</t>
  </si>
  <si>
    <t>23.02.2020</t>
  </si>
  <si>
    <t>37254/-</t>
  </si>
  <si>
    <t>198.36/-</t>
  </si>
  <si>
    <t>New FRC to be approved by HOD.</t>
  </si>
  <si>
    <t>O/o The Superintendent of Range-V Central GST &amp; Central Excise, Bankura Division</t>
  </si>
  <si>
    <t>Gopalganj, PO+P.S- Bishnupur (Ward No.13), Dist.- Bankura, W.B - 722122</t>
  </si>
  <si>
    <t>01.06.2015 vide order dated 21.05.15</t>
  </si>
  <si>
    <t>9010/-</t>
  </si>
  <si>
    <t>92.88/-</t>
  </si>
  <si>
    <t>FRC not obtained from CPWD till date.</t>
  </si>
  <si>
    <t>O/o The Superintendent of Central GST &amp; Central Excise, Berhampore Range under Berhampore Division</t>
  </si>
  <si>
    <t>3/20/B, K.K Bannerjee Road, PO- Berhampore, Dist. - Murshidabad</t>
  </si>
  <si>
    <t>06.06.2019 vide order dated 09.07.20</t>
  </si>
  <si>
    <t>06.05.2023</t>
  </si>
  <si>
    <t>29905/-</t>
  </si>
  <si>
    <t>229.29/-</t>
  </si>
  <si>
    <t>O/o The Superintendent of Central GST &amp; Central Excise, Dhulian - I &amp; II Range under Berhampore Division</t>
  </si>
  <si>
    <t>Old Dak Bungalow, Ratanpur, PO- Dhulian, Dist. - Murshidabad</t>
  </si>
  <si>
    <t>01.06.2013 vide order dated 04.12.13</t>
  </si>
  <si>
    <t>13516/-</t>
  </si>
  <si>
    <t>66.91/-</t>
  </si>
  <si>
    <t>O/o The Superintendent of Central GST &amp; Central Excise, Aurangabad- I &amp; II Range under Berhampore Division</t>
  </si>
  <si>
    <t>P.S- Suti                                PO- Aurangabad                        Dist. - Murshidabad</t>
  </si>
  <si>
    <t>01.04.2016 vide order dated .2017</t>
  </si>
  <si>
    <t>22508/-</t>
  </si>
  <si>
    <t>128.87/-</t>
  </si>
  <si>
    <t>O/o The Superintendent of Central GST &amp; Central Excise, Raghunathganj Range under Berhampore Division</t>
  </si>
  <si>
    <t>Sadarghat, PO- Raghunathganj, Dist. - Murshidabad</t>
  </si>
  <si>
    <t>01.05.2016 vide order dated 18.09.2016</t>
  </si>
  <si>
    <t>9303/-</t>
  </si>
  <si>
    <t>86.33/-</t>
  </si>
  <si>
    <t>O/o The Assistant Commissioner of Central GST &amp; Central Excise, Berhampore Division(Unit-I)</t>
  </si>
  <si>
    <t>26/23 Sahid Surya Sen Road,                            P.O - Berhampore,                             Dist. - Murshidabad</t>
  </si>
  <si>
    <t>01.04.2010 vide order dated 21.07.2016</t>
  </si>
  <si>
    <t>22157/-</t>
  </si>
  <si>
    <t>68.17/-</t>
  </si>
  <si>
    <t>Anti- Evasion Wing, Berhampore Division</t>
  </si>
  <si>
    <t>01.08.2017 vide order dated 08.08.2019</t>
  </si>
  <si>
    <t>22191/-</t>
  </si>
  <si>
    <t>194.79/-</t>
  </si>
  <si>
    <t>1. O/o The Assistant Commissioner, CGST Purulia Division                                                                                           2. O/o The Superintendent (R-I &amp; II), CGST Purulia Division                                                                                                 3. O/o The Superintendent (R-III &amp; IV) CGST Purulia Division</t>
  </si>
  <si>
    <t>5th Floor, pragati Plaza, Beside govt. girls High School, Ranchi Road, Purulia(W.B) - 723101</t>
  </si>
  <si>
    <t>01.04.2020 vide order I(22)1-Accom/Misc/Bol/2013/8880 dated 25.09.2019</t>
  </si>
  <si>
    <t>163515/-</t>
  </si>
  <si>
    <t>263.72/-</t>
  </si>
  <si>
    <t>O/o The Superintendent R-V (Jhalda) under CGST Purulia Division</t>
  </si>
  <si>
    <t>Chhechhra Kuli Road, Anand Bazar, Jhalda, Dist. - Purulia (W.B), PIN - 723201</t>
  </si>
  <si>
    <t>01.01.2010 vide order I(11)15-Accom/CE/Bol/82/12286 dated  Renewed in 2017</t>
  </si>
  <si>
    <t>11261/-</t>
  </si>
  <si>
    <t>118.43/-</t>
  </si>
  <si>
    <t>O/o The Superintendent Range- IV under Asasnol- I Division</t>
  </si>
  <si>
    <t>X-10 South Road, Burnpur, Dist.- Paschim Burdwan</t>
  </si>
  <si>
    <t>152.22/-</t>
  </si>
  <si>
    <t>O/o The Superintendent of Suri, Md. Bazar &amp; Rampurhat Range under Birbhum Division</t>
  </si>
  <si>
    <t>J L Bannerjee Road, Sonatore para, Suri, Dist.- Birbhum PIN- 731101</t>
  </si>
  <si>
    <t>12.08.2021</t>
  </si>
  <si>
    <t>15750/-</t>
  </si>
  <si>
    <t xml:space="preserve">CGST &amp; CX,Kolkata Zone </t>
  </si>
  <si>
    <t>1. O/o The Commissioner of Central GST &amp; CX, Bolpur 
2. Pay &amp; Accounts Office, Bolpur
3. Bolpur Circle under Durgapur Audit Commissionerate
4. O/o The Asst Commisioner, Birbhum Division under Bolpur Comm'te</t>
  </si>
  <si>
    <t>1. O/o The Deputy/Asst Commissioner, Durgapur- I, II &amp;  III Division under Bolpur Commissionerate                    
2. O/o The Commissioner of Central GST &amp; CX Audit Commissionerate, Durgapur</t>
  </si>
  <si>
    <t>1. O/o The Deputy/Asst Commissioner, Asansol - I &amp; II Division under Bolpur Commissionerate                   
2. Circle-I under Durgapur Audit Commissionerate</t>
  </si>
  <si>
    <t>1981-82
1982-83</t>
  </si>
  <si>
    <t>Panchkula(Including Panchkula Division)</t>
  </si>
  <si>
    <t>SCO-407-408,Sector-8, Panchkula</t>
  </si>
  <si>
    <t>01.01.2016 Rent/21/216-17-SANCTION, 19-08-2016</t>
  </si>
  <si>
    <t xml:space="preserve"> 01-01-2016 to 31/12/2020</t>
  </si>
  <si>
    <t>1061245/- + service tax + House tax</t>
  </si>
  <si>
    <t>CGST Division  &amp; CGST Range 16 to 20,  Ambala</t>
  </si>
  <si>
    <t>25/625, Nahan Foundry Road, Ambala City</t>
  </si>
  <si>
    <t>01.06.2004</t>
  </si>
  <si>
    <t>01.06.2014 to 31.05.2019</t>
  </si>
  <si>
    <t>123015/-</t>
  </si>
  <si>
    <t>O/o The Assistant Commissioner, CGST Divison Panipat</t>
  </si>
  <si>
    <t>22/215, Gandhi Mandi, Oppostie Hotel Gold, Panipat</t>
  </si>
  <si>
    <t>16-05-2016</t>
  </si>
  <si>
    <t>03 year</t>
  </si>
  <si>
    <t>01.04.2019*</t>
  </si>
  <si>
    <t>60760/-</t>
  </si>
  <si>
    <t>O/o the Deputy/Asstt. Commissioner, Central Tax Divsion, Kurukshetra</t>
  </si>
  <si>
    <t>Gaba Buildiong No.1, NH-44,Near Crown Hotel, Pipli, Distt. Kurukshetra</t>
  </si>
  <si>
    <t>5004 Sq. Ft.</t>
  </si>
  <si>
    <t>16.08.2017 Sanction Order I-17(1)Admn/Amb/2017 dated 10.08.2017</t>
  </si>
  <si>
    <t>3 years 16.08.2017 to 15.08.2020</t>
  </si>
  <si>
    <t>190152/- +GST</t>
  </si>
  <si>
    <t>Range-30 Kaithal</t>
  </si>
  <si>
    <t>MCK No. 388/7, Opp. Geeta Bhawan Mandir, Police station City, Old Tehsil Road, Kaithal</t>
  </si>
  <si>
    <t>1500Sq. Ft.</t>
  </si>
  <si>
    <t xml:space="preserve"> 03.07.2017 Sanction OrderI I-172)Admn/Amb/2017 dated 30.06.2017</t>
  </si>
  <si>
    <t xml:space="preserve"> 3 Yesrs 03.07.2017 to 02.07.2020</t>
  </si>
  <si>
    <t>42,000/-</t>
  </si>
  <si>
    <t>O/o The Superintendent (Range 24), Karnal
O/o The  Superintendent (Range - 25), Karnal</t>
  </si>
  <si>
    <t>SCO-356, Mugal Canal, Karnal</t>
  </si>
  <si>
    <t>01-06-2014 to 31-05-2019</t>
  </si>
  <si>
    <t>51000/- 
(no GST)</t>
  </si>
  <si>
    <t>The premises was hired in 2004 when only Range offices were there in Karnal under Ambala Division.
This office is vacating this premises on 30.09.2020 as per diections of the competent authority and shall be sitting in the O/o The Assitant Commissioner, CGST Division Karnal.</t>
  </si>
  <si>
    <t>Panchkula CGST Zone</t>
  </si>
  <si>
    <t>Renewal of rent agreement could not be finalised till date</t>
  </si>
  <si>
    <t>CGST Commissionerate, Rohtak, CGST Division, Rohtak &amp; CGST Range-1 &amp;2, Pay &amp; Accounts Office, Audit Circle, Rohtak</t>
  </si>
  <si>
    <t>2nd &amp; 3rd Floor Pacific City Centre near Jaat Bhawan opp. Hotel Shangrila Delhi Road, Rohtak</t>
  </si>
  <si>
    <t>19.07.2016 ( Sanctioned vide F.No. 924/79/Hiring/Rohtak(Hqrs)/HRD/15</t>
  </si>
  <si>
    <t>19.07.2019</t>
  </si>
  <si>
    <t>517324/-+GST</t>
  </si>
  <si>
    <t>CPWD, Karnal has reassessed the rent at Rs. 548708/-+GST. Sent to CCO, Panchkula for approval</t>
  </si>
  <si>
    <t>CGST Range 3 &amp; 4</t>
  </si>
  <si>
    <t>SCF-22, 23 HUDA Sector-6, Bahadurgarh</t>
  </si>
  <si>
    <t>01.03.2014</t>
  </si>
  <si>
    <t>51,138/-</t>
  </si>
  <si>
    <t>177.6/-</t>
  </si>
  <si>
    <t>Reassessment of rent for Renewal of agreement is in process by CPWD Karnal</t>
  </si>
  <si>
    <t>CGST Range 5</t>
  </si>
  <si>
    <t>297/15, Arya nagar, Jhajjar</t>
  </si>
  <si>
    <t>27,200/-</t>
  </si>
  <si>
    <t>17/-</t>
  </si>
  <si>
    <t>CGST Division Bhiwani, Range 6 &amp; 7</t>
  </si>
  <si>
    <t>SCO-1, HUDA City Centre near Basia Bhawan, Bhiwani</t>
  </si>
  <si>
    <t>01.07.2017 (Sanctioned vide C.No. I-11(7)Admn/BHW/HB/18 dated 24.04.2018</t>
  </si>
  <si>
    <t>85405/-</t>
  </si>
  <si>
    <t>CGST Range-8</t>
  </si>
  <si>
    <t>Bhardwaj Bhawan, behind Andhra Bank opp P.W.D. rest House Rohtak Road, Charkhi dadri</t>
  </si>
  <si>
    <t>01.07.2017 (santioned vide C. No. I-11(2)Admn/Ch. Dadri/HB/18 dated 27.03.2018</t>
  </si>
  <si>
    <t>CGST Range-9&amp; 10</t>
  </si>
  <si>
    <t>SCO-19, 20 1st floor, HUDA Complex, Jind</t>
  </si>
  <si>
    <t>01.07.2017 (Sanctioned vide C.No. I-22(7)Admn/Misc/HB/RTK/17 dated 31.01.2018</t>
  </si>
  <si>
    <t>40000/-</t>
  </si>
  <si>
    <t>CGST Division Hisar &amp; Range-11,12,13,14,15</t>
  </si>
  <si>
    <t>Om Complex, 1st floor, 5th KM Stone, Tosham Road, Hisar</t>
  </si>
  <si>
    <t>01.09.2018 (Sanctioned vide C. No. I-7(2)Admn/Hisar/D-V/18/9394 dated 28.01.2019</t>
  </si>
  <si>
    <t>72297/-</t>
  </si>
  <si>
    <t>CGST Range-16</t>
  </si>
  <si>
    <t>Booth No. 43-44, 55-56 Shopping Complex Model Town Hansi</t>
  </si>
  <si>
    <t>01.08.2017 (Sanctioned vide C. No. I-11(1)Admn/Hansi/HB/18 dated 27.03.2018</t>
  </si>
  <si>
    <t>14000/-</t>
  </si>
  <si>
    <t>CGST Division Sirsa &amp; Range -17,18,19,20</t>
  </si>
  <si>
    <t>Sandhu Complex, 1st floor Opp. Welcome Palace Above Pizza wings Barnala Road Sirsa</t>
  </si>
  <si>
    <t>01.07.2017 (Sanctioned vide C. No. I-11(3)Admn/SI/RSA/HB/18 dated 27.03.2018</t>
  </si>
  <si>
    <t>80000/</t>
  </si>
  <si>
    <t>CGST Range 21</t>
  </si>
  <si>
    <t>1st Floor Ward No. 3 near Vaishno Mata mandir Bal Mandir Road Mandi Dabwali</t>
  </si>
  <si>
    <t>01.07.2017 (Santioned vide C. No. I-11(5)Admn/Dabwali/HB/18 dated 27.03.2018</t>
  </si>
  <si>
    <t>12950/-</t>
  </si>
  <si>
    <t>CGST Range 22,23</t>
  </si>
  <si>
    <t>1st floor above Syndicate Bank, NH-9, GT Road Basti Bhawan, Hisar Road, Fatehabad</t>
  </si>
  <si>
    <t>01.07.2017 (Sanctioned vide C. No. I-11(6)Admn/fatehabad/HB/18 dated 27.03.2018</t>
  </si>
  <si>
    <t>32428/-</t>
  </si>
  <si>
    <t>CGST Range- 24</t>
  </si>
  <si>
    <t>Near saavan Palace &amp; ICICI Bank Chandigarh Road Tohana</t>
  </si>
  <si>
    <t>01.07.2017 ( Sanctioned vide C. No. I-11(4) Admn/Tohana/HB/18 dated 27.03.2018</t>
  </si>
  <si>
    <t>12240/-</t>
  </si>
  <si>
    <t xml:space="preserve">CGST Division, Sonepat &amp; Range 25,26,27 </t>
  </si>
  <si>
    <t>2nd floor, 51 Milestone, Murthal</t>
  </si>
  <si>
    <t>15.06.2018 (Santioned vide C.No. I-7(1)Admn/Rtk/D-V/17/7322 dated 20.02.2020</t>
  </si>
  <si>
    <t>16.06.2021</t>
  </si>
  <si>
    <t>141943/-</t>
  </si>
  <si>
    <t>CGST Range-28,29 &amp; 30</t>
  </si>
  <si>
    <t>HSIDC, Kundli</t>
  </si>
  <si>
    <t>08.11.2007 (Sanctioned vide C.No. I-11(4)Adm/D-II/2001/3222 dated 03.03.2010</t>
  </si>
  <si>
    <t>08.11.2007</t>
  </si>
  <si>
    <t>48107/-</t>
  </si>
  <si>
    <t>Lease deed to be executed 08.11.2007, Commissioner C.Ex, Rohtak provisionally sanction rent</t>
  </si>
  <si>
    <t>Panchkula Commissionerate</t>
  </si>
  <si>
    <t>Rohtak Commissionerate</t>
  </si>
  <si>
    <t>CGST Faridabad</t>
  </si>
  <si>
    <t>GST Commissionerate, Division East, West, North, Palwal</t>
  </si>
  <si>
    <t>Block C &amp; D, New CGO Complex</t>
  </si>
  <si>
    <t>License Fees of Rs. 1701691/- is being paid to Department of Estate</t>
  </si>
  <si>
    <t>Office of the Assistant Commissioner, Division Rewari</t>
  </si>
  <si>
    <t>35/3 Rajiv Chowk, behind Radha Swami Satsang Bhawan, Sector-3, Rewari</t>
  </si>
  <si>
    <t>Rented</t>
  </si>
  <si>
    <t>Rs. 52920/- per month</t>
  </si>
  <si>
    <t>Rs. 88/-</t>
  </si>
  <si>
    <t>Range-29,(Division Rewari)</t>
  </si>
  <si>
    <t>H. No. 296, Housing Board, Dharuhera</t>
  </si>
  <si>
    <t>Rs. 3465/-</t>
  </si>
  <si>
    <t>Rs. 27/-</t>
  </si>
  <si>
    <t>GST Audit Commissionerate, Panckhula</t>
  </si>
  <si>
    <t>Office of the Assistant Commissioner, Central GST Audit Circle-5, Bhiwani</t>
  </si>
  <si>
    <t>S.C.F. 31, Sector-13, HUDA, Near Peer Baba &amp; Community Centre, Bhiwani, Haryana</t>
  </si>
  <si>
    <t>3016 Sq. Ft</t>
  </si>
  <si>
    <t>4378.68 Sq. Ft</t>
  </si>
  <si>
    <t>69,368/-</t>
  </si>
  <si>
    <t xml:space="preserve">Rs. 23/- </t>
  </si>
  <si>
    <t>Office of the Assistant Commissioner, GST Audit Circle-6, Hisar</t>
  </si>
  <si>
    <t>Ground Floor, Om Complex, New Model Town, Tosham Road, Hisar</t>
  </si>
  <si>
    <t>3500 Sq. Ft</t>
  </si>
  <si>
    <t>50,000/-</t>
  </si>
  <si>
    <t>Rs. 14.28/-</t>
  </si>
  <si>
    <t>Office of the Assistant Commissioner, GST Audit Circle-2, Kurkshetra</t>
  </si>
  <si>
    <t xml:space="preserve">SCO NO 88-89,First Floor, Commercial Huda Sector 2, Near Pipli, Kurukshetra </t>
  </si>
  <si>
    <t>3237.68 Sq.Ft.</t>
  </si>
  <si>
    <t>1,00,000/-</t>
  </si>
  <si>
    <t>Rs.30.88/-</t>
  </si>
  <si>
    <t>Audit Gurugram</t>
  </si>
  <si>
    <t>Office of the Commissioner of CGST Audit Gurugram</t>
  </si>
  <si>
    <t>Plot No. 24, Sector-32, Gurugram, Haryana</t>
  </si>
  <si>
    <t>2135 (Land)</t>
  </si>
  <si>
    <t>8.11.2016 vide Dy.No.515/2016/IFU-II Dated14.07.2016 and appoval of Revenue Secretary vide FTS No.300289767 dated 28.07.2016.</t>
  </si>
  <si>
    <t>Financial Adviser (Govt. of India)</t>
  </si>
  <si>
    <t>08.11.2016 to 07.11.2019 &amp;08.11.2019 to 07.11.22</t>
  </si>
  <si>
    <t>08.11.2022</t>
  </si>
  <si>
    <t>18,42,690/-per month</t>
  </si>
  <si>
    <t>Rs.53.04 per sq feet and renewal Rs.64.25 per sq feet .</t>
  </si>
  <si>
    <t xml:space="preserve">CGST Appeal Commissionerate Gurugram is situated in a rented building at Plot No. 24, Mudit Square, Sec.-32, Gurugram-122001. Further, office of Commissioner, CGST (Audit) Gurugram is the care taker of this rented building. </t>
  </si>
  <si>
    <t xml:space="preserve">CGST Appeal Commissionerate Panchkula is situated in a rented building at SCO-407-408, Sec.-08, Panchkula-134109. Further, office of Commissioner, CGST, Panchkula is the care taker of this rented building. </t>
  </si>
  <si>
    <t>Rajkot Commissionerate</t>
  </si>
  <si>
    <t>Ahmedabad  CGST Audit</t>
  </si>
  <si>
    <t>Madurai Commissionerate</t>
  </si>
  <si>
    <t>SALEM Commissionerate</t>
  </si>
  <si>
    <t>FOR UPGRADATION OF 72 Nos. of central tax quarters. Ministry's Sanction order-Repair/02/SANCTION/2020-21 ISSUED vide letter F.No 919/95/R&amp;M/Mangaluru/HRD/2018 dated 25th June 2020 conveyed their A/A and E/S of the president for an Rs 2,95,59,000/- and the expenditure management ell vide letter F.No 8/b/10/51/5/RDEMC/2020 dated 2/07/2020 has released the funds of Rs10 lakhs for the upgradation of the said quarters.</t>
  </si>
  <si>
    <t>REF 1*</t>
  </si>
  <si>
    <r>
      <rPr>
        <b/>
        <sz val="11"/>
        <color rgb="FF000000"/>
        <rFont val="Times New Roman"/>
        <family val="1"/>
      </rPr>
      <t xml:space="preserve">REF 1 * - </t>
    </r>
    <r>
      <rPr>
        <sz val="11"/>
        <color rgb="FF000000"/>
        <rFont val="Times New Roman"/>
        <family val="1"/>
      </rPr>
      <t>Deptt prefered appeal before High Court of Orissa vide W.P.(C) No.6963/2007 dt.02.06.2007 for demand of excalated price raised by CDA, till to date the appeal so filed before High Court of Orissa not yet decided. Now, an amount of Rs.04,13,24,210/- (Rs.3,21,25,085/- towards interest till 31.03.2019 and diferential Principal amount of Rs.91,99,125/-) raised by CDA. However, the said land has been taken in to possession with concrete boundary wall in the year of 2013(as advised by the Hon'ble ASG of Govt of  India).</t>
    </r>
  </si>
  <si>
    <t>Lease purchased from/alloted by CDA</t>
  </si>
  <si>
    <t>Lease purchase/ allotted by GA dept Govt of Odisha through Lease deed</t>
  </si>
  <si>
    <t>Guwahati
 Zone</t>
  </si>
  <si>
    <t xml:space="preserve">Guwahati Zone
</t>
  </si>
  <si>
    <t>REF 1 *</t>
  </si>
  <si>
    <r>
      <rPr>
        <b/>
        <sz val="11"/>
        <color theme="1"/>
        <rFont val="Times New Roman"/>
        <family val="1"/>
      </rPr>
      <t>REF 2*-</t>
    </r>
    <r>
      <rPr>
        <sz val="11"/>
        <color theme="1"/>
        <rFont val="Times New Roman"/>
        <family val="1"/>
      </rPr>
      <t xml:space="preserve"> The administrative approval and financial sanction of the President for Rs. 9,72,07,100/- conveyed by the Board vide Sanction Order No. CONST/25/SANCTION/18-19 dated 21.02.2019 under F.No. 916/11/Const/Jaipur-II/HRD/11 dated 21.02.2019. Construction work is going in full swing. 
Fund of Rs. 0.50 Crore released by DGHRD in FY 2019-20 fully utilized.  
Proposal for sanction of Rs. 9.2207 Crores during FY 2020-21 has been sent to DGHRD by Commissioner, GST, Udaipur vide letter dated 27.05.2020.</t>
    </r>
  </si>
  <si>
    <r>
      <rPr>
        <b/>
        <sz val="11"/>
        <color theme="1"/>
        <rFont val="Times New Roman"/>
        <family val="1"/>
      </rPr>
      <t xml:space="preserve">REF 1 *- </t>
    </r>
    <r>
      <rPr>
        <sz val="11"/>
        <color theme="1"/>
        <rFont val="Times New Roman"/>
        <family val="1"/>
      </rPr>
      <t>The administrative approval and financial sanction of the President for Rs. 42,06,13,100/- conveyed by the Board vide Sanction Order No.CONST/38/SANCTION/2019-20 dated 09.03.2020 under F.No.916/4/Const/Udaipur/HRD/19 dated 09.03.2020.  
Proposal for sanction of Rs. 12 Crores during FY 2020-21 with requirement of Rs. 20 Crores for next FY 2021-22 has been sent to DGHRD by Commissioner, GST, Udaipur vide letter dated 05.05.2020.</t>
    </r>
  </si>
  <si>
    <t>REF 2*</t>
  </si>
  <si>
    <t>REF 3*</t>
  </si>
  <si>
    <r>
      <rPr>
        <b/>
        <sz val="11"/>
        <color theme="1"/>
        <rFont val="Times New Roman"/>
        <family val="1"/>
      </rPr>
      <t>REF 3*</t>
    </r>
    <r>
      <rPr>
        <sz val="11"/>
        <color theme="1"/>
        <rFont val="Times New Roman"/>
        <family val="1"/>
      </rPr>
      <t xml:space="preserve">- A revised proposal alongwith preliminary estimate of Rs. 7,49,01,000/- for construction of office building for division office and Rs. 4,79,09,000/- for construction of residential quarters and guest house had been sent to DGHRD, New Delhi on 30.10.2018. Reply to discrepancies/shorcomings conveyed by the DGHRD has also been sent to the DGHRD. The DGHRD vide letter dated 04.07.2019 directed to provide non-encumbrance certificate in respect of subject land. Vide letter dated 05.03.2020, the DGHRD has been informed that as per letter dated 11.02.2020 of the Municipal Corporation, Chittorgarh, Lease Deed of the plot has already been issued in the year 2003-04 and possession was given to the department, and at present a boundary wall has been constructed on the said plot and the same is in possession of the department, hence, there is no provision for issuance of non-encumbrance certificate separately. </t>
    </r>
  </si>
  <si>
    <t>(1)Bheemunipatnam Range of North CGST Division, Visakhapatnam CGST Comm'te  
(2)  O/o the Superintendent of Central Tax, Bheemunipatnam CGST Range, North Division, Opp. Muncipal Office, Pedda Bazar, Bheemunipatnam - 531 163, Visakhapatnam Dt.   (AP)</t>
  </si>
  <si>
    <t>Customs, CGST &amp; Central Excise Residential Quarters, Himachal Vihar Colony, Near City Centre, Matigara, Siliguri, West Bengal- 734010</t>
  </si>
  <si>
    <t>In the year 2009, the Residential Quarters were constructed</t>
  </si>
  <si>
    <t>CGST &amp; Central Excise Residential Quarters, Near Jyotsnama Yee Girls School, Babupara, Siliguri, West Bengal-734004</t>
  </si>
  <si>
    <t>In the year 1979, the Residential Quarters were constructed. The area comes under Siliguri Municipality</t>
  </si>
  <si>
    <t>In the year 1989, the Residential Quarters were constructed. The area comes under Siliguri Municipality</t>
  </si>
  <si>
    <t>CGST &amp; Central Excise Residential Quarters, Near YMA Club, Babupara, Siliguri, West Bengal-734004</t>
  </si>
  <si>
    <t>In the year 1989, the Residential Quarters were constructed. The area comes under Siliguri Municipality.</t>
  </si>
  <si>
    <t>CGST &amp; Central Excise Residential Complex at Khudiram Sarani Cooch Behar ('G' &amp; 'E' Type) Pin-736101</t>
  </si>
  <si>
    <t>3671.45 Sq.m</t>
  </si>
  <si>
    <t>CGST &amp; Central Excise Residential Complex at B.S.Road &amp; M.J.N Road Crossing Cooch Behar ('D' Type) pin-736101</t>
  </si>
  <si>
    <t>1210.24 Sq.m</t>
  </si>
  <si>
    <t>CGST &amp; Central Excise Residential Complex at B.S.Road, Bairagidighi, (F- Type) Pin- 736101</t>
  </si>
  <si>
    <t>1083.675 Sq.m</t>
  </si>
  <si>
    <t>CGST &amp;Central Excise Residential Complex at  B.S.Road, Bairagi Dighi (F &amp; H Type) Pin- 736101</t>
  </si>
  <si>
    <t>2636.60 Sq.m</t>
  </si>
  <si>
    <t>CGST &amp; Central Excise Residential Complex, B.S. Road &amp; M.J.N Road Crossing (H Type) Pin-736101</t>
  </si>
  <si>
    <t>405.44 Sq.m</t>
  </si>
  <si>
    <t>CGST &amp; Central Excise Residential Complex,Alipurduar, Court, Dist Alipurduar Pin-736122</t>
  </si>
  <si>
    <t>2300 Sq.m</t>
  </si>
  <si>
    <t>Office of the Superintendent of CGST &amp; Central Excise, Alipurduar-I/II / Jaigaon Range, Alipurduar Court, Alipurduar District, Pin-736121</t>
  </si>
  <si>
    <t>City Centre, DEBHOG, Bhabanipur, Purba Medinipur, Pin-721657</t>
  </si>
  <si>
    <t>15.04.2017   Sanctioned by the Commissioner of Haldia CGST Commissionerate</t>
  </si>
  <si>
    <t>15.04.2020</t>
  </si>
  <si>
    <t>81695/- + GST as applicable</t>
  </si>
  <si>
    <t>19.43/- Per sq ft.</t>
  </si>
  <si>
    <t>Issuance of RRC is pending</t>
  </si>
  <si>
    <t>Tripathi Complex, 3rd floor, Debhog, Bhabanipur, Purba Medinipur-721657</t>
  </si>
  <si>
    <t>01.01.2016   Sanctioned by the Commissioner of Haldia CGST Commissionerate</t>
  </si>
  <si>
    <t>67,220/-</t>
  </si>
  <si>
    <t>20.38/- Per sq ft</t>
  </si>
  <si>
    <t>Issuance of RRC is pending with CPWD</t>
  </si>
  <si>
    <t>Haldia-I CGST &amp; CX Division</t>
  </si>
  <si>
    <t>Haldia-II CGST &amp; CX Division</t>
  </si>
  <si>
    <t>Commissionerate of Customs (Prev), NER, Shillong</t>
  </si>
  <si>
    <t>Smt. Suly Lyngdoh, Borsora, EKH</t>
  </si>
  <si>
    <t>Land of the Syiem of Hima Sohra, Majai, EKH</t>
  </si>
  <si>
    <t>Smt. Banrilin Dkhar Phankon, Shella Bazar, EKH</t>
  </si>
  <si>
    <t>Krisbinos Lyngdoh, Hat Mawdon. EKH</t>
  </si>
  <si>
    <t>Smt. Pynsukshisha Syiemiong,  EKH, Balat Danger</t>
  </si>
  <si>
    <t>Ailadlinda Lyngdoh, Pynursla, EKH</t>
  </si>
  <si>
    <t>Borsora LCS</t>
  </si>
  <si>
    <t>Bholaganj LCS</t>
  </si>
  <si>
    <t>Shella Bazar LCS</t>
  </si>
  <si>
    <t>Ryngku LCS</t>
  </si>
  <si>
    <t>Balat LCS</t>
  </si>
  <si>
    <t>Pynursla CPF</t>
  </si>
  <si>
    <t>483 + 508.36</t>
  </si>
  <si>
    <t>18750 Lease Land</t>
  </si>
  <si>
    <t>1000.75 - 93.02</t>
  </si>
  <si>
    <t>1617.66  -  99.6 sq.m</t>
  </si>
  <si>
    <t>1692.19  - 157.210 Sq.m</t>
  </si>
  <si>
    <t>Order dt. 10.12.2015</t>
  </si>
  <si>
    <t>Order dt. 24.01.2011</t>
  </si>
  <si>
    <t>Order dt. 08.07.2014</t>
  </si>
  <si>
    <t>Order dt. 30.03.2015</t>
  </si>
  <si>
    <t>Order dt. 16.05.2014</t>
  </si>
  <si>
    <t xml:space="preserve">Order dated </t>
  </si>
  <si>
    <t>7786/- + 8214/- p.m</t>
  </si>
  <si>
    <t>5902/- p.m</t>
  </si>
  <si>
    <t>12,290/-p.m</t>
  </si>
  <si>
    <t>9250/- p.m</t>
  </si>
  <si>
    <t>14,750/-</t>
  </si>
  <si>
    <t>15.10.2024</t>
  </si>
  <si>
    <t>09.10.2018</t>
  </si>
  <si>
    <t>31.03.2024</t>
  </si>
  <si>
    <t>31.08.2024</t>
  </si>
  <si>
    <t>09.10.2013 to 08.10.2018</t>
  </si>
  <si>
    <t>01.04.2014 to 30.03.2019</t>
  </si>
  <si>
    <t>01.09.2014 to 30.08.2019</t>
  </si>
  <si>
    <t>Customs Division Imphal, Chinmerong, Sangakpham, Paomei Colony</t>
  </si>
  <si>
    <t>Churachandpur CPF, Dist: CC-Pur</t>
  </si>
  <si>
    <t>Pallel, Dist: Chandel</t>
  </si>
  <si>
    <t>Customs Division Imphal</t>
  </si>
  <si>
    <t>Churachandpur CPF</t>
  </si>
  <si>
    <t>Pallel CPF</t>
  </si>
  <si>
    <t>1,27,000/-p.m</t>
  </si>
  <si>
    <t>6,500/-p.m</t>
  </si>
  <si>
    <t>14,806/-p.m</t>
  </si>
  <si>
    <t>Order dt. 15.03.2016</t>
  </si>
  <si>
    <t>Order dt. 04.06.2015</t>
  </si>
  <si>
    <t>Order dt. 24.10.2011</t>
  </si>
  <si>
    <t>01.08.2011 to 31.07.2016</t>
  </si>
  <si>
    <t>The matter is under process</t>
  </si>
  <si>
    <t>Customs Division Dimapur, Khermahal, Nagaland</t>
  </si>
  <si>
    <t xml:space="preserve">Numaligarh, Hazarika Complex, Golaghat, Assam </t>
  </si>
  <si>
    <t>Kohima Custom House, Imphal Road, Municipality area, Nagaland</t>
  </si>
  <si>
    <t>Nampong LCS Changlang Dist. Arunachal Pradesh</t>
  </si>
  <si>
    <t>Numaligarh CPF</t>
  </si>
  <si>
    <t>Kohima CPF</t>
  </si>
  <si>
    <t>7498/-p.m</t>
  </si>
  <si>
    <t>24,170/-p.m</t>
  </si>
  <si>
    <t>1175/-</t>
  </si>
  <si>
    <t>Order dt. 28.09.2015</t>
  </si>
  <si>
    <t>Order dt. 30.07.2015</t>
  </si>
  <si>
    <t>Order dt. 23.01.2015</t>
  </si>
  <si>
    <t>Annual</t>
  </si>
  <si>
    <t>22.12.2020</t>
  </si>
  <si>
    <t>28.02.2025</t>
  </si>
  <si>
    <t>Rent Revision due</t>
  </si>
  <si>
    <t>Champhai CPF</t>
  </si>
  <si>
    <t>Lunglei CPF</t>
  </si>
  <si>
    <t>Seling CPF</t>
  </si>
  <si>
    <t>Champhai CPF, Venglai PO &amp; Dist: Champhai, Mizoram - 796321</t>
  </si>
  <si>
    <t>Electric Veng, P.O. District Lunglei Mizoram</t>
  </si>
  <si>
    <t>Seling Aizawl, Champhai Road, Aizawl Dist: Mizoram</t>
  </si>
  <si>
    <t xml:space="preserve">Order dt. </t>
  </si>
  <si>
    <t>Order dt. 23.05.2012</t>
  </si>
  <si>
    <t>Order dt. 10.04.2013</t>
  </si>
  <si>
    <t>31.03.2012 to 30.03.2017</t>
  </si>
  <si>
    <t>31.03.2017</t>
  </si>
  <si>
    <t>31.03.2023</t>
  </si>
  <si>
    <t>5880/-</t>
  </si>
  <si>
    <t>8400/-</t>
  </si>
  <si>
    <t>Dimapur                  
(i) Ground floor    
(ii) 1st floor          
(iii) 2nd floor</t>
  </si>
  <si>
    <t>Rangia Dist- Kamrup (Assam) P.O.&amp; PS: Rangia</t>
  </si>
  <si>
    <t xml:space="preserve">Tawang, PO &amp; PS: Tawang, Arunachal Pradesh </t>
  </si>
  <si>
    <t>Darranga,Shri Shrimanta Sandardev Sakha Satra Committee</t>
  </si>
  <si>
    <t>Parking for seized vehicle at Narengi Tiniali, Guwahati</t>
  </si>
  <si>
    <t>Rania CPF</t>
  </si>
  <si>
    <t>Tawang CPF</t>
  </si>
  <si>
    <t>Darranga CPF</t>
  </si>
  <si>
    <t>Parking for seized vehicle</t>
  </si>
  <si>
    <t>LGBI Airport, Guwahati, Assam</t>
  </si>
  <si>
    <t>Bipul Malakar Narengi, Panikhaiti, Guwahati.</t>
  </si>
  <si>
    <t>Airport Service</t>
  </si>
  <si>
    <t>Parking for seized vehicle @ Rs. 250/-  per vehicle</t>
  </si>
  <si>
    <t>16,450/-</t>
  </si>
  <si>
    <t>12,190/-</t>
  </si>
  <si>
    <t>5,103/-</t>
  </si>
  <si>
    <t>30,997/-</t>
  </si>
  <si>
    <t>4,250/-</t>
  </si>
  <si>
    <t>Order dt. 01.10.2014</t>
  </si>
  <si>
    <t>Order dt. 01.01.2014</t>
  </si>
  <si>
    <t>Order dt. 17.04.2015</t>
  </si>
  <si>
    <t>01.10.2014 to 31.09.2017</t>
  </si>
  <si>
    <t xml:space="preserve">01.10.2014 to </t>
  </si>
  <si>
    <t xml:space="preserve">Under consideration </t>
  </si>
  <si>
    <t>31.03.2018</t>
  </si>
  <si>
    <t xml:space="preserve">Advt. seeking for Parking area </t>
  </si>
  <si>
    <t>Kali bari Road, Karimganj, Assam</t>
  </si>
  <si>
    <t>Main Road Badarpurghat, Badarpur, Dist: Karimganj, Assam</t>
  </si>
  <si>
    <t>P.O. Chadrapur, Dharmanagar, Tripura North - 799250</t>
  </si>
  <si>
    <t>Boulapasha P.O. Kailashahar, Dist:Unakuti, Tripura</t>
  </si>
  <si>
    <t>Karimganj Steamer and Ferry Customs Station</t>
  </si>
  <si>
    <t>Badarpur CPF</t>
  </si>
  <si>
    <t>Old Ragna Bazar</t>
  </si>
  <si>
    <t xml:space="preserve">Manu LCS &amp; Kailashahar PP </t>
  </si>
  <si>
    <t>10,850/-</t>
  </si>
  <si>
    <t>9,300/-</t>
  </si>
  <si>
    <t>13,992/-</t>
  </si>
  <si>
    <t>4,521/-</t>
  </si>
  <si>
    <t>Order dt. 23.03.2016</t>
  </si>
  <si>
    <t>Order dt. 25.05.2016</t>
  </si>
  <si>
    <t>Order dt. 13.03.2014</t>
  </si>
  <si>
    <t>16.02.2016 to 15.02.2019</t>
  </si>
  <si>
    <t>01.04.2013 to 31.03.2016</t>
  </si>
  <si>
    <t>01.01.2011 to 31.12.2015</t>
  </si>
  <si>
    <t>16.02.2022</t>
  </si>
  <si>
    <t>Dhubri Customs, N.S. Road, Dhubri</t>
  </si>
  <si>
    <t>Tulungia, North Salmara, Bongaigaon, Assam</t>
  </si>
  <si>
    <t>Village - Hatisar, Dist: Chirang- BTAD, Assam</t>
  </si>
  <si>
    <t>Dalu, Village-Killapara P.S. Dalu, Dist: West Garo Hills</t>
  </si>
  <si>
    <t>Bishnu Pada Modak, Lower Babupara, P.O. Tura, Dist: WGH</t>
  </si>
  <si>
    <t>Customs Division Dhubri</t>
  </si>
  <si>
    <t>Salmara</t>
  </si>
  <si>
    <t>Hatisar LCS</t>
  </si>
  <si>
    <t>Dalu LCS</t>
  </si>
  <si>
    <t>Hallidayganj PP</t>
  </si>
  <si>
    <t>84,000/-</t>
  </si>
  <si>
    <t>3096/-</t>
  </si>
  <si>
    <t>12,443/-</t>
  </si>
  <si>
    <t>7121/-</t>
  </si>
  <si>
    <t>Order dt. 04.08.2014</t>
  </si>
  <si>
    <t>Order dt. 01.10.2015</t>
  </si>
  <si>
    <t>Order dt. 05.04.2013</t>
  </si>
  <si>
    <t>Order No. Nil dt. 26.09.2012</t>
  </si>
  <si>
    <t xml:space="preserve">Order dt. 02.07.2003 </t>
  </si>
  <si>
    <t>04.08.2015 to 03.08.2016</t>
  </si>
  <si>
    <t>04.08.2016</t>
  </si>
  <si>
    <t>01.10.2015 to 31.09.2020</t>
  </si>
  <si>
    <t>01.11.2009 to 30.10.2014</t>
  </si>
  <si>
    <t>01.10.2014</t>
  </si>
  <si>
    <t>26.09.2012 to 25.09.2017</t>
  </si>
  <si>
    <t>26.09.2017</t>
  </si>
  <si>
    <t>02.07.2003 to 01.07.2008</t>
  </si>
  <si>
    <t>Lease Agreement due.</t>
  </si>
  <si>
    <t>Bardowali Milan Sangha, P.O. A.D. Nagar, Agartala</t>
  </si>
  <si>
    <t>Airport P.O. Narshingarh, Dist: West Tripura</t>
  </si>
  <si>
    <t>Dist: West Tripura, Pargana - Ishanchandra Nagar</t>
  </si>
  <si>
    <t xml:space="preserve">Teliamura Primary Marketing Co-operative Society Ltd. </t>
  </si>
  <si>
    <t>Sabroom, Dist: South Tripura</t>
  </si>
  <si>
    <t>Dhaliai P.S. Sonamura, Dist: Sepahijala, Tripura</t>
  </si>
  <si>
    <t xml:space="preserve">Customs Division Agartala </t>
  </si>
  <si>
    <t>Agartala Airport CPP</t>
  </si>
  <si>
    <t>Bishalgarh CPF</t>
  </si>
  <si>
    <t>Teliamura CPF</t>
  </si>
  <si>
    <t xml:space="preserve">Sabroom CPF </t>
  </si>
  <si>
    <t>Sonamura CPF</t>
  </si>
  <si>
    <t>01.07.2015 to 30.06.2018</t>
  </si>
  <si>
    <t>01.12.2005 to 31.11.2010</t>
  </si>
  <si>
    <t>01.12.2010</t>
  </si>
  <si>
    <t>06.10.2007 to 05.10.2019</t>
  </si>
  <si>
    <t>25.09.2008 to 24.09.2013</t>
  </si>
  <si>
    <t>Agreement due</t>
  </si>
  <si>
    <t>01.04.2012 to 31.03.2017</t>
  </si>
  <si>
    <t>1,48,800/-</t>
  </si>
  <si>
    <t>3510/-</t>
  </si>
  <si>
    <t>16,425/-</t>
  </si>
  <si>
    <t>8,000/-</t>
  </si>
  <si>
    <t>15,210/-</t>
  </si>
  <si>
    <t>684   -   1125 sq.ft</t>
  </si>
  <si>
    <t>Order dt. 12.05.2015</t>
  </si>
  <si>
    <t>Order dt. 19.05.2008</t>
  </si>
  <si>
    <t>Order dt. 06.10.2007</t>
  </si>
  <si>
    <t>Order dt. 25.09.2008</t>
  </si>
  <si>
    <t>Order dt. 13.10.2015</t>
  </si>
  <si>
    <t>Order dt. 27.11.2012</t>
  </si>
  <si>
    <t>Guwahati CGST Zone</t>
  </si>
  <si>
    <t>Customs Division Dimapur</t>
  </si>
  <si>
    <t>Customs Division Aizawl</t>
  </si>
  <si>
    <t xml:space="preserve">Customs Division Guwahati </t>
  </si>
  <si>
    <t>Customs Division Karimganj</t>
  </si>
  <si>
    <t>Customs Division Agartala</t>
  </si>
  <si>
    <t>Annexure B: Office Buildings</t>
  </si>
  <si>
    <t>01.12.2019 to 31.11.2024</t>
  </si>
  <si>
    <t>12,000/- p.a</t>
  </si>
  <si>
    <t>01.01.2011 to 31.12.2061 (Fifty years)</t>
  </si>
  <si>
    <t>01.01.2062</t>
  </si>
  <si>
    <t>01.10.2018 to 31.09.2024</t>
  </si>
  <si>
    <t>22.12.2017 to 21.12.2020</t>
  </si>
  <si>
    <t>01.02.2020 to 31.01.2025</t>
  </si>
  <si>
    <t>01.04.2018 to 30.03.2023</t>
  </si>
  <si>
    <t>Bolpur Commissinerate</t>
  </si>
  <si>
    <t>ANNEXURE A : LAND</t>
  </si>
  <si>
    <t>ANNEXURE C : RESIDENTIAL QUARTERS</t>
  </si>
  <si>
    <t>ANNEXURE D: HIRED PREMISES</t>
  </si>
</sst>
</file>

<file path=xl/styles.xml><?xml version="1.0" encoding="utf-8"?>
<styleSheet xmlns="http://schemas.openxmlformats.org/spreadsheetml/2006/main">
  <numFmts count="13">
    <numFmt numFmtId="43" formatCode="_(* #,##0.00_);_(* \(#,##0.00\);_(* &quot;-&quot;??_);_(@_)"/>
    <numFmt numFmtId="164" formatCode="0.0000000"/>
    <numFmt numFmtId="165" formatCode="#,##0.000"/>
    <numFmt numFmtId="166" formatCode="B1mmm/yy"/>
    <numFmt numFmtId="167" formatCode="#,##0.000000"/>
    <numFmt numFmtId="168" formatCode="#,##0.00000"/>
    <numFmt numFmtId="169" formatCode="_ * #,##0_ ;_ * \-#,##0_ ;_ * &quot;-&quot;??_ ;_ @_ "/>
    <numFmt numFmtId="170" formatCode="_(* #,##0_);_(* \(#,##0\);_(* &quot;-&quot;??_);_(@_)"/>
    <numFmt numFmtId="171" formatCode="0;[Red]0"/>
    <numFmt numFmtId="172" formatCode="mm/dd/yyyy"/>
    <numFmt numFmtId="173" formatCode="&quot;Rs.&quot;\ #,##0.00;[Red]&quot;Rs.&quot;\ \-#,##0.00"/>
    <numFmt numFmtId="174" formatCode="&quot;Rs.&quot;\ #,##0;[Red]&quot;Rs.&quot;\ \-#,##0"/>
    <numFmt numFmtId="175" formatCode="0.000"/>
  </numFmts>
  <fonts count="46">
    <font>
      <sz val="11"/>
      <color theme="1"/>
      <name val="Calibri"/>
      <family val="2"/>
      <scheme val="minor"/>
    </font>
    <font>
      <sz val="11"/>
      <color theme="1"/>
      <name val="Calibri"/>
      <family val="2"/>
      <scheme val="minor"/>
    </font>
    <font>
      <b/>
      <sz val="11"/>
      <color theme="1"/>
      <name val="Calibri"/>
      <family val="2"/>
      <scheme val="minor"/>
    </font>
    <font>
      <sz val="11"/>
      <color theme="1"/>
      <name val="Verdana"/>
      <family val="2"/>
    </font>
    <font>
      <sz val="11"/>
      <color rgb="FF000000"/>
      <name val="Calibri"/>
      <family val="2"/>
    </font>
    <font>
      <b/>
      <sz val="11"/>
      <color theme="1"/>
      <name val="Verdana"/>
      <family val="2"/>
    </font>
    <font>
      <sz val="11"/>
      <color theme="1"/>
      <name val="Times New Roman"/>
      <family val="1"/>
    </font>
    <font>
      <b/>
      <sz val="11"/>
      <color theme="1"/>
      <name val="Times New Roman"/>
      <family val="1"/>
    </font>
    <font>
      <b/>
      <sz val="11"/>
      <name val="Times New Roman"/>
      <family val="1"/>
    </font>
    <font>
      <b/>
      <sz val="11"/>
      <color rgb="FF000000"/>
      <name val="Times New Roman"/>
      <family val="1"/>
    </font>
    <font>
      <sz val="11"/>
      <name val="Times New Roman"/>
      <family val="1"/>
    </font>
    <font>
      <b/>
      <sz val="16"/>
      <color theme="1"/>
      <name val="Times New Roman"/>
      <family val="1"/>
    </font>
    <font>
      <sz val="10"/>
      <color theme="1"/>
      <name val="Calibri"/>
      <family val="2"/>
      <scheme val="minor"/>
    </font>
    <font>
      <b/>
      <sz val="18"/>
      <color theme="1"/>
      <name val="Times New Roman"/>
      <family val="1"/>
    </font>
    <font>
      <b/>
      <sz val="20"/>
      <color theme="1"/>
      <name val="Times New Roman"/>
      <family val="1"/>
    </font>
    <font>
      <sz val="11"/>
      <name val="Calibri"/>
      <family val="2"/>
      <scheme val="minor"/>
    </font>
    <font>
      <sz val="11"/>
      <color rgb="FF333333"/>
      <name val="Times New Roman"/>
      <family val="1"/>
    </font>
    <font>
      <sz val="11"/>
      <color rgb="FF000000"/>
      <name val="Times New Roman"/>
      <family val="1"/>
    </font>
    <font>
      <sz val="10"/>
      <color theme="1"/>
      <name val="Arial"/>
      <family val="2"/>
    </font>
    <font>
      <sz val="12"/>
      <color theme="1"/>
      <name val="Times New Roman"/>
      <family val="1"/>
    </font>
    <font>
      <sz val="11"/>
      <color theme="1"/>
      <name val="Arial"/>
      <family val="2"/>
    </font>
    <font>
      <sz val="10"/>
      <name val="Calibri"/>
      <family val="2"/>
      <scheme val="minor"/>
    </font>
    <font>
      <sz val="11"/>
      <color rgb="FFFF0000"/>
      <name val="Times New Roman"/>
      <family val="1"/>
    </font>
    <font>
      <sz val="11"/>
      <color theme="1"/>
      <name val="Bookman Old Style"/>
      <family val="1"/>
    </font>
    <font>
      <b/>
      <sz val="18"/>
      <name val="Times New Roman"/>
      <family val="1"/>
    </font>
    <font>
      <sz val="12"/>
      <color rgb="FF000000"/>
      <name val="Times New Roman"/>
      <family val="1"/>
    </font>
    <font>
      <sz val="12"/>
      <color theme="1"/>
      <name val="Calibri"/>
      <family val="2"/>
      <scheme val="minor"/>
    </font>
    <font>
      <sz val="11"/>
      <color rgb="FF000000"/>
      <name val="Verdana"/>
      <family val="2"/>
    </font>
    <font>
      <sz val="11"/>
      <name val="Verdana"/>
      <family val="2"/>
    </font>
    <font>
      <b/>
      <sz val="16"/>
      <color rgb="FF000000"/>
      <name val="Times New Roman"/>
      <family val="1"/>
    </font>
    <font>
      <sz val="11"/>
      <color rgb="FF222222"/>
      <name val="Times New Roman"/>
      <family val="1"/>
    </font>
    <font>
      <sz val="11"/>
      <color theme="0"/>
      <name val="Times New Roman"/>
      <family val="1"/>
    </font>
    <font>
      <sz val="11"/>
      <color rgb="FF00B050"/>
      <name val="Times New Roman"/>
      <family val="1"/>
    </font>
    <font>
      <sz val="11"/>
      <color rgb="FF00B0F0"/>
      <name val="Times New Roman"/>
      <family val="1"/>
    </font>
    <font>
      <b/>
      <sz val="11"/>
      <color indexed="8"/>
      <name val="Times New Roman"/>
      <family val="1"/>
    </font>
    <font>
      <sz val="11"/>
      <color indexed="8"/>
      <name val="Times New Roman"/>
      <family val="1"/>
    </font>
    <font>
      <b/>
      <sz val="14"/>
      <color theme="1"/>
      <name val="Arial"/>
      <family val="2"/>
    </font>
    <font>
      <vertAlign val="superscript"/>
      <sz val="11"/>
      <color theme="1"/>
      <name val="Times New Roman"/>
      <family val="1"/>
    </font>
    <font>
      <sz val="11"/>
      <color theme="1"/>
      <name val="Arial Narrow"/>
      <family val="2"/>
    </font>
    <font>
      <sz val="10"/>
      <color theme="1"/>
      <name val="Arial Narrow"/>
      <family val="2"/>
    </font>
    <font>
      <b/>
      <sz val="20"/>
      <color rgb="FF000000"/>
      <name val="Times New Roman"/>
      <family val="1"/>
    </font>
    <font>
      <vertAlign val="superscript"/>
      <sz val="11"/>
      <color rgb="FF000000"/>
      <name val="Times New Roman"/>
      <family val="1"/>
    </font>
    <font>
      <b/>
      <sz val="11"/>
      <color rgb="FF333333"/>
      <name val="Times New Roman"/>
      <family val="1"/>
    </font>
    <font>
      <sz val="12"/>
      <color theme="1"/>
      <name val="Arial Narrow"/>
      <family val="2"/>
    </font>
    <font>
      <sz val="12"/>
      <name val="Calibri"/>
      <family val="2"/>
      <scheme val="minor"/>
    </font>
    <font>
      <sz val="9"/>
      <color theme="1"/>
      <name val="Bookman Old Style"/>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bgColor rgb="FF000000"/>
      </patternFill>
    </fill>
    <fill>
      <patternFill patternType="solid">
        <fgColor rgb="FFFFC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theme="4"/>
      </top>
      <bottom/>
      <diagonal/>
    </border>
    <border>
      <left/>
      <right/>
      <top style="thin">
        <color theme="4"/>
      </top>
      <bottom style="thin">
        <color theme="4"/>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5">
    <xf numFmtId="0" fontId="0" fillId="0" borderId="0"/>
    <xf numFmtId="9" fontId="1" fillId="0" borderId="0" applyFont="0" applyFill="0" applyBorder="0" applyAlignment="0" applyProtection="0"/>
    <xf numFmtId="0" fontId="4" fillId="0" borderId="0" applyNumberFormat="0" applyBorder="0" applyAlignment="0"/>
    <xf numFmtId="0" fontId="4" fillId="0" borderId="0" applyNumberFormat="0" applyBorder="0" applyAlignment="0"/>
    <xf numFmtId="43" fontId="1" fillId="0" borderId="0" applyFont="0" applyFill="0" applyBorder="0" applyAlignment="0" applyProtection="0"/>
  </cellStyleXfs>
  <cellXfs count="806">
    <xf numFmtId="0" fontId="0" fillId="0" borderId="0" xfId="0"/>
    <xf numFmtId="0" fontId="10" fillId="0" borderId="1" xfId="0" applyFont="1" applyBorder="1" applyAlignment="1">
      <alignment vertical="center" wrapText="1"/>
    </xf>
    <xf numFmtId="17" fontId="6" fillId="0" borderId="1" xfId="0" applyNumberFormat="1" applyFont="1" applyBorder="1" applyAlignment="1">
      <alignment horizontal="center" vertical="top" wrapText="1"/>
    </xf>
    <xf numFmtId="0" fontId="0" fillId="0" borderId="1" xfId="0" applyBorder="1" applyAlignment="1">
      <alignment vertical="top" wrapText="1"/>
    </xf>
    <xf numFmtId="0" fontId="10" fillId="0" borderId="1" xfId="0" applyFont="1" applyBorder="1"/>
    <xf numFmtId="0" fontId="6" fillId="0" borderId="1" xfId="0" quotePrefix="1" applyFont="1" applyBorder="1" applyAlignment="1">
      <alignment horizontal="center" vertical="top"/>
    </xf>
    <xf numFmtId="0" fontId="0" fillId="0" borderId="0" xfId="0" applyFill="1" applyAlignment="1">
      <alignment horizontal="center" vertical="center" wrapText="1"/>
    </xf>
    <xf numFmtId="0" fontId="5"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15" fillId="0" borderId="1" xfId="0" applyFont="1" applyBorder="1" applyAlignment="1">
      <alignment horizontal="center" vertical="top" wrapText="1"/>
    </xf>
    <xf numFmtId="0" fontId="0" fillId="0" borderId="1" xfId="0" applyBorder="1" applyAlignment="1">
      <alignment horizontal="center" vertical="top" wrapText="1"/>
    </xf>
    <xf numFmtId="0" fontId="5" fillId="2" borderId="0" xfId="0" applyFont="1" applyFill="1" applyAlignment="1">
      <alignment horizontal="left" vertical="top"/>
    </xf>
    <xf numFmtId="0" fontId="3" fillId="2" borderId="0" xfId="0" applyFont="1" applyFill="1" applyBorder="1" applyAlignment="1">
      <alignment horizontal="left" vertical="top"/>
    </xf>
    <xf numFmtId="0" fontId="3" fillId="2" borderId="0" xfId="0" applyFont="1" applyFill="1" applyAlignment="1">
      <alignment horizontal="left" vertical="top"/>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3" fillId="2" borderId="0" xfId="0" applyFont="1" applyFill="1" applyAlignment="1">
      <alignment horizontal="left" vertical="top" wrapText="1"/>
    </xf>
    <xf numFmtId="0" fontId="3" fillId="2" borderId="1" xfId="0" applyFont="1" applyFill="1" applyBorder="1" applyAlignment="1">
      <alignment horizontal="center" vertical="top" wrapText="1"/>
    </xf>
    <xf numFmtId="0" fontId="9" fillId="2" borderId="1" xfId="2" applyFont="1" applyFill="1" applyBorder="1" applyAlignment="1" applyProtection="1">
      <alignment horizontal="center" vertical="top" wrapText="1"/>
    </xf>
    <xf numFmtId="0" fontId="7" fillId="2" borderId="1" xfId="0" applyFont="1" applyFill="1" applyBorder="1" applyAlignment="1">
      <alignment horizontal="center" vertical="top" wrapText="1"/>
    </xf>
    <xf numFmtId="0" fontId="8" fillId="2" borderId="1" xfId="0" applyFont="1" applyFill="1" applyBorder="1" applyAlignment="1">
      <alignment horizontal="center" vertical="top" wrapText="1"/>
    </xf>
    <xf numFmtId="0" fontId="3" fillId="2" borderId="0" xfId="0" applyFont="1" applyFill="1" applyAlignment="1">
      <alignment horizontal="center" vertical="top"/>
    </xf>
    <xf numFmtId="0" fontId="3" fillId="2" borderId="0" xfId="0" applyFont="1" applyFill="1" applyAlignment="1">
      <alignment vertical="top"/>
    </xf>
    <xf numFmtId="0" fontId="17" fillId="0" borderId="1" xfId="2" applyFont="1" applyFill="1" applyBorder="1" applyAlignment="1" applyProtection="1">
      <alignment horizontal="center" vertical="top" wrapText="1"/>
    </xf>
    <xf numFmtId="0" fontId="6" fillId="0" borderId="1" xfId="0" applyFont="1" applyBorder="1"/>
    <xf numFmtId="0" fontId="6" fillId="0" borderId="1" xfId="0" applyFont="1" applyBorder="1" applyAlignment="1">
      <alignment wrapText="1"/>
    </xf>
    <xf numFmtId="0" fontId="10" fillId="0" borderId="1" xfId="0" applyFont="1" applyBorder="1" applyAlignment="1">
      <alignment vertical="top"/>
    </xf>
    <xf numFmtId="0" fontId="10" fillId="2" borderId="1" xfId="0" applyFont="1" applyFill="1" applyBorder="1" applyAlignment="1">
      <alignment horizontal="center" vertical="top"/>
    </xf>
    <xf numFmtId="0" fontId="10" fillId="0" borderId="1" xfId="2" applyFont="1" applyFill="1" applyBorder="1" applyAlignment="1" applyProtection="1">
      <alignment horizontal="left" vertical="top" wrapText="1"/>
    </xf>
    <xf numFmtId="0" fontId="10" fillId="0" borderId="1" xfId="0" applyFont="1" applyBorder="1" applyAlignment="1">
      <alignment horizontal="justify" vertical="top" wrapText="1"/>
    </xf>
    <xf numFmtId="0" fontId="6" fillId="2" borderId="1" xfId="0" applyFont="1" applyFill="1" applyBorder="1" applyAlignment="1">
      <alignment vertical="top" wrapText="1"/>
    </xf>
    <xf numFmtId="3" fontId="6" fillId="0" borderId="1" xfId="0" applyNumberFormat="1" applyFont="1" applyBorder="1" applyAlignment="1">
      <alignment horizontal="center" vertical="top"/>
    </xf>
    <xf numFmtId="0" fontId="6" fillId="0" borderId="0" xfId="0" applyFont="1" applyAlignment="1">
      <alignment horizontal="left" vertical="top" wrapText="1"/>
    </xf>
    <xf numFmtId="0" fontId="6" fillId="0" borderId="1" xfId="0" applyFont="1" applyBorder="1" applyAlignment="1">
      <alignment horizontal="left" vertical="center"/>
    </xf>
    <xf numFmtId="0" fontId="10" fillId="2" borderId="1" xfId="0" applyFont="1" applyFill="1" applyBorder="1" applyAlignment="1">
      <alignment horizontal="left" vertical="top" wrapText="1"/>
    </xf>
    <xf numFmtId="0" fontId="7" fillId="2" borderId="1" xfId="0" applyFont="1" applyFill="1" applyBorder="1" applyAlignment="1">
      <alignment horizontal="center" vertical="top"/>
    </xf>
    <xf numFmtId="0" fontId="10" fillId="4" borderId="1" xfId="0" applyFont="1" applyFill="1" applyBorder="1" applyAlignment="1">
      <alignment horizontal="center" vertical="top" wrapText="1"/>
    </xf>
    <xf numFmtId="17" fontId="10" fillId="0" borderId="1" xfId="0" applyNumberFormat="1" applyFont="1" applyBorder="1" applyAlignment="1">
      <alignment horizontal="center" vertical="top" wrapText="1"/>
    </xf>
    <xf numFmtId="0" fontId="10" fillId="0" borderId="1" xfId="0" quotePrefix="1" applyFont="1" applyBorder="1" applyAlignment="1">
      <alignment horizontal="center" vertical="top"/>
    </xf>
    <xf numFmtId="0" fontId="10" fillId="2" borderId="1" xfId="0" quotePrefix="1" applyFont="1" applyFill="1" applyBorder="1" applyAlignment="1">
      <alignment horizontal="center" vertical="top"/>
    </xf>
    <xf numFmtId="17" fontId="6" fillId="0" borderId="1" xfId="0" applyNumberFormat="1" applyFont="1" applyBorder="1" applyAlignment="1">
      <alignment horizontal="center" vertical="top"/>
    </xf>
    <xf numFmtId="14" fontId="6" fillId="0" borderId="1" xfId="0" applyNumberFormat="1" applyFont="1" applyBorder="1" applyAlignment="1">
      <alignment horizontal="center" vertical="top"/>
    </xf>
    <xf numFmtId="0" fontId="6" fillId="0" borderId="1" xfId="0" applyFont="1" applyFill="1" applyBorder="1" applyAlignment="1">
      <alignment horizontal="left" vertical="top" wrapText="1"/>
    </xf>
    <xf numFmtId="0" fontId="10" fillId="0" borderId="1" xfId="0" applyFont="1" applyBorder="1" applyAlignment="1">
      <alignment horizontal="left" vertical="top"/>
    </xf>
    <xf numFmtId="2" fontId="6" fillId="2" borderId="1" xfId="0" applyNumberFormat="1" applyFont="1" applyFill="1" applyBorder="1" applyAlignment="1">
      <alignment horizontal="center" vertical="top" wrapText="1"/>
    </xf>
    <xf numFmtId="0" fontId="16" fillId="4" borderId="1" xfId="0" applyFont="1" applyFill="1" applyBorder="1" applyAlignment="1" applyProtection="1">
      <alignment horizontal="center" vertical="top" wrapText="1"/>
    </xf>
    <xf numFmtId="0" fontId="7" fillId="0" borderId="1" xfId="0" applyFont="1" applyFill="1" applyBorder="1" applyAlignment="1">
      <alignment horizontal="center" vertical="top" wrapText="1"/>
    </xf>
    <xf numFmtId="0" fontId="5" fillId="0" borderId="1" xfId="0" applyFont="1" applyFill="1" applyBorder="1" applyAlignment="1">
      <alignment horizontal="center" vertical="top"/>
    </xf>
    <xf numFmtId="0" fontId="26" fillId="0" borderId="1" xfId="0" applyFont="1" applyBorder="1" applyAlignment="1">
      <alignment horizontal="center" vertical="top" wrapText="1"/>
    </xf>
    <xf numFmtId="0" fontId="10" fillId="0" borderId="1" xfId="0" applyFont="1" applyFill="1" applyBorder="1" applyAlignment="1">
      <alignment horizontal="center" vertical="top" wrapText="1"/>
    </xf>
    <xf numFmtId="0" fontId="6" fillId="0" borderId="1" xfId="0" applyFont="1" applyFill="1" applyBorder="1" applyAlignment="1">
      <alignment horizontal="left" vertical="top"/>
    </xf>
    <xf numFmtId="0" fontId="7" fillId="0"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6" fillId="0" borderId="1" xfId="0" applyFont="1" applyFill="1" applyBorder="1" applyAlignment="1">
      <alignment vertical="top" wrapText="1"/>
    </xf>
    <xf numFmtId="0" fontId="10" fillId="0" borderId="1" xfId="0" quotePrefix="1" applyFont="1" applyBorder="1" applyAlignment="1">
      <alignment horizontal="center" vertical="top" wrapText="1"/>
    </xf>
    <xf numFmtId="0" fontId="17" fillId="2" borderId="1" xfId="0" applyFont="1" applyFill="1" applyBorder="1" applyAlignment="1">
      <alignment horizontal="center" vertical="top" wrapText="1"/>
    </xf>
    <xf numFmtId="0" fontId="17" fillId="2" borderId="1" xfId="0" applyFont="1" applyFill="1" applyBorder="1" applyAlignment="1">
      <alignment horizontal="left" vertical="top" wrapText="1"/>
    </xf>
    <xf numFmtId="14" fontId="6" fillId="2" borderId="1" xfId="0" applyNumberFormat="1" applyFont="1" applyFill="1" applyBorder="1" applyAlignment="1">
      <alignment horizontal="center" vertical="top" wrapText="1"/>
    </xf>
    <xf numFmtId="0" fontId="6" fillId="0" borderId="0" xfId="0" applyFont="1" applyAlignment="1">
      <alignment horizontal="center" vertical="top" wrapText="1"/>
    </xf>
    <xf numFmtId="17" fontId="6" fillId="0" borderId="1" xfId="0" applyNumberFormat="1" applyFont="1" applyFill="1" applyBorder="1" applyAlignment="1">
      <alignment horizontal="center" vertical="top"/>
    </xf>
    <xf numFmtId="2" fontId="17" fillId="0" borderId="1" xfId="2" applyNumberFormat="1" applyFont="1" applyFill="1" applyBorder="1" applyAlignment="1" applyProtection="1">
      <alignment horizontal="center" vertical="top" wrapText="1"/>
    </xf>
    <xf numFmtId="14" fontId="17" fillId="0" borderId="1" xfId="2" applyNumberFormat="1" applyFont="1" applyFill="1" applyBorder="1" applyAlignment="1" applyProtection="1">
      <alignment horizontal="center" vertical="top" wrapText="1"/>
    </xf>
    <xf numFmtId="0" fontId="17" fillId="0" borderId="1" xfId="3" applyNumberFormat="1" applyFont="1" applyFill="1" applyBorder="1" applyAlignment="1" applyProtection="1">
      <alignment horizontal="center" vertical="top" wrapText="1"/>
    </xf>
    <xf numFmtId="0" fontId="17" fillId="0" borderId="1" xfId="2" applyNumberFormat="1" applyFont="1" applyFill="1" applyBorder="1" applyAlignment="1" applyProtection="1">
      <alignment horizontal="center" vertical="top" wrapText="1"/>
    </xf>
    <xf numFmtId="3" fontId="17" fillId="0" borderId="1" xfId="2" applyNumberFormat="1" applyFont="1" applyFill="1" applyBorder="1" applyAlignment="1" applyProtection="1">
      <alignment horizontal="center" vertical="top" wrapText="1"/>
    </xf>
    <xf numFmtId="0" fontId="6" fillId="2" borderId="1" xfId="0" quotePrefix="1" applyFont="1" applyFill="1" applyBorder="1" applyAlignment="1">
      <alignment horizontal="center" vertical="top"/>
    </xf>
    <xf numFmtId="0" fontId="6" fillId="0" borderId="1" xfId="0" quotePrefix="1" applyFont="1" applyBorder="1" applyAlignment="1">
      <alignment horizontal="center" vertical="top" wrapText="1"/>
    </xf>
    <xf numFmtId="0" fontId="8" fillId="0" borderId="1" xfId="0" applyFont="1" applyFill="1" applyBorder="1" applyAlignment="1">
      <alignment horizontal="center" vertical="top" wrapText="1"/>
    </xf>
    <xf numFmtId="0" fontId="6" fillId="0" borderId="1" xfId="0" quotePrefix="1" applyFont="1" applyFill="1" applyBorder="1" applyAlignment="1">
      <alignment horizontal="center" vertical="top"/>
    </xf>
    <xf numFmtId="0" fontId="10" fillId="0" borderId="1" xfId="0" quotePrefix="1" applyFont="1" applyFill="1" applyBorder="1" applyAlignment="1">
      <alignment horizontal="center" vertical="top"/>
    </xf>
    <xf numFmtId="0" fontId="7"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14" fontId="10" fillId="0" borderId="1" xfId="0" applyNumberFormat="1" applyFont="1" applyBorder="1" applyAlignment="1">
      <alignment horizontal="center" vertical="top" wrapText="1"/>
    </xf>
    <xf numFmtId="0" fontId="10" fillId="4" borderId="1" xfId="0" applyFont="1" applyFill="1" applyBorder="1" applyAlignment="1">
      <alignment horizontal="left" vertical="top" wrapText="1"/>
    </xf>
    <xf numFmtId="0" fontId="9" fillId="0" borderId="1" xfId="2" applyFont="1" applyFill="1" applyBorder="1" applyAlignment="1" applyProtection="1">
      <alignment horizontal="center" vertical="top" wrapText="1"/>
    </xf>
    <xf numFmtId="0" fontId="10" fillId="0" borderId="1" xfId="0" applyFont="1" applyFill="1" applyBorder="1" applyAlignment="1">
      <alignment horizontal="left" vertical="top"/>
    </xf>
    <xf numFmtId="0" fontId="30" fillId="0" borderId="1" xfId="0" applyFont="1" applyFill="1" applyBorder="1" applyAlignment="1">
      <alignment horizontal="left" vertical="top" wrapText="1"/>
    </xf>
    <xf numFmtId="0" fontId="10" fillId="0" borderId="1" xfId="0" applyFont="1" applyFill="1" applyBorder="1" applyAlignment="1">
      <alignment horizontal="justify" vertical="top" wrapText="1"/>
    </xf>
    <xf numFmtId="0" fontId="30" fillId="0" borderId="1" xfId="0" applyFont="1" applyBorder="1" applyAlignment="1">
      <alignment horizontal="left" vertical="top" wrapText="1"/>
    </xf>
    <xf numFmtId="0" fontId="7" fillId="0" borderId="1" xfId="0" applyFont="1" applyFill="1" applyBorder="1" applyAlignment="1">
      <alignment horizontal="center" vertical="top"/>
    </xf>
    <xf numFmtId="0" fontId="7" fillId="0" borderId="0" xfId="0" applyFont="1" applyFill="1" applyBorder="1" applyAlignment="1">
      <alignment horizontal="center" vertical="center" wrapText="1"/>
    </xf>
    <xf numFmtId="0" fontId="7" fillId="0" borderId="0" xfId="0" applyFont="1" applyFill="1" applyBorder="1" applyAlignment="1">
      <alignment horizontal="center" vertical="top" wrapText="1"/>
    </xf>
    <xf numFmtId="0" fontId="7" fillId="0" borderId="11" xfId="0" applyFont="1" applyFill="1" applyBorder="1" applyAlignment="1">
      <alignment horizontal="center" vertical="top" wrapText="1"/>
    </xf>
    <xf numFmtId="0" fontId="6" fillId="0" borderId="1" xfId="0" quotePrefix="1" applyFont="1" applyFill="1" applyBorder="1" applyAlignment="1">
      <alignment horizontal="center" vertical="top" wrapText="1"/>
    </xf>
    <xf numFmtId="2" fontId="6" fillId="0" borderId="1" xfId="0" applyNumberFormat="1" applyFont="1" applyBorder="1" applyAlignment="1">
      <alignment horizontal="center" vertical="top"/>
    </xf>
    <xf numFmtId="2" fontId="6" fillId="0" borderId="1" xfId="0" applyNumberFormat="1" applyFont="1" applyFill="1" applyBorder="1" applyAlignment="1">
      <alignment horizontal="center" vertical="top"/>
    </xf>
    <xf numFmtId="3" fontId="6" fillId="0" borderId="1" xfId="0" applyNumberFormat="1" applyFont="1" applyBorder="1" applyAlignment="1">
      <alignment horizontal="center" vertical="top" wrapText="1"/>
    </xf>
    <xf numFmtId="0" fontId="7" fillId="0" borderId="4" xfId="0" applyFont="1" applyFill="1" applyBorder="1" applyAlignment="1">
      <alignment horizontal="center" vertical="top"/>
    </xf>
    <xf numFmtId="14" fontId="6" fillId="0" borderId="1" xfId="0" applyNumberFormat="1" applyFont="1" applyBorder="1" applyAlignment="1">
      <alignment horizontal="left" vertical="top"/>
    </xf>
    <xf numFmtId="0" fontId="6" fillId="0" borderId="1" xfId="2" applyFont="1" applyFill="1" applyBorder="1" applyAlignment="1" applyProtection="1">
      <alignment horizontal="center" vertical="top"/>
    </xf>
    <xf numFmtId="0" fontId="6" fillId="0" borderId="1" xfId="2" applyFont="1" applyFill="1" applyBorder="1" applyAlignment="1" applyProtection="1">
      <alignment horizontal="center" vertical="top" wrapText="1"/>
    </xf>
    <xf numFmtId="0" fontId="17" fillId="0" borderId="1" xfId="2" applyFont="1" applyFill="1" applyBorder="1" applyAlignment="1" applyProtection="1">
      <alignment horizontal="center" vertical="top"/>
    </xf>
    <xf numFmtId="0" fontId="17" fillId="0" borderId="1" xfId="0" applyFont="1" applyBorder="1" applyAlignment="1">
      <alignment horizontal="center" vertical="top" wrapText="1"/>
    </xf>
    <xf numFmtId="0" fontId="6" fillId="0" borderId="4" xfId="2" applyFont="1" applyFill="1" applyBorder="1" applyAlignment="1" applyProtection="1">
      <alignment horizontal="center" vertical="top"/>
    </xf>
    <xf numFmtId="0" fontId="17" fillId="0" borderId="1" xfId="0" quotePrefix="1" applyFont="1" applyBorder="1" applyAlignment="1">
      <alignment horizontal="center" vertical="top" wrapText="1"/>
    </xf>
    <xf numFmtId="0" fontId="17" fillId="0" borderId="1" xfId="0" applyFont="1" applyBorder="1" applyAlignment="1">
      <alignment horizontal="justify" vertical="top" wrapText="1"/>
    </xf>
    <xf numFmtId="0" fontId="6" fillId="0" borderId="24" xfId="2" applyFont="1" applyFill="1" applyBorder="1" applyAlignment="1">
      <alignment horizontal="left" vertical="top" wrapText="1"/>
    </xf>
    <xf numFmtId="0" fontId="6" fillId="0" borderId="1" xfId="2" applyFont="1" applyFill="1" applyBorder="1" applyAlignment="1">
      <alignment horizontal="center" vertical="top" wrapText="1"/>
    </xf>
    <xf numFmtId="0" fontId="6" fillId="0" borderId="2" xfId="2" applyFont="1" applyFill="1" applyBorder="1" applyAlignment="1">
      <alignment horizontal="left" vertical="top" wrapText="1"/>
    </xf>
    <xf numFmtId="0" fontId="6" fillId="0" borderId="2" xfId="2" applyFont="1" applyFill="1" applyBorder="1" applyAlignment="1">
      <alignment horizontal="center" vertical="top" wrapText="1"/>
    </xf>
    <xf numFmtId="0" fontId="6" fillId="0" borderId="10" xfId="2" applyFont="1" applyFill="1" applyBorder="1" applyAlignment="1">
      <alignment horizontal="left" vertical="top" wrapText="1"/>
    </xf>
    <xf numFmtId="0" fontId="6" fillId="0" borderId="10" xfId="2"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1" xfId="0" quotePrefix="1" applyFont="1" applyFill="1" applyBorder="1" applyAlignment="1">
      <alignment horizontal="center" vertical="top" wrapText="1"/>
    </xf>
    <xf numFmtId="0" fontId="17" fillId="0" borderId="1" xfId="0" applyFont="1" applyFill="1" applyBorder="1" applyAlignment="1">
      <alignment horizontal="center" vertical="top"/>
    </xf>
    <xf numFmtId="0" fontId="17" fillId="0" borderId="1" xfId="0" quotePrefix="1" applyFont="1" applyFill="1" applyBorder="1" applyAlignment="1">
      <alignment horizontal="center" vertical="top"/>
    </xf>
    <xf numFmtId="0" fontId="17" fillId="0" borderId="4" xfId="0" applyFont="1" applyFill="1" applyBorder="1" applyAlignment="1">
      <alignment horizontal="center" vertical="top"/>
    </xf>
    <xf numFmtId="0" fontId="17" fillId="0" borderId="4" xfId="0" quotePrefix="1" applyFont="1" applyFill="1" applyBorder="1" applyAlignment="1">
      <alignment horizontal="center" vertical="top"/>
    </xf>
    <xf numFmtId="0" fontId="6" fillId="0" borderId="24" xfId="2" applyFont="1" applyFill="1" applyBorder="1" applyAlignment="1">
      <alignment horizontal="center" vertical="top" wrapText="1"/>
    </xf>
    <xf numFmtId="0" fontId="6" fillId="0" borderId="25" xfId="2" applyFont="1" applyFill="1" applyBorder="1" applyAlignment="1">
      <alignment horizontal="center" vertical="top" wrapText="1"/>
    </xf>
    <xf numFmtId="0" fontId="6" fillId="0" borderId="3" xfId="2" applyFont="1" applyFill="1" applyBorder="1" applyAlignment="1" applyProtection="1">
      <alignment horizontal="center" vertical="top"/>
    </xf>
    <xf numFmtId="0" fontId="6" fillId="2" borderId="1" xfId="0" applyFont="1" applyFill="1" applyBorder="1" applyAlignment="1">
      <alignment horizontal="justify" vertical="top" wrapText="1"/>
    </xf>
    <xf numFmtId="14" fontId="6" fillId="2" borderId="1" xfId="0" applyNumberFormat="1" applyFont="1" applyFill="1" applyBorder="1" applyAlignment="1">
      <alignment horizontal="center" vertical="top"/>
    </xf>
    <xf numFmtId="0" fontId="10" fillId="0" borderId="1" xfId="0" applyFont="1" applyFill="1" applyBorder="1" applyAlignment="1" applyProtection="1">
      <alignment horizontal="center" vertical="top" wrapText="1"/>
    </xf>
    <xf numFmtId="0" fontId="10" fillId="0" borderId="1" xfId="0" applyFont="1" applyFill="1" applyBorder="1" applyAlignment="1" applyProtection="1">
      <alignment horizontal="left" vertical="top" wrapText="1"/>
    </xf>
    <xf numFmtId="0" fontId="0" fillId="0" borderId="1" xfId="0" applyBorder="1" applyAlignment="1">
      <alignment horizontal="left" vertical="top" wrapText="1"/>
    </xf>
    <xf numFmtId="0" fontId="17" fillId="0" borderId="1" xfId="0" applyFont="1" applyFill="1" applyBorder="1" applyAlignment="1">
      <alignment horizontal="left" vertical="top" wrapText="1"/>
    </xf>
    <xf numFmtId="0" fontId="17" fillId="2" borderId="1" xfId="2" applyFont="1" applyFill="1" applyBorder="1" applyAlignment="1" applyProtection="1">
      <alignment horizontal="center" vertical="top" wrapText="1"/>
    </xf>
    <xf numFmtId="0" fontId="10" fillId="4" borderId="1" xfId="0" applyFont="1" applyFill="1" applyBorder="1" applyAlignment="1">
      <alignment horizontal="left" vertical="top" wrapText="1" shrinkToFit="1"/>
    </xf>
    <xf numFmtId="0" fontId="17" fillId="0" borderId="16" xfId="0" applyFont="1" applyBorder="1" applyAlignment="1">
      <alignment horizontal="center" vertical="top" wrapText="1"/>
    </xf>
    <xf numFmtId="0" fontId="6" fillId="0" borderId="1" xfId="0" applyFont="1" applyFill="1" applyBorder="1"/>
    <xf numFmtId="0" fontId="6"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vertical="top"/>
    </xf>
    <xf numFmtId="0" fontId="6" fillId="0" borderId="1" xfId="0" quotePrefix="1" applyFont="1" applyBorder="1" applyAlignment="1">
      <alignment vertical="top" wrapText="1"/>
    </xf>
    <xf numFmtId="0" fontId="35" fillId="0" borderId="1" xfId="0" applyFont="1" applyFill="1" applyBorder="1" applyAlignment="1">
      <alignment horizontal="center" vertical="top" wrapText="1"/>
    </xf>
    <xf numFmtId="0" fontId="16" fillId="0" borderId="1" xfId="0" applyFont="1" applyFill="1" applyBorder="1" applyAlignment="1" applyProtection="1">
      <alignment horizontal="center" vertical="top" wrapText="1"/>
    </xf>
    <xf numFmtId="3" fontId="6" fillId="0" borderId="1" xfId="0" quotePrefix="1" applyNumberFormat="1" applyFont="1" applyBorder="1" applyAlignment="1">
      <alignment horizontal="center" vertical="top" wrapText="1"/>
    </xf>
    <xf numFmtId="0" fontId="0" fillId="0" borderId="0" xfId="0" applyAlignment="1">
      <alignment vertical="top" wrapText="1"/>
    </xf>
    <xf numFmtId="0" fontId="22" fillId="2" borderId="1" xfId="0" applyFont="1" applyFill="1" applyBorder="1" applyAlignment="1">
      <alignment horizontal="center" vertical="top" wrapText="1"/>
    </xf>
    <xf numFmtId="0" fontId="6" fillId="0" borderId="1" xfId="2" applyFont="1" applyBorder="1" applyAlignment="1">
      <alignment horizontal="center" vertical="top"/>
    </xf>
    <xf numFmtId="0" fontId="6" fillId="0" borderId="1" xfId="2" applyFont="1" applyFill="1" applyBorder="1" applyAlignment="1">
      <alignment horizontal="left" vertical="top" wrapText="1"/>
    </xf>
    <xf numFmtId="0" fontId="6" fillId="0" borderId="1" xfId="2" applyFont="1" applyFill="1" applyBorder="1" applyAlignment="1">
      <alignment horizontal="center" vertical="top"/>
    </xf>
    <xf numFmtId="0" fontId="6" fillId="0" borderId="1" xfId="2" applyFont="1" applyBorder="1" applyAlignment="1">
      <alignment horizontal="left" vertical="top" wrapText="1"/>
    </xf>
    <xf numFmtId="0" fontId="10" fillId="0" borderId="1" xfId="0" applyFont="1" applyFill="1" applyBorder="1" applyAlignment="1">
      <alignment vertical="top" wrapText="1"/>
    </xf>
    <xf numFmtId="0" fontId="8" fillId="0" borderId="1" xfId="0" applyFont="1" applyFill="1" applyBorder="1" applyAlignment="1">
      <alignment vertical="top" wrapText="1"/>
    </xf>
    <xf numFmtId="2" fontId="10" fillId="0" borderId="1" xfId="0" applyNumberFormat="1" applyFont="1" applyFill="1" applyBorder="1" applyAlignment="1">
      <alignment horizontal="center" vertical="top" wrapText="1"/>
    </xf>
    <xf numFmtId="0" fontId="3" fillId="0" borderId="0" xfId="0" applyFont="1" applyFill="1" applyAlignment="1">
      <alignment horizontal="left" vertical="top"/>
    </xf>
    <xf numFmtId="0" fontId="10" fillId="2" borderId="1" xfId="0" applyFont="1" applyFill="1" applyBorder="1" applyAlignment="1" applyProtection="1">
      <alignment horizontal="left" vertical="top" wrapText="1"/>
    </xf>
    <xf numFmtId="3" fontId="6" fillId="2" borderId="1" xfId="0" applyNumberFormat="1" applyFont="1" applyFill="1" applyBorder="1" applyAlignment="1">
      <alignment horizontal="center" vertical="top" wrapText="1"/>
    </xf>
    <xf numFmtId="0" fontId="18" fillId="0" borderId="1" xfId="0" applyFont="1" applyBorder="1"/>
    <xf numFmtId="0" fontId="36"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9" fillId="2" borderId="1" xfId="2" applyFont="1" applyFill="1" applyBorder="1" applyAlignment="1" applyProtection="1">
      <alignment horizontal="left" vertical="top" wrapText="1"/>
    </xf>
    <xf numFmtId="3" fontId="18" fillId="0" borderId="1" xfId="0" applyNumberFormat="1" applyFont="1" applyBorder="1"/>
    <xf numFmtId="0" fontId="8" fillId="2" borderId="1" xfId="0" applyFont="1" applyFill="1" applyBorder="1" applyAlignment="1">
      <alignment horizontal="center" vertical="top"/>
    </xf>
    <xf numFmtId="0" fontId="10" fillId="0" borderId="1" xfId="0" applyFont="1" applyBorder="1" applyAlignment="1">
      <alignment horizontal="center"/>
    </xf>
    <xf numFmtId="0" fontId="23" fillId="0" borderId="1" xfId="0" applyFont="1" applyBorder="1" applyAlignment="1">
      <alignment horizontal="center" vertical="center"/>
    </xf>
    <xf numFmtId="0" fontId="6" fillId="0" borderId="1" xfId="0" applyFont="1" applyBorder="1" applyAlignment="1">
      <alignment horizontal="left" vertical="top" wrapText="1"/>
    </xf>
    <xf numFmtId="0" fontId="10" fillId="2" borderId="4" xfId="0" applyFont="1" applyFill="1" applyBorder="1" applyAlignment="1">
      <alignment horizontal="center" vertical="top" wrapText="1"/>
    </xf>
    <xf numFmtId="0" fontId="10" fillId="2" borderId="5" xfId="0" applyFont="1" applyFill="1" applyBorder="1" applyAlignment="1">
      <alignment horizontal="center" vertical="top" wrapText="1"/>
    </xf>
    <xf numFmtId="0" fontId="6" fillId="0" borderId="1" xfId="0" applyFont="1" applyFill="1" applyBorder="1" applyAlignment="1">
      <alignment horizontal="center" vertical="top" wrapText="1"/>
    </xf>
    <xf numFmtId="0" fontId="6" fillId="0" borderId="1" xfId="0" applyFont="1" applyBorder="1" applyAlignment="1">
      <alignment horizontal="center" vertical="top" wrapText="1"/>
    </xf>
    <xf numFmtId="0" fontId="10" fillId="2" borderId="1" xfId="0" applyFont="1" applyFill="1" applyBorder="1" applyAlignment="1">
      <alignment horizontal="center"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2" borderId="4" xfId="0" applyFont="1" applyFill="1" applyBorder="1" applyAlignment="1">
      <alignment horizontal="left" vertical="top" wrapText="1"/>
    </xf>
    <xf numFmtId="0" fontId="6" fillId="0" borderId="4" xfId="0" applyFont="1" applyBorder="1" applyAlignment="1">
      <alignment horizontal="left" vertical="top" wrapText="1"/>
    </xf>
    <xf numFmtId="0" fontId="17" fillId="0" borderId="1" xfId="0" applyFont="1" applyBorder="1" applyAlignment="1">
      <alignment horizontal="left" vertical="top" wrapText="1"/>
    </xf>
    <xf numFmtId="0" fontId="17" fillId="0" borderId="4"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0" borderId="4" xfId="0" applyFont="1" applyBorder="1" applyAlignment="1">
      <alignment horizontal="center" vertical="top" wrapText="1"/>
    </xf>
    <xf numFmtId="0" fontId="6" fillId="0" borderId="6" xfId="0" applyFont="1" applyBorder="1" applyAlignment="1">
      <alignment horizontal="center" vertical="top" wrapText="1"/>
    </xf>
    <xf numFmtId="0" fontId="10" fillId="0" borderId="1" xfId="0" applyFont="1" applyBorder="1" applyAlignment="1">
      <alignment horizontal="left" vertical="top" wrapText="1"/>
    </xf>
    <xf numFmtId="0" fontId="10" fillId="2" borderId="1" xfId="0" applyFont="1" applyFill="1" applyBorder="1" applyAlignment="1">
      <alignment horizontal="center" vertical="top" wrapText="1"/>
    </xf>
    <xf numFmtId="0" fontId="10" fillId="0" borderId="1" xfId="0" applyFont="1" applyBorder="1" applyAlignment="1">
      <alignment horizontal="center" vertical="top" wrapText="1"/>
    </xf>
    <xf numFmtId="0" fontId="6" fillId="0" borderId="13" xfId="0" applyFont="1" applyBorder="1" applyAlignment="1">
      <alignment horizontal="left" vertical="top" wrapText="1"/>
    </xf>
    <xf numFmtId="0" fontId="6" fillId="2" borderId="1" xfId="0" applyFont="1" applyFill="1" applyBorder="1" applyAlignment="1">
      <alignment horizontal="left" vertical="top" wrapText="1"/>
    </xf>
    <xf numFmtId="0" fontId="6" fillId="0" borderId="1" xfId="0" applyFont="1" applyFill="1" applyBorder="1" applyAlignment="1">
      <alignment horizontal="center" vertical="top" wrapText="1"/>
    </xf>
    <xf numFmtId="0" fontId="6" fillId="2" borderId="1" xfId="0" applyFont="1" applyFill="1" applyBorder="1" applyAlignment="1">
      <alignment horizontal="center" vertical="top" wrapText="1"/>
    </xf>
    <xf numFmtId="170" fontId="6" fillId="0" borderId="1" xfId="4" applyNumberFormat="1" applyFont="1" applyBorder="1" applyAlignment="1">
      <alignment horizontal="center" vertical="top" wrapText="1"/>
    </xf>
    <xf numFmtId="2" fontId="6" fillId="0" borderId="1" xfId="0" applyNumberFormat="1" applyFont="1" applyFill="1" applyBorder="1" applyAlignment="1">
      <alignment horizontal="center" vertical="top" wrapText="1"/>
    </xf>
    <xf numFmtId="0" fontId="35" fillId="0" borderId="1" xfId="0" quotePrefix="1" applyFont="1" applyBorder="1" applyAlignment="1">
      <alignment horizontal="center" vertical="top" wrapText="1"/>
    </xf>
    <xf numFmtId="1" fontId="6" fillId="0" borderId="1" xfId="0" applyNumberFormat="1" applyFont="1" applyFill="1" applyBorder="1" applyAlignment="1">
      <alignment horizontal="center" vertical="top" wrapText="1"/>
    </xf>
    <xf numFmtId="14" fontId="6" fillId="0" borderId="1" xfId="0" applyNumberFormat="1" applyFont="1" applyFill="1" applyBorder="1" applyAlignment="1">
      <alignment horizontal="center" vertical="top" wrapText="1"/>
    </xf>
    <xf numFmtId="2" fontId="6" fillId="0" borderId="1" xfId="0" applyNumberFormat="1" applyFont="1" applyBorder="1" applyAlignment="1">
      <alignment horizontal="center" vertical="top" wrapText="1"/>
    </xf>
    <xf numFmtId="15" fontId="6" fillId="0" borderId="1" xfId="0" applyNumberFormat="1" applyFont="1" applyBorder="1" applyAlignment="1">
      <alignment horizontal="center" vertical="top" wrapText="1"/>
    </xf>
    <xf numFmtId="49" fontId="6" fillId="2" borderId="1" xfId="0" applyNumberFormat="1" applyFont="1" applyFill="1" applyBorder="1" applyAlignment="1">
      <alignment horizontal="center" vertical="top" wrapText="1"/>
    </xf>
    <xf numFmtId="49" fontId="6" fillId="2" borderId="1" xfId="0" applyNumberFormat="1" applyFont="1" applyFill="1" applyBorder="1" applyAlignment="1">
      <alignment horizontal="left" vertical="top" wrapText="1"/>
    </xf>
    <xf numFmtId="0" fontId="36" fillId="0" borderId="1" xfId="0" applyFont="1" applyBorder="1" applyAlignment="1">
      <alignment horizontal="center" vertical="top"/>
    </xf>
    <xf numFmtId="3" fontId="10" fillId="2" borderId="1" xfId="0" applyNumberFormat="1" applyFont="1" applyFill="1" applyBorder="1" applyAlignment="1">
      <alignment horizontal="center" vertical="top" wrapText="1"/>
    </xf>
    <xf numFmtId="172" fontId="10" fillId="0" borderId="1" xfId="0" applyNumberFormat="1" applyFont="1" applyBorder="1" applyAlignment="1">
      <alignment horizontal="center" vertical="top" wrapText="1"/>
    </xf>
    <xf numFmtId="0" fontId="35" fillId="0" borderId="1" xfId="0" applyFont="1" applyFill="1" applyBorder="1" applyAlignment="1">
      <alignment horizontal="left" vertical="top" wrapText="1"/>
    </xf>
    <xf numFmtId="14" fontId="10" fillId="2" borderId="1" xfId="0" applyNumberFormat="1" applyFont="1" applyFill="1" applyBorder="1" applyAlignment="1">
      <alignment horizontal="center" vertical="top" wrapText="1"/>
    </xf>
    <xf numFmtId="171" fontId="6" fillId="2" borderId="1" xfId="0" applyNumberFormat="1" applyFont="1" applyFill="1" applyBorder="1" applyAlignment="1">
      <alignment horizontal="center" vertical="top" wrapText="1"/>
    </xf>
    <xf numFmtId="169" fontId="6" fillId="0" borderId="1" xfId="4" applyNumberFormat="1" applyFont="1" applyBorder="1" applyAlignment="1">
      <alignment horizontal="center" vertical="top" wrapText="1"/>
    </xf>
    <xf numFmtId="3" fontId="6" fillId="0" borderId="1" xfId="0" applyNumberFormat="1" applyFont="1" applyFill="1" applyBorder="1" applyAlignment="1">
      <alignment horizontal="center" vertical="top" wrapText="1"/>
    </xf>
    <xf numFmtId="0" fontId="6" fillId="2" borderId="4" xfId="0" applyFont="1" applyFill="1" applyBorder="1" applyAlignment="1">
      <alignment horizontal="center" vertical="top" wrapText="1"/>
    </xf>
    <xf numFmtId="0" fontId="10" fillId="2" borderId="1" xfId="0" applyNumberFormat="1" applyFont="1" applyFill="1" applyBorder="1" applyAlignment="1">
      <alignment horizontal="center" vertical="top" wrapText="1"/>
    </xf>
    <xf numFmtId="3" fontId="6" fillId="0" borderId="1" xfId="0" applyNumberFormat="1" applyFont="1" applyBorder="1" applyAlignment="1">
      <alignment horizontal="center" vertical="top" wrapText="1"/>
    </xf>
    <xf numFmtId="14" fontId="6" fillId="0" borderId="1" xfId="0" applyNumberFormat="1" applyFont="1" applyBorder="1" applyAlignment="1">
      <alignment horizontal="center" vertical="top" wrapText="1"/>
    </xf>
    <xf numFmtId="0" fontId="6" fillId="0" borderId="1" xfId="0" applyFont="1" applyBorder="1" applyAlignment="1">
      <alignment horizontal="justify" vertical="top" wrapText="1"/>
    </xf>
    <xf numFmtId="0" fontId="6" fillId="0" borderId="1" xfId="0" quotePrefix="1" applyFont="1" applyBorder="1" applyAlignment="1">
      <alignment horizontal="justify" vertical="top" wrapText="1"/>
    </xf>
    <xf numFmtId="0" fontId="6" fillId="0" borderId="1" xfId="0" quotePrefix="1" applyFont="1" applyBorder="1" applyAlignment="1">
      <alignment horizontal="center" vertical="top" wrapText="1"/>
    </xf>
    <xf numFmtId="0" fontId="10" fillId="2" borderId="4" xfId="0" applyFont="1" applyFill="1" applyBorder="1" applyAlignment="1">
      <alignment horizontal="left" vertical="top" wrapText="1"/>
    </xf>
    <xf numFmtId="170" fontId="10" fillId="2" borderId="4" xfId="4" applyNumberFormat="1" applyFont="1" applyFill="1" applyBorder="1" applyAlignment="1">
      <alignment horizontal="center" vertical="top" wrapText="1"/>
    </xf>
    <xf numFmtId="43" fontId="10" fillId="2" borderId="4" xfId="4" applyNumberFormat="1" applyFont="1" applyFill="1" applyBorder="1" applyAlignment="1">
      <alignment horizontal="center" vertical="top" wrapText="1"/>
    </xf>
    <xf numFmtId="0" fontId="10" fillId="2" borderId="3" xfId="0" applyFont="1" applyFill="1" applyBorder="1" applyAlignment="1">
      <alignment horizontal="left" vertical="top" wrapText="1"/>
    </xf>
    <xf numFmtId="0" fontId="10" fillId="2" borderId="3" xfId="0" applyFont="1" applyFill="1" applyBorder="1" applyAlignment="1">
      <alignment horizontal="center" vertical="top" wrapText="1"/>
    </xf>
    <xf numFmtId="0" fontId="10" fillId="2" borderId="2" xfId="0" applyFont="1" applyFill="1" applyBorder="1" applyAlignment="1">
      <alignment horizontal="center" vertical="top" wrapText="1"/>
    </xf>
    <xf numFmtId="170" fontId="10" fillId="2" borderId="1" xfId="4" applyNumberFormat="1" applyFont="1" applyFill="1" applyBorder="1" applyAlignment="1">
      <alignment horizontal="center" vertical="top" wrapText="1"/>
    </xf>
    <xf numFmtId="43" fontId="10" fillId="2" borderId="2" xfId="4" applyNumberFormat="1" applyFont="1" applyFill="1" applyBorder="1" applyAlignment="1">
      <alignment horizontal="center" vertical="top" wrapText="1"/>
    </xf>
    <xf numFmtId="43" fontId="10" fillId="2" borderId="10" xfId="4" applyNumberFormat="1" applyFont="1" applyFill="1" applyBorder="1" applyAlignment="1">
      <alignment horizontal="center" vertical="top" wrapText="1"/>
    </xf>
    <xf numFmtId="43" fontId="10" fillId="2" borderId="1" xfId="4" applyNumberFormat="1" applyFont="1" applyFill="1" applyBorder="1" applyAlignment="1">
      <alignment horizontal="center" vertical="top" wrapText="1"/>
    </xf>
    <xf numFmtId="0" fontId="10" fillId="2" borderId="0" xfId="0" applyFont="1" applyFill="1" applyAlignment="1">
      <alignment horizontal="center" vertical="top" wrapText="1"/>
    </xf>
    <xf numFmtId="3" fontId="10" fillId="0" borderId="1" xfId="0" applyNumberFormat="1" applyFont="1" applyFill="1" applyBorder="1" applyAlignment="1" applyProtection="1">
      <alignment horizontal="center" vertical="top" wrapText="1"/>
    </xf>
    <xf numFmtId="0" fontId="6" fillId="0" borderId="1" xfId="0" applyFont="1" applyFill="1" applyBorder="1" applyAlignment="1">
      <alignment horizontal="justify" vertical="top" wrapText="1"/>
    </xf>
    <xf numFmtId="0" fontId="16" fillId="4" borderId="1" xfId="0" applyFont="1" applyFill="1" applyBorder="1" applyAlignment="1" applyProtection="1">
      <alignment horizontal="left" vertical="top" wrapText="1"/>
    </xf>
    <xf numFmtId="0" fontId="17" fillId="0" borderId="1" xfId="0" applyFont="1" applyBorder="1" applyAlignment="1">
      <alignment horizontal="left" vertical="top"/>
    </xf>
    <xf numFmtId="0" fontId="6" fillId="0" borderId="1" xfId="0" applyFont="1" applyBorder="1" applyAlignment="1">
      <alignment horizontal="center" vertical="center" wrapText="1"/>
    </xf>
    <xf numFmtId="173" fontId="6" fillId="0" borderId="1" xfId="0" applyNumberFormat="1" applyFont="1" applyBorder="1" applyAlignment="1">
      <alignment horizontal="center" vertical="top" wrapText="1"/>
    </xf>
    <xf numFmtId="2" fontId="6" fillId="0" borderId="4" xfId="0" applyNumberFormat="1" applyFont="1" applyBorder="1" applyAlignment="1">
      <alignment horizontal="center" vertical="top" wrapText="1"/>
    </xf>
    <xf numFmtId="2" fontId="17" fillId="0" borderId="1" xfId="0" applyNumberFormat="1" applyFont="1" applyBorder="1" applyAlignment="1">
      <alignment horizontal="center" vertical="top" wrapText="1"/>
    </xf>
    <xf numFmtId="0" fontId="17" fillId="0" borderId="0" xfId="0" applyFont="1" applyAlignment="1">
      <alignment horizontal="center" vertical="top" wrapText="1"/>
    </xf>
    <xf numFmtId="0" fontId="17" fillId="0" borderId="26" xfId="0" applyFont="1" applyBorder="1" applyAlignment="1">
      <alignment horizontal="center" vertical="top" wrapText="1"/>
    </xf>
    <xf numFmtId="0" fontId="17" fillId="0" borderId="1" xfId="0" applyFont="1" applyFill="1" applyBorder="1" applyAlignment="1">
      <alignment horizontal="center" vertical="top" wrapText="1"/>
    </xf>
    <xf numFmtId="0" fontId="17" fillId="0" borderId="17" xfId="0" applyFont="1" applyBorder="1" applyAlignment="1">
      <alignment horizontal="left" vertical="top" wrapText="1"/>
    </xf>
    <xf numFmtId="0" fontId="17" fillId="0" borderId="16" xfId="0" applyFont="1" applyBorder="1" applyAlignment="1">
      <alignment horizontal="left" vertical="top" wrapText="1"/>
    </xf>
    <xf numFmtId="0" fontId="17" fillId="0" borderId="1" xfId="0" quotePrefix="1" applyFont="1" applyBorder="1" applyAlignment="1">
      <alignment horizontal="justify" vertical="top" wrapText="1"/>
    </xf>
    <xf numFmtId="0" fontId="17" fillId="0" borderId="18" xfId="0" applyFont="1" applyBorder="1" applyAlignment="1">
      <alignment horizontal="justify" vertical="top" wrapText="1"/>
    </xf>
    <xf numFmtId="0" fontId="6" fillId="0" borderId="3" xfId="0" applyFont="1" applyBorder="1" applyAlignment="1">
      <alignment horizontal="justify" vertical="top" wrapText="1"/>
    </xf>
    <xf numFmtId="0" fontId="10" fillId="0" borderId="1" xfId="2" applyFont="1" applyFill="1" applyBorder="1" applyAlignment="1" applyProtection="1">
      <alignment horizontal="center" vertical="top" wrapText="1"/>
    </xf>
    <xf numFmtId="14" fontId="17" fillId="0" borderId="1" xfId="0" applyNumberFormat="1" applyFont="1" applyBorder="1" applyAlignment="1">
      <alignment horizontal="center" vertical="top" wrapText="1"/>
    </xf>
    <xf numFmtId="14" fontId="6" fillId="0" borderId="27" xfId="0" applyNumberFormat="1" applyFont="1" applyBorder="1" applyAlignment="1">
      <alignment horizontal="center" vertical="top" wrapText="1"/>
    </xf>
    <xf numFmtId="0" fontId="6" fillId="0" borderId="27" xfId="0" applyFont="1" applyBorder="1" applyAlignment="1">
      <alignment horizontal="center" vertical="top" wrapText="1"/>
    </xf>
    <xf numFmtId="0" fontId="6" fillId="0" borderId="28" xfId="0" applyFont="1" applyBorder="1" applyAlignment="1">
      <alignment horizontal="center" vertical="top" wrapText="1"/>
    </xf>
    <xf numFmtId="0" fontId="6" fillId="0" borderId="0" xfId="2" applyFont="1" applyAlignment="1">
      <alignment horizontal="center" vertical="top" wrapText="1"/>
    </xf>
    <xf numFmtId="0" fontId="17" fillId="0" borderId="1" xfId="2" applyFont="1" applyBorder="1" applyAlignment="1">
      <alignment horizontal="center" vertical="top" wrapText="1"/>
    </xf>
    <xf numFmtId="0" fontId="6" fillId="0" borderId="1" xfId="2" applyFont="1" applyBorder="1" applyAlignment="1">
      <alignment horizontal="center" vertical="top" wrapText="1"/>
    </xf>
    <xf numFmtId="14" fontId="6" fillId="0" borderId="28" xfId="0" applyNumberFormat="1" applyFont="1" applyBorder="1" applyAlignment="1">
      <alignment horizontal="center" vertical="top" wrapText="1"/>
    </xf>
    <xf numFmtId="14" fontId="10" fillId="0" borderId="1" xfId="2" applyNumberFormat="1" applyFont="1" applyFill="1" applyBorder="1" applyAlignment="1" applyProtection="1">
      <alignment horizontal="center" vertical="top" wrapText="1"/>
    </xf>
    <xf numFmtId="0" fontId="6" fillId="2" borderId="1" xfId="0" applyFont="1" applyFill="1" applyBorder="1" applyAlignment="1">
      <alignment horizontal="center" vertical="top" wrapText="1" shrinkToFit="1"/>
    </xf>
    <xf numFmtId="14" fontId="6" fillId="2" borderId="1" xfId="0" applyNumberFormat="1" applyFont="1" applyFill="1" applyBorder="1" applyAlignment="1">
      <alignment horizontal="center" vertical="top" wrapText="1" shrinkToFit="1"/>
    </xf>
    <xf numFmtId="2" fontId="10" fillId="0" borderId="1" xfId="0" applyNumberFormat="1" applyFont="1" applyBorder="1" applyAlignment="1">
      <alignment horizontal="center" vertical="top" wrapText="1"/>
    </xf>
    <xf numFmtId="14" fontId="10" fillId="0" borderId="1" xfId="0" applyNumberFormat="1" applyFont="1" applyFill="1" applyBorder="1" applyAlignment="1">
      <alignment horizontal="center" vertical="top" wrapText="1"/>
    </xf>
    <xf numFmtId="174" fontId="10" fillId="0" borderId="1" xfId="0" applyNumberFormat="1" applyFont="1" applyBorder="1" applyAlignment="1">
      <alignment vertical="top" wrapText="1"/>
    </xf>
    <xf numFmtId="0" fontId="6" fillId="2" borderId="1" xfId="0" applyFont="1" applyFill="1" applyBorder="1" applyAlignment="1">
      <alignment horizontal="center" wrapText="1"/>
    </xf>
    <xf numFmtId="2" fontId="6" fillId="2" borderId="1" xfId="0" applyNumberFormat="1" applyFont="1" applyFill="1" applyBorder="1" applyAlignment="1">
      <alignment horizontal="center" vertical="top"/>
    </xf>
    <xf numFmtId="0" fontId="6" fillId="2" borderId="1" xfId="0" applyFont="1" applyFill="1" applyBorder="1" applyAlignment="1">
      <alignment horizontal="justify" wrapText="1"/>
    </xf>
    <xf numFmtId="0" fontId="16" fillId="0" borderId="1" xfId="0" applyFont="1" applyFill="1" applyBorder="1" applyAlignment="1" applyProtection="1">
      <alignment horizontal="left" vertical="top" wrapText="1"/>
    </xf>
    <xf numFmtId="175" fontId="6" fillId="0" borderId="1" xfId="0" applyNumberFormat="1" applyFont="1" applyBorder="1" applyAlignment="1">
      <alignment horizontal="center" vertical="top" wrapText="1"/>
    </xf>
    <xf numFmtId="17" fontId="16" fillId="4" borderId="1" xfId="0" quotePrefix="1" applyNumberFormat="1" applyFont="1" applyFill="1" applyBorder="1" applyAlignment="1" applyProtection="1">
      <alignment horizontal="center" vertical="top" wrapText="1"/>
    </xf>
    <xf numFmtId="0" fontId="16" fillId="4" borderId="1" xfId="0" applyNumberFormat="1" applyFont="1" applyFill="1" applyBorder="1" applyAlignment="1" applyProtection="1">
      <alignment horizontal="center" vertical="top" wrapText="1"/>
    </xf>
    <xf numFmtId="0" fontId="42" fillId="4" borderId="1" xfId="0" applyFont="1" applyFill="1" applyBorder="1" applyAlignment="1" applyProtection="1">
      <alignment horizontal="center" vertical="top" wrapText="1"/>
    </xf>
    <xf numFmtId="0" fontId="7" fillId="0" borderId="1" xfId="0" applyFont="1" applyBorder="1" applyAlignment="1">
      <alignment horizontal="center"/>
    </xf>
    <xf numFmtId="0" fontId="6" fillId="0" borderId="1" xfId="0" applyNumberFormat="1" applyFont="1" applyBorder="1" applyAlignment="1">
      <alignment horizontal="center" vertical="top" wrapText="1"/>
    </xf>
    <xf numFmtId="0" fontId="10" fillId="2" borderId="1" xfId="0" quotePrefix="1" applyFont="1" applyFill="1" applyBorder="1" applyAlignment="1">
      <alignment horizontal="center" vertical="top" wrapText="1"/>
    </xf>
    <xf numFmtId="0" fontId="17" fillId="5" borderId="1" xfId="0" applyFont="1" applyFill="1" applyBorder="1" applyAlignment="1">
      <alignment horizontal="center" vertical="top" wrapText="1"/>
    </xf>
    <xf numFmtId="0" fontId="38" fillId="0" borderId="1" xfId="0" applyFont="1" applyBorder="1" applyAlignment="1">
      <alignment horizontal="center" vertical="top" wrapText="1"/>
    </xf>
    <xf numFmtId="0" fontId="39" fillId="0" borderId="1" xfId="0" applyFont="1" applyBorder="1" applyAlignment="1">
      <alignment horizontal="center" vertical="top" wrapText="1"/>
    </xf>
    <xf numFmtId="0" fontId="43" fillId="0" borderId="1" xfId="0" applyFont="1" applyBorder="1" applyAlignment="1">
      <alignment horizontal="center" vertical="top"/>
    </xf>
    <xf numFmtId="0" fontId="6" fillId="0" borderId="0" xfId="0" applyFont="1" applyFill="1" applyAlignment="1">
      <alignment horizontal="left" vertical="top" wrapText="1"/>
    </xf>
    <xf numFmtId="17" fontId="6" fillId="0" borderId="1" xfId="0" applyNumberFormat="1" applyFont="1" applyFill="1" applyBorder="1" applyAlignment="1">
      <alignment horizontal="center" vertical="top" wrapText="1"/>
    </xf>
    <xf numFmtId="0" fontId="19" fillId="0" borderId="1" xfId="0" applyFont="1" applyBorder="1" applyAlignment="1">
      <alignment horizontal="center" vertical="top"/>
    </xf>
    <xf numFmtId="0" fontId="12" fillId="0" borderId="1" xfId="0" applyFont="1" applyFill="1" applyBorder="1" applyAlignment="1">
      <alignment horizontal="center" vertical="center"/>
    </xf>
    <xf numFmtId="0" fontId="12" fillId="0" borderId="1" xfId="0" applyFont="1" applyFill="1" applyBorder="1" applyAlignment="1">
      <alignment horizontal="center"/>
    </xf>
    <xf numFmtId="0" fontId="21" fillId="0" borderId="1" xfId="0" applyFont="1" applyFill="1" applyBorder="1" applyAlignment="1">
      <alignment horizontal="center" vertical="center"/>
    </xf>
    <xf numFmtId="0" fontId="19" fillId="0" borderId="1" xfId="0" applyFont="1" applyBorder="1" applyAlignment="1">
      <alignment horizontal="right" vertical="top"/>
    </xf>
    <xf numFmtId="0" fontId="6" fillId="6" borderId="1" xfId="0" applyFont="1" applyFill="1" applyBorder="1" applyAlignment="1">
      <alignment horizontal="center" vertical="top"/>
    </xf>
    <xf numFmtId="0" fontId="6" fillId="6" borderId="1" xfId="0" applyFont="1" applyFill="1" applyBorder="1" applyAlignment="1">
      <alignment horizontal="center" vertical="top" wrapText="1"/>
    </xf>
    <xf numFmtId="0" fontId="6" fillId="6" borderId="1" xfId="0" applyFont="1" applyFill="1" applyBorder="1" applyAlignment="1">
      <alignment horizontal="left" vertical="top"/>
    </xf>
    <xf numFmtId="0" fontId="10" fillId="2" borderId="1" xfId="0" applyFont="1" applyFill="1" applyBorder="1" applyAlignment="1">
      <alignment horizontal="center"/>
    </xf>
    <xf numFmtId="0" fontId="10" fillId="0" borderId="1" xfId="0" quotePrefix="1" applyFont="1" applyBorder="1" applyAlignment="1">
      <alignment horizontal="center" vertical="center"/>
    </xf>
    <xf numFmtId="0" fontId="6" fillId="2" borderId="1" xfId="0" applyFont="1" applyFill="1" applyBorder="1" applyAlignment="1"/>
    <xf numFmtId="0" fontId="28" fillId="2" borderId="0" xfId="0" applyFont="1" applyFill="1" applyBorder="1" applyAlignment="1">
      <alignment horizontal="left" vertical="top" wrapText="1"/>
    </xf>
    <xf numFmtId="0" fontId="7" fillId="2" borderId="4" xfId="0" applyFont="1" applyFill="1" applyBorder="1" applyAlignment="1">
      <alignment horizontal="center" vertical="top"/>
    </xf>
    <xf numFmtId="0" fontId="6" fillId="0" borderId="1" xfId="0" applyFont="1" applyFill="1" applyBorder="1" applyAlignment="1">
      <alignment wrapText="1"/>
    </xf>
    <xf numFmtId="0" fontId="7" fillId="2" borderId="1" xfId="0" applyFont="1" applyFill="1" applyBorder="1" applyAlignment="1">
      <alignment horizontal="left" vertical="top"/>
    </xf>
    <xf numFmtId="0" fontId="17"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justify" vertical="top" wrapText="1"/>
    </xf>
    <xf numFmtId="15" fontId="6" fillId="0" borderId="1" xfId="0" applyNumberFormat="1" applyFont="1" applyFill="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center" vertical="top"/>
    </xf>
    <xf numFmtId="0" fontId="7" fillId="2" borderId="1" xfId="0" applyFont="1" applyFill="1" applyBorder="1" applyAlignment="1">
      <alignment horizontal="center" vertical="top"/>
    </xf>
    <xf numFmtId="3" fontId="6" fillId="0" borderId="1" xfId="0" applyNumberFormat="1" applyFont="1" applyBorder="1" applyAlignment="1">
      <alignment horizontal="center" vertical="top" wrapText="1"/>
    </xf>
    <xf numFmtId="0" fontId="26" fillId="0" borderId="1" xfId="0" applyFont="1" applyBorder="1" applyAlignment="1">
      <alignment horizontal="center" vertical="top"/>
    </xf>
    <xf numFmtId="0" fontId="26" fillId="0" borderId="1" xfId="0" applyFont="1" applyFill="1" applyBorder="1" applyAlignment="1">
      <alignment horizontal="center" vertical="top"/>
    </xf>
    <xf numFmtId="0" fontId="26" fillId="0" borderId="1" xfId="0" applyFont="1" applyBorder="1" applyAlignment="1">
      <alignment horizontal="left" vertical="top" wrapText="1"/>
    </xf>
    <xf numFmtId="0" fontId="44" fillId="0" borderId="1" xfId="0" applyFont="1" applyBorder="1" applyAlignment="1">
      <alignment horizontal="left" vertical="top" wrapText="1"/>
    </xf>
    <xf numFmtId="0" fontId="26" fillId="0" borderId="1" xfId="0" applyFont="1" applyBorder="1" applyAlignment="1">
      <alignment horizontal="left" vertical="top"/>
    </xf>
    <xf numFmtId="0" fontId="23" fillId="0" borderId="1" xfId="0" applyFont="1" applyBorder="1" applyAlignment="1">
      <alignment horizontal="center" vertical="top" wrapText="1"/>
    </xf>
    <xf numFmtId="0" fontId="19" fillId="0" borderId="1" xfId="0" applyFont="1" applyBorder="1" applyAlignment="1">
      <alignment horizontal="left" vertical="top" wrapText="1"/>
    </xf>
    <xf numFmtId="0" fontId="23" fillId="0" borderId="1" xfId="0" applyFont="1" applyBorder="1" applyAlignment="1">
      <alignment horizontal="left" vertical="top" wrapText="1"/>
    </xf>
    <xf numFmtId="0" fontId="10" fillId="0" borderId="1" xfId="0" applyFont="1" applyFill="1" applyBorder="1" applyAlignment="1" applyProtection="1">
      <alignment vertical="top" wrapText="1"/>
    </xf>
    <xf numFmtId="0" fontId="17" fillId="2" borderId="1" xfId="2" applyFont="1" applyFill="1" applyBorder="1" applyAlignment="1">
      <alignment horizontal="center" vertical="top" wrapText="1"/>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6" fillId="0" borderId="1" xfId="0" applyFont="1" applyBorder="1" applyAlignment="1">
      <alignment vertical="top"/>
    </xf>
    <xf numFmtId="0" fontId="7" fillId="2" borderId="1" xfId="0" applyFont="1" applyFill="1" applyBorder="1" applyAlignment="1">
      <alignment horizontal="center" vertical="top"/>
    </xf>
    <xf numFmtId="14" fontId="6" fillId="0" borderId="1" xfId="0" applyNumberFormat="1" applyFont="1" applyBorder="1" applyAlignment="1">
      <alignment horizontal="center" vertical="top" wrapText="1"/>
    </xf>
    <xf numFmtId="0" fontId="45" fillId="0" borderId="1" xfId="0" applyFont="1" applyBorder="1" applyAlignment="1">
      <alignment horizontal="center" vertical="center" wrapText="1"/>
    </xf>
    <xf numFmtId="4" fontId="6" fillId="0" borderId="1" xfId="0" applyNumberFormat="1" applyFont="1" applyBorder="1" applyAlignment="1">
      <alignment horizontal="center" vertical="top"/>
    </xf>
    <xf numFmtId="0" fontId="6" fillId="0" borderId="1" xfId="0" applyFont="1" applyBorder="1" applyAlignment="1">
      <alignment horizontal="left" wrapText="1"/>
    </xf>
    <xf numFmtId="0" fontId="6" fillId="0" borderId="1" xfId="0" applyFont="1" applyBorder="1" applyAlignment="1">
      <alignment horizontal="center" vertical="top" wrapText="1"/>
    </xf>
    <xf numFmtId="0" fontId="7" fillId="2" borderId="4" xfId="0" applyFont="1" applyFill="1" applyBorder="1" applyAlignment="1">
      <alignment horizontal="center" vertical="top" wrapText="1"/>
    </xf>
    <xf numFmtId="0" fontId="0" fillId="0" borderId="1" xfId="0" applyBorder="1" applyAlignment="1">
      <alignment vertical="top"/>
    </xf>
    <xf numFmtId="0" fontId="19" fillId="0" borderId="1" xfId="0" applyFont="1" applyBorder="1" applyAlignment="1">
      <alignment horizontal="center" vertical="top" wrapText="1"/>
    </xf>
    <xf numFmtId="14" fontId="6" fillId="0" borderId="1" xfId="0" applyNumberFormat="1" applyFont="1" applyBorder="1" applyAlignment="1">
      <alignment horizontal="left" vertical="top" wrapText="1"/>
    </xf>
    <xf numFmtId="0" fontId="17" fillId="0" borderId="1" xfId="0" applyFont="1" applyBorder="1" applyAlignment="1">
      <alignment horizontal="center" vertical="top"/>
    </xf>
    <xf numFmtId="0" fontId="10" fillId="2" borderId="1" xfId="0" applyFont="1" applyFill="1" applyBorder="1" applyAlignment="1">
      <alignment horizontal="center" vertical="top" wrapText="1"/>
    </xf>
    <xf numFmtId="0" fontId="6" fillId="0" borderId="4" xfId="0" applyFont="1" applyBorder="1" applyAlignment="1">
      <alignment horizontal="left" vertical="top" wrapText="1"/>
    </xf>
    <xf numFmtId="0" fontId="17" fillId="0" borderId="4" xfId="0" applyFont="1" applyBorder="1" applyAlignment="1">
      <alignment horizontal="left" vertical="top" wrapText="1"/>
    </xf>
    <xf numFmtId="0" fontId="6" fillId="2" borderId="1" xfId="0" applyFont="1" applyFill="1" applyBorder="1" applyAlignment="1">
      <alignment horizontal="left" vertical="top"/>
    </xf>
    <xf numFmtId="0" fontId="17" fillId="0" borderId="4" xfId="0" applyFont="1" applyBorder="1" applyAlignment="1">
      <alignment horizontal="center" vertical="top" wrapText="1"/>
    </xf>
    <xf numFmtId="0" fontId="3" fillId="2" borderId="1" xfId="0" applyFont="1" applyFill="1" applyBorder="1" applyAlignment="1">
      <alignment vertical="top"/>
    </xf>
    <xf numFmtId="0" fontId="6" fillId="0" borderId="1" xfId="0" applyFont="1" applyBorder="1" applyAlignment="1">
      <alignment vertical="center" wrapText="1"/>
    </xf>
    <xf numFmtId="0" fontId="0" fillId="0" borderId="1" xfId="0" applyBorder="1" applyAlignment="1">
      <alignment horizontal="justify" vertical="center" wrapText="1"/>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3" fontId="6" fillId="0" borderId="1" xfId="0" applyNumberFormat="1" applyFont="1" applyBorder="1" applyAlignment="1">
      <alignment horizontal="center" vertical="top" wrapText="1"/>
    </xf>
    <xf numFmtId="0" fontId="0" fillId="0" borderId="1" xfId="0" applyBorder="1"/>
    <xf numFmtId="0" fontId="19" fillId="0" borderId="4" xfId="0" applyFont="1" applyFill="1" applyBorder="1" applyAlignment="1">
      <alignment horizontal="center" vertical="top" wrapText="1"/>
    </xf>
    <xf numFmtId="0" fontId="11" fillId="0" borderId="4" xfId="0" applyFont="1" applyFill="1" applyBorder="1" applyAlignment="1">
      <alignment vertical="center" wrapText="1"/>
    </xf>
    <xf numFmtId="0" fontId="11" fillId="0" borderId="6" xfId="0" applyFont="1" applyFill="1" applyBorder="1" applyAlignment="1">
      <alignment vertical="center" wrapText="1"/>
    </xf>
    <xf numFmtId="0" fontId="6" fillId="0" borderId="12" xfId="2" applyFont="1" applyFill="1" applyBorder="1" applyAlignment="1" applyProtection="1">
      <alignment horizontal="center" vertical="top"/>
    </xf>
    <xf numFmtId="0" fontId="10" fillId="0" borderId="4" xfId="0" applyFont="1" applyFill="1" applyBorder="1" applyAlignment="1" applyProtection="1">
      <alignment horizontal="left" vertical="top" wrapText="1"/>
    </xf>
    <xf numFmtId="0" fontId="10" fillId="0" borderId="4" xfId="0" applyFont="1" applyFill="1" applyBorder="1" applyAlignment="1" applyProtection="1">
      <alignment horizontal="center" vertical="top" wrapText="1"/>
    </xf>
    <xf numFmtId="0" fontId="6" fillId="0" borderId="1" xfId="0"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6" fillId="0" borderId="4" xfId="0" applyFont="1" applyFill="1" applyBorder="1" applyAlignment="1">
      <alignment horizontal="left" vertical="top"/>
    </xf>
    <xf numFmtId="0" fontId="15" fillId="0" borderId="1" xfId="0" applyFont="1" applyBorder="1" applyAlignment="1">
      <alignment vertical="top" wrapText="1"/>
    </xf>
    <xf numFmtId="0" fontId="15" fillId="0" borderId="1" xfId="0" applyFont="1" applyBorder="1" applyAlignment="1">
      <alignment vertical="top"/>
    </xf>
    <xf numFmtId="3" fontId="15" fillId="0" borderId="1" xfId="0" applyNumberFormat="1" applyFont="1" applyBorder="1" applyAlignment="1">
      <alignment horizontal="center" vertical="top"/>
    </xf>
    <xf numFmtId="0" fontId="15" fillId="0" borderId="1" xfId="0" applyFont="1" applyBorder="1" applyAlignment="1">
      <alignment horizontal="center" vertical="top"/>
    </xf>
    <xf numFmtId="0" fontId="6" fillId="0" borderId="4" xfId="0" applyFont="1" applyFill="1" applyBorder="1" applyAlignment="1">
      <alignment horizontal="left" vertical="top" wrapText="1"/>
    </xf>
    <xf numFmtId="0" fontId="10" fillId="0" borderId="1" xfId="0" applyFont="1" applyFill="1" applyBorder="1" applyAlignment="1">
      <alignment horizontal="center" vertical="top"/>
    </xf>
    <xf numFmtId="0" fontId="6" fillId="0" borderId="1" xfId="0" applyFont="1" applyFill="1" applyBorder="1" applyAlignment="1">
      <alignment horizontal="center" vertical="top"/>
    </xf>
    <xf numFmtId="0" fontId="17" fillId="0" borderId="1" xfId="2" applyFont="1" applyFill="1" applyBorder="1" applyAlignment="1" applyProtection="1">
      <alignment horizontal="left" vertical="top" wrapText="1"/>
    </xf>
    <xf numFmtId="0" fontId="17" fillId="0" borderId="1" xfId="3" applyFont="1" applyFill="1" applyBorder="1" applyAlignment="1" applyProtection="1">
      <alignment horizontal="left" vertical="top" wrapText="1"/>
    </xf>
    <xf numFmtId="0" fontId="6" fillId="0" borderId="1" xfId="0" applyFont="1" applyFill="1" applyBorder="1" applyAlignment="1">
      <alignment horizontal="center" vertical="top" wrapText="1"/>
    </xf>
    <xf numFmtId="0" fontId="6" fillId="0" borderId="1" xfId="0" applyFont="1" applyFill="1" applyBorder="1" applyAlignment="1">
      <alignment horizontal="center" vertical="center" wrapText="1"/>
    </xf>
    <xf numFmtId="0" fontId="6" fillId="0" borderId="4" xfId="2" applyFont="1" applyFill="1" applyBorder="1" applyAlignment="1" applyProtection="1">
      <alignment horizontal="left" vertical="top" wrapText="1"/>
    </xf>
    <xf numFmtId="0" fontId="6" fillId="0" borderId="1" xfId="2" applyFont="1" applyFill="1" applyBorder="1" applyAlignment="1" applyProtection="1">
      <alignment horizontal="left" vertical="top" wrapText="1"/>
    </xf>
    <xf numFmtId="0" fontId="17" fillId="0" borderId="1" xfId="2" applyFont="1" applyFill="1" applyBorder="1" applyAlignment="1" applyProtection="1">
      <alignment horizontal="justify" vertical="top" wrapText="1"/>
    </xf>
    <xf numFmtId="0" fontId="6" fillId="0" borderId="1" xfId="0" applyFont="1" applyFill="1" applyBorder="1" applyAlignment="1">
      <alignment horizontal="left" vertical="top" wrapText="1"/>
    </xf>
    <xf numFmtId="0" fontId="7" fillId="0" borderId="1" xfId="0" applyFont="1" applyFill="1" applyBorder="1" applyAlignment="1">
      <alignment horizontal="center" vertical="center"/>
    </xf>
    <xf numFmtId="0" fontId="6" fillId="0" borderId="4" xfId="0" applyFont="1" applyFill="1" applyBorder="1" applyAlignment="1">
      <alignment horizontal="center" vertical="top" wrapText="1"/>
    </xf>
    <xf numFmtId="0" fontId="6" fillId="0" borderId="5" xfId="0" applyFont="1" applyFill="1" applyBorder="1" applyAlignment="1">
      <alignment horizontal="center" vertical="top" wrapText="1"/>
    </xf>
    <xf numFmtId="0" fontId="0" fillId="0" borderId="1" xfId="0" applyFill="1" applyBorder="1" applyAlignment="1">
      <alignment horizontal="center" vertical="center" wrapText="1"/>
    </xf>
    <xf numFmtId="0" fontId="0" fillId="0" borderId="1" xfId="0" applyFill="1" applyBorder="1" applyAlignment="1">
      <alignment horizontal="center" vertical="top" wrapText="1"/>
    </xf>
    <xf numFmtId="0" fontId="0" fillId="0" borderId="4" xfId="0" applyFill="1" applyBorder="1" applyAlignment="1">
      <alignment horizontal="center" vertical="top" wrapText="1"/>
    </xf>
    <xf numFmtId="0" fontId="0" fillId="0" borderId="6" xfId="0" applyFill="1" applyBorder="1" applyAlignment="1">
      <alignment horizontal="center" vertical="top" wrapText="1"/>
    </xf>
    <xf numFmtId="0" fontId="10" fillId="0" borderId="1" xfId="0" applyFont="1" applyFill="1" applyBorder="1" applyAlignment="1">
      <alignment horizontal="left" vertical="top" wrapText="1"/>
    </xf>
    <xf numFmtId="0" fontId="6" fillId="0" borderId="2" xfId="0" applyFont="1" applyFill="1" applyBorder="1" applyAlignment="1">
      <alignment horizontal="center" vertical="top" wrapText="1"/>
    </xf>
    <xf numFmtId="0" fontId="6" fillId="0" borderId="3" xfId="0" applyFont="1" applyFill="1" applyBorder="1" applyAlignment="1">
      <alignment horizontal="center" vertical="top" wrapText="1"/>
    </xf>
    <xf numFmtId="0" fontId="6" fillId="0" borderId="4" xfId="2" applyFont="1" applyFill="1" applyBorder="1" applyAlignment="1">
      <alignment horizontal="center" vertical="top" wrapText="1"/>
    </xf>
    <xf numFmtId="0" fontId="6" fillId="0" borderId="2" xfId="0" applyFont="1" applyFill="1" applyBorder="1" applyAlignment="1">
      <alignment horizontal="center" vertical="top"/>
    </xf>
    <xf numFmtId="0" fontId="7" fillId="0" borderId="2" xfId="0" applyFont="1" applyFill="1" applyBorder="1" applyAlignment="1">
      <alignment horizontal="center" vertical="top"/>
    </xf>
    <xf numFmtId="17" fontId="10" fillId="0" borderId="1" xfId="0" applyNumberFormat="1" applyFont="1" applyFill="1" applyBorder="1" applyAlignment="1">
      <alignment horizontal="center" vertical="top"/>
    </xf>
    <xf numFmtId="0" fontId="0" fillId="0" borderId="0" xfId="0" applyFont="1" applyFill="1" applyAlignment="1">
      <alignment horizontal="center" vertical="center" wrapText="1"/>
    </xf>
    <xf numFmtId="0" fontId="11" fillId="0" borderId="1" xfId="0" applyFont="1" applyFill="1" applyBorder="1" applyAlignment="1">
      <alignment vertical="center" wrapText="1"/>
    </xf>
    <xf numFmtId="0" fontId="2" fillId="0" borderId="0" xfId="0" applyFont="1" applyFill="1" applyAlignment="1">
      <alignment horizontal="center" vertical="center" wrapText="1"/>
    </xf>
    <xf numFmtId="0" fontId="17" fillId="0" borderId="1" xfId="0" applyNumberFormat="1" applyFont="1" applyFill="1" applyBorder="1" applyAlignment="1" applyProtection="1">
      <alignment horizontal="center" vertical="top" wrapText="1"/>
    </xf>
    <xf numFmtId="0" fontId="17" fillId="0" borderId="1" xfId="0" applyFont="1" applyFill="1" applyBorder="1" applyAlignment="1" applyProtection="1">
      <alignment horizontal="center" vertical="top" wrapText="1"/>
    </xf>
    <xf numFmtId="0" fontId="10" fillId="0" borderId="1" xfId="0" applyFont="1" applyFill="1" applyBorder="1" applyAlignment="1">
      <alignment vertical="top"/>
    </xf>
    <xf numFmtId="14" fontId="6" fillId="0" borderId="1" xfId="0" applyNumberFormat="1" applyFont="1" applyFill="1" applyBorder="1" applyAlignment="1">
      <alignment horizontal="center" vertical="top"/>
    </xf>
    <xf numFmtId="0" fontId="15" fillId="0" borderId="1" xfId="0" applyFont="1" applyFill="1" applyBorder="1" applyAlignment="1">
      <alignment horizontal="center" vertical="top" wrapText="1"/>
    </xf>
    <xf numFmtId="14" fontId="16" fillId="0" borderId="1" xfId="0" applyNumberFormat="1" applyFont="1" applyFill="1" applyBorder="1" applyAlignment="1" applyProtection="1">
      <alignment horizontal="center" vertical="top" wrapText="1"/>
    </xf>
    <xf numFmtId="22" fontId="10" fillId="0" borderId="1" xfId="0" applyNumberFormat="1" applyFont="1" applyFill="1" applyBorder="1" applyAlignment="1" applyProtection="1">
      <alignment horizontal="center" vertical="top" wrapText="1"/>
    </xf>
    <xf numFmtId="0" fontId="6" fillId="0" borderId="1" xfId="0" applyFont="1" applyFill="1" applyBorder="1" applyAlignment="1">
      <alignment horizontal="center" vertical="center"/>
    </xf>
    <xf numFmtId="14" fontId="6" fillId="0" borderId="1" xfId="0" applyNumberFormat="1" applyFont="1" applyFill="1" applyBorder="1" applyAlignment="1">
      <alignment vertical="top"/>
    </xf>
    <xf numFmtId="0" fontId="15" fillId="0" borderId="0" xfId="0" applyFont="1" applyFill="1" applyBorder="1"/>
    <xf numFmtId="0" fontId="15" fillId="0" borderId="0" xfId="0" applyFont="1" applyFill="1"/>
    <xf numFmtId="4" fontId="6" fillId="0" borderId="1" xfId="0" applyNumberFormat="1" applyFont="1" applyFill="1" applyBorder="1" applyAlignment="1">
      <alignment horizontal="center" vertical="top" wrapText="1"/>
    </xf>
    <xf numFmtId="0" fontId="0" fillId="0" borderId="1" xfId="0" applyFont="1" applyFill="1" applyBorder="1" applyAlignment="1">
      <alignment vertical="top" wrapText="1"/>
    </xf>
    <xf numFmtId="0" fontId="10" fillId="0" borderId="1" xfId="0" applyFont="1" applyFill="1" applyBorder="1" applyAlignment="1">
      <alignment vertical="center"/>
    </xf>
    <xf numFmtId="0" fontId="10" fillId="0" borderId="1" xfId="0" applyFont="1" applyFill="1" applyBorder="1"/>
    <xf numFmtId="0" fontId="31" fillId="0" borderId="1" xfId="0" applyFont="1" applyFill="1" applyBorder="1" applyAlignment="1">
      <alignment horizontal="center" vertical="top"/>
    </xf>
    <xf numFmtId="164" fontId="6" fillId="0" borderId="1" xfId="0" applyNumberFormat="1" applyFont="1" applyFill="1" applyBorder="1" applyAlignment="1">
      <alignment horizontal="center" vertical="top" wrapText="1"/>
    </xf>
    <xf numFmtId="165" fontId="6" fillId="0" borderId="1" xfId="0" applyNumberFormat="1" applyFont="1" applyFill="1" applyBorder="1" applyAlignment="1">
      <alignment horizontal="center" vertical="top" wrapText="1"/>
    </xf>
    <xf numFmtId="3" fontId="10" fillId="0" borderId="1" xfId="0" applyNumberFormat="1" applyFont="1" applyFill="1" applyBorder="1" applyAlignment="1">
      <alignment horizontal="center" vertical="top" wrapText="1"/>
    </xf>
    <xf numFmtId="0" fontId="10" fillId="0" borderId="1" xfId="0" quotePrefix="1" applyFont="1" applyFill="1" applyBorder="1" applyAlignment="1">
      <alignment horizontal="justify" vertical="top" wrapText="1"/>
    </xf>
    <xf numFmtId="0" fontId="10" fillId="0" borderId="1" xfId="0" quotePrefix="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166" fontId="6" fillId="0" borderId="1" xfId="0" applyNumberFormat="1" applyFont="1" applyFill="1" applyBorder="1" applyAlignment="1">
      <alignment horizontal="center" vertical="top" wrapText="1"/>
    </xf>
    <xf numFmtId="0" fontId="22" fillId="0" borderId="1" xfId="0" quotePrefix="1" applyFont="1" applyFill="1" applyBorder="1" applyAlignment="1">
      <alignment horizontal="center" vertical="top" wrapText="1"/>
    </xf>
    <xf numFmtId="0" fontId="32" fillId="0" borderId="1" xfId="0" applyFont="1" applyFill="1" applyBorder="1" applyAlignment="1">
      <alignment horizontal="center" vertical="top" wrapText="1"/>
    </xf>
    <xf numFmtId="0" fontId="22" fillId="0" borderId="1" xfId="0" applyFont="1" applyFill="1" applyBorder="1" applyAlignment="1">
      <alignment horizontal="center" vertical="top" wrapText="1"/>
    </xf>
    <xf numFmtId="0" fontId="33" fillId="0" borderId="1" xfId="0" applyFont="1" applyFill="1" applyBorder="1" applyAlignment="1">
      <alignment horizontal="center" vertical="top" wrapText="1"/>
    </xf>
    <xf numFmtId="0" fontId="10" fillId="0" borderId="1" xfId="0" quotePrefix="1" applyFont="1" applyFill="1" applyBorder="1" applyAlignment="1">
      <alignment horizontal="left" vertical="top" wrapText="1"/>
    </xf>
    <xf numFmtId="0" fontId="10" fillId="0" borderId="1" xfId="0" applyNumberFormat="1" applyFont="1" applyFill="1" applyBorder="1" applyAlignment="1">
      <alignment vertical="top" wrapText="1"/>
    </xf>
    <xf numFmtId="0" fontId="17" fillId="0" borderId="1" xfId="0" applyFont="1" applyFill="1" applyBorder="1" applyAlignment="1">
      <alignment horizontal="left" vertical="top"/>
    </xf>
    <xf numFmtId="0" fontId="17" fillId="0" borderId="1" xfId="0" applyFont="1" applyFill="1" applyBorder="1" applyAlignment="1">
      <alignment horizontal="center" vertical="center"/>
    </xf>
    <xf numFmtId="0" fontId="7" fillId="0" borderId="1" xfId="0" quotePrefix="1" applyFont="1" applyFill="1" applyBorder="1" applyAlignment="1">
      <alignment horizontal="center" vertical="top"/>
    </xf>
    <xf numFmtId="0" fontId="6" fillId="0" borderId="1" xfId="0" applyFont="1" applyFill="1" applyBorder="1" applyAlignment="1">
      <alignment vertical="center"/>
    </xf>
    <xf numFmtId="0" fontId="0" fillId="0" borderId="1" xfId="0" applyFill="1" applyBorder="1" applyAlignment="1">
      <alignment horizontal="left" vertical="top" wrapText="1"/>
    </xf>
    <xf numFmtId="0" fontId="2" fillId="0" borderId="1" xfId="0" applyFont="1" applyFill="1" applyBorder="1" applyAlignment="1">
      <alignment horizontal="center" vertical="center" wrapText="1"/>
    </xf>
    <xf numFmtId="167" fontId="10" fillId="0" borderId="1" xfId="0" applyNumberFormat="1" applyFont="1" applyFill="1" applyBorder="1" applyAlignment="1">
      <alignment horizontal="center" vertical="top" wrapText="1"/>
    </xf>
    <xf numFmtId="168" fontId="10" fillId="0" borderId="1" xfId="0" applyNumberFormat="1" applyFont="1" applyFill="1" applyBorder="1" applyAlignment="1">
      <alignment horizontal="center" vertical="top" wrapText="1"/>
    </xf>
    <xf numFmtId="0" fontId="8" fillId="0" borderId="2" xfId="0" applyFont="1" applyFill="1" applyBorder="1" applyAlignment="1">
      <alignment horizontal="center" vertical="top" wrapText="1"/>
    </xf>
    <xf numFmtId="0" fontId="7" fillId="0" borderId="2" xfId="0" applyFont="1" applyFill="1" applyBorder="1" applyAlignment="1">
      <alignment horizontal="center" vertical="top" wrapText="1"/>
    </xf>
    <xf numFmtId="0" fontId="9" fillId="0" borderId="4" xfId="2" applyFont="1" applyFill="1" applyBorder="1" applyAlignment="1" applyProtection="1">
      <alignment horizontal="center" vertical="top" wrapText="1"/>
    </xf>
    <xf numFmtId="0" fontId="8" fillId="0" borderId="1" xfId="0" applyFont="1" applyFill="1" applyBorder="1" applyAlignment="1">
      <alignment horizontal="center" vertical="top"/>
    </xf>
    <xf numFmtId="0" fontId="6" fillId="0" borderId="4" xfId="0" applyFont="1" applyFill="1" applyBorder="1" applyAlignment="1">
      <alignment horizontal="center" vertical="top"/>
    </xf>
    <xf numFmtId="0" fontId="17" fillId="0" borderId="0" xfId="0" applyFont="1" applyFill="1" applyAlignment="1">
      <alignment vertical="top" wrapText="1"/>
    </xf>
    <xf numFmtId="0" fontId="6" fillId="0" borderId="1" xfId="0" applyFont="1" applyFill="1" applyBorder="1" applyAlignment="1" applyProtection="1">
      <alignment horizontal="center" vertical="top" wrapText="1"/>
      <protection locked="0"/>
    </xf>
    <xf numFmtId="0" fontId="10" fillId="0" borderId="1" xfId="0" applyFont="1" applyFill="1" applyBorder="1" applyAlignment="1" applyProtection="1">
      <alignment horizontal="center" vertical="top" wrapText="1"/>
      <protection locked="0"/>
    </xf>
    <xf numFmtId="0" fontId="17" fillId="0" borderId="16" xfId="0" applyFont="1" applyFill="1" applyBorder="1" applyAlignment="1">
      <alignment horizontal="left" vertical="top" wrapText="1"/>
    </xf>
    <xf numFmtId="0" fontId="17" fillId="0" borderId="16" xfId="0" applyFont="1" applyFill="1" applyBorder="1" applyAlignment="1">
      <alignment horizontal="center" vertical="top" wrapText="1"/>
    </xf>
    <xf numFmtId="0" fontId="17" fillId="0" borderId="17" xfId="0" applyFont="1" applyFill="1" applyBorder="1" applyAlignment="1">
      <alignment horizontal="center" vertical="top" wrapText="1"/>
    </xf>
    <xf numFmtId="0" fontId="17" fillId="0" borderId="18" xfId="0" applyFont="1" applyFill="1" applyBorder="1" applyAlignment="1">
      <alignment horizontal="center" vertical="top" wrapText="1"/>
    </xf>
    <xf numFmtId="0" fontId="10" fillId="0" borderId="3" xfId="0" applyFont="1" applyFill="1" applyBorder="1" applyAlignment="1">
      <alignment horizontal="center" vertical="top" wrapText="1"/>
    </xf>
    <xf numFmtId="0" fontId="6" fillId="0" borderId="4" xfId="0" quotePrefix="1" applyFont="1" applyFill="1" applyBorder="1" applyAlignment="1">
      <alignment horizontal="center" vertical="top" wrapText="1"/>
    </xf>
    <xf numFmtId="0" fontId="6" fillId="0" borderId="10" xfId="0" applyFont="1" applyFill="1" applyBorder="1" applyAlignment="1">
      <alignment horizontal="left" vertical="top" wrapText="1"/>
    </xf>
    <xf numFmtId="0" fontId="25" fillId="0" borderId="4" xfId="0" applyFont="1" applyFill="1" applyBorder="1" applyAlignment="1">
      <alignment horizontal="left" vertical="top" wrapText="1"/>
    </xf>
    <xf numFmtId="0" fontId="25" fillId="0" borderId="4" xfId="0" applyFont="1" applyFill="1" applyBorder="1" applyAlignment="1">
      <alignment horizontal="center" vertical="top" wrapText="1"/>
    </xf>
    <xf numFmtId="0" fontId="25" fillId="0" borderId="4" xfId="0" applyFont="1" applyFill="1" applyBorder="1" applyAlignment="1">
      <alignment horizontal="center" vertical="top"/>
    </xf>
    <xf numFmtId="0" fontId="6" fillId="0" borderId="4" xfId="0" applyFont="1" applyFill="1" applyBorder="1" applyAlignment="1">
      <alignment horizontal="justify" vertical="top" wrapText="1"/>
    </xf>
    <xf numFmtId="164" fontId="6" fillId="0" borderId="1" xfId="0" applyNumberFormat="1" applyFont="1" applyFill="1" applyBorder="1" applyAlignment="1">
      <alignment horizontal="justify" vertical="top" wrapText="1"/>
    </xf>
    <xf numFmtId="14" fontId="6" fillId="0" borderId="1" xfId="0" applyNumberFormat="1" applyFont="1" applyFill="1" applyBorder="1" applyAlignment="1">
      <alignment horizontal="left" vertical="top"/>
    </xf>
    <xf numFmtId="14" fontId="6" fillId="0" borderId="4" xfId="0" applyNumberFormat="1" applyFont="1" applyFill="1" applyBorder="1" applyAlignment="1">
      <alignment horizontal="center" vertical="top"/>
    </xf>
    <xf numFmtId="14" fontId="6" fillId="0" borderId="4" xfId="0" applyNumberFormat="1" applyFont="1" applyFill="1" applyBorder="1" applyAlignment="1">
      <alignment horizontal="left" vertical="top"/>
    </xf>
    <xf numFmtId="164" fontId="6" fillId="0" borderId="4" xfId="0" applyNumberFormat="1" applyFont="1" applyFill="1" applyBorder="1" applyAlignment="1">
      <alignment horizontal="center" vertical="top" wrapText="1"/>
    </xf>
    <xf numFmtId="0" fontId="9" fillId="0" borderId="2" xfId="2" applyFont="1" applyFill="1" applyBorder="1" applyAlignment="1" applyProtection="1">
      <alignment horizontal="center" vertical="top" wrapText="1"/>
    </xf>
    <xf numFmtId="0" fontId="10" fillId="0" borderId="2" xfId="0" applyFont="1" applyFill="1" applyBorder="1" applyAlignment="1">
      <alignment horizontal="center" vertical="top"/>
    </xf>
    <xf numFmtId="0" fontId="6" fillId="0" borderId="2" xfId="0" applyFont="1" applyFill="1" applyBorder="1" applyAlignment="1">
      <alignment horizontal="justify" vertical="top" wrapText="1"/>
    </xf>
    <xf numFmtId="0" fontId="0" fillId="0" borderId="0" xfId="0" applyFill="1" applyBorder="1"/>
    <xf numFmtId="9" fontId="6" fillId="0" borderId="1" xfId="1" applyFont="1" applyFill="1" applyBorder="1" applyAlignment="1">
      <alignment horizontal="center" vertical="top"/>
    </xf>
    <xf numFmtId="0" fontId="10" fillId="0" borderId="4" xfId="0" applyFont="1" applyFill="1" applyBorder="1" applyAlignment="1">
      <alignment horizontal="center" vertical="top"/>
    </xf>
    <xf numFmtId="0" fontId="6" fillId="0" borderId="10" xfId="0" applyFont="1" applyFill="1" applyBorder="1" applyAlignment="1">
      <alignment horizontal="center" vertical="top" wrapText="1"/>
    </xf>
    <xf numFmtId="0" fontId="9" fillId="0" borderId="10" xfId="2" applyFont="1" applyFill="1" applyBorder="1" applyAlignment="1" applyProtection="1">
      <alignment horizontal="center" vertical="top" wrapText="1"/>
    </xf>
    <xf numFmtId="0" fontId="17" fillId="0" borderId="1" xfId="0" applyFont="1" applyFill="1" applyBorder="1" applyAlignment="1">
      <alignment vertical="top" wrapText="1"/>
    </xf>
    <xf numFmtId="0" fontId="10" fillId="0" borderId="1" xfId="2" applyFont="1" applyFill="1" applyBorder="1" applyAlignment="1" applyProtection="1">
      <alignment horizontal="center" vertical="top"/>
    </xf>
    <xf numFmtId="0" fontId="6" fillId="0" borderId="1" xfId="2" applyNumberFormat="1" applyFont="1" applyFill="1" applyBorder="1" applyAlignment="1">
      <alignment horizontal="left" vertical="top" wrapText="1"/>
    </xf>
    <xf numFmtId="0" fontId="6" fillId="0" borderId="1" xfId="2" applyNumberFormat="1" applyFont="1" applyFill="1" applyBorder="1" applyAlignment="1">
      <alignment horizontal="center" vertical="top"/>
    </xf>
    <xf numFmtId="3" fontId="6" fillId="0" borderId="1" xfId="0" applyNumberFormat="1" applyFont="1" applyFill="1" applyBorder="1" applyAlignment="1">
      <alignment horizontal="center" vertical="top"/>
    </xf>
    <xf numFmtId="0" fontId="17" fillId="0" borderId="1" xfId="0" applyFont="1" applyFill="1" applyBorder="1" applyAlignment="1">
      <alignment horizontal="left" vertical="center" wrapText="1"/>
    </xf>
    <xf numFmtId="0" fontId="17" fillId="0" borderId="1" xfId="0" applyFont="1" applyFill="1" applyBorder="1" applyAlignment="1">
      <alignment horizontal="justify" vertical="top" wrapText="1"/>
    </xf>
    <xf numFmtId="0" fontId="17" fillId="0" borderId="1" xfId="0" applyFont="1" applyFill="1" applyBorder="1" applyAlignment="1">
      <alignment horizontal="center" vertical="center" wrapText="1"/>
    </xf>
    <xf numFmtId="0" fontId="17" fillId="0" borderId="23" xfId="0" applyFont="1" applyFill="1" applyBorder="1" applyAlignment="1">
      <alignment horizontal="left" vertical="center" wrapText="1"/>
    </xf>
    <xf numFmtId="0" fontId="17" fillId="0" borderId="23" xfId="0" applyFont="1" applyFill="1" applyBorder="1" applyAlignment="1">
      <alignment horizontal="center" vertical="top"/>
    </xf>
    <xf numFmtId="0" fontId="17" fillId="0" borderId="0" xfId="0" applyFont="1" applyFill="1"/>
    <xf numFmtId="0" fontId="17" fillId="0" borderId="1" xfId="0" applyFont="1" applyFill="1" applyBorder="1" applyAlignment="1">
      <alignment horizontal="right" vertical="top"/>
    </xf>
    <xf numFmtId="2" fontId="6" fillId="0" borderId="4" xfId="0" applyNumberFormat="1" applyFont="1" applyFill="1" applyBorder="1" applyAlignment="1">
      <alignment horizontal="center" vertical="top" wrapText="1"/>
    </xf>
    <xf numFmtId="0" fontId="17" fillId="0" borderId="21" xfId="0" applyFont="1" applyFill="1" applyBorder="1" applyAlignment="1">
      <alignment horizontal="center" vertical="top" wrapText="1"/>
    </xf>
    <xf numFmtId="0" fontId="17" fillId="0" borderId="18" xfId="0" quotePrefix="1" applyFont="1" applyFill="1" applyBorder="1" applyAlignment="1">
      <alignment horizontal="center" vertical="top" wrapText="1"/>
    </xf>
    <xf numFmtId="0" fontId="17" fillId="0" borderId="4" xfId="0" applyFont="1" applyFill="1" applyBorder="1" applyAlignment="1">
      <alignment horizontal="left" vertical="top" wrapText="1"/>
    </xf>
    <xf numFmtId="0" fontId="17" fillId="0" borderId="22" xfId="0" applyFont="1" applyFill="1" applyBorder="1" applyAlignment="1">
      <alignment horizontal="center" vertical="top" wrapText="1"/>
    </xf>
    <xf numFmtId="0" fontId="17" fillId="0" borderId="23" xfId="0" applyFont="1" applyFill="1" applyBorder="1" applyAlignment="1">
      <alignment horizontal="center" vertical="top" wrapText="1"/>
    </xf>
    <xf numFmtId="0" fontId="17" fillId="0" borderId="23" xfId="0" quotePrefix="1" applyFont="1" applyFill="1" applyBorder="1" applyAlignment="1">
      <alignment horizontal="center" vertical="top"/>
    </xf>
    <xf numFmtId="0" fontId="17" fillId="0" borderId="4" xfId="0" applyFont="1" applyFill="1" applyBorder="1" applyAlignment="1">
      <alignment horizontal="justify" vertical="top" wrapText="1"/>
    </xf>
    <xf numFmtId="0" fontId="17" fillId="0" borderId="4" xfId="0" applyFont="1" applyFill="1" applyBorder="1" applyAlignment="1">
      <alignment horizontal="center" vertical="top" wrapText="1"/>
    </xf>
    <xf numFmtId="0" fontId="6" fillId="0" borderId="6" xfId="0" applyFont="1" applyFill="1" applyBorder="1" applyAlignment="1">
      <alignment horizontal="left" vertical="top"/>
    </xf>
    <xf numFmtId="0" fontId="10" fillId="0" borderId="4" xfId="0" applyFont="1" applyFill="1" applyBorder="1" applyAlignment="1">
      <alignment horizontal="center" vertical="top" wrapText="1"/>
    </xf>
    <xf numFmtId="0" fontId="10" fillId="0" borderId="4" xfId="0" applyFont="1" applyFill="1" applyBorder="1" applyAlignment="1">
      <alignment vertical="top" wrapText="1"/>
    </xf>
    <xf numFmtId="0" fontId="6" fillId="0" borderId="1" xfId="0" applyFont="1" applyFill="1" applyBorder="1" applyAlignment="1">
      <alignment horizontal="justify" vertical="top"/>
    </xf>
    <xf numFmtId="0" fontId="16" fillId="0" borderId="4" xfId="0" applyFont="1" applyFill="1" applyBorder="1" applyAlignment="1" applyProtection="1">
      <alignment horizontal="left" vertical="top" wrapText="1"/>
    </xf>
    <xf numFmtId="0" fontId="16" fillId="0" borderId="4" xfId="0" applyFont="1" applyFill="1" applyBorder="1" applyAlignment="1" applyProtection="1">
      <alignment horizontal="center" vertical="top" wrapText="1"/>
    </xf>
    <xf numFmtId="0" fontId="10" fillId="0" borderId="4" xfId="0" applyFont="1" applyFill="1" applyBorder="1" applyAlignment="1">
      <alignment horizontal="left" vertical="top" wrapText="1"/>
    </xf>
    <xf numFmtId="0" fontId="0" fillId="0" borderId="2" xfId="0" applyFill="1" applyBorder="1" applyAlignment="1">
      <alignment vertical="center" wrapText="1"/>
    </xf>
    <xf numFmtId="0" fontId="0" fillId="0" borderId="13" xfId="0" applyFill="1" applyBorder="1" applyAlignment="1">
      <alignment vertical="center" wrapText="1"/>
    </xf>
    <xf numFmtId="0" fontId="0" fillId="0" borderId="3" xfId="0" applyFill="1" applyBorder="1" applyAlignment="1">
      <alignment vertical="center" wrapText="1"/>
    </xf>
    <xf numFmtId="0" fontId="0" fillId="0" borderId="1" xfId="0" applyFill="1" applyBorder="1" applyAlignment="1">
      <alignment vertical="center" wrapText="1"/>
    </xf>
    <xf numFmtId="0" fontId="0" fillId="0" borderId="1" xfId="0" applyFont="1" applyFill="1" applyBorder="1" applyAlignment="1">
      <alignment horizontal="center" vertical="top"/>
    </xf>
    <xf numFmtId="0" fontId="10" fillId="0" borderId="11" xfId="0" applyFont="1" applyFill="1" applyBorder="1" applyAlignment="1">
      <alignment horizontal="center" vertical="top"/>
    </xf>
    <xf numFmtId="0" fontId="10" fillId="0" borderId="12" xfId="0" applyFont="1" applyFill="1" applyBorder="1" applyAlignment="1">
      <alignment horizontal="center" vertical="top"/>
    </xf>
    <xf numFmtId="0" fontId="0" fillId="0" borderId="1" xfId="0" applyFill="1" applyBorder="1" applyAlignment="1">
      <alignment horizontal="center" wrapText="1"/>
    </xf>
    <xf numFmtId="0" fontId="0" fillId="0" borderId="1" xfId="0" applyFont="1" applyFill="1" applyBorder="1" applyAlignment="1">
      <alignment horizontal="left" vertical="top" wrapText="1"/>
    </xf>
    <xf numFmtId="0" fontId="0" fillId="0" borderId="1" xfId="0" applyFont="1" applyFill="1" applyBorder="1" applyAlignment="1">
      <alignment horizontal="center" vertical="top" wrapText="1"/>
    </xf>
    <xf numFmtId="0" fontId="0" fillId="0" borderId="1" xfId="0" applyFill="1" applyBorder="1" applyAlignment="1">
      <alignment horizontal="center" vertical="top"/>
    </xf>
    <xf numFmtId="0" fontId="6" fillId="0" borderId="1" xfId="0" applyFont="1" applyFill="1" applyBorder="1" applyAlignment="1">
      <alignment horizontal="left" vertical="center"/>
    </xf>
    <xf numFmtId="0" fontId="0" fillId="0" borderId="1" xfId="0" applyFill="1" applyBorder="1" applyAlignment="1">
      <alignment horizontal="left" vertical="center" wrapText="1"/>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0" fontId="6" fillId="0" borderId="6" xfId="0" applyFont="1" applyFill="1" applyBorder="1" applyAlignment="1">
      <alignment horizontal="center" vertical="center"/>
    </xf>
    <xf numFmtId="0" fontId="0" fillId="0" borderId="1" xfId="0" quotePrefix="1" applyFill="1" applyBorder="1" applyAlignment="1">
      <alignment horizontal="center" vertical="top" wrapText="1"/>
    </xf>
    <xf numFmtId="0" fontId="0" fillId="0" borderId="4" xfId="0" applyFill="1" applyBorder="1" applyAlignment="1">
      <alignment horizontal="left" vertical="top" wrapText="1"/>
    </xf>
    <xf numFmtId="0" fontId="0" fillId="0" borderId="4" xfId="0" applyFill="1" applyBorder="1" applyAlignment="1">
      <alignment horizontal="center" vertical="top"/>
    </xf>
    <xf numFmtId="0" fontId="0" fillId="0" borderId="4" xfId="0" quotePrefix="1" applyFill="1" applyBorder="1" applyAlignment="1">
      <alignment horizontal="center" vertical="top" wrapText="1"/>
    </xf>
    <xf numFmtId="0" fontId="0" fillId="0" borderId="6" xfId="0" applyFill="1" applyBorder="1" applyAlignment="1">
      <alignment horizontal="left" vertical="top" wrapText="1"/>
    </xf>
    <xf numFmtId="0" fontId="0" fillId="0" borderId="6" xfId="0" applyFill="1" applyBorder="1" applyAlignment="1">
      <alignment horizontal="center" vertical="top"/>
    </xf>
    <xf numFmtId="0" fontId="0" fillId="0" borderId="6" xfId="0" quotePrefix="1" applyFill="1" applyBorder="1" applyAlignment="1">
      <alignment horizontal="center" vertical="top"/>
    </xf>
    <xf numFmtId="0" fontId="0" fillId="0" borderId="1" xfId="0" applyFill="1" applyBorder="1" applyAlignment="1">
      <alignment vertical="top" wrapText="1"/>
    </xf>
    <xf numFmtId="0" fontId="0" fillId="0" borderId="1" xfId="0" quotePrefix="1" applyFill="1" applyBorder="1" applyAlignment="1">
      <alignment vertical="top" wrapText="1"/>
    </xf>
    <xf numFmtId="0" fontId="0" fillId="0" borderId="1" xfId="0" quotePrefix="1" applyFont="1" applyFill="1" applyBorder="1" applyAlignment="1">
      <alignment horizontal="center" vertical="top" wrapText="1"/>
    </xf>
    <xf numFmtId="0" fontId="6" fillId="0" borderId="1" xfId="0" quotePrefix="1" applyFont="1" applyFill="1" applyBorder="1" applyAlignment="1">
      <alignment horizontal="left" vertical="top" wrapText="1"/>
    </xf>
    <xf numFmtId="0" fontId="6" fillId="0" borderId="1" xfId="0" quotePrefix="1" applyFont="1" applyFill="1" applyBorder="1" applyAlignment="1">
      <alignment vertical="top" wrapText="1"/>
    </xf>
    <xf numFmtId="2" fontId="10" fillId="0" borderId="1" xfId="0" applyNumberFormat="1" applyFont="1" applyFill="1" applyBorder="1" applyAlignment="1">
      <alignment horizontal="center" vertical="top"/>
    </xf>
    <xf numFmtId="0" fontId="10" fillId="0" borderId="1" xfId="0" applyFont="1" applyFill="1" applyBorder="1" applyAlignment="1">
      <alignment horizontal="center" vertical="center"/>
    </xf>
    <xf numFmtId="0" fontId="10" fillId="0" borderId="4" xfId="0" applyFont="1" applyFill="1" applyBorder="1" applyAlignment="1">
      <alignment horizontal="center" vertical="center"/>
    </xf>
    <xf numFmtId="17" fontId="10" fillId="0" borderId="1" xfId="0" applyNumberFormat="1" applyFont="1" applyFill="1" applyBorder="1" applyAlignment="1">
      <alignment horizontal="center" vertical="top" wrapText="1"/>
    </xf>
    <xf numFmtId="0" fontId="10" fillId="0" borderId="1" xfId="0" applyFont="1" applyFill="1" applyBorder="1" applyAlignment="1">
      <alignment horizontal="center" vertical="center" wrapText="1"/>
    </xf>
    <xf numFmtId="0" fontId="0" fillId="0" borderId="0" xfId="0" applyFill="1" applyAlignment="1">
      <alignment horizontal="left" vertical="top" wrapText="1"/>
    </xf>
    <xf numFmtId="0" fontId="0" fillId="0" borderId="0" xfId="0" applyFill="1" applyAlignment="1">
      <alignment horizontal="center" vertical="top" wrapText="1"/>
    </xf>
    <xf numFmtId="0" fontId="6" fillId="0" borderId="1" xfId="0" applyFont="1" applyFill="1" applyBorder="1" applyAlignment="1">
      <alignment horizontal="left" vertical="top" wrapText="1"/>
    </xf>
    <xf numFmtId="0" fontId="6" fillId="0" borderId="1" xfId="0" applyFont="1" applyFill="1" applyBorder="1" applyAlignment="1">
      <alignment horizontal="center" vertical="top" wrapText="1"/>
    </xf>
    <xf numFmtId="0" fontId="6" fillId="0" borderId="1" xfId="0" applyFont="1" applyFill="1" applyBorder="1" applyAlignment="1">
      <alignment horizontal="left" vertical="top" wrapText="1"/>
    </xf>
    <xf numFmtId="0" fontId="6" fillId="0" borderId="1" xfId="0" applyFont="1" applyFill="1" applyBorder="1" applyAlignment="1">
      <alignment horizontal="center" vertical="top"/>
    </xf>
    <xf numFmtId="0" fontId="10"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1" xfId="0" applyFont="1" applyFill="1" applyBorder="1" applyAlignment="1">
      <alignment horizontal="center" vertical="top" wrapText="1"/>
    </xf>
    <xf numFmtId="0" fontId="10" fillId="0" borderId="1" xfId="0" applyFont="1" applyFill="1" applyBorder="1" applyAlignment="1">
      <alignment horizontal="center" vertical="top"/>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top"/>
    </xf>
    <xf numFmtId="0" fontId="10" fillId="0" borderId="1" xfId="0" applyFont="1" applyFill="1" applyBorder="1" applyAlignment="1" applyProtection="1">
      <alignment horizontal="left" vertical="top" wrapText="1"/>
    </xf>
    <xf numFmtId="0" fontId="16" fillId="0" borderId="1" xfId="0" applyFont="1" applyFill="1" applyBorder="1" applyAlignment="1" applyProtection="1">
      <alignment horizontal="left" vertical="top" wrapText="1"/>
    </xf>
    <xf numFmtId="0" fontId="17" fillId="0" borderId="1" xfId="2" applyFont="1" applyFill="1" applyBorder="1" applyAlignment="1" applyProtection="1">
      <alignment horizontal="left" vertical="top" wrapText="1"/>
    </xf>
    <xf numFmtId="0" fontId="17" fillId="0" borderId="1" xfId="0" applyFont="1" applyFill="1" applyBorder="1" applyAlignment="1">
      <alignment horizontal="left" vertical="top" wrapText="1"/>
    </xf>
    <xf numFmtId="0" fontId="10" fillId="0" borderId="1" xfId="0" applyFont="1" applyFill="1" applyBorder="1" applyAlignment="1">
      <alignment horizontal="center" vertical="top" wrapText="1"/>
    </xf>
    <xf numFmtId="0" fontId="6" fillId="0" borderId="1" xfId="2" applyFont="1" applyFill="1" applyBorder="1" applyAlignment="1" applyProtection="1">
      <alignment horizontal="left" vertical="top" wrapText="1"/>
    </xf>
    <xf numFmtId="0" fontId="17" fillId="0" borderId="1" xfId="2" applyFont="1" applyFill="1" applyBorder="1" applyAlignment="1" applyProtection="1">
      <alignment horizontal="justify"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10" fillId="0" borderId="1" xfId="0" applyFont="1" applyBorder="1" applyAlignment="1">
      <alignment horizontal="center" vertical="top"/>
    </xf>
    <xf numFmtId="0" fontId="10" fillId="0" borderId="1" xfId="0" applyFont="1" applyBorder="1" applyAlignment="1">
      <alignment horizontal="left" vertical="top" wrapText="1"/>
    </xf>
    <xf numFmtId="0" fontId="6" fillId="0" borderId="1" xfId="0" applyFont="1" applyBorder="1" applyAlignment="1">
      <alignment vertical="top" wrapText="1"/>
    </xf>
    <xf numFmtId="0" fontId="6" fillId="2" borderId="1" xfId="0" applyFont="1" applyFill="1" applyBorder="1" applyAlignment="1">
      <alignment horizontal="center" vertical="top"/>
    </xf>
    <xf numFmtId="0" fontId="6" fillId="0" borderId="1" xfId="0" quotePrefix="1" applyFont="1" applyBorder="1" applyAlignment="1">
      <alignment horizontal="center" vertical="top" wrapText="1"/>
    </xf>
    <xf numFmtId="0" fontId="6" fillId="2" borderId="1" xfId="0" applyFont="1" applyFill="1" applyBorder="1" applyAlignment="1">
      <alignment horizontal="left" vertical="top" wrapText="1"/>
    </xf>
    <xf numFmtId="0" fontId="10" fillId="0" borderId="1" xfId="0" applyFont="1" applyBorder="1" applyAlignment="1">
      <alignment horizontal="center" vertical="center" wrapText="1"/>
    </xf>
    <xf numFmtId="0" fontId="6" fillId="0" borderId="1" xfId="0" applyFont="1" applyBorder="1" applyAlignment="1">
      <alignment horizontal="center"/>
    </xf>
    <xf numFmtId="0" fontId="6" fillId="2" borderId="1" xfId="0" applyFont="1" applyFill="1" applyBorder="1" applyAlignment="1">
      <alignment horizontal="center"/>
    </xf>
    <xf numFmtId="0" fontId="6" fillId="0" borderId="1" xfId="0" applyFont="1" applyBorder="1" applyAlignment="1">
      <alignment horizontal="left" vertical="top"/>
    </xf>
    <xf numFmtId="0" fontId="17" fillId="0" borderId="1" xfId="0" applyFont="1" applyBorder="1" applyAlignment="1">
      <alignment horizontal="left" vertical="top" wrapText="1"/>
    </xf>
    <xf numFmtId="0" fontId="6" fillId="0" borderId="1" xfId="0" applyFont="1" applyBorder="1" applyAlignment="1">
      <alignment horizontal="center" wrapText="1"/>
    </xf>
    <xf numFmtId="0" fontId="6" fillId="0" borderId="1" xfId="0" applyFont="1" applyBorder="1" applyAlignment="1">
      <alignment vertical="top"/>
    </xf>
    <xf numFmtId="0" fontId="6" fillId="0" borderId="1" xfId="0" applyFont="1" applyBorder="1" applyAlignment="1">
      <alignment horizontal="center" vertical="center"/>
    </xf>
    <xf numFmtId="0" fontId="17" fillId="2" borderId="1" xfId="2" applyFont="1" applyFill="1" applyBorder="1" applyAlignment="1" applyProtection="1">
      <alignment horizontal="left" vertical="top" wrapText="1"/>
    </xf>
    <xf numFmtId="0" fontId="7" fillId="0" borderId="1" xfId="0" applyFont="1" applyBorder="1" applyAlignment="1">
      <alignment horizontal="center" vertical="top"/>
    </xf>
    <xf numFmtId="0" fontId="7" fillId="2" borderId="1" xfId="0" applyFont="1" applyFill="1" applyBorder="1" applyAlignment="1">
      <alignment horizontal="center" vertical="top"/>
    </xf>
    <xf numFmtId="0" fontId="6" fillId="0" borderId="1" xfId="0" applyFont="1" applyBorder="1" applyAlignment="1">
      <alignment horizontal="justify" vertical="top" wrapText="1"/>
    </xf>
    <xf numFmtId="0" fontId="6" fillId="2" borderId="1" xfId="0" applyFont="1" applyFill="1" applyBorder="1" applyAlignment="1">
      <alignment horizontal="center" vertical="center"/>
    </xf>
    <xf numFmtId="0" fontId="17" fillId="0" borderId="1" xfId="0" applyFont="1" applyBorder="1" applyAlignment="1">
      <alignment horizontal="center" vertical="top" wrapText="1"/>
    </xf>
    <xf numFmtId="0" fontId="10" fillId="0" borderId="1" xfId="0" applyFont="1" applyBorder="1" applyAlignment="1">
      <alignment vertical="top" wrapText="1"/>
    </xf>
    <xf numFmtId="0" fontId="10" fillId="0" borderId="1" xfId="0" applyFont="1" applyBorder="1" applyAlignment="1">
      <alignment horizontal="center" vertical="center"/>
    </xf>
    <xf numFmtId="0" fontId="6" fillId="0" borderId="1" xfId="0" applyFont="1" applyBorder="1" applyAlignment="1">
      <alignment horizontal="left" vertical="center" wrapText="1"/>
    </xf>
    <xf numFmtId="0" fontId="3" fillId="2" borderId="1" xfId="0" applyFont="1" applyFill="1" applyBorder="1" applyAlignment="1">
      <alignment horizontal="center" vertical="top"/>
    </xf>
    <xf numFmtId="0" fontId="27" fillId="2" borderId="1" xfId="2" applyFont="1" applyFill="1" applyBorder="1" applyAlignment="1" applyProtection="1">
      <alignment horizontal="center" vertical="top" wrapText="1"/>
    </xf>
    <xf numFmtId="0" fontId="10" fillId="0" borderId="1" xfId="0" applyFont="1" applyBorder="1" applyAlignment="1">
      <alignment horizontal="center" vertical="top" wrapText="1"/>
    </xf>
    <xf numFmtId="1" fontId="10" fillId="0" borderId="1" xfId="0" applyNumberFormat="1" applyFont="1" applyBorder="1" applyAlignment="1">
      <alignment horizontal="center" vertical="top" wrapText="1"/>
    </xf>
    <xf numFmtId="1" fontId="6" fillId="0" borderId="1" xfId="0" applyNumberFormat="1" applyFont="1" applyBorder="1" applyAlignment="1">
      <alignment horizontal="center" vertical="top" wrapText="1"/>
    </xf>
    <xf numFmtId="14" fontId="6" fillId="0" borderId="1" xfId="0" applyNumberFormat="1" applyFont="1" applyBorder="1" applyAlignment="1">
      <alignment horizontal="center" vertical="top" wrapText="1"/>
    </xf>
    <xf numFmtId="3" fontId="6" fillId="0" borderId="1" xfId="0" applyNumberFormat="1" applyFont="1" applyBorder="1" applyAlignment="1">
      <alignment horizontal="center" vertical="top" wrapText="1"/>
    </xf>
    <xf numFmtId="0" fontId="6" fillId="2" borderId="1" xfId="0" applyFont="1" applyFill="1" applyBorder="1" applyAlignment="1">
      <alignment horizontal="center" vertical="top" wrapText="1"/>
    </xf>
    <xf numFmtId="2" fontId="6" fillId="0" borderId="1" xfId="0" applyNumberFormat="1" applyFont="1" applyBorder="1" applyAlignment="1">
      <alignment horizontal="center" vertical="top" wrapText="1"/>
    </xf>
    <xf numFmtId="3" fontId="10" fillId="0" borderId="1" xfId="0" applyNumberFormat="1" applyFont="1" applyBorder="1" applyAlignment="1">
      <alignment horizontal="center" vertical="top" wrapText="1"/>
    </xf>
    <xf numFmtId="0" fontId="22"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27" fillId="2" borderId="1" xfId="2" applyFont="1" applyFill="1" applyBorder="1" applyAlignment="1" applyProtection="1">
      <alignment vertical="top" wrapText="1"/>
    </xf>
    <xf numFmtId="0" fontId="27" fillId="2" borderId="1" xfId="2" applyFont="1" applyFill="1" applyBorder="1" applyAlignment="1" applyProtection="1">
      <alignment horizontal="left" vertical="top" wrapText="1"/>
    </xf>
    <xf numFmtId="0" fontId="15" fillId="2" borderId="1" xfId="0" applyFont="1" applyFill="1" applyBorder="1" applyAlignment="1">
      <alignment horizontal="center" vertical="top" wrapText="1"/>
    </xf>
    <xf numFmtId="0" fontId="0" fillId="0" borderId="0" xfId="0" applyBorder="1" applyAlignment="1">
      <alignment horizontal="center"/>
    </xf>
    <xf numFmtId="0" fontId="6" fillId="0" borderId="1" xfId="0" applyFont="1" applyFill="1" applyBorder="1" applyAlignment="1">
      <alignment horizontal="left" vertical="top" wrapText="1"/>
    </xf>
    <xf numFmtId="0" fontId="0" fillId="0" borderId="1" xfId="0" applyFill="1" applyBorder="1" applyAlignment="1">
      <alignment horizontal="center" vertical="center" wrapText="1"/>
    </xf>
    <xf numFmtId="0" fontId="11" fillId="0" borderId="2" xfId="0" applyFont="1" applyFill="1" applyBorder="1" applyAlignment="1">
      <alignment horizontal="left" vertical="center" wrapText="1"/>
    </xf>
    <xf numFmtId="0" fontId="11" fillId="0" borderId="13" xfId="0" applyFont="1" applyFill="1" applyBorder="1" applyAlignment="1">
      <alignment horizontal="left" vertical="center"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11" fillId="0" borderId="1" xfId="0" applyFont="1" applyFill="1" applyBorder="1" applyAlignment="1">
      <alignment horizontal="left" vertical="center" wrapText="1"/>
    </xf>
    <xf numFmtId="0" fontId="11" fillId="0" borderId="10"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0" fillId="0" borderId="13" xfId="0" applyFill="1" applyBorder="1" applyAlignment="1">
      <alignment horizontal="center" vertical="center" wrapText="1"/>
    </xf>
    <xf numFmtId="0" fontId="10" fillId="0" borderId="2" xfId="0" applyFont="1" applyFill="1" applyBorder="1" applyAlignment="1">
      <alignment horizontal="center" vertical="top" wrapText="1"/>
    </xf>
    <xf numFmtId="0" fontId="10" fillId="0" borderId="3" xfId="0" applyFont="1" applyFill="1" applyBorder="1" applyAlignment="1">
      <alignment horizontal="center" vertical="top" wrapText="1"/>
    </xf>
    <xf numFmtId="0" fontId="6" fillId="0" borderId="4" xfId="0" applyFont="1" applyFill="1" applyBorder="1" applyAlignment="1">
      <alignment horizontal="left" vertical="top" wrapText="1"/>
    </xf>
    <xf numFmtId="0" fontId="6" fillId="0" borderId="6"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13"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3" xfId="0" applyFont="1" applyFill="1" applyBorder="1" applyAlignment="1">
      <alignment horizontal="center" vertical="center"/>
    </xf>
    <xf numFmtId="0" fontId="0" fillId="0" borderId="9" xfId="0" applyFill="1" applyBorder="1" applyAlignment="1">
      <alignment horizontal="center" vertical="center" wrapText="1"/>
    </xf>
    <xf numFmtId="0" fontId="11" fillId="0" borderId="5" xfId="0" applyFont="1" applyFill="1" applyBorder="1" applyAlignment="1">
      <alignment horizontal="left" vertical="center" wrapText="1"/>
    </xf>
    <xf numFmtId="0" fontId="17" fillId="0" borderId="2" xfId="0" applyFont="1" applyFill="1" applyBorder="1" applyAlignment="1">
      <alignment horizontal="center" vertical="top" wrapText="1"/>
    </xf>
    <xf numFmtId="0" fontId="17" fillId="0" borderId="13" xfId="0" applyFont="1" applyFill="1" applyBorder="1" applyAlignment="1">
      <alignment horizontal="center" vertical="top" wrapText="1"/>
    </xf>
    <xf numFmtId="0" fontId="17" fillId="0" borderId="3" xfId="0" applyFont="1" applyFill="1" applyBorder="1" applyAlignment="1">
      <alignment horizontal="center" vertical="top" wrapText="1"/>
    </xf>
    <xf numFmtId="0" fontId="17" fillId="0" borderId="8" xfId="0" applyFont="1" applyFill="1" applyBorder="1" applyAlignment="1">
      <alignment horizontal="center" vertical="top" wrapText="1"/>
    </xf>
    <xf numFmtId="0" fontId="17" fillId="0" borderId="9" xfId="0" applyFont="1" applyFill="1" applyBorder="1" applyAlignment="1">
      <alignment horizontal="center" vertical="top" wrapText="1"/>
    </xf>
    <xf numFmtId="0" fontId="17" fillId="0" borderId="14" xfId="0" applyFont="1" applyFill="1" applyBorder="1" applyAlignment="1">
      <alignment horizontal="center" vertical="top" wrapText="1"/>
    </xf>
    <xf numFmtId="0" fontId="17" fillId="0" borderId="1" xfId="0" applyFont="1" applyFill="1" applyBorder="1" applyAlignment="1">
      <alignment horizontal="center" vertical="top" wrapText="1"/>
    </xf>
    <xf numFmtId="0" fontId="0" fillId="0" borderId="4" xfId="0" applyFill="1" applyBorder="1" applyAlignment="1">
      <alignment horizontal="center" vertical="top" wrapText="1"/>
    </xf>
    <xf numFmtId="0" fontId="0" fillId="0" borderId="6" xfId="0" applyFill="1" applyBorder="1" applyAlignment="1">
      <alignment horizontal="center" vertical="top" wrapText="1"/>
    </xf>
    <xf numFmtId="0" fontId="0" fillId="0" borderId="5" xfId="0" applyFill="1" applyBorder="1" applyAlignment="1">
      <alignment horizontal="center" vertical="top" wrapText="1"/>
    </xf>
    <xf numFmtId="0" fontId="11" fillId="0" borderId="6"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7" fillId="0" borderId="2" xfId="0" applyFont="1" applyFill="1" applyBorder="1" applyAlignment="1">
      <alignment horizontal="center" vertical="top"/>
    </xf>
    <xf numFmtId="0" fontId="17" fillId="0" borderId="13" xfId="0" applyFont="1" applyFill="1" applyBorder="1" applyAlignment="1">
      <alignment horizontal="center" vertical="top"/>
    </xf>
    <xf numFmtId="0" fontId="17" fillId="0" borderId="3" xfId="0" applyFont="1" applyFill="1" applyBorder="1" applyAlignment="1">
      <alignment horizontal="center" vertical="top"/>
    </xf>
    <xf numFmtId="0" fontId="6" fillId="0" borderId="20"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1" xfId="0" applyFont="1" applyFill="1" applyBorder="1" applyAlignment="1">
      <alignment horizontal="center" vertical="top" wrapText="1"/>
    </xf>
    <xf numFmtId="0" fontId="17" fillId="0" borderId="4" xfId="0" applyFont="1" applyFill="1" applyBorder="1" applyAlignment="1">
      <alignment horizontal="center" vertical="top"/>
    </xf>
    <xf numFmtId="0" fontId="17" fillId="0" borderId="5" xfId="0" applyFont="1" applyFill="1" applyBorder="1" applyAlignment="1">
      <alignment horizontal="center" vertical="top"/>
    </xf>
    <xf numFmtId="0" fontId="6" fillId="0" borderId="10" xfId="0" applyFont="1" applyFill="1" applyBorder="1" applyAlignment="1">
      <alignment horizontal="left" vertical="top" wrapText="1"/>
    </xf>
    <xf numFmtId="0" fontId="6" fillId="0" borderId="19" xfId="0" applyFont="1" applyFill="1" applyBorder="1" applyAlignment="1">
      <alignment horizontal="left" vertical="top" wrapText="1"/>
    </xf>
    <xf numFmtId="0" fontId="6" fillId="0" borderId="1" xfId="0" applyFont="1" applyFill="1" applyBorder="1" applyAlignment="1">
      <alignment horizontal="center" vertical="top"/>
    </xf>
    <xf numFmtId="0" fontId="11" fillId="0" borderId="11"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6" fillId="0" borderId="2" xfId="0" applyFont="1" applyFill="1" applyBorder="1" applyAlignment="1">
      <alignment horizontal="center" vertical="top"/>
    </xf>
    <xf numFmtId="0" fontId="6" fillId="0" borderId="13" xfId="0" applyFont="1" applyFill="1" applyBorder="1" applyAlignment="1">
      <alignment horizontal="center" vertical="top"/>
    </xf>
    <xf numFmtId="0" fontId="6" fillId="0" borderId="4" xfId="0" applyFont="1" applyFill="1" applyBorder="1" applyAlignment="1">
      <alignment horizontal="left" vertical="top"/>
    </xf>
    <xf numFmtId="0" fontId="6" fillId="0" borderId="6" xfId="0" applyFont="1" applyFill="1" applyBorder="1" applyAlignment="1">
      <alignment horizontal="left" vertical="top"/>
    </xf>
    <xf numFmtId="0" fontId="17" fillId="0" borderId="1" xfId="0" applyFont="1" applyFill="1" applyBorder="1" applyAlignment="1">
      <alignment horizontal="center" vertical="top"/>
    </xf>
    <xf numFmtId="0" fontId="10" fillId="0" borderId="1" xfId="0" applyFont="1" applyFill="1" applyBorder="1" applyAlignment="1">
      <alignment horizontal="center" vertical="top"/>
    </xf>
    <xf numFmtId="0" fontId="6" fillId="0" borderId="4" xfId="0" applyFont="1" applyFill="1" applyBorder="1" applyAlignment="1">
      <alignment horizontal="center" vertical="top"/>
    </xf>
    <xf numFmtId="0" fontId="6" fillId="0" borderId="5" xfId="0" applyFont="1" applyFill="1" applyBorder="1" applyAlignment="1">
      <alignment horizontal="center" vertical="top"/>
    </xf>
    <xf numFmtId="0" fontId="6" fillId="0" borderId="6" xfId="0" applyFont="1" applyFill="1" applyBorder="1" applyAlignment="1">
      <alignment horizontal="center" vertical="top"/>
    </xf>
    <xf numFmtId="0" fontId="7" fillId="0" borderId="1" xfId="0" applyFont="1" applyFill="1" applyBorder="1" applyAlignment="1">
      <alignment horizontal="center" vertical="center"/>
    </xf>
    <xf numFmtId="0" fontId="0" fillId="0" borderId="1" xfId="0" applyFill="1" applyBorder="1" applyAlignment="1">
      <alignment horizontal="center" vertical="top" wrapText="1"/>
    </xf>
    <xf numFmtId="0" fontId="10" fillId="0" borderId="1" xfId="0" applyFont="1" applyFill="1" applyBorder="1" applyAlignment="1">
      <alignment horizontal="left" vertical="top" wrapText="1"/>
    </xf>
    <xf numFmtId="0" fontId="10" fillId="0" borderId="1" xfId="0" applyFont="1" applyFill="1" applyBorder="1" applyAlignment="1">
      <alignment horizontal="center" vertical="top" wrapText="1"/>
    </xf>
    <xf numFmtId="0" fontId="17" fillId="0" borderId="1" xfId="0" applyFont="1" applyFill="1" applyBorder="1" applyAlignment="1">
      <alignment horizontal="left" vertical="top" wrapText="1"/>
    </xf>
    <xf numFmtId="0" fontId="17" fillId="0" borderId="4" xfId="0" applyFont="1" applyFill="1" applyBorder="1" applyAlignment="1">
      <alignment horizontal="left" vertical="top" wrapText="1"/>
    </xf>
    <xf numFmtId="0" fontId="6" fillId="0" borderId="2" xfId="0" applyFont="1" applyFill="1" applyBorder="1" applyAlignment="1">
      <alignment horizontal="center" vertical="top" wrapText="1"/>
    </xf>
    <xf numFmtId="0" fontId="6" fillId="0" borderId="13" xfId="0" applyFont="1" applyFill="1" applyBorder="1" applyAlignment="1">
      <alignment horizontal="center" vertical="top" wrapText="1"/>
    </xf>
    <xf numFmtId="0" fontId="6" fillId="0" borderId="3" xfId="0" applyFont="1" applyFill="1" applyBorder="1" applyAlignment="1">
      <alignment horizontal="center" vertical="top" wrapText="1"/>
    </xf>
    <xf numFmtId="0" fontId="6" fillId="0" borderId="1" xfId="0" applyFont="1" applyFill="1" applyBorder="1" applyAlignment="1">
      <alignment horizontal="center" vertical="center"/>
    </xf>
    <xf numFmtId="0" fontId="6" fillId="0" borderId="1" xfId="0" applyFont="1" applyFill="1" applyBorder="1" applyAlignment="1">
      <alignment vertical="top" wrapText="1"/>
    </xf>
    <xf numFmtId="0" fontId="6" fillId="0" borderId="1" xfId="0" applyFont="1" applyFill="1" applyBorder="1" applyAlignment="1">
      <alignment vertical="top"/>
    </xf>
    <xf numFmtId="0" fontId="6" fillId="0" borderId="1" xfId="0" applyFont="1" applyFill="1" applyBorder="1" applyAlignment="1">
      <alignment horizontal="left" vertical="top"/>
    </xf>
    <xf numFmtId="0" fontId="10" fillId="0" borderId="1" xfId="0" applyFont="1" applyFill="1" applyBorder="1" applyAlignment="1">
      <alignment horizontal="left" vertical="top"/>
    </xf>
    <xf numFmtId="0" fontId="17" fillId="0" borderId="1" xfId="0" applyFont="1" applyFill="1" applyBorder="1" applyAlignment="1">
      <alignment horizontal="center" vertical="center"/>
    </xf>
    <xf numFmtId="0" fontId="17" fillId="0" borderId="1" xfId="2" applyFont="1" applyFill="1" applyBorder="1" applyAlignment="1" applyProtection="1">
      <alignment horizontal="justify" vertical="top" wrapText="1"/>
    </xf>
    <xf numFmtId="0" fontId="17" fillId="0" borderId="1" xfId="2" applyFont="1" applyFill="1" applyBorder="1" applyAlignment="1" applyProtection="1">
      <alignment horizontal="left" vertical="top" wrapText="1"/>
    </xf>
    <xf numFmtId="0" fontId="0" fillId="0" borderId="11" xfId="0" quotePrefix="1" applyFont="1" applyFill="1" applyBorder="1" applyAlignment="1">
      <alignment horizontal="center" vertical="top" wrapText="1"/>
    </xf>
    <xf numFmtId="0" fontId="0" fillId="0" borderId="0" xfId="0" quotePrefix="1" applyFont="1" applyFill="1" applyBorder="1" applyAlignment="1">
      <alignment horizontal="center" vertical="top" wrapText="1"/>
    </xf>
    <xf numFmtId="0" fontId="0" fillId="0" borderId="9" xfId="0" quotePrefix="1" applyFont="1" applyFill="1" applyBorder="1" applyAlignment="1">
      <alignment horizontal="center" vertical="top" wrapText="1"/>
    </xf>
    <xf numFmtId="0" fontId="10" fillId="0" borderId="4" xfId="0" applyFont="1" applyFill="1" applyBorder="1" applyAlignment="1">
      <alignment horizontal="left" vertical="top" wrapText="1"/>
    </xf>
    <xf numFmtId="0" fontId="10" fillId="0" borderId="6" xfId="0" applyFont="1" applyFill="1" applyBorder="1" applyAlignment="1">
      <alignment horizontal="left" vertical="top" wrapText="1"/>
    </xf>
    <xf numFmtId="0" fontId="10" fillId="0" borderId="5" xfId="0" applyFont="1" applyFill="1" applyBorder="1" applyAlignment="1">
      <alignment horizontal="left" vertical="top" wrapText="1"/>
    </xf>
    <xf numFmtId="0" fontId="0" fillId="0" borderId="1" xfId="0" applyFill="1" applyBorder="1" applyAlignment="1">
      <alignment horizontal="center" vertical="top"/>
    </xf>
    <xf numFmtId="0" fontId="6" fillId="0" borderId="5" xfId="0" applyFont="1" applyFill="1" applyBorder="1" applyAlignment="1">
      <alignment horizontal="left" vertical="top"/>
    </xf>
    <xf numFmtId="0" fontId="6" fillId="0" borderId="1" xfId="0" applyFont="1" applyFill="1" applyBorder="1" applyAlignment="1">
      <alignment horizontal="justify" vertical="top" wrapText="1"/>
    </xf>
    <xf numFmtId="0" fontId="17" fillId="0" borderId="1" xfId="0" applyFont="1" applyFill="1" applyBorder="1" applyAlignment="1">
      <alignment horizontal="left" vertical="top"/>
    </xf>
    <xf numFmtId="0" fontId="6" fillId="0" borderId="4" xfId="2" applyFont="1" applyFill="1" applyBorder="1" applyAlignment="1" applyProtection="1">
      <alignment horizontal="left" vertical="top" wrapText="1"/>
    </xf>
    <xf numFmtId="0" fontId="6" fillId="0" borderId="6" xfId="2" applyFont="1" applyFill="1" applyBorder="1" applyAlignment="1" applyProtection="1">
      <alignment horizontal="left" vertical="top" wrapText="1"/>
    </xf>
    <xf numFmtId="0" fontId="10" fillId="0" borderId="4" xfId="0" applyFont="1" applyFill="1" applyBorder="1" applyAlignment="1">
      <alignment horizontal="center" vertical="top" wrapText="1"/>
    </xf>
    <xf numFmtId="0" fontId="10" fillId="0" borderId="5" xfId="0" applyFont="1" applyFill="1" applyBorder="1" applyAlignment="1">
      <alignment horizontal="center" vertical="top" wrapText="1"/>
    </xf>
    <xf numFmtId="0" fontId="10" fillId="0" borderId="4" xfId="0" applyFont="1" applyFill="1" applyBorder="1" applyAlignment="1">
      <alignment horizontal="left" vertical="top"/>
    </xf>
    <xf numFmtId="0" fontId="6" fillId="0" borderId="1" xfId="2" applyFont="1" applyFill="1" applyBorder="1" applyAlignment="1" applyProtection="1">
      <alignment horizontal="left" vertical="top" wrapText="1"/>
    </xf>
    <xf numFmtId="0" fontId="17" fillId="0" borderId="3" xfId="0" applyFont="1" applyFill="1" applyBorder="1" applyAlignment="1">
      <alignment horizontal="left" vertical="top" wrapText="1"/>
    </xf>
    <xf numFmtId="0" fontId="11" fillId="0" borderId="8"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11" fillId="0" borderId="8"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1" fillId="0" borderId="4" xfId="0" applyFont="1" applyFill="1" applyBorder="1" applyAlignment="1">
      <alignment horizontal="center" vertical="center" wrapText="1"/>
    </xf>
    <xf numFmtId="0" fontId="6" fillId="0" borderId="8" xfId="0" applyFont="1" applyFill="1" applyBorder="1" applyAlignment="1">
      <alignment horizontal="center" vertical="top"/>
    </xf>
    <xf numFmtId="0" fontId="6" fillId="0" borderId="9" xfId="0" applyFont="1" applyFill="1" applyBorder="1" applyAlignment="1">
      <alignment horizontal="center" vertical="top"/>
    </xf>
    <xf numFmtId="0" fontId="6" fillId="0" borderId="14" xfId="0" applyFont="1" applyFill="1" applyBorder="1" applyAlignment="1">
      <alignment horizontal="center" vertical="top"/>
    </xf>
    <xf numFmtId="0" fontId="6" fillId="0" borderId="4" xfId="2" applyFont="1" applyFill="1" applyBorder="1" applyAlignment="1">
      <alignment horizontal="left" vertical="top" wrapText="1"/>
    </xf>
    <xf numFmtId="0" fontId="6" fillId="0" borderId="6" xfId="2" applyFont="1" applyFill="1" applyBorder="1" applyAlignment="1">
      <alignment horizontal="left" vertical="top" wrapText="1"/>
    </xf>
    <xf numFmtId="0" fontId="6" fillId="0" borderId="5" xfId="2" applyFont="1" applyFill="1" applyBorder="1" applyAlignment="1">
      <alignment horizontal="left" vertical="top" wrapText="1"/>
    </xf>
    <xf numFmtId="0" fontId="6" fillId="0" borderId="5" xfId="2" applyFont="1" applyFill="1" applyBorder="1" applyAlignment="1" applyProtection="1">
      <alignment horizontal="left" vertical="top" wrapText="1"/>
    </xf>
    <xf numFmtId="0" fontId="6" fillId="0" borderId="8" xfId="0" applyFont="1" applyFill="1" applyBorder="1" applyAlignment="1">
      <alignment horizontal="left" vertical="top" wrapText="1"/>
    </xf>
    <xf numFmtId="0" fontId="6" fillId="0" borderId="4" xfId="0" applyFont="1" applyFill="1" applyBorder="1" applyAlignment="1">
      <alignment horizontal="center" vertical="top" wrapText="1"/>
    </xf>
    <xf numFmtId="0" fontId="6" fillId="0" borderId="6" xfId="0" applyFont="1" applyFill="1" applyBorder="1" applyAlignment="1">
      <alignment horizontal="center" vertical="top" wrapText="1"/>
    </xf>
    <xf numFmtId="0" fontId="6" fillId="0" borderId="5" xfId="0" applyFont="1" applyFill="1" applyBorder="1" applyAlignment="1">
      <alignment horizontal="center" vertical="top" wrapText="1"/>
    </xf>
    <xf numFmtId="0" fontId="6" fillId="0" borderId="2" xfId="0" applyFont="1" applyFill="1" applyBorder="1" applyAlignment="1">
      <alignment vertical="top" wrapText="1"/>
    </xf>
    <xf numFmtId="0" fontId="6" fillId="0" borderId="13" xfId="0" applyFont="1" applyFill="1" applyBorder="1" applyAlignment="1">
      <alignment vertical="top" wrapText="1"/>
    </xf>
    <xf numFmtId="0" fontId="6" fillId="0" borderId="3" xfId="0" applyFont="1" applyFill="1" applyBorder="1" applyAlignment="1">
      <alignment vertical="top" wrapText="1"/>
    </xf>
    <xf numFmtId="0" fontId="10" fillId="0" borderId="4" xfId="0" applyFont="1" applyFill="1" applyBorder="1" applyAlignment="1">
      <alignment horizontal="justify" vertical="top" wrapText="1"/>
    </xf>
    <xf numFmtId="0" fontId="10" fillId="0" borderId="6" xfId="0" applyFont="1" applyFill="1" applyBorder="1" applyAlignment="1">
      <alignment horizontal="justify" vertical="top"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10" fillId="0" borderId="6" xfId="0" applyFont="1" applyFill="1" applyBorder="1" applyAlignment="1">
      <alignment horizontal="center" vertical="top" wrapText="1"/>
    </xf>
    <xf numFmtId="0" fontId="0" fillId="0" borderId="4"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17" fillId="0" borderId="1" xfId="0" applyFont="1" applyFill="1" applyBorder="1" applyAlignment="1">
      <alignment horizontal="center" vertical="center" wrapText="1"/>
    </xf>
    <xf numFmtId="0" fontId="2" fillId="0" borderId="1" xfId="0" applyFont="1" applyFill="1" applyBorder="1" applyAlignment="1">
      <alignment horizontal="center" vertical="top" wrapText="1"/>
    </xf>
    <xf numFmtId="0" fontId="10"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16" fillId="0" borderId="1" xfId="0" applyFont="1" applyFill="1" applyBorder="1" applyAlignment="1" applyProtection="1">
      <alignment horizontal="left" vertical="top" wrapText="1"/>
    </xf>
    <xf numFmtId="0" fontId="20" fillId="0" borderId="1" xfId="0" applyFont="1" applyFill="1" applyBorder="1" applyAlignment="1">
      <alignment horizontal="center"/>
    </xf>
    <xf numFmtId="0" fontId="6" fillId="0" borderId="1" xfId="0" applyFont="1" applyFill="1" applyBorder="1" applyAlignment="1">
      <alignment horizontal="center"/>
    </xf>
    <xf numFmtId="0" fontId="10" fillId="0" borderId="1" xfId="0" applyFont="1" applyFill="1" applyBorder="1" applyAlignment="1">
      <alignment horizontal="left" vertical="center"/>
    </xf>
    <xf numFmtId="0" fontId="7" fillId="0" borderId="1" xfId="0" applyFont="1" applyFill="1" applyBorder="1" applyAlignment="1">
      <alignment horizontal="right" vertical="center"/>
    </xf>
    <xf numFmtId="0" fontId="10" fillId="0" borderId="1" xfId="0" applyFont="1" applyFill="1" applyBorder="1" applyAlignment="1">
      <alignment horizontal="center"/>
    </xf>
    <xf numFmtId="0" fontId="17" fillId="0" borderId="1" xfId="3" applyFont="1" applyFill="1" applyBorder="1" applyAlignment="1" applyProtection="1">
      <alignment horizontal="left" vertical="top" wrapText="1"/>
    </xf>
    <xf numFmtId="0" fontId="10" fillId="0" borderId="1" xfId="0" applyFont="1" applyFill="1" applyBorder="1" applyAlignment="1" applyProtection="1">
      <alignment horizontal="left" vertical="top" wrapText="1"/>
    </xf>
    <xf numFmtId="0" fontId="14" fillId="0" borderId="1"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6" fillId="0" borderId="6" xfId="0" applyFont="1" applyFill="1" applyBorder="1" applyAlignment="1">
      <alignment horizontal="left" vertical="center" wrapText="1"/>
    </xf>
    <xf numFmtId="0" fontId="6" fillId="0" borderId="5" xfId="0" applyFont="1" applyFill="1" applyBorder="1" applyAlignment="1">
      <alignment horizontal="left" vertical="center" wrapText="1"/>
    </xf>
    <xf numFmtId="0" fontId="0" fillId="0" borderId="1" xfId="0" applyFill="1" applyBorder="1"/>
    <xf numFmtId="0" fontId="17" fillId="0" borderId="10" xfId="0" applyFont="1" applyFill="1" applyBorder="1" applyAlignment="1">
      <alignment horizontal="center" vertical="top"/>
    </xf>
    <xf numFmtId="0" fontId="17" fillId="0" borderId="11" xfId="0" applyFont="1" applyFill="1" applyBorder="1" applyAlignment="1">
      <alignment horizontal="center" vertical="top"/>
    </xf>
    <xf numFmtId="0" fontId="17" fillId="0" borderId="12" xfId="0" applyFont="1" applyFill="1" applyBorder="1" applyAlignment="1">
      <alignment horizontal="center" vertical="top"/>
    </xf>
    <xf numFmtId="0" fontId="3" fillId="2" borderId="1" xfId="0" applyFont="1" applyFill="1" applyBorder="1" applyAlignment="1">
      <alignment horizontal="center" vertical="top"/>
    </xf>
    <xf numFmtId="0" fontId="6" fillId="0" borderId="1" xfId="0" applyFont="1" applyBorder="1" applyAlignment="1">
      <alignment horizontal="center" vertical="top" wrapText="1"/>
    </xf>
    <xf numFmtId="0" fontId="3" fillId="0" borderId="1" xfId="0" applyFont="1" applyFill="1" applyBorder="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center" vertical="top"/>
    </xf>
    <xf numFmtId="0" fontId="7" fillId="0" borderId="1" xfId="0" applyFont="1" applyBorder="1" applyAlignment="1">
      <alignment horizontal="center" vertical="top"/>
    </xf>
    <xf numFmtId="0" fontId="6" fillId="0" borderId="1" xfId="0" applyFont="1" applyBorder="1" applyAlignment="1">
      <alignment horizontal="left" vertical="top"/>
    </xf>
    <xf numFmtId="0" fontId="13" fillId="3" borderId="1" xfId="0" applyFont="1" applyFill="1" applyBorder="1" applyAlignment="1">
      <alignment horizontal="left" vertical="center" wrapText="1"/>
    </xf>
    <xf numFmtId="0" fontId="24" fillId="3" borderId="1" xfId="0" applyFont="1" applyFill="1" applyBorder="1" applyAlignment="1">
      <alignment horizontal="left" vertical="center" wrapText="1"/>
    </xf>
    <xf numFmtId="0" fontId="29" fillId="2" borderId="1" xfId="2" applyFont="1" applyFill="1" applyBorder="1" applyAlignment="1" applyProtection="1">
      <alignment horizontal="center" vertical="top" wrapText="1"/>
    </xf>
    <xf numFmtId="0" fontId="6" fillId="0" borderId="1" xfId="0" applyFont="1" applyBorder="1" applyAlignment="1">
      <alignment vertical="top" wrapText="1"/>
    </xf>
    <xf numFmtId="0" fontId="6" fillId="2" borderId="1" xfId="0" applyFont="1" applyFill="1" applyBorder="1" applyAlignment="1">
      <alignment horizontal="center"/>
    </xf>
    <xf numFmtId="0" fontId="17" fillId="2" borderId="1" xfId="2" applyFont="1" applyFill="1" applyBorder="1" applyAlignment="1" applyProtection="1">
      <alignment horizontal="left" vertical="top" wrapText="1"/>
    </xf>
    <xf numFmtId="0" fontId="10" fillId="0" borderId="1" xfId="0" applyFont="1" applyBorder="1" applyAlignment="1">
      <alignment horizontal="left" vertical="top" wrapText="1"/>
    </xf>
    <xf numFmtId="0" fontId="6" fillId="0" borderId="1" xfId="0" applyFont="1" applyBorder="1" applyAlignment="1">
      <alignment vertical="top"/>
    </xf>
    <xf numFmtId="0" fontId="6" fillId="0" borderId="1" xfId="0" applyFont="1" applyBorder="1" applyAlignment="1">
      <alignment horizontal="center" vertical="center"/>
    </xf>
    <xf numFmtId="0" fontId="6" fillId="0" borderId="1" xfId="0" applyFont="1" applyBorder="1" applyAlignment="1">
      <alignment horizontal="center" wrapText="1"/>
    </xf>
    <xf numFmtId="0" fontId="6" fillId="2" borderId="1" xfId="0" applyFont="1" applyFill="1" applyBorder="1" applyAlignment="1">
      <alignment horizontal="left" vertical="top" wrapText="1"/>
    </xf>
    <xf numFmtId="0" fontId="10" fillId="0" borderId="1" xfId="0" applyFont="1" applyBorder="1" applyAlignment="1">
      <alignment horizontal="center" vertical="center" wrapText="1"/>
    </xf>
    <xf numFmtId="0" fontId="6" fillId="0" borderId="1" xfId="0" applyFont="1" applyBorder="1" applyAlignment="1">
      <alignment horizontal="center"/>
    </xf>
    <xf numFmtId="0" fontId="17" fillId="0" borderId="1" xfId="0" applyFont="1" applyBorder="1" applyAlignment="1">
      <alignment horizontal="left" vertical="top" wrapText="1"/>
    </xf>
    <xf numFmtId="0" fontId="6" fillId="0" borderId="1" xfId="0" quotePrefix="1" applyFont="1" applyBorder="1" applyAlignment="1">
      <alignment horizontal="center" vertical="top" wrapText="1"/>
    </xf>
    <xf numFmtId="0" fontId="10" fillId="0" borderId="1" xfId="0" applyFont="1" applyBorder="1" applyAlignment="1">
      <alignment horizontal="center" vertical="top"/>
    </xf>
    <xf numFmtId="0" fontId="6" fillId="2" borderId="1" xfId="0" applyFont="1" applyFill="1" applyBorder="1" applyAlignment="1">
      <alignment horizontal="center" vertical="top"/>
    </xf>
    <xf numFmtId="0" fontId="10" fillId="2" borderId="1" xfId="0" applyFont="1" applyFill="1" applyBorder="1" applyAlignment="1">
      <alignment horizontal="center" vertical="top"/>
    </xf>
    <xf numFmtId="0" fontId="13" fillId="3" borderId="1" xfId="0" applyFont="1" applyFill="1" applyBorder="1" applyAlignment="1">
      <alignment horizontal="left" vertical="top"/>
    </xf>
    <xf numFmtId="0" fontId="3" fillId="2" borderId="1" xfId="0" applyFont="1" applyFill="1" applyBorder="1" applyAlignment="1">
      <alignment horizontal="center" vertical="top" wrapText="1"/>
    </xf>
    <xf numFmtId="0" fontId="7"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5" fillId="2" borderId="1" xfId="0" applyFont="1" applyFill="1" applyBorder="1" applyAlignment="1">
      <alignment horizontal="center" vertical="top"/>
    </xf>
    <xf numFmtId="0" fontId="27" fillId="2" borderId="1" xfId="2" applyFont="1" applyFill="1" applyBorder="1" applyAlignment="1" applyProtection="1">
      <alignment horizontal="center" vertical="top" wrapText="1"/>
    </xf>
    <xf numFmtId="0" fontId="6" fillId="2" borderId="1" xfId="0" applyFont="1" applyFill="1" applyBorder="1" applyAlignment="1">
      <alignment horizontal="left" vertical="top" wrapText="1" readingOrder="1"/>
    </xf>
    <xf numFmtId="0" fontId="11" fillId="2" borderId="1" xfId="0" applyFont="1" applyFill="1" applyBorder="1" applyAlignment="1">
      <alignment horizontal="left" vertical="top"/>
    </xf>
    <xf numFmtId="0" fontId="10" fillId="0" borderId="1" xfId="0" applyFont="1" applyBorder="1" applyAlignment="1">
      <alignment horizontal="center" vertical="top" wrapText="1"/>
    </xf>
    <xf numFmtId="0" fontId="19" fillId="0" borderId="1" xfId="0" applyFont="1" applyBorder="1" applyAlignment="1">
      <alignment horizontal="left" vertical="top" wrapText="1"/>
    </xf>
    <xf numFmtId="0" fontId="17" fillId="0" borderId="1" xfId="0" applyFont="1" applyBorder="1" applyAlignment="1">
      <alignment horizontal="center" vertical="top"/>
    </xf>
    <xf numFmtId="0" fontId="6" fillId="0" borderId="1" xfId="0" applyFont="1" applyBorder="1" applyAlignment="1">
      <alignment horizontal="left" vertical="center" wrapText="1"/>
    </xf>
    <xf numFmtId="0" fontId="17" fillId="0" borderId="1" xfId="0" applyFont="1" applyBorder="1" applyAlignment="1">
      <alignment horizontal="center" vertical="top" wrapText="1"/>
    </xf>
    <xf numFmtId="0" fontId="17" fillId="0" borderId="1" xfId="0" applyFont="1" applyBorder="1" applyAlignment="1">
      <alignment horizontal="left" vertical="top"/>
    </xf>
    <xf numFmtId="0" fontId="17" fillId="2" borderId="1" xfId="0" applyFont="1" applyFill="1" applyBorder="1" applyAlignment="1">
      <alignment horizontal="center" vertical="top"/>
    </xf>
    <xf numFmtId="2" fontId="6" fillId="0" borderId="1" xfId="0" applyNumberFormat="1" applyFont="1" applyBorder="1" applyAlignment="1">
      <alignment horizontal="center" vertical="top" wrapText="1"/>
    </xf>
    <xf numFmtId="0" fontId="10" fillId="0" borderId="1" xfId="0" applyFont="1" applyBorder="1" applyAlignment="1">
      <alignment vertical="top" wrapText="1"/>
    </xf>
    <xf numFmtId="0" fontId="10" fillId="0" borderId="1" xfId="0" applyFont="1" applyBorder="1" applyAlignment="1">
      <alignment horizontal="center" vertical="center"/>
    </xf>
    <xf numFmtId="0" fontId="6" fillId="0" borderId="1" xfId="2" applyFont="1" applyFill="1" applyBorder="1" applyAlignment="1">
      <alignment horizontal="center" vertical="top" wrapText="1"/>
    </xf>
    <xf numFmtId="0" fontId="7"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0" borderId="1" xfId="0" applyFont="1" applyBorder="1" applyAlignment="1">
      <alignment horizontal="justify" vertical="top" wrapText="1"/>
    </xf>
    <xf numFmtId="0" fontId="40" fillId="2" borderId="2" xfId="2" applyFont="1" applyFill="1" applyBorder="1" applyAlignment="1" applyProtection="1">
      <alignment horizontal="center" vertical="top" wrapText="1"/>
    </xf>
    <xf numFmtId="0" fontId="40" fillId="2" borderId="13" xfId="2" applyFont="1" applyFill="1" applyBorder="1" applyAlignment="1" applyProtection="1">
      <alignment horizontal="center" vertical="top" wrapText="1"/>
    </xf>
    <xf numFmtId="0" fontId="40" fillId="2" borderId="3" xfId="2" applyFont="1" applyFill="1" applyBorder="1" applyAlignment="1" applyProtection="1">
      <alignment horizontal="center" vertical="top" wrapText="1"/>
    </xf>
    <xf numFmtId="0" fontId="0" fillId="0" borderId="1" xfId="0" applyBorder="1" applyAlignment="1">
      <alignment horizontal="center"/>
    </xf>
    <xf numFmtId="0" fontId="7" fillId="2" borderId="2" xfId="0" applyFont="1" applyFill="1" applyBorder="1" applyAlignment="1">
      <alignment horizontal="center" vertical="top"/>
    </xf>
    <xf numFmtId="0" fontId="7" fillId="2" borderId="13" xfId="0" applyFont="1" applyFill="1" applyBorder="1" applyAlignment="1">
      <alignment horizontal="center" vertical="top"/>
    </xf>
    <xf numFmtId="0" fontId="7" fillId="2" borderId="3" xfId="0" applyFont="1" applyFill="1" applyBorder="1" applyAlignment="1">
      <alignment horizontal="center" vertical="top"/>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6" fillId="0" borderId="5" xfId="0" applyFont="1" applyBorder="1" applyAlignment="1">
      <alignment horizontal="left" vertical="top" wrapText="1"/>
    </xf>
    <xf numFmtId="0" fontId="13" fillId="3" borderId="8"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6" fillId="0" borderId="4" xfId="0" applyFont="1" applyBorder="1" applyAlignment="1">
      <alignment horizontal="center" vertical="top" wrapText="1"/>
    </xf>
    <xf numFmtId="0" fontId="6" fillId="0" borderId="6" xfId="0" applyFont="1" applyBorder="1" applyAlignment="1">
      <alignment horizontal="center" vertical="top" wrapText="1"/>
    </xf>
    <xf numFmtId="0" fontId="6" fillId="0" borderId="5" xfId="0" applyFont="1" applyBorder="1" applyAlignment="1">
      <alignment horizontal="center" vertical="top" wrapText="1"/>
    </xf>
    <xf numFmtId="0" fontId="0" fillId="0" borderId="1" xfId="0" applyBorder="1" applyAlignment="1">
      <alignment horizontal="left" vertical="top" wrapText="1"/>
    </xf>
    <xf numFmtId="1" fontId="10" fillId="0" borderId="1" xfId="0" applyNumberFormat="1" applyFont="1" applyBorder="1" applyAlignment="1">
      <alignment horizontal="center" vertical="top" wrapText="1"/>
    </xf>
    <xf numFmtId="0" fontId="11" fillId="2" borderId="1" xfId="0" applyFont="1" applyFill="1" applyBorder="1" applyAlignment="1">
      <alignment horizontal="left" vertical="center" wrapText="1"/>
    </xf>
    <xf numFmtId="0" fontId="0" fillId="0" borderId="13" xfId="0" applyBorder="1" applyAlignment="1">
      <alignment horizontal="center"/>
    </xf>
    <xf numFmtId="0" fontId="13" fillId="3" borderId="2" xfId="0" applyFont="1" applyFill="1" applyBorder="1" applyAlignment="1">
      <alignment horizontal="left" vertical="center" wrapText="1"/>
    </xf>
    <xf numFmtId="0" fontId="13" fillId="3" borderId="1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13" xfId="0" applyFont="1" applyFill="1" applyBorder="1" applyAlignment="1">
      <alignment horizontal="left" vertical="center" wrapText="1"/>
    </xf>
    <xf numFmtId="3" fontId="6" fillId="0" borderId="1" xfId="0" applyNumberFormat="1" applyFont="1" applyBorder="1" applyAlignment="1">
      <alignment horizontal="center" vertical="top" wrapText="1"/>
    </xf>
    <xf numFmtId="14" fontId="6" fillId="0" borderId="1" xfId="0" applyNumberFormat="1" applyFont="1" applyBorder="1" applyAlignment="1">
      <alignment horizontal="center" vertical="top" wrapText="1"/>
    </xf>
    <xf numFmtId="0" fontId="17" fillId="0" borderId="4" xfId="0" applyFont="1" applyBorder="1" applyAlignment="1">
      <alignment horizontal="left" vertical="top" wrapText="1"/>
    </xf>
    <xf numFmtId="0" fontId="17" fillId="0" borderId="6" xfId="0" applyFont="1" applyBorder="1" applyAlignment="1">
      <alignment horizontal="left" vertical="top" wrapText="1"/>
    </xf>
    <xf numFmtId="0" fontId="17" fillId="0" borderId="5" xfId="0" applyFont="1" applyBorder="1" applyAlignment="1">
      <alignment horizontal="left" vertical="top" wrapText="1"/>
    </xf>
    <xf numFmtId="0" fontId="6" fillId="0" borderId="2" xfId="0" applyFont="1" applyBorder="1" applyAlignment="1">
      <alignment horizontal="center" vertical="top" wrapText="1"/>
    </xf>
    <xf numFmtId="0" fontId="6" fillId="0" borderId="13" xfId="0" applyFont="1" applyBorder="1" applyAlignment="1">
      <alignment horizontal="center" vertical="top" wrapText="1"/>
    </xf>
    <xf numFmtId="0" fontId="6" fillId="0" borderId="3" xfId="0" applyFont="1" applyBorder="1" applyAlignment="1">
      <alignment horizontal="center" vertical="top" wrapText="1"/>
    </xf>
    <xf numFmtId="0" fontId="18" fillId="0" borderId="1" xfId="0" applyFont="1" applyBorder="1" applyAlignment="1">
      <alignment horizontal="center"/>
    </xf>
    <xf numFmtId="0" fontId="17" fillId="0" borderId="2" xfId="0" applyFont="1" applyBorder="1" applyAlignment="1">
      <alignment horizontal="center" vertical="top" wrapText="1"/>
    </xf>
    <xf numFmtId="0" fontId="17" fillId="0" borderId="13" xfId="0" applyFont="1" applyBorder="1" applyAlignment="1">
      <alignment horizontal="center" vertical="top" wrapText="1"/>
    </xf>
    <xf numFmtId="0" fontId="17" fillId="0" borderId="3" xfId="0" applyFont="1" applyBorder="1" applyAlignment="1">
      <alignment horizontal="center" vertical="top" wrapText="1"/>
    </xf>
    <xf numFmtId="0" fontId="6" fillId="0" borderId="11" xfId="0" applyFont="1" applyBorder="1" applyAlignment="1">
      <alignment horizontal="left"/>
    </xf>
    <xf numFmtId="0" fontId="6" fillId="0" borderId="0" xfId="0" applyFont="1" applyAlignment="1">
      <alignment horizontal="left"/>
    </xf>
    <xf numFmtId="1" fontId="6" fillId="0" borderId="1" xfId="0" applyNumberFormat="1" applyFont="1" applyBorder="1" applyAlignment="1">
      <alignment horizontal="center" vertical="top" wrapText="1"/>
    </xf>
    <xf numFmtId="0" fontId="14" fillId="0" borderId="1" xfId="0" applyFont="1" applyBorder="1" applyAlignment="1">
      <alignment horizontal="center" vertical="center" wrapText="1"/>
    </xf>
    <xf numFmtId="0" fontId="18" fillId="0" borderId="1" xfId="0" applyFont="1" applyBorder="1" applyAlignment="1">
      <alignment horizontal="left" vertical="top" wrapText="1"/>
    </xf>
    <xf numFmtId="0" fontId="10" fillId="2" borderId="1" xfId="0" applyFont="1" applyFill="1" applyBorder="1" applyAlignment="1">
      <alignment horizontal="left" vertical="top" wrapText="1"/>
    </xf>
    <xf numFmtId="0" fontId="17" fillId="0" borderId="1" xfId="2" applyFont="1" applyFill="1" applyBorder="1" applyAlignment="1" applyProtection="1">
      <alignment horizontal="center" vertical="top" wrapText="1"/>
    </xf>
    <xf numFmtId="0" fontId="10" fillId="2" borderId="1" xfId="0" applyFont="1" applyFill="1" applyBorder="1" applyAlignment="1">
      <alignment horizontal="center" vertical="top" wrapText="1"/>
    </xf>
    <xf numFmtId="3" fontId="10" fillId="2" borderId="1" xfId="0" applyNumberFormat="1" applyFont="1" applyFill="1" applyBorder="1" applyAlignment="1">
      <alignment horizontal="center" vertical="top" wrapText="1"/>
    </xf>
    <xf numFmtId="3" fontId="10" fillId="0" borderId="1" xfId="0" applyNumberFormat="1" applyFont="1" applyBorder="1" applyAlignment="1">
      <alignment horizontal="center" vertical="top" wrapText="1"/>
    </xf>
    <xf numFmtId="0" fontId="0" fillId="0" borderId="0" xfId="0" applyAlignment="1">
      <alignment horizontal="center"/>
    </xf>
    <xf numFmtId="0" fontId="6" fillId="0" borderId="15" xfId="0" applyFont="1" applyBorder="1" applyAlignment="1">
      <alignment horizontal="left" vertical="top" wrapText="1"/>
    </xf>
    <xf numFmtId="0" fontId="6" fillId="0" borderId="0" xfId="0" applyFont="1" applyBorder="1" applyAlignment="1">
      <alignment horizontal="left"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4" xfId="0" quotePrefix="1" applyFont="1" applyBorder="1" applyAlignment="1">
      <alignment horizontal="center" vertical="top" wrapText="1"/>
    </xf>
    <xf numFmtId="0" fontId="17" fillId="0" borderId="6" xfId="0" applyFont="1" applyBorder="1" applyAlignment="1">
      <alignment horizontal="center" vertical="top" wrapText="1"/>
    </xf>
    <xf numFmtId="0" fontId="6" fillId="2" borderId="4"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0" borderId="2" xfId="0" applyFont="1" applyBorder="1" applyAlignment="1">
      <alignment horizontal="center"/>
    </xf>
    <xf numFmtId="0" fontId="6" fillId="0" borderId="13" xfId="0" applyFont="1" applyBorder="1" applyAlignment="1">
      <alignment horizontal="center"/>
    </xf>
    <xf numFmtId="0" fontId="6" fillId="0" borderId="3" xfId="0" applyFont="1" applyBorder="1" applyAlignment="1">
      <alignment horizontal="center"/>
    </xf>
    <xf numFmtId="14" fontId="6" fillId="0" borderId="4" xfId="0" applyNumberFormat="1" applyFont="1" applyBorder="1" applyAlignment="1">
      <alignment horizontal="center" vertical="top" wrapText="1"/>
    </xf>
    <xf numFmtId="0" fontId="6" fillId="0" borderId="4" xfId="0" applyFont="1" applyBorder="1" applyAlignment="1">
      <alignment horizontal="justify" vertical="top" wrapText="1"/>
    </xf>
    <xf numFmtId="0" fontId="6" fillId="0" borderId="5" xfId="0" applyFont="1" applyBorder="1" applyAlignment="1">
      <alignment horizontal="justify" vertical="top" wrapText="1"/>
    </xf>
    <xf numFmtId="0" fontId="0" fillId="0" borderId="2" xfId="0" applyBorder="1" applyAlignment="1">
      <alignment horizontal="center"/>
    </xf>
    <xf numFmtId="0" fontId="0" fillId="0" borderId="3" xfId="0" applyBorder="1" applyAlignment="1">
      <alignment horizontal="center"/>
    </xf>
    <xf numFmtId="0" fontId="24" fillId="3" borderId="2" xfId="0" applyFont="1" applyFill="1" applyBorder="1" applyAlignment="1">
      <alignment horizontal="left" vertical="center" wrapText="1"/>
    </xf>
    <xf numFmtId="0" fontId="24" fillId="3" borderId="13" xfId="0" applyFont="1" applyFill="1" applyBorder="1" applyAlignment="1">
      <alignment horizontal="left" vertical="center" wrapText="1"/>
    </xf>
    <xf numFmtId="0" fontId="11" fillId="0" borderId="3" xfId="0" applyFont="1" applyFill="1" applyBorder="1" applyAlignment="1">
      <alignment horizontal="left" vertical="center" wrapText="1"/>
    </xf>
  </cellXfs>
  <cellStyles count="5">
    <cellStyle name="Comma" xfId="4" builtinId="3"/>
    <cellStyle name="Normal" xfId="0" builtinId="0"/>
    <cellStyle name="Normal 2" xfId="2"/>
    <cellStyle name="Normal 3" xfId="3"/>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Asset%20Register%202020%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nexure-D"/>
      <sheetName val="Annexure-C"/>
      <sheetName val="Annexure-B"/>
      <sheetName val="Annexure-A4"/>
      <sheetName val="Annexure-A3"/>
      <sheetName val="Annexure-A2"/>
      <sheetName val="Annexure-A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X1199"/>
  <sheetViews>
    <sheetView tabSelected="1" view="pageBreakPreview" topLeftCell="A1183" zoomScale="60" zoomScaleNormal="70" workbookViewId="0">
      <selection activeCell="C1205" sqref="C1205"/>
    </sheetView>
  </sheetViews>
  <sheetFormatPr defaultRowHeight="15"/>
  <cols>
    <col min="1" max="1" width="7.7109375" style="6" customWidth="1"/>
    <col min="2" max="2" width="15.7109375" style="492" customWidth="1"/>
    <col min="3" max="3" width="22.7109375" style="492" customWidth="1"/>
    <col min="4" max="4" width="24.7109375" style="492" customWidth="1"/>
    <col min="5" max="5" width="10.7109375" style="493" customWidth="1"/>
    <col min="6" max="6" width="15.5703125" style="493" customWidth="1"/>
    <col min="7" max="7" width="15.28515625" style="493" customWidth="1"/>
    <col min="8" max="8" width="15.42578125" style="493" customWidth="1"/>
    <col min="9" max="9" width="23.85546875" style="493" customWidth="1"/>
    <col min="10" max="10" width="12.140625" style="493" customWidth="1"/>
    <col min="11" max="11" width="16.28515625" style="493" customWidth="1"/>
    <col min="12" max="12" width="18.140625" style="493" customWidth="1"/>
    <col min="13" max="13" width="22" style="493" customWidth="1"/>
    <col min="14" max="14" width="15.42578125" style="493" customWidth="1"/>
    <col min="15" max="15" width="29.7109375" style="493" customWidth="1"/>
    <col min="16" max="16" width="28.85546875" style="493" customWidth="1"/>
    <col min="17" max="16384" width="9.140625" style="6"/>
  </cols>
  <sheetData>
    <row r="1" spans="1:16" ht="25.5">
      <c r="A1" s="685" t="s">
        <v>7720</v>
      </c>
      <c r="B1" s="685"/>
      <c r="C1" s="685"/>
      <c r="D1" s="685"/>
      <c r="E1" s="685"/>
      <c r="F1" s="685"/>
      <c r="G1" s="685"/>
      <c r="H1" s="685"/>
      <c r="I1" s="685"/>
      <c r="J1" s="685"/>
      <c r="K1" s="685"/>
      <c r="L1" s="685"/>
      <c r="M1" s="685"/>
      <c r="N1" s="685"/>
      <c r="O1" s="685"/>
      <c r="P1" s="685"/>
    </row>
    <row r="2" spans="1:16" ht="22.5">
      <c r="A2" s="700" t="s">
        <v>113</v>
      </c>
      <c r="B2" s="700"/>
      <c r="C2" s="700"/>
      <c r="D2" s="700"/>
      <c r="E2" s="700"/>
      <c r="F2" s="700"/>
      <c r="G2" s="700"/>
      <c r="H2" s="700"/>
      <c r="I2" s="700"/>
      <c r="J2" s="700"/>
      <c r="K2" s="700"/>
      <c r="L2" s="700"/>
      <c r="M2" s="700"/>
      <c r="N2" s="700"/>
      <c r="O2" s="700"/>
      <c r="P2" s="700"/>
    </row>
    <row r="3" spans="1:16" ht="20.25">
      <c r="A3" s="559" t="s">
        <v>61</v>
      </c>
      <c r="B3" s="559"/>
      <c r="C3" s="559"/>
      <c r="D3" s="559"/>
      <c r="E3" s="559"/>
      <c r="F3" s="559"/>
      <c r="G3" s="559"/>
      <c r="H3" s="559"/>
      <c r="I3" s="559"/>
      <c r="J3" s="559"/>
      <c r="K3" s="559"/>
      <c r="L3" s="559"/>
      <c r="M3" s="559"/>
      <c r="N3" s="559"/>
      <c r="O3" s="559"/>
      <c r="P3" s="559"/>
    </row>
    <row r="4" spans="1:16" s="359" customFormat="1" ht="85.5">
      <c r="A4" s="46" t="s">
        <v>0</v>
      </c>
      <c r="B4" s="46" t="s">
        <v>2592</v>
      </c>
      <c r="C4" s="46" t="s">
        <v>1</v>
      </c>
      <c r="D4" s="46" t="s">
        <v>2593</v>
      </c>
      <c r="E4" s="46" t="s">
        <v>3</v>
      </c>
      <c r="F4" s="46" t="s">
        <v>4</v>
      </c>
      <c r="G4" s="46" t="s">
        <v>2594</v>
      </c>
      <c r="H4" s="46" t="s">
        <v>2595</v>
      </c>
      <c r="I4" s="46" t="s">
        <v>2392</v>
      </c>
      <c r="J4" s="46" t="s">
        <v>5</v>
      </c>
      <c r="K4" s="46" t="s">
        <v>6</v>
      </c>
      <c r="L4" s="46" t="s">
        <v>7</v>
      </c>
      <c r="M4" s="67" t="s">
        <v>8</v>
      </c>
      <c r="N4" s="67" t="s">
        <v>9</v>
      </c>
      <c r="O4" s="46" t="s">
        <v>10</v>
      </c>
      <c r="P4" s="74" t="s">
        <v>11</v>
      </c>
    </row>
    <row r="5" spans="1:16">
      <c r="A5" s="8">
        <v>1</v>
      </c>
      <c r="B5" s="46">
        <v>2</v>
      </c>
      <c r="C5" s="46">
        <v>3</v>
      </c>
      <c r="D5" s="46">
        <v>4</v>
      </c>
      <c r="E5" s="46">
        <v>5</v>
      </c>
      <c r="F5" s="46">
        <v>6</v>
      </c>
      <c r="G5" s="46">
        <v>7</v>
      </c>
      <c r="H5" s="46">
        <v>8</v>
      </c>
      <c r="I5" s="46">
        <v>9</v>
      </c>
      <c r="J5" s="46">
        <v>10</v>
      </c>
      <c r="K5" s="46">
        <v>11</v>
      </c>
      <c r="L5" s="46">
        <v>12</v>
      </c>
      <c r="M5" s="46">
        <v>13</v>
      </c>
      <c r="N5" s="46">
        <v>14</v>
      </c>
      <c r="O5" s="46">
        <v>15</v>
      </c>
      <c r="P5" s="46">
        <v>16</v>
      </c>
    </row>
    <row r="6" spans="1:16" ht="75">
      <c r="A6" s="339">
        <v>1</v>
      </c>
      <c r="B6" s="553" t="s">
        <v>2613</v>
      </c>
      <c r="C6" s="344" t="s">
        <v>12</v>
      </c>
      <c r="D6" s="352" t="s">
        <v>13</v>
      </c>
      <c r="E6" s="49">
        <v>5600</v>
      </c>
      <c r="F6" s="49" t="s">
        <v>14</v>
      </c>
      <c r="G6" s="49">
        <v>0.62</v>
      </c>
      <c r="H6" s="49" t="s">
        <v>267</v>
      </c>
      <c r="I6" s="339" t="s">
        <v>23</v>
      </c>
      <c r="J6" s="339"/>
      <c r="K6" s="339"/>
      <c r="L6" s="339"/>
      <c r="M6" s="339"/>
      <c r="N6" s="339"/>
      <c r="O6" s="339"/>
      <c r="P6" s="77" t="s">
        <v>2506</v>
      </c>
    </row>
    <row r="7" spans="1:16" ht="45">
      <c r="A7" s="339">
        <v>2</v>
      </c>
      <c r="B7" s="553"/>
      <c r="C7" s="344" t="s">
        <v>12</v>
      </c>
      <c r="D7" s="352" t="s">
        <v>16</v>
      </c>
      <c r="E7" s="49">
        <v>45.4</v>
      </c>
      <c r="F7" s="49">
        <v>1964</v>
      </c>
      <c r="G7" s="339" t="s">
        <v>17</v>
      </c>
      <c r="H7" s="339" t="s">
        <v>17</v>
      </c>
      <c r="I7" s="339" t="s">
        <v>23</v>
      </c>
      <c r="J7" s="339"/>
      <c r="K7" s="339"/>
      <c r="L7" s="339"/>
      <c r="M7" s="339"/>
      <c r="N7" s="339"/>
      <c r="O7" s="339"/>
      <c r="P7" s="77" t="s">
        <v>2385</v>
      </c>
    </row>
    <row r="8" spans="1:16" ht="104.25" customHeight="1">
      <c r="A8" s="339">
        <v>3</v>
      </c>
      <c r="B8" s="553"/>
      <c r="C8" s="344" t="s">
        <v>19</v>
      </c>
      <c r="D8" s="352" t="s">
        <v>20</v>
      </c>
      <c r="E8" s="49" t="s">
        <v>2383</v>
      </c>
      <c r="F8" s="49" t="s">
        <v>21</v>
      </c>
      <c r="G8" s="172">
        <v>1.1953066000000001</v>
      </c>
      <c r="H8" s="339" t="s">
        <v>22</v>
      </c>
      <c r="I8" s="339" t="s">
        <v>23</v>
      </c>
      <c r="J8" s="339" t="s">
        <v>24</v>
      </c>
      <c r="K8" s="339" t="s">
        <v>24</v>
      </c>
      <c r="L8" s="339" t="s">
        <v>25</v>
      </c>
      <c r="M8" s="339" t="s">
        <v>26</v>
      </c>
      <c r="N8" s="77" t="s">
        <v>27</v>
      </c>
      <c r="O8" s="339" t="s">
        <v>22</v>
      </c>
      <c r="P8" s="77" t="s">
        <v>28</v>
      </c>
    </row>
    <row r="9" spans="1:16" ht="120">
      <c r="A9" s="339">
        <v>4</v>
      </c>
      <c r="B9" s="553"/>
      <c r="C9" s="344" t="s">
        <v>29</v>
      </c>
      <c r="D9" s="344" t="s">
        <v>30</v>
      </c>
      <c r="E9" s="339">
        <v>4047</v>
      </c>
      <c r="F9" s="339" t="s">
        <v>31</v>
      </c>
      <c r="G9" s="339" t="s">
        <v>32</v>
      </c>
      <c r="H9" s="339" t="s">
        <v>33</v>
      </c>
      <c r="I9" s="339" t="s">
        <v>34</v>
      </c>
      <c r="J9" s="339" t="s">
        <v>35</v>
      </c>
      <c r="K9" s="339" t="s">
        <v>35</v>
      </c>
      <c r="L9" s="339" t="s">
        <v>26</v>
      </c>
      <c r="M9" s="339" t="s">
        <v>26</v>
      </c>
      <c r="N9" s="77" t="s">
        <v>36</v>
      </c>
      <c r="O9" s="339"/>
      <c r="P9" s="339" t="s">
        <v>35</v>
      </c>
    </row>
    <row r="10" spans="1:16" ht="210">
      <c r="A10" s="339">
        <v>5</v>
      </c>
      <c r="B10" s="553"/>
      <c r="C10" s="344" t="s">
        <v>29</v>
      </c>
      <c r="D10" s="344" t="s">
        <v>37</v>
      </c>
      <c r="E10" s="339" t="s">
        <v>38</v>
      </c>
      <c r="F10" s="339" t="s">
        <v>39</v>
      </c>
      <c r="G10" s="339" t="s">
        <v>40</v>
      </c>
      <c r="H10" s="339" t="s">
        <v>41</v>
      </c>
      <c r="I10" s="339" t="s">
        <v>42</v>
      </c>
      <c r="J10" s="339" t="s">
        <v>35</v>
      </c>
      <c r="K10" s="339" t="s">
        <v>43</v>
      </c>
      <c r="L10" s="339" t="s">
        <v>26</v>
      </c>
      <c r="M10" s="339" t="s">
        <v>26</v>
      </c>
      <c r="N10" s="77" t="s">
        <v>44</v>
      </c>
      <c r="O10" s="339"/>
      <c r="P10" s="339" t="str">
        <f>S10&amp;T10</f>
        <v/>
      </c>
    </row>
    <row r="11" spans="1:16" ht="120">
      <c r="A11" s="339">
        <v>6</v>
      </c>
      <c r="B11" s="553"/>
      <c r="C11" s="344" t="s">
        <v>29</v>
      </c>
      <c r="D11" s="344" t="s">
        <v>45</v>
      </c>
      <c r="E11" s="339" t="s">
        <v>46</v>
      </c>
      <c r="F11" s="339" t="s">
        <v>47</v>
      </c>
      <c r="G11" s="339" t="s">
        <v>48</v>
      </c>
      <c r="H11" s="339" t="s">
        <v>49</v>
      </c>
      <c r="I11" s="339" t="s">
        <v>50</v>
      </c>
      <c r="J11" s="339" t="s">
        <v>51</v>
      </c>
      <c r="K11" s="339" t="s">
        <v>52</v>
      </c>
      <c r="L11" s="339" t="s">
        <v>26</v>
      </c>
      <c r="M11" s="339" t="s">
        <v>53</v>
      </c>
      <c r="N11" s="77" t="s">
        <v>54</v>
      </c>
      <c r="O11" s="339"/>
      <c r="P11" s="339" t="str">
        <f>S11&amp;T11&amp;U11</f>
        <v/>
      </c>
    </row>
    <row r="12" spans="1:16" ht="75">
      <c r="A12" s="339">
        <v>7</v>
      </c>
      <c r="B12" s="553"/>
      <c r="C12" s="344" t="s">
        <v>2507</v>
      </c>
      <c r="D12" s="344" t="s">
        <v>55</v>
      </c>
      <c r="E12" s="339">
        <v>3972.22</v>
      </c>
      <c r="F12" s="175">
        <v>42451</v>
      </c>
      <c r="G12" s="339" t="s">
        <v>56</v>
      </c>
      <c r="H12" s="339"/>
      <c r="I12" s="339" t="s">
        <v>57</v>
      </c>
      <c r="J12" s="339" t="s">
        <v>58</v>
      </c>
      <c r="K12" s="339"/>
      <c r="L12" s="339"/>
      <c r="M12" s="339" t="s">
        <v>6976</v>
      </c>
      <c r="N12" s="77" t="s">
        <v>59</v>
      </c>
      <c r="O12" s="339"/>
      <c r="P12" s="77" t="s">
        <v>2508</v>
      </c>
    </row>
    <row r="13" spans="1:16" ht="34.5" customHeight="1">
      <c r="A13" s="676" t="s">
        <v>114</v>
      </c>
      <c r="B13" s="676"/>
      <c r="C13" s="676"/>
      <c r="D13" s="676"/>
      <c r="E13" s="676"/>
      <c r="F13" s="676"/>
      <c r="G13" s="676"/>
      <c r="H13" s="676"/>
      <c r="I13" s="676"/>
      <c r="J13" s="676"/>
      <c r="K13" s="676"/>
      <c r="L13" s="676"/>
      <c r="M13" s="676"/>
      <c r="N13" s="676"/>
      <c r="O13" s="676"/>
      <c r="P13" s="676"/>
    </row>
    <row r="14" spans="1:16">
      <c r="A14" s="589"/>
      <c r="B14" s="589"/>
      <c r="C14" s="589"/>
      <c r="D14" s="589"/>
      <c r="E14" s="589"/>
      <c r="F14" s="589"/>
      <c r="G14" s="589"/>
      <c r="H14" s="589"/>
      <c r="I14" s="589"/>
      <c r="J14" s="589"/>
      <c r="K14" s="589"/>
      <c r="L14" s="589"/>
      <c r="M14" s="589"/>
      <c r="N14" s="589"/>
      <c r="O14" s="589"/>
      <c r="P14" s="589"/>
    </row>
    <row r="15" spans="1:16" ht="20.25" customHeight="1">
      <c r="A15" s="559" t="s">
        <v>88</v>
      </c>
      <c r="B15" s="559"/>
      <c r="C15" s="559"/>
      <c r="D15" s="559"/>
      <c r="E15" s="559"/>
      <c r="F15" s="559"/>
      <c r="G15" s="559"/>
      <c r="H15" s="559"/>
      <c r="I15" s="559"/>
      <c r="J15" s="559"/>
      <c r="K15" s="559"/>
      <c r="L15" s="559"/>
      <c r="M15" s="559"/>
      <c r="N15" s="559"/>
      <c r="O15" s="559"/>
      <c r="P15" s="360"/>
    </row>
    <row r="16" spans="1:16" ht="105" customHeight="1">
      <c r="A16" s="46" t="s">
        <v>0</v>
      </c>
      <c r="B16" s="46" t="s">
        <v>2582</v>
      </c>
      <c r="C16" s="46" t="s">
        <v>1</v>
      </c>
      <c r="D16" s="46" t="s">
        <v>2596</v>
      </c>
      <c r="E16" s="67" t="s">
        <v>62</v>
      </c>
      <c r="F16" s="67" t="s">
        <v>63</v>
      </c>
      <c r="G16" s="46" t="s">
        <v>2560</v>
      </c>
      <c r="H16" s="46" t="s">
        <v>2561</v>
      </c>
      <c r="I16" s="46" t="s">
        <v>2583</v>
      </c>
      <c r="J16" s="46" t="s">
        <v>5</v>
      </c>
      <c r="K16" s="46" t="s">
        <v>6</v>
      </c>
      <c r="L16" s="46" t="s">
        <v>66</v>
      </c>
      <c r="M16" s="46" t="s">
        <v>67</v>
      </c>
      <c r="N16" s="67" t="s">
        <v>68</v>
      </c>
      <c r="O16" s="74" t="s">
        <v>69</v>
      </c>
      <c r="P16" s="360"/>
    </row>
    <row r="17" spans="1:16" s="361" customFormat="1" ht="15" customHeight="1">
      <c r="A17" s="345">
        <v>1</v>
      </c>
      <c r="B17" s="79">
        <v>2</v>
      </c>
      <c r="C17" s="79">
        <v>3</v>
      </c>
      <c r="D17" s="79">
        <v>4</v>
      </c>
      <c r="E17" s="79">
        <v>5</v>
      </c>
      <c r="F17" s="79">
        <v>6</v>
      </c>
      <c r="G17" s="79">
        <v>7</v>
      </c>
      <c r="H17" s="79">
        <v>8</v>
      </c>
      <c r="I17" s="79">
        <v>9</v>
      </c>
      <c r="J17" s="79">
        <v>10</v>
      </c>
      <c r="K17" s="79">
        <v>11</v>
      </c>
      <c r="L17" s="79">
        <v>12</v>
      </c>
      <c r="M17" s="79">
        <v>13</v>
      </c>
      <c r="N17" s="79">
        <v>14</v>
      </c>
      <c r="O17" s="79">
        <v>15</v>
      </c>
      <c r="P17" s="360"/>
    </row>
    <row r="18" spans="1:16" ht="60" customHeight="1">
      <c r="A18" s="339">
        <v>1</v>
      </c>
      <c r="B18" s="686" t="s">
        <v>2613</v>
      </c>
      <c r="C18" s="344" t="s">
        <v>70</v>
      </c>
      <c r="D18" s="344" t="s">
        <v>71</v>
      </c>
      <c r="E18" s="362">
        <v>4625</v>
      </c>
      <c r="F18" s="363" t="s">
        <v>72</v>
      </c>
      <c r="G18" s="362">
        <v>1.02</v>
      </c>
      <c r="H18" s="339" t="s">
        <v>73</v>
      </c>
      <c r="I18" s="335"/>
      <c r="J18" s="335"/>
      <c r="K18" s="335"/>
      <c r="L18" s="335"/>
      <c r="M18" s="335"/>
      <c r="N18" s="335">
        <v>1</v>
      </c>
      <c r="O18" s="335"/>
      <c r="P18" s="360"/>
    </row>
    <row r="19" spans="1:16" ht="105">
      <c r="A19" s="339">
        <v>2</v>
      </c>
      <c r="B19" s="687"/>
      <c r="C19" s="344" t="s">
        <v>74</v>
      </c>
      <c r="D19" s="344" t="s">
        <v>75</v>
      </c>
      <c r="E19" s="339" t="s">
        <v>76</v>
      </c>
      <c r="F19" s="339" t="s">
        <v>77</v>
      </c>
      <c r="G19" s="339" t="s">
        <v>77</v>
      </c>
      <c r="H19" s="83" t="s">
        <v>78</v>
      </c>
      <c r="I19" s="339" t="s">
        <v>150</v>
      </c>
      <c r="J19" s="83" t="s">
        <v>78</v>
      </c>
      <c r="K19" s="83" t="s">
        <v>78</v>
      </c>
      <c r="L19" s="83" t="s">
        <v>78</v>
      </c>
      <c r="M19" s="339"/>
      <c r="N19" s="339">
        <v>2</v>
      </c>
      <c r="O19" s="77" t="s">
        <v>6973</v>
      </c>
      <c r="P19" s="360"/>
    </row>
    <row r="20" spans="1:16" ht="75">
      <c r="A20" s="339">
        <v>3</v>
      </c>
      <c r="B20" s="687"/>
      <c r="C20" s="344" t="s">
        <v>2482</v>
      </c>
      <c r="D20" s="352" t="s">
        <v>80</v>
      </c>
      <c r="E20" s="49">
        <v>1625.27</v>
      </c>
      <c r="F20" s="49" t="s">
        <v>81</v>
      </c>
      <c r="G20" s="49">
        <v>0.2</v>
      </c>
      <c r="H20" s="49" t="s">
        <v>82</v>
      </c>
      <c r="I20" s="336" t="s">
        <v>23</v>
      </c>
      <c r="J20" s="336"/>
      <c r="K20" s="336"/>
      <c r="L20" s="336"/>
      <c r="M20" s="336"/>
      <c r="N20" s="336">
        <v>4</v>
      </c>
      <c r="O20" s="336"/>
      <c r="P20" s="360"/>
    </row>
    <row r="21" spans="1:16" ht="30">
      <c r="A21" s="339">
        <v>4</v>
      </c>
      <c r="B21" s="688"/>
      <c r="C21" s="50" t="s">
        <v>83</v>
      </c>
      <c r="D21" s="352" t="s">
        <v>84</v>
      </c>
      <c r="E21" s="49" t="s">
        <v>85</v>
      </c>
      <c r="F21" s="49" t="s">
        <v>86</v>
      </c>
      <c r="G21" s="49">
        <v>0.99</v>
      </c>
      <c r="H21" s="336" t="s">
        <v>22</v>
      </c>
      <c r="I21" s="336" t="s">
        <v>23</v>
      </c>
      <c r="J21" s="335" t="s">
        <v>24</v>
      </c>
      <c r="K21" s="335" t="s">
        <v>24</v>
      </c>
      <c r="L21" s="335" t="s">
        <v>87</v>
      </c>
      <c r="M21" s="336" t="s">
        <v>22</v>
      </c>
      <c r="N21" s="335">
        <v>6</v>
      </c>
      <c r="O21" s="335"/>
      <c r="P21" s="360"/>
    </row>
    <row r="22" spans="1:16" ht="15" customHeight="1">
      <c r="A22" s="595"/>
      <c r="B22" s="595"/>
      <c r="C22" s="595"/>
      <c r="D22" s="595"/>
      <c r="E22" s="595"/>
      <c r="F22" s="595"/>
      <c r="G22" s="595"/>
      <c r="H22" s="595"/>
      <c r="I22" s="595"/>
      <c r="J22" s="595"/>
      <c r="K22" s="595"/>
      <c r="L22" s="595"/>
      <c r="M22" s="595"/>
      <c r="N22" s="595"/>
      <c r="O22" s="595"/>
      <c r="P22" s="595"/>
    </row>
    <row r="23" spans="1:16" ht="20.25" customHeight="1">
      <c r="A23" s="559" t="s">
        <v>111</v>
      </c>
      <c r="B23" s="559"/>
      <c r="C23" s="559"/>
      <c r="D23" s="559"/>
      <c r="E23" s="559"/>
      <c r="F23" s="559"/>
      <c r="G23" s="559"/>
      <c r="H23" s="559"/>
      <c r="I23" s="559"/>
      <c r="J23" s="559"/>
      <c r="K23" s="559"/>
      <c r="L23" s="559"/>
      <c r="M23" s="559"/>
      <c r="N23" s="559"/>
      <c r="O23" s="559"/>
      <c r="P23" s="360"/>
    </row>
    <row r="24" spans="1:16" ht="99" customHeight="1">
      <c r="A24" s="46" t="s">
        <v>0</v>
      </c>
      <c r="B24" s="46" t="s">
        <v>2582</v>
      </c>
      <c r="C24" s="46" t="s">
        <v>1</v>
      </c>
      <c r="D24" s="46" t="s">
        <v>2596</v>
      </c>
      <c r="E24" s="46" t="s">
        <v>89</v>
      </c>
      <c r="F24" s="46" t="s">
        <v>63</v>
      </c>
      <c r="G24" s="46" t="s">
        <v>2590</v>
      </c>
      <c r="H24" s="46" t="s">
        <v>2561</v>
      </c>
      <c r="I24" s="46" t="s">
        <v>2391</v>
      </c>
      <c r="J24" s="46" t="s">
        <v>5</v>
      </c>
      <c r="K24" s="46" t="s">
        <v>6</v>
      </c>
      <c r="L24" s="46" t="s">
        <v>91</v>
      </c>
      <c r="M24" s="46" t="s">
        <v>67</v>
      </c>
      <c r="N24" s="67" t="s">
        <v>92</v>
      </c>
      <c r="O24" s="74" t="s">
        <v>11</v>
      </c>
      <c r="P24" s="360"/>
    </row>
    <row r="25" spans="1:16" ht="15" customHeight="1">
      <c r="A25" s="345">
        <v>1</v>
      </c>
      <c r="B25" s="79">
        <v>2</v>
      </c>
      <c r="C25" s="79">
        <v>3</v>
      </c>
      <c r="D25" s="79">
        <v>4</v>
      </c>
      <c r="E25" s="79">
        <v>5</v>
      </c>
      <c r="F25" s="79">
        <v>6</v>
      </c>
      <c r="G25" s="79">
        <v>7</v>
      </c>
      <c r="H25" s="79">
        <v>8</v>
      </c>
      <c r="I25" s="79">
        <v>9</v>
      </c>
      <c r="J25" s="79">
        <v>10</v>
      </c>
      <c r="K25" s="79">
        <v>11</v>
      </c>
      <c r="L25" s="79">
        <v>12</v>
      </c>
      <c r="M25" s="79">
        <v>13</v>
      </c>
      <c r="N25" s="79">
        <v>14</v>
      </c>
      <c r="O25" s="79">
        <v>15</v>
      </c>
      <c r="P25" s="360"/>
    </row>
    <row r="26" spans="1:16" ht="46.5" customHeight="1">
      <c r="A26" s="336">
        <v>1</v>
      </c>
      <c r="B26" s="553" t="s">
        <v>2613</v>
      </c>
      <c r="C26" s="344" t="s">
        <v>70</v>
      </c>
      <c r="D26" s="344" t="s">
        <v>93</v>
      </c>
      <c r="E26" s="339"/>
      <c r="F26" s="339">
        <v>1973</v>
      </c>
      <c r="G26" s="339" t="s">
        <v>94</v>
      </c>
      <c r="H26" s="339" t="s">
        <v>95</v>
      </c>
      <c r="I26" s="336"/>
      <c r="J26" s="336"/>
      <c r="K26" s="336"/>
      <c r="L26" s="336"/>
      <c r="M26" s="336"/>
      <c r="N26" s="336">
        <v>1</v>
      </c>
      <c r="O26" s="336"/>
      <c r="P26" s="360"/>
    </row>
    <row r="27" spans="1:16" ht="46.5" customHeight="1">
      <c r="A27" s="336">
        <v>2</v>
      </c>
      <c r="B27" s="553"/>
      <c r="C27" s="344" t="s">
        <v>70</v>
      </c>
      <c r="D27" s="344" t="s">
        <v>96</v>
      </c>
      <c r="E27" s="339"/>
      <c r="F27" s="339" t="s">
        <v>97</v>
      </c>
      <c r="G27" s="339" t="s">
        <v>98</v>
      </c>
      <c r="H27" s="339" t="s">
        <v>95</v>
      </c>
      <c r="I27" s="336"/>
      <c r="J27" s="336"/>
      <c r="K27" s="336"/>
      <c r="L27" s="336"/>
      <c r="M27" s="336"/>
      <c r="N27" s="336">
        <v>2</v>
      </c>
      <c r="O27" s="336"/>
      <c r="P27" s="360"/>
    </row>
    <row r="28" spans="1:16" ht="46.5" customHeight="1">
      <c r="A28" s="336">
        <v>3</v>
      </c>
      <c r="B28" s="553"/>
      <c r="C28" s="344" t="s">
        <v>70</v>
      </c>
      <c r="D28" s="344" t="s">
        <v>99</v>
      </c>
      <c r="E28" s="339"/>
      <c r="F28" s="339">
        <v>1974</v>
      </c>
      <c r="G28" s="339" t="s">
        <v>100</v>
      </c>
      <c r="H28" s="339" t="s">
        <v>95</v>
      </c>
      <c r="I28" s="336"/>
      <c r="J28" s="336"/>
      <c r="K28" s="336"/>
      <c r="L28" s="336"/>
      <c r="M28" s="336"/>
      <c r="N28" s="336">
        <v>3</v>
      </c>
      <c r="O28" s="336"/>
      <c r="P28" s="360"/>
    </row>
    <row r="29" spans="1:16" ht="46.5" customHeight="1">
      <c r="A29" s="336">
        <v>4</v>
      </c>
      <c r="B29" s="553"/>
      <c r="C29" s="344" t="s">
        <v>70</v>
      </c>
      <c r="D29" s="344" t="s">
        <v>101</v>
      </c>
      <c r="E29" s="339"/>
      <c r="F29" s="339" t="s">
        <v>97</v>
      </c>
      <c r="G29" s="339" t="s">
        <v>102</v>
      </c>
      <c r="H29" s="339" t="s">
        <v>95</v>
      </c>
      <c r="I29" s="336"/>
      <c r="J29" s="336"/>
      <c r="K29" s="336"/>
      <c r="L29" s="336"/>
      <c r="M29" s="336"/>
      <c r="N29" s="336">
        <v>4</v>
      </c>
      <c r="O29" s="336"/>
      <c r="P29" s="360"/>
    </row>
    <row r="30" spans="1:16" ht="45">
      <c r="A30" s="336">
        <v>5</v>
      </c>
      <c r="B30" s="553"/>
      <c r="C30" s="344" t="s">
        <v>70</v>
      </c>
      <c r="D30" s="344" t="s">
        <v>103</v>
      </c>
      <c r="E30" s="339"/>
      <c r="F30" s="339" t="s">
        <v>104</v>
      </c>
      <c r="G30" s="339">
        <v>0.98599999999999999</v>
      </c>
      <c r="H30" s="339" t="s">
        <v>95</v>
      </c>
      <c r="I30" s="336"/>
      <c r="J30" s="336"/>
      <c r="K30" s="336"/>
      <c r="L30" s="336"/>
      <c r="M30" s="336"/>
      <c r="N30" s="336">
        <v>5</v>
      </c>
      <c r="O30" s="336"/>
      <c r="P30" s="360"/>
    </row>
    <row r="31" spans="1:16" ht="45">
      <c r="A31" s="336">
        <v>6</v>
      </c>
      <c r="B31" s="553"/>
      <c r="C31" s="344" t="s">
        <v>70</v>
      </c>
      <c r="D31" s="344" t="s">
        <v>105</v>
      </c>
      <c r="E31" s="339"/>
      <c r="F31" s="339">
        <v>1998</v>
      </c>
      <c r="G31" s="172">
        <v>1.7</v>
      </c>
      <c r="H31" s="339" t="s">
        <v>95</v>
      </c>
      <c r="I31" s="336"/>
      <c r="J31" s="336"/>
      <c r="K31" s="336"/>
      <c r="L31" s="336"/>
      <c r="M31" s="336"/>
      <c r="N31" s="336">
        <v>6</v>
      </c>
      <c r="O31" s="336"/>
      <c r="P31" s="360"/>
    </row>
    <row r="32" spans="1:16" ht="45">
      <c r="A32" s="336">
        <v>7</v>
      </c>
      <c r="B32" s="553"/>
      <c r="C32" s="344" t="s">
        <v>19</v>
      </c>
      <c r="D32" s="344" t="s">
        <v>106</v>
      </c>
      <c r="E32" s="336">
        <v>3867</v>
      </c>
      <c r="F32" s="336">
        <v>1986</v>
      </c>
      <c r="G32" s="336">
        <v>0.39</v>
      </c>
      <c r="H32" s="335" t="s">
        <v>107</v>
      </c>
      <c r="I32" s="336" t="s">
        <v>23</v>
      </c>
      <c r="J32" s="335" t="s">
        <v>24</v>
      </c>
      <c r="K32" s="335" t="s">
        <v>24</v>
      </c>
      <c r="L32" s="335" t="s">
        <v>87</v>
      </c>
      <c r="M32" s="335" t="s">
        <v>107</v>
      </c>
      <c r="N32" s="335">
        <v>7</v>
      </c>
      <c r="O32" s="336"/>
      <c r="P32" s="360"/>
    </row>
    <row r="33" spans="1:16" ht="45">
      <c r="A33" s="336">
        <v>8</v>
      </c>
      <c r="B33" s="553"/>
      <c r="C33" s="344" t="s">
        <v>19</v>
      </c>
      <c r="D33" s="344" t="s">
        <v>108</v>
      </c>
      <c r="E33" s="336">
        <v>2163</v>
      </c>
      <c r="F33" s="336">
        <v>1987</v>
      </c>
      <c r="G33" s="336">
        <v>0.03</v>
      </c>
      <c r="H33" s="335" t="s">
        <v>107</v>
      </c>
      <c r="I33" s="336" t="s">
        <v>23</v>
      </c>
      <c r="J33" s="335" t="s">
        <v>24</v>
      </c>
      <c r="K33" s="335" t="s">
        <v>24</v>
      </c>
      <c r="L33" s="335" t="s">
        <v>87</v>
      </c>
      <c r="M33" s="335" t="s">
        <v>107</v>
      </c>
      <c r="N33" s="335">
        <v>8</v>
      </c>
      <c r="O33" s="336"/>
      <c r="P33" s="360"/>
    </row>
    <row r="34" spans="1:16" ht="46.5" customHeight="1">
      <c r="A34" s="336">
        <v>9</v>
      </c>
      <c r="B34" s="553"/>
      <c r="C34" s="344" t="s">
        <v>19</v>
      </c>
      <c r="D34" s="344" t="s">
        <v>109</v>
      </c>
      <c r="E34" s="336">
        <v>2032</v>
      </c>
      <c r="F34" s="336">
        <v>1986</v>
      </c>
      <c r="G34" s="336">
        <v>0.24</v>
      </c>
      <c r="H34" s="335" t="s">
        <v>107</v>
      </c>
      <c r="I34" s="336" t="s">
        <v>23</v>
      </c>
      <c r="J34" s="335" t="s">
        <v>24</v>
      </c>
      <c r="K34" s="335" t="s">
        <v>24</v>
      </c>
      <c r="L34" s="335" t="s">
        <v>87</v>
      </c>
      <c r="M34" s="335" t="s">
        <v>107</v>
      </c>
      <c r="N34" s="335">
        <v>9</v>
      </c>
      <c r="O34" s="336"/>
      <c r="P34" s="360"/>
    </row>
    <row r="35" spans="1:16">
      <c r="A35" s="600"/>
      <c r="B35" s="600"/>
      <c r="C35" s="600"/>
      <c r="D35" s="600"/>
      <c r="E35" s="600"/>
      <c r="F35" s="600"/>
      <c r="G35" s="600"/>
      <c r="H35" s="600"/>
      <c r="I35" s="600"/>
      <c r="J35" s="600"/>
      <c r="K35" s="600"/>
      <c r="L35" s="600"/>
      <c r="M35" s="600"/>
      <c r="N35" s="600"/>
      <c r="O35" s="600"/>
      <c r="P35" s="600"/>
    </row>
    <row r="36" spans="1:16" ht="20.25">
      <c r="A36" s="559" t="s">
        <v>112</v>
      </c>
      <c r="B36" s="559"/>
      <c r="C36" s="559"/>
      <c r="D36" s="559"/>
      <c r="E36" s="559"/>
      <c r="F36" s="559"/>
      <c r="G36" s="559"/>
      <c r="H36" s="559"/>
      <c r="I36" s="559"/>
      <c r="J36" s="559"/>
      <c r="K36" s="559"/>
      <c r="L36" s="559"/>
      <c r="M36" s="559"/>
      <c r="N36" s="559"/>
      <c r="O36" s="559"/>
      <c r="P36" s="559"/>
    </row>
    <row r="37" spans="1:16" ht="104.25" customHeight="1">
      <c r="A37" s="46" t="s">
        <v>0</v>
      </c>
      <c r="B37" s="46" t="s">
        <v>2582</v>
      </c>
      <c r="C37" s="46" t="s">
        <v>1</v>
      </c>
      <c r="D37" s="46" t="s">
        <v>2596</v>
      </c>
      <c r="E37" s="46" t="s">
        <v>89</v>
      </c>
      <c r="F37" s="46" t="s">
        <v>63</v>
      </c>
      <c r="G37" s="46" t="s">
        <v>2390</v>
      </c>
      <c r="H37" s="46" t="s">
        <v>2561</v>
      </c>
      <c r="I37" s="46" t="s">
        <v>2391</v>
      </c>
      <c r="J37" s="46" t="s">
        <v>5</v>
      </c>
      <c r="K37" s="46" t="s">
        <v>6</v>
      </c>
      <c r="L37" s="46" t="s">
        <v>91</v>
      </c>
      <c r="M37" s="46" t="s">
        <v>67</v>
      </c>
      <c r="N37" s="67" t="s">
        <v>110</v>
      </c>
      <c r="O37" s="67" t="s">
        <v>92</v>
      </c>
      <c r="P37" s="74" t="s">
        <v>69</v>
      </c>
    </row>
    <row r="38" spans="1:16">
      <c r="A38" s="345">
        <v>1</v>
      </c>
      <c r="B38" s="79">
        <v>2</v>
      </c>
      <c r="C38" s="79">
        <v>3</v>
      </c>
      <c r="D38" s="79">
        <v>4</v>
      </c>
      <c r="E38" s="79">
        <v>5</v>
      </c>
      <c r="F38" s="79">
        <v>6</v>
      </c>
      <c r="G38" s="79">
        <v>7</v>
      </c>
      <c r="H38" s="79">
        <v>8</v>
      </c>
      <c r="I38" s="79">
        <v>9</v>
      </c>
      <c r="J38" s="79">
        <v>10</v>
      </c>
      <c r="K38" s="79">
        <v>11</v>
      </c>
      <c r="L38" s="79">
        <v>12</v>
      </c>
      <c r="M38" s="79">
        <v>13</v>
      </c>
      <c r="N38" s="79">
        <v>14</v>
      </c>
      <c r="O38" s="79">
        <v>15</v>
      </c>
      <c r="P38" s="46">
        <v>16</v>
      </c>
    </row>
    <row r="39" spans="1:16">
      <c r="A39" s="345"/>
      <c r="B39" s="621" t="s">
        <v>87</v>
      </c>
      <c r="C39" s="689"/>
      <c r="D39" s="689"/>
      <c r="E39" s="689"/>
      <c r="F39" s="689"/>
      <c r="G39" s="689"/>
      <c r="H39" s="689"/>
      <c r="I39" s="689"/>
      <c r="J39" s="689"/>
      <c r="K39" s="689"/>
      <c r="L39" s="689"/>
      <c r="M39" s="689"/>
      <c r="N39" s="689"/>
      <c r="O39" s="689"/>
      <c r="P39" s="689"/>
    </row>
    <row r="40" spans="1:16">
      <c r="A40" s="612"/>
      <c r="B40" s="612"/>
      <c r="C40" s="612"/>
      <c r="D40" s="612"/>
      <c r="E40" s="612"/>
      <c r="F40" s="612"/>
      <c r="G40" s="612"/>
      <c r="H40" s="612"/>
      <c r="I40" s="612"/>
      <c r="J40" s="612"/>
      <c r="K40" s="612"/>
      <c r="L40" s="612"/>
      <c r="M40" s="612"/>
      <c r="N40" s="612"/>
      <c r="O40" s="612"/>
      <c r="P40" s="612"/>
    </row>
    <row r="41" spans="1:16" ht="22.5">
      <c r="A41" s="700" t="s">
        <v>116</v>
      </c>
      <c r="B41" s="700"/>
      <c r="C41" s="700"/>
      <c r="D41" s="700"/>
      <c r="E41" s="700"/>
      <c r="F41" s="700"/>
      <c r="G41" s="700"/>
      <c r="H41" s="700"/>
      <c r="I41" s="700"/>
      <c r="J41" s="700"/>
      <c r="K41" s="700"/>
      <c r="L41" s="700"/>
      <c r="M41" s="700"/>
      <c r="N41" s="700"/>
      <c r="O41" s="700"/>
      <c r="P41" s="700"/>
    </row>
    <row r="42" spans="1:16" ht="20.25">
      <c r="A42" s="559" t="s">
        <v>61</v>
      </c>
      <c r="B42" s="559"/>
      <c r="C42" s="559"/>
      <c r="D42" s="559"/>
      <c r="E42" s="559"/>
      <c r="F42" s="559"/>
      <c r="G42" s="559"/>
      <c r="H42" s="559"/>
      <c r="I42" s="559"/>
      <c r="J42" s="559"/>
      <c r="K42" s="559"/>
      <c r="L42" s="559"/>
      <c r="M42" s="559"/>
      <c r="N42" s="559"/>
      <c r="O42" s="559"/>
      <c r="P42" s="559"/>
    </row>
    <row r="43" spans="1:16" ht="99.75" customHeight="1">
      <c r="A43" s="46" t="s">
        <v>0</v>
      </c>
      <c r="B43" s="46" t="s">
        <v>2592</v>
      </c>
      <c r="C43" s="46" t="s">
        <v>1</v>
      </c>
      <c r="D43" s="46" t="s">
        <v>2593</v>
      </c>
      <c r="E43" s="46" t="s">
        <v>3</v>
      </c>
      <c r="F43" s="46" t="s">
        <v>4</v>
      </c>
      <c r="G43" s="46" t="s">
        <v>2594</v>
      </c>
      <c r="H43" s="46" t="s">
        <v>2595</v>
      </c>
      <c r="I43" s="46" t="s">
        <v>2392</v>
      </c>
      <c r="J43" s="46" t="s">
        <v>5</v>
      </c>
      <c r="K43" s="46" t="s">
        <v>6</v>
      </c>
      <c r="L43" s="46" t="s">
        <v>7</v>
      </c>
      <c r="M43" s="67" t="s">
        <v>8</v>
      </c>
      <c r="N43" s="67" t="s">
        <v>9</v>
      </c>
      <c r="O43" s="46" t="s">
        <v>10</v>
      </c>
      <c r="P43" s="74" t="s">
        <v>11</v>
      </c>
    </row>
    <row r="44" spans="1:16">
      <c r="A44" s="8">
        <v>1</v>
      </c>
      <c r="B44" s="46">
        <v>2</v>
      </c>
      <c r="C44" s="46">
        <v>3</v>
      </c>
      <c r="D44" s="46">
        <v>4</v>
      </c>
      <c r="E44" s="46">
        <v>5</v>
      </c>
      <c r="F44" s="46">
        <v>6</v>
      </c>
      <c r="G44" s="46">
        <v>7</v>
      </c>
      <c r="H44" s="46">
        <v>8</v>
      </c>
      <c r="I44" s="46">
        <v>9</v>
      </c>
      <c r="J44" s="46">
        <v>10</v>
      </c>
      <c r="K44" s="46">
        <v>11</v>
      </c>
      <c r="L44" s="46">
        <v>12</v>
      </c>
      <c r="M44" s="46">
        <v>13</v>
      </c>
      <c r="N44" s="46">
        <v>14</v>
      </c>
      <c r="O44" s="46">
        <v>15</v>
      </c>
      <c r="P44" s="46">
        <v>16</v>
      </c>
    </row>
    <row r="45" spans="1:16" ht="225" customHeight="1">
      <c r="A45" s="336">
        <v>1</v>
      </c>
      <c r="B45" s="553" t="s">
        <v>2612</v>
      </c>
      <c r="C45" s="344" t="s">
        <v>117</v>
      </c>
      <c r="D45" s="344" t="s">
        <v>118</v>
      </c>
      <c r="E45" s="336">
        <v>192144</v>
      </c>
      <c r="F45" s="336">
        <v>1961</v>
      </c>
      <c r="G45" s="336" t="s">
        <v>17</v>
      </c>
      <c r="H45" s="336" t="s">
        <v>17</v>
      </c>
      <c r="I45" s="336" t="s">
        <v>150</v>
      </c>
      <c r="J45" s="336"/>
      <c r="K45" s="336"/>
      <c r="L45" s="336"/>
      <c r="M45" s="336" t="s">
        <v>119</v>
      </c>
      <c r="N45" s="77" t="s">
        <v>134</v>
      </c>
      <c r="O45" s="336"/>
      <c r="P45" s="77" t="s">
        <v>2384</v>
      </c>
    </row>
    <row r="46" spans="1:16" ht="76.5" customHeight="1">
      <c r="A46" s="336">
        <v>2</v>
      </c>
      <c r="B46" s="553"/>
      <c r="C46" s="344" t="s">
        <v>120</v>
      </c>
      <c r="D46" s="344" t="s">
        <v>121</v>
      </c>
      <c r="E46" s="336">
        <v>323</v>
      </c>
      <c r="F46" s="336" t="s">
        <v>122</v>
      </c>
      <c r="G46" s="339" t="s">
        <v>123</v>
      </c>
      <c r="H46" s="336">
        <v>0.15</v>
      </c>
      <c r="I46" s="336" t="s">
        <v>23</v>
      </c>
      <c r="J46" s="336" t="s">
        <v>17</v>
      </c>
      <c r="K46" s="336" t="s">
        <v>17</v>
      </c>
      <c r="L46" s="336" t="s">
        <v>17</v>
      </c>
      <c r="M46" s="336" t="s">
        <v>26</v>
      </c>
      <c r="N46" s="339"/>
      <c r="O46" s="336"/>
      <c r="P46" s="53"/>
    </row>
    <row r="47" spans="1:16" ht="180">
      <c r="A47" s="336">
        <v>3</v>
      </c>
      <c r="B47" s="553"/>
      <c r="C47" s="50" t="s">
        <v>124</v>
      </c>
      <c r="D47" s="344" t="s">
        <v>125</v>
      </c>
      <c r="E47" s="339" t="s">
        <v>126</v>
      </c>
      <c r="F47" s="339" t="s">
        <v>127</v>
      </c>
      <c r="G47" s="336">
        <v>9.4E-2</v>
      </c>
      <c r="H47" s="336" t="s">
        <v>17</v>
      </c>
      <c r="I47" s="339" t="s">
        <v>128</v>
      </c>
      <c r="J47" s="339" t="s">
        <v>129</v>
      </c>
      <c r="K47" s="336" t="s">
        <v>130</v>
      </c>
      <c r="L47" s="336" t="s">
        <v>17</v>
      </c>
      <c r="M47" s="336" t="s">
        <v>131</v>
      </c>
      <c r="N47" s="77" t="s">
        <v>132</v>
      </c>
      <c r="O47" s="336" t="s">
        <v>17</v>
      </c>
      <c r="P47" s="336" t="s">
        <v>133</v>
      </c>
    </row>
    <row r="48" spans="1:16">
      <c r="A48" s="600"/>
      <c r="B48" s="600"/>
      <c r="C48" s="600"/>
      <c r="D48" s="600"/>
      <c r="E48" s="600"/>
      <c r="F48" s="600"/>
      <c r="G48" s="600"/>
      <c r="H48" s="600"/>
      <c r="I48" s="600"/>
      <c r="J48" s="600"/>
      <c r="K48" s="600"/>
      <c r="L48" s="600"/>
      <c r="M48" s="600"/>
      <c r="N48" s="600"/>
      <c r="O48" s="600"/>
      <c r="P48" s="600"/>
    </row>
    <row r="49" spans="1:16" ht="20.25" customHeight="1">
      <c r="A49" s="559" t="s">
        <v>88</v>
      </c>
      <c r="B49" s="559"/>
      <c r="C49" s="559"/>
      <c r="D49" s="559"/>
      <c r="E49" s="559"/>
      <c r="F49" s="559"/>
      <c r="G49" s="559"/>
      <c r="H49" s="559"/>
      <c r="I49" s="559"/>
      <c r="J49" s="559"/>
      <c r="K49" s="559"/>
      <c r="L49" s="559"/>
      <c r="M49" s="559"/>
      <c r="N49" s="559"/>
      <c r="O49" s="559"/>
      <c r="P49" s="588"/>
    </row>
    <row r="50" spans="1:16" ht="99" customHeight="1">
      <c r="A50" s="46" t="s">
        <v>0</v>
      </c>
      <c r="B50" s="46" t="s">
        <v>2582</v>
      </c>
      <c r="C50" s="46" t="s">
        <v>1</v>
      </c>
      <c r="D50" s="46" t="s">
        <v>2596</v>
      </c>
      <c r="E50" s="67" t="s">
        <v>62</v>
      </c>
      <c r="F50" s="67" t="s">
        <v>63</v>
      </c>
      <c r="G50" s="46" t="s">
        <v>2560</v>
      </c>
      <c r="H50" s="46" t="s">
        <v>2561</v>
      </c>
      <c r="I50" s="46" t="s">
        <v>2583</v>
      </c>
      <c r="J50" s="46" t="s">
        <v>5</v>
      </c>
      <c r="K50" s="46" t="s">
        <v>6</v>
      </c>
      <c r="L50" s="46" t="s">
        <v>66</v>
      </c>
      <c r="M50" s="46" t="s">
        <v>67</v>
      </c>
      <c r="N50" s="67" t="s">
        <v>68</v>
      </c>
      <c r="O50" s="74" t="s">
        <v>69</v>
      </c>
      <c r="P50" s="588"/>
    </row>
    <row r="51" spans="1:16" ht="15" customHeight="1">
      <c r="A51" s="345">
        <v>1</v>
      </c>
      <c r="B51" s="79">
        <v>2</v>
      </c>
      <c r="C51" s="79">
        <v>3</v>
      </c>
      <c r="D51" s="79">
        <v>4</v>
      </c>
      <c r="E51" s="79">
        <v>5</v>
      </c>
      <c r="F51" s="79">
        <v>6</v>
      </c>
      <c r="G51" s="79">
        <v>7</v>
      </c>
      <c r="H51" s="79">
        <v>8</v>
      </c>
      <c r="I51" s="79">
        <v>9</v>
      </c>
      <c r="J51" s="79">
        <v>10</v>
      </c>
      <c r="K51" s="79">
        <v>11</v>
      </c>
      <c r="L51" s="79">
        <v>12</v>
      </c>
      <c r="M51" s="79">
        <v>13</v>
      </c>
      <c r="N51" s="79">
        <v>14</v>
      </c>
      <c r="O51" s="79">
        <v>15</v>
      </c>
      <c r="P51" s="588"/>
    </row>
    <row r="52" spans="1:16" ht="122.25" customHeight="1">
      <c r="A52" s="335">
        <v>1</v>
      </c>
      <c r="B52" s="614" t="s">
        <v>2612</v>
      </c>
      <c r="C52" s="75" t="s">
        <v>135</v>
      </c>
      <c r="D52" s="352" t="s">
        <v>6975</v>
      </c>
      <c r="E52" s="335">
        <v>460.52</v>
      </c>
      <c r="F52" s="364"/>
      <c r="G52" s="364"/>
      <c r="H52" s="364"/>
      <c r="I52" s="134" t="s">
        <v>136</v>
      </c>
      <c r="J52" s="335"/>
      <c r="K52" s="335"/>
      <c r="L52" s="335"/>
      <c r="M52" s="335"/>
      <c r="N52" s="77" t="s">
        <v>153</v>
      </c>
      <c r="O52" s="77" t="s">
        <v>152</v>
      </c>
      <c r="P52" s="588"/>
    </row>
    <row r="53" spans="1:16" ht="62.25" customHeight="1">
      <c r="A53" s="335">
        <v>2</v>
      </c>
      <c r="B53" s="614"/>
      <c r="C53" s="352" t="s">
        <v>137</v>
      </c>
      <c r="D53" s="352" t="s">
        <v>138</v>
      </c>
      <c r="E53" s="335">
        <v>3472</v>
      </c>
      <c r="F53" s="335">
        <v>1992</v>
      </c>
      <c r="G53" s="335">
        <v>0.45</v>
      </c>
      <c r="H53" s="335">
        <v>13.51</v>
      </c>
      <c r="I53" s="49" t="s">
        <v>23</v>
      </c>
      <c r="J53" s="335" t="s">
        <v>17</v>
      </c>
      <c r="K53" s="335" t="s">
        <v>17</v>
      </c>
      <c r="L53" s="335" t="s">
        <v>17</v>
      </c>
      <c r="M53" s="335"/>
      <c r="N53" s="77"/>
      <c r="O53" s="77" t="s">
        <v>6974</v>
      </c>
      <c r="P53" s="588"/>
    </row>
    <row r="54" spans="1:16" ht="75">
      <c r="A54" s="336">
        <v>3</v>
      </c>
      <c r="B54" s="614"/>
      <c r="C54" s="553" t="s">
        <v>139</v>
      </c>
      <c r="D54" s="344" t="s">
        <v>140</v>
      </c>
      <c r="E54" s="339" t="s">
        <v>141</v>
      </c>
      <c r="F54" s="365">
        <v>31728</v>
      </c>
      <c r="G54" s="336" t="s">
        <v>142</v>
      </c>
      <c r="H54" s="336" t="s">
        <v>17</v>
      </c>
      <c r="I54" s="339" t="s">
        <v>2448</v>
      </c>
      <c r="J54" s="336" t="s">
        <v>17</v>
      </c>
      <c r="K54" s="336" t="s">
        <v>17</v>
      </c>
      <c r="L54" s="336" t="s">
        <v>17</v>
      </c>
      <c r="M54" s="336" t="s">
        <v>17</v>
      </c>
      <c r="N54" s="336" t="s">
        <v>17</v>
      </c>
      <c r="O54" s="207" t="s">
        <v>143</v>
      </c>
      <c r="P54" s="588"/>
    </row>
    <row r="55" spans="1:16" ht="61.5" customHeight="1">
      <c r="A55" s="336">
        <v>4</v>
      </c>
      <c r="B55" s="614"/>
      <c r="C55" s="553"/>
      <c r="D55" s="344" t="s">
        <v>144</v>
      </c>
      <c r="E55" s="600" t="s">
        <v>145</v>
      </c>
      <c r="F55" s="600"/>
      <c r="G55" s="600"/>
      <c r="H55" s="600"/>
      <c r="I55" s="339" t="s">
        <v>146</v>
      </c>
      <c r="J55" s="336" t="s">
        <v>17</v>
      </c>
      <c r="K55" s="336" t="s">
        <v>17</v>
      </c>
      <c r="L55" s="336" t="s">
        <v>17</v>
      </c>
      <c r="M55" s="336" t="s">
        <v>17</v>
      </c>
      <c r="N55" s="336" t="s">
        <v>17</v>
      </c>
      <c r="O55" s="207" t="s">
        <v>147</v>
      </c>
      <c r="P55" s="588"/>
    </row>
    <row r="56" spans="1:16" ht="78.75" customHeight="1">
      <c r="A56" s="335">
        <v>5</v>
      </c>
      <c r="B56" s="614"/>
      <c r="C56" s="553"/>
      <c r="D56" s="344" t="s">
        <v>148</v>
      </c>
      <c r="E56" s="339">
        <v>986.92</v>
      </c>
      <c r="F56" s="339" t="s">
        <v>149</v>
      </c>
      <c r="G56" s="339">
        <v>0.32</v>
      </c>
      <c r="H56" s="339" t="s">
        <v>17</v>
      </c>
      <c r="I56" s="339" t="s">
        <v>150</v>
      </c>
      <c r="J56" s="339" t="s">
        <v>17</v>
      </c>
      <c r="K56" s="339" t="s">
        <v>17</v>
      </c>
      <c r="L56" s="339" t="s">
        <v>17</v>
      </c>
      <c r="M56" s="339"/>
      <c r="N56" s="339">
        <v>1</v>
      </c>
      <c r="O56" s="339" t="s">
        <v>151</v>
      </c>
      <c r="P56" s="588"/>
    </row>
    <row r="57" spans="1:16">
      <c r="A57" s="608"/>
      <c r="B57" s="608"/>
      <c r="C57" s="608"/>
      <c r="D57" s="608"/>
      <c r="E57" s="608"/>
      <c r="F57" s="608"/>
      <c r="G57" s="608"/>
      <c r="H57" s="608"/>
      <c r="I57" s="608"/>
      <c r="J57" s="608"/>
      <c r="K57" s="608"/>
      <c r="L57" s="608"/>
      <c r="M57" s="608"/>
      <c r="N57" s="608"/>
      <c r="O57" s="608"/>
      <c r="P57" s="608"/>
    </row>
    <row r="58" spans="1:16" ht="20.25" customHeight="1">
      <c r="A58" s="559" t="s">
        <v>111</v>
      </c>
      <c r="B58" s="559"/>
      <c r="C58" s="559"/>
      <c r="D58" s="559"/>
      <c r="E58" s="559"/>
      <c r="F58" s="559"/>
      <c r="G58" s="559"/>
      <c r="H58" s="559"/>
      <c r="I58" s="559"/>
      <c r="J58" s="559"/>
      <c r="K58" s="559"/>
      <c r="L58" s="559"/>
      <c r="M58" s="559"/>
      <c r="N58" s="559"/>
      <c r="O58" s="559"/>
      <c r="P58" s="588"/>
    </row>
    <row r="59" spans="1:16" ht="85.5">
      <c r="A59" s="46" t="s">
        <v>0</v>
      </c>
      <c r="B59" s="46" t="s">
        <v>2582</v>
      </c>
      <c r="C59" s="46" t="s">
        <v>1</v>
      </c>
      <c r="D59" s="46" t="s">
        <v>2596</v>
      </c>
      <c r="E59" s="46" t="s">
        <v>89</v>
      </c>
      <c r="F59" s="46" t="s">
        <v>63</v>
      </c>
      <c r="G59" s="46" t="s">
        <v>2590</v>
      </c>
      <c r="H59" s="46" t="s">
        <v>2561</v>
      </c>
      <c r="I59" s="46" t="s">
        <v>2391</v>
      </c>
      <c r="J59" s="46" t="s">
        <v>5</v>
      </c>
      <c r="K59" s="46" t="s">
        <v>6</v>
      </c>
      <c r="L59" s="46" t="s">
        <v>91</v>
      </c>
      <c r="M59" s="46" t="s">
        <v>67</v>
      </c>
      <c r="N59" s="67" t="s">
        <v>92</v>
      </c>
      <c r="O59" s="74" t="s">
        <v>11</v>
      </c>
      <c r="P59" s="588"/>
    </row>
    <row r="60" spans="1:16" ht="15" customHeight="1">
      <c r="A60" s="345">
        <v>1</v>
      </c>
      <c r="B60" s="79">
        <v>2</v>
      </c>
      <c r="C60" s="79">
        <v>3</v>
      </c>
      <c r="D60" s="79">
        <v>4</v>
      </c>
      <c r="E60" s="79">
        <v>5</v>
      </c>
      <c r="F60" s="79">
        <v>6</v>
      </c>
      <c r="G60" s="79">
        <v>7</v>
      </c>
      <c r="H60" s="79">
        <v>8</v>
      </c>
      <c r="I60" s="79">
        <v>9</v>
      </c>
      <c r="J60" s="79">
        <v>10</v>
      </c>
      <c r="K60" s="79">
        <v>11</v>
      </c>
      <c r="L60" s="79">
        <v>12</v>
      </c>
      <c r="M60" s="79">
        <v>13</v>
      </c>
      <c r="N60" s="79">
        <v>14</v>
      </c>
      <c r="O60" s="79">
        <v>15</v>
      </c>
      <c r="P60" s="588"/>
    </row>
    <row r="61" spans="1:16" ht="225" customHeight="1">
      <c r="A61" s="336">
        <v>1</v>
      </c>
      <c r="B61" s="553" t="s">
        <v>2612</v>
      </c>
      <c r="C61" s="50" t="s">
        <v>135</v>
      </c>
      <c r="D61" s="344" t="s">
        <v>154</v>
      </c>
      <c r="E61" s="336">
        <v>5731.8</v>
      </c>
      <c r="F61" s="53" t="s">
        <v>2386</v>
      </c>
      <c r="G61" s="336">
        <v>5.47</v>
      </c>
      <c r="H61" s="123"/>
      <c r="I61" s="336" t="s">
        <v>155</v>
      </c>
      <c r="J61" s="336"/>
      <c r="K61" s="336"/>
      <c r="L61" s="336"/>
      <c r="M61" s="336"/>
      <c r="N61" s="336">
        <v>1</v>
      </c>
      <c r="O61" s="77" t="s">
        <v>7473</v>
      </c>
      <c r="P61" s="588"/>
    </row>
    <row r="62" spans="1:16" ht="45" customHeight="1">
      <c r="A62" s="366">
        <v>2</v>
      </c>
      <c r="B62" s="553"/>
      <c r="C62" s="352" t="s">
        <v>137</v>
      </c>
      <c r="D62" s="352" t="s">
        <v>156</v>
      </c>
      <c r="E62" s="49">
        <v>14377</v>
      </c>
      <c r="F62" s="49">
        <v>1998</v>
      </c>
      <c r="G62" s="49">
        <v>1.73</v>
      </c>
      <c r="H62" s="49">
        <v>10.4</v>
      </c>
      <c r="I62" s="49" t="s">
        <v>23</v>
      </c>
      <c r="J62" s="49" t="s">
        <v>17</v>
      </c>
      <c r="K62" s="49" t="s">
        <v>17</v>
      </c>
      <c r="L62" s="49" t="s">
        <v>17</v>
      </c>
      <c r="M62" s="49"/>
      <c r="N62" s="49">
        <v>1</v>
      </c>
      <c r="O62" s="49"/>
      <c r="P62" s="588"/>
    </row>
    <row r="63" spans="1:16" ht="45">
      <c r="A63" s="336">
        <v>3</v>
      </c>
      <c r="B63" s="553"/>
      <c r="C63" s="614" t="s">
        <v>157</v>
      </c>
      <c r="D63" s="352" t="s">
        <v>158</v>
      </c>
      <c r="E63" s="335">
        <v>20155</v>
      </c>
      <c r="F63" s="335">
        <v>1938</v>
      </c>
      <c r="G63" s="335" t="s">
        <v>17</v>
      </c>
      <c r="H63" s="335">
        <v>8.2100000000000009</v>
      </c>
      <c r="I63" s="49" t="s">
        <v>159</v>
      </c>
      <c r="J63" s="335" t="s">
        <v>17</v>
      </c>
      <c r="K63" s="335" t="s">
        <v>17</v>
      </c>
      <c r="L63" s="335" t="s">
        <v>160</v>
      </c>
      <c r="M63" s="335" t="s">
        <v>17</v>
      </c>
      <c r="N63" s="335"/>
      <c r="O63" s="335"/>
      <c r="P63" s="588"/>
    </row>
    <row r="64" spans="1:16" ht="45" customHeight="1">
      <c r="A64" s="366">
        <v>4</v>
      </c>
      <c r="B64" s="553"/>
      <c r="C64" s="614"/>
      <c r="D64" s="344" t="s">
        <v>161</v>
      </c>
      <c r="E64" s="336">
        <v>12464</v>
      </c>
      <c r="F64" s="336">
        <v>1989</v>
      </c>
      <c r="G64" s="336" t="s">
        <v>17</v>
      </c>
      <c r="H64" s="336">
        <v>12.07</v>
      </c>
      <c r="I64" s="336" t="s">
        <v>162</v>
      </c>
      <c r="J64" s="336" t="s">
        <v>17</v>
      </c>
      <c r="K64" s="336" t="s">
        <v>17</v>
      </c>
      <c r="L64" s="336" t="s">
        <v>160</v>
      </c>
      <c r="M64" s="336" t="s">
        <v>17</v>
      </c>
      <c r="N64" s="336"/>
      <c r="O64" s="336"/>
      <c r="P64" s="588"/>
    </row>
    <row r="65" spans="1:16" ht="45">
      <c r="A65" s="336">
        <v>5</v>
      </c>
      <c r="B65" s="553"/>
      <c r="C65" s="614"/>
      <c r="D65" s="352" t="s">
        <v>163</v>
      </c>
      <c r="E65" s="335">
        <v>21569.74</v>
      </c>
      <c r="F65" s="335" t="s">
        <v>164</v>
      </c>
      <c r="G65" s="336" t="s">
        <v>165</v>
      </c>
      <c r="H65" s="336">
        <v>3.15</v>
      </c>
      <c r="I65" s="336" t="s">
        <v>162</v>
      </c>
      <c r="J65" s="336" t="s">
        <v>17</v>
      </c>
      <c r="K65" s="336" t="s">
        <v>17</v>
      </c>
      <c r="L65" s="336" t="s">
        <v>160</v>
      </c>
      <c r="M65" s="336" t="s">
        <v>17</v>
      </c>
      <c r="N65" s="336"/>
      <c r="O65" s="336"/>
      <c r="P65" s="588"/>
    </row>
    <row r="66" spans="1:16" ht="90">
      <c r="A66" s="366">
        <v>6</v>
      </c>
      <c r="B66" s="553"/>
      <c r="C66" s="614"/>
      <c r="D66" s="344" t="s">
        <v>166</v>
      </c>
      <c r="E66" s="339" t="s">
        <v>167</v>
      </c>
      <c r="F66" s="365" t="s">
        <v>6977</v>
      </c>
      <c r="G66" s="336" t="s">
        <v>17</v>
      </c>
      <c r="H66" s="336" t="s">
        <v>17</v>
      </c>
      <c r="I66" s="339" t="s">
        <v>2448</v>
      </c>
      <c r="J66" s="336" t="s">
        <v>17</v>
      </c>
      <c r="K66" s="336" t="s">
        <v>17</v>
      </c>
      <c r="L66" s="336" t="s">
        <v>17</v>
      </c>
      <c r="M66" s="336" t="s">
        <v>17</v>
      </c>
      <c r="N66" s="336" t="s">
        <v>17</v>
      </c>
      <c r="O66" s="339" t="s">
        <v>168</v>
      </c>
      <c r="P66" s="588"/>
    </row>
    <row r="67" spans="1:16" ht="62.25" customHeight="1">
      <c r="A67" s="336">
        <v>7</v>
      </c>
      <c r="B67" s="553"/>
      <c r="C67" s="614"/>
      <c r="D67" s="344" t="s">
        <v>169</v>
      </c>
      <c r="E67" s="336">
        <v>1924</v>
      </c>
      <c r="F67" s="59">
        <v>36770</v>
      </c>
      <c r="G67" s="336">
        <v>0.65</v>
      </c>
      <c r="H67" s="336" t="s">
        <v>170</v>
      </c>
      <c r="I67" s="336" t="s">
        <v>150</v>
      </c>
      <c r="J67" s="336" t="s">
        <v>17</v>
      </c>
      <c r="K67" s="336" t="s">
        <v>17</v>
      </c>
      <c r="L67" s="336" t="s">
        <v>17</v>
      </c>
      <c r="M67" s="336" t="s">
        <v>17</v>
      </c>
      <c r="N67" s="336">
        <v>1</v>
      </c>
      <c r="O67" s="336"/>
      <c r="P67" s="588"/>
    </row>
    <row r="68" spans="1:16">
      <c r="A68" s="600"/>
      <c r="B68" s="600"/>
      <c r="C68" s="600"/>
      <c r="D68" s="600"/>
      <c r="E68" s="600"/>
      <c r="F68" s="600"/>
      <c r="G68" s="600"/>
      <c r="H68" s="600"/>
      <c r="I68" s="600"/>
      <c r="J68" s="600"/>
      <c r="K68" s="600"/>
      <c r="L68" s="600"/>
      <c r="M68" s="600"/>
      <c r="N68" s="600"/>
      <c r="O68" s="600"/>
      <c r="P68" s="600"/>
    </row>
    <row r="69" spans="1:16" ht="20.25">
      <c r="A69" s="559" t="s">
        <v>112</v>
      </c>
      <c r="B69" s="559"/>
      <c r="C69" s="559"/>
      <c r="D69" s="559"/>
      <c r="E69" s="559"/>
      <c r="F69" s="559"/>
      <c r="G69" s="559"/>
      <c r="H69" s="559"/>
      <c r="I69" s="559"/>
      <c r="J69" s="559"/>
      <c r="K69" s="559"/>
      <c r="L69" s="559"/>
      <c r="M69" s="559"/>
      <c r="N69" s="559"/>
      <c r="O69" s="559"/>
      <c r="P69" s="559"/>
    </row>
    <row r="70" spans="1:16" ht="85.5">
      <c r="A70" s="46" t="s">
        <v>0</v>
      </c>
      <c r="B70" s="46" t="s">
        <v>2597</v>
      </c>
      <c r="C70" s="46" t="s">
        <v>1</v>
      </c>
      <c r="D70" s="46" t="s">
        <v>2596</v>
      </c>
      <c r="E70" s="46" t="s">
        <v>89</v>
      </c>
      <c r="F70" s="46" t="s">
        <v>63</v>
      </c>
      <c r="G70" s="46" t="s">
        <v>2590</v>
      </c>
      <c r="H70" s="46" t="s">
        <v>2561</v>
      </c>
      <c r="I70" s="46" t="s">
        <v>2391</v>
      </c>
      <c r="J70" s="46" t="s">
        <v>5</v>
      </c>
      <c r="K70" s="46" t="s">
        <v>6</v>
      </c>
      <c r="L70" s="46" t="s">
        <v>91</v>
      </c>
      <c r="M70" s="46" t="s">
        <v>67</v>
      </c>
      <c r="N70" s="67" t="s">
        <v>110</v>
      </c>
      <c r="O70" s="67" t="s">
        <v>92</v>
      </c>
      <c r="P70" s="74" t="s">
        <v>69</v>
      </c>
    </row>
    <row r="71" spans="1:16">
      <c r="A71" s="345">
        <v>1</v>
      </c>
      <c r="B71" s="79">
        <v>2</v>
      </c>
      <c r="C71" s="79">
        <v>3</v>
      </c>
      <c r="D71" s="79">
        <v>4</v>
      </c>
      <c r="E71" s="79">
        <v>5</v>
      </c>
      <c r="F71" s="79">
        <v>6</v>
      </c>
      <c r="G71" s="79">
        <v>7</v>
      </c>
      <c r="H71" s="79">
        <v>8</v>
      </c>
      <c r="I71" s="79">
        <v>9</v>
      </c>
      <c r="J71" s="79">
        <v>10</v>
      </c>
      <c r="K71" s="79">
        <v>11</v>
      </c>
      <c r="L71" s="79">
        <v>12</v>
      </c>
      <c r="M71" s="79">
        <v>13</v>
      </c>
      <c r="N71" s="79">
        <v>14</v>
      </c>
      <c r="O71" s="79">
        <v>15</v>
      </c>
      <c r="P71" s="46">
        <v>16</v>
      </c>
    </row>
    <row r="72" spans="1:16" ht="77.25" customHeight="1">
      <c r="A72" s="336">
        <v>1</v>
      </c>
      <c r="B72" s="614" t="s">
        <v>2612</v>
      </c>
      <c r="C72" s="553" t="s">
        <v>135</v>
      </c>
      <c r="D72" s="344" t="s">
        <v>171</v>
      </c>
      <c r="E72" s="336">
        <v>76.05</v>
      </c>
      <c r="F72" s="365" t="s">
        <v>6978</v>
      </c>
      <c r="G72" s="336">
        <v>0.1178</v>
      </c>
      <c r="H72" s="123"/>
      <c r="I72" s="339" t="s">
        <v>172</v>
      </c>
      <c r="J72" s="336"/>
      <c r="K72" s="336"/>
      <c r="L72" s="336"/>
      <c r="M72" s="336"/>
      <c r="N72" s="336">
        <v>2</v>
      </c>
      <c r="O72" s="336"/>
      <c r="P72" s="123"/>
    </row>
    <row r="73" spans="1:16" ht="77.25" customHeight="1">
      <c r="A73" s="336">
        <v>2</v>
      </c>
      <c r="B73" s="614"/>
      <c r="C73" s="553"/>
      <c r="D73" s="344" t="s">
        <v>173</v>
      </c>
      <c r="E73" s="336">
        <v>500</v>
      </c>
      <c r="F73" s="365" t="s">
        <v>6978</v>
      </c>
      <c r="G73" s="336">
        <v>0.38600000000000001</v>
      </c>
      <c r="H73" s="123"/>
      <c r="I73" s="339" t="s">
        <v>172</v>
      </c>
      <c r="J73" s="336"/>
      <c r="K73" s="336"/>
      <c r="L73" s="336"/>
      <c r="M73" s="336"/>
      <c r="N73" s="336"/>
      <c r="O73" s="336">
        <v>1</v>
      </c>
      <c r="P73" s="123"/>
    </row>
    <row r="74" spans="1:16" ht="45">
      <c r="A74" s="336">
        <v>3</v>
      </c>
      <c r="B74" s="614"/>
      <c r="C74" s="614" t="s">
        <v>137</v>
      </c>
      <c r="D74" s="344" t="s">
        <v>6980</v>
      </c>
      <c r="E74" s="339">
        <v>6072.5</v>
      </c>
      <c r="F74" s="339">
        <v>1994</v>
      </c>
      <c r="G74" s="339">
        <v>0.03</v>
      </c>
      <c r="H74" s="136">
        <v>5</v>
      </c>
      <c r="I74" s="49" t="s">
        <v>23</v>
      </c>
      <c r="J74" s="49" t="s">
        <v>17</v>
      </c>
      <c r="K74" s="49" t="s">
        <v>17</v>
      </c>
      <c r="L74" s="49" t="s">
        <v>17</v>
      </c>
      <c r="M74" s="49"/>
      <c r="N74" s="49">
        <v>2</v>
      </c>
      <c r="O74" s="49">
        <v>2</v>
      </c>
      <c r="P74" s="49"/>
    </row>
    <row r="75" spans="1:16" ht="33" customHeight="1">
      <c r="A75" s="336">
        <v>4</v>
      </c>
      <c r="B75" s="614"/>
      <c r="C75" s="614"/>
      <c r="D75" s="344" t="s">
        <v>174</v>
      </c>
      <c r="E75" s="339">
        <v>1976</v>
      </c>
      <c r="F75" s="339">
        <v>1994</v>
      </c>
      <c r="G75" s="172">
        <v>0</v>
      </c>
      <c r="H75" s="49">
        <v>3.16</v>
      </c>
      <c r="I75" s="49" t="s">
        <v>23</v>
      </c>
      <c r="J75" s="49" t="s">
        <v>17</v>
      </c>
      <c r="K75" s="49" t="s">
        <v>17</v>
      </c>
      <c r="L75" s="49" t="s">
        <v>17</v>
      </c>
      <c r="M75" s="49"/>
      <c r="N75" s="49">
        <v>3</v>
      </c>
      <c r="O75" s="49">
        <v>3</v>
      </c>
      <c r="P75" s="77" t="s">
        <v>175</v>
      </c>
    </row>
    <row r="76" spans="1:16" ht="62.25" customHeight="1">
      <c r="A76" s="336">
        <v>5</v>
      </c>
      <c r="B76" s="614"/>
      <c r="C76" s="614"/>
      <c r="D76" s="344" t="s">
        <v>176</v>
      </c>
      <c r="E76" s="339">
        <v>2210.61</v>
      </c>
      <c r="F76" s="339">
        <v>2001</v>
      </c>
      <c r="G76" s="172">
        <v>0.96</v>
      </c>
      <c r="H76" s="49">
        <v>3.31</v>
      </c>
      <c r="I76" s="49" t="s">
        <v>23</v>
      </c>
      <c r="J76" s="49" t="s">
        <v>17</v>
      </c>
      <c r="K76" s="49" t="s">
        <v>17</v>
      </c>
      <c r="L76" s="49" t="s">
        <v>17</v>
      </c>
      <c r="M76" s="49"/>
      <c r="N76" s="49">
        <v>4</v>
      </c>
      <c r="O76" s="49">
        <v>4</v>
      </c>
      <c r="P76" s="49"/>
    </row>
    <row r="77" spans="1:16" ht="45">
      <c r="A77" s="336">
        <v>6</v>
      </c>
      <c r="B77" s="614"/>
      <c r="C77" s="625" t="s">
        <v>177</v>
      </c>
      <c r="D77" s="352" t="s">
        <v>158</v>
      </c>
      <c r="E77" s="335">
        <v>20155</v>
      </c>
      <c r="F77" s="335">
        <v>1938</v>
      </c>
      <c r="G77" s="335" t="s">
        <v>17</v>
      </c>
      <c r="H77" s="335">
        <v>8.2100000000000009</v>
      </c>
      <c r="I77" s="49" t="s">
        <v>159</v>
      </c>
      <c r="J77" s="335" t="s">
        <v>17</v>
      </c>
      <c r="K77" s="335" t="s">
        <v>17</v>
      </c>
      <c r="L77" s="335" t="s">
        <v>160</v>
      </c>
      <c r="M77" s="335" t="s">
        <v>17</v>
      </c>
      <c r="N77" s="335"/>
      <c r="O77" s="335"/>
      <c r="P77" s="123"/>
    </row>
    <row r="78" spans="1:16" ht="75">
      <c r="A78" s="336">
        <v>7</v>
      </c>
      <c r="B78" s="614"/>
      <c r="C78" s="625"/>
      <c r="D78" s="344" t="s">
        <v>166</v>
      </c>
      <c r="E78" s="336" t="s">
        <v>178</v>
      </c>
      <c r="F78" s="365" t="s">
        <v>6977</v>
      </c>
      <c r="G78" s="336" t="s">
        <v>142</v>
      </c>
      <c r="H78" s="336"/>
      <c r="I78" s="339" t="s">
        <v>2448</v>
      </c>
      <c r="J78" s="336" t="s">
        <v>17</v>
      </c>
      <c r="K78" s="336" t="s">
        <v>17</v>
      </c>
      <c r="L78" s="336" t="s">
        <v>17</v>
      </c>
      <c r="M78" s="336" t="s">
        <v>17</v>
      </c>
      <c r="N78" s="336" t="s">
        <v>17</v>
      </c>
      <c r="O78" s="336" t="s">
        <v>17</v>
      </c>
      <c r="P78" s="77" t="s">
        <v>6979</v>
      </c>
    </row>
    <row r="79" spans="1:16" ht="60">
      <c r="A79" s="336">
        <v>8</v>
      </c>
      <c r="B79" s="614"/>
      <c r="C79" s="625"/>
      <c r="D79" s="344" t="s">
        <v>6981</v>
      </c>
      <c r="E79" s="595" t="s">
        <v>180</v>
      </c>
      <c r="F79" s="595"/>
      <c r="G79" s="595"/>
      <c r="H79" s="595"/>
      <c r="I79" s="339" t="s">
        <v>146</v>
      </c>
      <c r="J79" s="336" t="s">
        <v>17</v>
      </c>
      <c r="K79" s="336" t="s">
        <v>17</v>
      </c>
      <c r="L79" s="336" t="s">
        <v>17</v>
      </c>
      <c r="M79" s="336" t="s">
        <v>17</v>
      </c>
      <c r="N79" s="336" t="s">
        <v>17</v>
      </c>
      <c r="O79" s="336" t="s">
        <v>17</v>
      </c>
      <c r="P79" s="336" t="s">
        <v>17</v>
      </c>
    </row>
    <row r="80" spans="1:16" ht="60">
      <c r="A80" s="336">
        <v>9</v>
      </c>
      <c r="B80" s="614"/>
      <c r="C80" s="625"/>
      <c r="D80" s="344" t="s">
        <v>181</v>
      </c>
      <c r="E80" s="339">
        <v>986.92</v>
      </c>
      <c r="F80" s="339" t="s">
        <v>149</v>
      </c>
      <c r="G80" s="339">
        <v>0.32</v>
      </c>
      <c r="H80" s="339" t="s">
        <v>17</v>
      </c>
      <c r="I80" s="339" t="s">
        <v>150</v>
      </c>
      <c r="J80" s="339" t="s">
        <v>17</v>
      </c>
      <c r="K80" s="339" t="s">
        <v>17</v>
      </c>
      <c r="L80" s="339" t="s">
        <v>17</v>
      </c>
      <c r="M80" s="339" t="s">
        <v>17</v>
      </c>
      <c r="N80" s="339">
        <v>1</v>
      </c>
      <c r="O80" s="339">
        <v>0</v>
      </c>
      <c r="P80" s="335" t="s">
        <v>182</v>
      </c>
    </row>
    <row r="81" spans="1:16" ht="60">
      <c r="A81" s="336">
        <v>10</v>
      </c>
      <c r="B81" s="614"/>
      <c r="C81" s="625"/>
      <c r="D81" s="344" t="s">
        <v>183</v>
      </c>
      <c r="E81" s="336">
        <v>1924</v>
      </c>
      <c r="F81" s="59">
        <v>36770</v>
      </c>
      <c r="G81" s="336">
        <v>0.65</v>
      </c>
      <c r="H81" s="336" t="s">
        <v>17</v>
      </c>
      <c r="I81" s="336" t="s">
        <v>150</v>
      </c>
      <c r="J81" s="336" t="s">
        <v>17</v>
      </c>
      <c r="K81" s="336" t="s">
        <v>17</v>
      </c>
      <c r="L81" s="336" t="s">
        <v>17</v>
      </c>
      <c r="M81" s="336" t="s">
        <v>17</v>
      </c>
      <c r="N81" s="336">
        <v>0</v>
      </c>
      <c r="O81" s="336">
        <v>0</v>
      </c>
      <c r="P81" s="336" t="s">
        <v>182</v>
      </c>
    </row>
    <row r="82" spans="1:16">
      <c r="A82" s="600"/>
      <c r="B82" s="600"/>
      <c r="C82" s="600"/>
      <c r="D82" s="600"/>
      <c r="E82" s="600"/>
      <c r="F82" s="600"/>
      <c r="G82" s="600"/>
      <c r="H82" s="600"/>
      <c r="I82" s="600"/>
      <c r="J82" s="600"/>
      <c r="K82" s="600"/>
      <c r="L82" s="600"/>
      <c r="M82" s="600"/>
      <c r="N82" s="600"/>
      <c r="O82" s="600"/>
      <c r="P82" s="600"/>
    </row>
    <row r="83" spans="1:16" ht="22.5">
      <c r="A83" s="700" t="s">
        <v>268</v>
      </c>
      <c r="B83" s="700"/>
      <c r="C83" s="700"/>
      <c r="D83" s="700"/>
      <c r="E83" s="700"/>
      <c r="F83" s="700"/>
      <c r="G83" s="700"/>
      <c r="H83" s="700"/>
      <c r="I83" s="700"/>
      <c r="J83" s="700"/>
      <c r="K83" s="700"/>
      <c r="L83" s="700"/>
      <c r="M83" s="700"/>
      <c r="N83" s="700"/>
      <c r="O83" s="700"/>
      <c r="P83" s="700"/>
    </row>
    <row r="84" spans="1:16" ht="20.25">
      <c r="A84" s="559" t="s">
        <v>61</v>
      </c>
      <c r="B84" s="559"/>
      <c r="C84" s="559"/>
      <c r="D84" s="559"/>
      <c r="E84" s="559"/>
      <c r="F84" s="559"/>
      <c r="G84" s="559"/>
      <c r="H84" s="559"/>
      <c r="I84" s="559"/>
      <c r="J84" s="559"/>
      <c r="K84" s="559"/>
      <c r="L84" s="559"/>
      <c r="M84" s="559"/>
      <c r="N84" s="559"/>
      <c r="O84" s="559"/>
      <c r="P84" s="559"/>
    </row>
    <row r="85" spans="1:16" ht="100.5" customHeight="1">
      <c r="A85" s="46" t="s">
        <v>0</v>
      </c>
      <c r="B85" s="46" t="s">
        <v>2592</v>
      </c>
      <c r="C85" s="46" t="s">
        <v>1</v>
      </c>
      <c r="D85" s="46" t="s">
        <v>2593</v>
      </c>
      <c r="E85" s="46" t="s">
        <v>3</v>
      </c>
      <c r="F85" s="46" t="s">
        <v>4</v>
      </c>
      <c r="G85" s="46" t="s">
        <v>2594</v>
      </c>
      <c r="H85" s="46" t="s">
        <v>2595</v>
      </c>
      <c r="I85" s="46" t="s">
        <v>2392</v>
      </c>
      <c r="J85" s="46" t="s">
        <v>5</v>
      </c>
      <c r="K85" s="46" t="s">
        <v>6</v>
      </c>
      <c r="L85" s="46" t="s">
        <v>7</v>
      </c>
      <c r="M85" s="67" t="s">
        <v>8</v>
      </c>
      <c r="N85" s="67" t="s">
        <v>9</v>
      </c>
      <c r="O85" s="46" t="s">
        <v>10</v>
      </c>
      <c r="P85" s="74" t="s">
        <v>11</v>
      </c>
    </row>
    <row r="86" spans="1:16">
      <c r="A86" s="8">
        <v>1</v>
      </c>
      <c r="B86" s="46">
        <v>2</v>
      </c>
      <c r="C86" s="46">
        <v>3</v>
      </c>
      <c r="D86" s="46">
        <v>4</v>
      </c>
      <c r="E86" s="46">
        <v>5</v>
      </c>
      <c r="F86" s="46">
        <v>6</v>
      </c>
      <c r="G86" s="46">
        <v>7</v>
      </c>
      <c r="H86" s="46">
        <v>8</v>
      </c>
      <c r="I86" s="46">
        <v>9</v>
      </c>
      <c r="J86" s="46">
        <v>10</v>
      </c>
      <c r="K86" s="46">
        <v>11</v>
      </c>
      <c r="L86" s="46">
        <v>12</v>
      </c>
      <c r="M86" s="46">
        <v>13</v>
      </c>
      <c r="N86" s="46">
        <v>14</v>
      </c>
      <c r="O86" s="46">
        <v>15</v>
      </c>
      <c r="P86" s="46">
        <v>16</v>
      </c>
    </row>
    <row r="87" spans="1:16" ht="45">
      <c r="A87" s="339">
        <v>1</v>
      </c>
      <c r="B87" s="553" t="s">
        <v>2611</v>
      </c>
      <c r="C87" s="344" t="s">
        <v>184</v>
      </c>
      <c r="D87" s="344" t="s">
        <v>185</v>
      </c>
      <c r="E87" s="339">
        <v>3150</v>
      </c>
      <c r="F87" s="339" t="s">
        <v>186</v>
      </c>
      <c r="G87" s="339">
        <v>10.71</v>
      </c>
      <c r="H87" s="339" t="s">
        <v>35</v>
      </c>
      <c r="I87" s="339" t="s">
        <v>57</v>
      </c>
      <c r="J87" s="339" t="s">
        <v>187</v>
      </c>
      <c r="K87" s="339">
        <v>107100</v>
      </c>
      <c r="L87" s="339" t="s">
        <v>17</v>
      </c>
      <c r="M87" s="339" t="s">
        <v>188</v>
      </c>
      <c r="N87" s="339" t="s">
        <v>35</v>
      </c>
      <c r="O87" s="339">
        <v>17510282</v>
      </c>
      <c r="P87" s="339"/>
    </row>
    <row r="88" spans="1:16" ht="155.25" customHeight="1">
      <c r="A88" s="339">
        <v>2</v>
      </c>
      <c r="B88" s="553"/>
      <c r="C88" s="75" t="s">
        <v>189</v>
      </c>
      <c r="D88" s="352" t="s">
        <v>190</v>
      </c>
      <c r="E88" s="335">
        <v>30305</v>
      </c>
      <c r="F88" s="335" t="s">
        <v>191</v>
      </c>
      <c r="G88" s="335" t="s">
        <v>192</v>
      </c>
      <c r="H88" s="335" t="s">
        <v>193</v>
      </c>
      <c r="I88" s="335" t="s">
        <v>194</v>
      </c>
      <c r="J88" s="335" t="s">
        <v>193</v>
      </c>
      <c r="K88" s="335" t="s">
        <v>193</v>
      </c>
      <c r="L88" s="335" t="s">
        <v>193</v>
      </c>
      <c r="M88" s="335" t="s">
        <v>193</v>
      </c>
      <c r="N88" s="77" t="s">
        <v>195</v>
      </c>
      <c r="O88" s="335" t="s">
        <v>193</v>
      </c>
      <c r="P88" s="77" t="s">
        <v>196</v>
      </c>
    </row>
    <row r="89" spans="1:16" ht="114.75" customHeight="1">
      <c r="A89" s="339">
        <v>3</v>
      </c>
      <c r="B89" s="553"/>
      <c r="C89" s="677" t="s">
        <v>197</v>
      </c>
      <c r="D89" s="240" t="s">
        <v>198</v>
      </c>
      <c r="E89" s="126">
        <v>20234.13</v>
      </c>
      <c r="F89" s="126" t="s">
        <v>199</v>
      </c>
      <c r="G89" s="126">
        <v>0.1</v>
      </c>
      <c r="H89" s="126" t="s">
        <v>82</v>
      </c>
      <c r="I89" s="68" t="s">
        <v>35</v>
      </c>
      <c r="J89" s="68" t="s">
        <v>35</v>
      </c>
      <c r="K89" s="339" t="s">
        <v>200</v>
      </c>
      <c r="L89" s="68" t="s">
        <v>35</v>
      </c>
      <c r="M89" s="68" t="s">
        <v>35</v>
      </c>
      <c r="N89" s="77" t="s">
        <v>201</v>
      </c>
      <c r="O89" s="68" t="s">
        <v>35</v>
      </c>
      <c r="P89" s="123"/>
    </row>
    <row r="90" spans="1:16" ht="83.25" customHeight="1">
      <c r="A90" s="339">
        <v>4</v>
      </c>
      <c r="B90" s="553"/>
      <c r="C90" s="677"/>
      <c r="D90" s="240" t="s">
        <v>202</v>
      </c>
      <c r="E90" s="126">
        <v>1036</v>
      </c>
      <c r="F90" s="367" t="s">
        <v>6982</v>
      </c>
      <c r="G90" s="126" t="s">
        <v>203</v>
      </c>
      <c r="H90" s="126" t="s">
        <v>82</v>
      </c>
      <c r="I90" s="68" t="s">
        <v>35</v>
      </c>
      <c r="J90" s="68" t="s">
        <v>35</v>
      </c>
      <c r="K90" s="68" t="s">
        <v>35</v>
      </c>
      <c r="L90" s="68" t="s">
        <v>35</v>
      </c>
      <c r="M90" s="68" t="s">
        <v>35</v>
      </c>
      <c r="N90" s="77" t="s">
        <v>204</v>
      </c>
      <c r="O90" s="68" t="s">
        <v>35</v>
      </c>
      <c r="P90" s="123"/>
    </row>
    <row r="91" spans="1:16">
      <c r="A91" s="595"/>
      <c r="B91" s="595"/>
      <c r="C91" s="595"/>
      <c r="D91" s="595"/>
      <c r="E91" s="595"/>
      <c r="F91" s="595"/>
      <c r="G91" s="595"/>
      <c r="H91" s="595"/>
      <c r="I91" s="595"/>
      <c r="J91" s="595"/>
      <c r="K91" s="595"/>
      <c r="L91" s="595"/>
      <c r="M91" s="595"/>
      <c r="N91" s="595"/>
      <c r="O91" s="595"/>
      <c r="P91" s="595"/>
    </row>
    <row r="92" spans="1:16" ht="20.25" customHeight="1">
      <c r="A92" s="559" t="s">
        <v>88</v>
      </c>
      <c r="B92" s="559"/>
      <c r="C92" s="559"/>
      <c r="D92" s="559"/>
      <c r="E92" s="559"/>
      <c r="F92" s="559"/>
      <c r="G92" s="559"/>
      <c r="H92" s="559"/>
      <c r="I92" s="559"/>
      <c r="J92" s="559"/>
      <c r="K92" s="559"/>
      <c r="L92" s="559"/>
      <c r="M92" s="559"/>
      <c r="N92" s="559"/>
      <c r="O92" s="559"/>
      <c r="P92" s="588"/>
    </row>
    <row r="93" spans="1:16" ht="102" customHeight="1">
      <c r="A93" s="46" t="s">
        <v>0</v>
      </c>
      <c r="B93" s="46" t="s">
        <v>2582</v>
      </c>
      <c r="C93" s="46" t="s">
        <v>1</v>
      </c>
      <c r="D93" s="46" t="s">
        <v>2596</v>
      </c>
      <c r="E93" s="67" t="s">
        <v>62</v>
      </c>
      <c r="F93" s="67" t="s">
        <v>63</v>
      </c>
      <c r="G93" s="46" t="s">
        <v>2560</v>
      </c>
      <c r="H93" s="46" t="s">
        <v>2561</v>
      </c>
      <c r="I93" s="46" t="s">
        <v>2583</v>
      </c>
      <c r="J93" s="46" t="s">
        <v>5</v>
      </c>
      <c r="K93" s="46" t="s">
        <v>6</v>
      </c>
      <c r="L93" s="46" t="s">
        <v>66</v>
      </c>
      <c r="M93" s="46" t="s">
        <v>67</v>
      </c>
      <c r="N93" s="67" t="s">
        <v>68</v>
      </c>
      <c r="O93" s="74" t="s">
        <v>69</v>
      </c>
      <c r="P93" s="588"/>
    </row>
    <row r="94" spans="1:16">
      <c r="A94" s="345">
        <v>1</v>
      </c>
      <c r="B94" s="79">
        <v>2</v>
      </c>
      <c r="C94" s="79">
        <v>3</v>
      </c>
      <c r="D94" s="79">
        <v>4</v>
      </c>
      <c r="E94" s="79">
        <v>5</v>
      </c>
      <c r="F94" s="79">
        <v>6</v>
      </c>
      <c r="G94" s="79">
        <v>7</v>
      </c>
      <c r="H94" s="79">
        <v>8</v>
      </c>
      <c r="I94" s="79">
        <v>9</v>
      </c>
      <c r="J94" s="79">
        <v>10</v>
      </c>
      <c r="K94" s="79">
        <v>11</v>
      </c>
      <c r="L94" s="79">
        <v>12</v>
      </c>
      <c r="M94" s="79">
        <v>13</v>
      </c>
      <c r="N94" s="79">
        <v>14</v>
      </c>
      <c r="O94" s="79">
        <v>15</v>
      </c>
      <c r="P94" s="588"/>
    </row>
    <row r="95" spans="1:16" ht="31.5" customHeight="1">
      <c r="A95" s="336">
        <v>1</v>
      </c>
      <c r="B95" s="553" t="s">
        <v>2611</v>
      </c>
      <c r="C95" s="344" t="s">
        <v>205</v>
      </c>
      <c r="D95" s="344" t="s">
        <v>206</v>
      </c>
      <c r="E95" s="339">
        <v>2229.65</v>
      </c>
      <c r="F95" s="339" t="s">
        <v>207</v>
      </c>
      <c r="G95" s="339" t="s">
        <v>35</v>
      </c>
      <c r="H95" s="339" t="s">
        <v>208</v>
      </c>
      <c r="I95" s="339" t="s">
        <v>209</v>
      </c>
      <c r="J95" s="339" t="s">
        <v>210</v>
      </c>
      <c r="K95" s="336" t="s">
        <v>211</v>
      </c>
      <c r="L95" s="336" t="s">
        <v>35</v>
      </c>
      <c r="M95" s="336" t="s">
        <v>35</v>
      </c>
      <c r="N95" s="336">
        <v>1</v>
      </c>
      <c r="O95" s="336" t="s">
        <v>35</v>
      </c>
      <c r="P95" s="588"/>
    </row>
    <row r="96" spans="1:16" ht="75" customHeight="1">
      <c r="A96" s="336">
        <v>2</v>
      </c>
      <c r="B96" s="553"/>
      <c r="C96" s="344" t="s">
        <v>212</v>
      </c>
      <c r="D96" s="344" t="s">
        <v>213</v>
      </c>
      <c r="E96" s="339" t="s">
        <v>214</v>
      </c>
      <c r="F96" s="339" t="s">
        <v>214</v>
      </c>
      <c r="G96" s="339" t="s">
        <v>214</v>
      </c>
      <c r="H96" s="339" t="s">
        <v>214</v>
      </c>
      <c r="I96" s="339" t="s">
        <v>214</v>
      </c>
      <c r="J96" s="339" t="s">
        <v>214</v>
      </c>
      <c r="K96" s="339" t="s">
        <v>214</v>
      </c>
      <c r="L96" s="339" t="s">
        <v>214</v>
      </c>
      <c r="M96" s="339" t="s">
        <v>214</v>
      </c>
      <c r="N96" s="339" t="s">
        <v>214</v>
      </c>
      <c r="O96" s="77" t="s">
        <v>2387</v>
      </c>
      <c r="P96" s="588"/>
    </row>
    <row r="97" spans="1:16" ht="46.5" customHeight="1">
      <c r="A97" s="336">
        <v>3</v>
      </c>
      <c r="B97" s="553"/>
      <c r="C97" s="553" t="s">
        <v>184</v>
      </c>
      <c r="D97" s="344" t="s">
        <v>215</v>
      </c>
      <c r="E97" s="336">
        <v>1216</v>
      </c>
      <c r="F97" s="336" t="s">
        <v>216</v>
      </c>
      <c r="G97" s="336">
        <v>0.78</v>
      </c>
      <c r="H97" s="600" t="s">
        <v>17</v>
      </c>
      <c r="I97" s="600" t="s">
        <v>57</v>
      </c>
      <c r="J97" s="595" t="s">
        <v>217</v>
      </c>
      <c r="K97" s="600" t="s">
        <v>17</v>
      </c>
      <c r="L97" s="600" t="s">
        <v>17</v>
      </c>
      <c r="M97" s="600" t="s">
        <v>17</v>
      </c>
      <c r="N97" s="600" t="s">
        <v>17</v>
      </c>
      <c r="O97" s="637" t="s">
        <v>241</v>
      </c>
      <c r="P97" s="588"/>
    </row>
    <row r="98" spans="1:16" ht="30" customHeight="1">
      <c r="A98" s="336">
        <v>4</v>
      </c>
      <c r="B98" s="553"/>
      <c r="C98" s="553"/>
      <c r="D98" s="344" t="s">
        <v>218</v>
      </c>
      <c r="E98" s="336">
        <v>1463</v>
      </c>
      <c r="F98" s="336" t="s">
        <v>219</v>
      </c>
      <c r="G98" s="336">
        <v>1.26</v>
      </c>
      <c r="H98" s="600"/>
      <c r="I98" s="600"/>
      <c r="J98" s="595"/>
      <c r="K98" s="600"/>
      <c r="L98" s="600"/>
      <c r="M98" s="600"/>
      <c r="N98" s="600"/>
      <c r="O98" s="637"/>
      <c r="P98" s="588"/>
    </row>
    <row r="99" spans="1:16" ht="30">
      <c r="A99" s="336">
        <v>5</v>
      </c>
      <c r="B99" s="553"/>
      <c r="C99" s="553"/>
      <c r="D99" s="344" t="s">
        <v>220</v>
      </c>
      <c r="E99" s="336">
        <v>189.47</v>
      </c>
      <c r="F99" s="336" t="s">
        <v>221</v>
      </c>
      <c r="G99" s="336">
        <v>0.13</v>
      </c>
      <c r="H99" s="600"/>
      <c r="I99" s="600"/>
      <c r="J99" s="595"/>
      <c r="K99" s="600"/>
      <c r="L99" s="600"/>
      <c r="M99" s="600"/>
      <c r="N99" s="600"/>
      <c r="O99" s="637"/>
      <c r="P99" s="588"/>
    </row>
    <row r="100" spans="1:16" ht="47.25" customHeight="1">
      <c r="A100" s="336">
        <v>6</v>
      </c>
      <c r="B100" s="553"/>
      <c r="C100" s="553"/>
      <c r="D100" s="344" t="s">
        <v>222</v>
      </c>
      <c r="E100" s="336">
        <v>1736</v>
      </c>
      <c r="F100" s="59" t="s">
        <v>223</v>
      </c>
      <c r="G100" s="336">
        <v>1.78</v>
      </c>
      <c r="H100" s="600"/>
      <c r="I100" s="600"/>
      <c r="J100" s="595"/>
      <c r="K100" s="600"/>
      <c r="L100" s="600"/>
      <c r="M100" s="600"/>
      <c r="N100" s="600"/>
      <c r="O100" s="637"/>
      <c r="P100" s="588"/>
    </row>
    <row r="101" spans="1:16" ht="60">
      <c r="A101" s="336">
        <v>7</v>
      </c>
      <c r="B101" s="553"/>
      <c r="C101" s="75" t="s">
        <v>189</v>
      </c>
      <c r="D101" s="352" t="s">
        <v>190</v>
      </c>
      <c r="E101" s="336" t="s">
        <v>17</v>
      </c>
      <c r="F101" s="336" t="s">
        <v>191</v>
      </c>
      <c r="G101" s="336">
        <v>0.16</v>
      </c>
      <c r="H101" s="336" t="s">
        <v>193</v>
      </c>
      <c r="I101" s="336" t="s">
        <v>224</v>
      </c>
      <c r="J101" s="336" t="s">
        <v>193</v>
      </c>
      <c r="K101" s="336" t="s">
        <v>193</v>
      </c>
      <c r="L101" s="336" t="s">
        <v>193</v>
      </c>
      <c r="M101" s="336" t="s">
        <v>193</v>
      </c>
      <c r="N101" s="336" t="s">
        <v>193</v>
      </c>
      <c r="O101" s="336"/>
      <c r="P101" s="588"/>
    </row>
    <row r="102" spans="1:16" ht="80.25" customHeight="1">
      <c r="A102" s="336">
        <v>8</v>
      </c>
      <c r="B102" s="553"/>
      <c r="C102" s="75" t="s">
        <v>189</v>
      </c>
      <c r="D102" s="352" t="s">
        <v>225</v>
      </c>
      <c r="E102" s="336" t="s">
        <v>17</v>
      </c>
      <c r="F102" s="336" t="s">
        <v>226</v>
      </c>
      <c r="G102" s="336">
        <v>1.51</v>
      </c>
      <c r="H102" s="336" t="s">
        <v>193</v>
      </c>
      <c r="I102" s="336" t="s">
        <v>227</v>
      </c>
      <c r="J102" s="339" t="s">
        <v>1614</v>
      </c>
      <c r="K102" s="339" t="s">
        <v>228</v>
      </c>
      <c r="L102" s="336" t="s">
        <v>193</v>
      </c>
      <c r="M102" s="336" t="s">
        <v>193</v>
      </c>
      <c r="N102" s="336" t="s">
        <v>193</v>
      </c>
      <c r="O102" s="336"/>
      <c r="P102" s="588"/>
    </row>
    <row r="103" spans="1:16" ht="45">
      <c r="A103" s="336">
        <v>9</v>
      </c>
      <c r="B103" s="553"/>
      <c r="C103" s="624" t="s">
        <v>229</v>
      </c>
      <c r="D103" s="344" t="s">
        <v>230</v>
      </c>
      <c r="E103" s="336">
        <v>5909.89</v>
      </c>
      <c r="F103" s="336" t="s">
        <v>17</v>
      </c>
      <c r="G103" s="336" t="s">
        <v>17</v>
      </c>
      <c r="H103" s="336" t="s">
        <v>17</v>
      </c>
      <c r="I103" s="336" t="s">
        <v>17</v>
      </c>
      <c r="J103" s="336" t="s">
        <v>17</v>
      </c>
      <c r="K103" s="336" t="s">
        <v>17</v>
      </c>
      <c r="L103" s="336" t="s">
        <v>17</v>
      </c>
      <c r="M103" s="336" t="s">
        <v>17</v>
      </c>
      <c r="N103" s="336" t="s">
        <v>17</v>
      </c>
      <c r="O103" s="336"/>
      <c r="P103" s="588"/>
    </row>
    <row r="104" spans="1:16" ht="45">
      <c r="A104" s="336">
        <v>10</v>
      </c>
      <c r="B104" s="553"/>
      <c r="C104" s="624"/>
      <c r="D104" s="344" t="s">
        <v>231</v>
      </c>
      <c r="E104" s="336">
        <v>76.180000000000007</v>
      </c>
      <c r="F104" s="336" t="s">
        <v>232</v>
      </c>
      <c r="G104" s="336" t="s">
        <v>17</v>
      </c>
      <c r="H104" s="336" t="s">
        <v>17</v>
      </c>
      <c r="I104" s="336" t="s">
        <v>17</v>
      </c>
      <c r="J104" s="336" t="s">
        <v>17</v>
      </c>
      <c r="K104" s="336" t="s">
        <v>17</v>
      </c>
      <c r="L104" s="336" t="s">
        <v>17</v>
      </c>
      <c r="M104" s="336" t="s">
        <v>17</v>
      </c>
      <c r="N104" s="336" t="s">
        <v>17</v>
      </c>
      <c r="O104" s="336"/>
      <c r="P104" s="588"/>
    </row>
    <row r="105" spans="1:16" ht="45">
      <c r="A105" s="336">
        <v>11</v>
      </c>
      <c r="B105" s="553"/>
      <c r="C105" s="624"/>
      <c r="D105" s="344" t="s">
        <v>233</v>
      </c>
      <c r="E105" s="336">
        <v>76.180000000000007</v>
      </c>
      <c r="F105" s="336" t="s">
        <v>232</v>
      </c>
      <c r="G105" s="336" t="s">
        <v>17</v>
      </c>
      <c r="H105" s="336" t="s">
        <v>17</v>
      </c>
      <c r="I105" s="336" t="s">
        <v>17</v>
      </c>
      <c r="J105" s="336" t="s">
        <v>17</v>
      </c>
      <c r="K105" s="336" t="s">
        <v>17</v>
      </c>
      <c r="L105" s="336" t="s">
        <v>17</v>
      </c>
      <c r="M105" s="336" t="s">
        <v>17</v>
      </c>
      <c r="N105" s="336" t="s">
        <v>17</v>
      </c>
      <c r="O105" s="336"/>
      <c r="P105" s="588"/>
    </row>
    <row r="106" spans="1:16" ht="45">
      <c r="A106" s="336">
        <v>12</v>
      </c>
      <c r="B106" s="553"/>
      <c r="C106" s="624"/>
      <c r="D106" s="344" t="s">
        <v>234</v>
      </c>
      <c r="E106" s="336">
        <v>55.74</v>
      </c>
      <c r="F106" s="336" t="s">
        <v>232</v>
      </c>
      <c r="G106" s="336" t="s">
        <v>17</v>
      </c>
      <c r="H106" s="336" t="s">
        <v>17</v>
      </c>
      <c r="I106" s="336" t="s">
        <v>17</v>
      </c>
      <c r="J106" s="336" t="s">
        <v>17</v>
      </c>
      <c r="K106" s="336" t="s">
        <v>17</v>
      </c>
      <c r="L106" s="336" t="s">
        <v>17</v>
      </c>
      <c r="M106" s="336" t="s">
        <v>17</v>
      </c>
      <c r="N106" s="336" t="s">
        <v>17</v>
      </c>
      <c r="O106" s="336"/>
      <c r="P106" s="588"/>
    </row>
    <row r="107" spans="1:16" ht="45">
      <c r="A107" s="336">
        <v>13</v>
      </c>
      <c r="B107" s="553"/>
      <c r="C107" s="624"/>
      <c r="D107" s="344" t="s">
        <v>235</v>
      </c>
      <c r="E107" s="336">
        <v>55.74</v>
      </c>
      <c r="F107" s="336" t="s">
        <v>232</v>
      </c>
      <c r="G107" s="336" t="s">
        <v>17</v>
      </c>
      <c r="H107" s="336" t="s">
        <v>17</v>
      </c>
      <c r="I107" s="336" t="s">
        <v>17</v>
      </c>
      <c r="J107" s="336" t="s">
        <v>17</v>
      </c>
      <c r="K107" s="336" t="s">
        <v>17</v>
      </c>
      <c r="L107" s="336" t="s">
        <v>17</v>
      </c>
      <c r="M107" s="336" t="s">
        <v>17</v>
      </c>
      <c r="N107" s="336" t="s">
        <v>17</v>
      </c>
      <c r="O107" s="336"/>
      <c r="P107" s="588"/>
    </row>
    <row r="108" spans="1:16" ht="75">
      <c r="A108" s="336">
        <v>14</v>
      </c>
      <c r="B108" s="553"/>
      <c r="C108" s="684" t="s">
        <v>197</v>
      </c>
      <c r="D108" s="114" t="s">
        <v>236</v>
      </c>
      <c r="E108" s="113">
        <v>8728</v>
      </c>
      <c r="F108" s="113">
        <v>1962</v>
      </c>
      <c r="G108" s="113" t="s">
        <v>17</v>
      </c>
      <c r="H108" s="113" t="s">
        <v>82</v>
      </c>
      <c r="I108" s="69" t="s">
        <v>35</v>
      </c>
      <c r="J108" s="69" t="s">
        <v>35</v>
      </c>
      <c r="K108" s="69" t="s">
        <v>35</v>
      </c>
      <c r="L108" s="69" t="s">
        <v>35</v>
      </c>
      <c r="M108" s="69" t="s">
        <v>35</v>
      </c>
      <c r="N108" s="69" t="s">
        <v>35</v>
      </c>
      <c r="O108" s="335"/>
      <c r="P108" s="588"/>
    </row>
    <row r="109" spans="1:16">
      <c r="A109" s="336">
        <v>15</v>
      </c>
      <c r="B109" s="553"/>
      <c r="C109" s="684"/>
      <c r="D109" s="114" t="s">
        <v>237</v>
      </c>
      <c r="E109" s="113">
        <v>1486.4</v>
      </c>
      <c r="F109" s="113" t="s">
        <v>238</v>
      </c>
      <c r="G109" s="113">
        <v>0.32</v>
      </c>
      <c r="H109" s="113" t="s">
        <v>82</v>
      </c>
      <c r="I109" s="69" t="s">
        <v>35</v>
      </c>
      <c r="J109" s="69" t="s">
        <v>35</v>
      </c>
      <c r="K109" s="69" t="s">
        <v>35</v>
      </c>
      <c r="L109" s="69" t="s">
        <v>35</v>
      </c>
      <c r="M109" s="69" t="s">
        <v>35</v>
      </c>
      <c r="N109" s="69" t="s">
        <v>35</v>
      </c>
      <c r="O109" s="335"/>
      <c r="P109" s="588"/>
    </row>
    <row r="110" spans="1:16" ht="45">
      <c r="A110" s="336">
        <v>16</v>
      </c>
      <c r="B110" s="553"/>
      <c r="C110" s="684"/>
      <c r="D110" s="114" t="s">
        <v>239</v>
      </c>
      <c r="E110" s="113">
        <v>464.5</v>
      </c>
      <c r="F110" s="368" t="s">
        <v>240</v>
      </c>
      <c r="G110" s="113">
        <v>2.12</v>
      </c>
      <c r="H110" s="113" t="s">
        <v>82</v>
      </c>
      <c r="I110" s="69" t="s">
        <v>35</v>
      </c>
      <c r="J110" s="69" t="s">
        <v>35</v>
      </c>
      <c r="K110" s="69" t="s">
        <v>35</v>
      </c>
      <c r="L110" s="69" t="s">
        <v>35</v>
      </c>
      <c r="M110" s="69" t="s">
        <v>35</v>
      </c>
      <c r="N110" s="69" t="s">
        <v>35</v>
      </c>
      <c r="O110" s="335"/>
      <c r="P110" s="588"/>
    </row>
    <row r="111" spans="1:16" ht="45">
      <c r="A111" s="336">
        <v>17</v>
      </c>
      <c r="B111" s="553"/>
      <c r="C111" s="684"/>
      <c r="D111" s="114" t="s">
        <v>239</v>
      </c>
      <c r="E111" s="113">
        <v>743.22</v>
      </c>
      <c r="F111" s="368" t="s">
        <v>240</v>
      </c>
      <c r="G111" s="113">
        <v>0.1</v>
      </c>
      <c r="H111" s="113" t="s">
        <v>82</v>
      </c>
      <c r="I111" s="69" t="s">
        <v>35</v>
      </c>
      <c r="J111" s="69" t="s">
        <v>35</v>
      </c>
      <c r="K111" s="69" t="s">
        <v>35</v>
      </c>
      <c r="L111" s="69" t="s">
        <v>35</v>
      </c>
      <c r="M111" s="69" t="s">
        <v>35</v>
      </c>
      <c r="N111" s="69" t="s">
        <v>35</v>
      </c>
      <c r="O111" s="335"/>
      <c r="P111" s="588"/>
    </row>
    <row r="112" spans="1:16">
      <c r="A112" s="600"/>
      <c r="B112" s="600"/>
      <c r="C112" s="600"/>
      <c r="D112" s="600"/>
      <c r="E112" s="600"/>
      <c r="F112" s="600"/>
      <c r="G112" s="600"/>
      <c r="H112" s="600"/>
      <c r="I112" s="600"/>
      <c r="J112" s="600"/>
      <c r="K112" s="600"/>
      <c r="L112" s="600"/>
      <c r="M112" s="600"/>
      <c r="N112" s="600"/>
      <c r="O112" s="600"/>
      <c r="P112" s="600"/>
    </row>
    <row r="113" spans="1:16" ht="20.25" customHeight="1">
      <c r="A113" s="559" t="s">
        <v>111</v>
      </c>
      <c r="B113" s="559"/>
      <c r="C113" s="559"/>
      <c r="D113" s="559"/>
      <c r="E113" s="559"/>
      <c r="F113" s="559"/>
      <c r="G113" s="559"/>
      <c r="H113" s="559"/>
      <c r="I113" s="559"/>
      <c r="J113" s="559"/>
      <c r="K113" s="559"/>
      <c r="L113" s="559"/>
      <c r="M113" s="559"/>
      <c r="N113" s="559"/>
      <c r="O113" s="559"/>
      <c r="P113" s="588"/>
    </row>
    <row r="114" spans="1:16" ht="101.25" customHeight="1">
      <c r="A114" s="46" t="s">
        <v>0</v>
      </c>
      <c r="B114" s="46" t="s">
        <v>2582</v>
      </c>
      <c r="C114" s="46" t="s">
        <v>1</v>
      </c>
      <c r="D114" s="46" t="s">
        <v>2596</v>
      </c>
      <c r="E114" s="46" t="s">
        <v>89</v>
      </c>
      <c r="F114" s="46" t="s">
        <v>63</v>
      </c>
      <c r="G114" s="46" t="s">
        <v>2590</v>
      </c>
      <c r="H114" s="46" t="s">
        <v>2561</v>
      </c>
      <c r="I114" s="46" t="s">
        <v>2391</v>
      </c>
      <c r="J114" s="46" t="s">
        <v>5</v>
      </c>
      <c r="K114" s="46" t="s">
        <v>6</v>
      </c>
      <c r="L114" s="46" t="s">
        <v>91</v>
      </c>
      <c r="M114" s="46" t="s">
        <v>67</v>
      </c>
      <c r="N114" s="67" t="s">
        <v>92</v>
      </c>
      <c r="O114" s="74" t="s">
        <v>11</v>
      </c>
      <c r="P114" s="588"/>
    </row>
    <row r="115" spans="1:16">
      <c r="A115" s="345">
        <v>1</v>
      </c>
      <c r="B115" s="79">
        <v>2</v>
      </c>
      <c r="C115" s="79">
        <v>3</v>
      </c>
      <c r="D115" s="79">
        <v>4</v>
      </c>
      <c r="E115" s="79">
        <v>5</v>
      </c>
      <c r="F115" s="79">
        <v>6</v>
      </c>
      <c r="G115" s="79">
        <v>7</v>
      </c>
      <c r="H115" s="79">
        <v>8</v>
      </c>
      <c r="I115" s="79">
        <v>9</v>
      </c>
      <c r="J115" s="79">
        <v>10</v>
      </c>
      <c r="K115" s="79">
        <v>11</v>
      </c>
      <c r="L115" s="79">
        <v>12</v>
      </c>
      <c r="M115" s="79">
        <v>13</v>
      </c>
      <c r="N115" s="79">
        <v>14</v>
      </c>
      <c r="O115" s="79">
        <v>15</v>
      </c>
      <c r="P115" s="588"/>
    </row>
    <row r="116" spans="1:16">
      <c r="A116" s="369">
        <v>1</v>
      </c>
      <c r="B116" s="553" t="s">
        <v>2611</v>
      </c>
      <c r="C116" s="624" t="s">
        <v>184</v>
      </c>
      <c r="D116" s="344" t="s">
        <v>242</v>
      </c>
      <c r="E116" s="336"/>
      <c r="F116" s="336" t="s">
        <v>216</v>
      </c>
      <c r="G116" s="336">
        <v>1.54</v>
      </c>
      <c r="H116" s="600" t="s">
        <v>17</v>
      </c>
      <c r="I116" s="600" t="s">
        <v>57</v>
      </c>
      <c r="J116" s="595" t="s">
        <v>217</v>
      </c>
      <c r="K116" s="600" t="s">
        <v>17</v>
      </c>
      <c r="L116" s="600" t="s">
        <v>17</v>
      </c>
      <c r="M116" s="600" t="s">
        <v>17</v>
      </c>
      <c r="N116" s="600" t="s">
        <v>17</v>
      </c>
      <c r="O116" s="336"/>
      <c r="P116" s="588"/>
    </row>
    <row r="117" spans="1:16">
      <c r="A117" s="369">
        <v>2</v>
      </c>
      <c r="B117" s="553"/>
      <c r="C117" s="624"/>
      <c r="D117" s="344" t="s">
        <v>243</v>
      </c>
      <c r="E117" s="336"/>
      <c r="F117" s="336" t="s">
        <v>216</v>
      </c>
      <c r="G117" s="336">
        <v>0.27</v>
      </c>
      <c r="H117" s="600"/>
      <c r="I117" s="600"/>
      <c r="J117" s="595"/>
      <c r="K117" s="600"/>
      <c r="L117" s="600"/>
      <c r="M117" s="600"/>
      <c r="N117" s="600"/>
      <c r="O117" s="336"/>
      <c r="P117" s="588"/>
    </row>
    <row r="118" spans="1:16" ht="48.75" customHeight="1">
      <c r="A118" s="369">
        <v>3</v>
      </c>
      <c r="B118" s="553"/>
      <c r="C118" s="624"/>
      <c r="D118" s="344" t="s">
        <v>244</v>
      </c>
      <c r="E118" s="336"/>
      <c r="F118" s="336" t="s">
        <v>245</v>
      </c>
      <c r="G118" s="336">
        <v>1.07</v>
      </c>
      <c r="H118" s="600"/>
      <c r="I118" s="600"/>
      <c r="J118" s="595"/>
      <c r="K118" s="600"/>
      <c r="L118" s="600"/>
      <c r="M118" s="600"/>
      <c r="N118" s="600"/>
      <c r="O118" s="336"/>
      <c r="P118" s="588"/>
    </row>
    <row r="119" spans="1:16" ht="30">
      <c r="A119" s="369">
        <v>4</v>
      </c>
      <c r="B119" s="553"/>
      <c r="C119" s="625" t="s">
        <v>189</v>
      </c>
      <c r="D119" s="344" t="s">
        <v>246</v>
      </c>
      <c r="E119" s="336" t="s">
        <v>17</v>
      </c>
      <c r="F119" s="336" t="s">
        <v>247</v>
      </c>
      <c r="G119" s="336">
        <v>3.27</v>
      </c>
      <c r="H119" s="336" t="s">
        <v>17</v>
      </c>
      <c r="I119" s="336" t="s">
        <v>224</v>
      </c>
      <c r="J119" s="336" t="s">
        <v>193</v>
      </c>
      <c r="K119" s="336" t="s">
        <v>193</v>
      </c>
      <c r="L119" s="336" t="s">
        <v>193</v>
      </c>
      <c r="M119" s="336" t="s">
        <v>193</v>
      </c>
      <c r="N119" s="336" t="s">
        <v>193</v>
      </c>
      <c r="O119" s="336"/>
      <c r="P119" s="588"/>
    </row>
    <row r="120" spans="1:16" ht="30">
      <c r="A120" s="369">
        <v>5</v>
      </c>
      <c r="B120" s="553"/>
      <c r="C120" s="625"/>
      <c r="D120" s="344" t="s">
        <v>248</v>
      </c>
      <c r="E120" s="336" t="s">
        <v>17</v>
      </c>
      <c r="F120" s="336" t="s">
        <v>249</v>
      </c>
      <c r="G120" s="336">
        <v>2.02</v>
      </c>
      <c r="H120" s="336" t="s">
        <v>17</v>
      </c>
      <c r="I120" s="336" t="s">
        <v>224</v>
      </c>
      <c r="J120" s="336" t="s">
        <v>193</v>
      </c>
      <c r="K120" s="336" t="s">
        <v>193</v>
      </c>
      <c r="L120" s="336" t="s">
        <v>193</v>
      </c>
      <c r="M120" s="336" t="s">
        <v>193</v>
      </c>
      <c r="N120" s="336" t="s">
        <v>193</v>
      </c>
      <c r="O120" s="336"/>
      <c r="P120" s="588"/>
    </row>
    <row r="121" spans="1:16" ht="45">
      <c r="A121" s="369">
        <v>6</v>
      </c>
      <c r="B121" s="553"/>
      <c r="C121" s="625"/>
      <c r="D121" s="344" t="s">
        <v>250</v>
      </c>
      <c r="E121" s="336" t="s">
        <v>17</v>
      </c>
      <c r="F121" s="365">
        <v>31416</v>
      </c>
      <c r="G121" s="336">
        <v>0.09</v>
      </c>
      <c r="H121" s="336" t="s">
        <v>17</v>
      </c>
      <c r="I121" s="336" t="s">
        <v>227</v>
      </c>
      <c r="J121" s="253" t="s">
        <v>2449</v>
      </c>
      <c r="K121" s="336" t="s">
        <v>251</v>
      </c>
      <c r="L121" s="336" t="s">
        <v>193</v>
      </c>
      <c r="M121" s="336" t="s">
        <v>193</v>
      </c>
      <c r="N121" s="336" t="s">
        <v>193</v>
      </c>
      <c r="O121" s="336"/>
      <c r="P121" s="588"/>
    </row>
    <row r="122" spans="1:16" ht="108" customHeight="1">
      <c r="A122" s="369">
        <v>7</v>
      </c>
      <c r="B122" s="553"/>
      <c r="C122" s="624" t="s">
        <v>252</v>
      </c>
      <c r="D122" s="344" t="s">
        <v>253</v>
      </c>
      <c r="E122" s="336">
        <v>13601.0051</v>
      </c>
      <c r="F122" s="365">
        <v>28615</v>
      </c>
      <c r="G122" s="336">
        <v>3.2207999999999998E-4</v>
      </c>
      <c r="H122" s="336" t="s">
        <v>17</v>
      </c>
      <c r="I122" s="336" t="s">
        <v>17</v>
      </c>
      <c r="J122" s="336" t="s">
        <v>17</v>
      </c>
      <c r="K122" s="336" t="s">
        <v>17</v>
      </c>
      <c r="L122" s="336" t="s">
        <v>17</v>
      </c>
      <c r="M122" s="336" t="s">
        <v>17</v>
      </c>
      <c r="N122" s="336" t="s">
        <v>17</v>
      </c>
      <c r="O122" s="336"/>
      <c r="P122" s="588"/>
    </row>
    <row r="123" spans="1:16" ht="48" customHeight="1">
      <c r="A123" s="369">
        <v>8</v>
      </c>
      <c r="B123" s="553"/>
      <c r="C123" s="624"/>
      <c r="D123" s="344" t="s">
        <v>254</v>
      </c>
      <c r="E123" s="336">
        <v>1549.29</v>
      </c>
      <c r="F123" s="339" t="s">
        <v>2388</v>
      </c>
      <c r="G123" s="336">
        <v>0.46</v>
      </c>
      <c r="H123" s="336" t="s">
        <v>17</v>
      </c>
      <c r="I123" s="336" t="s">
        <v>17</v>
      </c>
      <c r="J123" s="336" t="s">
        <v>17</v>
      </c>
      <c r="K123" s="336" t="s">
        <v>17</v>
      </c>
      <c r="L123" s="336" t="s">
        <v>17</v>
      </c>
      <c r="M123" s="336" t="s">
        <v>17</v>
      </c>
      <c r="N123" s="336" t="s">
        <v>17</v>
      </c>
      <c r="O123" s="336"/>
      <c r="P123" s="588"/>
    </row>
    <row r="124" spans="1:16" ht="60.75" customHeight="1">
      <c r="A124" s="369">
        <v>9</v>
      </c>
      <c r="B124" s="553"/>
      <c r="C124" s="624" t="s">
        <v>197</v>
      </c>
      <c r="D124" s="344" t="s">
        <v>255</v>
      </c>
      <c r="E124" s="339">
        <v>14736</v>
      </c>
      <c r="F124" s="339">
        <v>35916</v>
      </c>
      <c r="G124" s="339">
        <v>2.44</v>
      </c>
      <c r="H124" s="339" t="s">
        <v>82</v>
      </c>
      <c r="I124" s="339" t="s">
        <v>35</v>
      </c>
      <c r="J124" s="339" t="s">
        <v>35</v>
      </c>
      <c r="K124" s="339" t="s">
        <v>35</v>
      </c>
      <c r="L124" s="339" t="s">
        <v>35</v>
      </c>
      <c r="M124" s="339" t="s">
        <v>35</v>
      </c>
      <c r="N124" s="339" t="s">
        <v>35</v>
      </c>
      <c r="O124" s="339"/>
      <c r="P124" s="588"/>
    </row>
    <row r="125" spans="1:16" ht="60">
      <c r="A125" s="369">
        <v>10</v>
      </c>
      <c r="B125" s="553"/>
      <c r="C125" s="624"/>
      <c r="D125" s="344" t="s">
        <v>256</v>
      </c>
      <c r="E125" s="339">
        <v>1482</v>
      </c>
      <c r="F125" s="339">
        <v>1992</v>
      </c>
      <c r="G125" s="339">
        <v>0.49</v>
      </c>
      <c r="H125" s="339" t="s">
        <v>82</v>
      </c>
      <c r="I125" s="339" t="s">
        <v>35</v>
      </c>
      <c r="J125" s="339" t="s">
        <v>35</v>
      </c>
      <c r="K125" s="339" t="s">
        <v>35</v>
      </c>
      <c r="L125" s="339" t="s">
        <v>35</v>
      </c>
      <c r="M125" s="339" t="s">
        <v>35</v>
      </c>
      <c r="N125" s="339" t="s">
        <v>35</v>
      </c>
      <c r="O125" s="339"/>
      <c r="P125" s="588"/>
    </row>
    <row r="126" spans="1:16">
      <c r="A126" s="621"/>
      <c r="B126" s="621"/>
      <c r="C126" s="621"/>
      <c r="D126" s="621"/>
      <c r="E126" s="621"/>
      <c r="F126" s="621"/>
      <c r="G126" s="621"/>
      <c r="H126" s="621"/>
      <c r="I126" s="621"/>
      <c r="J126" s="621"/>
      <c r="K126" s="621"/>
      <c r="L126" s="621"/>
      <c r="M126" s="621"/>
      <c r="N126" s="621"/>
      <c r="O126" s="621"/>
      <c r="P126" s="621"/>
    </row>
    <row r="127" spans="1:16" ht="20.25">
      <c r="A127" s="559" t="s">
        <v>112</v>
      </c>
      <c r="B127" s="559"/>
      <c r="C127" s="559"/>
      <c r="D127" s="559"/>
      <c r="E127" s="559"/>
      <c r="F127" s="559"/>
      <c r="G127" s="559"/>
      <c r="H127" s="559"/>
      <c r="I127" s="559"/>
      <c r="J127" s="559"/>
      <c r="K127" s="559"/>
      <c r="L127" s="559"/>
      <c r="M127" s="559"/>
      <c r="N127" s="559"/>
      <c r="O127" s="559"/>
      <c r="P127" s="559"/>
    </row>
    <row r="128" spans="1:16" ht="100.5" customHeight="1">
      <c r="A128" s="46" t="s">
        <v>0</v>
      </c>
      <c r="B128" s="46" t="s">
        <v>2582</v>
      </c>
      <c r="C128" s="46" t="s">
        <v>1</v>
      </c>
      <c r="D128" s="46" t="s">
        <v>2596</v>
      </c>
      <c r="E128" s="46" t="s">
        <v>89</v>
      </c>
      <c r="F128" s="46" t="s">
        <v>63</v>
      </c>
      <c r="G128" s="46" t="s">
        <v>2390</v>
      </c>
      <c r="H128" s="46" t="s">
        <v>2561</v>
      </c>
      <c r="I128" s="46" t="s">
        <v>2391</v>
      </c>
      <c r="J128" s="46" t="s">
        <v>5</v>
      </c>
      <c r="K128" s="46" t="s">
        <v>6</v>
      </c>
      <c r="L128" s="46" t="s">
        <v>91</v>
      </c>
      <c r="M128" s="46" t="s">
        <v>67</v>
      </c>
      <c r="N128" s="67" t="s">
        <v>110</v>
      </c>
      <c r="O128" s="67" t="s">
        <v>92</v>
      </c>
      <c r="P128" s="74" t="s">
        <v>69</v>
      </c>
    </row>
    <row r="129" spans="1:16">
      <c r="A129" s="345">
        <v>1</v>
      </c>
      <c r="B129" s="79">
        <v>2</v>
      </c>
      <c r="C129" s="79">
        <v>3</v>
      </c>
      <c r="D129" s="79">
        <v>4</v>
      </c>
      <c r="E129" s="79">
        <v>5</v>
      </c>
      <c r="F129" s="79">
        <v>6</v>
      </c>
      <c r="G129" s="79">
        <v>7</v>
      </c>
      <c r="H129" s="79">
        <v>8</v>
      </c>
      <c r="I129" s="79">
        <v>9</v>
      </c>
      <c r="J129" s="79">
        <v>10</v>
      </c>
      <c r="K129" s="79">
        <v>11</v>
      </c>
      <c r="L129" s="79">
        <v>12</v>
      </c>
      <c r="M129" s="79">
        <v>13</v>
      </c>
      <c r="N129" s="79">
        <v>14</v>
      </c>
      <c r="O129" s="79">
        <v>15</v>
      </c>
      <c r="P129" s="46">
        <v>16</v>
      </c>
    </row>
    <row r="130" spans="1:16" ht="30">
      <c r="A130" s="339">
        <v>1</v>
      </c>
      <c r="B130" s="553" t="s">
        <v>2611</v>
      </c>
      <c r="C130" s="344" t="s">
        <v>257</v>
      </c>
      <c r="D130" s="344" t="s">
        <v>258</v>
      </c>
      <c r="E130" s="339">
        <v>2154.7800000000002</v>
      </c>
      <c r="F130" s="339" t="s">
        <v>259</v>
      </c>
      <c r="G130" s="339" t="s">
        <v>260</v>
      </c>
      <c r="H130" s="339" t="s">
        <v>2389</v>
      </c>
      <c r="I130" s="339" t="s">
        <v>261</v>
      </c>
      <c r="J130" s="339" t="s">
        <v>35</v>
      </c>
      <c r="K130" s="339" t="s">
        <v>35</v>
      </c>
      <c r="L130" s="339" t="s">
        <v>35</v>
      </c>
      <c r="M130" s="339" t="s">
        <v>35</v>
      </c>
      <c r="N130" s="339" t="s">
        <v>262</v>
      </c>
      <c r="O130" s="339" t="s">
        <v>35</v>
      </c>
      <c r="P130" s="53"/>
    </row>
    <row r="131" spans="1:16" ht="16.5" customHeight="1">
      <c r="A131" s="339">
        <v>2</v>
      </c>
      <c r="B131" s="553"/>
      <c r="C131" s="624" t="s">
        <v>252</v>
      </c>
      <c r="D131" s="50" t="s">
        <v>263</v>
      </c>
      <c r="E131" s="336" t="s">
        <v>17</v>
      </c>
      <c r="F131" s="336" t="s">
        <v>17</v>
      </c>
      <c r="G131" s="336" t="s">
        <v>17</v>
      </c>
      <c r="H131" s="336" t="s">
        <v>17</v>
      </c>
      <c r="I131" s="336" t="s">
        <v>17</v>
      </c>
      <c r="J131" s="336" t="s">
        <v>17</v>
      </c>
      <c r="K131" s="336" t="s">
        <v>17</v>
      </c>
      <c r="L131" s="336" t="s">
        <v>17</v>
      </c>
      <c r="M131" s="336" t="s">
        <v>17</v>
      </c>
      <c r="N131" s="336" t="s">
        <v>17</v>
      </c>
      <c r="O131" s="336" t="s">
        <v>17</v>
      </c>
      <c r="P131" s="123"/>
    </row>
    <row r="132" spans="1:16" ht="32.25" customHeight="1">
      <c r="A132" s="339">
        <v>3</v>
      </c>
      <c r="B132" s="553"/>
      <c r="C132" s="624"/>
      <c r="D132" s="344" t="s">
        <v>264</v>
      </c>
      <c r="E132" s="336">
        <v>3242</v>
      </c>
      <c r="F132" s="336" t="s">
        <v>17</v>
      </c>
      <c r="G132" s="336" t="s">
        <v>17</v>
      </c>
      <c r="H132" s="336" t="s">
        <v>17</v>
      </c>
      <c r="I132" s="336" t="s">
        <v>150</v>
      </c>
      <c r="J132" s="336" t="s">
        <v>17</v>
      </c>
      <c r="K132" s="336" t="s">
        <v>17</v>
      </c>
      <c r="L132" s="336" t="s">
        <v>17</v>
      </c>
      <c r="M132" s="336" t="s">
        <v>17</v>
      </c>
      <c r="N132" s="336" t="s">
        <v>17</v>
      </c>
      <c r="O132" s="336" t="s">
        <v>17</v>
      </c>
      <c r="P132" s="123"/>
    </row>
    <row r="133" spans="1:16" ht="77.25" customHeight="1">
      <c r="A133" s="339">
        <v>4</v>
      </c>
      <c r="B133" s="553"/>
      <c r="C133" s="240" t="s">
        <v>197</v>
      </c>
      <c r="D133" s="240" t="s">
        <v>265</v>
      </c>
      <c r="E133" s="126">
        <v>36421.43</v>
      </c>
      <c r="F133" s="126" t="s">
        <v>266</v>
      </c>
      <c r="G133" s="126">
        <v>4</v>
      </c>
      <c r="H133" s="126" t="s">
        <v>267</v>
      </c>
      <c r="I133" s="68" t="s">
        <v>35</v>
      </c>
      <c r="J133" s="68" t="s">
        <v>35</v>
      </c>
      <c r="K133" s="68" t="s">
        <v>35</v>
      </c>
      <c r="L133" s="68" t="s">
        <v>35</v>
      </c>
      <c r="M133" s="68" t="s">
        <v>35</v>
      </c>
      <c r="N133" s="68" t="s">
        <v>35</v>
      </c>
      <c r="O133" s="68" t="s">
        <v>35</v>
      </c>
      <c r="P133" s="123"/>
    </row>
    <row r="134" spans="1:16">
      <c r="A134" s="595"/>
      <c r="B134" s="595"/>
      <c r="C134" s="595"/>
      <c r="D134" s="595"/>
      <c r="E134" s="595"/>
      <c r="F134" s="595"/>
      <c r="G134" s="595"/>
      <c r="H134" s="595"/>
      <c r="I134" s="595"/>
      <c r="J134" s="595"/>
      <c r="K134" s="595"/>
      <c r="L134" s="595"/>
      <c r="M134" s="595"/>
      <c r="N134" s="595"/>
      <c r="O134" s="595"/>
      <c r="P134" s="595"/>
    </row>
    <row r="135" spans="1:16" ht="22.5">
      <c r="A135" s="700" t="s">
        <v>269</v>
      </c>
      <c r="B135" s="700"/>
      <c r="C135" s="700"/>
      <c r="D135" s="700"/>
      <c r="E135" s="700"/>
      <c r="F135" s="700"/>
      <c r="G135" s="700"/>
      <c r="H135" s="700"/>
      <c r="I135" s="700"/>
      <c r="J135" s="700"/>
      <c r="K135" s="700"/>
      <c r="L135" s="700"/>
      <c r="M135" s="700"/>
      <c r="N135" s="700"/>
      <c r="O135" s="700"/>
      <c r="P135" s="700"/>
    </row>
    <row r="136" spans="1:16" ht="20.25">
      <c r="A136" s="559" t="s">
        <v>61</v>
      </c>
      <c r="B136" s="559"/>
      <c r="C136" s="559"/>
      <c r="D136" s="559"/>
      <c r="E136" s="559"/>
      <c r="F136" s="559"/>
      <c r="G136" s="559"/>
      <c r="H136" s="559"/>
      <c r="I136" s="559"/>
      <c r="J136" s="559"/>
      <c r="K136" s="559"/>
      <c r="L136" s="559"/>
      <c r="M136" s="559"/>
      <c r="N136" s="559"/>
      <c r="O136" s="559"/>
      <c r="P136" s="559"/>
    </row>
    <row r="137" spans="1:16" ht="99" customHeight="1">
      <c r="A137" s="46" t="s">
        <v>0</v>
      </c>
      <c r="B137" s="46" t="s">
        <v>2592</v>
      </c>
      <c r="C137" s="46" t="s">
        <v>1</v>
      </c>
      <c r="D137" s="46" t="s">
        <v>2593</v>
      </c>
      <c r="E137" s="46" t="s">
        <v>3</v>
      </c>
      <c r="F137" s="46" t="s">
        <v>4</v>
      </c>
      <c r="G137" s="46" t="s">
        <v>2594</v>
      </c>
      <c r="H137" s="46" t="s">
        <v>2595</v>
      </c>
      <c r="I137" s="46" t="s">
        <v>2392</v>
      </c>
      <c r="J137" s="46" t="s">
        <v>5</v>
      </c>
      <c r="K137" s="46" t="s">
        <v>6</v>
      </c>
      <c r="L137" s="46" t="s">
        <v>7</v>
      </c>
      <c r="M137" s="67" t="s">
        <v>8</v>
      </c>
      <c r="N137" s="67" t="s">
        <v>9</v>
      </c>
      <c r="O137" s="46" t="s">
        <v>10</v>
      </c>
      <c r="P137" s="74" t="s">
        <v>11</v>
      </c>
    </row>
    <row r="138" spans="1:16">
      <c r="A138" s="8">
        <v>1</v>
      </c>
      <c r="B138" s="46">
        <v>2</v>
      </c>
      <c r="C138" s="46">
        <v>3</v>
      </c>
      <c r="D138" s="46">
        <v>4</v>
      </c>
      <c r="E138" s="46">
        <v>5</v>
      </c>
      <c r="F138" s="46">
        <v>6</v>
      </c>
      <c r="G138" s="46">
        <v>7</v>
      </c>
      <c r="H138" s="46">
        <v>8</v>
      </c>
      <c r="I138" s="46">
        <v>9</v>
      </c>
      <c r="J138" s="46">
        <v>10</v>
      </c>
      <c r="K138" s="46">
        <v>11</v>
      </c>
      <c r="L138" s="46">
        <v>12</v>
      </c>
      <c r="M138" s="46">
        <v>13</v>
      </c>
      <c r="N138" s="46">
        <v>14</v>
      </c>
      <c r="O138" s="46">
        <v>15</v>
      </c>
      <c r="P138" s="46">
        <v>16</v>
      </c>
    </row>
    <row r="139" spans="1:16" ht="150">
      <c r="A139" s="595">
        <v>1</v>
      </c>
      <c r="B139" s="628" t="s">
        <v>2610</v>
      </c>
      <c r="C139" s="337" t="s">
        <v>270</v>
      </c>
      <c r="D139" s="337" t="s">
        <v>271</v>
      </c>
      <c r="E139" s="60">
        <v>5058.57</v>
      </c>
      <c r="F139" s="61" t="s">
        <v>272</v>
      </c>
      <c r="G139" s="63">
        <v>0.20150000000000001</v>
      </c>
      <c r="H139" s="123" t="s">
        <v>273</v>
      </c>
      <c r="I139" s="339" t="s">
        <v>7476</v>
      </c>
      <c r="J139" s="339" t="s">
        <v>274</v>
      </c>
      <c r="K139" s="339" t="s">
        <v>275</v>
      </c>
      <c r="L139" s="46" t="s">
        <v>7474</v>
      </c>
      <c r="M139" s="343" t="s">
        <v>276</v>
      </c>
      <c r="N139" s="343" t="s">
        <v>277</v>
      </c>
      <c r="O139" s="339" t="s">
        <v>274</v>
      </c>
      <c r="P139" s="343" t="s">
        <v>278</v>
      </c>
    </row>
    <row r="140" spans="1:16" ht="30" customHeight="1">
      <c r="A140" s="595"/>
      <c r="B140" s="628"/>
      <c r="C140" s="627" t="s">
        <v>7475</v>
      </c>
      <c r="D140" s="627"/>
      <c r="E140" s="627"/>
      <c r="F140" s="627"/>
      <c r="G140" s="627"/>
      <c r="H140" s="627"/>
      <c r="I140" s="627"/>
      <c r="J140" s="627"/>
      <c r="K140" s="627"/>
      <c r="L140" s="627"/>
      <c r="M140" s="627"/>
      <c r="N140" s="627"/>
      <c r="O140" s="627"/>
      <c r="P140" s="627"/>
    </row>
    <row r="141" spans="1:16" ht="168" customHeight="1">
      <c r="A141" s="339">
        <v>2</v>
      </c>
      <c r="B141" s="628"/>
      <c r="C141" s="337"/>
      <c r="D141" s="338" t="s">
        <v>279</v>
      </c>
      <c r="E141" s="62">
        <v>20241.64</v>
      </c>
      <c r="F141" s="365" t="s">
        <v>280</v>
      </c>
      <c r="G141" s="62">
        <v>0.75</v>
      </c>
      <c r="H141" s="123" t="s">
        <v>273</v>
      </c>
      <c r="I141" s="339" t="s">
        <v>7477</v>
      </c>
      <c r="J141" s="339" t="s">
        <v>274</v>
      </c>
      <c r="K141" s="339" t="s">
        <v>281</v>
      </c>
      <c r="L141" s="339" t="s">
        <v>282</v>
      </c>
      <c r="M141" s="339" t="s">
        <v>283</v>
      </c>
      <c r="N141" s="343" t="s">
        <v>284</v>
      </c>
      <c r="O141" s="339" t="s">
        <v>274</v>
      </c>
      <c r="P141" s="343" t="s">
        <v>285</v>
      </c>
    </row>
    <row r="142" spans="1:16" ht="90">
      <c r="A142" s="339">
        <v>3</v>
      </c>
      <c r="B142" s="628"/>
      <c r="C142" s="337"/>
      <c r="D142" s="338" t="s">
        <v>286</v>
      </c>
      <c r="E142" s="62">
        <v>10279.02</v>
      </c>
      <c r="F142" s="370" t="s">
        <v>287</v>
      </c>
      <c r="G142" s="62">
        <v>5.8500000000000003E-2</v>
      </c>
      <c r="H142" s="123" t="s">
        <v>273</v>
      </c>
      <c r="I142" s="339" t="s">
        <v>288</v>
      </c>
      <c r="J142" s="339" t="s">
        <v>274</v>
      </c>
      <c r="K142" s="336" t="s">
        <v>289</v>
      </c>
      <c r="L142" s="336" t="s">
        <v>17</v>
      </c>
      <c r="M142" s="336" t="s">
        <v>26</v>
      </c>
      <c r="N142" s="343" t="s">
        <v>290</v>
      </c>
      <c r="O142" s="339" t="s">
        <v>274</v>
      </c>
      <c r="P142" s="53" t="s">
        <v>291</v>
      </c>
    </row>
    <row r="143" spans="1:16" ht="211.5" customHeight="1">
      <c r="A143" s="339">
        <v>4</v>
      </c>
      <c r="B143" s="628"/>
      <c r="C143" s="344" t="s">
        <v>292</v>
      </c>
      <c r="D143" s="344" t="s">
        <v>293</v>
      </c>
      <c r="E143" s="339" t="s">
        <v>294</v>
      </c>
      <c r="F143" s="336">
        <v>1990</v>
      </c>
      <c r="G143" s="53" t="s">
        <v>295</v>
      </c>
      <c r="H143" s="123" t="s">
        <v>296</v>
      </c>
      <c r="I143" s="53" t="s">
        <v>297</v>
      </c>
      <c r="J143" s="336" t="s">
        <v>193</v>
      </c>
      <c r="K143" s="336" t="s">
        <v>296</v>
      </c>
      <c r="L143" s="336" t="s">
        <v>193</v>
      </c>
      <c r="M143" s="336" t="s">
        <v>296</v>
      </c>
      <c r="N143" s="336" t="s">
        <v>298</v>
      </c>
      <c r="O143" s="336" t="s">
        <v>296</v>
      </c>
      <c r="P143" s="123" t="s">
        <v>296</v>
      </c>
    </row>
    <row r="144" spans="1:16">
      <c r="A144" s="595"/>
      <c r="B144" s="595"/>
      <c r="C144" s="595"/>
      <c r="D144" s="595"/>
      <c r="E144" s="595"/>
      <c r="F144" s="595"/>
      <c r="G144" s="595"/>
      <c r="H144" s="595"/>
      <c r="I144" s="595"/>
      <c r="J144" s="595"/>
      <c r="K144" s="595"/>
      <c r="L144" s="595"/>
      <c r="M144" s="595"/>
      <c r="N144" s="595"/>
      <c r="O144" s="595"/>
      <c r="P144" s="595"/>
    </row>
    <row r="145" spans="1:17" ht="20.25" customHeight="1">
      <c r="A145" s="559" t="s">
        <v>88</v>
      </c>
      <c r="B145" s="559"/>
      <c r="C145" s="559"/>
      <c r="D145" s="559"/>
      <c r="E145" s="559"/>
      <c r="F145" s="559"/>
      <c r="G145" s="559"/>
      <c r="H145" s="559"/>
      <c r="I145" s="559"/>
      <c r="J145" s="559"/>
      <c r="K145" s="559"/>
      <c r="L145" s="559"/>
      <c r="M145" s="559"/>
      <c r="N145" s="559"/>
      <c r="O145" s="559"/>
      <c r="P145" s="588"/>
    </row>
    <row r="146" spans="1:17" ht="85.5">
      <c r="A146" s="46" t="s">
        <v>0</v>
      </c>
      <c r="B146" s="46" t="s">
        <v>2582</v>
      </c>
      <c r="C146" s="46" t="s">
        <v>1</v>
      </c>
      <c r="D146" s="46" t="s">
        <v>2596</v>
      </c>
      <c r="E146" s="67" t="s">
        <v>62</v>
      </c>
      <c r="F146" s="67" t="s">
        <v>63</v>
      </c>
      <c r="G146" s="46" t="s">
        <v>2560</v>
      </c>
      <c r="H146" s="46" t="s">
        <v>2561</v>
      </c>
      <c r="I146" s="46" t="s">
        <v>2583</v>
      </c>
      <c r="J146" s="46" t="s">
        <v>5</v>
      </c>
      <c r="K146" s="46" t="s">
        <v>6</v>
      </c>
      <c r="L146" s="46" t="s">
        <v>66</v>
      </c>
      <c r="M146" s="46" t="s">
        <v>67</v>
      </c>
      <c r="N146" s="67" t="s">
        <v>68</v>
      </c>
      <c r="O146" s="74" t="s">
        <v>69</v>
      </c>
      <c r="P146" s="588"/>
    </row>
    <row r="147" spans="1:17">
      <c r="A147" s="345">
        <v>1</v>
      </c>
      <c r="B147" s="79">
        <v>2</v>
      </c>
      <c r="C147" s="79">
        <v>3</v>
      </c>
      <c r="D147" s="79">
        <v>4</v>
      </c>
      <c r="E147" s="79">
        <v>5</v>
      </c>
      <c r="F147" s="79">
        <v>6</v>
      </c>
      <c r="G147" s="79">
        <v>7</v>
      </c>
      <c r="H147" s="79">
        <v>8</v>
      </c>
      <c r="I147" s="79">
        <v>9</v>
      </c>
      <c r="J147" s="79">
        <v>10</v>
      </c>
      <c r="K147" s="79">
        <v>11</v>
      </c>
      <c r="L147" s="79">
        <v>12</v>
      </c>
      <c r="M147" s="79">
        <v>13</v>
      </c>
      <c r="N147" s="79">
        <v>14</v>
      </c>
      <c r="O147" s="79">
        <v>15</v>
      </c>
      <c r="P147" s="588"/>
    </row>
    <row r="148" spans="1:17" s="372" customFormat="1" ht="48.75" customHeight="1">
      <c r="A148" s="335">
        <v>1</v>
      </c>
      <c r="B148" s="683" t="s">
        <v>2609</v>
      </c>
      <c r="C148" s="683" t="s">
        <v>270</v>
      </c>
      <c r="D148" s="338" t="s">
        <v>299</v>
      </c>
      <c r="E148" s="62">
        <v>58700.24</v>
      </c>
      <c r="F148" s="365" t="s">
        <v>300</v>
      </c>
      <c r="G148" s="62">
        <v>0.02</v>
      </c>
      <c r="H148" s="123" t="s">
        <v>273</v>
      </c>
      <c r="I148" s="335" t="s">
        <v>227</v>
      </c>
      <c r="J148" s="335" t="s">
        <v>301</v>
      </c>
      <c r="K148" s="339" t="s">
        <v>274</v>
      </c>
      <c r="L148" s="335" t="s">
        <v>87</v>
      </c>
      <c r="M148" s="339" t="s">
        <v>274</v>
      </c>
      <c r="N148" s="335">
        <v>1</v>
      </c>
      <c r="O148" s="335"/>
      <c r="P148" s="588"/>
      <c r="Q148" s="371"/>
    </row>
    <row r="149" spans="1:17" s="372" customFormat="1" ht="45">
      <c r="A149" s="335">
        <v>2</v>
      </c>
      <c r="B149" s="683"/>
      <c r="C149" s="683"/>
      <c r="D149" s="337" t="s">
        <v>303</v>
      </c>
      <c r="E149" s="63">
        <v>12787.95</v>
      </c>
      <c r="F149" s="61" t="s">
        <v>304</v>
      </c>
      <c r="G149" s="63">
        <v>0.55000000000000004</v>
      </c>
      <c r="H149" s="123" t="s">
        <v>273</v>
      </c>
      <c r="I149" s="335" t="s">
        <v>227</v>
      </c>
      <c r="J149" s="335" t="s">
        <v>301</v>
      </c>
      <c r="K149" s="339" t="s">
        <v>274</v>
      </c>
      <c r="L149" s="335" t="s">
        <v>87</v>
      </c>
      <c r="M149" s="339" t="s">
        <v>274</v>
      </c>
      <c r="N149" s="335">
        <v>3</v>
      </c>
      <c r="O149" s="335"/>
      <c r="P149" s="588"/>
      <c r="Q149" s="371"/>
    </row>
    <row r="150" spans="1:17" s="372" customFormat="1" ht="30">
      <c r="A150" s="335">
        <v>3</v>
      </c>
      <c r="B150" s="683"/>
      <c r="C150" s="683"/>
      <c r="D150" s="344" t="s">
        <v>305</v>
      </c>
      <c r="E150" s="62">
        <v>1112.8900000000001</v>
      </c>
      <c r="F150" s="62">
        <v>1989</v>
      </c>
      <c r="G150" s="23" t="s">
        <v>352</v>
      </c>
      <c r="H150" s="123" t="s">
        <v>273</v>
      </c>
      <c r="I150" s="335" t="s">
        <v>227</v>
      </c>
      <c r="J150" s="335" t="s">
        <v>301</v>
      </c>
      <c r="K150" s="339" t="s">
        <v>274</v>
      </c>
      <c r="L150" s="335" t="s">
        <v>87</v>
      </c>
      <c r="M150" s="339" t="s">
        <v>274</v>
      </c>
      <c r="N150" s="335" t="s">
        <v>17</v>
      </c>
      <c r="O150" s="335"/>
      <c r="P150" s="588"/>
      <c r="Q150" s="371"/>
    </row>
    <row r="151" spans="1:17" s="372" customFormat="1" ht="76.5" customHeight="1">
      <c r="A151" s="335">
        <v>4</v>
      </c>
      <c r="B151" s="683"/>
      <c r="C151" s="344" t="s">
        <v>307</v>
      </c>
      <c r="D151" s="344" t="s">
        <v>308</v>
      </c>
      <c r="E151" s="62">
        <v>8096.5</v>
      </c>
      <c r="F151" s="62" t="s">
        <v>309</v>
      </c>
      <c r="G151" s="64">
        <v>1504454</v>
      </c>
      <c r="H151" s="123"/>
      <c r="I151" s="335" t="s">
        <v>227</v>
      </c>
      <c r="J151" s="49" t="s">
        <v>310</v>
      </c>
      <c r="K151" s="339" t="s">
        <v>311</v>
      </c>
      <c r="L151" s="335" t="s">
        <v>87</v>
      </c>
      <c r="M151" s="339"/>
      <c r="N151" s="335">
        <v>1</v>
      </c>
      <c r="O151" s="335"/>
      <c r="P151" s="588"/>
      <c r="Q151" s="371"/>
    </row>
    <row r="152" spans="1:17" s="372" customFormat="1" ht="138" customHeight="1">
      <c r="A152" s="335">
        <v>5</v>
      </c>
      <c r="B152" s="683"/>
      <c r="C152" s="344" t="s">
        <v>312</v>
      </c>
      <c r="D152" s="344" t="s">
        <v>293</v>
      </c>
      <c r="E152" s="339">
        <v>3521.02</v>
      </c>
      <c r="F152" s="335">
        <v>1990</v>
      </c>
      <c r="G152" s="339" t="s">
        <v>295</v>
      </c>
      <c r="H152" s="335" t="s">
        <v>298</v>
      </c>
      <c r="I152" s="339" t="s">
        <v>297</v>
      </c>
      <c r="J152" s="335" t="s">
        <v>296</v>
      </c>
      <c r="K152" s="335" t="s">
        <v>296</v>
      </c>
      <c r="L152" s="335" t="s">
        <v>296</v>
      </c>
      <c r="M152" s="335" t="s">
        <v>296</v>
      </c>
      <c r="N152" s="335">
        <v>1</v>
      </c>
      <c r="O152" s="335" t="s">
        <v>296</v>
      </c>
      <c r="P152" s="588"/>
      <c r="Q152" s="371"/>
    </row>
    <row r="153" spans="1:17" s="372" customFormat="1" ht="75" customHeight="1">
      <c r="A153" s="335">
        <v>6</v>
      </c>
      <c r="B153" s="683"/>
      <c r="C153" s="344" t="s">
        <v>313</v>
      </c>
      <c r="D153" s="344" t="s">
        <v>314</v>
      </c>
      <c r="E153" s="373">
        <v>12140.56</v>
      </c>
      <c r="F153" s="335" t="s">
        <v>315</v>
      </c>
      <c r="G153" s="339" t="s">
        <v>316</v>
      </c>
      <c r="H153" s="364"/>
      <c r="I153" s="53"/>
      <c r="J153" s="335"/>
      <c r="K153" s="335"/>
      <c r="L153" s="335"/>
      <c r="M153" s="335"/>
      <c r="N153" s="335"/>
      <c r="O153" s="335"/>
      <c r="P153" s="588"/>
      <c r="Q153" s="371"/>
    </row>
    <row r="154" spans="1:17" s="372" customFormat="1">
      <c r="A154" s="608"/>
      <c r="B154" s="608"/>
      <c r="C154" s="608"/>
      <c r="D154" s="608"/>
      <c r="E154" s="608"/>
      <c r="F154" s="608"/>
      <c r="G154" s="608"/>
      <c r="H154" s="608"/>
      <c r="I154" s="608"/>
      <c r="J154" s="608"/>
      <c r="K154" s="608"/>
      <c r="L154" s="608"/>
      <c r="M154" s="608"/>
      <c r="N154" s="608"/>
      <c r="O154" s="608"/>
      <c r="P154" s="608"/>
      <c r="Q154" s="371"/>
    </row>
    <row r="155" spans="1:17" ht="20.25" customHeight="1">
      <c r="A155" s="559" t="s">
        <v>111</v>
      </c>
      <c r="B155" s="559"/>
      <c r="C155" s="559"/>
      <c r="D155" s="559"/>
      <c r="E155" s="559"/>
      <c r="F155" s="559"/>
      <c r="G155" s="559"/>
      <c r="H155" s="559"/>
      <c r="I155" s="559"/>
      <c r="J155" s="559"/>
      <c r="K155" s="559"/>
      <c r="L155" s="559"/>
      <c r="M155" s="559"/>
      <c r="N155" s="559"/>
      <c r="O155" s="559"/>
      <c r="P155" s="588"/>
    </row>
    <row r="156" spans="1:17" ht="100.5" customHeight="1">
      <c r="A156" s="46" t="s">
        <v>0</v>
      </c>
      <c r="B156" s="46" t="s">
        <v>2582</v>
      </c>
      <c r="C156" s="46" t="s">
        <v>1</v>
      </c>
      <c r="D156" s="46" t="s">
        <v>2596</v>
      </c>
      <c r="E156" s="46" t="s">
        <v>89</v>
      </c>
      <c r="F156" s="46" t="s">
        <v>63</v>
      </c>
      <c r="G156" s="46" t="s">
        <v>2590</v>
      </c>
      <c r="H156" s="46" t="s">
        <v>2561</v>
      </c>
      <c r="I156" s="46" t="s">
        <v>2391</v>
      </c>
      <c r="J156" s="46" t="s">
        <v>5</v>
      </c>
      <c r="K156" s="46" t="s">
        <v>6</v>
      </c>
      <c r="L156" s="46" t="s">
        <v>91</v>
      </c>
      <c r="M156" s="46" t="s">
        <v>67</v>
      </c>
      <c r="N156" s="67" t="s">
        <v>92</v>
      </c>
      <c r="O156" s="74" t="s">
        <v>11</v>
      </c>
      <c r="P156" s="588"/>
    </row>
    <row r="157" spans="1:17">
      <c r="A157" s="345">
        <v>1</v>
      </c>
      <c r="B157" s="79">
        <v>2</v>
      </c>
      <c r="C157" s="79">
        <v>3</v>
      </c>
      <c r="D157" s="79">
        <v>4</v>
      </c>
      <c r="E157" s="79">
        <v>5</v>
      </c>
      <c r="F157" s="79">
        <v>6</v>
      </c>
      <c r="G157" s="79">
        <v>7</v>
      </c>
      <c r="H157" s="79">
        <v>8</v>
      </c>
      <c r="I157" s="79">
        <v>9</v>
      </c>
      <c r="J157" s="79">
        <v>10</v>
      </c>
      <c r="K157" s="79">
        <v>11</v>
      </c>
      <c r="L157" s="79">
        <v>12</v>
      </c>
      <c r="M157" s="79">
        <v>13</v>
      </c>
      <c r="N157" s="79">
        <v>14</v>
      </c>
      <c r="O157" s="79">
        <v>15</v>
      </c>
      <c r="P157" s="588"/>
    </row>
    <row r="158" spans="1:17" ht="45" customHeight="1">
      <c r="A158" s="339">
        <v>1</v>
      </c>
      <c r="B158" s="628" t="s">
        <v>2610</v>
      </c>
      <c r="C158" s="553" t="s">
        <v>270</v>
      </c>
      <c r="D158" s="344" t="s">
        <v>317</v>
      </c>
      <c r="E158" s="339">
        <v>8867</v>
      </c>
      <c r="F158" s="339" t="s">
        <v>336</v>
      </c>
      <c r="G158" s="339">
        <v>3.8</v>
      </c>
      <c r="H158" s="123" t="s">
        <v>273</v>
      </c>
      <c r="I158" s="53" t="s">
        <v>6984</v>
      </c>
      <c r="J158" s="336" t="s">
        <v>17</v>
      </c>
      <c r="K158" s="336" t="s">
        <v>318</v>
      </c>
      <c r="L158" s="336" t="s">
        <v>87</v>
      </c>
      <c r="M158" s="339" t="s">
        <v>274</v>
      </c>
      <c r="N158" s="336">
        <v>1</v>
      </c>
      <c r="O158" s="336"/>
      <c r="P158" s="588"/>
    </row>
    <row r="159" spans="1:17" ht="30">
      <c r="A159" s="339">
        <v>2</v>
      </c>
      <c r="B159" s="628"/>
      <c r="C159" s="553"/>
      <c r="D159" s="344" t="s">
        <v>319</v>
      </c>
      <c r="E159" s="339">
        <v>445</v>
      </c>
      <c r="F159" s="339" t="s">
        <v>320</v>
      </c>
      <c r="G159" s="336">
        <v>0.37</v>
      </c>
      <c r="H159" s="123" t="s">
        <v>273</v>
      </c>
      <c r="I159" s="53" t="s">
        <v>6984</v>
      </c>
      <c r="J159" s="336" t="s">
        <v>17</v>
      </c>
      <c r="K159" s="336" t="s">
        <v>318</v>
      </c>
      <c r="L159" s="336"/>
      <c r="M159" s="339" t="s">
        <v>274</v>
      </c>
      <c r="N159" s="336">
        <v>2</v>
      </c>
      <c r="O159" s="336"/>
      <c r="P159" s="588"/>
    </row>
    <row r="160" spans="1:17" ht="30">
      <c r="A160" s="339">
        <v>3</v>
      </c>
      <c r="B160" s="628"/>
      <c r="C160" s="553"/>
      <c r="D160" s="344" t="s">
        <v>321</v>
      </c>
      <c r="E160" s="339">
        <v>110</v>
      </c>
      <c r="F160" s="336">
        <v>1994</v>
      </c>
      <c r="G160" s="339">
        <v>0.15</v>
      </c>
      <c r="H160" s="123" t="s">
        <v>273</v>
      </c>
      <c r="I160" s="53" t="s">
        <v>6983</v>
      </c>
      <c r="J160" s="336" t="s">
        <v>17</v>
      </c>
      <c r="K160" s="600" t="s">
        <v>322</v>
      </c>
      <c r="L160" s="600"/>
      <c r="M160" s="600"/>
      <c r="N160" s="600"/>
      <c r="O160" s="600"/>
      <c r="P160" s="588"/>
    </row>
    <row r="161" spans="1:16" ht="48.75" customHeight="1">
      <c r="A161" s="339">
        <v>4</v>
      </c>
      <c r="B161" s="628"/>
      <c r="C161" s="344" t="s">
        <v>323</v>
      </c>
      <c r="D161" s="344" t="s">
        <v>324</v>
      </c>
      <c r="E161" s="339" t="s">
        <v>325</v>
      </c>
      <c r="F161" s="336" t="s">
        <v>318</v>
      </c>
      <c r="G161" s="339" t="s">
        <v>326</v>
      </c>
      <c r="H161" s="123" t="s">
        <v>273</v>
      </c>
      <c r="I161" s="53" t="s">
        <v>6983</v>
      </c>
      <c r="J161" s="336" t="s">
        <v>17</v>
      </c>
      <c r="K161" s="336" t="s">
        <v>318</v>
      </c>
      <c r="L161" s="336" t="s">
        <v>87</v>
      </c>
      <c r="M161" s="339" t="s">
        <v>274</v>
      </c>
      <c r="N161" s="336">
        <v>4</v>
      </c>
      <c r="O161" s="344" t="s">
        <v>327</v>
      </c>
      <c r="P161" s="588"/>
    </row>
    <row r="162" spans="1:16" ht="45">
      <c r="A162" s="339">
        <v>5</v>
      </c>
      <c r="B162" s="628"/>
      <c r="C162" s="344" t="s">
        <v>328</v>
      </c>
      <c r="D162" s="337" t="s">
        <v>329</v>
      </c>
      <c r="E162" s="339" t="s">
        <v>325</v>
      </c>
      <c r="F162" s="336" t="s">
        <v>304</v>
      </c>
      <c r="G162" s="339">
        <v>1.0536000000000001</v>
      </c>
      <c r="H162" s="123" t="s">
        <v>273</v>
      </c>
      <c r="I162" s="53" t="s">
        <v>6983</v>
      </c>
      <c r="J162" s="336" t="s">
        <v>17</v>
      </c>
      <c r="K162" s="336" t="s">
        <v>318</v>
      </c>
      <c r="L162" s="336" t="s">
        <v>87</v>
      </c>
      <c r="M162" s="339" t="s">
        <v>274</v>
      </c>
      <c r="N162" s="336">
        <v>5</v>
      </c>
      <c r="O162" s="336"/>
      <c r="P162" s="588"/>
    </row>
    <row r="163" spans="1:16" ht="105">
      <c r="A163" s="339">
        <v>6</v>
      </c>
      <c r="B163" s="628"/>
      <c r="C163" s="614" t="s">
        <v>307</v>
      </c>
      <c r="D163" s="337" t="s">
        <v>330</v>
      </c>
      <c r="E163" s="339">
        <v>4046.85</v>
      </c>
      <c r="F163" s="336" t="s">
        <v>331</v>
      </c>
      <c r="G163" s="339">
        <v>7.4999999999999997E-3</v>
      </c>
      <c r="H163" s="123"/>
      <c r="I163" s="53" t="s">
        <v>57</v>
      </c>
      <c r="J163" s="339" t="s">
        <v>332</v>
      </c>
      <c r="K163" s="339" t="s">
        <v>311</v>
      </c>
      <c r="L163" s="335" t="s">
        <v>87</v>
      </c>
      <c r="M163" s="339"/>
      <c r="N163" s="336">
        <v>1</v>
      </c>
      <c r="O163" s="336"/>
      <c r="P163" s="588"/>
    </row>
    <row r="164" spans="1:16" ht="75">
      <c r="A164" s="339">
        <v>7</v>
      </c>
      <c r="B164" s="628"/>
      <c r="C164" s="614"/>
      <c r="D164" s="337" t="s">
        <v>333</v>
      </c>
      <c r="E164" s="339">
        <v>4087.73</v>
      </c>
      <c r="F164" s="336" t="s">
        <v>334</v>
      </c>
      <c r="G164" s="339">
        <v>4.0404099999999998E-2</v>
      </c>
      <c r="H164" s="123"/>
      <c r="I164" s="53" t="s">
        <v>57</v>
      </c>
      <c r="J164" s="339" t="s">
        <v>6985</v>
      </c>
      <c r="K164" s="339" t="s">
        <v>311</v>
      </c>
      <c r="L164" s="335" t="s">
        <v>87</v>
      </c>
      <c r="M164" s="339"/>
      <c r="N164" s="336">
        <v>2</v>
      </c>
      <c r="O164" s="336"/>
      <c r="P164" s="588"/>
    </row>
    <row r="165" spans="1:16" ht="75">
      <c r="A165" s="339">
        <v>8</v>
      </c>
      <c r="B165" s="628"/>
      <c r="C165" s="614"/>
      <c r="D165" s="337" t="s">
        <v>335</v>
      </c>
      <c r="E165" s="339">
        <v>4058.37</v>
      </c>
      <c r="F165" s="336" t="s">
        <v>334</v>
      </c>
      <c r="G165" s="339">
        <v>4.0404099999999998E-2</v>
      </c>
      <c r="H165" s="123"/>
      <c r="I165" s="53" t="s">
        <v>57</v>
      </c>
      <c r="J165" s="339" t="s">
        <v>6985</v>
      </c>
      <c r="K165" s="339" t="s">
        <v>311</v>
      </c>
      <c r="L165" s="335" t="s">
        <v>87</v>
      </c>
      <c r="M165" s="339"/>
      <c r="N165" s="336">
        <v>3</v>
      </c>
      <c r="O165" s="336"/>
      <c r="P165" s="588"/>
    </row>
    <row r="166" spans="1:16" ht="136.5" customHeight="1">
      <c r="A166" s="339">
        <v>9</v>
      </c>
      <c r="B166" s="628"/>
      <c r="C166" s="344" t="s">
        <v>312</v>
      </c>
      <c r="D166" s="344" t="s">
        <v>293</v>
      </c>
      <c r="E166" s="339">
        <v>3318</v>
      </c>
      <c r="F166" s="336">
        <v>1990</v>
      </c>
      <c r="G166" s="53" t="s">
        <v>295</v>
      </c>
      <c r="H166" s="123" t="s">
        <v>296</v>
      </c>
      <c r="I166" s="53" t="s">
        <v>297</v>
      </c>
      <c r="J166" s="336" t="s">
        <v>296</v>
      </c>
      <c r="K166" s="336" t="s">
        <v>296</v>
      </c>
      <c r="L166" s="336" t="s">
        <v>296</v>
      </c>
      <c r="M166" s="336" t="s">
        <v>296</v>
      </c>
      <c r="N166" s="336">
        <v>1</v>
      </c>
      <c r="O166" s="336" t="s">
        <v>296</v>
      </c>
      <c r="P166" s="588"/>
    </row>
    <row r="167" spans="1:16">
      <c r="A167" s="595"/>
      <c r="B167" s="595"/>
      <c r="C167" s="595"/>
      <c r="D167" s="595"/>
      <c r="E167" s="595"/>
      <c r="F167" s="595"/>
      <c r="G167" s="595"/>
      <c r="H167" s="595"/>
      <c r="I167" s="595"/>
      <c r="J167" s="595"/>
      <c r="K167" s="595"/>
      <c r="L167" s="595"/>
      <c r="M167" s="595"/>
      <c r="N167" s="595"/>
      <c r="O167" s="595"/>
      <c r="P167" s="595"/>
    </row>
    <row r="168" spans="1:16" ht="20.25">
      <c r="A168" s="559" t="s">
        <v>112</v>
      </c>
      <c r="B168" s="559"/>
      <c r="C168" s="559"/>
      <c r="D168" s="559"/>
      <c r="E168" s="559"/>
      <c r="F168" s="559"/>
      <c r="G168" s="559"/>
      <c r="H168" s="559"/>
      <c r="I168" s="559"/>
      <c r="J168" s="559"/>
      <c r="K168" s="559"/>
      <c r="L168" s="559"/>
      <c r="M168" s="559"/>
      <c r="N168" s="559"/>
      <c r="O168" s="559"/>
      <c r="P168" s="559"/>
    </row>
    <row r="169" spans="1:16" ht="100.5" customHeight="1">
      <c r="A169" s="46" t="s">
        <v>0</v>
      </c>
      <c r="B169" s="46" t="s">
        <v>2582</v>
      </c>
      <c r="C169" s="46" t="s">
        <v>1</v>
      </c>
      <c r="D169" s="46" t="s">
        <v>2596</v>
      </c>
      <c r="E169" s="46" t="s">
        <v>89</v>
      </c>
      <c r="F169" s="46" t="s">
        <v>63</v>
      </c>
      <c r="G169" s="46" t="s">
        <v>2390</v>
      </c>
      <c r="H169" s="46" t="s">
        <v>2561</v>
      </c>
      <c r="I169" s="46" t="s">
        <v>2391</v>
      </c>
      <c r="J169" s="46" t="s">
        <v>5</v>
      </c>
      <c r="K169" s="46" t="s">
        <v>6</v>
      </c>
      <c r="L169" s="46" t="s">
        <v>91</v>
      </c>
      <c r="M169" s="46" t="s">
        <v>67</v>
      </c>
      <c r="N169" s="67" t="s">
        <v>110</v>
      </c>
      <c r="O169" s="67" t="s">
        <v>92</v>
      </c>
      <c r="P169" s="74" t="s">
        <v>69</v>
      </c>
    </row>
    <row r="170" spans="1:16">
      <c r="A170" s="345">
        <v>1</v>
      </c>
      <c r="B170" s="79">
        <v>2</v>
      </c>
      <c r="C170" s="79">
        <v>3</v>
      </c>
      <c r="D170" s="79">
        <v>4</v>
      </c>
      <c r="E170" s="79">
        <v>5</v>
      </c>
      <c r="F170" s="79">
        <v>6</v>
      </c>
      <c r="G170" s="79">
        <v>7</v>
      </c>
      <c r="H170" s="79">
        <v>8</v>
      </c>
      <c r="I170" s="79">
        <v>9</v>
      </c>
      <c r="J170" s="79">
        <v>10</v>
      </c>
      <c r="K170" s="79">
        <v>11</v>
      </c>
      <c r="L170" s="79">
        <v>12</v>
      </c>
      <c r="M170" s="79">
        <v>13</v>
      </c>
      <c r="N170" s="79">
        <v>14</v>
      </c>
      <c r="O170" s="79">
        <v>15</v>
      </c>
      <c r="P170" s="46">
        <v>16</v>
      </c>
    </row>
    <row r="171" spans="1:16" ht="45" customHeight="1">
      <c r="A171" s="339">
        <v>1</v>
      </c>
      <c r="B171" s="553" t="s">
        <v>2609</v>
      </c>
      <c r="C171" s="344" t="s">
        <v>270</v>
      </c>
      <c r="D171" s="344" t="s">
        <v>317</v>
      </c>
      <c r="E171" s="339" t="s">
        <v>325</v>
      </c>
      <c r="F171" s="53" t="s">
        <v>336</v>
      </c>
      <c r="G171" s="53" t="s">
        <v>326</v>
      </c>
      <c r="H171" s="123" t="s">
        <v>273</v>
      </c>
      <c r="I171" s="53" t="s">
        <v>6983</v>
      </c>
      <c r="J171" s="336" t="s">
        <v>17</v>
      </c>
      <c r="K171" s="336" t="s">
        <v>318</v>
      </c>
      <c r="L171" s="336" t="s">
        <v>87</v>
      </c>
      <c r="M171" s="339" t="s">
        <v>274</v>
      </c>
      <c r="N171" s="336">
        <v>1</v>
      </c>
      <c r="O171" s="336">
        <v>1</v>
      </c>
      <c r="P171" s="336"/>
    </row>
    <row r="172" spans="1:16" ht="66.75" customHeight="1">
      <c r="A172" s="339">
        <v>2</v>
      </c>
      <c r="B172" s="553"/>
      <c r="C172" s="344" t="s">
        <v>337</v>
      </c>
      <c r="D172" s="344" t="s">
        <v>329</v>
      </c>
      <c r="E172" s="339" t="s">
        <v>325</v>
      </c>
      <c r="F172" s="123" t="s">
        <v>304</v>
      </c>
      <c r="G172" s="53" t="s">
        <v>326</v>
      </c>
      <c r="H172" s="123" t="s">
        <v>273</v>
      </c>
      <c r="I172" s="53" t="s">
        <v>6983</v>
      </c>
      <c r="J172" s="336" t="s">
        <v>17</v>
      </c>
      <c r="K172" s="336" t="s">
        <v>318</v>
      </c>
      <c r="L172" s="336" t="s">
        <v>87</v>
      </c>
      <c r="M172" s="339" t="s">
        <v>274</v>
      </c>
      <c r="N172" s="336">
        <v>3</v>
      </c>
      <c r="O172" s="336">
        <v>5</v>
      </c>
      <c r="P172" s="123"/>
    </row>
    <row r="173" spans="1:16" ht="152.25" customHeight="1">
      <c r="A173" s="339">
        <v>3</v>
      </c>
      <c r="B173" s="553"/>
      <c r="C173" s="344" t="s">
        <v>312</v>
      </c>
      <c r="D173" s="344" t="s">
        <v>293</v>
      </c>
      <c r="E173" s="339" t="s">
        <v>338</v>
      </c>
      <c r="F173" s="123">
        <v>1990</v>
      </c>
      <c r="G173" s="374" t="s">
        <v>295</v>
      </c>
      <c r="H173" s="123" t="s">
        <v>296</v>
      </c>
      <c r="I173" s="53" t="s">
        <v>297</v>
      </c>
      <c r="J173" s="336" t="s">
        <v>296</v>
      </c>
      <c r="K173" s="336" t="s">
        <v>296</v>
      </c>
      <c r="L173" s="336" t="s">
        <v>296</v>
      </c>
      <c r="M173" s="336" t="s">
        <v>296</v>
      </c>
      <c r="N173" s="336">
        <v>1</v>
      </c>
      <c r="O173" s="336">
        <v>1</v>
      </c>
      <c r="P173" s="123" t="s">
        <v>296</v>
      </c>
    </row>
    <row r="174" spans="1:16">
      <c r="A174" s="595"/>
      <c r="B174" s="595"/>
      <c r="C174" s="595"/>
      <c r="D174" s="595"/>
      <c r="E174" s="595"/>
      <c r="F174" s="595"/>
      <c r="G174" s="595"/>
      <c r="H174" s="595"/>
      <c r="I174" s="595"/>
      <c r="J174" s="595"/>
      <c r="K174" s="595"/>
      <c r="L174" s="595"/>
      <c r="M174" s="595"/>
      <c r="N174" s="595"/>
      <c r="O174" s="595"/>
      <c r="P174" s="595"/>
    </row>
    <row r="175" spans="1:16" ht="22.5">
      <c r="A175" s="700" t="s">
        <v>339</v>
      </c>
      <c r="B175" s="700"/>
      <c r="C175" s="700"/>
      <c r="D175" s="700"/>
      <c r="E175" s="700"/>
      <c r="F175" s="700"/>
      <c r="G175" s="700"/>
      <c r="H175" s="700"/>
      <c r="I175" s="700"/>
      <c r="J175" s="700"/>
      <c r="K175" s="700"/>
      <c r="L175" s="700"/>
      <c r="M175" s="700"/>
      <c r="N175" s="700"/>
      <c r="O175" s="700"/>
      <c r="P175" s="700"/>
    </row>
    <row r="176" spans="1:16" ht="20.25">
      <c r="A176" s="559" t="s">
        <v>61</v>
      </c>
      <c r="B176" s="559"/>
      <c r="C176" s="559"/>
      <c r="D176" s="559"/>
      <c r="E176" s="559"/>
      <c r="F176" s="559"/>
      <c r="G176" s="559"/>
      <c r="H176" s="559"/>
      <c r="I176" s="559"/>
      <c r="J176" s="559"/>
      <c r="K176" s="559"/>
      <c r="L176" s="559"/>
      <c r="M176" s="559"/>
      <c r="N176" s="559"/>
      <c r="O176" s="559"/>
      <c r="P176" s="559"/>
    </row>
    <row r="177" spans="1:16" ht="99" customHeight="1">
      <c r="A177" s="46" t="s">
        <v>0</v>
      </c>
      <c r="B177" s="46" t="s">
        <v>2592</v>
      </c>
      <c r="C177" s="46" t="s">
        <v>1</v>
      </c>
      <c r="D177" s="46" t="s">
        <v>2593</v>
      </c>
      <c r="E177" s="46" t="s">
        <v>3</v>
      </c>
      <c r="F177" s="46" t="s">
        <v>4</v>
      </c>
      <c r="G177" s="46" t="s">
        <v>2594</v>
      </c>
      <c r="H177" s="46" t="s">
        <v>2595</v>
      </c>
      <c r="I177" s="46" t="s">
        <v>2392</v>
      </c>
      <c r="J177" s="46" t="s">
        <v>5</v>
      </c>
      <c r="K177" s="46" t="s">
        <v>6</v>
      </c>
      <c r="L177" s="46" t="s">
        <v>7</v>
      </c>
      <c r="M177" s="67" t="s">
        <v>8</v>
      </c>
      <c r="N177" s="67" t="s">
        <v>9</v>
      </c>
      <c r="O177" s="46" t="s">
        <v>10</v>
      </c>
      <c r="P177" s="74" t="s">
        <v>11</v>
      </c>
    </row>
    <row r="178" spans="1:16">
      <c r="A178" s="8">
        <v>1</v>
      </c>
      <c r="B178" s="46">
        <v>2</v>
      </c>
      <c r="C178" s="46">
        <v>3</v>
      </c>
      <c r="D178" s="46">
        <v>4</v>
      </c>
      <c r="E178" s="46">
        <v>5</v>
      </c>
      <c r="F178" s="46">
        <v>6</v>
      </c>
      <c r="G178" s="46">
        <v>7</v>
      </c>
      <c r="H178" s="46">
        <v>8</v>
      </c>
      <c r="I178" s="46">
        <v>9</v>
      </c>
      <c r="J178" s="46">
        <v>10</v>
      </c>
      <c r="K178" s="46">
        <v>11</v>
      </c>
      <c r="L178" s="46">
        <v>12</v>
      </c>
      <c r="M178" s="46">
        <v>13</v>
      </c>
      <c r="N178" s="46">
        <v>14</v>
      </c>
      <c r="O178" s="46">
        <v>15</v>
      </c>
      <c r="P178" s="46">
        <v>16</v>
      </c>
    </row>
    <row r="179" spans="1:16" ht="48.75" customHeight="1">
      <c r="A179" s="336">
        <v>1</v>
      </c>
      <c r="B179" s="553" t="s">
        <v>2608</v>
      </c>
      <c r="C179" s="344" t="s">
        <v>340</v>
      </c>
      <c r="D179" s="240" t="s">
        <v>341</v>
      </c>
      <c r="E179" s="336">
        <v>1225.95</v>
      </c>
      <c r="F179" s="336" t="s">
        <v>342</v>
      </c>
      <c r="G179" s="336">
        <v>1.9059999999999999</v>
      </c>
      <c r="H179" s="335" t="s">
        <v>343</v>
      </c>
      <c r="I179" s="335" t="s">
        <v>227</v>
      </c>
      <c r="J179" s="339" t="s">
        <v>344</v>
      </c>
      <c r="K179" s="336" t="s">
        <v>345</v>
      </c>
      <c r="L179" s="336" t="s">
        <v>26</v>
      </c>
      <c r="M179" s="336" t="s">
        <v>26</v>
      </c>
      <c r="N179" s="339" t="s">
        <v>346</v>
      </c>
      <c r="O179" s="336" t="s">
        <v>193</v>
      </c>
      <c r="P179" s="123"/>
    </row>
    <row r="180" spans="1:16" ht="60">
      <c r="A180" s="336">
        <v>2</v>
      </c>
      <c r="B180" s="553"/>
      <c r="C180" s="344" t="s">
        <v>347</v>
      </c>
      <c r="D180" s="344" t="s">
        <v>348</v>
      </c>
      <c r="E180" s="339" t="s">
        <v>349</v>
      </c>
      <c r="F180" s="339" t="s">
        <v>350</v>
      </c>
      <c r="G180" s="339" t="s">
        <v>351</v>
      </c>
      <c r="H180" s="123" t="s">
        <v>352</v>
      </c>
      <c r="I180" s="336" t="s">
        <v>150</v>
      </c>
      <c r="J180" s="339" t="s">
        <v>214</v>
      </c>
      <c r="K180" s="339" t="s">
        <v>214</v>
      </c>
      <c r="L180" s="339" t="s">
        <v>214</v>
      </c>
      <c r="M180" s="336" t="s">
        <v>353</v>
      </c>
      <c r="N180" s="339" t="s">
        <v>214</v>
      </c>
      <c r="O180" s="336" t="s">
        <v>193</v>
      </c>
      <c r="P180" s="339" t="s">
        <v>354</v>
      </c>
    </row>
    <row r="181" spans="1:16" ht="75">
      <c r="A181" s="336">
        <v>3</v>
      </c>
      <c r="B181" s="553"/>
      <c r="C181" s="344" t="s">
        <v>355</v>
      </c>
      <c r="D181" s="344" t="s">
        <v>356</v>
      </c>
      <c r="E181" s="339" t="s">
        <v>357</v>
      </c>
      <c r="F181" s="339" t="s">
        <v>358</v>
      </c>
      <c r="G181" s="339">
        <v>0.32</v>
      </c>
      <c r="H181" s="339">
        <v>0.32</v>
      </c>
      <c r="I181" s="339" t="s">
        <v>359</v>
      </c>
      <c r="J181" s="339" t="s">
        <v>360</v>
      </c>
      <c r="K181" s="339" t="s">
        <v>361</v>
      </c>
      <c r="L181" s="339" t="s">
        <v>35</v>
      </c>
      <c r="M181" s="339" t="s">
        <v>362</v>
      </c>
      <c r="N181" s="339" t="s">
        <v>363</v>
      </c>
      <c r="O181" s="336" t="s">
        <v>193</v>
      </c>
      <c r="P181" s="123"/>
    </row>
    <row r="182" spans="1:16" ht="183" customHeight="1">
      <c r="A182" s="336">
        <v>4</v>
      </c>
      <c r="B182" s="553"/>
      <c r="C182" s="344" t="s">
        <v>355</v>
      </c>
      <c r="D182" s="344" t="s">
        <v>364</v>
      </c>
      <c r="E182" s="339">
        <v>14020.56</v>
      </c>
      <c r="F182" s="339" t="s">
        <v>365</v>
      </c>
      <c r="G182" s="53" t="s">
        <v>366</v>
      </c>
      <c r="H182" s="339" t="s">
        <v>367</v>
      </c>
      <c r="I182" s="339" t="s">
        <v>359</v>
      </c>
      <c r="J182" s="339" t="s">
        <v>368</v>
      </c>
      <c r="K182" s="339" t="s">
        <v>369</v>
      </c>
      <c r="L182" s="339" t="s">
        <v>87</v>
      </c>
      <c r="M182" s="339" t="s">
        <v>370</v>
      </c>
      <c r="N182" s="339" t="s">
        <v>371</v>
      </c>
      <c r="O182" s="336" t="s">
        <v>193</v>
      </c>
      <c r="P182" s="123"/>
    </row>
    <row r="183" spans="1:16">
      <c r="A183" s="681" t="s">
        <v>60</v>
      </c>
      <c r="B183" s="681"/>
      <c r="C183" s="344"/>
      <c r="D183" s="344"/>
      <c r="E183" s="339"/>
      <c r="F183" s="53"/>
      <c r="G183" s="53"/>
      <c r="H183" s="339"/>
      <c r="I183" s="53"/>
      <c r="J183" s="339"/>
      <c r="K183" s="339"/>
      <c r="L183" s="339"/>
      <c r="M183" s="339"/>
      <c r="N183" s="339"/>
      <c r="O183" s="336"/>
      <c r="P183" s="123"/>
    </row>
    <row r="184" spans="1:16">
      <c r="A184" s="369"/>
      <c r="B184" s="336" t="s">
        <v>346</v>
      </c>
      <c r="C184" s="676" t="s">
        <v>372</v>
      </c>
      <c r="D184" s="676"/>
      <c r="E184" s="676"/>
      <c r="F184" s="676"/>
      <c r="G184" s="676"/>
      <c r="H184" s="676"/>
      <c r="I184" s="676"/>
      <c r="J184" s="676"/>
      <c r="K184" s="676"/>
      <c r="L184" s="676"/>
      <c r="M184" s="676"/>
      <c r="N184" s="676"/>
      <c r="O184" s="676"/>
      <c r="P184" s="676"/>
    </row>
    <row r="185" spans="1:16">
      <c r="A185" s="120"/>
      <c r="B185" s="336" t="s">
        <v>354</v>
      </c>
      <c r="C185" s="616" t="s">
        <v>373</v>
      </c>
      <c r="D185" s="616"/>
      <c r="E185" s="616"/>
      <c r="F185" s="616"/>
      <c r="G185" s="616"/>
      <c r="H185" s="616"/>
      <c r="I185" s="616"/>
      <c r="J185" s="616"/>
      <c r="K185" s="616"/>
      <c r="L185" s="616"/>
      <c r="M185" s="616"/>
      <c r="N185" s="616"/>
      <c r="O185" s="616"/>
      <c r="P185" s="616"/>
    </row>
    <row r="186" spans="1:16">
      <c r="A186" s="120"/>
      <c r="B186" s="336" t="s">
        <v>362</v>
      </c>
      <c r="C186" s="553" t="s">
        <v>374</v>
      </c>
      <c r="D186" s="553"/>
      <c r="E186" s="553"/>
      <c r="F186" s="553"/>
      <c r="G186" s="553"/>
      <c r="H186" s="553"/>
      <c r="I186" s="553"/>
      <c r="J186" s="553"/>
      <c r="K186" s="553"/>
      <c r="L186" s="553"/>
      <c r="M186" s="553"/>
      <c r="N186" s="553"/>
      <c r="O186" s="553"/>
      <c r="P186" s="553"/>
    </row>
    <row r="187" spans="1:16">
      <c r="A187" s="120"/>
      <c r="B187" s="336" t="s">
        <v>363</v>
      </c>
      <c r="C187" s="553" t="s">
        <v>375</v>
      </c>
      <c r="D187" s="553"/>
      <c r="E187" s="553"/>
      <c r="F187" s="553"/>
      <c r="G187" s="553"/>
      <c r="H187" s="553"/>
      <c r="I187" s="553"/>
      <c r="J187" s="553"/>
      <c r="K187" s="553"/>
      <c r="L187" s="553"/>
      <c r="M187" s="553"/>
      <c r="N187" s="553"/>
      <c r="O187" s="553"/>
      <c r="P187" s="553"/>
    </row>
    <row r="188" spans="1:16">
      <c r="A188" s="120"/>
      <c r="B188" s="336" t="s">
        <v>370</v>
      </c>
      <c r="C188" s="553" t="s">
        <v>376</v>
      </c>
      <c r="D188" s="553"/>
      <c r="E188" s="553"/>
      <c r="F188" s="553"/>
      <c r="G188" s="553"/>
      <c r="H188" s="553"/>
      <c r="I188" s="553"/>
      <c r="J188" s="553"/>
      <c r="K188" s="553"/>
      <c r="L188" s="553"/>
      <c r="M188" s="553"/>
      <c r="N188" s="553"/>
      <c r="O188" s="553"/>
      <c r="P188" s="553"/>
    </row>
    <row r="189" spans="1:16">
      <c r="A189" s="679"/>
      <c r="B189" s="679"/>
      <c r="C189" s="679"/>
      <c r="D189" s="679"/>
      <c r="E189" s="679"/>
      <c r="F189" s="679"/>
      <c r="G189" s="679"/>
      <c r="H189" s="679"/>
      <c r="I189" s="679"/>
      <c r="J189" s="679"/>
      <c r="K189" s="679"/>
      <c r="L189" s="679"/>
      <c r="M189" s="679"/>
      <c r="N189" s="679"/>
      <c r="O189" s="679"/>
      <c r="P189" s="679"/>
    </row>
    <row r="190" spans="1:16" ht="20.25">
      <c r="A190" s="559" t="s">
        <v>88</v>
      </c>
      <c r="B190" s="559"/>
      <c r="C190" s="559"/>
      <c r="D190" s="559"/>
      <c r="E190" s="559"/>
      <c r="F190" s="559"/>
      <c r="G190" s="559"/>
      <c r="H190" s="559"/>
      <c r="I190" s="559"/>
      <c r="J190" s="559"/>
      <c r="K190" s="559"/>
      <c r="L190" s="559"/>
      <c r="M190" s="559"/>
      <c r="N190" s="559"/>
      <c r="O190" s="559"/>
      <c r="P190" s="559"/>
    </row>
    <row r="191" spans="1:16" ht="85.5">
      <c r="A191" s="46" t="s">
        <v>0</v>
      </c>
      <c r="B191" s="46" t="s">
        <v>2582</v>
      </c>
      <c r="C191" s="46" t="s">
        <v>1</v>
      </c>
      <c r="D191" s="46" t="s">
        <v>2596</v>
      </c>
      <c r="E191" s="67" t="s">
        <v>62</v>
      </c>
      <c r="F191" s="67" t="s">
        <v>63</v>
      </c>
      <c r="G191" s="46" t="s">
        <v>2560</v>
      </c>
      <c r="H191" s="46" t="s">
        <v>2561</v>
      </c>
      <c r="I191" s="46" t="s">
        <v>2627</v>
      </c>
      <c r="J191" s="46" t="s">
        <v>5</v>
      </c>
      <c r="K191" s="46" t="s">
        <v>6</v>
      </c>
      <c r="L191" s="46" t="s">
        <v>66</v>
      </c>
      <c r="M191" s="46" t="s">
        <v>67</v>
      </c>
      <c r="N191" s="67" t="s">
        <v>68</v>
      </c>
      <c r="O191" s="74" t="s">
        <v>69</v>
      </c>
      <c r="P191" s="613"/>
    </row>
    <row r="192" spans="1:16">
      <c r="A192" s="345">
        <v>1</v>
      </c>
      <c r="B192" s="79">
        <v>2</v>
      </c>
      <c r="C192" s="79">
        <v>3</v>
      </c>
      <c r="D192" s="79">
        <v>4</v>
      </c>
      <c r="E192" s="79">
        <v>5</v>
      </c>
      <c r="F192" s="79">
        <v>6</v>
      </c>
      <c r="G192" s="79">
        <v>7</v>
      </c>
      <c r="H192" s="79">
        <v>8</v>
      </c>
      <c r="I192" s="79">
        <v>9</v>
      </c>
      <c r="J192" s="79">
        <v>10</v>
      </c>
      <c r="K192" s="79">
        <v>11</v>
      </c>
      <c r="L192" s="79">
        <v>12</v>
      </c>
      <c r="M192" s="79">
        <v>13</v>
      </c>
      <c r="N192" s="79">
        <v>14</v>
      </c>
      <c r="O192" s="79">
        <v>15</v>
      </c>
      <c r="P192" s="613"/>
    </row>
    <row r="193" spans="1:17" ht="45">
      <c r="A193" s="335">
        <v>1</v>
      </c>
      <c r="B193" s="553" t="s">
        <v>2608</v>
      </c>
      <c r="C193" s="344" t="s">
        <v>377</v>
      </c>
      <c r="D193" s="344" t="s">
        <v>378</v>
      </c>
      <c r="E193" s="335">
        <v>8045.0789999999997</v>
      </c>
      <c r="F193" s="358">
        <v>33756</v>
      </c>
      <c r="G193" s="335">
        <v>3.54</v>
      </c>
      <c r="H193" s="335">
        <v>462.36</v>
      </c>
      <c r="I193" s="335" t="s">
        <v>379</v>
      </c>
      <c r="J193" s="339" t="s">
        <v>344</v>
      </c>
      <c r="K193" s="335" t="s">
        <v>380</v>
      </c>
      <c r="L193" s="335" t="s">
        <v>193</v>
      </c>
      <c r="M193" s="335" t="s">
        <v>193</v>
      </c>
      <c r="N193" s="335"/>
      <c r="O193" s="336"/>
      <c r="P193" s="613"/>
    </row>
    <row r="194" spans="1:17" ht="30">
      <c r="A194" s="335">
        <v>2</v>
      </c>
      <c r="B194" s="553"/>
      <c r="C194" s="344" t="s">
        <v>381</v>
      </c>
      <c r="D194" s="50">
        <v>12261.34</v>
      </c>
      <c r="E194" s="336" t="s">
        <v>382</v>
      </c>
      <c r="F194" s="336">
        <v>2.84</v>
      </c>
      <c r="G194" s="336" t="s">
        <v>383</v>
      </c>
      <c r="H194" s="336" t="s">
        <v>384</v>
      </c>
      <c r="I194" s="336" t="s">
        <v>17</v>
      </c>
      <c r="J194" s="336" t="s">
        <v>17</v>
      </c>
      <c r="K194" s="336"/>
      <c r="L194" s="336" t="s">
        <v>17</v>
      </c>
      <c r="M194" s="336" t="s">
        <v>385</v>
      </c>
      <c r="N194" s="46" t="s">
        <v>362</v>
      </c>
      <c r="O194" s="46" t="s">
        <v>363</v>
      </c>
      <c r="P194" s="613"/>
    </row>
    <row r="195" spans="1:17" ht="60">
      <c r="A195" s="335">
        <v>3</v>
      </c>
      <c r="B195" s="553"/>
      <c r="C195" s="344" t="s">
        <v>386</v>
      </c>
      <c r="D195" s="344">
        <v>1476</v>
      </c>
      <c r="E195" s="339" t="s">
        <v>387</v>
      </c>
      <c r="F195" s="339">
        <v>2.37</v>
      </c>
      <c r="G195" s="339" t="s">
        <v>6995</v>
      </c>
      <c r="H195" s="46" t="s">
        <v>389</v>
      </c>
      <c r="I195" s="46" t="s">
        <v>389</v>
      </c>
      <c r="J195" s="46" t="s">
        <v>389</v>
      </c>
      <c r="K195" s="46" t="s">
        <v>389</v>
      </c>
      <c r="L195" s="46" t="s">
        <v>389</v>
      </c>
      <c r="M195" s="46" t="s">
        <v>389</v>
      </c>
      <c r="N195" s="46" t="s">
        <v>389</v>
      </c>
      <c r="O195" s="336"/>
      <c r="P195" s="613"/>
      <c r="Q195" s="6" t="s">
        <v>6986</v>
      </c>
    </row>
    <row r="196" spans="1:17" ht="75">
      <c r="A196" s="335">
        <v>4</v>
      </c>
      <c r="B196" s="553"/>
      <c r="C196" s="344" t="s">
        <v>390</v>
      </c>
      <c r="D196" s="344" t="s">
        <v>391</v>
      </c>
      <c r="E196" s="339" t="s">
        <v>392</v>
      </c>
      <c r="F196" s="253">
        <v>38869</v>
      </c>
      <c r="G196" s="339">
        <v>0.38</v>
      </c>
      <c r="H196" s="339" t="s">
        <v>393</v>
      </c>
      <c r="I196" s="339" t="s">
        <v>359</v>
      </c>
      <c r="J196" s="339" t="s">
        <v>360</v>
      </c>
      <c r="K196" s="339" t="s">
        <v>394</v>
      </c>
      <c r="L196" s="339" t="s">
        <v>35</v>
      </c>
      <c r="M196" s="339" t="s">
        <v>35</v>
      </c>
      <c r="N196" s="339">
        <v>1</v>
      </c>
      <c r="O196" s="339" t="s">
        <v>35</v>
      </c>
      <c r="P196" s="613"/>
    </row>
    <row r="197" spans="1:17">
      <c r="A197" s="375"/>
      <c r="B197" s="335" t="s">
        <v>362</v>
      </c>
      <c r="C197" s="680" t="s">
        <v>395</v>
      </c>
      <c r="D197" s="680"/>
      <c r="E197" s="680"/>
      <c r="F197" s="680"/>
      <c r="G197" s="680"/>
      <c r="H197" s="680"/>
      <c r="I197" s="680"/>
      <c r="J197" s="680"/>
      <c r="K197" s="680"/>
      <c r="L197" s="680"/>
      <c r="M197" s="680"/>
      <c r="N197" s="680"/>
      <c r="O197" s="680"/>
      <c r="P197" s="613"/>
    </row>
    <row r="198" spans="1:17" ht="53.25" customHeight="1">
      <c r="A198" s="376"/>
      <c r="B198" s="335" t="s">
        <v>363</v>
      </c>
      <c r="C198" s="676" t="s">
        <v>396</v>
      </c>
      <c r="D198" s="676"/>
      <c r="E198" s="676"/>
      <c r="F198" s="676"/>
      <c r="G198" s="676"/>
      <c r="H198" s="676"/>
      <c r="I198" s="676"/>
      <c r="J198" s="676"/>
      <c r="K198" s="676"/>
      <c r="L198" s="676"/>
      <c r="M198" s="676"/>
      <c r="N198" s="676"/>
      <c r="O198" s="676"/>
      <c r="P198" s="613"/>
    </row>
    <row r="199" spans="1:17">
      <c r="A199" s="682"/>
      <c r="B199" s="682"/>
      <c r="C199" s="682"/>
      <c r="D199" s="682"/>
      <c r="E199" s="682"/>
      <c r="F199" s="682"/>
      <c r="G199" s="682"/>
      <c r="H199" s="682"/>
      <c r="I199" s="682"/>
      <c r="J199" s="682"/>
      <c r="K199" s="682"/>
      <c r="L199" s="682"/>
      <c r="M199" s="682"/>
      <c r="N199" s="682"/>
      <c r="O199" s="682"/>
      <c r="P199" s="682"/>
    </row>
    <row r="200" spans="1:17" ht="20.25" customHeight="1">
      <c r="A200" s="559" t="s">
        <v>111</v>
      </c>
      <c r="B200" s="559"/>
      <c r="C200" s="559"/>
      <c r="D200" s="559"/>
      <c r="E200" s="559"/>
      <c r="F200" s="559"/>
      <c r="G200" s="559"/>
      <c r="H200" s="559"/>
      <c r="I200" s="559"/>
      <c r="J200" s="559"/>
      <c r="K200" s="559"/>
      <c r="L200" s="559"/>
      <c r="M200" s="559"/>
      <c r="N200" s="559"/>
      <c r="O200" s="559"/>
      <c r="P200" s="588"/>
    </row>
    <row r="201" spans="1:17" ht="99" customHeight="1">
      <c r="A201" s="46" t="s">
        <v>0</v>
      </c>
      <c r="B201" s="46" t="s">
        <v>2582</v>
      </c>
      <c r="C201" s="46" t="s">
        <v>1</v>
      </c>
      <c r="D201" s="46" t="s">
        <v>2596</v>
      </c>
      <c r="E201" s="46" t="s">
        <v>89</v>
      </c>
      <c r="F201" s="46" t="s">
        <v>63</v>
      </c>
      <c r="G201" s="46" t="s">
        <v>2590</v>
      </c>
      <c r="H201" s="46" t="s">
        <v>2561</v>
      </c>
      <c r="I201" s="46" t="s">
        <v>2391</v>
      </c>
      <c r="J201" s="46" t="s">
        <v>5</v>
      </c>
      <c r="K201" s="46" t="s">
        <v>6</v>
      </c>
      <c r="L201" s="46" t="s">
        <v>91</v>
      </c>
      <c r="M201" s="46" t="s">
        <v>67</v>
      </c>
      <c r="N201" s="67" t="s">
        <v>92</v>
      </c>
      <c r="O201" s="74" t="s">
        <v>11</v>
      </c>
      <c r="P201" s="588"/>
    </row>
    <row r="202" spans="1:17">
      <c r="A202" s="345">
        <v>1</v>
      </c>
      <c r="B202" s="79">
        <v>2</v>
      </c>
      <c r="C202" s="79">
        <v>3</v>
      </c>
      <c r="D202" s="79">
        <v>4</v>
      </c>
      <c r="E202" s="79">
        <v>5</v>
      </c>
      <c r="F202" s="79">
        <v>6</v>
      </c>
      <c r="G202" s="79">
        <v>7</v>
      </c>
      <c r="H202" s="79">
        <v>8</v>
      </c>
      <c r="I202" s="79">
        <v>9</v>
      </c>
      <c r="J202" s="79">
        <v>10</v>
      </c>
      <c r="K202" s="79">
        <v>11</v>
      </c>
      <c r="L202" s="79">
        <v>12</v>
      </c>
      <c r="M202" s="79">
        <v>13</v>
      </c>
      <c r="N202" s="79">
        <v>14</v>
      </c>
      <c r="O202" s="79">
        <v>15</v>
      </c>
      <c r="P202" s="588"/>
    </row>
    <row r="203" spans="1:17" ht="61.5" customHeight="1">
      <c r="A203" s="336">
        <v>1</v>
      </c>
      <c r="B203" s="553" t="s">
        <v>2608</v>
      </c>
      <c r="C203" s="553" t="s">
        <v>377</v>
      </c>
      <c r="D203" s="240" t="s">
        <v>397</v>
      </c>
      <c r="E203" s="126">
        <v>14384.69</v>
      </c>
      <c r="F203" s="336" t="s">
        <v>398</v>
      </c>
      <c r="G203" s="126">
        <v>7.06</v>
      </c>
      <c r="H203" s="377"/>
      <c r="I203" s="336" t="s">
        <v>399</v>
      </c>
      <c r="J203" s="126" t="s">
        <v>400</v>
      </c>
      <c r="K203" s="336"/>
      <c r="L203" s="336" t="s">
        <v>193</v>
      </c>
      <c r="M203" s="336" t="s">
        <v>87</v>
      </c>
      <c r="N203" s="336"/>
      <c r="O203" s="126" t="s">
        <v>362</v>
      </c>
      <c r="P203" s="588"/>
    </row>
    <row r="204" spans="1:17" ht="91.5" customHeight="1">
      <c r="A204" s="336">
        <v>2</v>
      </c>
      <c r="B204" s="553"/>
      <c r="C204" s="553"/>
      <c r="D204" s="240" t="s">
        <v>401</v>
      </c>
      <c r="E204" s="126">
        <v>1114.83</v>
      </c>
      <c r="F204" s="336">
        <v>1993</v>
      </c>
      <c r="G204" s="126">
        <v>0.23599999999999999</v>
      </c>
      <c r="H204" s="336" t="s">
        <v>402</v>
      </c>
      <c r="I204" s="336" t="s">
        <v>399</v>
      </c>
      <c r="J204" s="336" t="s">
        <v>403</v>
      </c>
      <c r="K204" s="339" t="s">
        <v>404</v>
      </c>
      <c r="L204" s="336" t="s">
        <v>193</v>
      </c>
      <c r="M204" s="336" t="s">
        <v>87</v>
      </c>
      <c r="N204" s="336"/>
      <c r="O204" s="336"/>
      <c r="P204" s="588"/>
    </row>
    <row r="205" spans="1:17" ht="49.5" customHeight="1">
      <c r="A205" s="336">
        <v>3</v>
      </c>
      <c r="B205" s="553"/>
      <c r="C205" s="553"/>
      <c r="D205" s="240" t="s">
        <v>405</v>
      </c>
      <c r="E205" s="126">
        <v>1257.674</v>
      </c>
      <c r="F205" s="336" t="s">
        <v>406</v>
      </c>
      <c r="G205" s="126">
        <v>3.9870000000000001</v>
      </c>
      <c r="H205" s="336" t="s">
        <v>407</v>
      </c>
      <c r="I205" s="336" t="s">
        <v>399</v>
      </c>
      <c r="J205" s="336" t="s">
        <v>403</v>
      </c>
      <c r="K205" s="339" t="s">
        <v>408</v>
      </c>
      <c r="L205" s="336" t="s">
        <v>193</v>
      </c>
      <c r="M205" s="336" t="s">
        <v>87</v>
      </c>
      <c r="N205" s="336"/>
      <c r="O205" s="336"/>
      <c r="P205" s="588"/>
    </row>
    <row r="206" spans="1:17" ht="46.5" customHeight="1">
      <c r="A206" s="336">
        <v>4</v>
      </c>
      <c r="B206" s="553"/>
      <c r="C206" s="344" t="s">
        <v>409</v>
      </c>
      <c r="D206" s="344" t="s">
        <v>410</v>
      </c>
      <c r="E206" s="336">
        <v>452.6</v>
      </c>
      <c r="F206" s="336" t="s">
        <v>382</v>
      </c>
      <c r="G206" s="336">
        <v>2.84</v>
      </c>
      <c r="H206" s="336" t="s">
        <v>411</v>
      </c>
      <c r="I206" s="336" t="s">
        <v>418</v>
      </c>
      <c r="J206" s="336" t="s">
        <v>17</v>
      </c>
      <c r="K206" s="336" t="s">
        <v>17</v>
      </c>
      <c r="L206" s="336" t="s">
        <v>17</v>
      </c>
      <c r="M206" s="336" t="s">
        <v>411</v>
      </c>
      <c r="N206" s="336" t="s">
        <v>411</v>
      </c>
      <c r="O206" s="126" t="s">
        <v>363</v>
      </c>
      <c r="P206" s="588"/>
    </row>
    <row r="207" spans="1:17" ht="61.5" customHeight="1">
      <c r="A207" s="336">
        <v>5</v>
      </c>
      <c r="B207" s="553"/>
      <c r="C207" s="344" t="s">
        <v>412</v>
      </c>
      <c r="D207" s="344" t="s">
        <v>386</v>
      </c>
      <c r="E207" s="339">
        <v>1476</v>
      </c>
      <c r="F207" s="339" t="s">
        <v>387</v>
      </c>
      <c r="G207" s="339">
        <v>2.37</v>
      </c>
      <c r="H207" s="339" t="s">
        <v>388</v>
      </c>
      <c r="I207" s="46" t="s">
        <v>389</v>
      </c>
      <c r="J207" s="46" t="s">
        <v>389</v>
      </c>
      <c r="K207" s="46" t="s">
        <v>389</v>
      </c>
      <c r="L207" s="46" t="s">
        <v>389</v>
      </c>
      <c r="M207" s="46" t="s">
        <v>389</v>
      </c>
      <c r="N207" s="46" t="s">
        <v>389</v>
      </c>
      <c r="O207" s="46" t="s">
        <v>389</v>
      </c>
      <c r="P207" s="588"/>
    </row>
    <row r="208" spans="1:17">
      <c r="A208" s="120"/>
      <c r="B208" s="50"/>
      <c r="C208" s="50"/>
      <c r="D208" s="50"/>
      <c r="E208" s="336"/>
      <c r="F208" s="123"/>
      <c r="G208" s="123"/>
      <c r="H208" s="123"/>
      <c r="I208" s="123"/>
      <c r="J208" s="336"/>
      <c r="K208" s="336"/>
      <c r="L208" s="336"/>
      <c r="M208" s="336"/>
      <c r="N208" s="336"/>
      <c r="O208" s="336"/>
      <c r="P208" s="588"/>
    </row>
    <row r="209" spans="1:16">
      <c r="A209" s="120"/>
      <c r="B209" s="336" t="s">
        <v>362</v>
      </c>
      <c r="C209" s="677" t="s">
        <v>413</v>
      </c>
      <c r="D209" s="677"/>
      <c r="E209" s="677"/>
      <c r="F209" s="677"/>
      <c r="G209" s="677"/>
      <c r="H209" s="677"/>
      <c r="I209" s="677"/>
      <c r="J209" s="677"/>
      <c r="K209" s="677"/>
      <c r="L209" s="677"/>
      <c r="M209" s="677"/>
      <c r="N209" s="677"/>
      <c r="O209" s="677"/>
      <c r="P209" s="588"/>
    </row>
    <row r="210" spans="1:16">
      <c r="A210" s="120"/>
      <c r="B210" s="336" t="s">
        <v>363</v>
      </c>
      <c r="C210" s="553" t="s">
        <v>395</v>
      </c>
      <c r="D210" s="553"/>
      <c r="E210" s="553"/>
      <c r="F210" s="553"/>
      <c r="G210" s="553"/>
      <c r="H210" s="553"/>
      <c r="I210" s="553"/>
      <c r="J210" s="553"/>
      <c r="K210" s="553"/>
      <c r="L210" s="553"/>
      <c r="M210" s="553"/>
      <c r="N210" s="553"/>
      <c r="O210" s="553"/>
      <c r="P210" s="588"/>
    </row>
    <row r="211" spans="1:16">
      <c r="A211" s="679"/>
      <c r="B211" s="679"/>
      <c r="C211" s="679"/>
      <c r="D211" s="679"/>
      <c r="E211" s="679"/>
      <c r="F211" s="679"/>
      <c r="G211" s="679"/>
      <c r="H211" s="679"/>
      <c r="I211" s="679"/>
      <c r="J211" s="679"/>
      <c r="K211" s="679"/>
      <c r="L211" s="679"/>
      <c r="M211" s="679"/>
      <c r="N211" s="679"/>
      <c r="O211" s="679"/>
      <c r="P211" s="679"/>
    </row>
    <row r="212" spans="1:16" ht="20.25">
      <c r="A212" s="559" t="s">
        <v>112</v>
      </c>
      <c r="B212" s="559"/>
      <c r="C212" s="559"/>
      <c r="D212" s="559"/>
      <c r="E212" s="559"/>
      <c r="F212" s="559"/>
      <c r="G212" s="559"/>
      <c r="H212" s="559"/>
      <c r="I212" s="559"/>
      <c r="J212" s="559"/>
      <c r="K212" s="559"/>
      <c r="L212" s="559"/>
      <c r="M212" s="559"/>
      <c r="N212" s="559"/>
      <c r="O212" s="559"/>
      <c r="P212" s="559"/>
    </row>
    <row r="213" spans="1:16" ht="99" customHeight="1">
      <c r="A213" s="46" t="s">
        <v>0</v>
      </c>
      <c r="B213" s="46" t="s">
        <v>2582</v>
      </c>
      <c r="C213" s="46" t="s">
        <v>1</v>
      </c>
      <c r="D213" s="46" t="s">
        <v>2596</v>
      </c>
      <c r="E213" s="46" t="s">
        <v>89</v>
      </c>
      <c r="F213" s="46" t="s">
        <v>63</v>
      </c>
      <c r="G213" s="46" t="s">
        <v>2390</v>
      </c>
      <c r="H213" s="46" t="s">
        <v>2561</v>
      </c>
      <c r="I213" s="46" t="s">
        <v>2391</v>
      </c>
      <c r="J213" s="46" t="s">
        <v>5</v>
      </c>
      <c r="K213" s="46" t="s">
        <v>6</v>
      </c>
      <c r="L213" s="46" t="s">
        <v>91</v>
      </c>
      <c r="M213" s="46" t="s">
        <v>67</v>
      </c>
      <c r="N213" s="67" t="s">
        <v>110</v>
      </c>
      <c r="O213" s="67" t="s">
        <v>92</v>
      </c>
      <c r="P213" s="74" t="s">
        <v>69</v>
      </c>
    </row>
    <row r="214" spans="1:16">
      <c r="A214" s="345">
        <v>1</v>
      </c>
      <c r="B214" s="79">
        <v>2</v>
      </c>
      <c r="C214" s="79">
        <v>3</v>
      </c>
      <c r="D214" s="79">
        <v>4</v>
      </c>
      <c r="E214" s="79">
        <v>5</v>
      </c>
      <c r="F214" s="79">
        <v>6</v>
      </c>
      <c r="G214" s="79">
        <v>7</v>
      </c>
      <c r="H214" s="79">
        <v>8</v>
      </c>
      <c r="I214" s="79">
        <v>9</v>
      </c>
      <c r="J214" s="79">
        <v>10</v>
      </c>
      <c r="K214" s="79">
        <v>11</v>
      </c>
      <c r="L214" s="79">
        <v>12</v>
      </c>
      <c r="M214" s="79">
        <v>13</v>
      </c>
      <c r="N214" s="79">
        <v>14</v>
      </c>
      <c r="O214" s="79">
        <v>15</v>
      </c>
      <c r="P214" s="46">
        <v>16</v>
      </c>
    </row>
    <row r="215" spans="1:16" ht="45">
      <c r="A215" s="336">
        <v>1</v>
      </c>
      <c r="B215" s="553" t="s">
        <v>2608</v>
      </c>
      <c r="C215" s="344" t="s">
        <v>414</v>
      </c>
      <c r="D215" s="344" t="s">
        <v>415</v>
      </c>
      <c r="E215" s="339" t="s">
        <v>416</v>
      </c>
      <c r="F215" s="339" t="s">
        <v>417</v>
      </c>
      <c r="G215" s="378">
        <v>9.9000000000000005E-2</v>
      </c>
      <c r="H215" s="339" t="s">
        <v>362</v>
      </c>
      <c r="I215" s="339" t="s">
        <v>150</v>
      </c>
      <c r="J215" s="339" t="s">
        <v>24</v>
      </c>
      <c r="K215" s="339" t="s">
        <v>24</v>
      </c>
      <c r="L215" s="339" t="s">
        <v>6988</v>
      </c>
      <c r="M215" s="339" t="s">
        <v>35</v>
      </c>
      <c r="N215" s="339">
        <v>1</v>
      </c>
      <c r="O215" s="339" t="s">
        <v>35</v>
      </c>
      <c r="P215" s="339" t="s">
        <v>363</v>
      </c>
    </row>
    <row r="216" spans="1:16" ht="45">
      <c r="A216" s="336">
        <v>2</v>
      </c>
      <c r="B216" s="553"/>
      <c r="C216" s="344" t="s">
        <v>409</v>
      </c>
      <c r="D216" s="344" t="s">
        <v>410</v>
      </c>
      <c r="E216" s="339">
        <v>12261.34</v>
      </c>
      <c r="F216" s="339" t="s">
        <v>382</v>
      </c>
      <c r="G216" s="339">
        <v>2.84</v>
      </c>
      <c r="H216" s="339" t="s">
        <v>17</v>
      </c>
      <c r="I216" s="339" t="s">
        <v>418</v>
      </c>
      <c r="J216" s="339" t="s">
        <v>17</v>
      </c>
      <c r="K216" s="339" t="s">
        <v>17</v>
      </c>
      <c r="L216" s="339" t="s">
        <v>370</v>
      </c>
      <c r="M216" s="339" t="s">
        <v>383</v>
      </c>
      <c r="N216" s="339" t="s">
        <v>383</v>
      </c>
      <c r="O216" s="339" t="s">
        <v>411</v>
      </c>
      <c r="P216" s="53" t="s">
        <v>383</v>
      </c>
    </row>
    <row r="217" spans="1:16" ht="63" customHeight="1">
      <c r="A217" s="336">
        <v>3</v>
      </c>
      <c r="B217" s="553"/>
      <c r="C217" s="352" t="s">
        <v>419</v>
      </c>
      <c r="D217" s="352" t="s">
        <v>2450</v>
      </c>
      <c r="E217" s="339" t="s">
        <v>2393</v>
      </c>
      <c r="F217" s="336" t="s">
        <v>421</v>
      </c>
      <c r="G217" s="336">
        <v>1.8</v>
      </c>
      <c r="H217" s="336" t="s">
        <v>35</v>
      </c>
      <c r="I217" s="336" t="s">
        <v>735</v>
      </c>
      <c r="J217" s="336" t="s">
        <v>35</v>
      </c>
      <c r="K217" s="336" t="s">
        <v>35</v>
      </c>
      <c r="L217" s="336" t="s">
        <v>35</v>
      </c>
      <c r="M217" s="336" t="s">
        <v>35</v>
      </c>
      <c r="N217" s="336" t="s">
        <v>35</v>
      </c>
      <c r="O217" s="336" t="s">
        <v>35</v>
      </c>
      <c r="P217" s="123" t="s">
        <v>35</v>
      </c>
    </row>
    <row r="218" spans="1:16" ht="45">
      <c r="A218" s="336">
        <v>4</v>
      </c>
      <c r="B218" s="553"/>
      <c r="C218" s="344" t="s">
        <v>412</v>
      </c>
      <c r="D218" s="344" t="s">
        <v>386</v>
      </c>
      <c r="E218" s="339">
        <v>1476</v>
      </c>
      <c r="F218" s="339" t="s">
        <v>387</v>
      </c>
      <c r="G218" s="339">
        <v>2.37</v>
      </c>
      <c r="H218" s="339" t="s">
        <v>388</v>
      </c>
      <c r="I218" s="339" t="s">
        <v>389</v>
      </c>
      <c r="J218" s="339" t="s">
        <v>389</v>
      </c>
      <c r="K218" s="339" t="s">
        <v>389</v>
      </c>
      <c r="L218" s="339" t="s">
        <v>389</v>
      </c>
      <c r="M218" s="339" t="s">
        <v>389</v>
      </c>
      <c r="N218" s="339" t="s">
        <v>389</v>
      </c>
      <c r="O218" s="339" t="s">
        <v>389</v>
      </c>
      <c r="P218" s="339" t="s">
        <v>389</v>
      </c>
    </row>
    <row r="219" spans="1:16">
      <c r="A219" s="678"/>
      <c r="B219" s="678"/>
      <c r="C219" s="678"/>
      <c r="D219" s="678"/>
      <c r="E219" s="678"/>
      <c r="F219" s="678"/>
      <c r="G219" s="678"/>
      <c r="H219" s="678"/>
      <c r="I219" s="678"/>
      <c r="J219" s="678"/>
      <c r="K219" s="678"/>
      <c r="L219" s="678"/>
      <c r="M219" s="678"/>
      <c r="N219" s="678"/>
      <c r="O219" s="678"/>
      <c r="P219" s="678"/>
    </row>
    <row r="220" spans="1:16">
      <c r="B220" s="369" t="s">
        <v>362</v>
      </c>
      <c r="C220" s="676" t="s">
        <v>422</v>
      </c>
      <c r="D220" s="676"/>
      <c r="E220" s="676"/>
      <c r="F220" s="676"/>
      <c r="G220" s="676"/>
      <c r="H220" s="676"/>
      <c r="I220" s="676"/>
      <c r="J220" s="676"/>
      <c r="K220" s="676"/>
      <c r="L220" s="676"/>
      <c r="M220" s="676"/>
      <c r="N220" s="676"/>
      <c r="O220" s="676"/>
      <c r="P220" s="676"/>
    </row>
    <row r="221" spans="1:16">
      <c r="B221" s="369" t="s">
        <v>363</v>
      </c>
      <c r="C221" s="676" t="s">
        <v>423</v>
      </c>
      <c r="D221" s="676"/>
      <c r="E221" s="676"/>
      <c r="F221" s="676"/>
      <c r="G221" s="676"/>
      <c r="H221" s="676"/>
      <c r="I221" s="676"/>
      <c r="J221" s="676"/>
      <c r="K221" s="676"/>
      <c r="L221" s="676"/>
      <c r="M221" s="676"/>
      <c r="N221" s="676"/>
      <c r="O221" s="676"/>
      <c r="P221" s="676"/>
    </row>
    <row r="222" spans="1:16" ht="45" customHeight="1">
      <c r="B222" s="369" t="s">
        <v>370</v>
      </c>
      <c r="C222" s="676" t="s">
        <v>396</v>
      </c>
      <c r="D222" s="676"/>
      <c r="E222" s="676"/>
      <c r="F222" s="676"/>
      <c r="G222" s="676"/>
      <c r="H222" s="676"/>
      <c r="I222" s="676"/>
      <c r="J222" s="676"/>
      <c r="K222" s="676"/>
      <c r="L222" s="676"/>
      <c r="M222" s="676"/>
      <c r="N222" s="676"/>
      <c r="O222" s="676"/>
      <c r="P222" s="676"/>
    </row>
    <row r="223" spans="1:16">
      <c r="A223" s="621"/>
      <c r="B223" s="621"/>
      <c r="C223" s="621"/>
      <c r="D223" s="621"/>
      <c r="E223" s="621"/>
      <c r="F223" s="621"/>
      <c r="G223" s="621"/>
      <c r="H223" s="621"/>
      <c r="I223" s="621"/>
      <c r="J223" s="621"/>
      <c r="K223" s="621"/>
      <c r="L223" s="621"/>
      <c r="M223" s="621"/>
      <c r="N223" s="621"/>
      <c r="O223" s="621"/>
      <c r="P223" s="621"/>
    </row>
    <row r="224" spans="1:16" ht="22.5">
      <c r="A224" s="700" t="s">
        <v>424</v>
      </c>
      <c r="B224" s="700"/>
      <c r="C224" s="700"/>
      <c r="D224" s="700"/>
      <c r="E224" s="700"/>
      <c r="F224" s="700"/>
      <c r="G224" s="700"/>
      <c r="H224" s="700"/>
      <c r="I224" s="700"/>
      <c r="J224" s="700"/>
      <c r="K224" s="700"/>
      <c r="L224" s="700"/>
      <c r="M224" s="700"/>
      <c r="N224" s="700"/>
      <c r="O224" s="700"/>
      <c r="P224" s="700"/>
    </row>
    <row r="225" spans="1:16" ht="20.25">
      <c r="A225" s="559" t="s">
        <v>61</v>
      </c>
      <c r="B225" s="559"/>
      <c r="C225" s="559"/>
      <c r="D225" s="559"/>
      <c r="E225" s="559"/>
      <c r="F225" s="559"/>
      <c r="G225" s="559"/>
      <c r="H225" s="559"/>
      <c r="I225" s="559"/>
      <c r="J225" s="559"/>
      <c r="K225" s="559"/>
      <c r="L225" s="559"/>
      <c r="M225" s="559"/>
      <c r="N225" s="559"/>
      <c r="O225" s="559"/>
      <c r="P225" s="559"/>
    </row>
    <row r="226" spans="1:16" ht="100.5" customHeight="1">
      <c r="A226" s="46" t="s">
        <v>0</v>
      </c>
      <c r="B226" s="46" t="s">
        <v>2592</v>
      </c>
      <c r="C226" s="46" t="s">
        <v>1</v>
      </c>
      <c r="D226" s="46" t="s">
        <v>2593</v>
      </c>
      <c r="E226" s="46" t="s">
        <v>3</v>
      </c>
      <c r="F226" s="46" t="s">
        <v>4</v>
      </c>
      <c r="G226" s="46" t="s">
        <v>2594</v>
      </c>
      <c r="H226" s="46" t="s">
        <v>2595</v>
      </c>
      <c r="I226" s="46" t="s">
        <v>2392</v>
      </c>
      <c r="J226" s="46" t="s">
        <v>5</v>
      </c>
      <c r="K226" s="46" t="s">
        <v>6</v>
      </c>
      <c r="L226" s="46" t="s">
        <v>7</v>
      </c>
      <c r="M226" s="67" t="s">
        <v>8</v>
      </c>
      <c r="N226" s="67" t="s">
        <v>9</v>
      </c>
      <c r="O226" s="46" t="s">
        <v>10</v>
      </c>
      <c r="P226" s="74" t="s">
        <v>11</v>
      </c>
    </row>
    <row r="227" spans="1:16">
      <c r="A227" s="8">
        <v>1</v>
      </c>
      <c r="B227" s="46">
        <v>2</v>
      </c>
      <c r="C227" s="46">
        <v>3</v>
      </c>
      <c r="D227" s="46">
        <v>4</v>
      </c>
      <c r="E227" s="46">
        <v>5</v>
      </c>
      <c r="F227" s="46">
        <v>6</v>
      </c>
      <c r="G227" s="46">
        <v>7</v>
      </c>
      <c r="H227" s="46">
        <v>8</v>
      </c>
      <c r="I227" s="46">
        <v>9</v>
      </c>
      <c r="J227" s="46">
        <v>10</v>
      </c>
      <c r="K227" s="46">
        <v>11</v>
      </c>
      <c r="L227" s="46">
        <v>12</v>
      </c>
      <c r="M227" s="46">
        <v>13</v>
      </c>
      <c r="N227" s="46">
        <v>14</v>
      </c>
      <c r="O227" s="46">
        <v>15</v>
      </c>
      <c r="P227" s="46">
        <v>16</v>
      </c>
    </row>
    <row r="228" spans="1:16" ht="105" customHeight="1">
      <c r="A228" s="336">
        <v>1</v>
      </c>
      <c r="B228" s="614" t="s">
        <v>2607</v>
      </c>
      <c r="C228" s="614" t="s">
        <v>425</v>
      </c>
      <c r="D228" s="344" t="s">
        <v>426</v>
      </c>
      <c r="E228" s="336">
        <f>4673+3904</f>
        <v>8577</v>
      </c>
      <c r="F228" s="336" t="s">
        <v>427</v>
      </c>
      <c r="G228" s="68">
        <v>8.6E-3</v>
      </c>
      <c r="H228" s="336">
        <v>185.01</v>
      </c>
      <c r="I228" s="339" t="s">
        <v>428</v>
      </c>
      <c r="J228" s="336" t="s">
        <v>17</v>
      </c>
      <c r="K228" s="336" t="s">
        <v>17</v>
      </c>
      <c r="L228" s="336" t="s">
        <v>17</v>
      </c>
      <c r="M228" s="53" t="s">
        <v>429</v>
      </c>
      <c r="N228" s="336" t="s">
        <v>6987</v>
      </c>
      <c r="O228" s="336" t="s">
        <v>430</v>
      </c>
      <c r="P228" s="53"/>
    </row>
    <row r="229" spans="1:16" ht="135">
      <c r="A229" s="336">
        <v>2</v>
      </c>
      <c r="B229" s="614"/>
      <c r="C229" s="614"/>
      <c r="D229" s="344" t="s">
        <v>431</v>
      </c>
      <c r="E229" s="336">
        <v>2943.22</v>
      </c>
      <c r="F229" s="336" t="s">
        <v>432</v>
      </c>
      <c r="G229" s="68">
        <v>0.04</v>
      </c>
      <c r="H229" s="336">
        <v>22.89</v>
      </c>
      <c r="I229" s="339" t="s">
        <v>428</v>
      </c>
      <c r="J229" s="68"/>
      <c r="K229" s="336" t="s">
        <v>17</v>
      </c>
      <c r="L229" s="336" t="s">
        <v>17</v>
      </c>
      <c r="M229" s="53" t="s">
        <v>433</v>
      </c>
      <c r="N229" s="339" t="s">
        <v>434</v>
      </c>
      <c r="O229" s="336">
        <v>566348</v>
      </c>
      <c r="P229" s="53" t="s">
        <v>435</v>
      </c>
    </row>
    <row r="230" spans="1:16" ht="135">
      <c r="A230" s="336">
        <v>3</v>
      </c>
      <c r="B230" s="614"/>
      <c r="C230" s="614"/>
      <c r="D230" s="344" t="s">
        <v>436</v>
      </c>
      <c r="E230" s="339" t="s">
        <v>437</v>
      </c>
      <c r="F230" s="336" t="s">
        <v>438</v>
      </c>
      <c r="G230" s="68">
        <v>0.23</v>
      </c>
      <c r="H230" s="336">
        <v>797.06</v>
      </c>
      <c r="I230" s="336" t="s">
        <v>428</v>
      </c>
      <c r="J230" s="336" t="s">
        <v>17</v>
      </c>
      <c r="K230" s="336" t="s">
        <v>17</v>
      </c>
      <c r="L230" s="336" t="s">
        <v>17</v>
      </c>
      <c r="M230" s="53" t="s">
        <v>433</v>
      </c>
      <c r="N230" s="339" t="s">
        <v>434</v>
      </c>
      <c r="O230" s="336">
        <v>17573</v>
      </c>
      <c r="P230" s="53" t="s">
        <v>439</v>
      </c>
    </row>
    <row r="231" spans="1:16" ht="75">
      <c r="A231" s="336">
        <v>4</v>
      </c>
      <c r="B231" s="614"/>
      <c r="C231" s="614"/>
      <c r="D231" s="344" t="s">
        <v>440</v>
      </c>
      <c r="E231" s="339" t="s">
        <v>441</v>
      </c>
      <c r="F231" s="336" t="s">
        <v>442</v>
      </c>
      <c r="G231" s="68">
        <v>0.79</v>
      </c>
      <c r="H231" s="336">
        <v>1.8</v>
      </c>
      <c r="I231" s="336" t="s">
        <v>428</v>
      </c>
      <c r="J231" s="68"/>
      <c r="K231" s="336" t="s">
        <v>17</v>
      </c>
      <c r="L231" s="336" t="s">
        <v>17</v>
      </c>
      <c r="M231" s="68"/>
      <c r="N231" s="336" t="s">
        <v>443</v>
      </c>
      <c r="O231" s="336"/>
      <c r="P231" s="53"/>
    </row>
    <row r="232" spans="1:16" ht="60">
      <c r="A232" s="336">
        <v>5</v>
      </c>
      <c r="B232" s="614"/>
      <c r="C232" s="614"/>
      <c r="D232" s="344" t="s">
        <v>444</v>
      </c>
      <c r="E232" s="339" t="s">
        <v>445</v>
      </c>
      <c r="F232" s="336" t="s">
        <v>446</v>
      </c>
      <c r="G232" s="68">
        <v>6.43</v>
      </c>
      <c r="H232" s="336">
        <v>28.87</v>
      </c>
      <c r="I232" s="336" t="s">
        <v>428</v>
      </c>
      <c r="J232" s="68"/>
      <c r="K232" s="336"/>
      <c r="L232" s="336"/>
      <c r="M232" s="68"/>
      <c r="N232" s="336"/>
      <c r="O232" s="336"/>
      <c r="P232" s="53"/>
    </row>
    <row r="233" spans="1:16" ht="75">
      <c r="A233" s="336">
        <v>6</v>
      </c>
      <c r="B233" s="614"/>
      <c r="C233" s="614"/>
      <c r="D233" s="344" t="s">
        <v>447</v>
      </c>
      <c r="E233" s="339" t="s">
        <v>448</v>
      </c>
      <c r="F233" s="336" t="s">
        <v>449</v>
      </c>
      <c r="G233" s="68">
        <v>3.89</v>
      </c>
      <c r="H233" s="336">
        <v>17.04</v>
      </c>
      <c r="I233" s="336" t="s">
        <v>428</v>
      </c>
      <c r="J233" s="68"/>
      <c r="K233" s="336"/>
      <c r="L233" s="336"/>
      <c r="M233" s="68"/>
      <c r="N233" s="336"/>
      <c r="O233" s="336" t="s">
        <v>430</v>
      </c>
      <c r="P233" s="53" t="s">
        <v>430</v>
      </c>
    </row>
    <row r="234" spans="1:16" ht="242.25" customHeight="1">
      <c r="A234" s="336">
        <v>7</v>
      </c>
      <c r="B234" s="614"/>
      <c r="C234" s="625" t="s">
        <v>450</v>
      </c>
      <c r="D234" s="344" t="s">
        <v>451</v>
      </c>
      <c r="E234" s="336" t="s">
        <v>452</v>
      </c>
      <c r="F234" s="336" t="s">
        <v>453</v>
      </c>
      <c r="G234" s="68" t="s">
        <v>454</v>
      </c>
      <c r="H234" s="336"/>
      <c r="I234" s="336" t="s">
        <v>418</v>
      </c>
      <c r="J234" s="68" t="s">
        <v>454</v>
      </c>
      <c r="K234" s="68" t="s">
        <v>454</v>
      </c>
      <c r="L234" s="336" t="s">
        <v>455</v>
      </c>
      <c r="M234" s="68" t="s">
        <v>454</v>
      </c>
      <c r="N234" s="336" t="s">
        <v>455</v>
      </c>
      <c r="O234" s="336"/>
      <c r="P234" s="53" t="s">
        <v>456</v>
      </c>
    </row>
    <row r="235" spans="1:16" ht="246" customHeight="1">
      <c r="A235" s="336">
        <v>8</v>
      </c>
      <c r="B235" s="614"/>
      <c r="C235" s="625"/>
      <c r="D235" s="344" t="s">
        <v>451</v>
      </c>
      <c r="E235" s="336">
        <v>430</v>
      </c>
      <c r="F235" s="336" t="s">
        <v>453</v>
      </c>
      <c r="G235" s="68" t="s">
        <v>454</v>
      </c>
      <c r="H235" s="336"/>
      <c r="I235" s="336" t="s">
        <v>418</v>
      </c>
      <c r="J235" s="68" t="s">
        <v>454</v>
      </c>
      <c r="K235" s="68" t="s">
        <v>454</v>
      </c>
      <c r="L235" s="336" t="s">
        <v>455</v>
      </c>
      <c r="M235" s="68" t="s">
        <v>454</v>
      </c>
      <c r="N235" s="336" t="s">
        <v>455</v>
      </c>
      <c r="O235" s="336"/>
      <c r="P235" s="53" t="s">
        <v>456</v>
      </c>
    </row>
    <row r="236" spans="1:16" ht="60">
      <c r="A236" s="336">
        <v>9</v>
      </c>
      <c r="B236" s="614"/>
      <c r="C236" s="50" t="s">
        <v>457</v>
      </c>
      <c r="D236" s="344" t="s">
        <v>458</v>
      </c>
      <c r="E236" s="336">
        <v>12233</v>
      </c>
      <c r="F236" s="336" t="s">
        <v>459</v>
      </c>
      <c r="G236" s="336">
        <v>0.22</v>
      </c>
      <c r="H236" s="336">
        <v>3.5000000000000003E-2</v>
      </c>
      <c r="I236" s="339" t="s">
        <v>150</v>
      </c>
      <c r="J236" s="336" t="s">
        <v>17</v>
      </c>
      <c r="K236" s="336" t="s">
        <v>17</v>
      </c>
      <c r="L236" s="336" t="s">
        <v>17</v>
      </c>
      <c r="M236" s="336" t="s">
        <v>17</v>
      </c>
      <c r="N236" s="339" t="s">
        <v>460</v>
      </c>
      <c r="O236" s="336">
        <f>---R234</f>
        <v>0</v>
      </c>
      <c r="P236" s="123"/>
    </row>
    <row r="237" spans="1:16" ht="60">
      <c r="A237" s="339">
        <v>10</v>
      </c>
      <c r="B237" s="614"/>
      <c r="C237" s="344" t="s">
        <v>461</v>
      </c>
      <c r="D237" s="344" t="s">
        <v>462</v>
      </c>
      <c r="E237" s="339" t="s">
        <v>463</v>
      </c>
      <c r="F237" s="339" t="s">
        <v>464</v>
      </c>
      <c r="G237" s="379">
        <f>2265120/10000000</f>
        <v>0.22651199999999999</v>
      </c>
      <c r="H237" s="339"/>
      <c r="I237" s="53"/>
      <c r="J237" s="339" t="s">
        <v>465</v>
      </c>
      <c r="K237" s="339" t="s">
        <v>465</v>
      </c>
      <c r="L237" s="339" t="s">
        <v>465</v>
      </c>
      <c r="M237" s="339" t="s">
        <v>465</v>
      </c>
      <c r="N237" s="339" t="s">
        <v>465</v>
      </c>
      <c r="O237" s="339" t="s">
        <v>465</v>
      </c>
      <c r="P237" s="53" t="s">
        <v>465</v>
      </c>
    </row>
    <row r="238" spans="1:16">
      <c r="A238" s="595"/>
      <c r="B238" s="595"/>
      <c r="C238" s="595"/>
      <c r="D238" s="595"/>
      <c r="E238" s="595"/>
      <c r="F238" s="595"/>
      <c r="G238" s="595"/>
      <c r="H238" s="595"/>
      <c r="I238" s="595"/>
      <c r="J238" s="595"/>
      <c r="K238" s="595"/>
      <c r="L238" s="595"/>
      <c r="M238" s="595"/>
      <c r="N238" s="595"/>
      <c r="O238" s="595"/>
      <c r="P238" s="595"/>
    </row>
    <row r="239" spans="1:16" ht="20.25" customHeight="1">
      <c r="A239" s="559" t="s">
        <v>88</v>
      </c>
      <c r="B239" s="559"/>
      <c r="C239" s="559"/>
      <c r="D239" s="559"/>
      <c r="E239" s="559"/>
      <c r="F239" s="559"/>
      <c r="G239" s="559"/>
      <c r="H239" s="559"/>
      <c r="I239" s="559"/>
      <c r="J239" s="559"/>
      <c r="K239" s="559"/>
      <c r="L239" s="559"/>
      <c r="M239" s="559"/>
      <c r="N239" s="559"/>
      <c r="O239" s="559"/>
      <c r="P239" s="588"/>
    </row>
    <row r="240" spans="1:16" ht="102" customHeight="1">
      <c r="A240" s="46" t="s">
        <v>0</v>
      </c>
      <c r="B240" s="46" t="s">
        <v>2582</v>
      </c>
      <c r="C240" s="46" t="s">
        <v>1</v>
      </c>
      <c r="D240" s="46" t="s">
        <v>2596</v>
      </c>
      <c r="E240" s="67" t="s">
        <v>62</v>
      </c>
      <c r="F240" s="67" t="s">
        <v>63</v>
      </c>
      <c r="G240" s="46" t="s">
        <v>2560</v>
      </c>
      <c r="H240" s="46" t="s">
        <v>2561</v>
      </c>
      <c r="I240" s="46" t="s">
        <v>65</v>
      </c>
      <c r="J240" s="46" t="s">
        <v>5</v>
      </c>
      <c r="K240" s="46" t="s">
        <v>6</v>
      </c>
      <c r="L240" s="46" t="s">
        <v>66</v>
      </c>
      <c r="M240" s="46" t="s">
        <v>67</v>
      </c>
      <c r="N240" s="67" t="s">
        <v>68</v>
      </c>
      <c r="O240" s="74" t="s">
        <v>69</v>
      </c>
      <c r="P240" s="588"/>
    </row>
    <row r="241" spans="1:16">
      <c r="A241" s="345">
        <v>1</v>
      </c>
      <c r="B241" s="79">
        <v>2</v>
      </c>
      <c r="C241" s="79">
        <v>3</v>
      </c>
      <c r="D241" s="79">
        <v>4</v>
      </c>
      <c r="E241" s="79">
        <v>5</v>
      </c>
      <c r="F241" s="79">
        <v>6</v>
      </c>
      <c r="G241" s="79">
        <v>7</v>
      </c>
      <c r="H241" s="79">
        <v>8</v>
      </c>
      <c r="I241" s="79">
        <v>9</v>
      </c>
      <c r="J241" s="79">
        <v>10</v>
      </c>
      <c r="K241" s="79">
        <v>11</v>
      </c>
      <c r="L241" s="79">
        <v>12</v>
      </c>
      <c r="M241" s="79">
        <v>13</v>
      </c>
      <c r="N241" s="79">
        <v>14</v>
      </c>
      <c r="O241" s="79">
        <v>15</v>
      </c>
      <c r="P241" s="588"/>
    </row>
    <row r="242" spans="1:16" ht="108" customHeight="1">
      <c r="A242" s="335">
        <v>1</v>
      </c>
      <c r="B242" s="614" t="s">
        <v>2607</v>
      </c>
      <c r="C242" s="352" t="s">
        <v>466</v>
      </c>
      <c r="D242" s="352" t="s">
        <v>426</v>
      </c>
      <c r="E242" s="335">
        <f>4673+3904</f>
        <v>8577</v>
      </c>
      <c r="F242" s="335" t="s">
        <v>467</v>
      </c>
      <c r="G242" s="335">
        <v>8.6E-3</v>
      </c>
      <c r="H242" s="335">
        <v>185.01</v>
      </c>
      <c r="I242" s="49" t="s">
        <v>428</v>
      </c>
      <c r="J242" s="335" t="s">
        <v>17</v>
      </c>
      <c r="K242" s="335" t="s">
        <v>17</v>
      </c>
      <c r="L242" s="335" t="s">
        <v>17</v>
      </c>
      <c r="M242" s="335"/>
      <c r="N242" s="335">
        <v>1</v>
      </c>
      <c r="O242" s="77" t="s">
        <v>468</v>
      </c>
      <c r="P242" s="588"/>
    </row>
    <row r="243" spans="1:16" ht="66" customHeight="1">
      <c r="A243" s="335">
        <v>2</v>
      </c>
      <c r="B243" s="614"/>
      <c r="C243" s="28" t="s">
        <v>469</v>
      </c>
      <c r="D243" s="28" t="s">
        <v>470</v>
      </c>
      <c r="E243" s="49" t="s">
        <v>471</v>
      </c>
      <c r="F243" s="335" t="s">
        <v>472</v>
      </c>
      <c r="G243" s="49" t="s">
        <v>473</v>
      </c>
      <c r="H243" s="380" t="s">
        <v>474</v>
      </c>
      <c r="I243" s="335" t="s">
        <v>150</v>
      </c>
      <c r="J243" s="335" t="s">
        <v>17</v>
      </c>
      <c r="K243" s="335" t="s">
        <v>87</v>
      </c>
      <c r="L243" s="335" t="s">
        <v>87</v>
      </c>
      <c r="M243" s="335"/>
      <c r="N243" s="335">
        <v>2</v>
      </c>
      <c r="O243" s="77" t="s">
        <v>475</v>
      </c>
      <c r="P243" s="588"/>
    </row>
    <row r="244" spans="1:16" ht="91.5" customHeight="1">
      <c r="A244" s="49">
        <v>3</v>
      </c>
      <c r="B244" s="614"/>
      <c r="C244" s="352" t="s">
        <v>476</v>
      </c>
      <c r="D244" s="352" t="s">
        <v>477</v>
      </c>
      <c r="E244" s="49" t="s">
        <v>478</v>
      </c>
      <c r="F244" s="235">
        <v>37487</v>
      </c>
      <c r="G244" s="49" t="s">
        <v>479</v>
      </c>
      <c r="H244" s="49" t="s">
        <v>480</v>
      </c>
      <c r="I244" s="335" t="s">
        <v>150</v>
      </c>
      <c r="J244" s="615" t="s">
        <v>87</v>
      </c>
      <c r="K244" s="615"/>
      <c r="L244" s="615"/>
      <c r="M244" s="615"/>
      <c r="N244" s="615"/>
      <c r="O244" s="615"/>
      <c r="P244" s="588"/>
    </row>
    <row r="245" spans="1:16" ht="287.25" customHeight="1">
      <c r="A245" s="335">
        <v>4</v>
      </c>
      <c r="B245" s="614"/>
      <c r="C245" s="75" t="s">
        <v>481</v>
      </c>
      <c r="D245" s="352" t="s">
        <v>482</v>
      </c>
      <c r="E245" s="335">
        <v>5740.5</v>
      </c>
      <c r="F245" s="49" t="s">
        <v>483</v>
      </c>
      <c r="G245" s="49" t="s">
        <v>484</v>
      </c>
      <c r="H245" s="335" t="s">
        <v>485</v>
      </c>
      <c r="I245" s="335" t="s">
        <v>150</v>
      </c>
      <c r="J245" s="69" t="s">
        <v>17</v>
      </c>
      <c r="K245" s="69"/>
      <c r="L245" s="381" t="s">
        <v>6989</v>
      </c>
      <c r="M245" s="335"/>
      <c r="N245" s="335"/>
      <c r="O245" s="49"/>
      <c r="P245" s="588"/>
    </row>
    <row r="246" spans="1:16" ht="363.75" customHeight="1">
      <c r="A246" s="335">
        <v>5</v>
      </c>
      <c r="B246" s="614"/>
      <c r="C246" s="614" t="s">
        <v>486</v>
      </c>
      <c r="D246" s="352" t="s">
        <v>487</v>
      </c>
      <c r="E246" s="49" t="s">
        <v>488</v>
      </c>
      <c r="F246" s="49" t="s">
        <v>489</v>
      </c>
      <c r="G246" s="49" t="s">
        <v>490</v>
      </c>
      <c r="H246" s="49" t="s">
        <v>491</v>
      </c>
      <c r="I246" s="49" t="s">
        <v>150</v>
      </c>
      <c r="J246" s="69" t="s">
        <v>454</v>
      </c>
      <c r="K246" s="69" t="s">
        <v>454</v>
      </c>
      <c r="L246" s="69" t="s">
        <v>454</v>
      </c>
      <c r="M246" s="69" t="s">
        <v>454</v>
      </c>
      <c r="N246" s="335">
        <v>5</v>
      </c>
      <c r="O246" s="381" t="s">
        <v>492</v>
      </c>
      <c r="P246" s="588"/>
    </row>
    <row r="247" spans="1:16" ht="125.25" customHeight="1">
      <c r="A247" s="335">
        <v>6</v>
      </c>
      <c r="B247" s="614"/>
      <c r="C247" s="614"/>
      <c r="D247" s="352" t="s">
        <v>493</v>
      </c>
      <c r="E247" s="49" t="s">
        <v>494</v>
      </c>
      <c r="F247" s="382" t="s">
        <v>495</v>
      </c>
      <c r="G247" s="49" t="s">
        <v>496</v>
      </c>
      <c r="H247" s="49" t="s">
        <v>497</v>
      </c>
      <c r="I247" s="335" t="s">
        <v>150</v>
      </c>
      <c r="J247" s="69" t="s">
        <v>454</v>
      </c>
      <c r="K247" s="69" t="s">
        <v>454</v>
      </c>
      <c r="L247" s="69" t="s">
        <v>454</v>
      </c>
      <c r="M247" s="69" t="s">
        <v>454</v>
      </c>
      <c r="N247" s="335">
        <v>6</v>
      </c>
      <c r="O247" s="77" t="s">
        <v>2394</v>
      </c>
      <c r="P247" s="588"/>
    </row>
    <row r="248" spans="1:16" ht="135">
      <c r="A248" s="335">
        <v>7</v>
      </c>
      <c r="B248" s="614"/>
      <c r="C248" s="625" t="s">
        <v>450</v>
      </c>
      <c r="D248" s="352" t="s">
        <v>498</v>
      </c>
      <c r="E248" s="335">
        <v>452</v>
      </c>
      <c r="F248" s="49" t="s">
        <v>499</v>
      </c>
      <c r="G248" s="69" t="s">
        <v>454</v>
      </c>
      <c r="H248" s="335"/>
      <c r="I248" s="335" t="s">
        <v>150</v>
      </c>
      <c r="J248" s="69" t="s">
        <v>454</v>
      </c>
      <c r="K248" s="69" t="s">
        <v>454</v>
      </c>
      <c r="L248" s="69" t="s">
        <v>454</v>
      </c>
      <c r="M248" s="335"/>
      <c r="N248" s="335">
        <v>7</v>
      </c>
      <c r="O248" s="77" t="s">
        <v>500</v>
      </c>
      <c r="P248" s="588"/>
    </row>
    <row r="249" spans="1:16" ht="135">
      <c r="A249" s="335">
        <v>8</v>
      </c>
      <c r="B249" s="614"/>
      <c r="C249" s="625"/>
      <c r="D249" s="352" t="s">
        <v>501</v>
      </c>
      <c r="E249" s="335">
        <v>980</v>
      </c>
      <c r="F249" s="49" t="s">
        <v>502</v>
      </c>
      <c r="G249" s="49" t="s">
        <v>503</v>
      </c>
      <c r="H249" s="335"/>
      <c r="I249" s="335" t="s">
        <v>150</v>
      </c>
      <c r="J249" s="69" t="s">
        <v>454</v>
      </c>
      <c r="K249" s="69" t="s">
        <v>454</v>
      </c>
      <c r="L249" s="69" t="s">
        <v>454</v>
      </c>
      <c r="M249" s="335"/>
      <c r="N249" s="335">
        <v>8</v>
      </c>
      <c r="O249" s="77" t="s">
        <v>504</v>
      </c>
      <c r="P249" s="588"/>
    </row>
    <row r="250" spans="1:16" ht="60" customHeight="1">
      <c r="A250" s="335">
        <v>9</v>
      </c>
      <c r="B250" s="614"/>
      <c r="C250" s="625"/>
      <c r="D250" s="352" t="s">
        <v>505</v>
      </c>
      <c r="E250" s="335">
        <v>1789</v>
      </c>
      <c r="F250" s="335" t="s">
        <v>506</v>
      </c>
      <c r="G250" s="69" t="s">
        <v>454</v>
      </c>
      <c r="H250" s="335"/>
      <c r="I250" s="335" t="s">
        <v>150</v>
      </c>
      <c r="J250" s="69" t="s">
        <v>454</v>
      </c>
      <c r="K250" s="69" t="s">
        <v>454</v>
      </c>
      <c r="L250" s="69" t="s">
        <v>454</v>
      </c>
      <c r="M250" s="335"/>
      <c r="N250" s="335"/>
      <c r="O250" s="381" t="s">
        <v>507</v>
      </c>
      <c r="P250" s="588"/>
    </row>
    <row r="251" spans="1:16" ht="109.5" customHeight="1">
      <c r="A251" s="49">
        <v>10</v>
      </c>
      <c r="B251" s="614"/>
      <c r="C251" s="614" t="s">
        <v>508</v>
      </c>
      <c r="D251" s="352" t="s">
        <v>509</v>
      </c>
      <c r="E251" s="49">
        <v>5273</v>
      </c>
      <c r="F251" s="49">
        <v>1973</v>
      </c>
      <c r="G251" s="49" t="s">
        <v>510</v>
      </c>
      <c r="H251" s="49">
        <v>4.6050000000000004</v>
      </c>
      <c r="I251" s="335" t="s">
        <v>150</v>
      </c>
      <c r="J251" s="49" t="s">
        <v>17</v>
      </c>
      <c r="K251" s="49" t="s">
        <v>17</v>
      </c>
      <c r="L251" s="49" t="s">
        <v>87</v>
      </c>
      <c r="M251" s="49" t="s">
        <v>511</v>
      </c>
      <c r="N251" s="49">
        <v>9</v>
      </c>
      <c r="O251" s="49"/>
      <c r="P251" s="588"/>
    </row>
    <row r="252" spans="1:16" ht="138" customHeight="1">
      <c r="A252" s="49">
        <v>11</v>
      </c>
      <c r="B252" s="614"/>
      <c r="C252" s="614"/>
      <c r="D252" s="352" t="s">
        <v>512</v>
      </c>
      <c r="E252" s="49">
        <v>2289</v>
      </c>
      <c r="F252" s="49">
        <v>1955</v>
      </c>
      <c r="G252" s="49" t="s">
        <v>513</v>
      </c>
      <c r="H252" s="49">
        <v>3.5489999999999999</v>
      </c>
      <c r="I252" s="335" t="s">
        <v>150</v>
      </c>
      <c r="J252" s="49" t="s">
        <v>17</v>
      </c>
      <c r="K252" s="49" t="s">
        <v>17</v>
      </c>
      <c r="L252" s="49" t="s">
        <v>87</v>
      </c>
      <c r="M252" s="49" t="s">
        <v>511</v>
      </c>
      <c r="N252" s="49">
        <v>10</v>
      </c>
      <c r="O252" s="49"/>
      <c r="P252" s="588"/>
    </row>
    <row r="253" spans="1:16" ht="107.25" customHeight="1">
      <c r="A253" s="49">
        <v>12</v>
      </c>
      <c r="B253" s="614"/>
      <c r="C253" s="614"/>
      <c r="D253" s="352" t="s">
        <v>514</v>
      </c>
      <c r="E253" s="380">
        <v>5262</v>
      </c>
      <c r="F253" s="49">
        <v>1956</v>
      </c>
      <c r="G253" s="49">
        <v>3.0000000000000001E-3</v>
      </c>
      <c r="H253" s="49" t="s">
        <v>87</v>
      </c>
      <c r="I253" s="335" t="s">
        <v>150</v>
      </c>
      <c r="J253" s="49" t="s">
        <v>17</v>
      </c>
      <c r="K253" s="49" t="s">
        <v>17</v>
      </c>
      <c r="L253" s="49" t="s">
        <v>87</v>
      </c>
      <c r="M253" s="49" t="s">
        <v>515</v>
      </c>
      <c r="N253" s="49">
        <v>11</v>
      </c>
      <c r="O253" s="383" t="s">
        <v>346</v>
      </c>
      <c r="P253" s="588"/>
    </row>
    <row r="254" spans="1:16" ht="105" customHeight="1">
      <c r="A254" s="49">
        <v>13</v>
      </c>
      <c r="B254" s="614"/>
      <c r="C254" s="614"/>
      <c r="D254" s="352" t="s">
        <v>516</v>
      </c>
      <c r="E254" s="49">
        <v>1248</v>
      </c>
      <c r="F254" s="49">
        <v>1994</v>
      </c>
      <c r="G254" s="49" t="s">
        <v>517</v>
      </c>
      <c r="H254" s="49" t="s">
        <v>518</v>
      </c>
      <c r="I254" s="335" t="s">
        <v>150</v>
      </c>
      <c r="J254" s="49" t="s">
        <v>17</v>
      </c>
      <c r="K254" s="49" t="s">
        <v>17</v>
      </c>
      <c r="L254" s="49" t="s">
        <v>87</v>
      </c>
      <c r="M254" s="49" t="s">
        <v>515</v>
      </c>
      <c r="N254" s="49">
        <v>12</v>
      </c>
      <c r="O254" s="49"/>
      <c r="P254" s="588"/>
    </row>
    <row r="255" spans="1:16" ht="93.75" customHeight="1">
      <c r="A255" s="49">
        <v>14</v>
      </c>
      <c r="B255" s="614"/>
      <c r="C255" s="614"/>
      <c r="D255" s="352" t="s">
        <v>519</v>
      </c>
      <c r="E255" s="49">
        <v>295</v>
      </c>
      <c r="F255" s="49">
        <v>1990</v>
      </c>
      <c r="G255" s="49">
        <v>0.30599999999999999</v>
      </c>
      <c r="H255" s="49" t="s">
        <v>515</v>
      </c>
      <c r="I255" s="335" t="s">
        <v>150</v>
      </c>
      <c r="J255" s="49" t="s">
        <v>17</v>
      </c>
      <c r="K255" s="49" t="s">
        <v>17</v>
      </c>
      <c r="L255" s="49" t="s">
        <v>87</v>
      </c>
      <c r="M255" s="49" t="s">
        <v>518</v>
      </c>
      <c r="N255" s="49">
        <v>13</v>
      </c>
      <c r="O255" s="49"/>
      <c r="P255" s="588"/>
    </row>
    <row r="256" spans="1:16" ht="75">
      <c r="A256" s="49">
        <v>15</v>
      </c>
      <c r="B256" s="614"/>
      <c r="C256" s="614"/>
      <c r="D256" s="352" t="s">
        <v>520</v>
      </c>
      <c r="E256" s="49">
        <v>500</v>
      </c>
      <c r="F256" s="49">
        <v>1992</v>
      </c>
      <c r="G256" s="49">
        <v>0.33800000000000002</v>
      </c>
      <c r="H256" s="49" t="s">
        <v>511</v>
      </c>
      <c r="I256" s="335" t="s">
        <v>150</v>
      </c>
      <c r="J256" s="49" t="s">
        <v>17</v>
      </c>
      <c r="K256" s="49" t="s">
        <v>17</v>
      </c>
      <c r="L256" s="49" t="s">
        <v>87</v>
      </c>
      <c r="M256" s="49" t="s">
        <v>515</v>
      </c>
      <c r="N256" s="49">
        <v>14</v>
      </c>
      <c r="O256" s="49"/>
      <c r="P256" s="588"/>
    </row>
    <row r="257" spans="1:16" ht="60" customHeight="1">
      <c r="A257" s="49">
        <v>16</v>
      </c>
      <c r="B257" s="614"/>
      <c r="C257" s="614"/>
      <c r="D257" s="352" t="s">
        <v>521</v>
      </c>
      <c r="E257" s="49">
        <v>2296</v>
      </c>
      <c r="F257" s="49">
        <v>1992</v>
      </c>
      <c r="G257" s="49">
        <v>0.75</v>
      </c>
      <c r="H257" s="49">
        <v>5.1397000000000004</v>
      </c>
      <c r="I257" s="335" t="s">
        <v>150</v>
      </c>
      <c r="J257" s="49" t="s">
        <v>17</v>
      </c>
      <c r="K257" s="49" t="s">
        <v>17</v>
      </c>
      <c r="L257" s="49" t="s">
        <v>87</v>
      </c>
      <c r="M257" s="49"/>
      <c r="N257" s="49">
        <v>15</v>
      </c>
      <c r="O257" s="49"/>
      <c r="P257" s="588"/>
    </row>
    <row r="258" spans="1:16" ht="63" customHeight="1">
      <c r="A258" s="49">
        <v>17</v>
      </c>
      <c r="B258" s="614"/>
      <c r="C258" s="614"/>
      <c r="D258" s="352" t="s">
        <v>522</v>
      </c>
      <c r="E258" s="49">
        <v>1417.7</v>
      </c>
      <c r="F258" s="49" t="s">
        <v>523</v>
      </c>
      <c r="G258" s="49">
        <v>0.03</v>
      </c>
      <c r="H258" s="49">
        <v>0.42</v>
      </c>
      <c r="I258" s="335" t="s">
        <v>150</v>
      </c>
      <c r="J258" s="49" t="s">
        <v>17</v>
      </c>
      <c r="K258" s="49" t="s">
        <v>17</v>
      </c>
      <c r="L258" s="49" t="s">
        <v>87</v>
      </c>
      <c r="M258" s="49" t="s">
        <v>511</v>
      </c>
      <c r="N258" s="49">
        <v>16</v>
      </c>
      <c r="O258" s="49"/>
      <c r="P258" s="588"/>
    </row>
    <row r="259" spans="1:16" ht="30">
      <c r="A259" s="49">
        <v>18</v>
      </c>
      <c r="B259" s="614"/>
      <c r="C259" s="614"/>
      <c r="D259" s="352" t="s">
        <v>524</v>
      </c>
      <c r="E259" s="49">
        <v>927</v>
      </c>
      <c r="F259" s="49" t="s">
        <v>525</v>
      </c>
      <c r="G259" s="49">
        <v>0.56820000000000004</v>
      </c>
      <c r="H259" s="49">
        <v>2.1800000000000002</v>
      </c>
      <c r="I259" s="335" t="s">
        <v>150</v>
      </c>
      <c r="J259" s="49" t="s">
        <v>17</v>
      </c>
      <c r="K259" s="49" t="s">
        <v>17</v>
      </c>
      <c r="L259" s="49" t="s">
        <v>87</v>
      </c>
      <c r="M259" s="49"/>
      <c r="N259" s="49">
        <v>17</v>
      </c>
      <c r="O259" s="49"/>
      <c r="P259" s="588"/>
    </row>
    <row r="260" spans="1:16" ht="75">
      <c r="A260" s="49">
        <v>19</v>
      </c>
      <c r="B260" s="614"/>
      <c r="C260" s="614"/>
      <c r="D260" s="352" t="s">
        <v>526</v>
      </c>
      <c r="E260" s="49">
        <v>752</v>
      </c>
      <c r="F260" s="49" t="s">
        <v>527</v>
      </c>
      <c r="G260" s="49">
        <v>0.75</v>
      </c>
      <c r="H260" s="49">
        <v>0</v>
      </c>
      <c r="I260" s="335" t="s">
        <v>150</v>
      </c>
      <c r="J260" s="49" t="s">
        <v>17</v>
      </c>
      <c r="K260" s="49" t="s">
        <v>17</v>
      </c>
      <c r="L260" s="49" t="s">
        <v>87</v>
      </c>
      <c r="M260" s="49"/>
      <c r="N260" s="49">
        <v>18</v>
      </c>
      <c r="O260" s="49"/>
      <c r="P260" s="588"/>
    </row>
    <row r="261" spans="1:16" ht="75">
      <c r="A261" s="49">
        <v>20</v>
      </c>
      <c r="B261" s="614"/>
      <c r="C261" s="614"/>
      <c r="D261" s="352" t="s">
        <v>528</v>
      </c>
      <c r="E261" s="49">
        <v>2306</v>
      </c>
      <c r="F261" s="49" t="s">
        <v>529</v>
      </c>
      <c r="G261" s="49" t="s">
        <v>530</v>
      </c>
      <c r="H261" s="49" t="s">
        <v>531</v>
      </c>
      <c r="I261" s="335" t="s">
        <v>150</v>
      </c>
      <c r="J261" s="49" t="s">
        <v>17</v>
      </c>
      <c r="K261" s="49" t="s">
        <v>17</v>
      </c>
      <c r="L261" s="49" t="s">
        <v>87</v>
      </c>
      <c r="M261" s="49" t="s">
        <v>515</v>
      </c>
      <c r="N261" s="49">
        <v>19</v>
      </c>
      <c r="O261" s="49"/>
      <c r="P261" s="588"/>
    </row>
    <row r="262" spans="1:16" ht="60">
      <c r="A262" s="335">
        <v>21</v>
      </c>
      <c r="B262" s="614"/>
      <c r="C262" s="553" t="s">
        <v>461</v>
      </c>
      <c r="D262" s="344" t="s">
        <v>532</v>
      </c>
      <c r="E262" s="339" t="s">
        <v>533</v>
      </c>
      <c r="F262" s="339" t="s">
        <v>534</v>
      </c>
      <c r="G262" s="339">
        <f>6038092/10000000</f>
        <v>0.60380920000000005</v>
      </c>
      <c r="H262" s="339"/>
      <c r="I262" s="339" t="s">
        <v>535</v>
      </c>
      <c r="J262" s="339" t="s">
        <v>17</v>
      </c>
      <c r="K262" s="339" t="s">
        <v>17</v>
      </c>
      <c r="L262" s="339" t="s">
        <v>17</v>
      </c>
      <c r="M262" s="339"/>
      <c r="N262" s="339">
        <v>20</v>
      </c>
      <c r="O262" s="339"/>
      <c r="P262" s="588"/>
    </row>
    <row r="263" spans="1:16" ht="60">
      <c r="A263" s="49">
        <v>22</v>
      </c>
      <c r="B263" s="614"/>
      <c r="C263" s="553"/>
      <c r="D263" s="344" t="s">
        <v>536</v>
      </c>
      <c r="E263" s="339" t="s">
        <v>537</v>
      </c>
      <c r="F263" s="339" t="s">
        <v>538</v>
      </c>
      <c r="G263" s="339">
        <f>13445662/10000000</f>
        <v>1.3445662</v>
      </c>
      <c r="H263" s="339"/>
      <c r="I263" s="339" t="s">
        <v>535</v>
      </c>
      <c r="J263" s="339" t="s">
        <v>465</v>
      </c>
      <c r="K263" s="339" t="s">
        <v>465</v>
      </c>
      <c r="L263" s="339" t="s">
        <v>465</v>
      </c>
      <c r="M263" s="339" t="s">
        <v>465</v>
      </c>
      <c r="N263" s="339">
        <v>21</v>
      </c>
      <c r="O263" s="339" t="s">
        <v>465</v>
      </c>
      <c r="P263" s="588"/>
    </row>
    <row r="264" spans="1:16" ht="30">
      <c r="A264" s="336">
        <v>23</v>
      </c>
      <c r="B264" s="614"/>
      <c r="C264" s="553"/>
      <c r="D264" s="344" t="s">
        <v>539</v>
      </c>
      <c r="E264" s="339" t="s">
        <v>540</v>
      </c>
      <c r="F264" s="339">
        <v>1989</v>
      </c>
      <c r="G264" s="339">
        <v>3.36</v>
      </c>
      <c r="H264" s="339"/>
      <c r="I264" s="339" t="s">
        <v>535</v>
      </c>
      <c r="J264" s="339" t="s">
        <v>541</v>
      </c>
      <c r="K264" s="339" t="s">
        <v>541</v>
      </c>
      <c r="L264" s="339" t="s">
        <v>541</v>
      </c>
      <c r="M264" s="339" t="s">
        <v>541</v>
      </c>
      <c r="N264" s="339">
        <v>22</v>
      </c>
      <c r="O264" s="339"/>
      <c r="P264" s="588"/>
    </row>
    <row r="265" spans="1:16" ht="45">
      <c r="A265" s="336">
        <v>24</v>
      </c>
      <c r="B265" s="614"/>
      <c r="C265" s="553"/>
      <c r="D265" s="344" t="s">
        <v>542</v>
      </c>
      <c r="E265" s="339">
        <v>1864.5</v>
      </c>
      <c r="F265" s="339">
        <v>1995</v>
      </c>
      <c r="G265" s="339" t="s">
        <v>543</v>
      </c>
      <c r="H265" s="339"/>
      <c r="I265" s="339" t="s">
        <v>535</v>
      </c>
      <c r="J265" s="339" t="s">
        <v>87</v>
      </c>
      <c r="K265" s="339" t="s">
        <v>87</v>
      </c>
      <c r="L265" s="339" t="s">
        <v>87</v>
      </c>
      <c r="M265" s="339"/>
      <c r="N265" s="339">
        <v>23</v>
      </c>
      <c r="O265" s="339"/>
      <c r="P265" s="588"/>
    </row>
    <row r="266" spans="1:16">
      <c r="A266" s="600"/>
      <c r="B266" s="600"/>
      <c r="C266" s="600"/>
      <c r="D266" s="600"/>
      <c r="E266" s="600"/>
      <c r="F266" s="600"/>
      <c r="G266" s="600"/>
      <c r="H266" s="600"/>
      <c r="I266" s="600"/>
      <c r="J266" s="600"/>
      <c r="K266" s="600"/>
      <c r="L266" s="600"/>
      <c r="M266" s="600"/>
      <c r="N266" s="600"/>
      <c r="O266" s="600"/>
      <c r="P266" s="600"/>
    </row>
    <row r="267" spans="1:16" ht="20.25">
      <c r="A267" s="559" t="s">
        <v>111</v>
      </c>
      <c r="B267" s="559"/>
      <c r="C267" s="559"/>
      <c r="D267" s="559"/>
      <c r="E267" s="559"/>
      <c r="F267" s="559"/>
      <c r="G267" s="559"/>
      <c r="H267" s="559"/>
      <c r="I267" s="559"/>
      <c r="J267" s="559"/>
      <c r="K267" s="559"/>
      <c r="L267" s="559"/>
      <c r="M267" s="559"/>
      <c r="N267" s="559"/>
      <c r="O267" s="559"/>
      <c r="P267" s="559"/>
    </row>
    <row r="268" spans="1:16" ht="100.5" customHeight="1">
      <c r="A268" s="46" t="s">
        <v>0</v>
      </c>
      <c r="B268" s="46" t="s">
        <v>2582</v>
      </c>
      <c r="C268" s="46" t="s">
        <v>1</v>
      </c>
      <c r="D268" s="46" t="s">
        <v>2596</v>
      </c>
      <c r="E268" s="46" t="s">
        <v>89</v>
      </c>
      <c r="F268" s="46" t="s">
        <v>63</v>
      </c>
      <c r="G268" s="46" t="s">
        <v>2590</v>
      </c>
      <c r="H268" s="46" t="s">
        <v>2561</v>
      </c>
      <c r="I268" s="46" t="s">
        <v>2391</v>
      </c>
      <c r="J268" s="46" t="s">
        <v>5</v>
      </c>
      <c r="K268" s="46" t="s">
        <v>6</v>
      </c>
      <c r="L268" s="46" t="s">
        <v>91</v>
      </c>
      <c r="M268" s="46" t="s">
        <v>67</v>
      </c>
      <c r="N268" s="67" t="s">
        <v>92</v>
      </c>
      <c r="O268" s="74" t="s">
        <v>11</v>
      </c>
      <c r="P268" s="613"/>
    </row>
    <row r="269" spans="1:16">
      <c r="A269" s="345">
        <v>1</v>
      </c>
      <c r="B269" s="79">
        <v>2</v>
      </c>
      <c r="C269" s="79">
        <v>3</v>
      </c>
      <c r="D269" s="79">
        <v>4</v>
      </c>
      <c r="E269" s="79">
        <v>5</v>
      </c>
      <c r="F269" s="79">
        <v>6</v>
      </c>
      <c r="G269" s="79">
        <v>7</v>
      </c>
      <c r="H269" s="79">
        <v>8</v>
      </c>
      <c r="I269" s="79">
        <v>9</v>
      </c>
      <c r="J269" s="79">
        <v>10</v>
      </c>
      <c r="K269" s="79">
        <v>11</v>
      </c>
      <c r="L269" s="79">
        <v>12</v>
      </c>
      <c r="M269" s="79">
        <v>13</v>
      </c>
      <c r="N269" s="79">
        <v>14</v>
      </c>
      <c r="O269" s="79">
        <v>15</v>
      </c>
      <c r="P269" s="613"/>
    </row>
    <row r="270" spans="1:16" ht="108.75" customHeight="1">
      <c r="A270" s="335">
        <v>1</v>
      </c>
      <c r="B270" s="614" t="s">
        <v>2607</v>
      </c>
      <c r="C270" s="614" t="s">
        <v>466</v>
      </c>
      <c r="D270" s="344" t="s">
        <v>431</v>
      </c>
      <c r="E270" s="336">
        <v>2943.22</v>
      </c>
      <c r="F270" s="336" t="s">
        <v>432</v>
      </c>
      <c r="G270" s="68">
        <v>0.04</v>
      </c>
      <c r="H270" s="336">
        <v>22.89</v>
      </c>
      <c r="I270" s="339" t="s">
        <v>428</v>
      </c>
      <c r="J270" s="335" t="s">
        <v>17</v>
      </c>
      <c r="K270" s="335" t="s">
        <v>17</v>
      </c>
      <c r="L270" s="335" t="s">
        <v>17</v>
      </c>
      <c r="M270" s="336">
        <v>566348</v>
      </c>
      <c r="N270" s="336">
        <v>1</v>
      </c>
      <c r="O270" s="637" t="s">
        <v>544</v>
      </c>
      <c r="P270" s="613"/>
    </row>
    <row r="271" spans="1:16" ht="75" customHeight="1">
      <c r="A271" s="335">
        <v>2</v>
      </c>
      <c r="B271" s="614"/>
      <c r="C271" s="614"/>
      <c r="D271" s="344" t="s">
        <v>436</v>
      </c>
      <c r="E271" s="339" t="s">
        <v>437</v>
      </c>
      <c r="F271" s="336" t="s">
        <v>438</v>
      </c>
      <c r="G271" s="68">
        <v>0.23</v>
      </c>
      <c r="H271" s="336">
        <v>797.06</v>
      </c>
      <c r="I271" s="336" t="s">
        <v>428</v>
      </c>
      <c r="J271" s="335" t="s">
        <v>17</v>
      </c>
      <c r="K271" s="335" t="s">
        <v>17</v>
      </c>
      <c r="L271" s="335" t="s">
        <v>17</v>
      </c>
      <c r="M271" s="336">
        <v>17573</v>
      </c>
      <c r="N271" s="335">
        <v>2</v>
      </c>
      <c r="O271" s="637"/>
      <c r="P271" s="613"/>
    </row>
    <row r="272" spans="1:16" ht="75">
      <c r="A272" s="335">
        <v>3</v>
      </c>
      <c r="B272" s="614"/>
      <c r="C272" s="614"/>
      <c r="D272" s="344" t="s">
        <v>440</v>
      </c>
      <c r="E272" s="339" t="s">
        <v>441</v>
      </c>
      <c r="F272" s="336" t="s">
        <v>442</v>
      </c>
      <c r="G272" s="68">
        <v>0.79</v>
      </c>
      <c r="H272" s="336">
        <v>1.8</v>
      </c>
      <c r="I272" s="336" t="s">
        <v>428</v>
      </c>
      <c r="J272" s="335" t="s">
        <v>17</v>
      </c>
      <c r="K272" s="335" t="s">
        <v>17</v>
      </c>
      <c r="L272" s="335" t="s">
        <v>17</v>
      </c>
      <c r="M272" s="336"/>
      <c r="N272" s="335">
        <v>3</v>
      </c>
      <c r="O272" s="637"/>
      <c r="P272" s="613"/>
    </row>
    <row r="273" spans="1:16" ht="75" customHeight="1">
      <c r="A273" s="335">
        <v>4</v>
      </c>
      <c r="B273" s="614"/>
      <c r="C273" s="614"/>
      <c r="D273" s="344" t="s">
        <v>444</v>
      </c>
      <c r="E273" s="339" t="s">
        <v>445</v>
      </c>
      <c r="F273" s="336" t="s">
        <v>446</v>
      </c>
      <c r="G273" s="68">
        <v>6.43</v>
      </c>
      <c r="H273" s="336">
        <v>28.87</v>
      </c>
      <c r="I273" s="336" t="s">
        <v>428</v>
      </c>
      <c r="J273" s="335" t="s">
        <v>17</v>
      </c>
      <c r="K273" s="335" t="s">
        <v>17</v>
      </c>
      <c r="L273" s="335" t="s">
        <v>17</v>
      </c>
      <c r="M273" s="336"/>
      <c r="N273" s="335">
        <v>4</v>
      </c>
      <c r="O273" s="637"/>
      <c r="P273" s="613"/>
    </row>
    <row r="274" spans="1:16" ht="75">
      <c r="A274" s="335">
        <v>5</v>
      </c>
      <c r="B274" s="614"/>
      <c r="C274" s="614"/>
      <c r="D274" s="344" t="s">
        <v>447</v>
      </c>
      <c r="E274" s="339" t="s">
        <v>448</v>
      </c>
      <c r="F274" s="336" t="s">
        <v>449</v>
      </c>
      <c r="G274" s="68">
        <v>3.89</v>
      </c>
      <c r="H274" s="336">
        <v>17.04</v>
      </c>
      <c r="I274" s="336" t="s">
        <v>428</v>
      </c>
      <c r="J274" s="335" t="s">
        <v>17</v>
      </c>
      <c r="K274" s="335" t="s">
        <v>17</v>
      </c>
      <c r="L274" s="335" t="s">
        <v>17</v>
      </c>
      <c r="M274" s="336"/>
      <c r="N274" s="335">
        <v>5</v>
      </c>
      <c r="O274" s="637"/>
      <c r="P274" s="613"/>
    </row>
    <row r="275" spans="1:16" ht="75">
      <c r="A275" s="335">
        <v>6</v>
      </c>
      <c r="B275" s="614"/>
      <c r="C275" s="75" t="s">
        <v>481</v>
      </c>
      <c r="D275" s="344" t="s">
        <v>545</v>
      </c>
      <c r="E275" s="335" t="s">
        <v>17</v>
      </c>
      <c r="F275" s="335" t="s">
        <v>17</v>
      </c>
      <c r="G275" s="335" t="s">
        <v>17</v>
      </c>
      <c r="H275" s="335" t="s">
        <v>17</v>
      </c>
      <c r="I275" s="335" t="s">
        <v>17</v>
      </c>
      <c r="J275" s="335" t="s">
        <v>17</v>
      </c>
      <c r="K275" s="335" t="s">
        <v>17</v>
      </c>
      <c r="L275" s="335" t="s">
        <v>17</v>
      </c>
      <c r="M275" s="335" t="s">
        <v>17</v>
      </c>
      <c r="N275" s="335">
        <v>6</v>
      </c>
      <c r="O275" s="637" t="s">
        <v>546</v>
      </c>
      <c r="P275" s="613"/>
    </row>
    <row r="276" spans="1:16" ht="60">
      <c r="A276" s="335">
        <v>7</v>
      </c>
      <c r="B276" s="614"/>
      <c r="C276" s="553" t="s">
        <v>486</v>
      </c>
      <c r="D276" s="344" t="s">
        <v>547</v>
      </c>
      <c r="E276" s="339" t="s">
        <v>548</v>
      </c>
      <c r="F276" s="384">
        <v>34973</v>
      </c>
      <c r="G276" s="339" t="s">
        <v>549</v>
      </c>
      <c r="H276" s="339" t="s">
        <v>550</v>
      </c>
      <c r="I276" s="336" t="s">
        <v>150</v>
      </c>
      <c r="J276" s="83" t="s">
        <v>454</v>
      </c>
      <c r="K276" s="83" t="s">
        <v>454</v>
      </c>
      <c r="L276" s="83" t="s">
        <v>454</v>
      </c>
      <c r="M276" s="385" t="s">
        <v>454</v>
      </c>
      <c r="N276" s="49">
        <v>11</v>
      </c>
      <c r="O276" s="637" t="s">
        <v>551</v>
      </c>
      <c r="P276" s="613"/>
    </row>
    <row r="277" spans="1:16" ht="108" customHeight="1">
      <c r="A277" s="335">
        <v>8</v>
      </c>
      <c r="B277" s="614"/>
      <c r="C277" s="553"/>
      <c r="D277" s="352" t="s">
        <v>552</v>
      </c>
      <c r="E277" s="49" t="s">
        <v>553</v>
      </c>
      <c r="F277" s="49" t="s">
        <v>554</v>
      </c>
      <c r="G277" s="49" t="s">
        <v>555</v>
      </c>
      <c r="H277" s="49" t="s">
        <v>556</v>
      </c>
      <c r="I277" s="49" t="s">
        <v>150</v>
      </c>
      <c r="J277" s="49" t="s">
        <v>454</v>
      </c>
      <c r="K277" s="49" t="s">
        <v>454</v>
      </c>
      <c r="L277" s="49" t="s">
        <v>454</v>
      </c>
      <c r="M277" s="49" t="s">
        <v>454</v>
      </c>
      <c r="N277" s="49">
        <v>12</v>
      </c>
      <c r="O277" s="637" t="s">
        <v>557</v>
      </c>
      <c r="P277" s="613"/>
    </row>
    <row r="278" spans="1:16" ht="105">
      <c r="A278" s="335">
        <v>9</v>
      </c>
      <c r="B278" s="614"/>
      <c r="C278" s="553"/>
      <c r="D278" s="352" t="s">
        <v>558</v>
      </c>
      <c r="E278" s="49" t="s">
        <v>559</v>
      </c>
      <c r="F278" s="49">
        <v>1999</v>
      </c>
      <c r="G278" s="49" t="s">
        <v>560</v>
      </c>
      <c r="H278" s="49" t="s">
        <v>561</v>
      </c>
      <c r="I278" s="49" t="s">
        <v>150</v>
      </c>
      <c r="J278" s="49" t="s">
        <v>454</v>
      </c>
      <c r="K278" s="49" t="s">
        <v>454</v>
      </c>
      <c r="L278" s="49" t="s">
        <v>454</v>
      </c>
      <c r="M278" s="49" t="s">
        <v>454</v>
      </c>
      <c r="N278" s="49">
        <v>13</v>
      </c>
      <c r="O278" s="637" t="s">
        <v>551</v>
      </c>
      <c r="P278" s="613"/>
    </row>
    <row r="279" spans="1:16" ht="45">
      <c r="A279" s="335">
        <v>10</v>
      </c>
      <c r="B279" s="614"/>
      <c r="C279" s="50" t="s">
        <v>450</v>
      </c>
      <c r="D279" s="352" t="s">
        <v>562</v>
      </c>
      <c r="E279" s="336">
        <v>4856</v>
      </c>
      <c r="F279" s="339" t="s">
        <v>6991</v>
      </c>
      <c r="G279" s="336">
        <v>2.5299999999999998</v>
      </c>
      <c r="H279" s="336"/>
      <c r="I279" s="49" t="s">
        <v>150</v>
      </c>
      <c r="J279" s="69" t="s">
        <v>454</v>
      </c>
      <c r="K279" s="69" t="s">
        <v>454</v>
      </c>
      <c r="L279" s="69" t="s">
        <v>454</v>
      </c>
      <c r="M279" s="336"/>
      <c r="N279" s="336">
        <v>14</v>
      </c>
      <c r="O279" s="637"/>
      <c r="P279" s="613"/>
    </row>
    <row r="280" spans="1:16" ht="45">
      <c r="A280" s="335">
        <v>11</v>
      </c>
      <c r="B280" s="614"/>
      <c r="C280" s="614" t="s">
        <v>508</v>
      </c>
      <c r="D280" s="352" t="s">
        <v>2451</v>
      </c>
      <c r="E280" s="49">
        <v>16505</v>
      </c>
      <c r="F280" s="49">
        <v>1987</v>
      </c>
      <c r="G280" s="49">
        <v>6.7519999999999998</v>
      </c>
      <c r="H280" s="49" t="s">
        <v>518</v>
      </c>
      <c r="I280" s="49" t="s">
        <v>150</v>
      </c>
      <c r="J280" s="49" t="s">
        <v>17</v>
      </c>
      <c r="K280" s="49" t="s">
        <v>17</v>
      </c>
      <c r="L280" s="49" t="s">
        <v>87</v>
      </c>
      <c r="M280" s="49" t="s">
        <v>515</v>
      </c>
      <c r="N280" s="49">
        <v>15</v>
      </c>
      <c r="O280" s="339"/>
      <c r="P280" s="613"/>
    </row>
    <row r="281" spans="1:16" ht="30">
      <c r="A281" s="335">
        <v>12</v>
      </c>
      <c r="B281" s="614"/>
      <c r="C281" s="614"/>
      <c r="D281" s="352" t="s">
        <v>564</v>
      </c>
      <c r="E281" s="49">
        <v>1561</v>
      </c>
      <c r="F281" s="49">
        <v>1991</v>
      </c>
      <c r="G281" s="49">
        <v>0.504</v>
      </c>
      <c r="H281" s="49" t="s">
        <v>518</v>
      </c>
      <c r="I281" s="49" t="s">
        <v>150</v>
      </c>
      <c r="J281" s="49" t="s">
        <v>17</v>
      </c>
      <c r="K281" s="49" t="s">
        <v>17</v>
      </c>
      <c r="L281" s="49" t="s">
        <v>87</v>
      </c>
      <c r="M281" s="49" t="s">
        <v>515</v>
      </c>
      <c r="N281" s="49">
        <v>16</v>
      </c>
      <c r="O281" s="386"/>
      <c r="P281" s="613"/>
    </row>
    <row r="282" spans="1:16" ht="45">
      <c r="A282" s="335">
        <v>13</v>
      </c>
      <c r="B282" s="614"/>
      <c r="C282" s="614"/>
      <c r="D282" s="352" t="s">
        <v>565</v>
      </c>
      <c r="E282" s="49">
        <v>1146</v>
      </c>
      <c r="F282" s="49">
        <v>1990</v>
      </c>
      <c r="G282" s="49">
        <v>0.501</v>
      </c>
      <c r="H282" s="49"/>
      <c r="I282" s="49" t="s">
        <v>150</v>
      </c>
      <c r="J282" s="49" t="s">
        <v>17</v>
      </c>
      <c r="K282" s="49" t="s">
        <v>17</v>
      </c>
      <c r="L282" s="49" t="s">
        <v>87</v>
      </c>
      <c r="M282" s="49"/>
      <c r="N282" s="49">
        <v>17</v>
      </c>
      <c r="O282" s="387"/>
      <c r="P282" s="613"/>
    </row>
    <row r="283" spans="1:16" ht="30">
      <c r="A283" s="335">
        <v>14</v>
      </c>
      <c r="B283" s="614"/>
      <c r="C283" s="614"/>
      <c r="D283" s="352" t="s">
        <v>566</v>
      </c>
      <c r="E283" s="49">
        <v>738</v>
      </c>
      <c r="F283" s="49">
        <v>1991</v>
      </c>
      <c r="G283" s="49">
        <v>0.38300000000000001</v>
      </c>
      <c r="H283" s="49"/>
      <c r="I283" s="49" t="s">
        <v>150</v>
      </c>
      <c r="J283" s="49" t="s">
        <v>17</v>
      </c>
      <c r="K283" s="49" t="s">
        <v>17</v>
      </c>
      <c r="L283" s="49" t="s">
        <v>87</v>
      </c>
      <c r="M283" s="49" t="s">
        <v>515</v>
      </c>
      <c r="N283" s="49">
        <v>18</v>
      </c>
      <c r="O283" s="387"/>
      <c r="P283" s="613"/>
    </row>
    <row r="284" spans="1:16" ht="30">
      <c r="A284" s="335">
        <v>15</v>
      </c>
      <c r="B284" s="614"/>
      <c r="C284" s="614"/>
      <c r="D284" s="352" t="s">
        <v>567</v>
      </c>
      <c r="E284" s="49">
        <v>2438</v>
      </c>
      <c r="F284" s="49">
        <v>2002</v>
      </c>
      <c r="G284" s="49">
        <v>0.35</v>
      </c>
      <c r="H284" s="49" t="s">
        <v>518</v>
      </c>
      <c r="I284" s="49" t="s">
        <v>150</v>
      </c>
      <c r="J284" s="49" t="s">
        <v>17</v>
      </c>
      <c r="K284" s="49" t="s">
        <v>17</v>
      </c>
      <c r="L284" s="49"/>
      <c r="M284" s="49"/>
      <c r="N284" s="49">
        <v>19</v>
      </c>
      <c r="O284" s="339"/>
      <c r="P284" s="613"/>
    </row>
    <row r="285" spans="1:16" ht="30">
      <c r="A285" s="335">
        <v>16</v>
      </c>
      <c r="B285" s="614"/>
      <c r="C285" s="614"/>
      <c r="D285" s="352" t="s">
        <v>568</v>
      </c>
      <c r="E285" s="49">
        <v>1417.7</v>
      </c>
      <c r="F285" s="49" t="s">
        <v>569</v>
      </c>
      <c r="G285" s="49">
        <v>0.03</v>
      </c>
      <c r="H285" s="49" t="s">
        <v>518</v>
      </c>
      <c r="I285" s="49" t="s">
        <v>150</v>
      </c>
      <c r="J285" s="49" t="s">
        <v>17</v>
      </c>
      <c r="K285" s="49" t="s">
        <v>17</v>
      </c>
      <c r="L285" s="49" t="s">
        <v>87</v>
      </c>
      <c r="M285" s="49" t="s">
        <v>515</v>
      </c>
      <c r="N285" s="49">
        <v>20</v>
      </c>
      <c r="O285" s="386"/>
      <c r="P285" s="613"/>
    </row>
    <row r="286" spans="1:16" ht="30">
      <c r="A286" s="335">
        <v>17</v>
      </c>
      <c r="B286" s="614"/>
      <c r="C286" s="614"/>
      <c r="D286" s="352" t="s">
        <v>570</v>
      </c>
      <c r="E286" s="49">
        <v>825</v>
      </c>
      <c r="F286" s="49" t="s">
        <v>525</v>
      </c>
      <c r="G286" s="49">
        <v>0.42</v>
      </c>
      <c r="H286" s="49" t="s">
        <v>518</v>
      </c>
      <c r="I286" s="49" t="s">
        <v>150</v>
      </c>
      <c r="J286" s="49" t="s">
        <v>17</v>
      </c>
      <c r="K286" s="49" t="s">
        <v>17</v>
      </c>
      <c r="L286" s="49"/>
      <c r="M286" s="49"/>
      <c r="N286" s="49">
        <v>21</v>
      </c>
      <c r="O286" s="339"/>
      <c r="P286" s="613"/>
    </row>
    <row r="287" spans="1:16" ht="75">
      <c r="A287" s="335">
        <v>18</v>
      </c>
      <c r="B287" s="614"/>
      <c r="C287" s="614"/>
      <c r="D287" s="352" t="s">
        <v>571</v>
      </c>
      <c r="E287" s="49">
        <v>2356</v>
      </c>
      <c r="F287" s="49" t="s">
        <v>527</v>
      </c>
      <c r="G287" s="49">
        <v>0.91</v>
      </c>
      <c r="H287" s="49">
        <v>0</v>
      </c>
      <c r="I287" s="49" t="s">
        <v>150</v>
      </c>
      <c r="J287" s="49" t="s">
        <v>17</v>
      </c>
      <c r="K287" s="49" t="s">
        <v>17</v>
      </c>
      <c r="L287" s="49"/>
      <c r="M287" s="49"/>
      <c r="N287" s="49">
        <v>22</v>
      </c>
      <c r="O287" s="388"/>
      <c r="P287" s="613"/>
    </row>
    <row r="288" spans="1:16" ht="75">
      <c r="A288" s="335">
        <v>19</v>
      </c>
      <c r="B288" s="614"/>
      <c r="C288" s="614"/>
      <c r="D288" s="352" t="s">
        <v>572</v>
      </c>
      <c r="E288" s="49">
        <v>1790</v>
      </c>
      <c r="F288" s="49" t="s">
        <v>573</v>
      </c>
      <c r="G288" s="49">
        <v>2.23</v>
      </c>
      <c r="H288" s="49" t="s">
        <v>518</v>
      </c>
      <c r="I288" s="49" t="s">
        <v>150</v>
      </c>
      <c r="J288" s="49" t="s">
        <v>17</v>
      </c>
      <c r="K288" s="49" t="s">
        <v>17</v>
      </c>
      <c r="L288" s="49"/>
      <c r="M288" s="49"/>
      <c r="N288" s="49">
        <v>23</v>
      </c>
      <c r="O288" s="388"/>
      <c r="P288" s="613"/>
    </row>
    <row r="289" spans="1:16" ht="60">
      <c r="A289" s="335">
        <v>20</v>
      </c>
      <c r="B289" s="614"/>
      <c r="C289" s="553" t="s">
        <v>461</v>
      </c>
      <c r="D289" s="344" t="s">
        <v>532</v>
      </c>
      <c r="E289" s="339" t="s">
        <v>574</v>
      </c>
      <c r="F289" s="339" t="s">
        <v>575</v>
      </c>
      <c r="G289" s="339" t="s">
        <v>576</v>
      </c>
      <c r="H289" s="339"/>
      <c r="I289" s="49" t="s">
        <v>150</v>
      </c>
      <c r="J289" s="339" t="s">
        <v>17</v>
      </c>
      <c r="K289" s="339" t="s">
        <v>17</v>
      </c>
      <c r="L289" s="339" t="s">
        <v>17</v>
      </c>
      <c r="M289" s="339"/>
      <c r="N289" s="339">
        <v>24</v>
      </c>
      <c r="O289" s="339"/>
      <c r="P289" s="613"/>
    </row>
    <row r="290" spans="1:16" ht="75">
      <c r="A290" s="335">
        <v>21</v>
      </c>
      <c r="B290" s="614"/>
      <c r="C290" s="553"/>
      <c r="D290" s="344" t="s">
        <v>536</v>
      </c>
      <c r="E290" s="339" t="s">
        <v>577</v>
      </c>
      <c r="F290" s="339" t="s">
        <v>578</v>
      </c>
      <c r="G290" s="339" t="s">
        <v>579</v>
      </c>
      <c r="H290" s="339" t="s">
        <v>580</v>
      </c>
      <c r="I290" s="339"/>
      <c r="J290" s="339"/>
      <c r="K290" s="339"/>
      <c r="L290" s="339"/>
      <c r="M290" s="339"/>
      <c r="N290" s="339">
        <v>25</v>
      </c>
      <c r="O290" s="344" t="s">
        <v>581</v>
      </c>
      <c r="P290" s="613"/>
    </row>
    <row r="291" spans="1:16" ht="30">
      <c r="A291" s="335">
        <v>22</v>
      </c>
      <c r="B291" s="614"/>
      <c r="C291" s="553"/>
      <c r="D291" s="344" t="s">
        <v>582</v>
      </c>
      <c r="E291" s="339" t="s">
        <v>583</v>
      </c>
      <c r="F291" s="339">
        <v>1984</v>
      </c>
      <c r="G291" s="339">
        <v>4.38</v>
      </c>
      <c r="H291" s="339"/>
      <c r="I291" s="339" t="s">
        <v>535</v>
      </c>
      <c r="J291" s="339" t="s">
        <v>454</v>
      </c>
      <c r="K291" s="339" t="s">
        <v>454</v>
      </c>
      <c r="L291" s="339" t="s">
        <v>454</v>
      </c>
      <c r="M291" s="339" t="s">
        <v>454</v>
      </c>
      <c r="N291" s="339">
        <v>26</v>
      </c>
      <c r="O291" s="339"/>
      <c r="P291" s="613"/>
    </row>
    <row r="292" spans="1:16" ht="45">
      <c r="A292" s="335">
        <v>23</v>
      </c>
      <c r="B292" s="614"/>
      <c r="C292" s="553"/>
      <c r="D292" s="344" t="s">
        <v>584</v>
      </c>
      <c r="E292" s="339" t="s">
        <v>585</v>
      </c>
      <c r="F292" s="339" t="s">
        <v>586</v>
      </c>
      <c r="G292" s="339" t="s">
        <v>587</v>
      </c>
      <c r="H292" s="339"/>
      <c r="I292" s="339"/>
      <c r="J292" s="339"/>
      <c r="K292" s="339"/>
      <c r="L292" s="339"/>
      <c r="M292" s="339"/>
      <c r="N292" s="339">
        <v>27</v>
      </c>
      <c r="O292" s="339"/>
      <c r="P292" s="613"/>
    </row>
    <row r="293" spans="1:16">
      <c r="A293" s="608"/>
      <c r="B293" s="608"/>
      <c r="C293" s="608"/>
      <c r="D293" s="608"/>
      <c r="E293" s="608"/>
      <c r="F293" s="608"/>
      <c r="G293" s="608"/>
      <c r="H293" s="608"/>
      <c r="I293" s="608"/>
      <c r="J293" s="608"/>
      <c r="K293" s="608"/>
      <c r="L293" s="608"/>
      <c r="M293" s="608"/>
      <c r="N293" s="608"/>
      <c r="O293" s="608"/>
      <c r="P293" s="608"/>
    </row>
    <row r="294" spans="1:16" ht="20.25">
      <c r="A294" s="559" t="s">
        <v>112</v>
      </c>
      <c r="B294" s="559"/>
      <c r="C294" s="559"/>
      <c r="D294" s="559"/>
      <c r="E294" s="559"/>
      <c r="F294" s="559"/>
      <c r="G294" s="559"/>
      <c r="H294" s="559"/>
      <c r="I294" s="559"/>
      <c r="J294" s="559"/>
      <c r="K294" s="559"/>
      <c r="L294" s="559"/>
      <c r="M294" s="559"/>
      <c r="N294" s="559"/>
      <c r="O294" s="559"/>
      <c r="P294" s="559"/>
    </row>
    <row r="295" spans="1:16" ht="102.75" customHeight="1">
      <c r="A295" s="46" t="s">
        <v>0</v>
      </c>
      <c r="B295" s="46" t="s">
        <v>2582</v>
      </c>
      <c r="C295" s="46" t="s">
        <v>1</v>
      </c>
      <c r="D295" s="46" t="s">
        <v>2596</v>
      </c>
      <c r="E295" s="46" t="s">
        <v>89</v>
      </c>
      <c r="F295" s="46" t="s">
        <v>63</v>
      </c>
      <c r="G295" s="46" t="s">
        <v>2390</v>
      </c>
      <c r="H295" s="46" t="s">
        <v>2561</v>
      </c>
      <c r="I295" s="46" t="s">
        <v>2391</v>
      </c>
      <c r="J295" s="46" t="s">
        <v>5</v>
      </c>
      <c r="K295" s="46" t="s">
        <v>6</v>
      </c>
      <c r="L295" s="46" t="s">
        <v>91</v>
      </c>
      <c r="M295" s="46" t="s">
        <v>67</v>
      </c>
      <c r="N295" s="67" t="s">
        <v>110</v>
      </c>
      <c r="O295" s="67" t="s">
        <v>92</v>
      </c>
      <c r="P295" s="74" t="s">
        <v>69</v>
      </c>
    </row>
    <row r="296" spans="1:16">
      <c r="A296" s="345">
        <v>1</v>
      </c>
      <c r="B296" s="79">
        <v>2</v>
      </c>
      <c r="C296" s="79">
        <v>3</v>
      </c>
      <c r="D296" s="79">
        <v>4</v>
      </c>
      <c r="E296" s="79">
        <v>5</v>
      </c>
      <c r="F296" s="79">
        <v>6</v>
      </c>
      <c r="G296" s="79">
        <v>7</v>
      </c>
      <c r="H296" s="79">
        <v>8</v>
      </c>
      <c r="I296" s="79">
        <v>9</v>
      </c>
      <c r="J296" s="79">
        <v>10</v>
      </c>
      <c r="K296" s="79">
        <v>11</v>
      </c>
      <c r="L296" s="79">
        <v>12</v>
      </c>
      <c r="M296" s="79">
        <v>13</v>
      </c>
      <c r="N296" s="79">
        <v>14</v>
      </c>
      <c r="O296" s="79">
        <v>15</v>
      </c>
      <c r="P296" s="46">
        <v>16</v>
      </c>
    </row>
    <row r="297" spans="1:16" ht="30">
      <c r="A297" s="335">
        <v>1</v>
      </c>
      <c r="B297" s="614" t="s">
        <v>2607</v>
      </c>
      <c r="C297" s="75" t="s">
        <v>481</v>
      </c>
      <c r="D297" s="389" t="s">
        <v>588</v>
      </c>
      <c r="E297" s="336">
        <v>6868.1359000000002</v>
      </c>
      <c r="F297" s="69" t="s">
        <v>589</v>
      </c>
      <c r="G297" s="69">
        <v>3.4000000000000002E-2</v>
      </c>
      <c r="H297" s="69" t="s">
        <v>485</v>
      </c>
      <c r="I297" s="69" t="s">
        <v>194</v>
      </c>
      <c r="J297" s="69" t="s">
        <v>17</v>
      </c>
      <c r="K297" s="69" t="s">
        <v>17</v>
      </c>
      <c r="L297" s="69" t="s">
        <v>17</v>
      </c>
      <c r="M297" s="69" t="s">
        <v>17</v>
      </c>
      <c r="N297" s="69"/>
      <c r="O297" s="69"/>
      <c r="P297" s="123"/>
    </row>
    <row r="298" spans="1:16" ht="93.75" customHeight="1">
      <c r="A298" s="335">
        <v>2</v>
      </c>
      <c r="B298" s="614"/>
      <c r="C298" s="553" t="s">
        <v>486</v>
      </c>
      <c r="D298" s="344" t="s">
        <v>487</v>
      </c>
      <c r="E298" s="339" t="s">
        <v>590</v>
      </c>
      <c r="F298" s="384">
        <v>34973</v>
      </c>
      <c r="G298" s="339" t="s">
        <v>591</v>
      </c>
      <c r="H298" s="339" t="s">
        <v>592</v>
      </c>
      <c r="I298" s="336" t="s">
        <v>150</v>
      </c>
      <c r="J298" s="68" t="s">
        <v>454</v>
      </c>
      <c r="K298" s="68" t="s">
        <v>454</v>
      </c>
      <c r="L298" s="68" t="s">
        <v>454</v>
      </c>
      <c r="M298" s="68" t="s">
        <v>454</v>
      </c>
      <c r="N298" s="68">
        <v>5</v>
      </c>
      <c r="O298" s="336">
        <v>11</v>
      </c>
      <c r="P298" s="344"/>
    </row>
    <row r="299" spans="1:16" ht="105">
      <c r="A299" s="335">
        <v>3</v>
      </c>
      <c r="B299" s="614"/>
      <c r="C299" s="553"/>
      <c r="D299" s="344" t="s">
        <v>558</v>
      </c>
      <c r="E299" s="339" t="s">
        <v>593</v>
      </c>
      <c r="F299" s="339">
        <v>1999</v>
      </c>
      <c r="G299" s="339" t="s">
        <v>594</v>
      </c>
      <c r="H299" s="339" t="s">
        <v>595</v>
      </c>
      <c r="I299" s="336" t="s">
        <v>150</v>
      </c>
      <c r="J299" s="68" t="s">
        <v>454</v>
      </c>
      <c r="K299" s="68" t="s">
        <v>454</v>
      </c>
      <c r="L299" s="68" t="s">
        <v>454</v>
      </c>
      <c r="M299" s="68" t="s">
        <v>454</v>
      </c>
      <c r="N299" s="68">
        <v>6</v>
      </c>
      <c r="O299" s="68">
        <v>13</v>
      </c>
      <c r="P299" s="134"/>
    </row>
    <row r="300" spans="1:16" ht="30">
      <c r="A300" s="335">
        <v>4</v>
      </c>
      <c r="B300" s="614"/>
      <c r="C300" s="614" t="s">
        <v>508</v>
      </c>
      <c r="D300" s="352" t="s">
        <v>596</v>
      </c>
      <c r="E300" s="49" t="s">
        <v>597</v>
      </c>
      <c r="F300" s="49" t="s">
        <v>527</v>
      </c>
      <c r="G300" s="49">
        <v>0.03</v>
      </c>
      <c r="H300" s="49"/>
      <c r="I300" s="49" t="s">
        <v>598</v>
      </c>
      <c r="J300" s="49" t="s">
        <v>17</v>
      </c>
      <c r="K300" s="49" t="s">
        <v>17</v>
      </c>
      <c r="L300" s="49" t="s">
        <v>87</v>
      </c>
      <c r="M300" s="49" t="s">
        <v>87</v>
      </c>
      <c r="N300" s="49">
        <v>18</v>
      </c>
      <c r="O300" s="49">
        <v>22</v>
      </c>
      <c r="P300" s="134"/>
    </row>
    <row r="301" spans="1:16" ht="45">
      <c r="A301" s="335">
        <v>5</v>
      </c>
      <c r="B301" s="614"/>
      <c r="C301" s="614"/>
      <c r="D301" s="352" t="s">
        <v>599</v>
      </c>
      <c r="E301" s="49" t="s">
        <v>600</v>
      </c>
      <c r="F301" s="49" t="s">
        <v>529</v>
      </c>
      <c r="G301" s="49" t="s">
        <v>601</v>
      </c>
      <c r="H301" s="49" t="s">
        <v>602</v>
      </c>
      <c r="I301" s="49" t="s">
        <v>598</v>
      </c>
      <c r="J301" s="49" t="s">
        <v>17</v>
      </c>
      <c r="K301" s="49" t="s">
        <v>17</v>
      </c>
      <c r="L301" s="49" t="s">
        <v>87</v>
      </c>
      <c r="M301" s="49" t="s">
        <v>87</v>
      </c>
      <c r="N301" s="49">
        <v>19</v>
      </c>
      <c r="O301" s="335">
        <v>23</v>
      </c>
      <c r="P301" s="134" t="s">
        <v>603</v>
      </c>
    </row>
    <row r="302" spans="1:16" ht="30">
      <c r="A302" s="335">
        <v>6</v>
      </c>
      <c r="B302" s="614"/>
      <c r="C302" s="614"/>
      <c r="D302" s="352" t="s">
        <v>604</v>
      </c>
      <c r="E302" s="49">
        <v>5262</v>
      </c>
      <c r="F302" s="49">
        <v>1956</v>
      </c>
      <c r="G302" s="49">
        <v>3.0000000000000001E-3</v>
      </c>
      <c r="H302" s="49" t="s">
        <v>515</v>
      </c>
      <c r="I302" s="49" t="s">
        <v>598</v>
      </c>
      <c r="J302" s="49" t="s">
        <v>17</v>
      </c>
      <c r="K302" s="49" t="s">
        <v>17</v>
      </c>
      <c r="L302" s="49" t="s">
        <v>87</v>
      </c>
      <c r="M302" s="49" t="s">
        <v>87</v>
      </c>
      <c r="N302" s="49">
        <v>11</v>
      </c>
      <c r="O302" s="49">
        <v>16</v>
      </c>
      <c r="P302" s="390" t="s">
        <v>346</v>
      </c>
    </row>
    <row r="303" spans="1:16" ht="45">
      <c r="A303" s="335">
        <v>7</v>
      </c>
      <c r="B303" s="614"/>
      <c r="C303" s="614"/>
      <c r="D303" s="352" t="s">
        <v>605</v>
      </c>
      <c r="E303" s="49">
        <v>1417.7</v>
      </c>
      <c r="F303" s="49" t="s">
        <v>569</v>
      </c>
      <c r="G303" s="49">
        <v>0.03</v>
      </c>
      <c r="H303" s="49">
        <v>4.2000000000000003E-2</v>
      </c>
      <c r="I303" s="49" t="s">
        <v>598</v>
      </c>
      <c r="J303" s="49" t="s">
        <v>17</v>
      </c>
      <c r="K303" s="49" t="s">
        <v>17</v>
      </c>
      <c r="L303" s="49" t="s">
        <v>87</v>
      </c>
      <c r="M303" s="49" t="s">
        <v>87</v>
      </c>
      <c r="N303" s="49">
        <v>16</v>
      </c>
      <c r="O303" s="49">
        <v>20</v>
      </c>
      <c r="P303" s="134"/>
    </row>
    <row r="304" spans="1:16" ht="45" customHeight="1">
      <c r="A304" s="335">
        <v>8</v>
      </c>
      <c r="B304" s="614"/>
      <c r="C304" s="614"/>
      <c r="D304" s="632" t="s">
        <v>606</v>
      </c>
      <c r="E304" s="49">
        <v>927</v>
      </c>
      <c r="F304" s="49" t="s">
        <v>534</v>
      </c>
      <c r="G304" s="49">
        <v>0.56999999999999995</v>
      </c>
      <c r="H304" s="49"/>
      <c r="I304" s="49"/>
      <c r="J304" s="615" t="s">
        <v>6992</v>
      </c>
      <c r="K304" s="615" t="s">
        <v>607</v>
      </c>
      <c r="L304" s="615" t="s">
        <v>87</v>
      </c>
      <c r="M304" s="615" t="s">
        <v>87</v>
      </c>
      <c r="N304" s="615">
        <v>17</v>
      </c>
      <c r="O304" s="615">
        <v>21</v>
      </c>
      <c r="P304" s="134"/>
    </row>
    <row r="305" spans="1:16">
      <c r="A305" s="335">
        <v>9</v>
      </c>
      <c r="B305" s="614"/>
      <c r="C305" s="614"/>
      <c r="D305" s="634"/>
      <c r="E305" s="49">
        <v>825</v>
      </c>
      <c r="F305" s="49" t="s">
        <v>534</v>
      </c>
      <c r="G305" s="49">
        <v>0.42</v>
      </c>
      <c r="H305" s="49" t="s">
        <v>515</v>
      </c>
      <c r="I305" s="49" t="s">
        <v>57</v>
      </c>
      <c r="J305" s="615"/>
      <c r="K305" s="615"/>
      <c r="L305" s="615"/>
      <c r="M305" s="615"/>
      <c r="N305" s="615"/>
      <c r="O305" s="615"/>
      <c r="P305" s="134"/>
    </row>
    <row r="306" spans="1:16" ht="75">
      <c r="A306" s="335">
        <v>10</v>
      </c>
      <c r="B306" s="614"/>
      <c r="C306" s="553" t="s">
        <v>461</v>
      </c>
      <c r="D306" s="344" t="s">
        <v>608</v>
      </c>
      <c r="E306" s="339" t="s">
        <v>609</v>
      </c>
      <c r="F306" s="339">
        <v>1984</v>
      </c>
      <c r="G306" s="339" t="s">
        <v>610</v>
      </c>
      <c r="H306" s="53"/>
      <c r="I306" s="339" t="s">
        <v>535</v>
      </c>
      <c r="J306" s="83" t="s">
        <v>541</v>
      </c>
      <c r="K306" s="83" t="s">
        <v>541</v>
      </c>
      <c r="L306" s="83" t="s">
        <v>541</v>
      </c>
      <c r="M306" s="83" t="s">
        <v>541</v>
      </c>
      <c r="N306" s="339">
        <v>22</v>
      </c>
      <c r="O306" s="339">
        <v>26</v>
      </c>
      <c r="P306" s="134" t="s">
        <v>611</v>
      </c>
    </row>
    <row r="307" spans="1:16" ht="45">
      <c r="A307" s="335">
        <v>11</v>
      </c>
      <c r="B307" s="614"/>
      <c r="C307" s="553"/>
      <c r="D307" s="344" t="s">
        <v>536</v>
      </c>
      <c r="E307" s="339" t="s">
        <v>612</v>
      </c>
      <c r="F307" s="339" t="s">
        <v>578</v>
      </c>
      <c r="G307" s="336" t="s">
        <v>613</v>
      </c>
      <c r="H307" s="123"/>
      <c r="I307" s="123"/>
      <c r="J307" s="336"/>
      <c r="K307" s="336"/>
      <c r="L307" s="336"/>
      <c r="M307" s="336"/>
      <c r="N307" s="336">
        <v>21</v>
      </c>
      <c r="O307" s="336">
        <v>25</v>
      </c>
      <c r="P307" s="134" t="s">
        <v>581</v>
      </c>
    </row>
    <row r="308" spans="1:16" ht="105">
      <c r="A308" s="335">
        <v>12</v>
      </c>
      <c r="B308" s="614"/>
      <c r="C308" s="344" t="s">
        <v>614</v>
      </c>
      <c r="D308" s="344" t="s">
        <v>615</v>
      </c>
      <c r="E308" s="339" t="s">
        <v>2395</v>
      </c>
      <c r="F308" s="339" t="s">
        <v>616</v>
      </c>
      <c r="G308" s="339">
        <v>5.0000000000000001E-3</v>
      </c>
      <c r="H308" s="339" t="s">
        <v>617</v>
      </c>
      <c r="I308" s="339" t="s">
        <v>227</v>
      </c>
      <c r="J308" s="339" t="s">
        <v>618</v>
      </c>
      <c r="K308" s="339" t="s">
        <v>619</v>
      </c>
      <c r="L308" s="339" t="s">
        <v>620</v>
      </c>
      <c r="M308" s="339" t="s">
        <v>620</v>
      </c>
      <c r="N308" s="339" t="s">
        <v>620</v>
      </c>
      <c r="O308" s="339" t="s">
        <v>620</v>
      </c>
      <c r="P308" s="339" t="s">
        <v>620</v>
      </c>
    </row>
    <row r="309" spans="1:16">
      <c r="A309" s="608"/>
      <c r="B309" s="608"/>
      <c r="C309" s="608"/>
      <c r="D309" s="608"/>
      <c r="E309" s="608"/>
      <c r="F309" s="608"/>
      <c r="G309" s="608"/>
      <c r="H309" s="608"/>
      <c r="I309" s="608"/>
      <c r="J309" s="608"/>
      <c r="K309" s="608"/>
      <c r="L309" s="608"/>
      <c r="M309" s="608"/>
      <c r="N309" s="608"/>
      <c r="O309" s="608"/>
      <c r="P309" s="608"/>
    </row>
    <row r="310" spans="1:16" ht="22.5">
      <c r="A310" s="700" t="s">
        <v>638</v>
      </c>
      <c r="B310" s="700"/>
      <c r="C310" s="700"/>
      <c r="D310" s="700"/>
      <c r="E310" s="700"/>
      <c r="F310" s="700"/>
      <c r="G310" s="700"/>
      <c r="H310" s="700"/>
      <c r="I310" s="700"/>
      <c r="J310" s="700"/>
      <c r="K310" s="700"/>
      <c r="L310" s="700"/>
      <c r="M310" s="700"/>
      <c r="N310" s="700"/>
      <c r="O310" s="700"/>
      <c r="P310" s="700"/>
    </row>
    <row r="311" spans="1:16" ht="20.25">
      <c r="A311" s="559" t="s">
        <v>61</v>
      </c>
      <c r="B311" s="559"/>
      <c r="C311" s="559"/>
      <c r="D311" s="559"/>
      <c r="E311" s="559"/>
      <c r="F311" s="559"/>
      <c r="G311" s="559"/>
      <c r="H311" s="559"/>
      <c r="I311" s="559"/>
      <c r="J311" s="559"/>
      <c r="K311" s="559"/>
      <c r="L311" s="559"/>
      <c r="M311" s="559"/>
      <c r="N311" s="559"/>
      <c r="O311" s="559"/>
      <c r="P311" s="559"/>
    </row>
    <row r="312" spans="1:16" ht="102.75" customHeight="1">
      <c r="A312" s="46" t="s">
        <v>0</v>
      </c>
      <c r="B312" s="46" t="s">
        <v>2592</v>
      </c>
      <c r="C312" s="46" t="s">
        <v>1</v>
      </c>
      <c r="D312" s="46" t="s">
        <v>2593</v>
      </c>
      <c r="E312" s="46" t="s">
        <v>3</v>
      </c>
      <c r="F312" s="46" t="s">
        <v>4</v>
      </c>
      <c r="G312" s="46" t="s">
        <v>2594</v>
      </c>
      <c r="H312" s="46" t="s">
        <v>2595</v>
      </c>
      <c r="I312" s="46" t="s">
        <v>2392</v>
      </c>
      <c r="J312" s="46" t="s">
        <v>5</v>
      </c>
      <c r="K312" s="46" t="s">
        <v>6</v>
      </c>
      <c r="L312" s="46" t="s">
        <v>7</v>
      </c>
      <c r="M312" s="67" t="s">
        <v>8</v>
      </c>
      <c r="N312" s="67" t="s">
        <v>9</v>
      </c>
      <c r="O312" s="46" t="s">
        <v>10</v>
      </c>
      <c r="P312" s="74" t="s">
        <v>11</v>
      </c>
    </row>
    <row r="313" spans="1:16">
      <c r="A313" s="8">
        <v>1</v>
      </c>
      <c r="B313" s="46">
        <v>2</v>
      </c>
      <c r="C313" s="46">
        <v>3</v>
      </c>
      <c r="D313" s="46">
        <v>4</v>
      </c>
      <c r="E313" s="46">
        <v>5</v>
      </c>
      <c r="F313" s="46">
        <v>6</v>
      </c>
      <c r="G313" s="46">
        <v>7</v>
      </c>
      <c r="H313" s="46">
        <v>8</v>
      </c>
      <c r="I313" s="46">
        <v>9</v>
      </c>
      <c r="J313" s="46">
        <v>10</v>
      </c>
      <c r="K313" s="46">
        <v>11</v>
      </c>
      <c r="L313" s="46">
        <v>12</v>
      </c>
      <c r="M313" s="46">
        <v>13</v>
      </c>
      <c r="N313" s="46">
        <v>14</v>
      </c>
      <c r="O313" s="46">
        <v>15</v>
      </c>
      <c r="P313" s="46">
        <v>16</v>
      </c>
    </row>
    <row r="314" spans="1:16" ht="45">
      <c r="A314" s="104">
        <v>1</v>
      </c>
      <c r="B314" s="616" t="s">
        <v>2606</v>
      </c>
      <c r="C314" s="391" t="s">
        <v>622</v>
      </c>
      <c r="D314" s="116" t="s">
        <v>623</v>
      </c>
      <c r="E314" s="104">
        <v>17831.25</v>
      </c>
      <c r="F314" s="104" t="s">
        <v>624</v>
      </c>
      <c r="G314" s="104">
        <v>3.38</v>
      </c>
      <c r="H314" s="336" t="s">
        <v>17</v>
      </c>
      <c r="I314" s="104" t="s">
        <v>150</v>
      </c>
      <c r="J314" s="104" t="s">
        <v>87</v>
      </c>
      <c r="K314" s="216" t="s">
        <v>625</v>
      </c>
      <c r="L314" s="104" t="s">
        <v>17</v>
      </c>
      <c r="M314" s="104" t="s">
        <v>119</v>
      </c>
      <c r="N314" s="104" t="s">
        <v>17</v>
      </c>
      <c r="O314" s="104" t="s">
        <v>17</v>
      </c>
      <c r="P314" s="116" t="s">
        <v>626</v>
      </c>
    </row>
    <row r="315" spans="1:16">
      <c r="A315" s="104">
        <v>2</v>
      </c>
      <c r="B315" s="616"/>
      <c r="C315" s="391" t="s">
        <v>627</v>
      </c>
      <c r="D315" s="673" t="s">
        <v>87</v>
      </c>
      <c r="E315" s="673"/>
      <c r="F315" s="673"/>
      <c r="G315" s="673"/>
      <c r="H315" s="673"/>
      <c r="I315" s="673"/>
      <c r="J315" s="673"/>
      <c r="K315" s="673"/>
      <c r="L315" s="673"/>
      <c r="M315" s="673"/>
      <c r="N315" s="673"/>
      <c r="O315" s="673"/>
      <c r="P315" s="673"/>
    </row>
    <row r="316" spans="1:16">
      <c r="A316" s="104">
        <v>3</v>
      </c>
      <c r="B316" s="616"/>
      <c r="C316" s="391" t="s">
        <v>628</v>
      </c>
      <c r="D316" s="673" t="s">
        <v>87</v>
      </c>
      <c r="E316" s="673"/>
      <c r="F316" s="673"/>
      <c r="G316" s="673"/>
      <c r="H316" s="673"/>
      <c r="I316" s="673"/>
      <c r="J316" s="673"/>
      <c r="K316" s="673"/>
      <c r="L316" s="673"/>
      <c r="M316" s="673"/>
      <c r="N316" s="673"/>
      <c r="O316" s="673"/>
      <c r="P316" s="673"/>
    </row>
    <row r="317" spans="1:16">
      <c r="A317" s="104">
        <v>4</v>
      </c>
      <c r="B317" s="616"/>
      <c r="C317" s="391" t="s">
        <v>629</v>
      </c>
      <c r="D317" s="673" t="s">
        <v>87</v>
      </c>
      <c r="E317" s="673"/>
      <c r="F317" s="673"/>
      <c r="G317" s="673"/>
      <c r="H317" s="673"/>
      <c r="I317" s="673"/>
      <c r="J317" s="673"/>
      <c r="K317" s="673"/>
      <c r="L317" s="673"/>
      <c r="M317" s="673"/>
      <c r="N317" s="673"/>
      <c r="O317" s="673"/>
      <c r="P317" s="673"/>
    </row>
    <row r="318" spans="1:16">
      <c r="A318" s="104">
        <v>5</v>
      </c>
      <c r="B318" s="616"/>
      <c r="C318" s="391" t="s">
        <v>630</v>
      </c>
      <c r="D318" s="673" t="s">
        <v>87</v>
      </c>
      <c r="E318" s="673"/>
      <c r="F318" s="673"/>
      <c r="G318" s="673"/>
      <c r="H318" s="673"/>
      <c r="I318" s="673"/>
      <c r="J318" s="673"/>
      <c r="K318" s="673"/>
      <c r="L318" s="673"/>
      <c r="M318" s="673"/>
      <c r="N318" s="673"/>
      <c r="O318" s="673"/>
      <c r="P318" s="673"/>
    </row>
    <row r="319" spans="1:16">
      <c r="A319" s="104">
        <v>6</v>
      </c>
      <c r="B319" s="616"/>
      <c r="C319" s="391" t="s">
        <v>631</v>
      </c>
      <c r="D319" s="673" t="s">
        <v>87</v>
      </c>
      <c r="E319" s="673"/>
      <c r="F319" s="673"/>
      <c r="G319" s="673"/>
      <c r="H319" s="673"/>
      <c r="I319" s="673"/>
      <c r="J319" s="673"/>
      <c r="K319" s="673"/>
      <c r="L319" s="673"/>
      <c r="M319" s="673"/>
      <c r="N319" s="673"/>
      <c r="O319" s="673"/>
      <c r="P319" s="673"/>
    </row>
    <row r="320" spans="1:16">
      <c r="A320" s="104">
        <v>7</v>
      </c>
      <c r="B320" s="616"/>
      <c r="C320" s="391" t="s">
        <v>632</v>
      </c>
      <c r="D320" s="673" t="s">
        <v>87</v>
      </c>
      <c r="E320" s="673"/>
      <c r="F320" s="673"/>
      <c r="G320" s="673"/>
      <c r="H320" s="673"/>
      <c r="I320" s="673"/>
      <c r="J320" s="673"/>
      <c r="K320" s="673"/>
      <c r="L320" s="673"/>
      <c r="M320" s="673"/>
      <c r="N320" s="673"/>
      <c r="O320" s="673"/>
      <c r="P320" s="673"/>
    </row>
    <row r="321" spans="1:16">
      <c r="A321" s="104">
        <v>8</v>
      </c>
      <c r="B321" s="616"/>
      <c r="C321" s="391" t="s">
        <v>633</v>
      </c>
      <c r="D321" s="673" t="s">
        <v>87</v>
      </c>
      <c r="E321" s="673"/>
      <c r="F321" s="673"/>
      <c r="G321" s="673"/>
      <c r="H321" s="673"/>
      <c r="I321" s="673"/>
      <c r="J321" s="673"/>
      <c r="K321" s="673"/>
      <c r="L321" s="673"/>
      <c r="M321" s="673"/>
      <c r="N321" s="673"/>
      <c r="O321" s="673"/>
      <c r="P321" s="673"/>
    </row>
    <row r="322" spans="1:16">
      <c r="A322" s="607"/>
      <c r="B322" s="607"/>
      <c r="C322" s="607"/>
      <c r="D322" s="607"/>
      <c r="E322" s="607"/>
      <c r="F322" s="607"/>
      <c r="G322" s="607"/>
      <c r="H322" s="607"/>
      <c r="I322" s="607"/>
      <c r="J322" s="607"/>
      <c r="K322" s="607"/>
      <c r="L322" s="607"/>
      <c r="M322" s="607"/>
      <c r="N322" s="607"/>
      <c r="O322" s="607"/>
      <c r="P322" s="607"/>
    </row>
    <row r="323" spans="1:16" ht="20.25">
      <c r="A323" s="559" t="s">
        <v>88</v>
      </c>
      <c r="B323" s="559"/>
      <c r="C323" s="559"/>
      <c r="D323" s="559"/>
      <c r="E323" s="559"/>
      <c r="F323" s="559"/>
      <c r="G323" s="559"/>
      <c r="H323" s="559"/>
      <c r="I323" s="559"/>
      <c r="J323" s="559"/>
      <c r="K323" s="559"/>
      <c r="L323" s="559"/>
      <c r="M323" s="559"/>
      <c r="N323" s="559"/>
      <c r="O323" s="559"/>
      <c r="P323" s="559"/>
    </row>
    <row r="324" spans="1:16" ht="102" customHeight="1">
      <c r="A324" s="46" t="s">
        <v>0</v>
      </c>
      <c r="B324" s="46" t="s">
        <v>2582</v>
      </c>
      <c r="C324" s="46" t="s">
        <v>1</v>
      </c>
      <c r="D324" s="46" t="s">
        <v>2596</v>
      </c>
      <c r="E324" s="67" t="s">
        <v>62</v>
      </c>
      <c r="F324" s="67" t="s">
        <v>63</v>
      </c>
      <c r="G324" s="46" t="s">
        <v>2560</v>
      </c>
      <c r="H324" s="46" t="s">
        <v>2561</v>
      </c>
      <c r="I324" s="46" t="s">
        <v>2583</v>
      </c>
      <c r="J324" s="46" t="s">
        <v>5</v>
      </c>
      <c r="K324" s="46" t="s">
        <v>6</v>
      </c>
      <c r="L324" s="46" t="s">
        <v>66</v>
      </c>
      <c r="M324" s="46" t="s">
        <v>67</v>
      </c>
      <c r="N324" s="67" t="s">
        <v>68</v>
      </c>
      <c r="O324" s="74" t="s">
        <v>69</v>
      </c>
      <c r="P324" s="613"/>
    </row>
    <row r="325" spans="1:16">
      <c r="A325" s="345">
        <v>1</v>
      </c>
      <c r="B325" s="79">
        <v>2</v>
      </c>
      <c r="C325" s="79">
        <v>3</v>
      </c>
      <c r="D325" s="79">
        <v>4</v>
      </c>
      <c r="E325" s="79">
        <v>5</v>
      </c>
      <c r="F325" s="79">
        <v>6</v>
      </c>
      <c r="G325" s="79">
        <v>7</v>
      </c>
      <c r="H325" s="79">
        <v>8</v>
      </c>
      <c r="I325" s="79">
        <v>9</v>
      </c>
      <c r="J325" s="79">
        <v>10</v>
      </c>
      <c r="K325" s="79">
        <v>11</v>
      </c>
      <c r="L325" s="79">
        <v>12</v>
      </c>
      <c r="M325" s="79">
        <v>13</v>
      </c>
      <c r="N325" s="79">
        <v>14</v>
      </c>
      <c r="O325" s="79">
        <v>15</v>
      </c>
      <c r="P325" s="613"/>
    </row>
    <row r="326" spans="1:16">
      <c r="A326" s="392">
        <v>1</v>
      </c>
      <c r="B326" s="616" t="s">
        <v>2606</v>
      </c>
      <c r="C326" s="391" t="s">
        <v>622</v>
      </c>
      <c r="D326" s="626" t="s">
        <v>87</v>
      </c>
      <c r="E326" s="626"/>
      <c r="F326" s="626"/>
      <c r="G326" s="626"/>
      <c r="H326" s="626"/>
      <c r="I326" s="626"/>
      <c r="J326" s="626"/>
      <c r="K326" s="626"/>
      <c r="L326" s="626"/>
      <c r="M326" s="626"/>
      <c r="N326" s="626"/>
      <c r="O326" s="626"/>
      <c r="P326" s="613"/>
    </row>
    <row r="327" spans="1:16">
      <c r="A327" s="392">
        <v>2</v>
      </c>
      <c r="B327" s="616"/>
      <c r="C327" s="391" t="s">
        <v>627</v>
      </c>
      <c r="D327" s="626" t="s">
        <v>87</v>
      </c>
      <c r="E327" s="626"/>
      <c r="F327" s="626"/>
      <c r="G327" s="626"/>
      <c r="H327" s="626"/>
      <c r="I327" s="626"/>
      <c r="J327" s="626"/>
      <c r="K327" s="626"/>
      <c r="L327" s="626"/>
      <c r="M327" s="626"/>
      <c r="N327" s="626"/>
      <c r="O327" s="626"/>
      <c r="P327" s="613"/>
    </row>
    <row r="328" spans="1:16">
      <c r="A328" s="392">
        <v>3</v>
      </c>
      <c r="B328" s="616"/>
      <c r="C328" s="391" t="s">
        <v>628</v>
      </c>
      <c r="D328" s="626" t="s">
        <v>87</v>
      </c>
      <c r="E328" s="626"/>
      <c r="F328" s="626"/>
      <c r="G328" s="626"/>
      <c r="H328" s="626"/>
      <c r="I328" s="626"/>
      <c r="J328" s="626"/>
      <c r="K328" s="626"/>
      <c r="L328" s="626"/>
      <c r="M328" s="626"/>
      <c r="N328" s="626"/>
      <c r="O328" s="626"/>
      <c r="P328" s="613"/>
    </row>
    <row r="329" spans="1:16" ht="60">
      <c r="A329" s="392">
        <v>4</v>
      </c>
      <c r="B329" s="616"/>
      <c r="C329" s="391" t="s">
        <v>629</v>
      </c>
      <c r="D329" s="344" t="s">
        <v>634</v>
      </c>
      <c r="E329" s="339">
        <v>744</v>
      </c>
      <c r="F329" s="53" t="s">
        <v>6993</v>
      </c>
      <c r="G329" s="339">
        <v>2.54</v>
      </c>
      <c r="H329" s="339" t="s">
        <v>635</v>
      </c>
      <c r="I329" s="53" t="s">
        <v>23</v>
      </c>
      <c r="J329" s="339"/>
      <c r="K329" s="339" t="s">
        <v>636</v>
      </c>
      <c r="L329" s="339" t="s">
        <v>26</v>
      </c>
      <c r="M329" s="595" t="s">
        <v>637</v>
      </c>
      <c r="N329" s="595"/>
      <c r="O329" s="339"/>
      <c r="P329" s="613"/>
    </row>
    <row r="330" spans="1:16">
      <c r="A330" s="392">
        <v>5</v>
      </c>
      <c r="B330" s="616"/>
      <c r="C330" s="391" t="s">
        <v>630</v>
      </c>
      <c r="D330" s="626" t="s">
        <v>87</v>
      </c>
      <c r="E330" s="626"/>
      <c r="F330" s="626"/>
      <c r="G330" s="626"/>
      <c r="H330" s="626"/>
      <c r="I330" s="626"/>
      <c r="J330" s="626"/>
      <c r="K330" s="626"/>
      <c r="L330" s="626"/>
      <c r="M330" s="626"/>
      <c r="N330" s="626"/>
      <c r="O330" s="626"/>
      <c r="P330" s="613"/>
    </row>
    <row r="331" spans="1:16">
      <c r="A331" s="392">
        <v>6</v>
      </c>
      <c r="B331" s="616"/>
      <c r="C331" s="391" t="s">
        <v>631</v>
      </c>
      <c r="D331" s="626" t="s">
        <v>87</v>
      </c>
      <c r="E331" s="626"/>
      <c r="F331" s="626"/>
      <c r="G331" s="626"/>
      <c r="H331" s="626"/>
      <c r="I331" s="626"/>
      <c r="J331" s="626"/>
      <c r="K331" s="626"/>
      <c r="L331" s="626"/>
      <c r="M331" s="626"/>
      <c r="N331" s="626"/>
      <c r="O331" s="626"/>
      <c r="P331" s="613"/>
    </row>
    <row r="332" spans="1:16">
      <c r="A332" s="392">
        <v>7</v>
      </c>
      <c r="B332" s="616"/>
      <c r="C332" s="391" t="s">
        <v>632</v>
      </c>
      <c r="D332" s="626" t="s">
        <v>87</v>
      </c>
      <c r="E332" s="626"/>
      <c r="F332" s="626"/>
      <c r="G332" s="626"/>
      <c r="H332" s="626"/>
      <c r="I332" s="626"/>
      <c r="J332" s="626"/>
      <c r="K332" s="626"/>
      <c r="L332" s="626"/>
      <c r="M332" s="626"/>
      <c r="N332" s="626"/>
      <c r="O332" s="626"/>
      <c r="P332" s="613"/>
    </row>
    <row r="333" spans="1:16">
      <c r="A333" s="392">
        <v>8</v>
      </c>
      <c r="B333" s="616"/>
      <c r="C333" s="391" t="s">
        <v>633</v>
      </c>
      <c r="D333" s="626" t="s">
        <v>87</v>
      </c>
      <c r="E333" s="626"/>
      <c r="F333" s="626"/>
      <c r="G333" s="626"/>
      <c r="H333" s="626"/>
      <c r="I333" s="626"/>
      <c r="J333" s="626"/>
      <c r="K333" s="626"/>
      <c r="L333" s="626"/>
      <c r="M333" s="626"/>
      <c r="N333" s="626"/>
      <c r="O333" s="626"/>
      <c r="P333" s="613"/>
    </row>
    <row r="334" spans="1:16">
      <c r="A334" s="626"/>
      <c r="B334" s="626"/>
      <c r="C334" s="626"/>
      <c r="D334" s="626"/>
      <c r="E334" s="626"/>
      <c r="F334" s="626"/>
      <c r="G334" s="626"/>
      <c r="H334" s="626"/>
      <c r="I334" s="626"/>
      <c r="J334" s="626"/>
      <c r="K334" s="626"/>
      <c r="L334" s="626"/>
      <c r="M334" s="626"/>
      <c r="N334" s="626"/>
      <c r="O334" s="626"/>
      <c r="P334" s="626"/>
    </row>
    <row r="335" spans="1:16" ht="20.25" customHeight="1">
      <c r="A335" s="559" t="s">
        <v>111</v>
      </c>
      <c r="B335" s="559"/>
      <c r="C335" s="559"/>
      <c r="D335" s="559"/>
      <c r="E335" s="559"/>
      <c r="F335" s="559"/>
      <c r="G335" s="559"/>
      <c r="H335" s="559"/>
      <c r="I335" s="559"/>
      <c r="J335" s="559"/>
      <c r="K335" s="559"/>
      <c r="L335" s="559"/>
      <c r="M335" s="559"/>
      <c r="N335" s="559"/>
      <c r="O335" s="559"/>
      <c r="P335" s="588"/>
    </row>
    <row r="336" spans="1:16" ht="100.5" customHeight="1">
      <c r="A336" s="46" t="s">
        <v>0</v>
      </c>
      <c r="B336" s="46" t="s">
        <v>2582</v>
      </c>
      <c r="C336" s="46" t="s">
        <v>1</v>
      </c>
      <c r="D336" s="46" t="s">
        <v>2596</v>
      </c>
      <c r="E336" s="46" t="s">
        <v>89</v>
      </c>
      <c r="F336" s="46" t="s">
        <v>63</v>
      </c>
      <c r="G336" s="46" t="s">
        <v>2590</v>
      </c>
      <c r="H336" s="46" t="s">
        <v>2561</v>
      </c>
      <c r="I336" s="46" t="s">
        <v>2391</v>
      </c>
      <c r="J336" s="46" t="s">
        <v>5</v>
      </c>
      <c r="K336" s="46" t="s">
        <v>6</v>
      </c>
      <c r="L336" s="46" t="s">
        <v>91</v>
      </c>
      <c r="M336" s="46" t="s">
        <v>67</v>
      </c>
      <c r="N336" s="67" t="s">
        <v>92</v>
      </c>
      <c r="O336" s="74" t="s">
        <v>11</v>
      </c>
      <c r="P336" s="588"/>
    </row>
    <row r="337" spans="1:16">
      <c r="A337" s="345">
        <v>1</v>
      </c>
      <c r="B337" s="79">
        <v>2</v>
      </c>
      <c r="C337" s="79">
        <v>3</v>
      </c>
      <c r="D337" s="79">
        <v>4</v>
      </c>
      <c r="E337" s="79">
        <v>5</v>
      </c>
      <c r="F337" s="79">
        <v>6</v>
      </c>
      <c r="G337" s="79">
        <v>7</v>
      </c>
      <c r="H337" s="79">
        <v>8</v>
      </c>
      <c r="I337" s="79">
        <v>9</v>
      </c>
      <c r="J337" s="79">
        <v>10</v>
      </c>
      <c r="K337" s="79">
        <v>11</v>
      </c>
      <c r="L337" s="79">
        <v>12</v>
      </c>
      <c r="M337" s="79">
        <v>13</v>
      </c>
      <c r="N337" s="79">
        <v>14</v>
      </c>
      <c r="O337" s="79">
        <v>15</v>
      </c>
      <c r="P337" s="588"/>
    </row>
    <row r="338" spans="1:16">
      <c r="A338" s="369">
        <v>1</v>
      </c>
      <c r="B338" s="553" t="s">
        <v>2606</v>
      </c>
      <c r="C338" s="50" t="s">
        <v>622</v>
      </c>
      <c r="D338" s="621" t="s">
        <v>87</v>
      </c>
      <c r="E338" s="621"/>
      <c r="F338" s="621"/>
      <c r="G338" s="621"/>
      <c r="H338" s="621"/>
      <c r="I338" s="621"/>
      <c r="J338" s="621"/>
      <c r="K338" s="621"/>
      <c r="L338" s="621"/>
      <c r="M338" s="621"/>
      <c r="N338" s="621"/>
      <c r="O338" s="621"/>
      <c r="P338" s="588"/>
    </row>
    <row r="339" spans="1:16">
      <c r="A339" s="369">
        <v>2</v>
      </c>
      <c r="B339" s="553"/>
      <c r="C339" s="50" t="s">
        <v>627</v>
      </c>
      <c r="D339" s="621" t="s">
        <v>87</v>
      </c>
      <c r="E339" s="621"/>
      <c r="F339" s="621"/>
      <c r="G339" s="621"/>
      <c r="H339" s="621"/>
      <c r="I339" s="621"/>
      <c r="J339" s="621"/>
      <c r="K339" s="621"/>
      <c r="L339" s="621"/>
      <c r="M339" s="621"/>
      <c r="N339" s="621"/>
      <c r="O339" s="621"/>
      <c r="P339" s="588"/>
    </row>
    <row r="340" spans="1:16">
      <c r="A340" s="369">
        <v>3</v>
      </c>
      <c r="B340" s="553"/>
      <c r="C340" s="50" t="s">
        <v>628</v>
      </c>
      <c r="D340" s="621" t="s">
        <v>87</v>
      </c>
      <c r="E340" s="621"/>
      <c r="F340" s="621"/>
      <c r="G340" s="621"/>
      <c r="H340" s="621"/>
      <c r="I340" s="621"/>
      <c r="J340" s="621"/>
      <c r="K340" s="621"/>
      <c r="L340" s="621"/>
      <c r="M340" s="621"/>
      <c r="N340" s="621"/>
      <c r="O340" s="621"/>
      <c r="P340" s="588"/>
    </row>
    <row r="341" spans="1:16">
      <c r="A341" s="369">
        <v>4</v>
      </c>
      <c r="B341" s="553"/>
      <c r="C341" s="50" t="s">
        <v>629</v>
      </c>
      <c r="D341" s="621" t="s">
        <v>87</v>
      </c>
      <c r="E341" s="621"/>
      <c r="F341" s="621"/>
      <c r="G341" s="621"/>
      <c r="H341" s="621"/>
      <c r="I341" s="621"/>
      <c r="J341" s="621"/>
      <c r="K341" s="621"/>
      <c r="L341" s="621"/>
      <c r="M341" s="621"/>
      <c r="N341" s="621"/>
      <c r="O341" s="621"/>
      <c r="P341" s="588"/>
    </row>
    <row r="342" spans="1:16">
      <c r="A342" s="369">
        <v>5</v>
      </c>
      <c r="B342" s="553"/>
      <c r="C342" s="50" t="s">
        <v>630</v>
      </c>
      <c r="D342" s="621" t="s">
        <v>87</v>
      </c>
      <c r="E342" s="621"/>
      <c r="F342" s="621"/>
      <c r="G342" s="621"/>
      <c r="H342" s="621"/>
      <c r="I342" s="621"/>
      <c r="J342" s="621"/>
      <c r="K342" s="621"/>
      <c r="L342" s="621"/>
      <c r="M342" s="621"/>
      <c r="N342" s="621"/>
      <c r="O342" s="621"/>
      <c r="P342" s="588"/>
    </row>
    <row r="343" spans="1:16">
      <c r="A343" s="369">
        <v>6</v>
      </c>
      <c r="B343" s="553"/>
      <c r="C343" s="50" t="s">
        <v>631</v>
      </c>
      <c r="D343" s="621" t="s">
        <v>87</v>
      </c>
      <c r="E343" s="621"/>
      <c r="F343" s="621"/>
      <c r="G343" s="621"/>
      <c r="H343" s="621"/>
      <c r="I343" s="621"/>
      <c r="J343" s="621"/>
      <c r="K343" s="621"/>
      <c r="L343" s="621"/>
      <c r="M343" s="621"/>
      <c r="N343" s="621"/>
      <c r="O343" s="621"/>
      <c r="P343" s="588"/>
    </row>
    <row r="344" spans="1:16">
      <c r="A344" s="369">
        <v>7</v>
      </c>
      <c r="B344" s="553"/>
      <c r="C344" s="50" t="s">
        <v>632</v>
      </c>
      <c r="D344" s="621" t="s">
        <v>87</v>
      </c>
      <c r="E344" s="621"/>
      <c r="F344" s="621"/>
      <c r="G344" s="621"/>
      <c r="H344" s="621"/>
      <c r="I344" s="621"/>
      <c r="J344" s="621"/>
      <c r="K344" s="621"/>
      <c r="L344" s="621"/>
      <c r="M344" s="621"/>
      <c r="N344" s="621"/>
      <c r="O344" s="621"/>
      <c r="P344" s="588"/>
    </row>
    <row r="345" spans="1:16">
      <c r="A345" s="369">
        <v>8</v>
      </c>
      <c r="B345" s="553"/>
      <c r="C345" s="50" t="s">
        <v>633</v>
      </c>
      <c r="D345" s="621" t="s">
        <v>87</v>
      </c>
      <c r="E345" s="621"/>
      <c r="F345" s="621"/>
      <c r="G345" s="621"/>
      <c r="H345" s="621"/>
      <c r="I345" s="621"/>
      <c r="J345" s="621"/>
      <c r="K345" s="621"/>
      <c r="L345" s="621"/>
      <c r="M345" s="621"/>
      <c r="N345" s="621"/>
      <c r="O345" s="621"/>
      <c r="P345" s="588"/>
    </row>
    <row r="346" spans="1:16">
      <c r="A346" s="621"/>
      <c r="B346" s="621"/>
      <c r="C346" s="621"/>
      <c r="D346" s="621"/>
      <c r="E346" s="621"/>
      <c r="F346" s="621"/>
      <c r="G346" s="621"/>
      <c r="H346" s="621"/>
      <c r="I346" s="621"/>
      <c r="J346" s="621"/>
      <c r="K346" s="621"/>
      <c r="L346" s="621"/>
      <c r="M346" s="621"/>
      <c r="N346" s="621"/>
      <c r="O346" s="621"/>
      <c r="P346" s="621"/>
    </row>
    <row r="347" spans="1:16" ht="20.25">
      <c r="A347" s="559" t="s">
        <v>112</v>
      </c>
      <c r="B347" s="559"/>
      <c r="C347" s="559"/>
      <c r="D347" s="559"/>
      <c r="E347" s="559"/>
      <c r="F347" s="559"/>
      <c r="G347" s="559"/>
      <c r="H347" s="559"/>
      <c r="I347" s="559"/>
      <c r="J347" s="559"/>
      <c r="K347" s="559"/>
      <c r="L347" s="559"/>
      <c r="M347" s="559"/>
      <c r="N347" s="559"/>
      <c r="O347" s="559"/>
      <c r="P347" s="559"/>
    </row>
    <row r="348" spans="1:16" ht="100.5" customHeight="1">
      <c r="A348" s="46" t="s">
        <v>0</v>
      </c>
      <c r="B348" s="46" t="s">
        <v>2582</v>
      </c>
      <c r="C348" s="46" t="s">
        <v>1</v>
      </c>
      <c r="D348" s="46" t="s">
        <v>2596</v>
      </c>
      <c r="E348" s="46" t="s">
        <v>89</v>
      </c>
      <c r="F348" s="46" t="s">
        <v>63</v>
      </c>
      <c r="G348" s="46" t="s">
        <v>2390</v>
      </c>
      <c r="H348" s="46" t="s">
        <v>2561</v>
      </c>
      <c r="I348" s="46" t="s">
        <v>2391</v>
      </c>
      <c r="J348" s="46" t="s">
        <v>5</v>
      </c>
      <c r="K348" s="46" t="s">
        <v>6</v>
      </c>
      <c r="L348" s="46" t="s">
        <v>91</v>
      </c>
      <c r="M348" s="46" t="s">
        <v>67</v>
      </c>
      <c r="N348" s="67" t="s">
        <v>110</v>
      </c>
      <c r="O348" s="67" t="s">
        <v>92</v>
      </c>
      <c r="P348" s="74" t="s">
        <v>69</v>
      </c>
    </row>
    <row r="349" spans="1:16">
      <c r="A349" s="345">
        <v>1</v>
      </c>
      <c r="B349" s="79">
        <v>2</v>
      </c>
      <c r="C349" s="79">
        <v>3</v>
      </c>
      <c r="D349" s="79">
        <v>4</v>
      </c>
      <c r="E349" s="79">
        <v>5</v>
      </c>
      <c r="F349" s="79">
        <v>6</v>
      </c>
      <c r="G349" s="79">
        <v>7</v>
      </c>
      <c r="H349" s="79">
        <v>8</v>
      </c>
      <c r="I349" s="79">
        <v>9</v>
      </c>
      <c r="J349" s="79">
        <v>10</v>
      </c>
      <c r="K349" s="79">
        <v>11</v>
      </c>
      <c r="L349" s="79">
        <v>12</v>
      </c>
      <c r="M349" s="79">
        <v>13</v>
      </c>
      <c r="N349" s="79">
        <v>14</v>
      </c>
      <c r="O349" s="79">
        <v>15</v>
      </c>
      <c r="P349" s="46">
        <v>16</v>
      </c>
    </row>
    <row r="350" spans="1:16">
      <c r="A350" s="369">
        <v>1</v>
      </c>
      <c r="B350" s="553" t="s">
        <v>2605</v>
      </c>
      <c r="C350" s="50" t="s">
        <v>622</v>
      </c>
      <c r="D350" s="621" t="s">
        <v>87</v>
      </c>
      <c r="E350" s="621"/>
      <c r="F350" s="621"/>
      <c r="G350" s="621"/>
      <c r="H350" s="621"/>
      <c r="I350" s="621"/>
      <c r="J350" s="621"/>
      <c r="K350" s="621"/>
      <c r="L350" s="621"/>
      <c r="M350" s="621"/>
      <c r="N350" s="621"/>
      <c r="O350" s="621"/>
      <c r="P350" s="621"/>
    </row>
    <row r="351" spans="1:16">
      <c r="A351" s="369">
        <v>2</v>
      </c>
      <c r="B351" s="553"/>
      <c r="C351" s="50" t="s">
        <v>627</v>
      </c>
      <c r="D351" s="621" t="s">
        <v>87</v>
      </c>
      <c r="E351" s="621"/>
      <c r="F351" s="621"/>
      <c r="G351" s="621"/>
      <c r="H351" s="621"/>
      <c r="I351" s="621"/>
      <c r="J351" s="621"/>
      <c r="K351" s="621"/>
      <c r="L351" s="621"/>
      <c r="M351" s="621"/>
      <c r="N351" s="621"/>
      <c r="O351" s="621"/>
      <c r="P351" s="621"/>
    </row>
    <row r="352" spans="1:16">
      <c r="A352" s="369">
        <v>3</v>
      </c>
      <c r="B352" s="553"/>
      <c r="C352" s="50" t="s">
        <v>628</v>
      </c>
      <c r="D352" s="621" t="s">
        <v>87</v>
      </c>
      <c r="E352" s="621"/>
      <c r="F352" s="621"/>
      <c r="G352" s="621"/>
      <c r="H352" s="621"/>
      <c r="I352" s="621"/>
      <c r="J352" s="621"/>
      <c r="K352" s="621"/>
      <c r="L352" s="621"/>
      <c r="M352" s="621"/>
      <c r="N352" s="621"/>
      <c r="O352" s="621"/>
      <c r="P352" s="621"/>
    </row>
    <row r="353" spans="1:16">
      <c r="A353" s="369">
        <v>4</v>
      </c>
      <c r="B353" s="553"/>
      <c r="C353" s="50" t="s">
        <v>629</v>
      </c>
      <c r="D353" s="621" t="s">
        <v>87</v>
      </c>
      <c r="E353" s="621"/>
      <c r="F353" s="621"/>
      <c r="G353" s="621"/>
      <c r="H353" s="621"/>
      <c r="I353" s="621"/>
      <c r="J353" s="621"/>
      <c r="K353" s="621"/>
      <c r="L353" s="621"/>
      <c r="M353" s="621"/>
      <c r="N353" s="621"/>
      <c r="O353" s="621"/>
      <c r="P353" s="621"/>
    </row>
    <row r="354" spans="1:16">
      <c r="A354" s="369">
        <v>5</v>
      </c>
      <c r="B354" s="553"/>
      <c r="C354" s="50" t="s">
        <v>630</v>
      </c>
      <c r="D354" s="621" t="s">
        <v>87</v>
      </c>
      <c r="E354" s="621"/>
      <c r="F354" s="621"/>
      <c r="G354" s="621"/>
      <c r="H354" s="621"/>
      <c r="I354" s="621"/>
      <c r="J354" s="621"/>
      <c r="K354" s="621"/>
      <c r="L354" s="621"/>
      <c r="M354" s="621"/>
      <c r="N354" s="621"/>
      <c r="O354" s="621"/>
      <c r="P354" s="621"/>
    </row>
    <row r="355" spans="1:16">
      <c r="A355" s="369">
        <v>6</v>
      </c>
      <c r="B355" s="553"/>
      <c r="C355" s="50" t="s">
        <v>631</v>
      </c>
      <c r="D355" s="621" t="s">
        <v>87</v>
      </c>
      <c r="E355" s="621"/>
      <c r="F355" s="621"/>
      <c r="G355" s="621"/>
      <c r="H355" s="621"/>
      <c r="I355" s="621"/>
      <c r="J355" s="621"/>
      <c r="K355" s="621"/>
      <c r="L355" s="621"/>
      <c r="M355" s="621"/>
      <c r="N355" s="621"/>
      <c r="O355" s="621"/>
      <c r="P355" s="621"/>
    </row>
    <row r="356" spans="1:16">
      <c r="A356" s="369">
        <v>7</v>
      </c>
      <c r="B356" s="553"/>
      <c r="C356" s="50" t="s">
        <v>632</v>
      </c>
      <c r="D356" s="621" t="s">
        <v>87</v>
      </c>
      <c r="E356" s="621"/>
      <c r="F356" s="621"/>
      <c r="G356" s="621"/>
      <c r="H356" s="621"/>
      <c r="I356" s="621"/>
      <c r="J356" s="621"/>
      <c r="K356" s="621"/>
      <c r="L356" s="621"/>
      <c r="M356" s="621"/>
      <c r="N356" s="621"/>
      <c r="O356" s="621"/>
      <c r="P356" s="621"/>
    </row>
    <row r="357" spans="1:16">
      <c r="A357" s="369">
        <v>8</v>
      </c>
      <c r="B357" s="553"/>
      <c r="C357" s="50" t="s">
        <v>633</v>
      </c>
      <c r="D357" s="621" t="s">
        <v>87</v>
      </c>
      <c r="E357" s="621"/>
      <c r="F357" s="621"/>
      <c r="G357" s="621"/>
      <c r="H357" s="621"/>
      <c r="I357" s="621"/>
      <c r="J357" s="621"/>
      <c r="K357" s="621"/>
      <c r="L357" s="621"/>
      <c r="M357" s="621"/>
      <c r="N357" s="621"/>
      <c r="O357" s="621"/>
      <c r="P357" s="621"/>
    </row>
    <row r="358" spans="1:16">
      <c r="A358" s="621"/>
      <c r="B358" s="621"/>
      <c r="C358" s="621"/>
      <c r="D358" s="621"/>
      <c r="E358" s="621"/>
      <c r="F358" s="621"/>
      <c r="G358" s="621"/>
      <c r="H358" s="621"/>
      <c r="I358" s="621"/>
      <c r="J358" s="621"/>
      <c r="K358" s="621"/>
      <c r="L358" s="621"/>
      <c r="M358" s="621"/>
      <c r="N358" s="621"/>
      <c r="O358" s="621"/>
      <c r="P358" s="621"/>
    </row>
    <row r="359" spans="1:16" ht="22.5">
      <c r="A359" s="701" t="s">
        <v>639</v>
      </c>
      <c r="B359" s="701"/>
      <c r="C359" s="701"/>
      <c r="D359" s="701"/>
      <c r="E359" s="701"/>
      <c r="F359" s="701"/>
      <c r="G359" s="701"/>
      <c r="H359" s="701"/>
      <c r="I359" s="701"/>
      <c r="J359" s="701"/>
      <c r="K359" s="701"/>
      <c r="L359" s="701"/>
      <c r="M359" s="701"/>
      <c r="N359" s="701"/>
      <c r="O359" s="701"/>
      <c r="P359" s="701"/>
    </row>
    <row r="360" spans="1:16" ht="20.25">
      <c r="A360" s="559" t="s">
        <v>61</v>
      </c>
      <c r="B360" s="559"/>
      <c r="C360" s="559"/>
      <c r="D360" s="559"/>
      <c r="E360" s="559"/>
      <c r="F360" s="559"/>
      <c r="G360" s="559"/>
      <c r="H360" s="559"/>
      <c r="I360" s="559"/>
      <c r="J360" s="559"/>
      <c r="K360" s="559"/>
      <c r="L360" s="559"/>
      <c r="M360" s="559"/>
      <c r="N360" s="559"/>
      <c r="O360" s="559"/>
      <c r="P360" s="559"/>
    </row>
    <row r="361" spans="1:16" ht="85.5">
      <c r="A361" s="46" t="s">
        <v>0</v>
      </c>
      <c r="B361" s="46" t="s">
        <v>2592</v>
      </c>
      <c r="C361" s="46" t="s">
        <v>1</v>
      </c>
      <c r="D361" s="46" t="s">
        <v>2593</v>
      </c>
      <c r="E361" s="46" t="s">
        <v>3</v>
      </c>
      <c r="F361" s="46" t="s">
        <v>4</v>
      </c>
      <c r="G361" s="46" t="s">
        <v>2594</v>
      </c>
      <c r="H361" s="46" t="s">
        <v>2595</v>
      </c>
      <c r="I361" s="46" t="s">
        <v>2392</v>
      </c>
      <c r="J361" s="46" t="s">
        <v>5</v>
      </c>
      <c r="K361" s="46" t="s">
        <v>6</v>
      </c>
      <c r="L361" s="46" t="s">
        <v>7</v>
      </c>
      <c r="M361" s="67" t="s">
        <v>8</v>
      </c>
      <c r="N361" s="67" t="s">
        <v>9</v>
      </c>
      <c r="O361" s="46" t="s">
        <v>10</v>
      </c>
      <c r="P361" s="74" t="s">
        <v>11</v>
      </c>
    </row>
    <row r="362" spans="1:16">
      <c r="A362" s="8">
        <v>1</v>
      </c>
      <c r="B362" s="46">
        <v>2</v>
      </c>
      <c r="C362" s="46">
        <v>3</v>
      </c>
      <c r="D362" s="46">
        <v>4</v>
      </c>
      <c r="E362" s="46">
        <v>5</v>
      </c>
      <c r="F362" s="46">
        <v>6</v>
      </c>
      <c r="G362" s="46">
        <v>7</v>
      </c>
      <c r="H362" s="46">
        <v>8</v>
      </c>
      <c r="I362" s="46">
        <v>9</v>
      </c>
      <c r="J362" s="46">
        <v>10</v>
      </c>
      <c r="K362" s="46">
        <v>11</v>
      </c>
      <c r="L362" s="46">
        <v>12</v>
      </c>
      <c r="M362" s="46">
        <v>13</v>
      </c>
      <c r="N362" s="46">
        <v>14</v>
      </c>
      <c r="O362" s="46">
        <v>15</v>
      </c>
      <c r="P362" s="46">
        <v>16</v>
      </c>
    </row>
    <row r="363" spans="1:16" ht="45">
      <c r="A363" s="336">
        <v>1</v>
      </c>
      <c r="B363" s="622" t="s">
        <v>6855</v>
      </c>
      <c r="C363" s="123" t="s">
        <v>6856</v>
      </c>
      <c r="D363" s="53" t="s">
        <v>6857</v>
      </c>
      <c r="E363" s="336" t="s">
        <v>6858</v>
      </c>
      <c r="F363" s="336" t="s">
        <v>6859</v>
      </c>
      <c r="G363" s="336">
        <v>5.25</v>
      </c>
      <c r="H363" s="336" t="s">
        <v>2068</v>
      </c>
      <c r="I363" s="339" t="s">
        <v>6860</v>
      </c>
      <c r="J363" s="339" t="s">
        <v>6861</v>
      </c>
      <c r="K363" s="123"/>
      <c r="L363" s="123"/>
      <c r="M363" s="123"/>
      <c r="N363" s="123"/>
      <c r="O363" s="123"/>
      <c r="P363" s="123"/>
    </row>
    <row r="364" spans="1:16">
      <c r="A364" s="336">
        <v>2</v>
      </c>
      <c r="B364" s="623"/>
      <c r="C364" s="123" t="s">
        <v>6862</v>
      </c>
      <c r="D364" s="123"/>
      <c r="E364" s="123"/>
      <c r="F364" s="123"/>
      <c r="G364" s="123"/>
      <c r="H364" s="123"/>
      <c r="I364" s="123"/>
      <c r="J364" s="123"/>
      <c r="K364" s="123"/>
      <c r="L364" s="123"/>
      <c r="M364" s="123"/>
      <c r="N364" s="123"/>
      <c r="O364" s="123"/>
      <c r="P364" s="123"/>
    </row>
    <row r="365" spans="1:16">
      <c r="A365" s="336">
        <v>3</v>
      </c>
      <c r="B365" s="623"/>
      <c r="C365" s="53" t="s">
        <v>6863</v>
      </c>
      <c r="D365" s="123"/>
      <c r="E365" s="123"/>
      <c r="F365" s="123"/>
      <c r="G365" s="123"/>
      <c r="H365" s="123"/>
      <c r="I365" s="123"/>
      <c r="J365" s="123"/>
      <c r="K365" s="123"/>
      <c r="L365" s="123"/>
      <c r="M365" s="123"/>
      <c r="N365" s="123"/>
      <c r="O365" s="123"/>
      <c r="P365" s="123"/>
    </row>
    <row r="366" spans="1:16">
      <c r="A366" s="336">
        <v>4</v>
      </c>
      <c r="B366" s="623"/>
      <c r="C366" s="53" t="s">
        <v>6864</v>
      </c>
      <c r="D366" s="123"/>
      <c r="E366" s="123"/>
      <c r="F366" s="123"/>
      <c r="G366" s="123"/>
      <c r="H366" s="123"/>
      <c r="I366" s="123"/>
      <c r="J366" s="123"/>
      <c r="K366" s="123"/>
      <c r="L366" s="123"/>
      <c r="M366" s="123"/>
      <c r="N366" s="123"/>
      <c r="O366" s="123"/>
      <c r="P366" s="123"/>
    </row>
    <row r="367" spans="1:16">
      <c r="A367" s="336">
        <v>5</v>
      </c>
      <c r="B367" s="623"/>
      <c r="C367" s="53" t="s">
        <v>6865</v>
      </c>
      <c r="D367" s="600" t="s">
        <v>87</v>
      </c>
      <c r="E367" s="600"/>
      <c r="F367" s="600"/>
      <c r="G367" s="600"/>
      <c r="H367" s="600"/>
      <c r="I367" s="600"/>
      <c r="J367" s="600"/>
      <c r="K367" s="600"/>
      <c r="L367" s="600"/>
      <c r="M367" s="600"/>
      <c r="N367" s="600"/>
      <c r="O367" s="600"/>
      <c r="P367" s="600"/>
    </row>
    <row r="368" spans="1:16">
      <c r="A368" s="336">
        <v>6</v>
      </c>
      <c r="B368" s="623"/>
      <c r="C368" s="53" t="s">
        <v>6866</v>
      </c>
      <c r="D368" s="336"/>
      <c r="E368" s="336"/>
      <c r="F368" s="336"/>
      <c r="G368" s="336"/>
      <c r="H368" s="336"/>
      <c r="I368" s="336"/>
      <c r="J368" s="336"/>
      <c r="K368" s="336"/>
      <c r="L368" s="336"/>
      <c r="M368" s="336"/>
      <c r="N368" s="336"/>
      <c r="O368" s="336"/>
      <c r="P368" s="336"/>
    </row>
    <row r="369" spans="1:16">
      <c r="A369" s="336">
        <v>7</v>
      </c>
      <c r="B369" s="623"/>
      <c r="C369" s="53" t="s">
        <v>6867</v>
      </c>
      <c r="D369" s="600" t="s">
        <v>87</v>
      </c>
      <c r="E369" s="600"/>
      <c r="F369" s="600"/>
      <c r="G369" s="600"/>
      <c r="H369" s="600"/>
      <c r="I369" s="600"/>
      <c r="J369" s="600"/>
      <c r="K369" s="600"/>
      <c r="L369" s="600"/>
      <c r="M369" s="600"/>
      <c r="N369" s="600"/>
      <c r="O369" s="600"/>
      <c r="P369" s="600"/>
    </row>
    <row r="370" spans="1:16">
      <c r="A370" s="336">
        <v>8</v>
      </c>
      <c r="B370" s="623"/>
      <c r="C370" s="53" t="s">
        <v>6868</v>
      </c>
      <c r="D370" s="600" t="s">
        <v>87</v>
      </c>
      <c r="E370" s="600"/>
      <c r="F370" s="600"/>
      <c r="G370" s="600"/>
      <c r="H370" s="600"/>
      <c r="I370" s="600"/>
      <c r="J370" s="600"/>
      <c r="K370" s="600"/>
      <c r="L370" s="600"/>
      <c r="M370" s="600"/>
      <c r="N370" s="600"/>
      <c r="O370" s="600"/>
      <c r="P370" s="600"/>
    </row>
    <row r="371" spans="1:16">
      <c r="A371" s="336">
        <v>9</v>
      </c>
      <c r="B371" s="623"/>
      <c r="C371" s="53" t="s">
        <v>6869</v>
      </c>
      <c r="D371" s="336"/>
      <c r="E371" s="336"/>
      <c r="F371" s="336"/>
      <c r="G371" s="336"/>
      <c r="H371" s="336"/>
      <c r="I371" s="336"/>
      <c r="J371" s="336"/>
      <c r="K371" s="336"/>
      <c r="L371" s="336"/>
      <c r="M371" s="336"/>
      <c r="N371" s="336"/>
      <c r="O371" s="336"/>
      <c r="P371" s="336"/>
    </row>
    <row r="372" spans="1:16">
      <c r="A372" s="336">
        <v>10</v>
      </c>
      <c r="B372" s="623"/>
      <c r="C372" s="53" t="s">
        <v>6870</v>
      </c>
      <c r="D372" s="600" t="s">
        <v>87</v>
      </c>
      <c r="E372" s="600"/>
      <c r="F372" s="600"/>
      <c r="G372" s="600"/>
      <c r="H372" s="600"/>
      <c r="I372" s="600"/>
      <c r="J372" s="600"/>
      <c r="K372" s="600"/>
      <c r="L372" s="600"/>
      <c r="M372" s="600"/>
      <c r="N372" s="600"/>
      <c r="O372" s="600"/>
      <c r="P372" s="600"/>
    </row>
    <row r="373" spans="1:16" ht="90">
      <c r="A373" s="336">
        <v>11</v>
      </c>
      <c r="B373" s="623"/>
      <c r="C373" s="53" t="s">
        <v>6871</v>
      </c>
      <c r="D373" s="53" t="s">
        <v>6872</v>
      </c>
      <c r="E373" s="336">
        <v>3412</v>
      </c>
      <c r="F373" s="339" t="s">
        <v>6873</v>
      </c>
      <c r="G373" s="123"/>
      <c r="H373" s="123"/>
      <c r="I373" s="123"/>
      <c r="J373" s="123"/>
      <c r="K373" s="123"/>
      <c r="L373" s="123"/>
      <c r="M373" s="123"/>
      <c r="N373" s="123"/>
      <c r="O373" s="123"/>
      <c r="P373" s="53" t="s">
        <v>6874</v>
      </c>
    </row>
    <row r="374" spans="1:16">
      <c r="A374" s="600"/>
      <c r="B374" s="600"/>
      <c r="C374" s="600"/>
      <c r="D374" s="600"/>
      <c r="E374" s="600"/>
      <c r="F374" s="600"/>
      <c r="G374" s="600"/>
      <c r="H374" s="600"/>
      <c r="I374" s="600"/>
      <c r="J374" s="600"/>
      <c r="K374" s="600"/>
      <c r="L374" s="600"/>
      <c r="M374" s="600"/>
      <c r="N374" s="600"/>
      <c r="O374" s="600"/>
      <c r="P374" s="600"/>
    </row>
    <row r="375" spans="1:16" ht="20.25" customHeight="1">
      <c r="A375" s="559" t="s">
        <v>88</v>
      </c>
      <c r="B375" s="559"/>
      <c r="C375" s="559"/>
      <c r="D375" s="559"/>
      <c r="E375" s="559"/>
      <c r="F375" s="559"/>
      <c r="G375" s="559"/>
      <c r="H375" s="559"/>
      <c r="I375" s="559"/>
      <c r="J375" s="559"/>
      <c r="K375" s="559"/>
      <c r="L375" s="559"/>
      <c r="M375" s="559"/>
      <c r="N375" s="559"/>
      <c r="O375" s="559"/>
      <c r="P375" s="588"/>
    </row>
    <row r="376" spans="1:16" ht="85.5">
      <c r="A376" s="46" t="s">
        <v>0</v>
      </c>
      <c r="B376" s="46" t="s">
        <v>2582</v>
      </c>
      <c r="C376" s="46" t="s">
        <v>1</v>
      </c>
      <c r="D376" s="46" t="s">
        <v>2596</v>
      </c>
      <c r="E376" s="67" t="s">
        <v>62</v>
      </c>
      <c r="F376" s="67" t="s">
        <v>63</v>
      </c>
      <c r="G376" s="46" t="s">
        <v>2560</v>
      </c>
      <c r="H376" s="46" t="s">
        <v>2561</v>
      </c>
      <c r="I376" s="46" t="s">
        <v>2583</v>
      </c>
      <c r="J376" s="46" t="s">
        <v>5</v>
      </c>
      <c r="K376" s="46" t="s">
        <v>6</v>
      </c>
      <c r="L376" s="46" t="s">
        <v>66</v>
      </c>
      <c r="M376" s="46" t="s">
        <v>67</v>
      </c>
      <c r="N376" s="67" t="s">
        <v>68</v>
      </c>
      <c r="O376" s="74" t="s">
        <v>69</v>
      </c>
      <c r="P376" s="588"/>
    </row>
    <row r="377" spans="1:16">
      <c r="A377" s="345">
        <v>1</v>
      </c>
      <c r="B377" s="79">
        <v>2</v>
      </c>
      <c r="C377" s="79">
        <v>3</v>
      </c>
      <c r="D377" s="79">
        <v>4</v>
      </c>
      <c r="E377" s="79">
        <v>5</v>
      </c>
      <c r="F377" s="79">
        <v>6</v>
      </c>
      <c r="G377" s="79">
        <v>7</v>
      </c>
      <c r="H377" s="79">
        <v>8</v>
      </c>
      <c r="I377" s="79">
        <v>9</v>
      </c>
      <c r="J377" s="79">
        <v>10</v>
      </c>
      <c r="K377" s="79">
        <v>11</v>
      </c>
      <c r="L377" s="79">
        <v>12</v>
      </c>
      <c r="M377" s="79">
        <v>13</v>
      </c>
      <c r="N377" s="79">
        <v>14</v>
      </c>
      <c r="O377" s="79">
        <v>15</v>
      </c>
      <c r="P377" s="588"/>
    </row>
    <row r="378" spans="1:16" ht="15" customHeight="1">
      <c r="A378" s="336">
        <v>1</v>
      </c>
      <c r="B378" s="553" t="s">
        <v>7479</v>
      </c>
      <c r="C378" s="344" t="s">
        <v>6856</v>
      </c>
      <c r="D378" s="344"/>
      <c r="E378" s="50"/>
      <c r="F378" s="50"/>
      <c r="G378" s="50"/>
      <c r="H378" s="50"/>
      <c r="I378" s="50"/>
      <c r="J378" s="50"/>
      <c r="K378" s="50"/>
      <c r="L378" s="50"/>
      <c r="M378" s="50"/>
      <c r="N378" s="50"/>
      <c r="O378" s="50"/>
      <c r="P378" s="588"/>
    </row>
    <row r="379" spans="1:16" ht="30">
      <c r="A379" s="609">
        <v>2</v>
      </c>
      <c r="B379" s="624"/>
      <c r="C379" s="553" t="s">
        <v>6862</v>
      </c>
      <c r="D379" s="344" t="s">
        <v>6875</v>
      </c>
      <c r="E379" s="339" t="s">
        <v>6876</v>
      </c>
      <c r="F379" s="336">
        <v>1965</v>
      </c>
      <c r="G379" s="336" t="s">
        <v>6877</v>
      </c>
      <c r="H379" s="50"/>
      <c r="I379" s="50"/>
      <c r="J379" s="50"/>
      <c r="K379" s="50"/>
      <c r="L379" s="50"/>
      <c r="M379" s="50"/>
      <c r="N379" s="50"/>
      <c r="O379" s="50"/>
      <c r="P379" s="588"/>
    </row>
    <row r="380" spans="1:16" ht="30">
      <c r="A380" s="611"/>
      <c r="B380" s="624"/>
      <c r="C380" s="553"/>
      <c r="D380" s="344" t="s">
        <v>6878</v>
      </c>
      <c r="E380" s="339" t="s">
        <v>6879</v>
      </c>
      <c r="F380" s="336">
        <v>1961</v>
      </c>
      <c r="G380" s="336" t="s">
        <v>6880</v>
      </c>
      <c r="H380" s="50"/>
      <c r="I380" s="50"/>
      <c r="J380" s="50"/>
      <c r="K380" s="50"/>
      <c r="L380" s="50"/>
      <c r="M380" s="50"/>
      <c r="N380" s="50"/>
      <c r="O380" s="50"/>
      <c r="P380" s="588"/>
    </row>
    <row r="381" spans="1:16" ht="30">
      <c r="A381" s="610"/>
      <c r="B381" s="624"/>
      <c r="C381" s="553"/>
      <c r="D381" s="344" t="s">
        <v>6881</v>
      </c>
      <c r="E381" s="339" t="s">
        <v>6882</v>
      </c>
      <c r="F381" s="336" t="s">
        <v>6883</v>
      </c>
      <c r="G381" s="336" t="s">
        <v>6884</v>
      </c>
      <c r="H381" s="50"/>
      <c r="I381" s="50"/>
      <c r="J381" s="50"/>
      <c r="K381" s="50"/>
      <c r="L381" s="50"/>
      <c r="M381" s="50"/>
      <c r="N381" s="50"/>
      <c r="O381" s="50"/>
      <c r="P381" s="588"/>
    </row>
    <row r="382" spans="1:16">
      <c r="A382" s="336">
        <v>3</v>
      </c>
      <c r="B382" s="624"/>
      <c r="C382" s="344" t="s">
        <v>6863</v>
      </c>
      <c r="D382" s="339"/>
      <c r="E382" s="336"/>
      <c r="F382" s="336"/>
      <c r="G382" s="336"/>
      <c r="H382" s="336"/>
      <c r="I382" s="336"/>
      <c r="J382" s="336"/>
      <c r="K382" s="336"/>
      <c r="L382" s="336"/>
      <c r="M382" s="336"/>
      <c r="N382" s="336"/>
      <c r="O382" s="336"/>
      <c r="P382" s="588"/>
    </row>
    <row r="383" spans="1:16">
      <c r="A383" s="336">
        <v>4</v>
      </c>
      <c r="B383" s="624"/>
      <c r="C383" s="344" t="s">
        <v>6864</v>
      </c>
      <c r="D383" s="339"/>
      <c r="E383" s="336"/>
      <c r="F383" s="336"/>
      <c r="G383" s="336"/>
      <c r="H383" s="336"/>
      <c r="I383" s="336"/>
      <c r="J383" s="336"/>
      <c r="K383" s="336"/>
      <c r="L383" s="336"/>
      <c r="M383" s="336"/>
      <c r="N383" s="336"/>
      <c r="O383" s="336"/>
      <c r="P383" s="588"/>
    </row>
    <row r="384" spans="1:16">
      <c r="A384" s="336">
        <v>5</v>
      </c>
      <c r="B384" s="624"/>
      <c r="C384" s="344" t="s">
        <v>6865</v>
      </c>
      <c r="D384" s="600" t="s">
        <v>87</v>
      </c>
      <c r="E384" s="600"/>
      <c r="F384" s="600"/>
      <c r="G384" s="600"/>
      <c r="H384" s="600"/>
      <c r="I384" s="600"/>
      <c r="J384" s="600"/>
      <c r="K384" s="600"/>
      <c r="L384" s="600"/>
      <c r="M384" s="600"/>
      <c r="N384" s="600"/>
      <c r="O384" s="600"/>
      <c r="P384" s="588"/>
    </row>
    <row r="385" spans="1:16">
      <c r="A385" s="336">
        <v>6</v>
      </c>
      <c r="B385" s="624"/>
      <c r="C385" s="344" t="s">
        <v>6866</v>
      </c>
      <c r="D385" s="339"/>
      <c r="E385" s="336"/>
      <c r="F385" s="336"/>
      <c r="G385" s="336"/>
      <c r="H385" s="336"/>
      <c r="I385" s="336"/>
      <c r="J385" s="336"/>
      <c r="K385" s="336"/>
      <c r="L385" s="336"/>
      <c r="M385" s="336"/>
      <c r="N385" s="336"/>
      <c r="O385" s="336"/>
      <c r="P385" s="588"/>
    </row>
    <row r="386" spans="1:16">
      <c r="A386" s="336">
        <v>7</v>
      </c>
      <c r="B386" s="624"/>
      <c r="C386" s="344" t="s">
        <v>6867</v>
      </c>
      <c r="D386" s="600" t="s">
        <v>87</v>
      </c>
      <c r="E386" s="600"/>
      <c r="F386" s="600"/>
      <c r="G386" s="600"/>
      <c r="H386" s="600"/>
      <c r="I386" s="600"/>
      <c r="J386" s="600"/>
      <c r="K386" s="600"/>
      <c r="L386" s="600"/>
      <c r="M386" s="600"/>
      <c r="N386" s="600"/>
      <c r="O386" s="600"/>
      <c r="P386" s="588"/>
    </row>
    <row r="387" spans="1:16">
      <c r="A387" s="336">
        <v>8</v>
      </c>
      <c r="B387" s="624"/>
      <c r="C387" s="344" t="s">
        <v>6868</v>
      </c>
      <c r="D387" s="600" t="s">
        <v>87</v>
      </c>
      <c r="E387" s="600"/>
      <c r="F387" s="600"/>
      <c r="G387" s="600"/>
      <c r="H387" s="600"/>
      <c r="I387" s="600"/>
      <c r="J387" s="600"/>
      <c r="K387" s="600"/>
      <c r="L387" s="600"/>
      <c r="M387" s="600"/>
      <c r="N387" s="600"/>
      <c r="O387" s="600"/>
      <c r="P387" s="588"/>
    </row>
    <row r="388" spans="1:16">
      <c r="A388" s="336">
        <v>9</v>
      </c>
      <c r="B388" s="624"/>
      <c r="C388" s="344" t="s">
        <v>6869</v>
      </c>
      <c r="D388" s="595" t="s">
        <v>87</v>
      </c>
      <c r="E388" s="595"/>
      <c r="F388" s="595"/>
      <c r="G388" s="595"/>
      <c r="H388" s="595"/>
      <c r="I388" s="595"/>
      <c r="J388" s="595"/>
      <c r="K388" s="595"/>
      <c r="L388" s="595"/>
      <c r="M388" s="595"/>
      <c r="N388" s="595"/>
      <c r="O388" s="595"/>
      <c r="P388" s="588"/>
    </row>
    <row r="389" spans="1:16">
      <c r="A389" s="336">
        <v>10</v>
      </c>
      <c r="B389" s="624"/>
      <c r="C389" s="344" t="s">
        <v>6870</v>
      </c>
      <c r="D389" s="600" t="s">
        <v>87</v>
      </c>
      <c r="E389" s="600"/>
      <c r="F389" s="600"/>
      <c r="G389" s="600"/>
      <c r="H389" s="600"/>
      <c r="I389" s="600"/>
      <c r="J389" s="600"/>
      <c r="K389" s="600"/>
      <c r="L389" s="600"/>
      <c r="M389" s="600"/>
      <c r="N389" s="600"/>
      <c r="O389" s="600"/>
      <c r="P389" s="588"/>
    </row>
    <row r="390" spans="1:16" ht="45">
      <c r="A390" s="339">
        <v>11</v>
      </c>
      <c r="B390" s="624"/>
      <c r="C390" s="553" t="s">
        <v>6871</v>
      </c>
      <c r="D390" s="344" t="s">
        <v>6885</v>
      </c>
      <c r="E390" s="339">
        <v>1002</v>
      </c>
      <c r="F390" s="339" t="s">
        <v>6886</v>
      </c>
      <c r="G390" s="339">
        <v>1.75</v>
      </c>
      <c r="H390" s="344"/>
      <c r="I390" s="344"/>
      <c r="J390" s="344"/>
      <c r="K390" s="344"/>
      <c r="L390" s="344"/>
      <c r="M390" s="344"/>
      <c r="N390" s="344"/>
      <c r="O390" s="344"/>
      <c r="P390" s="588"/>
    </row>
    <row r="391" spans="1:16" ht="30">
      <c r="A391" s="336">
        <v>12</v>
      </c>
      <c r="B391" s="624"/>
      <c r="C391" s="553"/>
      <c r="D391" s="344" t="s">
        <v>6887</v>
      </c>
      <c r="E391" s="336">
        <v>1005</v>
      </c>
      <c r="F391" s="336" t="s">
        <v>6888</v>
      </c>
      <c r="G391" s="336"/>
      <c r="H391" s="50"/>
      <c r="I391" s="50"/>
      <c r="J391" s="50"/>
      <c r="K391" s="50"/>
      <c r="L391" s="50"/>
      <c r="M391" s="50"/>
      <c r="N391" s="50"/>
      <c r="O391" s="50"/>
      <c r="P391" s="588"/>
    </row>
    <row r="392" spans="1:16" ht="30">
      <c r="A392" s="339">
        <v>13</v>
      </c>
      <c r="B392" s="624"/>
      <c r="C392" s="553"/>
      <c r="D392" s="344" t="s">
        <v>6889</v>
      </c>
      <c r="E392" s="336">
        <v>3412</v>
      </c>
      <c r="F392" s="336" t="s">
        <v>6888</v>
      </c>
      <c r="G392" s="336"/>
      <c r="H392" s="50"/>
      <c r="I392" s="50"/>
      <c r="J392" s="50"/>
      <c r="K392" s="50"/>
      <c r="L392" s="50"/>
      <c r="M392" s="50"/>
      <c r="N392" s="50"/>
      <c r="O392" s="50"/>
      <c r="P392" s="588"/>
    </row>
    <row r="393" spans="1:16" ht="45">
      <c r="A393" s="336">
        <v>14</v>
      </c>
      <c r="B393" s="624"/>
      <c r="C393" s="553"/>
      <c r="D393" s="344" t="s">
        <v>6990</v>
      </c>
      <c r="E393" s="336">
        <v>11800</v>
      </c>
      <c r="F393" s="336" t="s">
        <v>6890</v>
      </c>
      <c r="G393" s="336">
        <v>3.7</v>
      </c>
      <c r="H393" s="50"/>
      <c r="I393" s="50"/>
      <c r="J393" s="50"/>
      <c r="K393" s="50"/>
      <c r="L393" s="50"/>
      <c r="M393" s="50"/>
      <c r="N393" s="50"/>
      <c r="O393" s="50"/>
      <c r="P393" s="588"/>
    </row>
    <row r="394" spans="1:16" ht="30">
      <c r="A394" s="339">
        <v>15</v>
      </c>
      <c r="B394" s="624"/>
      <c r="C394" s="553"/>
      <c r="D394" s="344" t="s">
        <v>6891</v>
      </c>
      <c r="E394" s="336">
        <v>450</v>
      </c>
      <c r="F394" s="336">
        <v>1955</v>
      </c>
      <c r="G394" s="336"/>
      <c r="H394" s="50"/>
      <c r="I394" s="50"/>
      <c r="J394" s="50"/>
      <c r="K394" s="50"/>
      <c r="L394" s="50"/>
      <c r="M394" s="50"/>
      <c r="N394" s="50"/>
      <c r="O394" s="50"/>
      <c r="P394" s="588"/>
    </row>
    <row r="395" spans="1:16">
      <c r="A395" s="336">
        <v>16</v>
      </c>
      <c r="B395" s="624"/>
      <c r="C395" s="553"/>
      <c r="D395" s="344" t="s">
        <v>6892</v>
      </c>
      <c r="E395" s="336">
        <v>3588</v>
      </c>
      <c r="F395" s="336">
        <v>1955</v>
      </c>
      <c r="G395" s="336"/>
      <c r="H395" s="50"/>
      <c r="I395" s="50"/>
      <c r="J395" s="50"/>
      <c r="K395" s="50"/>
      <c r="L395" s="50"/>
      <c r="M395" s="50"/>
      <c r="N395" s="50"/>
      <c r="O395" s="50"/>
      <c r="P395" s="588"/>
    </row>
    <row r="396" spans="1:16" ht="30">
      <c r="A396" s="339">
        <v>17</v>
      </c>
      <c r="B396" s="624"/>
      <c r="C396" s="553"/>
      <c r="D396" s="344" t="s">
        <v>6893</v>
      </c>
      <c r="E396" s="336">
        <v>1752</v>
      </c>
      <c r="F396" s="336">
        <v>1948</v>
      </c>
      <c r="G396" s="336"/>
      <c r="H396" s="50"/>
      <c r="I396" s="50"/>
      <c r="J396" s="50"/>
      <c r="K396" s="50"/>
      <c r="L396" s="50"/>
      <c r="M396" s="50"/>
      <c r="N396" s="50"/>
      <c r="O396" s="50"/>
      <c r="P396" s="588"/>
    </row>
    <row r="397" spans="1:16" ht="45">
      <c r="A397" s="336">
        <v>18</v>
      </c>
      <c r="B397" s="624"/>
      <c r="C397" s="553"/>
      <c r="D397" s="344" t="s">
        <v>6894</v>
      </c>
      <c r="E397" s="336">
        <v>3298</v>
      </c>
      <c r="F397" s="336">
        <v>1957</v>
      </c>
      <c r="G397" s="336"/>
      <c r="H397" s="50"/>
      <c r="I397" s="50"/>
      <c r="J397" s="50"/>
      <c r="K397" s="50"/>
      <c r="L397" s="50"/>
      <c r="M397" s="50"/>
      <c r="N397" s="50"/>
      <c r="O397" s="50"/>
      <c r="P397" s="588"/>
    </row>
    <row r="398" spans="1:16" ht="30">
      <c r="A398" s="339">
        <v>19</v>
      </c>
      <c r="B398" s="624"/>
      <c r="C398" s="553"/>
      <c r="D398" s="344" t="s">
        <v>6895</v>
      </c>
      <c r="E398" s="336">
        <v>9227</v>
      </c>
      <c r="F398" s="336">
        <v>2000</v>
      </c>
      <c r="G398" s="336">
        <v>5.2999999999999999E-2</v>
      </c>
      <c r="H398" s="50"/>
      <c r="I398" s="50"/>
      <c r="J398" s="50"/>
      <c r="K398" s="50"/>
      <c r="L398" s="50"/>
      <c r="M398" s="50"/>
      <c r="N398" s="50"/>
      <c r="O398" s="50"/>
      <c r="P398" s="588"/>
    </row>
    <row r="399" spans="1:16" ht="30">
      <c r="A399" s="336">
        <v>20</v>
      </c>
      <c r="B399" s="624"/>
      <c r="C399" s="553"/>
      <c r="D399" s="344" t="s">
        <v>6896</v>
      </c>
      <c r="E399" s="336">
        <v>1246</v>
      </c>
      <c r="F399" s="336">
        <v>1956</v>
      </c>
      <c r="G399" s="336"/>
      <c r="H399" s="50"/>
      <c r="I399" s="50"/>
      <c r="J399" s="50"/>
      <c r="K399" s="50"/>
      <c r="L399" s="50"/>
      <c r="M399" s="50"/>
      <c r="N399" s="50"/>
      <c r="O399" s="50"/>
      <c r="P399" s="588"/>
    </row>
    <row r="400" spans="1:16" ht="30">
      <c r="A400" s="339">
        <v>21</v>
      </c>
      <c r="B400" s="624"/>
      <c r="C400" s="553"/>
      <c r="D400" s="344" t="s">
        <v>6897</v>
      </c>
      <c r="E400" s="336">
        <v>645</v>
      </c>
      <c r="F400" s="336">
        <v>1948</v>
      </c>
      <c r="G400" s="336"/>
      <c r="H400" s="50"/>
      <c r="I400" s="50"/>
      <c r="J400" s="50"/>
      <c r="K400" s="50"/>
      <c r="L400" s="50"/>
      <c r="M400" s="50"/>
      <c r="N400" s="50"/>
      <c r="O400" s="50"/>
      <c r="P400" s="588"/>
    </row>
    <row r="401" spans="1:16" ht="30">
      <c r="A401" s="336">
        <v>22</v>
      </c>
      <c r="B401" s="624"/>
      <c r="C401" s="553"/>
      <c r="D401" s="344" t="s">
        <v>6898</v>
      </c>
      <c r="E401" s="336">
        <v>890</v>
      </c>
      <c r="F401" s="336">
        <v>1962</v>
      </c>
      <c r="G401" s="336"/>
      <c r="H401" s="50"/>
      <c r="I401" s="50"/>
      <c r="J401" s="50"/>
      <c r="K401" s="50"/>
      <c r="L401" s="50"/>
      <c r="M401" s="50"/>
      <c r="N401" s="50"/>
      <c r="O401" s="50"/>
      <c r="P401" s="588"/>
    </row>
    <row r="402" spans="1:16" ht="30">
      <c r="A402" s="339">
        <v>23</v>
      </c>
      <c r="B402" s="624"/>
      <c r="C402" s="553"/>
      <c r="D402" s="344" t="s">
        <v>6899</v>
      </c>
      <c r="E402" s="336">
        <v>3022</v>
      </c>
      <c r="F402" s="336">
        <v>1956</v>
      </c>
      <c r="G402" s="336">
        <v>2.4E-2</v>
      </c>
      <c r="H402" s="50"/>
      <c r="I402" s="50"/>
      <c r="J402" s="50"/>
      <c r="K402" s="50"/>
      <c r="L402" s="50"/>
      <c r="M402" s="50"/>
      <c r="N402" s="50"/>
      <c r="O402" s="50"/>
      <c r="P402" s="588"/>
    </row>
    <row r="403" spans="1:16" ht="30">
      <c r="A403" s="336">
        <v>24</v>
      </c>
      <c r="B403" s="624"/>
      <c r="C403" s="553"/>
      <c r="D403" s="344" t="s">
        <v>6900</v>
      </c>
      <c r="E403" s="336">
        <v>4341</v>
      </c>
      <c r="F403" s="336" t="s">
        <v>6901</v>
      </c>
      <c r="G403" s="336">
        <v>4.0000000000000002E-4</v>
      </c>
      <c r="H403" s="50"/>
      <c r="I403" s="50"/>
      <c r="J403" s="50"/>
      <c r="K403" s="50"/>
      <c r="L403" s="50"/>
      <c r="M403" s="50"/>
      <c r="N403" s="50"/>
      <c r="O403" s="50"/>
      <c r="P403" s="588"/>
    </row>
    <row r="404" spans="1:16" ht="30">
      <c r="A404" s="339">
        <v>25</v>
      </c>
      <c r="B404" s="624"/>
      <c r="C404" s="553"/>
      <c r="D404" s="344" t="s">
        <v>6902</v>
      </c>
      <c r="E404" s="336">
        <v>3359</v>
      </c>
      <c r="F404" s="336">
        <v>1959</v>
      </c>
      <c r="G404" s="336">
        <v>2.0000000000000001E-4</v>
      </c>
      <c r="H404" s="50"/>
      <c r="I404" s="50"/>
      <c r="J404" s="50"/>
      <c r="K404" s="50"/>
      <c r="L404" s="50"/>
      <c r="M404" s="50"/>
      <c r="N404" s="50"/>
      <c r="O404" s="50"/>
      <c r="P404" s="588"/>
    </row>
    <row r="405" spans="1:16" ht="30">
      <c r="A405" s="336">
        <v>26</v>
      </c>
      <c r="B405" s="624"/>
      <c r="C405" s="553"/>
      <c r="D405" s="344" t="s">
        <v>6903</v>
      </c>
      <c r="E405" s="336">
        <v>4411</v>
      </c>
      <c r="F405" s="336">
        <v>1950</v>
      </c>
      <c r="G405" s="336">
        <v>3.8999999999999999E-4</v>
      </c>
      <c r="H405" s="50"/>
      <c r="I405" s="50"/>
      <c r="J405" s="50"/>
      <c r="K405" s="50"/>
      <c r="L405" s="50"/>
      <c r="M405" s="50"/>
      <c r="N405" s="50"/>
      <c r="O405" s="50"/>
      <c r="P405" s="588"/>
    </row>
    <row r="406" spans="1:16" ht="30">
      <c r="A406" s="339">
        <v>27</v>
      </c>
      <c r="B406" s="624"/>
      <c r="C406" s="553"/>
      <c r="D406" s="344" t="s">
        <v>6904</v>
      </c>
      <c r="E406" s="336">
        <v>688</v>
      </c>
      <c r="F406" s="336" t="s">
        <v>6905</v>
      </c>
      <c r="G406" s="336">
        <v>2.9E-5</v>
      </c>
      <c r="H406" s="50"/>
      <c r="I406" s="50"/>
      <c r="J406" s="50"/>
      <c r="K406" s="50"/>
      <c r="L406" s="50"/>
      <c r="M406" s="50"/>
      <c r="N406" s="50"/>
      <c r="O406" s="50"/>
      <c r="P406" s="588"/>
    </row>
    <row r="407" spans="1:16" ht="30">
      <c r="A407" s="336">
        <v>28</v>
      </c>
      <c r="B407" s="624"/>
      <c r="C407" s="553"/>
      <c r="D407" s="344" t="s">
        <v>6906</v>
      </c>
      <c r="E407" s="336">
        <v>7300</v>
      </c>
      <c r="F407" s="336">
        <v>1980</v>
      </c>
      <c r="G407" s="336"/>
      <c r="H407" s="50"/>
      <c r="I407" s="50"/>
      <c r="J407" s="50"/>
      <c r="K407" s="50"/>
      <c r="L407" s="50"/>
      <c r="M407" s="50"/>
      <c r="N407" s="50"/>
      <c r="O407" s="50"/>
      <c r="P407" s="588"/>
    </row>
    <row r="408" spans="1:16" ht="30">
      <c r="A408" s="339">
        <v>29</v>
      </c>
      <c r="B408" s="624"/>
      <c r="C408" s="553"/>
      <c r="D408" s="344" t="s">
        <v>6907</v>
      </c>
      <c r="E408" s="336">
        <v>121.04</v>
      </c>
      <c r="F408" s="336" t="s">
        <v>6908</v>
      </c>
      <c r="G408" s="336"/>
      <c r="H408" s="50"/>
      <c r="I408" s="50"/>
      <c r="J408" s="50"/>
      <c r="K408" s="50"/>
      <c r="L408" s="50"/>
      <c r="M408" s="50"/>
      <c r="N408" s="50"/>
      <c r="O408" s="50"/>
      <c r="P408" s="588"/>
    </row>
    <row r="409" spans="1:16" ht="30">
      <c r="A409" s="336">
        <v>30</v>
      </c>
      <c r="B409" s="624"/>
      <c r="C409" s="553"/>
      <c r="D409" s="344" t="s">
        <v>6909</v>
      </c>
      <c r="E409" s="336">
        <v>615.03</v>
      </c>
      <c r="F409" s="336" t="s">
        <v>6910</v>
      </c>
      <c r="G409" s="336"/>
      <c r="H409" s="50"/>
      <c r="I409" s="50"/>
      <c r="J409" s="50"/>
      <c r="K409" s="50"/>
      <c r="L409" s="50"/>
      <c r="M409" s="50"/>
      <c r="N409" s="50"/>
      <c r="O409" s="50"/>
      <c r="P409" s="588"/>
    </row>
    <row r="410" spans="1:16" ht="30">
      <c r="A410" s="339">
        <v>31</v>
      </c>
      <c r="B410" s="624"/>
      <c r="C410" s="553"/>
      <c r="D410" s="344" t="s">
        <v>6911</v>
      </c>
      <c r="E410" s="336">
        <v>2101</v>
      </c>
      <c r="F410" s="336">
        <v>1955</v>
      </c>
      <c r="G410" s="336"/>
      <c r="H410" s="50"/>
      <c r="I410" s="50"/>
      <c r="J410" s="50"/>
      <c r="K410" s="50"/>
      <c r="L410" s="50"/>
      <c r="M410" s="50"/>
      <c r="N410" s="50"/>
      <c r="O410" s="50"/>
      <c r="P410" s="588"/>
    </row>
    <row r="411" spans="1:16" ht="30">
      <c r="A411" s="336">
        <v>32</v>
      </c>
      <c r="B411" s="624"/>
      <c r="C411" s="553"/>
      <c r="D411" s="344" t="s">
        <v>6912</v>
      </c>
      <c r="E411" s="336">
        <v>1338</v>
      </c>
      <c r="F411" s="336">
        <v>1954</v>
      </c>
      <c r="G411" s="336"/>
      <c r="H411" s="50"/>
      <c r="I411" s="50"/>
      <c r="J411" s="50"/>
      <c r="K411" s="50"/>
      <c r="L411" s="50"/>
      <c r="M411" s="50"/>
      <c r="N411" s="50"/>
      <c r="O411" s="50"/>
      <c r="P411" s="588"/>
    </row>
    <row r="412" spans="1:16" ht="30">
      <c r="A412" s="339">
        <v>33</v>
      </c>
      <c r="B412" s="624"/>
      <c r="C412" s="553"/>
      <c r="D412" s="344" t="s">
        <v>6913</v>
      </c>
      <c r="E412" s="336">
        <v>1138</v>
      </c>
      <c r="F412" s="336">
        <v>1948</v>
      </c>
      <c r="G412" s="336"/>
      <c r="H412" s="50"/>
      <c r="I412" s="50"/>
      <c r="J412" s="50"/>
      <c r="K412" s="50"/>
      <c r="L412" s="50"/>
      <c r="M412" s="50"/>
      <c r="N412" s="50"/>
      <c r="O412" s="50"/>
      <c r="P412" s="588"/>
    </row>
    <row r="413" spans="1:16" ht="30">
      <c r="A413" s="336">
        <v>34</v>
      </c>
      <c r="B413" s="624"/>
      <c r="C413" s="553"/>
      <c r="D413" s="344" t="s">
        <v>6914</v>
      </c>
      <c r="E413" s="336">
        <v>915</v>
      </c>
      <c r="F413" s="336">
        <v>1950</v>
      </c>
      <c r="G413" s="336"/>
      <c r="H413" s="50"/>
      <c r="I413" s="50"/>
      <c r="J413" s="50"/>
      <c r="K413" s="50"/>
      <c r="L413" s="50"/>
      <c r="M413" s="50"/>
      <c r="N413" s="50"/>
      <c r="O413" s="50"/>
      <c r="P413" s="588"/>
    </row>
    <row r="414" spans="1:16" ht="30">
      <c r="A414" s="339">
        <v>35</v>
      </c>
      <c r="B414" s="624"/>
      <c r="C414" s="553"/>
      <c r="D414" s="344" t="s">
        <v>6915</v>
      </c>
      <c r="E414" s="336">
        <v>1071</v>
      </c>
      <c r="F414" s="336">
        <v>1955</v>
      </c>
      <c r="G414" s="336"/>
      <c r="H414" s="50"/>
      <c r="I414" s="50"/>
      <c r="J414" s="50"/>
      <c r="K414" s="50"/>
      <c r="L414" s="50"/>
      <c r="M414" s="50"/>
      <c r="N414" s="50"/>
      <c r="O414" s="50"/>
      <c r="P414" s="588"/>
    </row>
    <row r="415" spans="1:16" ht="30">
      <c r="A415" s="336">
        <v>36</v>
      </c>
      <c r="B415" s="624"/>
      <c r="C415" s="553"/>
      <c r="D415" s="344" t="s">
        <v>6916</v>
      </c>
      <c r="E415" s="336">
        <v>7842</v>
      </c>
      <c r="F415" s="336">
        <v>1954</v>
      </c>
      <c r="G415" s="336"/>
      <c r="H415" s="50"/>
      <c r="I415" s="50"/>
      <c r="J415" s="50"/>
      <c r="K415" s="50"/>
      <c r="L415" s="50"/>
      <c r="M415" s="50"/>
      <c r="N415" s="50"/>
      <c r="O415" s="50"/>
      <c r="P415" s="588"/>
    </row>
    <row r="416" spans="1:16" ht="45">
      <c r="A416" s="339">
        <v>37</v>
      </c>
      <c r="B416" s="624"/>
      <c r="C416" s="553"/>
      <c r="D416" s="344" t="s">
        <v>6917</v>
      </c>
      <c r="E416" s="336">
        <v>204</v>
      </c>
      <c r="F416" s="336" t="s">
        <v>6918</v>
      </c>
      <c r="G416" s="336"/>
      <c r="H416" s="50"/>
      <c r="I416" s="50"/>
      <c r="J416" s="50"/>
      <c r="K416" s="50"/>
      <c r="L416" s="50"/>
      <c r="M416" s="50"/>
      <c r="N416" s="50"/>
      <c r="O416" s="50"/>
      <c r="P416" s="588"/>
    </row>
    <row r="417" spans="1:16" ht="30">
      <c r="A417" s="336">
        <v>38</v>
      </c>
      <c r="B417" s="624"/>
      <c r="C417" s="553"/>
      <c r="D417" s="344" t="s">
        <v>6919</v>
      </c>
      <c r="E417" s="336">
        <v>1270.72</v>
      </c>
      <c r="F417" s="336" t="s">
        <v>6920</v>
      </c>
      <c r="G417" s="336"/>
      <c r="H417" s="50"/>
      <c r="I417" s="50"/>
      <c r="J417" s="50"/>
      <c r="K417" s="50"/>
      <c r="L417" s="50"/>
      <c r="M417" s="50"/>
      <c r="N417" s="50"/>
      <c r="O417" s="50"/>
      <c r="P417" s="588"/>
    </row>
    <row r="418" spans="1:16">
      <c r="A418" s="339">
        <v>39</v>
      </c>
      <c r="B418" s="624"/>
      <c r="C418" s="553"/>
      <c r="D418" s="344" t="s">
        <v>6921</v>
      </c>
      <c r="E418" s="336"/>
      <c r="F418" s="336"/>
      <c r="G418" s="336"/>
      <c r="H418" s="50"/>
      <c r="I418" s="50"/>
      <c r="J418" s="50"/>
      <c r="K418" s="50"/>
      <c r="L418" s="50"/>
      <c r="M418" s="50"/>
      <c r="N418" s="50"/>
      <c r="O418" s="50"/>
      <c r="P418" s="588"/>
    </row>
    <row r="419" spans="1:16">
      <c r="A419" s="336">
        <v>40</v>
      </c>
      <c r="B419" s="624"/>
      <c r="C419" s="553"/>
      <c r="D419" s="344" t="s">
        <v>6922</v>
      </c>
      <c r="E419" s="336"/>
      <c r="F419" s="336"/>
      <c r="G419" s="336"/>
      <c r="H419" s="50"/>
      <c r="I419" s="50"/>
      <c r="J419" s="50"/>
      <c r="K419" s="50"/>
      <c r="L419" s="50"/>
      <c r="M419" s="50"/>
      <c r="N419" s="50"/>
      <c r="O419" s="50"/>
      <c r="P419" s="588"/>
    </row>
    <row r="420" spans="1:16">
      <c r="A420" s="600"/>
      <c r="B420" s="600"/>
      <c r="C420" s="600"/>
      <c r="D420" s="600"/>
      <c r="E420" s="600"/>
      <c r="F420" s="600"/>
      <c r="G420" s="600"/>
      <c r="H420" s="600"/>
      <c r="I420" s="600"/>
      <c r="J420" s="600"/>
      <c r="K420" s="600"/>
      <c r="L420" s="600"/>
      <c r="M420" s="600"/>
      <c r="N420" s="600"/>
      <c r="O420" s="600"/>
      <c r="P420" s="600"/>
    </row>
    <row r="421" spans="1:16" ht="20.25" customHeight="1">
      <c r="A421" s="559" t="s">
        <v>111</v>
      </c>
      <c r="B421" s="559"/>
      <c r="C421" s="559"/>
      <c r="D421" s="559"/>
      <c r="E421" s="559"/>
      <c r="F421" s="559"/>
      <c r="G421" s="559"/>
      <c r="H421" s="559"/>
      <c r="I421" s="559"/>
      <c r="J421" s="559"/>
      <c r="K421" s="559"/>
      <c r="L421" s="559"/>
      <c r="M421" s="559"/>
      <c r="N421" s="559"/>
      <c r="O421" s="559"/>
      <c r="P421" s="588"/>
    </row>
    <row r="422" spans="1:16" ht="85.5">
      <c r="A422" s="46" t="s">
        <v>0</v>
      </c>
      <c r="B422" s="46" t="s">
        <v>2582</v>
      </c>
      <c r="C422" s="46" t="s">
        <v>1</v>
      </c>
      <c r="D422" s="46" t="s">
        <v>2596</v>
      </c>
      <c r="E422" s="46" t="s">
        <v>89</v>
      </c>
      <c r="F422" s="46" t="s">
        <v>63</v>
      </c>
      <c r="G422" s="46" t="s">
        <v>2590</v>
      </c>
      <c r="H422" s="46" t="s">
        <v>2561</v>
      </c>
      <c r="I422" s="46" t="s">
        <v>2391</v>
      </c>
      <c r="J422" s="46" t="s">
        <v>5</v>
      </c>
      <c r="K422" s="46" t="s">
        <v>6</v>
      </c>
      <c r="L422" s="46" t="s">
        <v>91</v>
      </c>
      <c r="M422" s="46" t="s">
        <v>67</v>
      </c>
      <c r="N422" s="67" t="s">
        <v>92</v>
      </c>
      <c r="O422" s="74" t="s">
        <v>11</v>
      </c>
      <c r="P422" s="588"/>
    </row>
    <row r="423" spans="1:16">
      <c r="A423" s="345">
        <v>1</v>
      </c>
      <c r="B423" s="79">
        <v>2</v>
      </c>
      <c r="C423" s="79">
        <v>3</v>
      </c>
      <c r="D423" s="79">
        <v>4</v>
      </c>
      <c r="E423" s="79">
        <v>5</v>
      </c>
      <c r="F423" s="79">
        <v>6</v>
      </c>
      <c r="G423" s="79">
        <v>7</v>
      </c>
      <c r="H423" s="79">
        <v>8</v>
      </c>
      <c r="I423" s="79">
        <v>9</v>
      </c>
      <c r="J423" s="79">
        <v>10</v>
      </c>
      <c r="K423" s="79">
        <v>11</v>
      </c>
      <c r="L423" s="79">
        <v>12</v>
      </c>
      <c r="M423" s="79">
        <v>13</v>
      </c>
      <c r="N423" s="79">
        <v>14</v>
      </c>
      <c r="O423" s="79">
        <v>15</v>
      </c>
      <c r="P423" s="588"/>
    </row>
    <row r="424" spans="1:16">
      <c r="A424" s="336">
        <v>1</v>
      </c>
      <c r="B424" s="622" t="s">
        <v>7478</v>
      </c>
      <c r="C424" s="53" t="s">
        <v>6856</v>
      </c>
      <c r="D424" s="123"/>
      <c r="E424" s="123"/>
      <c r="F424" s="123"/>
      <c r="G424" s="123"/>
      <c r="H424" s="123"/>
      <c r="I424" s="123"/>
      <c r="J424" s="123"/>
      <c r="K424" s="123"/>
      <c r="L424" s="123"/>
      <c r="M424" s="123"/>
      <c r="N424" s="123"/>
      <c r="O424" s="123"/>
      <c r="P424" s="588"/>
    </row>
    <row r="425" spans="1:16" ht="45">
      <c r="A425" s="609">
        <v>2</v>
      </c>
      <c r="B425" s="623"/>
      <c r="C425" s="565" t="s">
        <v>6862</v>
      </c>
      <c r="D425" s="494" t="s">
        <v>6923</v>
      </c>
      <c r="E425" s="339" t="s">
        <v>6924</v>
      </c>
      <c r="F425" s="339" t="s">
        <v>6925</v>
      </c>
      <c r="G425" s="339" t="s">
        <v>6926</v>
      </c>
      <c r="H425" s="336"/>
      <c r="I425" s="336"/>
      <c r="J425" s="336"/>
      <c r="K425" s="336"/>
      <c r="L425" s="336"/>
      <c r="M425" s="336"/>
      <c r="N425" s="336"/>
      <c r="O425" s="336"/>
      <c r="P425" s="588"/>
    </row>
    <row r="426" spans="1:16" ht="30">
      <c r="A426" s="610"/>
      <c r="B426" s="623"/>
      <c r="C426" s="567"/>
      <c r="D426" s="494" t="s">
        <v>6881</v>
      </c>
      <c r="E426" s="339" t="s">
        <v>6882</v>
      </c>
      <c r="F426" s="336" t="s">
        <v>6883</v>
      </c>
      <c r="G426" s="339" t="s">
        <v>6884</v>
      </c>
      <c r="H426" s="336"/>
      <c r="I426" s="336"/>
      <c r="J426" s="336"/>
      <c r="K426" s="336"/>
      <c r="L426" s="336"/>
      <c r="M426" s="336"/>
      <c r="N426" s="336"/>
      <c r="O426" s="336"/>
      <c r="P426" s="588"/>
    </row>
    <row r="427" spans="1:16">
      <c r="A427" s="336">
        <v>3</v>
      </c>
      <c r="B427" s="623"/>
      <c r="C427" s="53" t="s">
        <v>6863</v>
      </c>
      <c r="D427" s="336"/>
      <c r="E427" s="336"/>
      <c r="F427" s="336"/>
      <c r="G427" s="336"/>
      <c r="H427" s="336"/>
      <c r="I427" s="336"/>
      <c r="J427" s="336"/>
      <c r="K427" s="336"/>
      <c r="L427" s="336"/>
      <c r="M427" s="336"/>
      <c r="N427" s="336"/>
      <c r="O427" s="336"/>
      <c r="P427" s="588"/>
    </row>
    <row r="428" spans="1:16">
      <c r="A428" s="336">
        <v>4</v>
      </c>
      <c r="B428" s="623"/>
      <c r="C428" s="53" t="s">
        <v>6864</v>
      </c>
      <c r="D428" s="336"/>
      <c r="E428" s="336"/>
      <c r="F428" s="336"/>
      <c r="G428" s="336"/>
      <c r="H428" s="336"/>
      <c r="I428" s="336"/>
      <c r="J428" s="336"/>
      <c r="K428" s="336"/>
      <c r="L428" s="336"/>
      <c r="M428" s="336"/>
      <c r="N428" s="336"/>
      <c r="O428" s="336"/>
      <c r="P428" s="588"/>
    </row>
    <row r="429" spans="1:16">
      <c r="A429" s="336">
        <v>5</v>
      </c>
      <c r="B429" s="623"/>
      <c r="C429" s="53" t="s">
        <v>6865</v>
      </c>
      <c r="D429" s="600" t="s">
        <v>87</v>
      </c>
      <c r="E429" s="600"/>
      <c r="F429" s="600"/>
      <c r="G429" s="600"/>
      <c r="H429" s="600"/>
      <c r="I429" s="600"/>
      <c r="J429" s="600"/>
      <c r="K429" s="600"/>
      <c r="L429" s="600"/>
      <c r="M429" s="600"/>
      <c r="N429" s="600"/>
      <c r="O429" s="600"/>
      <c r="P429" s="588"/>
    </row>
    <row r="430" spans="1:16">
      <c r="A430" s="336">
        <v>6</v>
      </c>
      <c r="B430" s="623"/>
      <c r="C430" s="53" t="s">
        <v>6866</v>
      </c>
      <c r="D430" s="336"/>
      <c r="E430" s="336"/>
      <c r="F430" s="336"/>
      <c r="G430" s="336"/>
      <c r="H430" s="336"/>
      <c r="I430" s="336"/>
      <c r="J430" s="336"/>
      <c r="K430" s="336"/>
      <c r="L430" s="336"/>
      <c r="M430" s="336"/>
      <c r="N430" s="336"/>
      <c r="O430" s="336"/>
      <c r="P430" s="588"/>
    </row>
    <row r="431" spans="1:16">
      <c r="A431" s="336">
        <v>7</v>
      </c>
      <c r="B431" s="623"/>
      <c r="C431" s="53" t="s">
        <v>6867</v>
      </c>
      <c r="D431" s="600" t="s">
        <v>87</v>
      </c>
      <c r="E431" s="600"/>
      <c r="F431" s="600"/>
      <c r="G431" s="600"/>
      <c r="H431" s="600"/>
      <c r="I431" s="600"/>
      <c r="J431" s="600"/>
      <c r="K431" s="600"/>
      <c r="L431" s="600"/>
      <c r="M431" s="600"/>
      <c r="N431" s="600"/>
      <c r="O431" s="600"/>
      <c r="P431" s="588"/>
    </row>
    <row r="432" spans="1:16">
      <c r="A432" s="336">
        <v>8</v>
      </c>
      <c r="B432" s="623"/>
      <c r="C432" s="53" t="s">
        <v>6868</v>
      </c>
      <c r="D432" s="600" t="s">
        <v>87</v>
      </c>
      <c r="E432" s="600"/>
      <c r="F432" s="600"/>
      <c r="G432" s="600"/>
      <c r="H432" s="600"/>
      <c r="I432" s="600"/>
      <c r="J432" s="600"/>
      <c r="K432" s="600"/>
      <c r="L432" s="600"/>
      <c r="M432" s="600"/>
      <c r="N432" s="600"/>
      <c r="O432" s="600"/>
      <c r="P432" s="588"/>
    </row>
    <row r="433" spans="1:16">
      <c r="A433" s="336">
        <v>9</v>
      </c>
      <c r="B433" s="623"/>
      <c r="C433" s="53" t="s">
        <v>6869</v>
      </c>
      <c r="D433" s="600" t="s">
        <v>87</v>
      </c>
      <c r="E433" s="600"/>
      <c r="F433" s="600"/>
      <c r="G433" s="600"/>
      <c r="H433" s="600"/>
      <c r="I433" s="600"/>
      <c r="J433" s="600"/>
      <c r="K433" s="600"/>
      <c r="L433" s="600"/>
      <c r="M433" s="600"/>
      <c r="N433" s="600"/>
      <c r="O433" s="600"/>
      <c r="P433" s="588"/>
    </row>
    <row r="434" spans="1:16">
      <c r="A434" s="336">
        <v>10</v>
      </c>
      <c r="B434" s="623"/>
      <c r="C434" s="53" t="s">
        <v>6870</v>
      </c>
      <c r="D434" s="600" t="s">
        <v>87</v>
      </c>
      <c r="E434" s="600"/>
      <c r="F434" s="600"/>
      <c r="G434" s="600"/>
      <c r="H434" s="600"/>
      <c r="I434" s="600"/>
      <c r="J434" s="600"/>
      <c r="K434" s="600"/>
      <c r="L434" s="600"/>
      <c r="M434" s="600"/>
      <c r="N434" s="600"/>
      <c r="O434" s="600"/>
      <c r="P434" s="588"/>
    </row>
    <row r="435" spans="1:16" ht="30">
      <c r="A435" s="336">
        <v>11</v>
      </c>
      <c r="B435" s="623"/>
      <c r="C435" s="53" t="s">
        <v>6871</v>
      </c>
      <c r="D435" s="336"/>
      <c r="E435" s="336"/>
      <c r="F435" s="336"/>
      <c r="G435" s="336"/>
      <c r="H435" s="336"/>
      <c r="I435" s="336"/>
      <c r="J435" s="336"/>
      <c r="K435" s="336"/>
      <c r="L435" s="336"/>
      <c r="M435" s="336"/>
      <c r="N435" s="336"/>
      <c r="O435" s="336"/>
      <c r="P435" s="588"/>
    </row>
    <row r="436" spans="1:16">
      <c r="A436" s="612"/>
      <c r="B436" s="612"/>
      <c r="C436" s="612"/>
      <c r="D436" s="612"/>
      <c r="E436" s="612"/>
      <c r="F436" s="612"/>
      <c r="G436" s="612"/>
      <c r="H436" s="612"/>
      <c r="I436" s="612"/>
      <c r="J436" s="612"/>
      <c r="K436" s="612"/>
      <c r="L436" s="612"/>
      <c r="M436" s="612"/>
      <c r="N436" s="612"/>
      <c r="O436" s="612"/>
      <c r="P436" s="612"/>
    </row>
    <row r="437" spans="1:16" ht="20.25" customHeight="1">
      <c r="A437" s="559" t="s">
        <v>112</v>
      </c>
      <c r="B437" s="559"/>
      <c r="C437" s="559"/>
      <c r="D437" s="559"/>
      <c r="E437" s="559"/>
      <c r="F437" s="559"/>
      <c r="G437" s="559"/>
      <c r="H437" s="559"/>
      <c r="I437" s="559"/>
      <c r="J437" s="559"/>
      <c r="K437" s="559"/>
      <c r="L437" s="559"/>
      <c r="M437" s="559"/>
      <c r="N437" s="559"/>
      <c r="O437" s="559"/>
      <c r="P437" s="559"/>
    </row>
    <row r="438" spans="1:16" ht="85.5">
      <c r="A438" s="46" t="s">
        <v>0</v>
      </c>
      <c r="B438" s="46" t="s">
        <v>2582</v>
      </c>
      <c r="C438" s="46" t="s">
        <v>1</v>
      </c>
      <c r="D438" s="46" t="s">
        <v>2596</v>
      </c>
      <c r="E438" s="46" t="s">
        <v>89</v>
      </c>
      <c r="F438" s="46" t="s">
        <v>63</v>
      </c>
      <c r="G438" s="46" t="s">
        <v>2390</v>
      </c>
      <c r="H438" s="46" t="s">
        <v>2561</v>
      </c>
      <c r="I438" s="46" t="s">
        <v>2391</v>
      </c>
      <c r="J438" s="46" t="s">
        <v>5</v>
      </c>
      <c r="K438" s="46" t="s">
        <v>6</v>
      </c>
      <c r="L438" s="46" t="s">
        <v>91</v>
      </c>
      <c r="M438" s="46" t="s">
        <v>67</v>
      </c>
      <c r="N438" s="67" t="s">
        <v>110</v>
      </c>
      <c r="O438" s="67" t="s">
        <v>92</v>
      </c>
      <c r="P438" s="74" t="s">
        <v>69</v>
      </c>
    </row>
    <row r="439" spans="1:16">
      <c r="A439" s="345">
        <v>1</v>
      </c>
      <c r="B439" s="79">
        <v>2</v>
      </c>
      <c r="C439" s="79">
        <v>3</v>
      </c>
      <c r="D439" s="79">
        <v>4</v>
      </c>
      <c r="E439" s="79">
        <v>5</v>
      </c>
      <c r="F439" s="79">
        <v>6</v>
      </c>
      <c r="G439" s="79">
        <v>7</v>
      </c>
      <c r="H439" s="79">
        <v>8</v>
      </c>
      <c r="I439" s="79">
        <v>9</v>
      </c>
      <c r="J439" s="79">
        <v>10</v>
      </c>
      <c r="K439" s="79">
        <v>11</v>
      </c>
      <c r="L439" s="79">
        <v>12</v>
      </c>
      <c r="M439" s="79">
        <v>13</v>
      </c>
      <c r="N439" s="79">
        <v>14</v>
      </c>
      <c r="O439" s="79">
        <v>15</v>
      </c>
      <c r="P439" s="46">
        <v>16</v>
      </c>
    </row>
    <row r="440" spans="1:16">
      <c r="A440" s="336">
        <v>1</v>
      </c>
      <c r="B440" s="553" t="s">
        <v>6927</v>
      </c>
      <c r="C440" s="344" t="s">
        <v>6856</v>
      </c>
      <c r="D440" s="600" t="s">
        <v>87</v>
      </c>
      <c r="E440" s="600"/>
      <c r="F440" s="600"/>
      <c r="G440" s="600"/>
      <c r="H440" s="600"/>
      <c r="I440" s="600"/>
      <c r="J440" s="600"/>
      <c r="K440" s="600"/>
      <c r="L440" s="600"/>
      <c r="M440" s="600"/>
      <c r="N440" s="600"/>
      <c r="O440" s="600"/>
      <c r="P440" s="600"/>
    </row>
    <row r="441" spans="1:16">
      <c r="A441" s="336">
        <v>2</v>
      </c>
      <c r="B441" s="553"/>
      <c r="C441" s="344" t="s">
        <v>6862</v>
      </c>
      <c r="D441" s="600"/>
      <c r="E441" s="600"/>
      <c r="F441" s="600"/>
      <c r="G441" s="600"/>
      <c r="H441" s="600"/>
      <c r="I441" s="600"/>
      <c r="J441" s="600"/>
      <c r="K441" s="600"/>
      <c r="L441" s="600"/>
      <c r="M441" s="600"/>
      <c r="N441" s="600"/>
      <c r="O441" s="600"/>
      <c r="P441" s="600"/>
    </row>
    <row r="442" spans="1:16">
      <c r="A442" s="336">
        <v>3</v>
      </c>
      <c r="B442" s="553"/>
      <c r="C442" s="344" t="s">
        <v>6863</v>
      </c>
      <c r="D442" s="600"/>
      <c r="E442" s="600"/>
      <c r="F442" s="600"/>
      <c r="G442" s="600"/>
      <c r="H442" s="600"/>
      <c r="I442" s="600"/>
      <c r="J442" s="600"/>
      <c r="K442" s="600"/>
      <c r="L442" s="600"/>
      <c r="M442" s="600"/>
      <c r="N442" s="600"/>
      <c r="O442" s="600"/>
      <c r="P442" s="600"/>
    </row>
    <row r="443" spans="1:16">
      <c r="A443" s="336">
        <v>4</v>
      </c>
      <c r="B443" s="553"/>
      <c r="C443" s="344" t="s">
        <v>6864</v>
      </c>
      <c r="D443" s="336"/>
      <c r="E443" s="336"/>
      <c r="F443" s="336"/>
      <c r="G443" s="336"/>
      <c r="H443" s="336"/>
      <c r="I443" s="336"/>
      <c r="J443" s="336"/>
      <c r="K443" s="336"/>
      <c r="L443" s="336"/>
      <c r="M443" s="336"/>
      <c r="N443" s="336"/>
      <c r="O443" s="336"/>
      <c r="P443" s="336"/>
    </row>
    <row r="444" spans="1:16">
      <c r="A444" s="336">
        <v>5</v>
      </c>
      <c r="B444" s="553"/>
      <c r="C444" s="344" t="s">
        <v>6865</v>
      </c>
      <c r="D444" s="600" t="s">
        <v>87</v>
      </c>
      <c r="E444" s="600"/>
      <c r="F444" s="600"/>
      <c r="G444" s="600"/>
      <c r="H444" s="600"/>
      <c r="I444" s="600"/>
      <c r="J444" s="600"/>
      <c r="K444" s="600"/>
      <c r="L444" s="600"/>
      <c r="M444" s="600"/>
      <c r="N444" s="600"/>
      <c r="O444" s="600"/>
      <c r="P444" s="600"/>
    </row>
    <row r="445" spans="1:16">
      <c r="A445" s="336">
        <v>6</v>
      </c>
      <c r="B445" s="553"/>
      <c r="C445" s="344" t="s">
        <v>6866</v>
      </c>
      <c r="D445" s="336"/>
      <c r="E445" s="336"/>
      <c r="F445" s="336"/>
      <c r="G445" s="336"/>
      <c r="H445" s="336"/>
      <c r="I445" s="336"/>
      <c r="J445" s="336"/>
      <c r="K445" s="336"/>
      <c r="L445" s="336"/>
      <c r="M445" s="336"/>
      <c r="N445" s="336"/>
      <c r="O445" s="336"/>
      <c r="P445" s="336"/>
    </row>
    <row r="446" spans="1:16">
      <c r="A446" s="336">
        <v>7</v>
      </c>
      <c r="B446" s="553"/>
      <c r="C446" s="344" t="s">
        <v>6867</v>
      </c>
      <c r="D446" s="600" t="s">
        <v>87</v>
      </c>
      <c r="E446" s="600"/>
      <c r="F446" s="600"/>
      <c r="G446" s="600"/>
      <c r="H446" s="600"/>
      <c r="I446" s="600"/>
      <c r="J446" s="600"/>
      <c r="K446" s="600"/>
      <c r="L446" s="600"/>
      <c r="M446" s="600"/>
      <c r="N446" s="600"/>
      <c r="O446" s="600"/>
      <c r="P446" s="600"/>
    </row>
    <row r="447" spans="1:16">
      <c r="A447" s="336">
        <v>8</v>
      </c>
      <c r="B447" s="553"/>
      <c r="C447" s="344" t="s">
        <v>6868</v>
      </c>
      <c r="D447" s="600" t="s">
        <v>87</v>
      </c>
      <c r="E447" s="600"/>
      <c r="F447" s="600"/>
      <c r="G447" s="600"/>
      <c r="H447" s="600"/>
      <c r="I447" s="600"/>
      <c r="J447" s="600"/>
      <c r="K447" s="600"/>
      <c r="L447" s="600"/>
      <c r="M447" s="600"/>
      <c r="N447" s="600"/>
      <c r="O447" s="600"/>
      <c r="P447" s="600"/>
    </row>
    <row r="448" spans="1:16">
      <c r="A448" s="336">
        <v>9</v>
      </c>
      <c r="B448" s="553"/>
      <c r="C448" s="344" t="s">
        <v>6869</v>
      </c>
      <c r="D448" s="336"/>
      <c r="E448" s="336"/>
      <c r="F448" s="336"/>
      <c r="G448" s="336"/>
      <c r="H448" s="336"/>
      <c r="I448" s="336"/>
      <c r="J448" s="336"/>
      <c r="K448" s="336"/>
      <c r="L448" s="336"/>
      <c r="M448" s="336"/>
      <c r="N448" s="336"/>
      <c r="O448" s="336"/>
      <c r="P448" s="336"/>
    </row>
    <row r="449" spans="1:16">
      <c r="A449" s="336">
        <v>10</v>
      </c>
      <c r="B449" s="553"/>
      <c r="C449" s="344" t="s">
        <v>6870</v>
      </c>
      <c r="D449" s="600" t="s">
        <v>87</v>
      </c>
      <c r="E449" s="600"/>
      <c r="F449" s="600"/>
      <c r="G449" s="600"/>
      <c r="H449" s="600"/>
      <c r="I449" s="600"/>
      <c r="J449" s="600"/>
      <c r="K449" s="600"/>
      <c r="L449" s="600"/>
      <c r="M449" s="600"/>
      <c r="N449" s="600"/>
      <c r="O449" s="600"/>
      <c r="P449" s="600"/>
    </row>
    <row r="450" spans="1:16" ht="30">
      <c r="A450" s="336">
        <v>11</v>
      </c>
      <c r="B450" s="553"/>
      <c r="C450" s="344" t="s">
        <v>6871</v>
      </c>
      <c r="D450" s="336"/>
      <c r="E450" s="336"/>
      <c r="F450" s="336"/>
      <c r="G450" s="336"/>
      <c r="H450" s="336"/>
      <c r="I450" s="336"/>
      <c r="J450" s="336"/>
      <c r="K450" s="336"/>
      <c r="L450" s="336"/>
      <c r="M450" s="336"/>
      <c r="N450" s="336"/>
      <c r="O450" s="336"/>
      <c r="P450" s="336"/>
    </row>
    <row r="451" spans="1:16">
      <c r="A451" s="600"/>
      <c r="B451" s="600"/>
      <c r="C451" s="600"/>
      <c r="D451" s="600"/>
      <c r="E451" s="600"/>
      <c r="F451" s="600"/>
      <c r="G451" s="600"/>
      <c r="H451" s="600"/>
      <c r="I451" s="600"/>
      <c r="J451" s="600"/>
      <c r="K451" s="600"/>
      <c r="L451" s="600"/>
      <c r="M451" s="600"/>
      <c r="N451" s="600"/>
      <c r="O451" s="600"/>
      <c r="P451" s="600"/>
    </row>
    <row r="452" spans="1:16" ht="22.5" customHeight="1">
      <c r="A452" s="701" t="s">
        <v>640</v>
      </c>
      <c r="B452" s="701"/>
      <c r="C452" s="701"/>
      <c r="D452" s="701"/>
      <c r="E452" s="701"/>
      <c r="F452" s="701"/>
      <c r="G452" s="701"/>
      <c r="H452" s="701"/>
      <c r="I452" s="701"/>
      <c r="J452" s="701"/>
      <c r="K452" s="701"/>
      <c r="L452" s="701"/>
      <c r="M452" s="701"/>
      <c r="N452" s="701"/>
      <c r="O452" s="701"/>
      <c r="P452" s="701"/>
    </row>
    <row r="453" spans="1:16" ht="20.25" customHeight="1">
      <c r="A453" s="559" t="s">
        <v>61</v>
      </c>
      <c r="B453" s="559"/>
      <c r="C453" s="559"/>
      <c r="D453" s="559"/>
      <c r="E453" s="559"/>
      <c r="F453" s="559"/>
      <c r="G453" s="559"/>
      <c r="H453" s="559"/>
      <c r="I453" s="559"/>
      <c r="J453" s="559"/>
      <c r="K453" s="559"/>
      <c r="L453" s="559"/>
      <c r="M453" s="559"/>
      <c r="N453" s="559"/>
      <c r="O453" s="559"/>
      <c r="P453" s="559"/>
    </row>
    <row r="454" spans="1:16" ht="102" customHeight="1">
      <c r="A454" s="46" t="s">
        <v>0</v>
      </c>
      <c r="B454" s="46" t="s">
        <v>2592</v>
      </c>
      <c r="C454" s="46" t="s">
        <v>1</v>
      </c>
      <c r="D454" s="46" t="s">
        <v>2593</v>
      </c>
      <c r="E454" s="46" t="s">
        <v>3</v>
      </c>
      <c r="F454" s="46" t="s">
        <v>4</v>
      </c>
      <c r="G454" s="46" t="s">
        <v>2594</v>
      </c>
      <c r="H454" s="46" t="s">
        <v>2595</v>
      </c>
      <c r="I454" s="46" t="s">
        <v>2392</v>
      </c>
      <c r="J454" s="46" t="s">
        <v>5</v>
      </c>
      <c r="K454" s="46" t="s">
        <v>6</v>
      </c>
      <c r="L454" s="46" t="s">
        <v>7</v>
      </c>
      <c r="M454" s="67" t="s">
        <v>8</v>
      </c>
      <c r="N454" s="67" t="s">
        <v>9</v>
      </c>
      <c r="O454" s="46" t="s">
        <v>10</v>
      </c>
      <c r="P454" s="74" t="s">
        <v>11</v>
      </c>
    </row>
    <row r="455" spans="1:16">
      <c r="A455" s="8">
        <v>1</v>
      </c>
      <c r="B455" s="46">
        <v>2</v>
      </c>
      <c r="C455" s="46">
        <v>3</v>
      </c>
      <c r="D455" s="46">
        <v>4</v>
      </c>
      <c r="E455" s="46">
        <v>5</v>
      </c>
      <c r="F455" s="46">
        <v>6</v>
      </c>
      <c r="G455" s="46">
        <v>7</v>
      </c>
      <c r="H455" s="46">
        <v>8</v>
      </c>
      <c r="I455" s="46">
        <v>9</v>
      </c>
      <c r="J455" s="46">
        <v>10</v>
      </c>
      <c r="K455" s="46">
        <v>11</v>
      </c>
      <c r="L455" s="46">
        <v>12</v>
      </c>
      <c r="M455" s="46">
        <v>13</v>
      </c>
      <c r="N455" s="46">
        <v>14</v>
      </c>
      <c r="O455" s="46">
        <v>15</v>
      </c>
      <c r="P455" s="46">
        <v>16</v>
      </c>
    </row>
    <row r="456" spans="1:16" ht="261" customHeight="1">
      <c r="A456" s="336">
        <v>1</v>
      </c>
      <c r="B456" s="553" t="s">
        <v>2604</v>
      </c>
      <c r="C456" s="344" t="s">
        <v>6959</v>
      </c>
      <c r="D456" s="344" t="s">
        <v>641</v>
      </c>
      <c r="E456" s="336">
        <v>12141</v>
      </c>
      <c r="F456" s="339" t="s">
        <v>642</v>
      </c>
      <c r="G456" s="339" t="s">
        <v>643</v>
      </c>
      <c r="H456" s="393"/>
      <c r="I456" s="336" t="s">
        <v>194</v>
      </c>
      <c r="J456" s="336" t="s">
        <v>17</v>
      </c>
      <c r="K456" s="68" t="s">
        <v>454</v>
      </c>
      <c r="L456" s="207" t="s">
        <v>644</v>
      </c>
      <c r="M456" s="336" t="s">
        <v>26</v>
      </c>
      <c r="N456" s="207" t="s">
        <v>645</v>
      </c>
      <c r="O456" s="393" t="s">
        <v>454</v>
      </c>
      <c r="P456" s="207" t="s">
        <v>646</v>
      </c>
    </row>
    <row r="457" spans="1:16" ht="105">
      <c r="A457" s="336">
        <v>2</v>
      </c>
      <c r="B457" s="553"/>
      <c r="C457" s="50" t="s">
        <v>6960</v>
      </c>
      <c r="D457" s="344" t="s">
        <v>647</v>
      </c>
      <c r="E457" s="339" t="s">
        <v>648</v>
      </c>
      <c r="F457" s="336" t="s">
        <v>649</v>
      </c>
      <c r="G457" s="336">
        <v>1.55</v>
      </c>
      <c r="H457" s="336">
        <v>1.85</v>
      </c>
      <c r="I457" s="336" t="s">
        <v>650</v>
      </c>
      <c r="J457" s="336" t="s">
        <v>17</v>
      </c>
      <c r="K457" s="68" t="s">
        <v>454</v>
      </c>
      <c r="L457" s="207" t="s">
        <v>651</v>
      </c>
      <c r="M457" s="207" t="s">
        <v>652</v>
      </c>
      <c r="N457" s="68" t="s">
        <v>454</v>
      </c>
      <c r="O457" s="68" t="s">
        <v>454</v>
      </c>
      <c r="P457" s="68" t="s">
        <v>454</v>
      </c>
    </row>
    <row r="458" spans="1:16" ht="31.5" customHeight="1">
      <c r="A458" s="394"/>
      <c r="B458" s="675" t="s">
        <v>653</v>
      </c>
      <c r="C458" s="675"/>
      <c r="D458" s="675"/>
      <c r="E458" s="675"/>
      <c r="F458" s="675"/>
      <c r="G458" s="675"/>
      <c r="H458" s="675"/>
      <c r="I458" s="675"/>
      <c r="J458" s="675"/>
      <c r="K458" s="675"/>
      <c r="L458" s="675"/>
      <c r="M458" s="675"/>
      <c r="N458" s="675"/>
      <c r="O458" s="675"/>
      <c r="P458" s="675"/>
    </row>
    <row r="459" spans="1:16">
      <c r="A459" s="621"/>
      <c r="B459" s="621"/>
      <c r="C459" s="621"/>
      <c r="D459" s="621"/>
      <c r="E459" s="621"/>
      <c r="F459" s="621"/>
      <c r="G459" s="621"/>
      <c r="H459" s="621"/>
      <c r="I459" s="621"/>
      <c r="J459" s="621"/>
      <c r="K459" s="621"/>
      <c r="L459" s="621"/>
      <c r="M459" s="621"/>
      <c r="N459" s="621"/>
      <c r="O459" s="621"/>
      <c r="P459" s="621"/>
    </row>
    <row r="460" spans="1:16" ht="20.25" customHeight="1">
      <c r="A460" s="559" t="s">
        <v>88</v>
      </c>
      <c r="B460" s="559"/>
      <c r="C460" s="559"/>
      <c r="D460" s="559"/>
      <c r="E460" s="559"/>
      <c r="F460" s="559"/>
      <c r="G460" s="559"/>
      <c r="H460" s="559"/>
      <c r="I460" s="559"/>
      <c r="J460" s="559"/>
      <c r="K460" s="559"/>
      <c r="L460" s="559"/>
      <c r="M460" s="559"/>
      <c r="N460" s="559"/>
      <c r="O460" s="559"/>
      <c r="P460" s="588"/>
    </row>
    <row r="461" spans="1:16" ht="100.5" customHeight="1">
      <c r="A461" s="46" t="s">
        <v>0</v>
      </c>
      <c r="B461" s="46" t="s">
        <v>2582</v>
      </c>
      <c r="C461" s="46" t="s">
        <v>1</v>
      </c>
      <c r="D461" s="46" t="s">
        <v>2596</v>
      </c>
      <c r="E461" s="67" t="s">
        <v>62</v>
      </c>
      <c r="F461" s="67" t="s">
        <v>63</v>
      </c>
      <c r="G461" s="46" t="s">
        <v>2560</v>
      </c>
      <c r="H461" s="46" t="s">
        <v>2561</v>
      </c>
      <c r="I461" s="46" t="s">
        <v>2583</v>
      </c>
      <c r="J461" s="46" t="s">
        <v>5</v>
      </c>
      <c r="K461" s="46" t="s">
        <v>6</v>
      </c>
      <c r="L461" s="46" t="s">
        <v>66</v>
      </c>
      <c r="M461" s="46" t="s">
        <v>67</v>
      </c>
      <c r="N461" s="67" t="s">
        <v>68</v>
      </c>
      <c r="O461" s="74" t="s">
        <v>69</v>
      </c>
      <c r="P461" s="588"/>
    </row>
    <row r="462" spans="1:16">
      <c r="A462" s="345">
        <v>1</v>
      </c>
      <c r="B462" s="79">
        <v>2</v>
      </c>
      <c r="C462" s="79">
        <v>3</v>
      </c>
      <c r="D462" s="79">
        <v>4</v>
      </c>
      <c r="E462" s="79">
        <v>5</v>
      </c>
      <c r="F462" s="79">
        <v>6</v>
      </c>
      <c r="G462" s="79">
        <v>7</v>
      </c>
      <c r="H462" s="79">
        <v>8</v>
      </c>
      <c r="I462" s="79">
        <v>9</v>
      </c>
      <c r="J462" s="79">
        <v>10</v>
      </c>
      <c r="K462" s="79">
        <v>11</v>
      </c>
      <c r="L462" s="79">
        <v>12</v>
      </c>
      <c r="M462" s="79">
        <v>13</v>
      </c>
      <c r="N462" s="79">
        <v>14</v>
      </c>
      <c r="O462" s="79">
        <v>15</v>
      </c>
      <c r="P462" s="588"/>
    </row>
    <row r="463" spans="1:16" ht="240">
      <c r="A463" s="335">
        <v>1</v>
      </c>
      <c r="B463" s="352" t="s">
        <v>2604</v>
      </c>
      <c r="C463" s="75" t="s">
        <v>2492</v>
      </c>
      <c r="D463" s="76" t="s">
        <v>654</v>
      </c>
      <c r="E463" s="335">
        <v>11954</v>
      </c>
      <c r="F463" s="335">
        <v>1986</v>
      </c>
      <c r="G463" s="335">
        <v>1.01</v>
      </c>
      <c r="H463" s="335">
        <v>74.34</v>
      </c>
      <c r="I463" s="335" t="s">
        <v>150</v>
      </c>
      <c r="J463" s="335" t="s">
        <v>17</v>
      </c>
      <c r="K463" s="335" t="s">
        <v>17</v>
      </c>
      <c r="L463" s="77" t="s">
        <v>655</v>
      </c>
      <c r="M463" s="49" t="s">
        <v>87</v>
      </c>
      <c r="N463" s="335">
        <v>1</v>
      </c>
      <c r="O463" s="69" t="s">
        <v>454</v>
      </c>
      <c r="P463" s="588"/>
    </row>
    <row r="464" spans="1:16">
      <c r="A464" s="608"/>
      <c r="B464" s="608"/>
      <c r="C464" s="608"/>
      <c r="D464" s="608"/>
      <c r="E464" s="608"/>
      <c r="F464" s="608"/>
      <c r="G464" s="608"/>
      <c r="H464" s="608"/>
      <c r="I464" s="608"/>
      <c r="J464" s="608"/>
      <c r="K464" s="608"/>
      <c r="L464" s="608"/>
      <c r="M464" s="608"/>
      <c r="N464" s="608"/>
      <c r="O464" s="608"/>
      <c r="P464" s="608"/>
    </row>
    <row r="465" spans="1:16" ht="20.25" customHeight="1">
      <c r="A465" s="559" t="s">
        <v>111</v>
      </c>
      <c r="B465" s="559"/>
      <c r="C465" s="559"/>
      <c r="D465" s="559"/>
      <c r="E465" s="559"/>
      <c r="F465" s="559"/>
      <c r="G465" s="559"/>
      <c r="H465" s="559"/>
      <c r="I465" s="559"/>
      <c r="J465" s="559"/>
      <c r="K465" s="559"/>
      <c r="L465" s="559"/>
      <c r="M465" s="559"/>
      <c r="N465" s="559"/>
      <c r="O465" s="559"/>
      <c r="P465" s="588"/>
    </row>
    <row r="466" spans="1:16" ht="99" customHeight="1">
      <c r="A466" s="46" t="s">
        <v>0</v>
      </c>
      <c r="B466" s="46" t="s">
        <v>115</v>
      </c>
      <c r="C466" s="46" t="s">
        <v>1</v>
      </c>
      <c r="D466" s="46" t="s">
        <v>2</v>
      </c>
      <c r="E466" s="46" t="s">
        <v>89</v>
      </c>
      <c r="F466" s="46" t="s">
        <v>63</v>
      </c>
      <c r="G466" s="46" t="s">
        <v>90</v>
      </c>
      <c r="H466" s="46" t="s">
        <v>64</v>
      </c>
      <c r="I466" s="46" t="s">
        <v>2391</v>
      </c>
      <c r="J466" s="46" t="s">
        <v>5</v>
      </c>
      <c r="K466" s="46" t="s">
        <v>6</v>
      </c>
      <c r="L466" s="46" t="s">
        <v>91</v>
      </c>
      <c r="M466" s="46" t="s">
        <v>67</v>
      </c>
      <c r="N466" s="67" t="s">
        <v>92</v>
      </c>
      <c r="O466" s="74" t="s">
        <v>11</v>
      </c>
      <c r="P466" s="588"/>
    </row>
    <row r="467" spans="1:16">
      <c r="A467" s="7">
        <v>1</v>
      </c>
      <c r="B467" s="47">
        <v>2</v>
      </c>
      <c r="C467" s="47">
        <v>3</v>
      </c>
      <c r="D467" s="47">
        <v>4</v>
      </c>
      <c r="E467" s="47">
        <v>5</v>
      </c>
      <c r="F467" s="47">
        <v>6</v>
      </c>
      <c r="G467" s="47">
        <v>7</v>
      </c>
      <c r="H467" s="47">
        <v>8</v>
      </c>
      <c r="I467" s="47">
        <v>9</v>
      </c>
      <c r="J467" s="47">
        <v>10</v>
      </c>
      <c r="K467" s="47">
        <v>11</v>
      </c>
      <c r="L467" s="47">
        <v>12</v>
      </c>
      <c r="M467" s="47">
        <v>13</v>
      </c>
      <c r="N467" s="47">
        <v>14</v>
      </c>
      <c r="O467" s="47">
        <v>15</v>
      </c>
      <c r="P467" s="588"/>
    </row>
    <row r="468" spans="1:16" ht="243.75" customHeight="1">
      <c r="A468" s="336">
        <v>1</v>
      </c>
      <c r="B468" s="614" t="s">
        <v>2604</v>
      </c>
      <c r="C468" s="75" t="s">
        <v>2492</v>
      </c>
      <c r="D468" s="76" t="s">
        <v>656</v>
      </c>
      <c r="E468" s="336">
        <v>798.27</v>
      </c>
      <c r="F468" s="336" t="s">
        <v>657</v>
      </c>
      <c r="G468" s="339" t="s">
        <v>2396</v>
      </c>
      <c r="H468" s="339" t="s">
        <v>2397</v>
      </c>
      <c r="I468" s="336" t="s">
        <v>150</v>
      </c>
      <c r="J468" s="336" t="s">
        <v>17</v>
      </c>
      <c r="K468" s="336" t="s">
        <v>17</v>
      </c>
      <c r="L468" s="207" t="s">
        <v>658</v>
      </c>
      <c r="M468" s="68" t="s">
        <v>454</v>
      </c>
      <c r="N468" s="336">
        <v>1</v>
      </c>
      <c r="O468" s="68" t="s">
        <v>454</v>
      </c>
      <c r="P468" s="588"/>
    </row>
    <row r="469" spans="1:16" ht="60">
      <c r="A469" s="336">
        <v>2</v>
      </c>
      <c r="B469" s="614"/>
      <c r="C469" s="75" t="s">
        <v>2493</v>
      </c>
      <c r="D469" s="76" t="s">
        <v>659</v>
      </c>
      <c r="E469" s="339">
        <v>12646.25</v>
      </c>
      <c r="F469" s="336" t="s">
        <v>660</v>
      </c>
      <c r="G469" s="339">
        <v>7.49</v>
      </c>
      <c r="H469" s="339" t="s">
        <v>661</v>
      </c>
      <c r="I469" s="336" t="s">
        <v>150</v>
      </c>
      <c r="J469" s="336" t="s">
        <v>17</v>
      </c>
      <c r="K469" s="336" t="s">
        <v>17</v>
      </c>
      <c r="L469" s="83" t="s">
        <v>454</v>
      </c>
      <c r="M469" s="68" t="s">
        <v>454</v>
      </c>
      <c r="N469" s="336">
        <v>2</v>
      </c>
      <c r="O469" s="207" t="s">
        <v>662</v>
      </c>
      <c r="P469" s="588"/>
    </row>
    <row r="470" spans="1:16">
      <c r="A470" s="600"/>
      <c r="B470" s="600"/>
      <c r="C470" s="600"/>
      <c r="D470" s="600"/>
      <c r="E470" s="600"/>
      <c r="F470" s="600"/>
      <c r="G470" s="600"/>
      <c r="H470" s="600"/>
      <c r="I470" s="600"/>
      <c r="J470" s="600"/>
      <c r="K470" s="600"/>
      <c r="L470" s="600"/>
      <c r="M470" s="600"/>
      <c r="N470" s="600"/>
      <c r="O470" s="600"/>
      <c r="P470" s="600"/>
    </row>
    <row r="471" spans="1:16" ht="20.25" customHeight="1">
      <c r="A471" s="559" t="s">
        <v>112</v>
      </c>
      <c r="B471" s="559"/>
      <c r="C471" s="559"/>
      <c r="D471" s="559"/>
      <c r="E471" s="559"/>
      <c r="F471" s="559"/>
      <c r="G471" s="559"/>
      <c r="H471" s="559"/>
      <c r="I471" s="559"/>
      <c r="J471" s="559"/>
      <c r="K471" s="559"/>
      <c r="L471" s="559"/>
      <c r="M471" s="559"/>
      <c r="N471" s="559"/>
      <c r="O471" s="559"/>
      <c r="P471" s="559"/>
    </row>
    <row r="472" spans="1:16" ht="100.5" customHeight="1">
      <c r="A472" s="46" t="s">
        <v>0</v>
      </c>
      <c r="B472" s="46" t="s">
        <v>2582</v>
      </c>
      <c r="C472" s="46" t="s">
        <v>1</v>
      </c>
      <c r="D472" s="46" t="s">
        <v>2596</v>
      </c>
      <c r="E472" s="46" t="s">
        <v>89</v>
      </c>
      <c r="F472" s="46" t="s">
        <v>63</v>
      </c>
      <c r="G472" s="46" t="s">
        <v>2390</v>
      </c>
      <c r="H472" s="46" t="s">
        <v>2561</v>
      </c>
      <c r="I472" s="46" t="s">
        <v>2391</v>
      </c>
      <c r="J472" s="46" t="s">
        <v>5</v>
      </c>
      <c r="K472" s="46" t="s">
        <v>6</v>
      </c>
      <c r="L472" s="46" t="s">
        <v>91</v>
      </c>
      <c r="M472" s="46" t="s">
        <v>67</v>
      </c>
      <c r="N472" s="67" t="s">
        <v>110</v>
      </c>
      <c r="O472" s="67" t="s">
        <v>92</v>
      </c>
      <c r="P472" s="74" t="s">
        <v>69</v>
      </c>
    </row>
    <row r="473" spans="1:16">
      <c r="A473" s="345">
        <v>1</v>
      </c>
      <c r="B473" s="79">
        <v>2</v>
      </c>
      <c r="C473" s="79">
        <v>3</v>
      </c>
      <c r="D473" s="79">
        <v>4</v>
      </c>
      <c r="E473" s="79">
        <v>5</v>
      </c>
      <c r="F473" s="79">
        <v>6</v>
      </c>
      <c r="G473" s="79">
        <v>7</v>
      </c>
      <c r="H473" s="79">
        <v>8</v>
      </c>
      <c r="I473" s="79">
        <v>9</v>
      </c>
      <c r="J473" s="79">
        <v>10</v>
      </c>
      <c r="K473" s="79">
        <v>11</v>
      </c>
      <c r="L473" s="79">
        <v>12</v>
      </c>
      <c r="M473" s="79">
        <v>13</v>
      </c>
      <c r="N473" s="79">
        <v>14</v>
      </c>
      <c r="O473" s="79">
        <v>15</v>
      </c>
      <c r="P473" s="46">
        <v>16</v>
      </c>
    </row>
    <row r="474" spans="1:16" ht="30">
      <c r="A474" s="349">
        <v>1</v>
      </c>
      <c r="B474" s="395" t="s">
        <v>2604</v>
      </c>
      <c r="C474" s="395" t="s">
        <v>2492</v>
      </c>
      <c r="D474" s="613" t="s">
        <v>87</v>
      </c>
      <c r="E474" s="674"/>
      <c r="F474" s="674"/>
      <c r="G474" s="674"/>
      <c r="H474" s="674"/>
      <c r="I474" s="674"/>
      <c r="J474" s="674"/>
      <c r="K474" s="674"/>
      <c r="L474" s="674"/>
      <c r="M474" s="674"/>
      <c r="N474" s="674"/>
      <c r="O474" s="674"/>
      <c r="P474" s="674"/>
    </row>
    <row r="475" spans="1:16">
      <c r="A475" s="348"/>
      <c r="B475" s="395"/>
      <c r="C475" s="395"/>
      <c r="D475" s="348"/>
      <c r="E475" s="396"/>
      <c r="F475" s="396"/>
      <c r="G475" s="396"/>
      <c r="H475" s="396"/>
      <c r="I475" s="396"/>
      <c r="J475" s="396"/>
      <c r="K475" s="396"/>
      <c r="L475" s="396"/>
      <c r="M475" s="396"/>
      <c r="N475" s="396"/>
      <c r="O475" s="396"/>
      <c r="P475" s="396"/>
    </row>
    <row r="476" spans="1:16" ht="22.5">
      <c r="A476" s="701" t="s">
        <v>663</v>
      </c>
      <c r="B476" s="701"/>
      <c r="C476" s="701"/>
      <c r="D476" s="701"/>
      <c r="E476" s="701"/>
      <c r="F476" s="701"/>
      <c r="G476" s="701"/>
      <c r="H476" s="701"/>
      <c r="I476" s="701"/>
      <c r="J476" s="701"/>
      <c r="K476" s="701"/>
      <c r="L476" s="701"/>
      <c r="M476" s="701"/>
      <c r="N476" s="701"/>
      <c r="O476" s="701"/>
      <c r="P476" s="701"/>
    </row>
    <row r="477" spans="1:16" ht="20.25">
      <c r="A477" s="559" t="s">
        <v>61</v>
      </c>
      <c r="B477" s="559"/>
      <c r="C477" s="559"/>
      <c r="D477" s="559"/>
      <c r="E477" s="559"/>
      <c r="F477" s="559"/>
      <c r="G477" s="559"/>
      <c r="H477" s="559"/>
      <c r="I477" s="559"/>
      <c r="J477" s="559"/>
      <c r="K477" s="559"/>
      <c r="L477" s="559"/>
      <c r="M477" s="559"/>
      <c r="N477" s="559"/>
      <c r="O477" s="559"/>
      <c r="P477" s="559"/>
    </row>
    <row r="478" spans="1:16" ht="102" customHeight="1">
      <c r="A478" s="46" t="s">
        <v>0</v>
      </c>
      <c r="B478" s="46" t="s">
        <v>2592</v>
      </c>
      <c r="C478" s="46" t="s">
        <v>1</v>
      </c>
      <c r="D478" s="46" t="s">
        <v>2593</v>
      </c>
      <c r="E478" s="46" t="s">
        <v>3</v>
      </c>
      <c r="F478" s="46" t="s">
        <v>4</v>
      </c>
      <c r="G478" s="46" t="s">
        <v>2594</v>
      </c>
      <c r="H478" s="46" t="s">
        <v>2595</v>
      </c>
      <c r="I478" s="46" t="s">
        <v>2392</v>
      </c>
      <c r="J478" s="46" t="s">
        <v>5</v>
      </c>
      <c r="K478" s="46" t="s">
        <v>6</v>
      </c>
      <c r="L478" s="46" t="s">
        <v>7</v>
      </c>
      <c r="M478" s="67" t="s">
        <v>8</v>
      </c>
      <c r="N478" s="67" t="s">
        <v>9</v>
      </c>
      <c r="O478" s="46" t="s">
        <v>10</v>
      </c>
      <c r="P478" s="74" t="s">
        <v>11</v>
      </c>
    </row>
    <row r="479" spans="1:16">
      <c r="A479" s="8">
        <v>1</v>
      </c>
      <c r="B479" s="46">
        <v>2</v>
      </c>
      <c r="C479" s="46">
        <v>3</v>
      </c>
      <c r="D479" s="46">
        <v>4</v>
      </c>
      <c r="E479" s="46">
        <v>5</v>
      </c>
      <c r="F479" s="46">
        <v>6</v>
      </c>
      <c r="G479" s="46">
        <v>7</v>
      </c>
      <c r="H479" s="46">
        <v>8</v>
      </c>
      <c r="I479" s="46">
        <v>9</v>
      </c>
      <c r="J479" s="46">
        <v>10</v>
      </c>
      <c r="K479" s="46">
        <v>11</v>
      </c>
      <c r="L479" s="46">
        <v>12</v>
      </c>
      <c r="M479" s="46">
        <v>13</v>
      </c>
      <c r="N479" s="46">
        <v>14</v>
      </c>
      <c r="O479" s="46">
        <v>15</v>
      </c>
      <c r="P479" s="46">
        <v>16</v>
      </c>
    </row>
    <row r="480" spans="1:16" ht="45">
      <c r="A480" s="339">
        <v>1</v>
      </c>
      <c r="B480" s="553" t="s">
        <v>2614</v>
      </c>
      <c r="C480" s="344" t="s">
        <v>675</v>
      </c>
      <c r="D480" s="595" t="s">
        <v>87</v>
      </c>
      <c r="E480" s="595"/>
      <c r="F480" s="595"/>
      <c r="G480" s="595"/>
      <c r="H480" s="595"/>
      <c r="I480" s="595"/>
      <c r="J480" s="595"/>
      <c r="K480" s="595"/>
      <c r="L480" s="595"/>
      <c r="M480" s="595"/>
      <c r="N480" s="595"/>
      <c r="O480" s="595"/>
      <c r="P480" s="595"/>
    </row>
    <row r="481" spans="1:16" ht="105">
      <c r="A481" s="600">
        <v>2</v>
      </c>
      <c r="B481" s="553"/>
      <c r="C481" s="553" t="s">
        <v>692</v>
      </c>
      <c r="D481" s="344" t="s">
        <v>693</v>
      </c>
      <c r="E481" s="336">
        <v>3952</v>
      </c>
      <c r="F481" s="336" t="s">
        <v>694</v>
      </c>
      <c r="G481" s="336">
        <v>1.54</v>
      </c>
      <c r="H481" s="336">
        <v>16.05</v>
      </c>
      <c r="I481" s="336" t="s">
        <v>35</v>
      </c>
      <c r="J481" s="336" t="s">
        <v>35</v>
      </c>
      <c r="K481" s="336" t="s">
        <v>35</v>
      </c>
      <c r="L481" s="394" t="s">
        <v>35</v>
      </c>
      <c r="M481" s="46" t="s">
        <v>7480</v>
      </c>
      <c r="N481" s="336" t="s">
        <v>465</v>
      </c>
      <c r="O481" s="336" t="s">
        <v>17</v>
      </c>
      <c r="P481" s="344" t="s">
        <v>695</v>
      </c>
    </row>
    <row r="482" spans="1:16" ht="43.5" customHeight="1">
      <c r="A482" s="600"/>
      <c r="B482" s="553"/>
      <c r="C482" s="553"/>
      <c r="D482" s="637" t="s">
        <v>7482</v>
      </c>
      <c r="E482" s="637"/>
      <c r="F482" s="637"/>
      <c r="G482" s="637"/>
      <c r="H482" s="637"/>
      <c r="I482" s="637"/>
      <c r="J482" s="637"/>
      <c r="K482" s="637"/>
      <c r="L482" s="637"/>
      <c r="M482" s="637"/>
      <c r="N482" s="637"/>
      <c r="O482" s="637"/>
      <c r="P482" s="637"/>
    </row>
    <row r="483" spans="1:16" ht="45">
      <c r="A483" s="595">
        <v>3</v>
      </c>
      <c r="B483" s="553"/>
      <c r="C483" s="553"/>
      <c r="D483" s="344" t="s">
        <v>696</v>
      </c>
      <c r="E483" s="336">
        <v>1858.06</v>
      </c>
      <c r="F483" s="336" t="s">
        <v>697</v>
      </c>
      <c r="G483" s="339" t="s">
        <v>698</v>
      </c>
      <c r="H483" s="336">
        <v>5.0599999999999996</v>
      </c>
      <c r="I483" s="336" t="s">
        <v>35</v>
      </c>
      <c r="J483" s="336" t="s">
        <v>35</v>
      </c>
      <c r="K483" s="336" t="s">
        <v>35</v>
      </c>
      <c r="L483" s="336" t="s">
        <v>35</v>
      </c>
      <c r="M483" s="46" t="s">
        <v>7483</v>
      </c>
      <c r="N483" s="336" t="s">
        <v>465</v>
      </c>
      <c r="O483" s="336" t="s">
        <v>17</v>
      </c>
      <c r="P483" s="344" t="s">
        <v>699</v>
      </c>
    </row>
    <row r="484" spans="1:16" ht="62.25" customHeight="1">
      <c r="A484" s="595"/>
      <c r="B484" s="553"/>
      <c r="C484" s="553"/>
      <c r="D484" s="637" t="s">
        <v>7481</v>
      </c>
      <c r="E484" s="637"/>
      <c r="F484" s="637"/>
      <c r="G484" s="637"/>
      <c r="H484" s="637"/>
      <c r="I484" s="637"/>
      <c r="J484" s="637"/>
      <c r="K484" s="637"/>
      <c r="L484" s="637"/>
      <c r="M484" s="637"/>
      <c r="N484" s="637"/>
      <c r="O484" s="637"/>
      <c r="P484" s="637"/>
    </row>
    <row r="485" spans="1:16" ht="60">
      <c r="A485" s="600">
        <v>4</v>
      </c>
      <c r="B485" s="553"/>
      <c r="C485" s="553"/>
      <c r="D485" s="344" t="s">
        <v>700</v>
      </c>
      <c r="E485" s="336">
        <v>2884.64</v>
      </c>
      <c r="F485" s="336" t="s">
        <v>701</v>
      </c>
      <c r="G485" s="339">
        <v>0.2</v>
      </c>
      <c r="H485" s="336">
        <v>0.57999999999999996</v>
      </c>
      <c r="I485" s="336" t="s">
        <v>35</v>
      </c>
      <c r="J485" s="336" t="s">
        <v>35</v>
      </c>
      <c r="K485" s="336" t="s">
        <v>35</v>
      </c>
      <c r="L485" s="336" t="s">
        <v>35</v>
      </c>
      <c r="M485" s="46" t="s">
        <v>7484</v>
      </c>
      <c r="N485" s="336" t="s">
        <v>465</v>
      </c>
      <c r="O485" s="336" t="s">
        <v>17</v>
      </c>
      <c r="P485" s="344" t="s">
        <v>702</v>
      </c>
    </row>
    <row r="486" spans="1:16" ht="64.5" customHeight="1">
      <c r="A486" s="600"/>
      <c r="B486" s="553"/>
      <c r="C486" s="553"/>
      <c r="D486" s="637" t="s">
        <v>7485</v>
      </c>
      <c r="E486" s="637"/>
      <c r="F486" s="637"/>
      <c r="G486" s="637"/>
      <c r="H486" s="637"/>
      <c r="I486" s="637"/>
      <c r="J486" s="637"/>
      <c r="K486" s="637"/>
      <c r="L486" s="637"/>
      <c r="M486" s="637"/>
      <c r="N486" s="637"/>
      <c r="O486" s="637"/>
      <c r="P486" s="637"/>
    </row>
    <row r="487" spans="1:16" ht="45">
      <c r="A487" s="339">
        <v>5</v>
      </c>
      <c r="B487" s="553"/>
      <c r="C487" s="344" t="s">
        <v>749</v>
      </c>
      <c r="D487" s="344" t="s">
        <v>750</v>
      </c>
      <c r="E487" s="339">
        <v>6680</v>
      </c>
      <c r="F487" s="339" t="s">
        <v>751</v>
      </c>
      <c r="G487" s="339">
        <v>16.0706068</v>
      </c>
      <c r="H487" s="339" t="s">
        <v>752</v>
      </c>
      <c r="I487" s="339" t="s">
        <v>735</v>
      </c>
      <c r="J487" s="339" t="s">
        <v>753</v>
      </c>
      <c r="K487" s="339" t="s">
        <v>754</v>
      </c>
      <c r="L487" s="339" t="s">
        <v>26</v>
      </c>
      <c r="M487" s="339" t="s">
        <v>755</v>
      </c>
      <c r="N487" s="339" t="s">
        <v>748</v>
      </c>
      <c r="O487" s="339" t="s">
        <v>756</v>
      </c>
      <c r="P487" s="83" t="s">
        <v>757</v>
      </c>
    </row>
    <row r="488" spans="1:16" ht="45">
      <c r="A488" s="336">
        <v>6</v>
      </c>
      <c r="B488" s="553"/>
      <c r="C488" s="344" t="s">
        <v>781</v>
      </c>
      <c r="D488" s="615" t="s">
        <v>87</v>
      </c>
      <c r="E488" s="615"/>
      <c r="F488" s="615"/>
      <c r="G488" s="615"/>
      <c r="H488" s="615"/>
      <c r="I488" s="615"/>
      <c r="J488" s="615"/>
      <c r="K488" s="615"/>
      <c r="L488" s="615"/>
      <c r="M488" s="615"/>
      <c r="N488" s="615"/>
      <c r="O488" s="615"/>
      <c r="P488" s="615"/>
    </row>
    <row r="489" spans="1:16" ht="45">
      <c r="A489" s="339">
        <v>7</v>
      </c>
      <c r="B489" s="553"/>
      <c r="C489" s="344" t="s">
        <v>802</v>
      </c>
      <c r="D489" s="600" t="s">
        <v>87</v>
      </c>
      <c r="E489" s="600"/>
      <c r="F489" s="600"/>
      <c r="G489" s="600"/>
      <c r="H489" s="600"/>
      <c r="I489" s="600"/>
      <c r="J489" s="600"/>
      <c r="K489" s="600"/>
      <c r="L489" s="600"/>
      <c r="M489" s="600"/>
      <c r="N489" s="600"/>
      <c r="O489" s="600"/>
      <c r="P489" s="600"/>
    </row>
    <row r="490" spans="1:16">
      <c r="A490" s="595"/>
      <c r="B490" s="595"/>
      <c r="C490" s="595"/>
      <c r="D490" s="595"/>
      <c r="E490" s="595"/>
      <c r="F490" s="595"/>
      <c r="G490" s="595"/>
      <c r="H490" s="595"/>
      <c r="I490" s="595"/>
      <c r="J490" s="595"/>
      <c r="K490" s="595"/>
      <c r="L490" s="595"/>
      <c r="M490" s="595"/>
      <c r="N490" s="595"/>
      <c r="O490" s="595"/>
      <c r="P490" s="595"/>
    </row>
    <row r="491" spans="1:16" ht="20.25" customHeight="1">
      <c r="A491" s="559" t="s">
        <v>88</v>
      </c>
      <c r="B491" s="559"/>
      <c r="C491" s="559"/>
      <c r="D491" s="559"/>
      <c r="E491" s="559"/>
      <c r="F491" s="559"/>
      <c r="G491" s="559"/>
      <c r="H491" s="559"/>
      <c r="I491" s="559"/>
      <c r="J491" s="559"/>
      <c r="K491" s="559"/>
      <c r="L491" s="559"/>
      <c r="M491" s="559"/>
      <c r="N491" s="559"/>
      <c r="O491" s="559"/>
      <c r="P491" s="588"/>
    </row>
    <row r="492" spans="1:16" ht="85.5">
      <c r="A492" s="46" t="s">
        <v>0</v>
      </c>
      <c r="B492" s="46" t="s">
        <v>2582</v>
      </c>
      <c r="C492" s="46" t="s">
        <v>1</v>
      </c>
      <c r="D492" s="46" t="s">
        <v>2596</v>
      </c>
      <c r="E492" s="67" t="s">
        <v>62</v>
      </c>
      <c r="F492" s="67" t="s">
        <v>63</v>
      </c>
      <c r="G492" s="46" t="s">
        <v>2560</v>
      </c>
      <c r="H492" s="46" t="s">
        <v>2561</v>
      </c>
      <c r="I492" s="46" t="s">
        <v>2583</v>
      </c>
      <c r="J492" s="46" t="s">
        <v>5</v>
      </c>
      <c r="K492" s="46" t="s">
        <v>6</v>
      </c>
      <c r="L492" s="46" t="s">
        <v>66</v>
      </c>
      <c r="M492" s="46" t="s">
        <v>67</v>
      </c>
      <c r="N492" s="67" t="s">
        <v>68</v>
      </c>
      <c r="O492" s="74" t="s">
        <v>69</v>
      </c>
      <c r="P492" s="588"/>
    </row>
    <row r="493" spans="1:16">
      <c r="A493" s="345">
        <v>1</v>
      </c>
      <c r="B493" s="79">
        <v>2</v>
      </c>
      <c r="C493" s="79">
        <v>3</v>
      </c>
      <c r="D493" s="79">
        <v>4</v>
      </c>
      <c r="E493" s="79">
        <v>5</v>
      </c>
      <c r="F493" s="79">
        <v>6</v>
      </c>
      <c r="G493" s="79">
        <v>7</v>
      </c>
      <c r="H493" s="79">
        <v>8</v>
      </c>
      <c r="I493" s="79">
        <v>9</v>
      </c>
      <c r="J493" s="79">
        <v>10</v>
      </c>
      <c r="K493" s="79">
        <v>11</v>
      </c>
      <c r="L493" s="79">
        <v>12</v>
      </c>
      <c r="M493" s="79">
        <v>13</v>
      </c>
      <c r="N493" s="79">
        <v>14</v>
      </c>
      <c r="O493" s="79">
        <v>15</v>
      </c>
      <c r="P493" s="588"/>
    </row>
    <row r="494" spans="1:16" ht="90">
      <c r="A494" s="339">
        <v>1</v>
      </c>
      <c r="B494" s="553" t="s">
        <v>2614</v>
      </c>
      <c r="C494" s="344" t="s">
        <v>676</v>
      </c>
      <c r="D494" s="344" t="s">
        <v>677</v>
      </c>
      <c r="E494" s="339">
        <v>1650</v>
      </c>
      <c r="F494" s="339" t="s">
        <v>678</v>
      </c>
      <c r="G494" s="339">
        <v>1.64</v>
      </c>
      <c r="H494" s="339" t="s">
        <v>679</v>
      </c>
      <c r="I494" s="339" t="s">
        <v>150</v>
      </c>
      <c r="J494" s="339" t="s">
        <v>17</v>
      </c>
      <c r="K494" s="339" t="s">
        <v>17</v>
      </c>
      <c r="L494" s="339" t="s">
        <v>17</v>
      </c>
      <c r="M494" s="339">
        <v>481605</v>
      </c>
      <c r="N494" s="339">
        <v>1</v>
      </c>
      <c r="O494" s="339" t="s">
        <v>17</v>
      </c>
      <c r="P494" s="588"/>
    </row>
    <row r="495" spans="1:16" ht="45">
      <c r="A495" s="335">
        <v>2</v>
      </c>
      <c r="B495" s="553"/>
      <c r="C495" s="614" t="s">
        <v>692</v>
      </c>
      <c r="D495" s="344" t="s">
        <v>703</v>
      </c>
      <c r="E495" s="335">
        <v>2019.46</v>
      </c>
      <c r="F495" s="339" t="s">
        <v>704</v>
      </c>
      <c r="G495" s="336">
        <v>0.99</v>
      </c>
      <c r="H495" s="336">
        <v>1.7</v>
      </c>
      <c r="I495" s="335" t="s">
        <v>418</v>
      </c>
      <c r="J495" s="335" t="s">
        <v>17</v>
      </c>
      <c r="K495" s="335" t="s">
        <v>17</v>
      </c>
      <c r="L495" s="335" t="s">
        <v>17</v>
      </c>
      <c r="M495" s="336" t="s">
        <v>17</v>
      </c>
      <c r="N495" s="335">
        <v>1</v>
      </c>
      <c r="O495" s="335" t="s">
        <v>17</v>
      </c>
      <c r="P495" s="588"/>
    </row>
    <row r="496" spans="1:16" ht="75">
      <c r="A496" s="339">
        <v>3</v>
      </c>
      <c r="B496" s="553"/>
      <c r="C496" s="614"/>
      <c r="D496" s="344" t="s">
        <v>705</v>
      </c>
      <c r="E496" s="339" t="s">
        <v>706</v>
      </c>
      <c r="F496" s="336">
        <v>1984</v>
      </c>
      <c r="G496" s="336">
        <v>3.25</v>
      </c>
      <c r="H496" s="336">
        <v>5.25</v>
      </c>
      <c r="I496" s="335" t="s">
        <v>418</v>
      </c>
      <c r="J496" s="335" t="s">
        <v>17</v>
      </c>
      <c r="K496" s="335" t="s">
        <v>17</v>
      </c>
      <c r="L496" s="335" t="s">
        <v>17</v>
      </c>
      <c r="M496" s="336" t="s">
        <v>17</v>
      </c>
      <c r="N496" s="335">
        <v>2</v>
      </c>
      <c r="O496" s="335" t="s">
        <v>17</v>
      </c>
      <c r="P496" s="588"/>
    </row>
    <row r="497" spans="1:16" ht="135">
      <c r="A497" s="335">
        <v>4</v>
      </c>
      <c r="B497" s="553"/>
      <c r="C497" s="614"/>
      <c r="D497" s="352" t="s">
        <v>707</v>
      </c>
      <c r="E497" s="339">
        <v>544.5</v>
      </c>
      <c r="F497" s="339" t="s">
        <v>708</v>
      </c>
      <c r="G497" s="339" t="s">
        <v>2398</v>
      </c>
      <c r="H497" s="336">
        <v>0.27</v>
      </c>
      <c r="I497" s="335" t="s">
        <v>418</v>
      </c>
      <c r="J497" s="335" t="s">
        <v>17</v>
      </c>
      <c r="K497" s="335" t="s">
        <v>17</v>
      </c>
      <c r="L497" s="335" t="s">
        <v>17</v>
      </c>
      <c r="M497" s="336" t="s">
        <v>17</v>
      </c>
      <c r="N497" s="335">
        <v>3</v>
      </c>
      <c r="O497" s="335" t="s">
        <v>17</v>
      </c>
      <c r="P497" s="588"/>
    </row>
    <row r="498" spans="1:16" ht="30" customHeight="1">
      <c r="A498" s="339">
        <v>5</v>
      </c>
      <c r="B498" s="553"/>
      <c r="C498" s="614"/>
      <c r="D498" s="352" t="s">
        <v>709</v>
      </c>
      <c r="E498" s="339">
        <v>570.13</v>
      </c>
      <c r="F498" s="339" t="s">
        <v>710</v>
      </c>
      <c r="G498" s="339" t="s">
        <v>711</v>
      </c>
      <c r="H498" s="336">
        <v>0.28000000000000003</v>
      </c>
      <c r="I498" s="335" t="s">
        <v>418</v>
      </c>
      <c r="J498" s="335" t="s">
        <v>17</v>
      </c>
      <c r="K498" s="335" t="s">
        <v>17</v>
      </c>
      <c r="L498" s="335" t="s">
        <v>17</v>
      </c>
      <c r="M498" s="336" t="s">
        <v>17</v>
      </c>
      <c r="N498" s="335">
        <v>5</v>
      </c>
      <c r="O498" s="335" t="s">
        <v>17</v>
      </c>
      <c r="P498" s="588"/>
    </row>
    <row r="499" spans="1:16" ht="65.25" customHeight="1">
      <c r="A499" s="335">
        <v>6</v>
      </c>
      <c r="B499" s="553"/>
      <c r="C499" s="614"/>
      <c r="D499" s="352" t="s">
        <v>712</v>
      </c>
      <c r="E499" s="339">
        <v>371</v>
      </c>
      <c r="F499" s="339" t="s">
        <v>713</v>
      </c>
      <c r="G499" s="85">
        <v>0.94</v>
      </c>
      <c r="H499" s="336">
        <v>1.7115</v>
      </c>
      <c r="I499" s="335" t="s">
        <v>418</v>
      </c>
      <c r="J499" s="335" t="s">
        <v>17</v>
      </c>
      <c r="K499" s="335" t="s">
        <v>17</v>
      </c>
      <c r="L499" s="335" t="s">
        <v>17</v>
      </c>
      <c r="M499" s="336" t="s">
        <v>17</v>
      </c>
      <c r="N499" s="335">
        <v>6</v>
      </c>
      <c r="O499" s="335" t="s">
        <v>17</v>
      </c>
      <c r="P499" s="588"/>
    </row>
    <row r="500" spans="1:16" ht="76.5" customHeight="1">
      <c r="A500" s="339">
        <v>7</v>
      </c>
      <c r="B500" s="553"/>
      <c r="C500" s="614"/>
      <c r="D500" s="344" t="s">
        <v>714</v>
      </c>
      <c r="E500" s="339">
        <v>447</v>
      </c>
      <c r="F500" s="339" t="s">
        <v>715</v>
      </c>
      <c r="G500" s="49">
        <v>0.37</v>
      </c>
      <c r="H500" s="335">
        <v>0.95</v>
      </c>
      <c r="I500" s="335" t="s">
        <v>418</v>
      </c>
      <c r="J500" s="335" t="s">
        <v>17</v>
      </c>
      <c r="K500" s="335" t="s">
        <v>17</v>
      </c>
      <c r="L500" s="335" t="s">
        <v>17</v>
      </c>
      <c r="M500" s="336" t="s">
        <v>17</v>
      </c>
      <c r="N500" s="335">
        <v>7</v>
      </c>
      <c r="O500" s="335" t="s">
        <v>17</v>
      </c>
      <c r="P500" s="588"/>
    </row>
    <row r="501" spans="1:16" ht="45">
      <c r="A501" s="335">
        <v>8</v>
      </c>
      <c r="B501" s="553"/>
      <c r="C501" s="614"/>
      <c r="D501" s="344" t="s">
        <v>716</v>
      </c>
      <c r="E501" s="339">
        <v>520</v>
      </c>
      <c r="F501" s="339" t="s">
        <v>717</v>
      </c>
      <c r="G501" s="49">
        <v>0.42</v>
      </c>
      <c r="H501" s="335">
        <v>0.87</v>
      </c>
      <c r="I501" s="335" t="s">
        <v>418</v>
      </c>
      <c r="J501" s="335" t="s">
        <v>17</v>
      </c>
      <c r="K501" s="335" t="s">
        <v>17</v>
      </c>
      <c r="L501" s="335" t="s">
        <v>17</v>
      </c>
      <c r="M501" s="336" t="s">
        <v>17</v>
      </c>
      <c r="N501" s="335">
        <v>8</v>
      </c>
      <c r="O501" s="335" t="s">
        <v>17</v>
      </c>
      <c r="P501" s="588"/>
    </row>
    <row r="502" spans="1:16" ht="30">
      <c r="A502" s="339">
        <v>9</v>
      </c>
      <c r="B502" s="553"/>
      <c r="C502" s="553" t="s">
        <v>731</v>
      </c>
      <c r="D502" s="344" t="s">
        <v>750</v>
      </c>
      <c r="E502" s="339">
        <v>3910.65</v>
      </c>
      <c r="F502" s="175" t="s">
        <v>758</v>
      </c>
      <c r="G502" s="339">
        <v>19.35698</v>
      </c>
      <c r="H502" s="339" t="s">
        <v>759</v>
      </c>
      <c r="I502" s="339" t="s">
        <v>735</v>
      </c>
      <c r="J502" s="336" t="s">
        <v>17</v>
      </c>
      <c r="K502" s="336" t="s">
        <v>17</v>
      </c>
      <c r="L502" s="336" t="s">
        <v>17</v>
      </c>
      <c r="M502" s="336" t="s">
        <v>17</v>
      </c>
      <c r="N502" s="339">
        <v>1</v>
      </c>
      <c r="O502" s="83" t="s">
        <v>736</v>
      </c>
      <c r="P502" s="588"/>
    </row>
    <row r="503" spans="1:16" ht="75" customHeight="1">
      <c r="A503" s="335">
        <v>10</v>
      </c>
      <c r="B503" s="553"/>
      <c r="C503" s="553"/>
      <c r="D503" s="344" t="s">
        <v>760</v>
      </c>
      <c r="E503" s="339">
        <v>410.17</v>
      </c>
      <c r="F503" s="339" t="s">
        <v>733</v>
      </c>
      <c r="G503" s="187" t="s">
        <v>734</v>
      </c>
      <c r="H503" s="339" t="s">
        <v>761</v>
      </c>
      <c r="I503" s="339" t="s">
        <v>735</v>
      </c>
      <c r="J503" s="336" t="s">
        <v>17</v>
      </c>
      <c r="K503" s="336" t="s">
        <v>17</v>
      </c>
      <c r="L503" s="336" t="s">
        <v>17</v>
      </c>
      <c r="M503" s="336" t="s">
        <v>17</v>
      </c>
      <c r="N503" s="339">
        <v>2</v>
      </c>
      <c r="O503" s="83" t="s">
        <v>736</v>
      </c>
      <c r="P503" s="588"/>
    </row>
    <row r="504" spans="1:16" ht="75" customHeight="1">
      <c r="A504" s="339">
        <v>11</v>
      </c>
      <c r="B504" s="553"/>
      <c r="C504" s="553"/>
      <c r="D504" s="344" t="s">
        <v>762</v>
      </c>
      <c r="E504" s="339">
        <v>88.15</v>
      </c>
      <c r="F504" s="339" t="s">
        <v>738</v>
      </c>
      <c r="G504" s="339" t="s">
        <v>2399</v>
      </c>
      <c r="H504" s="339">
        <v>2698473.8</v>
      </c>
      <c r="I504" s="339" t="s">
        <v>735</v>
      </c>
      <c r="J504" s="336" t="s">
        <v>17</v>
      </c>
      <c r="K504" s="336" t="s">
        <v>17</v>
      </c>
      <c r="L504" s="336" t="s">
        <v>17</v>
      </c>
      <c r="M504" s="336" t="s">
        <v>17</v>
      </c>
      <c r="N504" s="339">
        <v>3</v>
      </c>
      <c r="O504" s="83" t="s">
        <v>736</v>
      </c>
      <c r="P504" s="588"/>
    </row>
    <row r="505" spans="1:16" ht="60">
      <c r="A505" s="335">
        <v>12</v>
      </c>
      <c r="B505" s="553"/>
      <c r="C505" s="553"/>
      <c r="D505" s="344" t="s">
        <v>739</v>
      </c>
      <c r="E505" s="339" t="s">
        <v>763</v>
      </c>
      <c r="F505" s="339" t="s">
        <v>741</v>
      </c>
      <c r="G505" s="339">
        <v>0.03</v>
      </c>
      <c r="H505" s="339" t="s">
        <v>764</v>
      </c>
      <c r="I505" s="339" t="s">
        <v>735</v>
      </c>
      <c r="J505" s="336" t="s">
        <v>17</v>
      </c>
      <c r="K505" s="336" t="s">
        <v>17</v>
      </c>
      <c r="L505" s="336" t="s">
        <v>17</v>
      </c>
      <c r="M505" s="336" t="s">
        <v>17</v>
      </c>
      <c r="N505" s="339">
        <v>4</v>
      </c>
      <c r="O505" s="336" t="s">
        <v>17</v>
      </c>
      <c r="P505" s="588"/>
    </row>
    <row r="506" spans="1:16" ht="78.75" customHeight="1">
      <c r="A506" s="339">
        <v>13</v>
      </c>
      <c r="B506" s="553"/>
      <c r="C506" s="553"/>
      <c r="D506" s="344" t="s">
        <v>765</v>
      </c>
      <c r="E506" s="339">
        <v>1148</v>
      </c>
      <c r="F506" s="339" t="s">
        <v>766</v>
      </c>
      <c r="G506" s="339" t="s">
        <v>767</v>
      </c>
      <c r="H506" s="339" t="s">
        <v>768</v>
      </c>
      <c r="I506" s="339" t="s">
        <v>769</v>
      </c>
      <c r="J506" s="336" t="s">
        <v>770</v>
      </c>
      <c r="K506" s="336" t="s">
        <v>87</v>
      </c>
      <c r="L506" s="336" t="s">
        <v>87</v>
      </c>
      <c r="M506" s="336" t="s">
        <v>87</v>
      </c>
      <c r="N506" s="339">
        <v>5</v>
      </c>
      <c r="O506" s="339" t="s">
        <v>87</v>
      </c>
      <c r="P506" s="588"/>
    </row>
    <row r="507" spans="1:16" ht="60">
      <c r="A507" s="335">
        <v>14</v>
      </c>
      <c r="B507" s="553"/>
      <c r="C507" s="553"/>
      <c r="D507" s="344" t="s">
        <v>743</v>
      </c>
      <c r="E507" s="339" t="s">
        <v>744</v>
      </c>
      <c r="F507" s="339" t="s">
        <v>745</v>
      </c>
      <c r="G507" s="339">
        <v>0.84974400000000005</v>
      </c>
      <c r="H507" s="339" t="s">
        <v>746</v>
      </c>
      <c r="I507" s="339" t="s">
        <v>735</v>
      </c>
      <c r="J507" s="339" t="s">
        <v>747</v>
      </c>
      <c r="K507" s="339">
        <v>5.8285000000000003E-2</v>
      </c>
      <c r="L507" s="339" t="s">
        <v>26</v>
      </c>
      <c r="M507" s="339">
        <v>30084</v>
      </c>
      <c r="N507" s="339">
        <v>6</v>
      </c>
      <c r="O507" s="336" t="s">
        <v>748</v>
      </c>
      <c r="P507" s="588"/>
    </row>
    <row r="508" spans="1:16" ht="78" customHeight="1">
      <c r="A508" s="339">
        <v>15</v>
      </c>
      <c r="B508" s="553"/>
      <c r="C508" s="553" t="s">
        <v>781</v>
      </c>
      <c r="D508" s="352" t="s">
        <v>782</v>
      </c>
      <c r="E508" s="339" t="s">
        <v>783</v>
      </c>
      <c r="F508" s="49" t="s">
        <v>784</v>
      </c>
      <c r="G508" s="397">
        <v>2.3249999999999998E-3</v>
      </c>
      <c r="H508" s="380">
        <v>930000</v>
      </c>
      <c r="I508" s="380" t="s">
        <v>785</v>
      </c>
      <c r="J508" s="380" t="s">
        <v>786</v>
      </c>
      <c r="K508" s="380" t="s">
        <v>787</v>
      </c>
      <c r="L508" s="380" t="s">
        <v>26</v>
      </c>
      <c r="M508" s="339"/>
      <c r="N508" s="49">
        <v>1</v>
      </c>
      <c r="O508" s="49" t="s">
        <v>35</v>
      </c>
      <c r="P508" s="588"/>
    </row>
    <row r="509" spans="1:16" ht="60.75" customHeight="1">
      <c r="A509" s="335">
        <v>16</v>
      </c>
      <c r="B509" s="553"/>
      <c r="C509" s="553"/>
      <c r="D509" s="352" t="s">
        <v>788</v>
      </c>
      <c r="E509" s="339" t="s">
        <v>789</v>
      </c>
      <c r="F509" s="49" t="s">
        <v>790</v>
      </c>
      <c r="G509" s="397">
        <v>1.944E-3</v>
      </c>
      <c r="H509" s="380">
        <v>152000</v>
      </c>
      <c r="I509" s="380" t="s">
        <v>150</v>
      </c>
      <c r="J509" s="380" t="s">
        <v>35</v>
      </c>
      <c r="K509" s="380" t="s">
        <v>35</v>
      </c>
      <c r="L509" s="380" t="s">
        <v>26</v>
      </c>
      <c r="M509" s="339"/>
      <c r="N509" s="49">
        <v>2</v>
      </c>
      <c r="O509" s="49"/>
      <c r="P509" s="588"/>
    </row>
    <row r="510" spans="1:16" ht="79.5" customHeight="1">
      <c r="A510" s="339">
        <v>17</v>
      </c>
      <c r="B510" s="553"/>
      <c r="C510" s="344" t="s">
        <v>791</v>
      </c>
      <c r="D510" s="352" t="s">
        <v>792</v>
      </c>
      <c r="E510" s="339" t="s">
        <v>793</v>
      </c>
      <c r="F510" s="49" t="s">
        <v>794</v>
      </c>
      <c r="G510" s="380" t="s">
        <v>352</v>
      </c>
      <c r="H510" s="380" t="s">
        <v>17</v>
      </c>
      <c r="I510" s="380" t="s">
        <v>17</v>
      </c>
      <c r="J510" s="380" t="s">
        <v>17</v>
      </c>
      <c r="K510" s="380" t="s">
        <v>17</v>
      </c>
      <c r="L510" s="380" t="s">
        <v>26</v>
      </c>
      <c r="M510" s="336"/>
      <c r="N510" s="49">
        <v>3</v>
      </c>
      <c r="O510" s="207" t="s">
        <v>795</v>
      </c>
      <c r="P510" s="588"/>
    </row>
    <row r="511" spans="1:16" ht="45">
      <c r="A511" s="335">
        <v>18</v>
      </c>
      <c r="B511" s="553"/>
      <c r="C511" s="344" t="s">
        <v>802</v>
      </c>
      <c r="D511" s="608" t="s">
        <v>87</v>
      </c>
      <c r="E511" s="608"/>
      <c r="F511" s="608"/>
      <c r="G511" s="608"/>
      <c r="H511" s="608"/>
      <c r="I511" s="608"/>
      <c r="J511" s="608"/>
      <c r="K511" s="608"/>
      <c r="L511" s="608"/>
      <c r="M511" s="608"/>
      <c r="N511" s="608"/>
      <c r="O511" s="608"/>
      <c r="P511" s="588"/>
    </row>
    <row r="512" spans="1:16">
      <c r="A512" s="608"/>
      <c r="B512" s="608"/>
      <c r="C512" s="608"/>
      <c r="D512" s="608"/>
      <c r="E512" s="608"/>
      <c r="F512" s="608"/>
      <c r="G512" s="608"/>
      <c r="H512" s="608"/>
      <c r="I512" s="608"/>
      <c r="J512" s="608"/>
      <c r="K512" s="608"/>
      <c r="L512" s="608"/>
      <c r="M512" s="608"/>
      <c r="N512" s="608"/>
      <c r="O512" s="608"/>
      <c r="P512" s="608"/>
    </row>
    <row r="513" spans="1:16" ht="20.25" customHeight="1">
      <c r="A513" s="559" t="s">
        <v>111</v>
      </c>
      <c r="B513" s="559"/>
      <c r="C513" s="559"/>
      <c r="D513" s="559"/>
      <c r="E513" s="559"/>
      <c r="F513" s="559"/>
      <c r="G513" s="559"/>
      <c r="H513" s="559"/>
      <c r="I513" s="559"/>
      <c r="J513" s="559"/>
      <c r="K513" s="559"/>
      <c r="L513" s="559"/>
      <c r="M513" s="559"/>
      <c r="N513" s="559"/>
      <c r="O513" s="559"/>
      <c r="P513" s="588"/>
    </row>
    <row r="514" spans="1:16" ht="100.5" customHeight="1">
      <c r="A514" s="46" t="s">
        <v>0</v>
      </c>
      <c r="B514" s="46" t="s">
        <v>2582</v>
      </c>
      <c r="C514" s="46" t="s">
        <v>1</v>
      </c>
      <c r="D514" s="46" t="s">
        <v>2596</v>
      </c>
      <c r="E514" s="46" t="s">
        <v>89</v>
      </c>
      <c r="F514" s="46" t="s">
        <v>63</v>
      </c>
      <c r="G514" s="46" t="s">
        <v>2590</v>
      </c>
      <c r="H514" s="46" t="s">
        <v>2561</v>
      </c>
      <c r="I514" s="46" t="s">
        <v>2391</v>
      </c>
      <c r="J514" s="46" t="s">
        <v>5</v>
      </c>
      <c r="K514" s="46" t="s">
        <v>6</v>
      </c>
      <c r="L514" s="46" t="s">
        <v>91</v>
      </c>
      <c r="M514" s="46" t="s">
        <v>67</v>
      </c>
      <c r="N514" s="67" t="s">
        <v>92</v>
      </c>
      <c r="O514" s="74" t="s">
        <v>11</v>
      </c>
      <c r="P514" s="588"/>
    </row>
    <row r="515" spans="1:16">
      <c r="A515" s="345">
        <v>1</v>
      </c>
      <c r="B515" s="79">
        <v>2</v>
      </c>
      <c r="C515" s="79">
        <v>3</v>
      </c>
      <c r="D515" s="79">
        <v>4</v>
      </c>
      <c r="E515" s="79">
        <v>5</v>
      </c>
      <c r="F515" s="79">
        <v>6</v>
      </c>
      <c r="G515" s="79">
        <v>7</v>
      </c>
      <c r="H515" s="79">
        <v>8</v>
      </c>
      <c r="I515" s="79">
        <v>9</v>
      </c>
      <c r="J515" s="79">
        <v>10</v>
      </c>
      <c r="K515" s="79">
        <v>11</v>
      </c>
      <c r="L515" s="79">
        <v>12</v>
      </c>
      <c r="M515" s="79">
        <v>13</v>
      </c>
      <c r="N515" s="79">
        <v>14</v>
      </c>
      <c r="O515" s="79">
        <v>15</v>
      </c>
      <c r="P515" s="588"/>
    </row>
    <row r="516" spans="1:16" ht="60">
      <c r="A516" s="339">
        <v>1</v>
      </c>
      <c r="B516" s="553" t="s">
        <v>2614</v>
      </c>
      <c r="C516" s="553" t="s">
        <v>675</v>
      </c>
      <c r="D516" s="344" t="s">
        <v>680</v>
      </c>
      <c r="E516" s="339">
        <f>ROUND((520+194.7+505.5+6660.8+3357.2+1223.75),0)</f>
        <v>12462</v>
      </c>
      <c r="F516" s="339" t="s">
        <v>681</v>
      </c>
      <c r="G516" s="339">
        <v>7.26</v>
      </c>
      <c r="H516" s="339" t="s">
        <v>679</v>
      </c>
      <c r="I516" s="339" t="s">
        <v>150</v>
      </c>
      <c r="J516" s="339" t="s">
        <v>17</v>
      </c>
      <c r="K516" s="339" t="s">
        <v>17</v>
      </c>
      <c r="L516" s="339" t="s">
        <v>17</v>
      </c>
      <c r="M516" s="339">
        <v>481606</v>
      </c>
      <c r="N516" s="339">
        <v>1</v>
      </c>
      <c r="O516" s="339" t="s">
        <v>17</v>
      </c>
      <c r="P516" s="588"/>
    </row>
    <row r="517" spans="1:16" ht="45">
      <c r="A517" s="339">
        <v>2</v>
      </c>
      <c r="B517" s="553"/>
      <c r="C517" s="553"/>
      <c r="D517" s="344" t="s">
        <v>682</v>
      </c>
      <c r="E517" s="339">
        <f>1536+1065</f>
        <v>2601</v>
      </c>
      <c r="F517" s="339" t="s">
        <v>683</v>
      </c>
      <c r="G517" s="339">
        <v>9.44</v>
      </c>
      <c r="H517" s="339" t="s">
        <v>684</v>
      </c>
      <c r="I517" s="339" t="s">
        <v>150</v>
      </c>
      <c r="J517" s="339" t="s">
        <v>17</v>
      </c>
      <c r="K517" s="339" t="s">
        <v>17</v>
      </c>
      <c r="L517" s="339" t="s">
        <v>17</v>
      </c>
      <c r="M517" s="339">
        <v>481607</v>
      </c>
      <c r="N517" s="339">
        <v>2</v>
      </c>
      <c r="O517" s="339" t="s">
        <v>17</v>
      </c>
      <c r="P517" s="588"/>
    </row>
    <row r="518" spans="1:16" ht="60">
      <c r="A518" s="339">
        <v>3</v>
      </c>
      <c r="B518" s="553"/>
      <c r="C518" s="553"/>
      <c r="D518" s="344" t="s">
        <v>685</v>
      </c>
      <c r="E518" s="339">
        <f>160.26+660.7+1254.88+111.44</f>
        <v>2187.2800000000002</v>
      </c>
      <c r="F518" s="339" t="s">
        <v>686</v>
      </c>
      <c r="G518" s="339">
        <v>1.1299999999999999</v>
      </c>
      <c r="H518" s="339" t="s">
        <v>687</v>
      </c>
      <c r="I518" s="339" t="s">
        <v>150</v>
      </c>
      <c r="J518" s="339" t="s">
        <v>17</v>
      </c>
      <c r="K518" s="339" t="s">
        <v>17</v>
      </c>
      <c r="L518" s="339" t="s">
        <v>17</v>
      </c>
      <c r="M518" s="339">
        <v>522642</v>
      </c>
      <c r="N518" s="339">
        <v>3</v>
      </c>
      <c r="O518" s="339" t="s">
        <v>17</v>
      </c>
      <c r="P518" s="588"/>
    </row>
    <row r="519" spans="1:16" ht="77.25" customHeight="1">
      <c r="A519" s="339">
        <v>4</v>
      </c>
      <c r="B519" s="553"/>
      <c r="C519" s="553"/>
      <c r="D519" s="344" t="s">
        <v>688</v>
      </c>
      <c r="E519" s="339" t="s">
        <v>689</v>
      </c>
      <c r="F519" s="339" t="s">
        <v>690</v>
      </c>
      <c r="G519" s="339">
        <v>0.97</v>
      </c>
      <c r="H519" s="339" t="s">
        <v>691</v>
      </c>
      <c r="I519" s="339" t="s">
        <v>150</v>
      </c>
      <c r="J519" s="339" t="s">
        <v>17</v>
      </c>
      <c r="K519" s="339" t="s">
        <v>17</v>
      </c>
      <c r="L519" s="339" t="s">
        <v>17</v>
      </c>
      <c r="M519" s="83" t="s">
        <v>454</v>
      </c>
      <c r="N519" s="339">
        <v>4</v>
      </c>
      <c r="O519" s="339" t="s">
        <v>17</v>
      </c>
      <c r="P519" s="588"/>
    </row>
    <row r="520" spans="1:16" ht="78" customHeight="1">
      <c r="A520" s="339">
        <v>5</v>
      </c>
      <c r="B520" s="553"/>
      <c r="C520" s="553" t="s">
        <v>692</v>
      </c>
      <c r="D520" s="344" t="s">
        <v>718</v>
      </c>
      <c r="E520" s="336">
        <v>725</v>
      </c>
      <c r="F520" s="336" t="s">
        <v>719</v>
      </c>
      <c r="G520" s="336">
        <v>0.28000000000000003</v>
      </c>
      <c r="H520" s="336">
        <v>5.3</v>
      </c>
      <c r="I520" s="336" t="s">
        <v>418</v>
      </c>
      <c r="J520" s="336" t="s">
        <v>17</v>
      </c>
      <c r="K520" s="336" t="s">
        <v>17</v>
      </c>
      <c r="L520" s="336" t="s">
        <v>17</v>
      </c>
      <c r="M520" s="336" t="s">
        <v>17</v>
      </c>
      <c r="N520" s="336">
        <v>1</v>
      </c>
      <c r="O520" s="336" t="s">
        <v>17</v>
      </c>
      <c r="P520" s="588"/>
    </row>
    <row r="521" spans="1:16" ht="78.75" customHeight="1">
      <c r="A521" s="339">
        <v>6</v>
      </c>
      <c r="B521" s="553"/>
      <c r="C521" s="553"/>
      <c r="D521" s="344" t="s">
        <v>720</v>
      </c>
      <c r="E521" s="336">
        <v>3420</v>
      </c>
      <c r="F521" s="336" t="s">
        <v>721</v>
      </c>
      <c r="G521" s="85">
        <v>0.96</v>
      </c>
      <c r="H521" s="336">
        <v>3.53</v>
      </c>
      <c r="I521" s="336" t="s">
        <v>418</v>
      </c>
      <c r="J521" s="336" t="s">
        <v>17</v>
      </c>
      <c r="K521" s="336" t="s">
        <v>17</v>
      </c>
      <c r="L521" s="336" t="s">
        <v>17</v>
      </c>
      <c r="M521" s="336" t="s">
        <v>17</v>
      </c>
      <c r="N521" s="336">
        <v>2</v>
      </c>
      <c r="O521" s="336" t="s">
        <v>17</v>
      </c>
      <c r="P521" s="588"/>
    </row>
    <row r="522" spans="1:16" ht="90.75" customHeight="1">
      <c r="A522" s="339">
        <v>7</v>
      </c>
      <c r="B522" s="553"/>
      <c r="C522" s="553"/>
      <c r="D522" s="344" t="s">
        <v>722</v>
      </c>
      <c r="E522" s="336">
        <v>10725</v>
      </c>
      <c r="F522" s="336" t="s">
        <v>723</v>
      </c>
      <c r="G522" s="85">
        <v>5</v>
      </c>
      <c r="H522" s="336">
        <v>16.420000000000002</v>
      </c>
      <c r="I522" s="336" t="s">
        <v>418</v>
      </c>
      <c r="J522" s="336" t="s">
        <v>17</v>
      </c>
      <c r="K522" s="336" t="s">
        <v>17</v>
      </c>
      <c r="L522" s="336" t="s">
        <v>17</v>
      </c>
      <c r="M522" s="336" t="s">
        <v>17</v>
      </c>
      <c r="N522" s="336">
        <v>3</v>
      </c>
      <c r="O522" s="336" t="s">
        <v>17</v>
      </c>
      <c r="P522" s="588"/>
    </row>
    <row r="523" spans="1:16" ht="62.25" customHeight="1">
      <c r="A523" s="339">
        <v>8</v>
      </c>
      <c r="B523" s="553"/>
      <c r="C523" s="553"/>
      <c r="D523" s="344" t="s">
        <v>712</v>
      </c>
      <c r="E523" s="49">
        <v>1047</v>
      </c>
      <c r="F523" s="49" t="s">
        <v>724</v>
      </c>
      <c r="G523" s="85">
        <v>0.94</v>
      </c>
      <c r="H523" s="336">
        <v>1.7115</v>
      </c>
      <c r="I523" s="336" t="s">
        <v>418</v>
      </c>
      <c r="J523" s="336" t="s">
        <v>17</v>
      </c>
      <c r="K523" s="336" t="s">
        <v>17</v>
      </c>
      <c r="L523" s="336" t="s">
        <v>17</v>
      </c>
      <c r="M523" s="336" t="s">
        <v>17</v>
      </c>
      <c r="N523" s="336">
        <v>4</v>
      </c>
      <c r="O523" s="336" t="s">
        <v>17</v>
      </c>
      <c r="P523" s="588"/>
    </row>
    <row r="524" spans="1:16">
      <c r="A524" s="339">
        <v>9</v>
      </c>
      <c r="B524" s="553"/>
      <c r="C524" s="553"/>
      <c r="D524" s="344" t="s">
        <v>707</v>
      </c>
      <c r="E524" s="49">
        <v>460.29</v>
      </c>
      <c r="F524" s="49" t="s">
        <v>708</v>
      </c>
      <c r="G524" s="85">
        <v>0.31</v>
      </c>
      <c r="H524" s="336">
        <v>0.27</v>
      </c>
      <c r="I524" s="336" t="s">
        <v>418</v>
      </c>
      <c r="J524" s="336" t="s">
        <v>17</v>
      </c>
      <c r="K524" s="336" t="s">
        <v>17</v>
      </c>
      <c r="L524" s="336" t="s">
        <v>17</v>
      </c>
      <c r="M524" s="336" t="s">
        <v>17</v>
      </c>
      <c r="N524" s="336">
        <v>5</v>
      </c>
      <c r="O524" s="336" t="s">
        <v>17</v>
      </c>
      <c r="P524" s="588"/>
    </row>
    <row r="525" spans="1:16" ht="31.5" customHeight="1">
      <c r="A525" s="339">
        <v>10</v>
      </c>
      <c r="B525" s="553"/>
      <c r="C525" s="553"/>
      <c r="D525" s="344" t="s">
        <v>709</v>
      </c>
      <c r="E525" s="49">
        <v>235.18</v>
      </c>
      <c r="F525" s="49" t="s">
        <v>710</v>
      </c>
      <c r="G525" s="85">
        <v>0.46</v>
      </c>
      <c r="H525" s="336">
        <v>0.28000000000000003</v>
      </c>
      <c r="I525" s="336" t="s">
        <v>418</v>
      </c>
      <c r="J525" s="336" t="s">
        <v>17</v>
      </c>
      <c r="K525" s="336" t="s">
        <v>17</v>
      </c>
      <c r="L525" s="336" t="s">
        <v>17</v>
      </c>
      <c r="M525" s="336" t="s">
        <v>17</v>
      </c>
      <c r="N525" s="336">
        <v>6</v>
      </c>
      <c r="O525" s="336" t="s">
        <v>17</v>
      </c>
      <c r="P525" s="588"/>
    </row>
    <row r="526" spans="1:16" ht="45">
      <c r="A526" s="339">
        <v>11</v>
      </c>
      <c r="B526" s="553"/>
      <c r="C526" s="553"/>
      <c r="D526" s="344" t="s">
        <v>725</v>
      </c>
      <c r="E526" s="49">
        <v>180</v>
      </c>
      <c r="F526" s="49" t="s">
        <v>715</v>
      </c>
      <c r="G526" s="85">
        <v>0.15</v>
      </c>
      <c r="H526" s="336">
        <v>0.47</v>
      </c>
      <c r="I526" s="336" t="s">
        <v>418</v>
      </c>
      <c r="J526" s="336" t="s">
        <v>17</v>
      </c>
      <c r="K526" s="336" t="s">
        <v>17</v>
      </c>
      <c r="L526" s="336" t="s">
        <v>17</v>
      </c>
      <c r="M526" s="336" t="s">
        <v>17</v>
      </c>
      <c r="N526" s="339">
        <v>7</v>
      </c>
      <c r="O526" s="336" t="s">
        <v>17</v>
      </c>
      <c r="P526" s="588"/>
    </row>
    <row r="527" spans="1:16" ht="45">
      <c r="A527" s="339">
        <v>12</v>
      </c>
      <c r="B527" s="553"/>
      <c r="C527" s="553"/>
      <c r="D527" s="344" t="s">
        <v>726</v>
      </c>
      <c r="E527" s="49">
        <v>180</v>
      </c>
      <c r="F527" s="49" t="s">
        <v>727</v>
      </c>
      <c r="G527" s="85">
        <v>0.15</v>
      </c>
      <c r="H527" s="336">
        <v>0.48</v>
      </c>
      <c r="I527" s="336" t="s">
        <v>418</v>
      </c>
      <c r="J527" s="336" t="s">
        <v>17</v>
      </c>
      <c r="K527" s="336" t="s">
        <v>17</v>
      </c>
      <c r="L527" s="336" t="s">
        <v>17</v>
      </c>
      <c r="M527" s="336" t="s">
        <v>17</v>
      </c>
      <c r="N527" s="339">
        <v>8</v>
      </c>
      <c r="O527" s="336" t="s">
        <v>17</v>
      </c>
      <c r="P527" s="588"/>
    </row>
    <row r="528" spans="1:16" ht="78" customHeight="1">
      <c r="A528" s="339">
        <v>13</v>
      </c>
      <c r="B528" s="553"/>
      <c r="C528" s="553"/>
      <c r="D528" s="344" t="s">
        <v>728</v>
      </c>
      <c r="E528" s="336">
        <v>2822.4</v>
      </c>
      <c r="F528" s="336" t="s">
        <v>729</v>
      </c>
      <c r="G528" s="85">
        <v>1.72</v>
      </c>
      <c r="H528" s="336">
        <v>9.58</v>
      </c>
      <c r="I528" s="336" t="s">
        <v>418</v>
      </c>
      <c r="J528" s="336" t="s">
        <v>17</v>
      </c>
      <c r="K528" s="336" t="s">
        <v>17</v>
      </c>
      <c r="L528" s="336" t="s">
        <v>17</v>
      </c>
      <c r="M528" s="336" t="s">
        <v>17</v>
      </c>
      <c r="N528" s="339">
        <v>9</v>
      </c>
      <c r="O528" s="336" t="s">
        <v>17</v>
      </c>
      <c r="P528" s="588"/>
    </row>
    <row r="529" spans="1:16" ht="30">
      <c r="A529" s="339">
        <v>14</v>
      </c>
      <c r="B529" s="553"/>
      <c r="C529" s="553" t="s">
        <v>731</v>
      </c>
      <c r="D529" s="344" t="s">
        <v>771</v>
      </c>
      <c r="E529" s="339">
        <v>3745</v>
      </c>
      <c r="F529" s="339" t="s">
        <v>772</v>
      </c>
      <c r="G529" s="339" t="s">
        <v>773</v>
      </c>
      <c r="H529" s="339" t="s">
        <v>774</v>
      </c>
      <c r="I529" s="339" t="s">
        <v>735</v>
      </c>
      <c r="J529" s="336" t="s">
        <v>17</v>
      </c>
      <c r="K529" s="336" t="s">
        <v>17</v>
      </c>
      <c r="L529" s="336" t="s">
        <v>26</v>
      </c>
      <c r="M529" s="339" t="s">
        <v>756</v>
      </c>
      <c r="N529" s="339">
        <v>1</v>
      </c>
      <c r="O529" s="83" t="s">
        <v>736</v>
      </c>
      <c r="P529" s="588"/>
    </row>
    <row r="530" spans="1:16" ht="73.5" customHeight="1">
      <c r="A530" s="339">
        <v>15</v>
      </c>
      <c r="B530" s="553"/>
      <c r="C530" s="553"/>
      <c r="D530" s="344" t="s">
        <v>732</v>
      </c>
      <c r="E530" s="339">
        <v>523.98</v>
      </c>
      <c r="F530" s="339" t="s">
        <v>733</v>
      </c>
      <c r="G530" s="187" t="s">
        <v>734</v>
      </c>
      <c r="H530" s="339">
        <v>16040230</v>
      </c>
      <c r="I530" s="339" t="s">
        <v>735</v>
      </c>
      <c r="J530" s="336" t="s">
        <v>17</v>
      </c>
      <c r="K530" s="336" t="s">
        <v>17</v>
      </c>
      <c r="L530" s="336" t="s">
        <v>26</v>
      </c>
      <c r="M530" s="336" t="s">
        <v>17</v>
      </c>
      <c r="N530" s="336">
        <v>2</v>
      </c>
      <c r="O530" s="83" t="s">
        <v>736</v>
      </c>
      <c r="P530" s="588"/>
    </row>
    <row r="531" spans="1:16" ht="78.75" customHeight="1">
      <c r="A531" s="339">
        <v>16</v>
      </c>
      <c r="B531" s="553"/>
      <c r="C531" s="553"/>
      <c r="D531" s="344" t="s">
        <v>737</v>
      </c>
      <c r="E531" s="339">
        <v>72.349999999999994</v>
      </c>
      <c r="F531" s="339" t="s">
        <v>738</v>
      </c>
      <c r="G531" s="339" t="s">
        <v>2399</v>
      </c>
      <c r="H531" s="339">
        <v>2214799.5</v>
      </c>
      <c r="I531" s="339" t="s">
        <v>735</v>
      </c>
      <c r="J531" s="336" t="s">
        <v>17</v>
      </c>
      <c r="K531" s="336" t="s">
        <v>17</v>
      </c>
      <c r="L531" s="336" t="s">
        <v>26</v>
      </c>
      <c r="M531" s="336" t="s">
        <v>17</v>
      </c>
      <c r="N531" s="336">
        <v>3</v>
      </c>
      <c r="O531" s="83" t="s">
        <v>736</v>
      </c>
      <c r="P531" s="588"/>
    </row>
    <row r="532" spans="1:16" ht="60">
      <c r="A532" s="339">
        <v>17</v>
      </c>
      <c r="B532" s="553"/>
      <c r="C532" s="553"/>
      <c r="D532" s="344" t="s">
        <v>739</v>
      </c>
      <c r="E532" s="339" t="s">
        <v>775</v>
      </c>
      <c r="F532" s="339" t="s">
        <v>741</v>
      </c>
      <c r="G532" s="339">
        <v>0.06</v>
      </c>
      <c r="H532" s="339" t="s">
        <v>776</v>
      </c>
      <c r="I532" s="339" t="s">
        <v>735</v>
      </c>
      <c r="J532" s="336" t="s">
        <v>17</v>
      </c>
      <c r="K532" s="336" t="s">
        <v>17</v>
      </c>
      <c r="L532" s="336" t="s">
        <v>17</v>
      </c>
      <c r="M532" s="336" t="s">
        <v>17</v>
      </c>
      <c r="N532" s="339">
        <v>4</v>
      </c>
      <c r="O532" s="336" t="s">
        <v>17</v>
      </c>
      <c r="P532" s="588"/>
    </row>
    <row r="533" spans="1:16" ht="60">
      <c r="A533" s="339">
        <v>18</v>
      </c>
      <c r="B533" s="553"/>
      <c r="C533" s="553"/>
      <c r="D533" s="344" t="s">
        <v>777</v>
      </c>
      <c r="E533" s="339">
        <v>936.49</v>
      </c>
      <c r="F533" s="339" t="s">
        <v>766</v>
      </c>
      <c r="G533" s="339" t="s">
        <v>778</v>
      </c>
      <c r="H533" s="339" t="s">
        <v>779</v>
      </c>
      <c r="I533" s="339" t="s">
        <v>780</v>
      </c>
      <c r="J533" s="336" t="s">
        <v>770</v>
      </c>
      <c r="K533" s="336" t="s">
        <v>17</v>
      </c>
      <c r="L533" s="339" t="s">
        <v>26</v>
      </c>
      <c r="M533" s="336" t="s">
        <v>17</v>
      </c>
      <c r="N533" s="339">
        <v>5</v>
      </c>
      <c r="O533" s="339" t="s">
        <v>87</v>
      </c>
      <c r="P533" s="588"/>
    </row>
    <row r="534" spans="1:16" ht="60">
      <c r="A534" s="339">
        <v>19</v>
      </c>
      <c r="B534" s="553"/>
      <c r="C534" s="553"/>
      <c r="D534" s="344" t="s">
        <v>743</v>
      </c>
      <c r="E534" s="339" t="s">
        <v>744</v>
      </c>
      <c r="F534" s="339" t="s">
        <v>745</v>
      </c>
      <c r="G534" s="339">
        <v>0.84974400000000005</v>
      </c>
      <c r="H534" s="339" t="s">
        <v>746</v>
      </c>
      <c r="I534" s="339" t="s">
        <v>735</v>
      </c>
      <c r="J534" s="339" t="s">
        <v>747</v>
      </c>
      <c r="K534" s="339">
        <v>5.8285000000000003E-2</v>
      </c>
      <c r="L534" s="339" t="s">
        <v>26</v>
      </c>
      <c r="M534" s="339">
        <v>30084</v>
      </c>
      <c r="N534" s="339">
        <v>6</v>
      </c>
      <c r="O534" s="336" t="s">
        <v>748</v>
      </c>
      <c r="P534" s="588"/>
    </row>
    <row r="535" spans="1:16" ht="75">
      <c r="A535" s="339">
        <v>20</v>
      </c>
      <c r="B535" s="553"/>
      <c r="C535" s="344" t="s">
        <v>781</v>
      </c>
      <c r="D535" s="352" t="s">
        <v>796</v>
      </c>
      <c r="E535" s="339" t="s">
        <v>797</v>
      </c>
      <c r="F535" s="49" t="s">
        <v>784</v>
      </c>
      <c r="G535" s="398">
        <v>4.7699999999999999E-3</v>
      </c>
      <c r="H535" s="380">
        <v>530000</v>
      </c>
      <c r="I535" s="380" t="s">
        <v>785</v>
      </c>
      <c r="J535" s="380" t="s">
        <v>786</v>
      </c>
      <c r="K535" s="380" t="s">
        <v>798</v>
      </c>
      <c r="L535" s="380" t="s">
        <v>26</v>
      </c>
      <c r="M535" s="339"/>
      <c r="N535" s="49">
        <v>2</v>
      </c>
      <c r="O535" s="49" t="s">
        <v>35</v>
      </c>
      <c r="P535" s="588"/>
    </row>
    <row r="536" spans="1:16" ht="45">
      <c r="A536" s="339">
        <v>21</v>
      </c>
      <c r="B536" s="553"/>
      <c r="C536" s="344" t="s">
        <v>802</v>
      </c>
      <c r="D536" s="600" t="s">
        <v>87</v>
      </c>
      <c r="E536" s="600"/>
      <c r="F536" s="600"/>
      <c r="G536" s="600"/>
      <c r="H536" s="600"/>
      <c r="I536" s="600"/>
      <c r="J536" s="600"/>
      <c r="K536" s="600"/>
      <c r="L536" s="600"/>
      <c r="M536" s="600"/>
      <c r="N536" s="600"/>
      <c r="O536" s="600"/>
      <c r="P536" s="588"/>
    </row>
    <row r="537" spans="1:16">
      <c r="A537" s="595"/>
      <c r="B537" s="595"/>
      <c r="C537" s="595"/>
      <c r="D537" s="595"/>
      <c r="E537" s="595"/>
      <c r="F537" s="595"/>
      <c r="G537" s="595"/>
      <c r="H537" s="595"/>
      <c r="I537" s="595"/>
      <c r="J537" s="595"/>
      <c r="K537" s="595"/>
      <c r="L537" s="595"/>
      <c r="M537" s="595"/>
      <c r="N537" s="595"/>
      <c r="O537" s="595"/>
      <c r="P537" s="595"/>
    </row>
    <row r="538" spans="1:16" ht="20.25">
      <c r="A538" s="559" t="s">
        <v>112</v>
      </c>
      <c r="B538" s="559"/>
      <c r="C538" s="559"/>
      <c r="D538" s="559"/>
      <c r="E538" s="559"/>
      <c r="F538" s="559"/>
      <c r="G538" s="559"/>
      <c r="H538" s="559"/>
      <c r="I538" s="559"/>
      <c r="J538" s="559"/>
      <c r="K538" s="559"/>
      <c r="L538" s="559"/>
      <c r="M538" s="559"/>
      <c r="N538" s="559"/>
      <c r="O538" s="559"/>
      <c r="P538" s="559"/>
    </row>
    <row r="539" spans="1:16" ht="85.5">
      <c r="A539" s="46" t="s">
        <v>0</v>
      </c>
      <c r="B539" s="46" t="s">
        <v>2582</v>
      </c>
      <c r="C539" s="46" t="s">
        <v>1</v>
      </c>
      <c r="D539" s="46" t="s">
        <v>2596</v>
      </c>
      <c r="E539" s="46" t="s">
        <v>89</v>
      </c>
      <c r="F539" s="46" t="s">
        <v>63</v>
      </c>
      <c r="G539" s="46" t="s">
        <v>2390</v>
      </c>
      <c r="H539" s="46" t="s">
        <v>2561</v>
      </c>
      <c r="I539" s="46" t="s">
        <v>2391</v>
      </c>
      <c r="J539" s="46" t="s">
        <v>5</v>
      </c>
      <c r="K539" s="46" t="s">
        <v>6</v>
      </c>
      <c r="L539" s="46" t="s">
        <v>91</v>
      </c>
      <c r="M539" s="46" t="s">
        <v>67</v>
      </c>
      <c r="N539" s="67" t="s">
        <v>110</v>
      </c>
      <c r="O539" s="67" t="s">
        <v>92</v>
      </c>
      <c r="P539" s="74" t="s">
        <v>69</v>
      </c>
    </row>
    <row r="540" spans="1:16">
      <c r="A540" s="345">
        <v>1</v>
      </c>
      <c r="B540" s="79">
        <v>2</v>
      </c>
      <c r="C540" s="79">
        <v>3</v>
      </c>
      <c r="D540" s="79">
        <v>4</v>
      </c>
      <c r="E540" s="79">
        <v>5</v>
      </c>
      <c r="F540" s="79">
        <v>6</v>
      </c>
      <c r="G540" s="79">
        <v>7</v>
      </c>
      <c r="H540" s="79">
        <v>8</v>
      </c>
      <c r="I540" s="79">
        <v>9</v>
      </c>
      <c r="J540" s="79">
        <v>10</v>
      </c>
      <c r="K540" s="79">
        <v>11</v>
      </c>
      <c r="L540" s="79">
        <v>12</v>
      </c>
      <c r="M540" s="79">
        <v>13</v>
      </c>
      <c r="N540" s="79">
        <v>14</v>
      </c>
      <c r="O540" s="79">
        <v>15</v>
      </c>
      <c r="P540" s="46">
        <v>16</v>
      </c>
    </row>
    <row r="541" spans="1:16" ht="45">
      <c r="A541" s="339">
        <v>1</v>
      </c>
      <c r="B541" s="553" t="s">
        <v>2614</v>
      </c>
      <c r="C541" s="344" t="s">
        <v>675</v>
      </c>
      <c r="D541" s="595" t="s">
        <v>87</v>
      </c>
      <c r="E541" s="595"/>
      <c r="F541" s="595"/>
      <c r="G541" s="595"/>
      <c r="H541" s="595"/>
      <c r="I541" s="595"/>
      <c r="J541" s="595"/>
      <c r="K541" s="595"/>
      <c r="L541" s="595"/>
      <c r="M541" s="595"/>
      <c r="N541" s="595"/>
      <c r="O541" s="595"/>
      <c r="P541" s="595"/>
    </row>
    <row r="542" spans="1:16" ht="90">
      <c r="A542" s="336">
        <v>2</v>
      </c>
      <c r="B542" s="553"/>
      <c r="C542" s="553" t="s">
        <v>692</v>
      </c>
      <c r="D542" s="344" t="s">
        <v>725</v>
      </c>
      <c r="E542" s="339" t="s">
        <v>730</v>
      </c>
      <c r="F542" s="49" t="s">
        <v>715</v>
      </c>
      <c r="G542" s="336">
        <v>0.52</v>
      </c>
      <c r="H542" s="336">
        <v>1.42</v>
      </c>
      <c r="I542" s="336" t="s">
        <v>418</v>
      </c>
      <c r="J542" s="336" t="s">
        <v>17</v>
      </c>
      <c r="K542" s="336" t="s">
        <v>17</v>
      </c>
      <c r="L542" s="336" t="s">
        <v>17</v>
      </c>
      <c r="M542" s="336" t="s">
        <v>17</v>
      </c>
      <c r="N542" s="336">
        <v>7</v>
      </c>
      <c r="O542" s="336">
        <v>7</v>
      </c>
      <c r="P542" s="336" t="s">
        <v>17</v>
      </c>
    </row>
    <row r="543" spans="1:16" ht="123" customHeight="1">
      <c r="A543" s="339">
        <v>3</v>
      </c>
      <c r="B543" s="553"/>
      <c r="C543" s="553"/>
      <c r="D543" s="344" t="s">
        <v>726</v>
      </c>
      <c r="E543" s="339" t="s">
        <v>2401</v>
      </c>
      <c r="F543" s="49" t="s">
        <v>727</v>
      </c>
      <c r="G543" s="336">
        <v>0.56999999999999995</v>
      </c>
      <c r="H543" s="336">
        <v>1.35</v>
      </c>
      <c r="I543" s="336" t="s">
        <v>418</v>
      </c>
      <c r="J543" s="336" t="s">
        <v>17</v>
      </c>
      <c r="K543" s="336" t="s">
        <v>17</v>
      </c>
      <c r="L543" s="336" t="s">
        <v>17</v>
      </c>
      <c r="M543" s="336" t="s">
        <v>17</v>
      </c>
      <c r="N543" s="336">
        <v>8</v>
      </c>
      <c r="O543" s="336">
        <v>8</v>
      </c>
      <c r="P543" s="336" t="s">
        <v>17</v>
      </c>
    </row>
    <row r="544" spans="1:16" ht="121.5" customHeight="1">
      <c r="A544" s="336">
        <v>4</v>
      </c>
      <c r="B544" s="553"/>
      <c r="C544" s="553"/>
      <c r="D544" s="344" t="s">
        <v>707</v>
      </c>
      <c r="E544" s="49" t="s">
        <v>2400</v>
      </c>
      <c r="F544" s="339" t="s">
        <v>708</v>
      </c>
      <c r="G544" s="336">
        <v>0.31</v>
      </c>
      <c r="H544" s="336">
        <v>0.27</v>
      </c>
      <c r="I544" s="336" t="s">
        <v>418</v>
      </c>
      <c r="J544" s="336" t="s">
        <v>17</v>
      </c>
      <c r="K544" s="336" t="s">
        <v>17</v>
      </c>
      <c r="L544" s="336" t="s">
        <v>17</v>
      </c>
      <c r="M544" s="336" t="s">
        <v>17</v>
      </c>
      <c r="N544" s="336">
        <v>3</v>
      </c>
      <c r="O544" s="336">
        <v>5</v>
      </c>
      <c r="P544" s="336" t="s">
        <v>17</v>
      </c>
    </row>
    <row r="545" spans="1:16" ht="123.75" customHeight="1">
      <c r="A545" s="339">
        <v>5</v>
      </c>
      <c r="B545" s="553"/>
      <c r="C545" s="553"/>
      <c r="D545" s="344" t="s">
        <v>709</v>
      </c>
      <c r="E545" s="49" t="s">
        <v>2402</v>
      </c>
      <c r="F545" s="339" t="s">
        <v>710</v>
      </c>
      <c r="G545" s="336">
        <v>0.46</v>
      </c>
      <c r="H545" s="336">
        <v>0.28000000000000003</v>
      </c>
      <c r="I545" s="336" t="s">
        <v>418</v>
      </c>
      <c r="J545" s="336" t="s">
        <v>17</v>
      </c>
      <c r="K545" s="336" t="s">
        <v>17</v>
      </c>
      <c r="L545" s="336" t="s">
        <v>17</v>
      </c>
      <c r="M545" s="336" t="s">
        <v>17</v>
      </c>
      <c r="N545" s="336">
        <v>5</v>
      </c>
      <c r="O545" s="336">
        <v>6</v>
      </c>
      <c r="P545" s="336" t="s">
        <v>17</v>
      </c>
    </row>
    <row r="546" spans="1:16" ht="60">
      <c r="A546" s="336">
        <v>6</v>
      </c>
      <c r="B546" s="553"/>
      <c r="C546" s="553" t="s">
        <v>731</v>
      </c>
      <c r="D546" s="344" t="s">
        <v>732</v>
      </c>
      <c r="E546" s="339">
        <v>934.15</v>
      </c>
      <c r="F546" s="339" t="s">
        <v>733</v>
      </c>
      <c r="G546" s="187" t="s">
        <v>734</v>
      </c>
      <c r="H546" s="339">
        <v>28596475.399999999</v>
      </c>
      <c r="I546" s="339" t="s">
        <v>735</v>
      </c>
      <c r="J546" s="336" t="s">
        <v>17</v>
      </c>
      <c r="K546" s="336" t="s">
        <v>17</v>
      </c>
      <c r="L546" s="336" t="s">
        <v>17</v>
      </c>
      <c r="M546" s="336" t="s">
        <v>17</v>
      </c>
      <c r="N546" s="336">
        <v>2</v>
      </c>
      <c r="O546" s="339">
        <v>2</v>
      </c>
      <c r="P546" s="83" t="s">
        <v>736</v>
      </c>
    </row>
    <row r="547" spans="1:16" ht="73.5" customHeight="1">
      <c r="A547" s="339">
        <v>7</v>
      </c>
      <c r="B547" s="553"/>
      <c r="C547" s="553"/>
      <c r="D547" s="344" t="s">
        <v>737</v>
      </c>
      <c r="E547" s="339">
        <v>160.5</v>
      </c>
      <c r="F547" s="339" t="s">
        <v>738</v>
      </c>
      <c r="G547" s="339" t="s">
        <v>2399</v>
      </c>
      <c r="H547" s="339">
        <v>4913273.3499999996</v>
      </c>
      <c r="I547" s="339" t="s">
        <v>735</v>
      </c>
      <c r="J547" s="336" t="s">
        <v>17</v>
      </c>
      <c r="K547" s="336" t="s">
        <v>17</v>
      </c>
      <c r="L547" s="336" t="s">
        <v>17</v>
      </c>
      <c r="M547" s="336" t="s">
        <v>17</v>
      </c>
      <c r="N547" s="336">
        <v>3</v>
      </c>
      <c r="O547" s="339">
        <v>3</v>
      </c>
      <c r="P547" s="83" t="s">
        <v>736</v>
      </c>
    </row>
    <row r="548" spans="1:16" ht="78" customHeight="1">
      <c r="A548" s="336">
        <v>8</v>
      </c>
      <c r="B548" s="553"/>
      <c r="C548" s="553"/>
      <c r="D548" s="344" t="s">
        <v>739</v>
      </c>
      <c r="E548" s="339" t="s">
        <v>740</v>
      </c>
      <c r="F548" s="339" t="s">
        <v>741</v>
      </c>
      <c r="G548" s="339">
        <v>0.09</v>
      </c>
      <c r="H548" s="339" t="s">
        <v>742</v>
      </c>
      <c r="I548" s="339" t="s">
        <v>735</v>
      </c>
      <c r="J548" s="336" t="s">
        <v>17</v>
      </c>
      <c r="K548" s="336" t="s">
        <v>17</v>
      </c>
      <c r="L548" s="336" t="s">
        <v>17</v>
      </c>
      <c r="M548" s="336" t="s">
        <v>17</v>
      </c>
      <c r="N548" s="339">
        <v>4</v>
      </c>
      <c r="O548" s="339">
        <v>4</v>
      </c>
      <c r="P548" s="336" t="s">
        <v>17</v>
      </c>
    </row>
    <row r="549" spans="1:16" ht="60">
      <c r="A549" s="339">
        <v>9</v>
      </c>
      <c r="B549" s="553"/>
      <c r="C549" s="553"/>
      <c r="D549" s="344" t="s">
        <v>743</v>
      </c>
      <c r="E549" s="339" t="s">
        <v>744</v>
      </c>
      <c r="F549" s="339" t="s">
        <v>745</v>
      </c>
      <c r="G549" s="339">
        <v>0.84974400000000005</v>
      </c>
      <c r="H549" s="339" t="s">
        <v>746</v>
      </c>
      <c r="I549" s="339" t="s">
        <v>735</v>
      </c>
      <c r="J549" s="339" t="s">
        <v>747</v>
      </c>
      <c r="K549" s="339">
        <v>5.8285000000000003E-2</v>
      </c>
      <c r="L549" s="339" t="s">
        <v>26</v>
      </c>
      <c r="M549" s="339">
        <v>30084</v>
      </c>
      <c r="N549" s="339">
        <v>6</v>
      </c>
      <c r="O549" s="339">
        <v>6</v>
      </c>
      <c r="P549" s="339" t="s">
        <v>748</v>
      </c>
    </row>
    <row r="550" spans="1:16" ht="45">
      <c r="A550" s="336">
        <v>10</v>
      </c>
      <c r="B550" s="553"/>
      <c r="C550" s="344" t="s">
        <v>781</v>
      </c>
      <c r="D550" s="352" t="s">
        <v>799</v>
      </c>
      <c r="E550" s="339" t="s">
        <v>800</v>
      </c>
      <c r="F550" s="49" t="s">
        <v>790</v>
      </c>
      <c r="G550" s="397">
        <v>1.944E-3</v>
      </c>
      <c r="H550" s="380">
        <v>152000</v>
      </c>
      <c r="I550" s="380" t="s">
        <v>801</v>
      </c>
      <c r="J550" s="380" t="s">
        <v>35</v>
      </c>
      <c r="K550" s="380" t="s">
        <v>35</v>
      </c>
      <c r="L550" s="380" t="s">
        <v>26</v>
      </c>
      <c r="M550" s="339"/>
      <c r="N550" s="49">
        <v>2</v>
      </c>
      <c r="O550" s="49">
        <v>2</v>
      </c>
      <c r="P550" s="49" t="s">
        <v>35</v>
      </c>
    </row>
    <row r="551" spans="1:16" ht="45">
      <c r="A551" s="339">
        <v>11</v>
      </c>
      <c r="B551" s="553"/>
      <c r="C551" s="344" t="s">
        <v>802</v>
      </c>
      <c r="D551" s="600" t="s">
        <v>87</v>
      </c>
      <c r="E551" s="600"/>
      <c r="F551" s="600"/>
      <c r="G551" s="600"/>
      <c r="H551" s="600"/>
      <c r="I551" s="600"/>
      <c r="J551" s="600"/>
      <c r="K551" s="600"/>
      <c r="L551" s="600"/>
      <c r="M551" s="600"/>
      <c r="N551" s="600"/>
      <c r="O551" s="600"/>
      <c r="P551" s="600"/>
    </row>
    <row r="552" spans="1:16">
      <c r="A552" s="554"/>
      <c r="B552" s="554"/>
      <c r="C552" s="554"/>
      <c r="D552" s="554"/>
      <c r="E552" s="554"/>
      <c r="F552" s="554"/>
      <c r="G552" s="554"/>
      <c r="H552" s="554"/>
      <c r="I552" s="554"/>
      <c r="J552" s="554"/>
      <c r="K552" s="554"/>
      <c r="L552" s="554"/>
      <c r="M552" s="554"/>
      <c r="N552" s="554"/>
      <c r="O552" s="554"/>
      <c r="P552" s="554"/>
    </row>
    <row r="553" spans="1:16" ht="22.5">
      <c r="A553" s="701" t="s">
        <v>664</v>
      </c>
      <c r="B553" s="701"/>
      <c r="C553" s="701"/>
      <c r="D553" s="701"/>
      <c r="E553" s="701"/>
      <c r="F553" s="701"/>
      <c r="G553" s="701"/>
      <c r="H553" s="701"/>
      <c r="I553" s="701"/>
      <c r="J553" s="701"/>
      <c r="K553" s="701"/>
      <c r="L553" s="701"/>
      <c r="M553" s="701"/>
      <c r="N553" s="701"/>
      <c r="O553" s="701"/>
      <c r="P553" s="701"/>
    </row>
    <row r="554" spans="1:16" ht="20.25">
      <c r="A554" s="559" t="s">
        <v>61</v>
      </c>
      <c r="B554" s="559"/>
      <c r="C554" s="559"/>
      <c r="D554" s="559"/>
      <c r="E554" s="559"/>
      <c r="F554" s="559"/>
      <c r="G554" s="559"/>
      <c r="H554" s="559"/>
      <c r="I554" s="559"/>
      <c r="J554" s="559"/>
      <c r="K554" s="559"/>
      <c r="L554" s="559"/>
      <c r="M554" s="559"/>
      <c r="N554" s="559"/>
      <c r="O554" s="559"/>
      <c r="P554" s="559"/>
    </row>
    <row r="555" spans="1:16" ht="99" customHeight="1">
      <c r="A555" s="46" t="s">
        <v>0</v>
      </c>
      <c r="B555" s="46" t="s">
        <v>2592</v>
      </c>
      <c r="C555" s="46" t="s">
        <v>1</v>
      </c>
      <c r="D555" s="46" t="s">
        <v>2593</v>
      </c>
      <c r="E555" s="46" t="s">
        <v>3</v>
      </c>
      <c r="F555" s="46" t="s">
        <v>4</v>
      </c>
      <c r="G555" s="46" t="s">
        <v>2594</v>
      </c>
      <c r="H555" s="46" t="s">
        <v>2595</v>
      </c>
      <c r="I555" s="46" t="s">
        <v>2392</v>
      </c>
      <c r="J555" s="46" t="s">
        <v>5</v>
      </c>
      <c r="K555" s="46" t="s">
        <v>6</v>
      </c>
      <c r="L555" s="46" t="s">
        <v>7</v>
      </c>
      <c r="M555" s="67" t="s">
        <v>8</v>
      </c>
      <c r="N555" s="67" t="s">
        <v>9</v>
      </c>
      <c r="O555" s="46" t="s">
        <v>10</v>
      </c>
      <c r="P555" s="74" t="s">
        <v>11</v>
      </c>
    </row>
    <row r="556" spans="1:16">
      <c r="A556" s="8">
        <v>1</v>
      </c>
      <c r="B556" s="46">
        <v>2</v>
      </c>
      <c r="C556" s="46">
        <v>3</v>
      </c>
      <c r="D556" s="46">
        <v>4</v>
      </c>
      <c r="E556" s="46">
        <v>5</v>
      </c>
      <c r="F556" s="46">
        <v>6</v>
      </c>
      <c r="G556" s="46">
        <v>7</v>
      </c>
      <c r="H556" s="46">
        <v>8</v>
      </c>
      <c r="I556" s="46">
        <v>9</v>
      </c>
      <c r="J556" s="46">
        <v>10</v>
      </c>
      <c r="K556" s="46">
        <v>11</v>
      </c>
      <c r="L556" s="46">
        <v>12</v>
      </c>
      <c r="M556" s="46">
        <v>13</v>
      </c>
      <c r="N556" s="46">
        <v>14</v>
      </c>
      <c r="O556" s="46">
        <v>15</v>
      </c>
      <c r="P556" s="46">
        <v>16</v>
      </c>
    </row>
    <row r="557" spans="1:16" ht="45">
      <c r="A557" s="339">
        <v>1</v>
      </c>
      <c r="B557" s="553" t="s">
        <v>6468</v>
      </c>
      <c r="C557" s="344" t="s">
        <v>6469</v>
      </c>
      <c r="D557" s="344" t="s">
        <v>6470</v>
      </c>
      <c r="E557" s="339">
        <v>684.41</v>
      </c>
      <c r="F557" s="339" t="s">
        <v>6471</v>
      </c>
      <c r="G557" s="339" t="s">
        <v>6472</v>
      </c>
      <c r="H557" s="339" t="s">
        <v>6473</v>
      </c>
      <c r="I557" s="46"/>
      <c r="J557" s="46"/>
      <c r="K557" s="46"/>
      <c r="L557" s="46"/>
      <c r="M557" s="46"/>
      <c r="N557" s="46"/>
      <c r="O557" s="46"/>
      <c r="P557" s="46"/>
    </row>
    <row r="558" spans="1:16" ht="31.5" customHeight="1">
      <c r="A558" s="339">
        <v>2</v>
      </c>
      <c r="B558" s="553"/>
      <c r="C558" s="344" t="s">
        <v>7145</v>
      </c>
      <c r="D558" s="595" t="s">
        <v>87</v>
      </c>
      <c r="E558" s="595"/>
      <c r="F558" s="595"/>
      <c r="G558" s="595"/>
      <c r="H558" s="595"/>
      <c r="I558" s="595"/>
      <c r="J558" s="595"/>
      <c r="K558" s="595"/>
      <c r="L558" s="595"/>
      <c r="M558" s="595"/>
      <c r="N558" s="595"/>
      <c r="O558" s="595"/>
      <c r="P558" s="595"/>
    </row>
    <row r="559" spans="1:16" ht="75">
      <c r="A559" s="339">
        <v>3</v>
      </c>
      <c r="B559" s="553"/>
      <c r="C559" s="344" t="s">
        <v>7185</v>
      </c>
      <c r="D559" s="344" t="s">
        <v>6482</v>
      </c>
      <c r="E559" s="339" t="s">
        <v>6483</v>
      </c>
      <c r="F559" s="339" t="s">
        <v>6484</v>
      </c>
      <c r="G559" s="339">
        <v>4.1999999999999997E-3</v>
      </c>
      <c r="H559" s="339" t="s">
        <v>17</v>
      </c>
      <c r="I559" s="339" t="s">
        <v>1449</v>
      </c>
      <c r="J559" s="339" t="s">
        <v>748</v>
      </c>
      <c r="K559" s="339" t="s">
        <v>748</v>
      </c>
      <c r="L559" s="339" t="s">
        <v>748</v>
      </c>
      <c r="M559" s="339" t="s">
        <v>6485</v>
      </c>
      <c r="N559" s="339" t="s">
        <v>6486</v>
      </c>
      <c r="O559" s="339" t="s">
        <v>17</v>
      </c>
      <c r="P559" s="339" t="s">
        <v>6487</v>
      </c>
    </row>
    <row r="560" spans="1:16" ht="30" customHeight="1">
      <c r="A560" s="339">
        <v>4</v>
      </c>
      <c r="B560" s="553"/>
      <c r="C560" s="344" t="s">
        <v>7186</v>
      </c>
      <c r="D560" s="595" t="s">
        <v>87</v>
      </c>
      <c r="E560" s="595"/>
      <c r="F560" s="595"/>
      <c r="G560" s="595"/>
      <c r="H560" s="595"/>
      <c r="I560" s="595"/>
      <c r="J560" s="595"/>
      <c r="K560" s="595"/>
      <c r="L560" s="595"/>
      <c r="M560" s="595"/>
      <c r="N560" s="595"/>
      <c r="O560" s="595"/>
      <c r="P560" s="595"/>
    </row>
    <row r="561" spans="1:16">
      <c r="A561" s="589"/>
      <c r="B561" s="589"/>
      <c r="C561" s="589"/>
      <c r="D561" s="589"/>
      <c r="E561" s="589"/>
      <c r="F561" s="589"/>
      <c r="G561" s="589"/>
      <c r="H561" s="589"/>
      <c r="I561" s="589"/>
      <c r="J561" s="589"/>
      <c r="K561" s="589"/>
      <c r="L561" s="589"/>
      <c r="M561" s="589"/>
      <c r="N561" s="589"/>
      <c r="O561" s="589"/>
      <c r="P561" s="589"/>
    </row>
    <row r="562" spans="1:16" ht="20.25" customHeight="1">
      <c r="A562" s="559" t="s">
        <v>88</v>
      </c>
      <c r="B562" s="559"/>
      <c r="C562" s="559"/>
      <c r="D562" s="559"/>
      <c r="E562" s="559"/>
      <c r="F562" s="559"/>
      <c r="G562" s="559"/>
      <c r="H562" s="559"/>
      <c r="I562" s="559"/>
      <c r="J562" s="559"/>
      <c r="K562" s="559"/>
      <c r="L562" s="559"/>
      <c r="M562" s="559"/>
      <c r="N562" s="559"/>
      <c r="O562" s="559"/>
      <c r="P562" s="588"/>
    </row>
    <row r="563" spans="1:16" ht="85.5">
      <c r="A563" s="46" t="s">
        <v>0</v>
      </c>
      <c r="B563" s="46" t="s">
        <v>2582</v>
      </c>
      <c r="C563" s="46" t="s">
        <v>1</v>
      </c>
      <c r="D563" s="46" t="s">
        <v>2596</v>
      </c>
      <c r="E563" s="67" t="s">
        <v>62</v>
      </c>
      <c r="F563" s="67" t="s">
        <v>63</v>
      </c>
      <c r="G563" s="46" t="s">
        <v>2560</v>
      </c>
      <c r="H563" s="46" t="s">
        <v>2561</v>
      </c>
      <c r="I563" s="46" t="s">
        <v>65</v>
      </c>
      <c r="J563" s="46" t="s">
        <v>5</v>
      </c>
      <c r="K563" s="46" t="s">
        <v>6</v>
      </c>
      <c r="L563" s="46" t="s">
        <v>66</v>
      </c>
      <c r="M563" s="46" t="s">
        <v>67</v>
      </c>
      <c r="N563" s="67" t="s">
        <v>68</v>
      </c>
      <c r="O563" s="74" t="s">
        <v>69</v>
      </c>
      <c r="P563" s="588"/>
    </row>
    <row r="564" spans="1:16">
      <c r="A564" s="345">
        <v>1</v>
      </c>
      <c r="B564" s="79">
        <v>2</v>
      </c>
      <c r="C564" s="79">
        <v>3</v>
      </c>
      <c r="D564" s="79">
        <v>4</v>
      </c>
      <c r="E564" s="79">
        <v>5</v>
      </c>
      <c r="F564" s="79">
        <v>6</v>
      </c>
      <c r="G564" s="79">
        <v>7</v>
      </c>
      <c r="H564" s="79">
        <v>8</v>
      </c>
      <c r="I564" s="79">
        <v>9</v>
      </c>
      <c r="J564" s="79">
        <v>10</v>
      </c>
      <c r="K564" s="79">
        <v>11</v>
      </c>
      <c r="L564" s="79">
        <v>12</v>
      </c>
      <c r="M564" s="79">
        <v>13</v>
      </c>
      <c r="N564" s="79">
        <v>14</v>
      </c>
      <c r="O564" s="79">
        <v>15</v>
      </c>
      <c r="P564" s="588"/>
    </row>
    <row r="565" spans="1:16" ht="45">
      <c r="A565" s="339">
        <v>1</v>
      </c>
      <c r="B565" s="553" t="s">
        <v>6468</v>
      </c>
      <c r="C565" s="344" t="s">
        <v>6469</v>
      </c>
      <c r="D565" s="344" t="s">
        <v>6474</v>
      </c>
      <c r="E565" s="339" t="s">
        <v>6475</v>
      </c>
      <c r="F565" s="339">
        <v>1987</v>
      </c>
      <c r="G565" s="335" t="s">
        <v>6476</v>
      </c>
      <c r="H565" s="49" t="s">
        <v>6473</v>
      </c>
      <c r="I565" s="335" t="s">
        <v>785</v>
      </c>
      <c r="J565" s="335" t="s">
        <v>6477</v>
      </c>
      <c r="K565" s="79"/>
      <c r="L565" s="79"/>
      <c r="M565" s="79"/>
      <c r="N565" s="79"/>
      <c r="O565" s="79"/>
      <c r="P565" s="588"/>
    </row>
    <row r="566" spans="1:16" ht="31.5" customHeight="1">
      <c r="A566" s="339">
        <v>2</v>
      </c>
      <c r="B566" s="553"/>
      <c r="C566" s="122" t="s">
        <v>7145</v>
      </c>
      <c r="D566" s="589" t="s">
        <v>87</v>
      </c>
      <c r="E566" s="589"/>
      <c r="F566" s="589"/>
      <c r="G566" s="589"/>
      <c r="H566" s="589"/>
      <c r="I566" s="589"/>
      <c r="J566" s="589"/>
      <c r="K566" s="589"/>
      <c r="L566" s="589"/>
      <c r="M566" s="589"/>
      <c r="N566" s="589"/>
      <c r="O566" s="589"/>
      <c r="P566" s="588"/>
    </row>
    <row r="567" spans="1:16" ht="30">
      <c r="A567" s="495">
        <v>3</v>
      </c>
      <c r="B567" s="553"/>
      <c r="C567" s="122" t="s">
        <v>6481</v>
      </c>
      <c r="D567" s="344" t="s">
        <v>6488</v>
      </c>
      <c r="E567" s="339">
        <v>4632.8</v>
      </c>
      <c r="F567" s="339" t="s">
        <v>6489</v>
      </c>
      <c r="G567" s="339" t="s">
        <v>6490</v>
      </c>
      <c r="H567" s="339" t="s">
        <v>17</v>
      </c>
      <c r="I567" s="339" t="s">
        <v>1449</v>
      </c>
      <c r="J567" s="339" t="s">
        <v>748</v>
      </c>
      <c r="K567" s="339" t="s">
        <v>748</v>
      </c>
      <c r="L567" s="339" t="s">
        <v>87</v>
      </c>
      <c r="M567" s="339" t="s">
        <v>17</v>
      </c>
      <c r="N567" s="339">
        <v>2</v>
      </c>
      <c r="O567" s="339"/>
      <c r="P567" s="588"/>
    </row>
    <row r="568" spans="1:16" ht="75">
      <c r="A568" s="495">
        <v>4</v>
      </c>
      <c r="B568" s="553"/>
      <c r="C568" s="565" t="s">
        <v>7146</v>
      </c>
      <c r="D568" s="344" t="s">
        <v>7147</v>
      </c>
      <c r="E568" s="49" t="s">
        <v>7148</v>
      </c>
      <c r="F568" s="49" t="s">
        <v>748</v>
      </c>
      <c r="G568" s="49" t="s">
        <v>748</v>
      </c>
      <c r="H568" s="49">
        <v>65809</v>
      </c>
      <c r="I568" s="49" t="s">
        <v>7149</v>
      </c>
      <c r="J568" s="49" t="s">
        <v>748</v>
      </c>
      <c r="K568" s="49" t="s">
        <v>748</v>
      </c>
      <c r="L568" s="49" t="s">
        <v>160</v>
      </c>
      <c r="M568" s="49" t="s">
        <v>748</v>
      </c>
      <c r="N568" s="49" t="s">
        <v>748</v>
      </c>
      <c r="O568" s="344" t="s">
        <v>7150</v>
      </c>
      <c r="P568" s="588"/>
    </row>
    <row r="569" spans="1:16" ht="90">
      <c r="A569" s="495">
        <v>5</v>
      </c>
      <c r="B569" s="553"/>
      <c r="C569" s="566"/>
      <c r="D569" s="344" t="s">
        <v>7151</v>
      </c>
      <c r="E569" s="339" t="s">
        <v>7152</v>
      </c>
      <c r="F569" s="339">
        <v>1958</v>
      </c>
      <c r="G569" s="339">
        <v>3.0000000000000001E-3</v>
      </c>
      <c r="H569" s="339">
        <v>22413</v>
      </c>
      <c r="I569" s="339" t="s">
        <v>150</v>
      </c>
      <c r="J569" s="339" t="s">
        <v>87</v>
      </c>
      <c r="K569" s="339" t="s">
        <v>87</v>
      </c>
      <c r="L569" s="339" t="s">
        <v>87</v>
      </c>
      <c r="M569" s="339" t="s">
        <v>87</v>
      </c>
      <c r="N569" s="339" t="s">
        <v>748</v>
      </c>
      <c r="O569" s="344" t="s">
        <v>7153</v>
      </c>
      <c r="P569" s="588"/>
    </row>
    <row r="570" spans="1:16" ht="90">
      <c r="A570" s="495">
        <v>6</v>
      </c>
      <c r="B570" s="553"/>
      <c r="C570" s="566"/>
      <c r="D570" s="344" t="s">
        <v>7154</v>
      </c>
      <c r="E570" s="339" t="s">
        <v>7155</v>
      </c>
      <c r="F570" s="339">
        <v>1958</v>
      </c>
      <c r="G570" s="339">
        <v>2E-3</v>
      </c>
      <c r="H570" s="339">
        <v>5977</v>
      </c>
      <c r="I570" s="339" t="s">
        <v>150</v>
      </c>
      <c r="J570" s="339" t="s">
        <v>87</v>
      </c>
      <c r="K570" s="339" t="s">
        <v>87</v>
      </c>
      <c r="L570" s="339" t="s">
        <v>87</v>
      </c>
      <c r="M570" s="339" t="s">
        <v>87</v>
      </c>
      <c r="N570" s="339" t="s">
        <v>748</v>
      </c>
      <c r="O570" s="344" t="s">
        <v>7156</v>
      </c>
      <c r="P570" s="588"/>
    </row>
    <row r="571" spans="1:16" ht="75">
      <c r="A571" s="495">
        <v>7</v>
      </c>
      <c r="B571" s="553"/>
      <c r="C571" s="566"/>
      <c r="D571" s="344" t="s">
        <v>7157</v>
      </c>
      <c r="E571" s="339" t="s">
        <v>7158</v>
      </c>
      <c r="F571" s="339">
        <v>1968</v>
      </c>
      <c r="G571" s="339" t="s">
        <v>301</v>
      </c>
      <c r="H571" s="339">
        <v>8966</v>
      </c>
      <c r="I571" s="339" t="s">
        <v>150</v>
      </c>
      <c r="J571" s="339" t="s">
        <v>87</v>
      </c>
      <c r="K571" s="339"/>
      <c r="L571" s="339" t="s">
        <v>87</v>
      </c>
      <c r="M571" s="339" t="s">
        <v>87</v>
      </c>
      <c r="N571" s="339" t="s">
        <v>748</v>
      </c>
      <c r="O571" s="344" t="s">
        <v>7159</v>
      </c>
      <c r="P571" s="588"/>
    </row>
    <row r="572" spans="1:16" ht="45">
      <c r="A572" s="495">
        <v>8</v>
      </c>
      <c r="B572" s="553"/>
      <c r="C572" s="566"/>
      <c r="D572" s="344" t="s">
        <v>7160</v>
      </c>
      <c r="E572" s="339" t="s">
        <v>7161</v>
      </c>
      <c r="F572" s="339">
        <v>1946</v>
      </c>
      <c r="G572" s="339">
        <v>5.4299999999999998E-5</v>
      </c>
      <c r="H572" s="339">
        <v>1495</v>
      </c>
      <c r="I572" s="339" t="s">
        <v>150</v>
      </c>
      <c r="J572" s="339" t="s">
        <v>87</v>
      </c>
      <c r="K572" s="339" t="s">
        <v>87</v>
      </c>
      <c r="L572" s="339" t="s">
        <v>87</v>
      </c>
      <c r="M572" s="339" t="s">
        <v>87</v>
      </c>
      <c r="N572" s="339"/>
      <c r="O572" s="344" t="s">
        <v>7162</v>
      </c>
      <c r="P572" s="588"/>
    </row>
    <row r="573" spans="1:16" ht="45">
      <c r="A573" s="495">
        <v>9</v>
      </c>
      <c r="B573" s="553"/>
      <c r="C573" s="566"/>
      <c r="D573" s="344" t="s">
        <v>7163</v>
      </c>
      <c r="E573" s="339" t="s">
        <v>7164</v>
      </c>
      <c r="F573" s="339">
        <v>1946</v>
      </c>
      <c r="G573" s="339">
        <v>6.0900000000000003E-5</v>
      </c>
      <c r="H573" s="339">
        <v>2778</v>
      </c>
      <c r="I573" s="339" t="s">
        <v>150</v>
      </c>
      <c r="J573" s="339" t="s">
        <v>87</v>
      </c>
      <c r="K573" s="339" t="s">
        <v>87</v>
      </c>
      <c r="L573" s="339" t="s">
        <v>87</v>
      </c>
      <c r="M573" s="339" t="s">
        <v>87</v>
      </c>
      <c r="N573" s="339" t="s">
        <v>748</v>
      </c>
      <c r="O573" s="344" t="s">
        <v>7165</v>
      </c>
      <c r="P573" s="588"/>
    </row>
    <row r="574" spans="1:16" ht="60">
      <c r="A574" s="495">
        <v>10</v>
      </c>
      <c r="B574" s="553"/>
      <c r="C574" s="566"/>
      <c r="D574" s="344" t="s">
        <v>7166</v>
      </c>
      <c r="E574" s="339" t="s">
        <v>7167</v>
      </c>
      <c r="F574" s="339">
        <v>1946</v>
      </c>
      <c r="G574" s="339" t="s">
        <v>301</v>
      </c>
      <c r="H574" s="339">
        <v>224</v>
      </c>
      <c r="I574" s="339" t="s">
        <v>150</v>
      </c>
      <c r="J574" s="339" t="s">
        <v>87</v>
      </c>
      <c r="K574" s="339" t="s">
        <v>87</v>
      </c>
      <c r="L574" s="339" t="s">
        <v>87</v>
      </c>
      <c r="M574" s="339" t="s">
        <v>87</v>
      </c>
      <c r="N574" s="339" t="s">
        <v>748</v>
      </c>
      <c r="O574" s="344" t="s">
        <v>7168</v>
      </c>
      <c r="P574" s="588"/>
    </row>
    <row r="575" spans="1:16" ht="45">
      <c r="A575" s="495">
        <v>11</v>
      </c>
      <c r="B575" s="553"/>
      <c r="C575" s="566"/>
      <c r="D575" s="344" t="s">
        <v>7169</v>
      </c>
      <c r="E575" s="339" t="s">
        <v>7170</v>
      </c>
      <c r="F575" s="339">
        <v>1946</v>
      </c>
      <c r="G575" s="339">
        <v>6.0900000000000003E-5</v>
      </c>
      <c r="H575" s="339">
        <v>144</v>
      </c>
      <c r="I575" s="339" t="s">
        <v>150</v>
      </c>
      <c r="J575" s="339" t="s">
        <v>87</v>
      </c>
      <c r="K575" s="339" t="s">
        <v>87</v>
      </c>
      <c r="L575" s="339" t="s">
        <v>87</v>
      </c>
      <c r="M575" s="339" t="s">
        <v>87</v>
      </c>
      <c r="N575" s="339" t="s">
        <v>748</v>
      </c>
      <c r="O575" s="344" t="s">
        <v>7171</v>
      </c>
      <c r="P575" s="588"/>
    </row>
    <row r="576" spans="1:16" ht="45">
      <c r="A576" s="495">
        <v>12</v>
      </c>
      <c r="B576" s="553"/>
      <c r="C576" s="566"/>
      <c r="D576" s="344" t="s">
        <v>7172</v>
      </c>
      <c r="E576" s="339" t="s">
        <v>7173</v>
      </c>
      <c r="F576" s="339">
        <v>1946</v>
      </c>
      <c r="G576" s="339" t="s">
        <v>301</v>
      </c>
      <c r="H576" s="339">
        <v>598</v>
      </c>
      <c r="I576" s="339" t="s">
        <v>150</v>
      </c>
      <c r="J576" s="339" t="s">
        <v>87</v>
      </c>
      <c r="K576" s="339" t="s">
        <v>87</v>
      </c>
      <c r="L576" s="339" t="s">
        <v>87</v>
      </c>
      <c r="M576" s="339" t="s">
        <v>87</v>
      </c>
      <c r="N576" s="339" t="s">
        <v>748</v>
      </c>
      <c r="O576" s="344" t="s">
        <v>7168</v>
      </c>
      <c r="P576" s="588"/>
    </row>
    <row r="577" spans="1:16" ht="45">
      <c r="A577" s="495">
        <v>13</v>
      </c>
      <c r="B577" s="553"/>
      <c r="C577" s="566"/>
      <c r="D577" s="344" t="s">
        <v>7174</v>
      </c>
      <c r="E577" s="339" t="s">
        <v>7175</v>
      </c>
      <c r="F577" s="339">
        <v>1946</v>
      </c>
      <c r="G577" s="339">
        <v>2.7270000000000001E-4</v>
      </c>
      <c r="H577" s="339">
        <v>373</v>
      </c>
      <c r="I577" s="339" t="s">
        <v>150</v>
      </c>
      <c r="J577" s="339" t="s">
        <v>87</v>
      </c>
      <c r="K577" s="339" t="s">
        <v>87</v>
      </c>
      <c r="L577" s="339" t="s">
        <v>87</v>
      </c>
      <c r="M577" s="339" t="s">
        <v>87</v>
      </c>
      <c r="N577" s="339" t="s">
        <v>748</v>
      </c>
      <c r="O577" s="344" t="s">
        <v>7176</v>
      </c>
      <c r="P577" s="588"/>
    </row>
    <row r="578" spans="1:16" ht="45">
      <c r="A578" s="495">
        <v>14</v>
      </c>
      <c r="B578" s="553"/>
      <c r="C578" s="566"/>
      <c r="D578" s="344" t="s">
        <v>7177</v>
      </c>
      <c r="E578" s="339" t="s">
        <v>7178</v>
      </c>
      <c r="F578" s="339">
        <v>1946</v>
      </c>
      <c r="G578" s="339" t="s">
        <v>301</v>
      </c>
      <c r="H578" s="339">
        <v>374</v>
      </c>
      <c r="I578" s="339" t="s">
        <v>150</v>
      </c>
      <c r="J578" s="339" t="s">
        <v>87</v>
      </c>
      <c r="K578" s="339" t="s">
        <v>87</v>
      </c>
      <c r="L578" s="339" t="s">
        <v>87</v>
      </c>
      <c r="M578" s="339" t="s">
        <v>87</v>
      </c>
      <c r="N578" s="339" t="s">
        <v>748</v>
      </c>
      <c r="O578" s="344" t="s">
        <v>7179</v>
      </c>
      <c r="P578" s="588"/>
    </row>
    <row r="579" spans="1:16" ht="60">
      <c r="A579" s="495">
        <v>15</v>
      </c>
      <c r="B579" s="553"/>
      <c r="C579" s="567"/>
      <c r="D579" s="344" t="s">
        <v>7180</v>
      </c>
      <c r="E579" s="339" t="s">
        <v>7181</v>
      </c>
      <c r="F579" s="339">
        <v>1946</v>
      </c>
      <c r="G579" s="339" t="s">
        <v>301</v>
      </c>
      <c r="H579" s="339">
        <v>224</v>
      </c>
      <c r="I579" s="339" t="s">
        <v>150</v>
      </c>
      <c r="J579" s="339" t="s">
        <v>87</v>
      </c>
      <c r="K579" s="339" t="s">
        <v>87</v>
      </c>
      <c r="L579" s="339" t="s">
        <v>87</v>
      </c>
      <c r="M579" s="339" t="s">
        <v>87</v>
      </c>
      <c r="N579" s="339" t="s">
        <v>748</v>
      </c>
      <c r="O579" s="344" t="s">
        <v>7179</v>
      </c>
      <c r="P579" s="588"/>
    </row>
    <row r="580" spans="1:16" ht="60">
      <c r="A580" s="495">
        <v>16</v>
      </c>
      <c r="B580" s="553"/>
      <c r="C580" s="344" t="s">
        <v>7182</v>
      </c>
      <c r="D580" s="344" t="s">
        <v>7183</v>
      </c>
      <c r="E580" s="339" t="s">
        <v>7184</v>
      </c>
      <c r="F580" s="339">
        <v>1950</v>
      </c>
      <c r="G580" s="339">
        <v>0.11749999999999999</v>
      </c>
      <c r="H580" s="339">
        <v>758</v>
      </c>
      <c r="I580" s="339" t="s">
        <v>150</v>
      </c>
      <c r="J580" s="339" t="s">
        <v>748</v>
      </c>
      <c r="K580" s="339" t="s">
        <v>748</v>
      </c>
      <c r="L580" s="339" t="s">
        <v>748</v>
      </c>
      <c r="M580" s="339"/>
      <c r="N580" s="339"/>
      <c r="O580" s="344"/>
      <c r="P580" s="588"/>
    </row>
    <row r="581" spans="1:16">
      <c r="A581" s="589"/>
      <c r="B581" s="589"/>
      <c r="C581" s="589"/>
      <c r="D581" s="589"/>
      <c r="E581" s="589"/>
      <c r="F581" s="589"/>
      <c r="G581" s="589"/>
      <c r="H581" s="589"/>
      <c r="I581" s="589"/>
      <c r="J581" s="589"/>
      <c r="K581" s="589"/>
      <c r="L581" s="589"/>
      <c r="M581" s="589"/>
      <c r="N581" s="589"/>
      <c r="O581" s="589"/>
      <c r="P581" s="589"/>
    </row>
    <row r="582" spans="1:16" ht="20.25">
      <c r="A582" s="559" t="s">
        <v>111</v>
      </c>
      <c r="B582" s="559"/>
      <c r="C582" s="559"/>
      <c r="D582" s="559"/>
      <c r="E582" s="559"/>
      <c r="F582" s="559"/>
      <c r="G582" s="559"/>
      <c r="H582" s="559"/>
      <c r="I582" s="559"/>
      <c r="J582" s="559"/>
      <c r="K582" s="559"/>
      <c r="L582" s="559"/>
      <c r="M582" s="559"/>
      <c r="N582" s="559"/>
      <c r="O582" s="559"/>
      <c r="P582" s="559"/>
    </row>
    <row r="583" spans="1:16" ht="85.5">
      <c r="A583" s="46" t="s">
        <v>0</v>
      </c>
      <c r="B583" s="46" t="s">
        <v>2582</v>
      </c>
      <c r="C583" s="46" t="s">
        <v>1</v>
      </c>
      <c r="D583" s="46" t="s">
        <v>2596</v>
      </c>
      <c r="E583" s="46" t="s">
        <v>89</v>
      </c>
      <c r="F583" s="46" t="s">
        <v>63</v>
      </c>
      <c r="G583" s="46" t="s">
        <v>2590</v>
      </c>
      <c r="H583" s="46" t="s">
        <v>2561</v>
      </c>
      <c r="I583" s="46" t="s">
        <v>2391</v>
      </c>
      <c r="J583" s="46" t="s">
        <v>5</v>
      </c>
      <c r="K583" s="46" t="s">
        <v>6</v>
      </c>
      <c r="L583" s="46" t="s">
        <v>91</v>
      </c>
      <c r="M583" s="46" t="s">
        <v>67</v>
      </c>
      <c r="N583" s="67" t="s">
        <v>92</v>
      </c>
      <c r="O583" s="74" t="s">
        <v>11</v>
      </c>
      <c r="P583" s="613"/>
    </row>
    <row r="584" spans="1:16">
      <c r="A584" s="345">
        <v>1</v>
      </c>
      <c r="B584" s="79">
        <v>2</v>
      </c>
      <c r="C584" s="79">
        <v>3</v>
      </c>
      <c r="D584" s="79">
        <v>4</v>
      </c>
      <c r="E584" s="79">
        <v>5</v>
      </c>
      <c r="F584" s="79">
        <v>6</v>
      </c>
      <c r="G584" s="79">
        <v>7</v>
      </c>
      <c r="H584" s="79">
        <v>8</v>
      </c>
      <c r="I584" s="79">
        <v>9</v>
      </c>
      <c r="J584" s="79">
        <v>10</v>
      </c>
      <c r="K584" s="79">
        <v>11</v>
      </c>
      <c r="L584" s="79">
        <v>12</v>
      </c>
      <c r="M584" s="79">
        <v>13</v>
      </c>
      <c r="N584" s="79">
        <v>14</v>
      </c>
      <c r="O584" s="79">
        <v>15</v>
      </c>
      <c r="P584" s="613"/>
    </row>
    <row r="585" spans="1:16" ht="60">
      <c r="A585" s="339">
        <v>1</v>
      </c>
      <c r="B585" s="659" t="s">
        <v>6468</v>
      </c>
      <c r="C585" s="344" t="s">
        <v>6469</v>
      </c>
      <c r="D585" s="344" t="s">
        <v>6478</v>
      </c>
      <c r="E585" s="339">
        <f>532.72+2692.72</f>
        <v>3225.4399999999996</v>
      </c>
      <c r="F585" s="339" t="s">
        <v>6479</v>
      </c>
      <c r="G585" s="339" t="s">
        <v>301</v>
      </c>
      <c r="H585" s="339" t="s">
        <v>6473</v>
      </c>
      <c r="I585" s="339" t="s">
        <v>785</v>
      </c>
      <c r="J585" s="339" t="s">
        <v>403</v>
      </c>
      <c r="K585" s="339" t="s">
        <v>6480</v>
      </c>
      <c r="L585" s="339" t="s">
        <v>17</v>
      </c>
      <c r="M585" s="79"/>
      <c r="N585" s="79"/>
      <c r="O585" s="79"/>
      <c r="P585" s="613"/>
    </row>
    <row r="586" spans="1:16" ht="28.5" customHeight="1">
      <c r="A586" s="339">
        <v>2</v>
      </c>
      <c r="B586" s="660"/>
      <c r="C586" s="496" t="s">
        <v>7145</v>
      </c>
      <c r="D586" s="595" t="s">
        <v>87</v>
      </c>
      <c r="E586" s="595"/>
      <c r="F586" s="595"/>
      <c r="G586" s="595"/>
      <c r="H586" s="595"/>
      <c r="I586" s="595"/>
      <c r="J586" s="595"/>
      <c r="K586" s="595"/>
      <c r="L586" s="595"/>
      <c r="M586" s="595"/>
      <c r="N586" s="595"/>
      <c r="O586" s="595"/>
      <c r="P586" s="613"/>
    </row>
    <row r="587" spans="1:16" ht="30">
      <c r="A587" s="339">
        <v>3</v>
      </c>
      <c r="B587" s="660"/>
      <c r="C587" s="565" t="s">
        <v>7719</v>
      </c>
      <c r="D587" s="53" t="s">
        <v>6491</v>
      </c>
      <c r="E587" s="339">
        <v>4046</v>
      </c>
      <c r="F587" s="339" t="s">
        <v>6492</v>
      </c>
      <c r="G587" s="339" t="s">
        <v>17</v>
      </c>
      <c r="H587" s="339" t="s">
        <v>17</v>
      </c>
      <c r="I587" s="339" t="s">
        <v>1449</v>
      </c>
      <c r="J587" s="339" t="s">
        <v>748</v>
      </c>
      <c r="K587" s="339" t="s">
        <v>748</v>
      </c>
      <c r="L587" s="339" t="s">
        <v>87</v>
      </c>
      <c r="M587" s="339" t="s">
        <v>17</v>
      </c>
      <c r="N587" s="339">
        <v>2</v>
      </c>
      <c r="O587" s="123"/>
      <c r="P587" s="613"/>
    </row>
    <row r="588" spans="1:16" ht="30">
      <c r="A588" s="339">
        <v>4</v>
      </c>
      <c r="B588" s="660"/>
      <c r="C588" s="567"/>
      <c r="D588" s="53" t="s">
        <v>6493</v>
      </c>
      <c r="E588" s="339" t="s">
        <v>17</v>
      </c>
      <c r="F588" s="339" t="s">
        <v>17</v>
      </c>
      <c r="G588" s="339" t="s">
        <v>17</v>
      </c>
      <c r="H588" s="339" t="s">
        <v>17</v>
      </c>
      <c r="I588" s="339" t="s">
        <v>1449</v>
      </c>
      <c r="J588" s="339" t="s">
        <v>748</v>
      </c>
      <c r="K588" s="339" t="s">
        <v>748</v>
      </c>
      <c r="L588" s="339" t="s">
        <v>87</v>
      </c>
      <c r="M588" s="339" t="s">
        <v>17</v>
      </c>
      <c r="N588" s="339">
        <v>3</v>
      </c>
      <c r="O588" s="123"/>
      <c r="P588" s="613"/>
    </row>
    <row r="589" spans="1:16" ht="90">
      <c r="A589" s="339">
        <v>5</v>
      </c>
      <c r="B589" s="660"/>
      <c r="C589" s="565" t="s">
        <v>7146</v>
      </c>
      <c r="D589" s="339" t="s">
        <v>7487</v>
      </c>
      <c r="E589" s="49">
        <v>12019</v>
      </c>
      <c r="F589" s="49" t="s">
        <v>301</v>
      </c>
      <c r="G589" s="49"/>
      <c r="H589" s="49">
        <v>24669</v>
      </c>
      <c r="I589" s="49"/>
      <c r="J589" s="49"/>
      <c r="K589" s="49" t="s">
        <v>748</v>
      </c>
      <c r="L589" s="49" t="s">
        <v>160</v>
      </c>
      <c r="M589" s="49" t="s">
        <v>748</v>
      </c>
      <c r="N589" s="49" t="s">
        <v>748</v>
      </c>
      <c r="O589" s="339" t="s">
        <v>7488</v>
      </c>
      <c r="P589" s="349"/>
    </row>
    <row r="590" spans="1:16" ht="75">
      <c r="A590" s="339">
        <v>6</v>
      </c>
      <c r="B590" s="660"/>
      <c r="C590" s="566"/>
      <c r="D590" s="339" t="s">
        <v>7489</v>
      </c>
      <c r="E590" s="49">
        <v>1097</v>
      </c>
      <c r="F590" s="49" t="s">
        <v>301</v>
      </c>
      <c r="G590" s="49"/>
      <c r="H590" s="49">
        <v>41112</v>
      </c>
      <c r="I590" s="49"/>
      <c r="J590" s="49"/>
      <c r="K590" s="49" t="s">
        <v>748</v>
      </c>
      <c r="L590" s="49" t="s">
        <v>160</v>
      </c>
      <c r="M590" s="49" t="s">
        <v>748</v>
      </c>
      <c r="N590" s="49" t="s">
        <v>748</v>
      </c>
      <c r="O590" s="339" t="s">
        <v>7490</v>
      </c>
      <c r="P590" s="349"/>
    </row>
    <row r="591" spans="1:16" ht="75">
      <c r="A591" s="339">
        <v>7</v>
      </c>
      <c r="B591" s="660"/>
      <c r="C591" s="566"/>
      <c r="D591" s="339" t="s">
        <v>7489</v>
      </c>
      <c r="E591" s="49">
        <v>358</v>
      </c>
      <c r="F591" s="49" t="s">
        <v>301</v>
      </c>
      <c r="G591" s="49"/>
      <c r="H591" s="49">
        <v>41061</v>
      </c>
      <c r="I591" s="49"/>
      <c r="J591" s="49"/>
      <c r="K591" s="49" t="s">
        <v>748</v>
      </c>
      <c r="L591" s="49" t="s">
        <v>160</v>
      </c>
      <c r="M591" s="49" t="s">
        <v>748</v>
      </c>
      <c r="N591" s="49" t="s">
        <v>748</v>
      </c>
      <c r="O591" s="339" t="s">
        <v>7491</v>
      </c>
      <c r="P591" s="349"/>
    </row>
    <row r="592" spans="1:16" ht="75">
      <c r="A592" s="339">
        <v>8</v>
      </c>
      <c r="B592" s="660"/>
      <c r="C592" s="566"/>
      <c r="D592" s="339" t="s">
        <v>7492</v>
      </c>
      <c r="E592" s="49">
        <v>1001</v>
      </c>
      <c r="F592" s="49" t="s">
        <v>301</v>
      </c>
      <c r="G592" s="49"/>
      <c r="H592" s="49">
        <v>41159</v>
      </c>
      <c r="I592" s="49" t="s">
        <v>748</v>
      </c>
      <c r="J592" s="49" t="s">
        <v>748</v>
      </c>
      <c r="K592" s="49" t="s">
        <v>748</v>
      </c>
      <c r="L592" s="49" t="s">
        <v>160</v>
      </c>
      <c r="M592" s="49" t="s">
        <v>748</v>
      </c>
      <c r="N592" s="49" t="s">
        <v>748</v>
      </c>
      <c r="O592" s="339" t="s">
        <v>7493</v>
      </c>
      <c r="P592" s="349"/>
    </row>
    <row r="593" spans="1:16" ht="75">
      <c r="A593" s="339">
        <v>9</v>
      </c>
      <c r="B593" s="660"/>
      <c r="C593" s="566"/>
      <c r="D593" s="339" t="s">
        <v>7494</v>
      </c>
      <c r="E593" s="339" t="s">
        <v>7495</v>
      </c>
      <c r="F593" s="339">
        <v>1959</v>
      </c>
      <c r="G593" s="339" t="s">
        <v>301</v>
      </c>
      <c r="H593" s="339">
        <v>17932</v>
      </c>
      <c r="I593" s="339" t="s">
        <v>150</v>
      </c>
      <c r="J593" s="339" t="s">
        <v>748</v>
      </c>
      <c r="K593" s="339" t="s">
        <v>87</v>
      </c>
      <c r="L593" s="339" t="s">
        <v>87</v>
      </c>
      <c r="M593" s="339" t="s">
        <v>87</v>
      </c>
      <c r="N593" s="339" t="s">
        <v>87</v>
      </c>
      <c r="O593" s="339"/>
      <c r="P593" s="349"/>
    </row>
    <row r="594" spans="1:16" ht="75">
      <c r="A594" s="339">
        <v>10</v>
      </c>
      <c r="B594" s="660"/>
      <c r="C594" s="566"/>
      <c r="D594" s="339" t="s">
        <v>7496</v>
      </c>
      <c r="E594" s="339" t="s">
        <v>7497</v>
      </c>
      <c r="F594" s="339">
        <v>1959</v>
      </c>
      <c r="G594" s="339" t="s">
        <v>301</v>
      </c>
      <c r="H594" s="339">
        <v>22413</v>
      </c>
      <c r="I594" s="339" t="s">
        <v>150</v>
      </c>
      <c r="J594" s="339" t="s">
        <v>748</v>
      </c>
      <c r="K594" s="339" t="s">
        <v>87</v>
      </c>
      <c r="L594" s="339" t="s">
        <v>87</v>
      </c>
      <c r="M594" s="339" t="s">
        <v>87</v>
      </c>
      <c r="N594" s="339" t="s">
        <v>87</v>
      </c>
      <c r="O594" s="339"/>
      <c r="P594" s="349"/>
    </row>
    <row r="595" spans="1:16" ht="60">
      <c r="A595" s="339">
        <v>11</v>
      </c>
      <c r="B595" s="660"/>
      <c r="C595" s="566"/>
      <c r="D595" s="339" t="s">
        <v>7498</v>
      </c>
      <c r="E595" s="339" t="s">
        <v>7499</v>
      </c>
      <c r="F595" s="339">
        <v>1959</v>
      </c>
      <c r="G595" s="339" t="s">
        <v>301</v>
      </c>
      <c r="H595" s="339">
        <v>22423</v>
      </c>
      <c r="I595" s="339" t="s">
        <v>150</v>
      </c>
      <c r="J595" s="339" t="s">
        <v>748</v>
      </c>
      <c r="K595" s="339" t="s">
        <v>87</v>
      </c>
      <c r="L595" s="339" t="s">
        <v>87</v>
      </c>
      <c r="M595" s="339" t="s">
        <v>87</v>
      </c>
      <c r="N595" s="339" t="s">
        <v>87</v>
      </c>
      <c r="O595" s="339"/>
      <c r="P595" s="349"/>
    </row>
    <row r="596" spans="1:16" ht="60">
      <c r="A596" s="339">
        <v>12</v>
      </c>
      <c r="B596" s="660"/>
      <c r="C596" s="566"/>
      <c r="D596" s="339" t="s">
        <v>7500</v>
      </c>
      <c r="E596" s="339" t="s">
        <v>7501</v>
      </c>
      <c r="F596" s="339">
        <v>1959</v>
      </c>
      <c r="G596" s="339" t="s">
        <v>301</v>
      </c>
      <c r="H596" s="339">
        <v>22420</v>
      </c>
      <c r="I596" s="339" t="s">
        <v>150</v>
      </c>
      <c r="J596" s="339" t="s">
        <v>748</v>
      </c>
      <c r="K596" s="339" t="s">
        <v>87</v>
      </c>
      <c r="L596" s="339" t="s">
        <v>87</v>
      </c>
      <c r="M596" s="339" t="s">
        <v>87</v>
      </c>
      <c r="N596" s="339" t="s">
        <v>87</v>
      </c>
      <c r="O596" s="339"/>
      <c r="P596" s="349"/>
    </row>
    <row r="597" spans="1:16" ht="75">
      <c r="A597" s="339">
        <v>13</v>
      </c>
      <c r="B597" s="660"/>
      <c r="C597" s="566"/>
      <c r="D597" s="339" t="s">
        <v>7502</v>
      </c>
      <c r="E597" s="339" t="s">
        <v>7503</v>
      </c>
      <c r="F597" s="339">
        <v>1959</v>
      </c>
      <c r="G597" s="339" t="s">
        <v>301</v>
      </c>
      <c r="H597" s="339">
        <v>17952</v>
      </c>
      <c r="I597" s="339" t="s">
        <v>150</v>
      </c>
      <c r="J597" s="339" t="s">
        <v>748</v>
      </c>
      <c r="K597" s="339" t="s">
        <v>87</v>
      </c>
      <c r="L597" s="339" t="s">
        <v>87</v>
      </c>
      <c r="M597" s="339" t="s">
        <v>87</v>
      </c>
      <c r="N597" s="339" t="s">
        <v>87</v>
      </c>
      <c r="O597" s="339"/>
      <c r="P597" s="349"/>
    </row>
    <row r="598" spans="1:16" ht="60">
      <c r="A598" s="339">
        <v>14</v>
      </c>
      <c r="B598" s="660"/>
      <c r="C598" s="567"/>
      <c r="D598" s="339" t="s">
        <v>7504</v>
      </c>
      <c r="E598" s="339">
        <v>3487.66</v>
      </c>
      <c r="F598" s="339">
        <v>1958</v>
      </c>
      <c r="G598" s="339">
        <v>2E-3</v>
      </c>
      <c r="H598" s="339">
        <v>5978</v>
      </c>
      <c r="I598" s="339" t="s">
        <v>150</v>
      </c>
      <c r="J598" s="339" t="s">
        <v>748</v>
      </c>
      <c r="K598" s="339" t="s">
        <v>87</v>
      </c>
      <c r="L598" s="339" t="s">
        <v>87</v>
      </c>
      <c r="M598" s="339" t="s">
        <v>87</v>
      </c>
      <c r="N598" s="339" t="s">
        <v>87</v>
      </c>
      <c r="O598" s="339"/>
      <c r="P598" s="349"/>
    </row>
    <row r="599" spans="1:16" ht="60">
      <c r="A599" s="339">
        <v>15</v>
      </c>
      <c r="B599" s="661"/>
      <c r="C599" s="339" t="s">
        <v>7182</v>
      </c>
      <c r="D599" s="339" t="s">
        <v>7183</v>
      </c>
      <c r="E599" s="339" t="s">
        <v>7505</v>
      </c>
      <c r="F599" s="339">
        <v>1950</v>
      </c>
      <c r="G599" s="339">
        <v>0.1</v>
      </c>
      <c r="H599" s="339">
        <v>5230</v>
      </c>
      <c r="I599" s="339" t="s">
        <v>748</v>
      </c>
      <c r="J599" s="339" t="s">
        <v>748</v>
      </c>
      <c r="K599" s="339" t="s">
        <v>748</v>
      </c>
      <c r="L599" s="339" t="s">
        <v>748</v>
      </c>
      <c r="M599" s="339" t="s">
        <v>748</v>
      </c>
      <c r="N599" s="339" t="s">
        <v>748</v>
      </c>
      <c r="O599" s="339"/>
      <c r="P599" s="349"/>
    </row>
    <row r="600" spans="1:16">
      <c r="A600" s="554"/>
      <c r="B600" s="554"/>
      <c r="C600" s="554"/>
      <c r="D600" s="554"/>
      <c r="E600" s="554"/>
      <c r="F600" s="554"/>
      <c r="G600" s="554"/>
      <c r="H600" s="554"/>
      <c r="I600" s="554"/>
      <c r="J600" s="554"/>
      <c r="K600" s="554"/>
      <c r="L600" s="554"/>
      <c r="M600" s="554"/>
      <c r="N600" s="554"/>
      <c r="O600" s="554"/>
      <c r="P600" s="554"/>
    </row>
    <row r="601" spans="1:16" ht="20.25">
      <c r="A601" s="559" t="s">
        <v>112</v>
      </c>
      <c r="B601" s="559"/>
      <c r="C601" s="559"/>
      <c r="D601" s="559"/>
      <c r="E601" s="559"/>
      <c r="F601" s="559"/>
      <c r="G601" s="559"/>
      <c r="H601" s="559"/>
      <c r="I601" s="559"/>
      <c r="J601" s="559"/>
      <c r="K601" s="559"/>
      <c r="L601" s="559"/>
      <c r="M601" s="559"/>
      <c r="N601" s="559"/>
      <c r="O601" s="559"/>
      <c r="P601" s="559"/>
    </row>
    <row r="602" spans="1:16" ht="85.5">
      <c r="A602" s="46" t="s">
        <v>0</v>
      </c>
      <c r="B602" s="46" t="s">
        <v>2582</v>
      </c>
      <c r="C602" s="46" t="s">
        <v>1</v>
      </c>
      <c r="D602" s="46" t="s">
        <v>2596</v>
      </c>
      <c r="E602" s="46" t="s">
        <v>89</v>
      </c>
      <c r="F602" s="46" t="s">
        <v>63</v>
      </c>
      <c r="G602" s="46" t="s">
        <v>2390</v>
      </c>
      <c r="H602" s="46" t="s">
        <v>2561</v>
      </c>
      <c r="I602" s="46" t="s">
        <v>2391</v>
      </c>
      <c r="J602" s="46" t="s">
        <v>5</v>
      </c>
      <c r="K602" s="46" t="s">
        <v>6</v>
      </c>
      <c r="L602" s="46" t="s">
        <v>91</v>
      </c>
      <c r="M602" s="46" t="s">
        <v>67</v>
      </c>
      <c r="N602" s="67" t="s">
        <v>110</v>
      </c>
      <c r="O602" s="67" t="s">
        <v>92</v>
      </c>
      <c r="P602" s="74" t="s">
        <v>69</v>
      </c>
    </row>
    <row r="603" spans="1:16">
      <c r="A603" s="345">
        <v>1</v>
      </c>
      <c r="B603" s="79">
        <v>2</v>
      </c>
      <c r="C603" s="79">
        <v>3</v>
      </c>
      <c r="D603" s="79">
        <v>4</v>
      </c>
      <c r="E603" s="79">
        <v>5</v>
      </c>
      <c r="F603" s="79">
        <v>6</v>
      </c>
      <c r="G603" s="79">
        <v>7</v>
      </c>
      <c r="H603" s="79">
        <v>8</v>
      </c>
      <c r="I603" s="79">
        <v>9</v>
      </c>
      <c r="J603" s="79">
        <v>10</v>
      </c>
      <c r="K603" s="79">
        <v>11</v>
      </c>
      <c r="L603" s="79">
        <v>12</v>
      </c>
      <c r="M603" s="79">
        <v>13</v>
      </c>
      <c r="N603" s="79">
        <v>14</v>
      </c>
      <c r="O603" s="79">
        <v>15</v>
      </c>
      <c r="P603" s="46">
        <v>16</v>
      </c>
    </row>
    <row r="604" spans="1:16" ht="30" customHeight="1">
      <c r="A604" s="336">
        <v>1</v>
      </c>
      <c r="B604" s="659" t="s">
        <v>6468</v>
      </c>
      <c r="C604" s="344" t="s">
        <v>6469</v>
      </c>
      <c r="D604" s="600" t="s">
        <v>87</v>
      </c>
      <c r="E604" s="600"/>
      <c r="F604" s="600"/>
      <c r="G604" s="600"/>
      <c r="H604" s="600"/>
      <c r="I604" s="600"/>
      <c r="J604" s="600"/>
      <c r="K604" s="600"/>
      <c r="L604" s="600"/>
      <c r="M604" s="600"/>
      <c r="N604" s="600"/>
      <c r="O604" s="600"/>
      <c r="P604" s="600"/>
    </row>
    <row r="605" spans="1:16" ht="31.5" customHeight="1">
      <c r="A605" s="336">
        <v>2</v>
      </c>
      <c r="B605" s="660"/>
      <c r="C605" s="122" t="s">
        <v>7145</v>
      </c>
      <c r="D605" s="600" t="s">
        <v>87</v>
      </c>
      <c r="E605" s="600"/>
      <c r="F605" s="600"/>
      <c r="G605" s="600"/>
      <c r="H605" s="600"/>
      <c r="I605" s="600"/>
      <c r="J605" s="600"/>
      <c r="K605" s="600"/>
      <c r="L605" s="600"/>
      <c r="M605" s="600"/>
      <c r="N605" s="600"/>
      <c r="O605" s="600"/>
      <c r="P605" s="600"/>
    </row>
    <row r="606" spans="1:16" ht="75">
      <c r="A606" s="336">
        <v>3</v>
      </c>
      <c r="B606" s="660"/>
      <c r="C606" s="553" t="s">
        <v>7185</v>
      </c>
      <c r="D606" s="121" t="s">
        <v>6494</v>
      </c>
      <c r="E606" s="339" t="s">
        <v>17</v>
      </c>
      <c r="F606" s="339" t="s">
        <v>17</v>
      </c>
      <c r="G606" s="339" t="s">
        <v>17</v>
      </c>
      <c r="H606" s="339" t="s">
        <v>17</v>
      </c>
      <c r="I606" s="339" t="s">
        <v>194</v>
      </c>
      <c r="J606" s="339" t="s">
        <v>748</v>
      </c>
      <c r="K606" s="339" t="s">
        <v>748</v>
      </c>
      <c r="L606" s="339" t="s">
        <v>748</v>
      </c>
      <c r="M606" s="339" t="s">
        <v>17</v>
      </c>
      <c r="N606" s="339">
        <v>1</v>
      </c>
      <c r="O606" s="339">
        <v>1</v>
      </c>
      <c r="P606" s="340" t="s">
        <v>35</v>
      </c>
    </row>
    <row r="607" spans="1:16" ht="135">
      <c r="A607" s="336">
        <v>4</v>
      </c>
      <c r="B607" s="660"/>
      <c r="C607" s="553"/>
      <c r="D607" s="121" t="s">
        <v>6495</v>
      </c>
      <c r="E607" s="339">
        <v>11859</v>
      </c>
      <c r="F607" s="339" t="s">
        <v>6496</v>
      </c>
      <c r="G607" s="339" t="s">
        <v>6497</v>
      </c>
      <c r="H607" s="339" t="s">
        <v>17</v>
      </c>
      <c r="I607" s="339" t="s">
        <v>194</v>
      </c>
      <c r="J607" s="339" t="s">
        <v>748</v>
      </c>
      <c r="K607" s="339" t="s">
        <v>748</v>
      </c>
      <c r="L607" s="339" t="s">
        <v>748</v>
      </c>
      <c r="M607" s="339" t="s">
        <v>17</v>
      </c>
      <c r="N607" s="339">
        <v>3</v>
      </c>
      <c r="O607" s="339">
        <v>4</v>
      </c>
      <c r="P607" s="340" t="s">
        <v>35</v>
      </c>
    </row>
    <row r="608" spans="1:16" ht="105">
      <c r="A608" s="339">
        <v>5</v>
      </c>
      <c r="B608" s="661"/>
      <c r="C608" s="339" t="s">
        <v>7146</v>
      </c>
      <c r="D608" s="53" t="s">
        <v>7506</v>
      </c>
      <c r="E608" s="339" t="s">
        <v>7155</v>
      </c>
      <c r="F608" s="339">
        <v>1958</v>
      </c>
      <c r="G608" s="339">
        <v>2E-3</v>
      </c>
      <c r="H608" s="339">
        <v>5978</v>
      </c>
      <c r="I608" s="339" t="s">
        <v>150</v>
      </c>
      <c r="J608" s="339" t="s">
        <v>87</v>
      </c>
      <c r="K608" s="339" t="s">
        <v>87</v>
      </c>
      <c r="L608" s="339" t="s">
        <v>87</v>
      </c>
      <c r="M608" s="339" t="s">
        <v>87</v>
      </c>
      <c r="N608" s="339">
        <v>2</v>
      </c>
      <c r="O608" s="339">
        <v>6</v>
      </c>
      <c r="P608" s="53"/>
    </row>
    <row r="609" spans="1:16">
      <c r="A609" s="554"/>
      <c r="B609" s="554"/>
      <c r="C609" s="554"/>
      <c r="D609" s="554"/>
      <c r="E609" s="554"/>
      <c r="F609" s="554"/>
      <c r="G609" s="554"/>
      <c r="H609" s="554"/>
      <c r="I609" s="554"/>
      <c r="J609" s="554"/>
      <c r="K609" s="554"/>
      <c r="L609" s="554"/>
      <c r="M609" s="554"/>
      <c r="N609" s="554"/>
      <c r="O609" s="554"/>
      <c r="P609" s="554"/>
    </row>
    <row r="610" spans="1:16" ht="22.5">
      <c r="A610" s="701" t="s">
        <v>665</v>
      </c>
      <c r="B610" s="701"/>
      <c r="C610" s="701"/>
      <c r="D610" s="701"/>
      <c r="E610" s="701"/>
      <c r="F610" s="701"/>
      <c r="G610" s="701"/>
      <c r="H610" s="701"/>
      <c r="I610" s="701"/>
      <c r="J610" s="701"/>
      <c r="K610" s="701"/>
      <c r="L610" s="701"/>
      <c r="M610" s="701"/>
      <c r="N610" s="701"/>
      <c r="O610" s="701"/>
      <c r="P610" s="701"/>
    </row>
    <row r="611" spans="1:16" ht="20.25">
      <c r="A611" s="559" t="s">
        <v>61</v>
      </c>
      <c r="B611" s="559"/>
      <c r="C611" s="559"/>
      <c r="D611" s="559"/>
      <c r="E611" s="559"/>
      <c r="F611" s="559"/>
      <c r="G611" s="559"/>
      <c r="H611" s="559"/>
      <c r="I611" s="559"/>
      <c r="J611" s="559"/>
      <c r="K611" s="559"/>
      <c r="L611" s="559"/>
      <c r="M611" s="559"/>
      <c r="N611" s="559"/>
      <c r="O611" s="559"/>
      <c r="P611" s="559"/>
    </row>
    <row r="612" spans="1:16" ht="85.5">
      <c r="A612" s="46" t="s">
        <v>0</v>
      </c>
      <c r="B612" s="46" t="s">
        <v>2592</v>
      </c>
      <c r="C612" s="46" t="s">
        <v>1</v>
      </c>
      <c r="D612" s="46" t="s">
        <v>2593</v>
      </c>
      <c r="E612" s="46" t="s">
        <v>3</v>
      </c>
      <c r="F612" s="46" t="s">
        <v>4</v>
      </c>
      <c r="G612" s="46" t="s">
        <v>2594</v>
      </c>
      <c r="H612" s="46" t="s">
        <v>2595</v>
      </c>
      <c r="I612" s="46" t="s">
        <v>2392</v>
      </c>
      <c r="J612" s="46" t="s">
        <v>5</v>
      </c>
      <c r="K612" s="46" t="s">
        <v>6</v>
      </c>
      <c r="L612" s="46" t="s">
        <v>7</v>
      </c>
      <c r="M612" s="67" t="s">
        <v>8</v>
      </c>
      <c r="N612" s="67" t="s">
        <v>9</v>
      </c>
      <c r="O612" s="46" t="s">
        <v>10</v>
      </c>
      <c r="P612" s="74" t="s">
        <v>11</v>
      </c>
    </row>
    <row r="613" spans="1:16">
      <c r="A613" s="8">
        <v>1</v>
      </c>
      <c r="B613" s="46">
        <v>2</v>
      </c>
      <c r="C613" s="46">
        <v>3</v>
      </c>
      <c r="D613" s="46">
        <v>4</v>
      </c>
      <c r="E613" s="46">
        <v>5</v>
      </c>
      <c r="F613" s="46">
        <v>6</v>
      </c>
      <c r="G613" s="46">
        <v>7</v>
      </c>
      <c r="H613" s="46">
        <v>8</v>
      </c>
      <c r="I613" s="46">
        <v>9</v>
      </c>
      <c r="J613" s="46">
        <v>10</v>
      </c>
      <c r="K613" s="46">
        <v>11</v>
      </c>
      <c r="L613" s="46">
        <v>12</v>
      </c>
      <c r="M613" s="46">
        <v>13</v>
      </c>
      <c r="N613" s="46">
        <v>14</v>
      </c>
      <c r="O613" s="46">
        <v>15</v>
      </c>
      <c r="P613" s="46">
        <v>16</v>
      </c>
    </row>
    <row r="614" spans="1:16" ht="60">
      <c r="A614" s="336">
        <v>1</v>
      </c>
      <c r="B614" s="553" t="s">
        <v>2615</v>
      </c>
      <c r="C614" s="344" t="s">
        <v>2517</v>
      </c>
      <c r="D614" s="335" t="s">
        <v>2518</v>
      </c>
      <c r="E614" s="335" t="s">
        <v>2518</v>
      </c>
      <c r="F614" s="335" t="s">
        <v>2518</v>
      </c>
      <c r="G614" s="335" t="s">
        <v>2518</v>
      </c>
      <c r="H614" s="335" t="s">
        <v>2518</v>
      </c>
      <c r="I614" s="335" t="s">
        <v>2518</v>
      </c>
      <c r="J614" s="335" t="s">
        <v>2518</v>
      </c>
      <c r="K614" s="335" t="s">
        <v>2518</v>
      </c>
      <c r="L614" s="335" t="s">
        <v>2518</v>
      </c>
      <c r="M614" s="335" t="s">
        <v>2518</v>
      </c>
      <c r="N614" s="335" t="s">
        <v>2518</v>
      </c>
      <c r="O614" s="335" t="s">
        <v>2519</v>
      </c>
      <c r="P614" s="339" t="s">
        <v>2520</v>
      </c>
    </row>
    <row r="615" spans="1:16" ht="255">
      <c r="A615" s="336">
        <v>2</v>
      </c>
      <c r="B615" s="553"/>
      <c r="C615" s="344" t="s">
        <v>2521</v>
      </c>
      <c r="D615" s="53" t="s">
        <v>2522</v>
      </c>
      <c r="E615" s="336">
        <v>20000</v>
      </c>
      <c r="F615" s="336" t="s">
        <v>2523</v>
      </c>
      <c r="G615" s="336">
        <v>0.08</v>
      </c>
      <c r="H615" s="53" t="s">
        <v>2524</v>
      </c>
      <c r="I615" s="336" t="s">
        <v>2525</v>
      </c>
      <c r="J615" s="120"/>
      <c r="K615" s="120"/>
      <c r="L615" s="120"/>
      <c r="M615" s="120"/>
      <c r="N615" s="120"/>
      <c r="O615" s="120"/>
      <c r="P615" s="120"/>
    </row>
    <row r="616" spans="1:16">
      <c r="A616" s="600">
        <v>3</v>
      </c>
      <c r="B616" s="553"/>
      <c r="C616" s="553" t="s">
        <v>2526</v>
      </c>
      <c r="D616" s="340" t="s">
        <v>2518</v>
      </c>
      <c r="E616" s="340" t="s">
        <v>2518</v>
      </c>
      <c r="F616" s="340" t="s">
        <v>2518</v>
      </c>
      <c r="G616" s="340" t="s">
        <v>2518</v>
      </c>
      <c r="H616" s="340" t="s">
        <v>2518</v>
      </c>
      <c r="I616" s="340" t="s">
        <v>2518</v>
      </c>
      <c r="J616" s="340" t="s">
        <v>2518</v>
      </c>
      <c r="K616" s="340" t="s">
        <v>2518</v>
      </c>
      <c r="L616" s="340" t="s">
        <v>2518</v>
      </c>
      <c r="M616" s="340" t="s">
        <v>2518</v>
      </c>
      <c r="N616" s="340" t="s">
        <v>2518</v>
      </c>
      <c r="O616" s="340" t="s">
        <v>2518</v>
      </c>
      <c r="P616" s="340" t="s">
        <v>2518</v>
      </c>
    </row>
    <row r="617" spans="1:16" ht="60">
      <c r="A617" s="600"/>
      <c r="B617" s="553"/>
      <c r="C617" s="553"/>
      <c r="D617" s="344" t="s">
        <v>2527</v>
      </c>
      <c r="E617" s="336">
        <v>2100</v>
      </c>
      <c r="F617" s="123" t="s">
        <v>2528</v>
      </c>
      <c r="G617" s="336">
        <v>0.43609999999999999</v>
      </c>
      <c r="H617" s="339" t="s">
        <v>87</v>
      </c>
      <c r="I617" s="336" t="s">
        <v>150</v>
      </c>
      <c r="J617" s="339" t="s">
        <v>87</v>
      </c>
      <c r="K617" s="339" t="s">
        <v>87</v>
      </c>
      <c r="L617" s="339" t="s">
        <v>87</v>
      </c>
      <c r="M617" s="339" t="s">
        <v>2529</v>
      </c>
      <c r="N617" s="339" t="s">
        <v>87</v>
      </c>
      <c r="O617" s="339" t="s">
        <v>87</v>
      </c>
      <c r="P617" s="339" t="s">
        <v>87</v>
      </c>
    </row>
    <row r="618" spans="1:16" ht="30">
      <c r="A618" s="339">
        <v>4</v>
      </c>
      <c r="B618" s="553"/>
      <c r="C618" s="344" t="s">
        <v>2530</v>
      </c>
      <c r="D618" s="344" t="s">
        <v>2531</v>
      </c>
      <c r="E618" s="339">
        <v>10237.5</v>
      </c>
      <c r="F618" s="339" t="s">
        <v>2532</v>
      </c>
      <c r="G618" s="339">
        <v>0.57501440000000004</v>
      </c>
      <c r="H618" s="339" t="s">
        <v>35</v>
      </c>
      <c r="I618" s="339" t="s">
        <v>261</v>
      </c>
      <c r="J618" s="339" t="s">
        <v>35</v>
      </c>
      <c r="K618" s="339"/>
      <c r="L618" s="339" t="s">
        <v>26</v>
      </c>
      <c r="M618" s="339" t="s">
        <v>26</v>
      </c>
      <c r="N618" s="339"/>
      <c r="O618" s="339"/>
      <c r="P618" s="339"/>
    </row>
    <row r="619" spans="1:16" ht="95.25" customHeight="1">
      <c r="A619" s="336">
        <v>5</v>
      </c>
      <c r="B619" s="553"/>
      <c r="C619" s="344" t="s">
        <v>2533</v>
      </c>
      <c r="D619" s="344" t="s">
        <v>2534</v>
      </c>
      <c r="E619" s="339" t="s">
        <v>2535</v>
      </c>
      <c r="F619" s="339"/>
      <c r="G619" s="339"/>
      <c r="H619" s="339" t="s">
        <v>2536</v>
      </c>
      <c r="I619" s="339" t="s">
        <v>261</v>
      </c>
      <c r="J619" s="339"/>
      <c r="K619" s="339"/>
      <c r="L619" s="339"/>
      <c r="M619" s="339" t="s">
        <v>2537</v>
      </c>
      <c r="N619" s="339"/>
      <c r="O619" s="339"/>
      <c r="P619" s="339"/>
    </row>
    <row r="620" spans="1:16">
      <c r="A620" s="554"/>
      <c r="B620" s="554"/>
      <c r="C620" s="554"/>
      <c r="D620" s="554"/>
      <c r="E620" s="554"/>
      <c r="F620" s="554"/>
      <c r="G620" s="554"/>
      <c r="H620" s="554"/>
      <c r="I620" s="554"/>
      <c r="J620" s="554"/>
      <c r="K620" s="554"/>
      <c r="L620" s="554"/>
      <c r="M620" s="554"/>
      <c r="N620" s="554"/>
      <c r="O620" s="554"/>
      <c r="P620" s="554"/>
    </row>
    <row r="621" spans="1:16" ht="20.25" customHeight="1">
      <c r="A621" s="559" t="s">
        <v>88</v>
      </c>
      <c r="B621" s="559"/>
      <c r="C621" s="559"/>
      <c r="D621" s="559"/>
      <c r="E621" s="559"/>
      <c r="F621" s="559"/>
      <c r="G621" s="559"/>
      <c r="H621" s="559"/>
      <c r="I621" s="559"/>
      <c r="J621" s="559"/>
      <c r="K621" s="559"/>
      <c r="L621" s="559"/>
      <c r="M621" s="559"/>
      <c r="N621" s="559"/>
      <c r="O621" s="559"/>
      <c r="P621" s="588"/>
    </row>
    <row r="622" spans="1:16" ht="85.5">
      <c r="A622" s="46" t="s">
        <v>0</v>
      </c>
      <c r="B622" s="46" t="s">
        <v>2582</v>
      </c>
      <c r="C622" s="46" t="s">
        <v>1</v>
      </c>
      <c r="D622" s="46" t="s">
        <v>2596</v>
      </c>
      <c r="E622" s="67" t="s">
        <v>62</v>
      </c>
      <c r="F622" s="67" t="s">
        <v>63</v>
      </c>
      <c r="G622" s="46" t="s">
        <v>2560</v>
      </c>
      <c r="H622" s="46" t="s">
        <v>2561</v>
      </c>
      <c r="I622" s="46" t="s">
        <v>2583</v>
      </c>
      <c r="J622" s="46" t="s">
        <v>5</v>
      </c>
      <c r="K622" s="46" t="s">
        <v>6</v>
      </c>
      <c r="L622" s="46" t="s">
        <v>66</v>
      </c>
      <c r="M622" s="46" t="s">
        <v>67</v>
      </c>
      <c r="N622" s="67" t="s">
        <v>68</v>
      </c>
      <c r="O622" s="74" t="s">
        <v>69</v>
      </c>
      <c r="P622" s="588"/>
    </row>
    <row r="623" spans="1:16">
      <c r="A623" s="345">
        <v>1</v>
      </c>
      <c r="B623" s="79">
        <v>2</v>
      </c>
      <c r="C623" s="79">
        <v>3</v>
      </c>
      <c r="D623" s="79">
        <v>4</v>
      </c>
      <c r="E623" s="79">
        <v>5</v>
      </c>
      <c r="F623" s="79">
        <v>6</v>
      </c>
      <c r="G623" s="79">
        <v>7</v>
      </c>
      <c r="H623" s="79">
        <v>8</v>
      </c>
      <c r="I623" s="79">
        <v>9</v>
      </c>
      <c r="J623" s="79">
        <v>10</v>
      </c>
      <c r="K623" s="79">
        <v>11</v>
      </c>
      <c r="L623" s="79">
        <v>12</v>
      </c>
      <c r="M623" s="79">
        <v>13</v>
      </c>
      <c r="N623" s="79">
        <v>14</v>
      </c>
      <c r="O623" s="79">
        <v>15</v>
      </c>
      <c r="P623" s="588"/>
    </row>
    <row r="624" spans="1:16" ht="45">
      <c r="A624" s="336">
        <v>1</v>
      </c>
      <c r="B624" s="553" t="s">
        <v>2615</v>
      </c>
      <c r="C624" s="344" t="s">
        <v>2517</v>
      </c>
      <c r="D624" s="352" t="s">
        <v>2538</v>
      </c>
      <c r="E624" s="335">
        <v>9768</v>
      </c>
      <c r="F624" s="336" t="s">
        <v>2539</v>
      </c>
      <c r="G624" s="335">
        <v>0.44</v>
      </c>
      <c r="H624" s="335" t="s">
        <v>17</v>
      </c>
      <c r="I624" s="335" t="s">
        <v>150</v>
      </c>
      <c r="J624" s="335" t="s">
        <v>17</v>
      </c>
      <c r="K624" s="335" t="s">
        <v>17</v>
      </c>
      <c r="L624" s="335" t="s">
        <v>17</v>
      </c>
      <c r="M624" s="335" t="s">
        <v>2519</v>
      </c>
      <c r="N624" s="335">
        <v>1</v>
      </c>
      <c r="O624" s="49" t="s">
        <v>2540</v>
      </c>
      <c r="P624" s="588"/>
    </row>
    <row r="625" spans="1:16" ht="75">
      <c r="A625" s="336">
        <v>2</v>
      </c>
      <c r="B625" s="553"/>
      <c r="C625" s="344" t="s">
        <v>2541</v>
      </c>
      <c r="D625" s="344" t="s">
        <v>2542</v>
      </c>
      <c r="E625" s="336">
        <v>8900.8700000000008</v>
      </c>
      <c r="F625" s="339" t="s">
        <v>2543</v>
      </c>
      <c r="G625" s="336">
        <v>0.24</v>
      </c>
      <c r="H625" s="336"/>
      <c r="I625" s="336" t="s">
        <v>1008</v>
      </c>
      <c r="J625" s="336" t="s">
        <v>26</v>
      </c>
      <c r="K625" s="336"/>
      <c r="L625" s="336" t="s">
        <v>26</v>
      </c>
      <c r="M625" s="336"/>
      <c r="N625" s="336">
        <v>1</v>
      </c>
      <c r="O625" s="336"/>
      <c r="P625" s="588"/>
    </row>
    <row r="626" spans="1:16" ht="105">
      <c r="A626" s="336">
        <v>3</v>
      </c>
      <c r="B626" s="553"/>
      <c r="C626" s="344" t="s">
        <v>2541</v>
      </c>
      <c r="D626" s="344" t="s">
        <v>2544</v>
      </c>
      <c r="E626" s="336">
        <v>734.37</v>
      </c>
      <c r="F626" s="336" t="s">
        <v>2545</v>
      </c>
      <c r="G626" s="339" t="s">
        <v>2546</v>
      </c>
      <c r="H626" s="336">
        <v>4750</v>
      </c>
      <c r="I626" s="336" t="s">
        <v>1008</v>
      </c>
      <c r="J626" s="336" t="s">
        <v>26</v>
      </c>
      <c r="K626" s="339" t="s">
        <v>2547</v>
      </c>
      <c r="L626" s="336" t="s">
        <v>26</v>
      </c>
      <c r="M626" s="336"/>
      <c r="N626" s="336">
        <v>2</v>
      </c>
      <c r="O626" s="336"/>
      <c r="P626" s="588"/>
    </row>
    <row r="627" spans="1:16" ht="30">
      <c r="A627" s="336">
        <v>4</v>
      </c>
      <c r="B627" s="553"/>
      <c r="C627" s="344" t="s">
        <v>2548</v>
      </c>
      <c r="D627" s="352" t="s">
        <v>2549</v>
      </c>
      <c r="E627" s="49">
        <v>7734</v>
      </c>
      <c r="F627" s="49">
        <v>1942</v>
      </c>
      <c r="G627" s="49">
        <v>0.11600000000000001</v>
      </c>
      <c r="H627" s="49" t="s">
        <v>193</v>
      </c>
      <c r="I627" s="49" t="s">
        <v>150</v>
      </c>
      <c r="J627" s="49" t="s">
        <v>87</v>
      </c>
      <c r="K627" s="49" t="s">
        <v>87</v>
      </c>
      <c r="L627" s="49" t="s">
        <v>87</v>
      </c>
      <c r="M627" s="49" t="s">
        <v>193</v>
      </c>
      <c r="N627" s="49">
        <v>1</v>
      </c>
      <c r="O627" s="49"/>
      <c r="P627" s="588"/>
    </row>
    <row r="628" spans="1:16" ht="30">
      <c r="A628" s="336">
        <v>5</v>
      </c>
      <c r="B628" s="553"/>
      <c r="C628" s="344" t="s">
        <v>2550</v>
      </c>
      <c r="D628" s="344" t="s">
        <v>2551</v>
      </c>
      <c r="E628" s="339">
        <v>4647.9549999999999</v>
      </c>
      <c r="F628" s="253">
        <v>30560</v>
      </c>
      <c r="G628" s="339">
        <v>0.12</v>
      </c>
      <c r="H628" s="339"/>
      <c r="I628" s="339" t="s">
        <v>2552</v>
      </c>
      <c r="J628" s="339"/>
      <c r="K628" s="339"/>
      <c r="L628" s="339" t="s">
        <v>1446</v>
      </c>
      <c r="M628" s="339"/>
      <c r="N628" s="339">
        <v>1</v>
      </c>
      <c r="O628" s="339"/>
      <c r="P628" s="588"/>
    </row>
    <row r="629" spans="1:16" ht="75">
      <c r="A629" s="336">
        <v>6</v>
      </c>
      <c r="B629" s="553"/>
      <c r="C629" s="344" t="s">
        <v>2550</v>
      </c>
      <c r="D629" s="344" t="s">
        <v>2553</v>
      </c>
      <c r="E629" s="339">
        <v>501.66</v>
      </c>
      <c r="F629" s="339"/>
      <c r="G629" s="339">
        <v>3.5499999999999997E-2</v>
      </c>
      <c r="H629" s="339"/>
      <c r="I629" s="339" t="s">
        <v>2552</v>
      </c>
      <c r="J629" s="339"/>
      <c r="K629" s="339"/>
      <c r="L629" s="339" t="s">
        <v>1446</v>
      </c>
      <c r="M629" s="339"/>
      <c r="N629" s="339">
        <v>2</v>
      </c>
      <c r="O629" s="339"/>
      <c r="P629" s="588"/>
    </row>
    <row r="630" spans="1:16" ht="45">
      <c r="A630" s="336">
        <v>7</v>
      </c>
      <c r="B630" s="553"/>
      <c r="C630" s="344" t="s">
        <v>2554</v>
      </c>
      <c r="D630" s="344" t="s">
        <v>2555</v>
      </c>
      <c r="E630" s="339">
        <v>1945</v>
      </c>
      <c r="F630" s="253"/>
      <c r="G630" s="339"/>
      <c r="H630" s="339"/>
      <c r="I630" s="339" t="s">
        <v>1240</v>
      </c>
      <c r="J630" s="339"/>
      <c r="K630" s="339"/>
      <c r="L630" s="339"/>
      <c r="M630" s="339"/>
      <c r="N630" s="339"/>
      <c r="O630" s="339" t="s">
        <v>2556</v>
      </c>
      <c r="P630" s="588"/>
    </row>
    <row r="631" spans="1:16" ht="45">
      <c r="A631" s="336">
        <v>8</v>
      </c>
      <c r="B631" s="553"/>
      <c r="C631" s="344" t="s">
        <v>2554</v>
      </c>
      <c r="D631" s="344" t="s">
        <v>2557</v>
      </c>
      <c r="E631" s="339">
        <v>3016.96</v>
      </c>
      <c r="F631" s="339" t="s">
        <v>2558</v>
      </c>
      <c r="G631" s="339">
        <v>6.14</v>
      </c>
      <c r="H631" s="339"/>
      <c r="I631" s="339" t="s">
        <v>1240</v>
      </c>
      <c r="J631" s="339"/>
      <c r="K631" s="339"/>
      <c r="L631" s="339"/>
      <c r="M631" s="339"/>
      <c r="N631" s="339"/>
      <c r="O631" s="339" t="s">
        <v>2559</v>
      </c>
      <c r="P631" s="588"/>
    </row>
    <row r="632" spans="1:16">
      <c r="A632" s="554"/>
      <c r="B632" s="554"/>
      <c r="C632" s="554"/>
      <c r="D632" s="554"/>
      <c r="E632" s="554"/>
      <c r="F632" s="554"/>
      <c r="G632" s="554"/>
      <c r="H632" s="554"/>
      <c r="I632" s="554"/>
      <c r="J632" s="554"/>
      <c r="K632" s="554"/>
      <c r="L632" s="554"/>
      <c r="M632" s="554"/>
      <c r="N632" s="554"/>
      <c r="O632" s="554"/>
      <c r="P632" s="554"/>
    </row>
    <row r="633" spans="1:16" ht="20.25" customHeight="1">
      <c r="A633" s="588" t="s">
        <v>111</v>
      </c>
      <c r="B633" s="588"/>
      <c r="C633" s="588"/>
      <c r="D633" s="588"/>
      <c r="E633" s="588"/>
      <c r="F633" s="588"/>
      <c r="G633" s="588"/>
      <c r="H633" s="588"/>
      <c r="I633" s="588"/>
      <c r="J633" s="588"/>
      <c r="K633" s="588"/>
      <c r="L633" s="588"/>
      <c r="M633" s="588"/>
      <c r="N633" s="588"/>
      <c r="O633" s="588"/>
      <c r="P633" s="588"/>
    </row>
    <row r="634" spans="1:16" ht="85.5">
      <c r="A634" s="46" t="s">
        <v>0</v>
      </c>
      <c r="B634" s="46" t="s">
        <v>2582</v>
      </c>
      <c r="C634" s="46" t="s">
        <v>1</v>
      </c>
      <c r="D634" s="46" t="s">
        <v>2596</v>
      </c>
      <c r="E634" s="46" t="s">
        <v>89</v>
      </c>
      <c r="F634" s="46" t="s">
        <v>63</v>
      </c>
      <c r="G634" s="46" t="s">
        <v>2590</v>
      </c>
      <c r="H634" s="46" t="s">
        <v>2561</v>
      </c>
      <c r="I634" s="46" t="s">
        <v>2391</v>
      </c>
      <c r="J634" s="46" t="s">
        <v>5</v>
      </c>
      <c r="K634" s="46" t="s">
        <v>6</v>
      </c>
      <c r="L634" s="46" t="s">
        <v>91</v>
      </c>
      <c r="M634" s="46" t="s">
        <v>67</v>
      </c>
      <c r="N634" s="67" t="s">
        <v>92</v>
      </c>
      <c r="O634" s="74" t="s">
        <v>11</v>
      </c>
      <c r="P634" s="588"/>
    </row>
    <row r="635" spans="1:16">
      <c r="A635" s="345">
        <v>1</v>
      </c>
      <c r="B635" s="79">
        <v>2</v>
      </c>
      <c r="C635" s="79">
        <v>3</v>
      </c>
      <c r="D635" s="79">
        <v>4</v>
      </c>
      <c r="E635" s="79">
        <v>5</v>
      </c>
      <c r="F635" s="79">
        <v>6</v>
      </c>
      <c r="G635" s="79">
        <v>7</v>
      </c>
      <c r="H635" s="79">
        <v>8</v>
      </c>
      <c r="I635" s="79">
        <v>9</v>
      </c>
      <c r="J635" s="79">
        <v>10</v>
      </c>
      <c r="K635" s="79">
        <v>11</v>
      </c>
      <c r="L635" s="79">
        <v>12</v>
      </c>
      <c r="M635" s="79">
        <v>13</v>
      </c>
      <c r="N635" s="79">
        <v>14</v>
      </c>
      <c r="O635" s="79">
        <v>15</v>
      </c>
      <c r="P635" s="588"/>
    </row>
    <row r="636" spans="1:16" ht="60">
      <c r="A636" s="336">
        <v>1</v>
      </c>
      <c r="B636" s="553" t="s">
        <v>2615</v>
      </c>
      <c r="C636" s="344" t="s">
        <v>2517</v>
      </c>
      <c r="D636" s="344" t="s">
        <v>2562</v>
      </c>
      <c r="E636" s="336">
        <v>2007.43</v>
      </c>
      <c r="F636" s="336" t="s">
        <v>2563</v>
      </c>
      <c r="G636" s="336">
        <v>0.14000000000000001</v>
      </c>
      <c r="H636" s="335" t="s">
        <v>17</v>
      </c>
      <c r="I636" s="336" t="s">
        <v>150</v>
      </c>
      <c r="J636" s="335" t="s">
        <v>17</v>
      </c>
      <c r="K636" s="335" t="s">
        <v>17</v>
      </c>
      <c r="L636" s="335" t="s">
        <v>17</v>
      </c>
      <c r="M636" s="335" t="s">
        <v>2519</v>
      </c>
      <c r="N636" s="336">
        <v>1</v>
      </c>
      <c r="O636" s="339" t="s">
        <v>2564</v>
      </c>
      <c r="P636" s="588"/>
    </row>
    <row r="637" spans="1:16" ht="45">
      <c r="A637" s="336">
        <v>2</v>
      </c>
      <c r="B637" s="553"/>
      <c r="C637" s="344" t="s">
        <v>2517</v>
      </c>
      <c r="D637" s="344" t="s">
        <v>2565</v>
      </c>
      <c r="E637" s="336">
        <v>3259.29</v>
      </c>
      <c r="F637" s="336">
        <v>1998</v>
      </c>
      <c r="G637" s="336">
        <v>3</v>
      </c>
      <c r="H637" s="335" t="s">
        <v>17</v>
      </c>
      <c r="I637" s="336" t="s">
        <v>150</v>
      </c>
      <c r="J637" s="335" t="s">
        <v>17</v>
      </c>
      <c r="K637" s="335" t="s">
        <v>17</v>
      </c>
      <c r="L637" s="335" t="s">
        <v>17</v>
      </c>
      <c r="M637" s="335" t="s">
        <v>2519</v>
      </c>
      <c r="N637" s="336">
        <v>3</v>
      </c>
      <c r="O637" s="336" t="s">
        <v>17</v>
      </c>
      <c r="P637" s="588"/>
    </row>
    <row r="638" spans="1:16" ht="45">
      <c r="A638" s="336">
        <v>3</v>
      </c>
      <c r="B638" s="553"/>
      <c r="C638" s="344" t="s">
        <v>2517</v>
      </c>
      <c r="D638" s="344" t="s">
        <v>2566</v>
      </c>
      <c r="E638" s="336">
        <v>7756.3</v>
      </c>
      <c r="F638" s="336" t="s">
        <v>2567</v>
      </c>
      <c r="G638" s="336">
        <v>37.700000000000003</v>
      </c>
      <c r="H638" s="335" t="s">
        <v>17</v>
      </c>
      <c r="I638" s="336" t="s">
        <v>150</v>
      </c>
      <c r="J638" s="335" t="s">
        <v>17</v>
      </c>
      <c r="K638" s="335" t="s">
        <v>17</v>
      </c>
      <c r="L638" s="335" t="s">
        <v>17</v>
      </c>
      <c r="M638" s="335" t="s">
        <v>2519</v>
      </c>
      <c r="N638" s="336">
        <v>4</v>
      </c>
      <c r="O638" s="336" t="s">
        <v>17</v>
      </c>
      <c r="P638" s="588"/>
    </row>
    <row r="639" spans="1:16" ht="60">
      <c r="A639" s="336">
        <v>4</v>
      </c>
      <c r="B639" s="553"/>
      <c r="C639" s="344" t="s">
        <v>2517</v>
      </c>
      <c r="D639" s="344" t="s">
        <v>2568</v>
      </c>
      <c r="E639" s="336">
        <v>1852.85</v>
      </c>
      <c r="F639" s="336" t="s">
        <v>2563</v>
      </c>
      <c r="G639" s="336">
        <v>0.14000000000000001</v>
      </c>
      <c r="H639" s="335" t="s">
        <v>17</v>
      </c>
      <c r="I639" s="336" t="s">
        <v>150</v>
      </c>
      <c r="J639" s="335" t="s">
        <v>17</v>
      </c>
      <c r="K639" s="335" t="s">
        <v>17</v>
      </c>
      <c r="L639" s="335" t="s">
        <v>17</v>
      </c>
      <c r="M639" s="335" t="s">
        <v>2519</v>
      </c>
      <c r="N639" s="336">
        <v>5</v>
      </c>
      <c r="O639" s="339" t="s">
        <v>2564</v>
      </c>
      <c r="P639" s="588"/>
    </row>
    <row r="640" spans="1:16" ht="105">
      <c r="A640" s="336">
        <v>5</v>
      </c>
      <c r="B640" s="553"/>
      <c r="C640" s="344" t="s">
        <v>2541</v>
      </c>
      <c r="D640" s="344" t="s">
        <v>2569</v>
      </c>
      <c r="E640" s="336">
        <v>966.2</v>
      </c>
      <c r="F640" s="336" t="s">
        <v>2545</v>
      </c>
      <c r="G640" s="339" t="s">
        <v>2546</v>
      </c>
      <c r="H640" s="336">
        <v>4750</v>
      </c>
      <c r="I640" s="336" t="s">
        <v>735</v>
      </c>
      <c r="J640" s="336" t="s">
        <v>26</v>
      </c>
      <c r="K640" s="339" t="s">
        <v>2547</v>
      </c>
      <c r="L640" s="336" t="s">
        <v>26</v>
      </c>
      <c r="M640" s="336"/>
      <c r="N640" s="336">
        <v>2</v>
      </c>
      <c r="O640" s="336"/>
      <c r="P640" s="588"/>
    </row>
    <row r="641" spans="1:16" ht="45">
      <c r="A641" s="336">
        <v>6</v>
      </c>
      <c r="B641" s="553"/>
      <c r="C641" s="553" t="s">
        <v>2575</v>
      </c>
      <c r="D641" s="344" t="s">
        <v>2570</v>
      </c>
      <c r="E641" s="339">
        <v>3714</v>
      </c>
      <c r="F641" s="339">
        <v>1952</v>
      </c>
      <c r="G641" s="339">
        <v>5.8000000000000003E-2</v>
      </c>
      <c r="H641" s="339" t="s">
        <v>193</v>
      </c>
      <c r="I641" s="336" t="s">
        <v>150</v>
      </c>
      <c r="J641" s="336" t="s">
        <v>87</v>
      </c>
      <c r="K641" s="336" t="s">
        <v>87</v>
      </c>
      <c r="L641" s="336" t="s">
        <v>87</v>
      </c>
      <c r="M641" s="336" t="s">
        <v>2571</v>
      </c>
      <c r="N641" s="336">
        <v>1</v>
      </c>
      <c r="O641" s="336" t="s">
        <v>2572</v>
      </c>
      <c r="P641" s="588"/>
    </row>
    <row r="642" spans="1:16" ht="45">
      <c r="A642" s="336">
        <v>7</v>
      </c>
      <c r="B642" s="553"/>
      <c r="C642" s="553"/>
      <c r="D642" s="344" t="s">
        <v>2573</v>
      </c>
      <c r="E642" s="336" t="s">
        <v>17</v>
      </c>
      <c r="F642" s="336" t="s">
        <v>17</v>
      </c>
      <c r="G642" s="336" t="s">
        <v>17</v>
      </c>
      <c r="H642" s="336" t="s">
        <v>17</v>
      </c>
      <c r="I642" s="336" t="s">
        <v>17</v>
      </c>
      <c r="J642" s="336" t="s">
        <v>17</v>
      </c>
      <c r="K642" s="336" t="s">
        <v>17</v>
      </c>
      <c r="L642" s="336" t="s">
        <v>17</v>
      </c>
      <c r="M642" s="336" t="s">
        <v>17</v>
      </c>
      <c r="N642" s="336">
        <v>2</v>
      </c>
      <c r="O642" s="339" t="s">
        <v>2574</v>
      </c>
      <c r="P642" s="588"/>
    </row>
    <row r="643" spans="1:16" ht="45">
      <c r="A643" s="336">
        <v>8</v>
      </c>
      <c r="B643" s="553"/>
      <c r="C643" s="344" t="s">
        <v>2576</v>
      </c>
      <c r="D643" s="344" t="s">
        <v>2591</v>
      </c>
      <c r="E643" s="339">
        <v>10120</v>
      </c>
      <c r="F643" s="273" t="s">
        <v>2577</v>
      </c>
      <c r="G643" s="339">
        <v>1.2264999999999999</v>
      </c>
      <c r="H643" s="339"/>
      <c r="I643" s="339" t="s">
        <v>418</v>
      </c>
      <c r="J643" s="339"/>
      <c r="K643" s="339"/>
      <c r="L643" s="339" t="s">
        <v>1446</v>
      </c>
      <c r="M643" s="339"/>
      <c r="N643" s="339">
        <v>1</v>
      </c>
      <c r="O643" s="339"/>
      <c r="P643" s="588"/>
    </row>
    <row r="644" spans="1:16" ht="45">
      <c r="A644" s="336">
        <v>9</v>
      </c>
      <c r="B644" s="553"/>
      <c r="C644" s="344" t="s">
        <v>2578</v>
      </c>
      <c r="D644" s="344" t="s">
        <v>2579</v>
      </c>
      <c r="E644" s="339">
        <v>29960.45</v>
      </c>
      <c r="F644" s="273"/>
      <c r="G644" s="339"/>
      <c r="H644" s="339" t="s">
        <v>2580</v>
      </c>
      <c r="I644" s="339" t="s">
        <v>1240</v>
      </c>
      <c r="J644" s="339"/>
      <c r="K644" s="339"/>
      <c r="L644" s="339"/>
      <c r="M644" s="339"/>
      <c r="N644" s="339"/>
      <c r="O644" s="339" t="s">
        <v>2581</v>
      </c>
      <c r="P644" s="588"/>
    </row>
    <row r="645" spans="1:16" ht="15.75" customHeight="1">
      <c r="A645" s="554"/>
      <c r="B645" s="554"/>
      <c r="C645" s="554"/>
      <c r="D645" s="554"/>
      <c r="E645" s="554"/>
      <c r="F645" s="554"/>
      <c r="G645" s="554"/>
      <c r="H645" s="554"/>
      <c r="I645" s="554"/>
      <c r="J645" s="554"/>
      <c r="K645" s="554"/>
      <c r="L645" s="554"/>
      <c r="M645" s="554"/>
      <c r="N645" s="554"/>
      <c r="O645" s="554"/>
      <c r="P645" s="554"/>
    </row>
    <row r="646" spans="1:16" ht="20.25">
      <c r="A646" s="559" t="s">
        <v>112</v>
      </c>
      <c r="B646" s="559"/>
      <c r="C646" s="559"/>
      <c r="D646" s="559"/>
      <c r="E646" s="559"/>
      <c r="F646" s="559"/>
      <c r="G646" s="559"/>
      <c r="H646" s="559"/>
      <c r="I646" s="559"/>
      <c r="J646" s="559"/>
      <c r="K646" s="559"/>
      <c r="L646" s="559"/>
      <c r="M646" s="559"/>
      <c r="N646" s="559"/>
      <c r="O646" s="559"/>
      <c r="P646" s="559"/>
    </row>
    <row r="647" spans="1:16" ht="85.5">
      <c r="A647" s="46" t="s">
        <v>0</v>
      </c>
      <c r="B647" s="46" t="s">
        <v>2582</v>
      </c>
      <c r="C647" s="46" t="s">
        <v>1</v>
      </c>
      <c r="D647" s="46" t="s">
        <v>2596</v>
      </c>
      <c r="E647" s="46" t="s">
        <v>89</v>
      </c>
      <c r="F647" s="46" t="s">
        <v>63</v>
      </c>
      <c r="G647" s="46" t="s">
        <v>2390</v>
      </c>
      <c r="H647" s="46" t="s">
        <v>2561</v>
      </c>
      <c r="I647" s="46" t="s">
        <v>2391</v>
      </c>
      <c r="J647" s="46" t="s">
        <v>5</v>
      </c>
      <c r="K647" s="46" t="s">
        <v>6</v>
      </c>
      <c r="L647" s="46" t="s">
        <v>91</v>
      </c>
      <c r="M647" s="46" t="s">
        <v>67</v>
      </c>
      <c r="N647" s="67" t="s">
        <v>110</v>
      </c>
      <c r="O647" s="67" t="s">
        <v>92</v>
      </c>
      <c r="P647" s="74" t="s">
        <v>69</v>
      </c>
    </row>
    <row r="648" spans="1:16">
      <c r="A648" s="79">
        <v>1</v>
      </c>
      <c r="B648" s="79">
        <v>2</v>
      </c>
      <c r="C648" s="79">
        <v>3</v>
      </c>
      <c r="D648" s="79">
        <v>4</v>
      </c>
      <c r="E648" s="79">
        <v>5</v>
      </c>
      <c r="F648" s="79">
        <v>6</v>
      </c>
      <c r="G648" s="79">
        <v>7</v>
      </c>
      <c r="H648" s="79">
        <v>8</v>
      </c>
      <c r="I648" s="79">
        <v>9</v>
      </c>
      <c r="J648" s="79">
        <v>10</v>
      </c>
      <c r="K648" s="79">
        <v>11</v>
      </c>
      <c r="L648" s="79">
        <v>12</v>
      </c>
      <c r="M648" s="79">
        <v>13</v>
      </c>
      <c r="N648" s="79">
        <v>14</v>
      </c>
      <c r="O648" s="79">
        <v>15</v>
      </c>
      <c r="P648" s="46">
        <v>16</v>
      </c>
    </row>
    <row r="649" spans="1:16" ht="45">
      <c r="A649" s="336">
        <v>1</v>
      </c>
      <c r="B649" s="553" t="s">
        <v>2615</v>
      </c>
      <c r="C649" s="344" t="s">
        <v>2584</v>
      </c>
      <c r="D649" s="344" t="s">
        <v>2585</v>
      </c>
      <c r="E649" s="335">
        <v>2004</v>
      </c>
      <c r="F649" s="336" t="s">
        <v>2586</v>
      </c>
      <c r="G649" s="336">
        <v>0.78</v>
      </c>
      <c r="H649" s="336" t="s">
        <v>17</v>
      </c>
      <c r="I649" s="336" t="s">
        <v>150</v>
      </c>
      <c r="J649" s="335" t="s">
        <v>17</v>
      </c>
      <c r="K649" s="335" t="s">
        <v>17</v>
      </c>
      <c r="L649" s="335" t="s">
        <v>17</v>
      </c>
      <c r="M649" s="335" t="s">
        <v>2519</v>
      </c>
      <c r="N649" s="336">
        <v>2</v>
      </c>
      <c r="O649" s="336">
        <v>6</v>
      </c>
      <c r="P649" s="207" t="s">
        <v>2587</v>
      </c>
    </row>
    <row r="650" spans="1:16" ht="255">
      <c r="A650" s="595">
        <v>2</v>
      </c>
      <c r="B650" s="553"/>
      <c r="C650" s="344" t="s">
        <v>2521</v>
      </c>
      <c r="D650" s="344" t="s">
        <v>2522</v>
      </c>
      <c r="E650" s="336">
        <v>20000</v>
      </c>
      <c r="F650" s="336" t="s">
        <v>2523</v>
      </c>
      <c r="G650" s="336">
        <v>0.08</v>
      </c>
      <c r="H650" s="339" t="s">
        <v>2588</v>
      </c>
      <c r="I650" s="336" t="s">
        <v>2525</v>
      </c>
      <c r="J650" s="336"/>
      <c r="K650" s="336"/>
      <c r="L650" s="336"/>
      <c r="M650" s="336"/>
      <c r="N650" s="336">
        <v>1</v>
      </c>
      <c r="O650" s="336"/>
      <c r="P650" s="336"/>
    </row>
    <row r="651" spans="1:16" ht="105">
      <c r="A651" s="595"/>
      <c r="B651" s="553"/>
      <c r="C651" s="344" t="s">
        <v>2521</v>
      </c>
      <c r="D651" s="344" t="s">
        <v>2544</v>
      </c>
      <c r="E651" s="336">
        <v>15616.1</v>
      </c>
      <c r="F651" s="336">
        <v>1987</v>
      </c>
      <c r="G651" s="339" t="s">
        <v>2546</v>
      </c>
      <c r="H651" s="336">
        <v>4750</v>
      </c>
      <c r="I651" s="339" t="s">
        <v>6994</v>
      </c>
      <c r="J651" s="336" t="s">
        <v>26</v>
      </c>
      <c r="K651" s="339" t="s">
        <v>26</v>
      </c>
      <c r="L651" s="336" t="s">
        <v>26</v>
      </c>
      <c r="M651" s="336"/>
      <c r="N651" s="336">
        <v>2</v>
      </c>
      <c r="O651" s="336">
        <v>2</v>
      </c>
      <c r="P651" s="336"/>
    </row>
    <row r="652" spans="1:16" ht="45">
      <c r="A652" s="339">
        <v>3</v>
      </c>
      <c r="B652" s="553"/>
      <c r="C652" s="344" t="s">
        <v>2589</v>
      </c>
      <c r="D652" s="595" t="s">
        <v>87</v>
      </c>
      <c r="E652" s="595"/>
      <c r="F652" s="595"/>
      <c r="G652" s="595"/>
      <c r="H652" s="595"/>
      <c r="I652" s="595"/>
      <c r="J652" s="595"/>
      <c r="K652" s="595"/>
      <c r="L652" s="595"/>
      <c r="M652" s="595"/>
      <c r="N652" s="595"/>
      <c r="O652" s="595"/>
      <c r="P652" s="595"/>
    </row>
    <row r="653" spans="1:16" ht="30">
      <c r="A653" s="339">
        <v>4</v>
      </c>
      <c r="B653" s="553"/>
      <c r="C653" s="344" t="s">
        <v>2530</v>
      </c>
      <c r="D653" s="595" t="s">
        <v>87</v>
      </c>
      <c r="E653" s="595"/>
      <c r="F653" s="595"/>
      <c r="G653" s="595"/>
      <c r="H653" s="595"/>
      <c r="I653" s="595"/>
      <c r="J653" s="595"/>
      <c r="K653" s="595"/>
      <c r="L653" s="595"/>
      <c r="M653" s="595"/>
      <c r="N653" s="595"/>
      <c r="O653" s="595"/>
      <c r="P653" s="595"/>
    </row>
    <row r="654" spans="1:16" ht="45">
      <c r="A654" s="339">
        <v>5</v>
      </c>
      <c r="B654" s="553"/>
      <c r="C654" s="344" t="s">
        <v>2533</v>
      </c>
      <c r="D654" s="595" t="s">
        <v>87</v>
      </c>
      <c r="E654" s="595"/>
      <c r="F654" s="595"/>
      <c r="G654" s="595"/>
      <c r="H654" s="595"/>
      <c r="I654" s="595"/>
      <c r="J654" s="595"/>
      <c r="K654" s="595"/>
      <c r="L654" s="595"/>
      <c r="M654" s="595"/>
      <c r="N654" s="595"/>
      <c r="O654" s="595"/>
      <c r="P654" s="595"/>
    </row>
    <row r="655" spans="1:16">
      <c r="A655" s="554"/>
      <c r="B655" s="554"/>
      <c r="C655" s="554"/>
      <c r="D655" s="554"/>
      <c r="E655" s="554"/>
      <c r="F655" s="554"/>
      <c r="G655" s="554"/>
      <c r="H655" s="554"/>
      <c r="I655" s="554"/>
      <c r="J655" s="554"/>
      <c r="K655" s="554"/>
      <c r="L655" s="554"/>
      <c r="M655" s="554"/>
      <c r="N655" s="554"/>
      <c r="O655" s="554"/>
      <c r="P655" s="554"/>
    </row>
    <row r="656" spans="1:16" ht="22.5">
      <c r="A656" s="803" t="s">
        <v>666</v>
      </c>
      <c r="B656" s="804"/>
      <c r="C656" s="804"/>
      <c r="D656" s="804"/>
      <c r="E656" s="804"/>
      <c r="F656" s="804"/>
      <c r="G656" s="804"/>
      <c r="H656" s="804"/>
      <c r="I656" s="804"/>
      <c r="J656" s="804"/>
      <c r="K656" s="804"/>
      <c r="L656" s="804"/>
      <c r="M656" s="804"/>
      <c r="N656" s="804"/>
      <c r="O656" s="804"/>
      <c r="P656" s="804"/>
    </row>
    <row r="657" spans="1:16" ht="20.25">
      <c r="A657" s="555" t="s">
        <v>61</v>
      </c>
      <c r="B657" s="556"/>
      <c r="C657" s="556"/>
      <c r="D657" s="556"/>
      <c r="E657" s="556"/>
      <c r="F657" s="556"/>
      <c r="G657" s="556"/>
      <c r="H657" s="556"/>
      <c r="I657" s="556"/>
      <c r="J657" s="556"/>
      <c r="K657" s="556"/>
      <c r="L657" s="556"/>
      <c r="M657" s="556"/>
      <c r="N657" s="556"/>
      <c r="O657" s="556"/>
      <c r="P657" s="556"/>
    </row>
    <row r="658" spans="1:16" ht="85.5">
      <c r="A658" s="46" t="s">
        <v>0</v>
      </c>
      <c r="B658" s="46" t="s">
        <v>2592</v>
      </c>
      <c r="C658" s="46" t="s">
        <v>1</v>
      </c>
      <c r="D658" s="46" t="s">
        <v>2593</v>
      </c>
      <c r="E658" s="46" t="s">
        <v>3</v>
      </c>
      <c r="F658" s="46" t="s">
        <v>4</v>
      </c>
      <c r="G658" s="46" t="s">
        <v>2594</v>
      </c>
      <c r="H658" s="46" t="s">
        <v>2595</v>
      </c>
      <c r="I658" s="46" t="s">
        <v>2392</v>
      </c>
      <c r="J658" s="46" t="s">
        <v>5</v>
      </c>
      <c r="K658" s="46" t="s">
        <v>6</v>
      </c>
      <c r="L658" s="46" t="s">
        <v>7</v>
      </c>
      <c r="M658" s="67" t="s">
        <v>8</v>
      </c>
      <c r="N658" s="399" t="s">
        <v>9</v>
      </c>
      <c r="O658" s="400" t="s">
        <v>10</v>
      </c>
      <c r="P658" s="401" t="s">
        <v>11</v>
      </c>
    </row>
    <row r="659" spans="1:16">
      <c r="A659" s="8">
        <v>1</v>
      </c>
      <c r="B659" s="46">
        <v>2</v>
      </c>
      <c r="C659" s="46">
        <v>3</v>
      </c>
      <c r="D659" s="46">
        <v>4</v>
      </c>
      <c r="E659" s="46">
        <v>5</v>
      </c>
      <c r="F659" s="46">
        <v>6</v>
      </c>
      <c r="G659" s="46">
        <v>7</v>
      </c>
      <c r="H659" s="46">
        <v>8</v>
      </c>
      <c r="I659" s="46">
        <v>9</v>
      </c>
      <c r="J659" s="46">
        <v>10</v>
      </c>
      <c r="K659" s="46">
        <v>11</v>
      </c>
      <c r="L659" s="46">
        <v>12</v>
      </c>
      <c r="M659" s="46">
        <v>13</v>
      </c>
      <c r="N659" s="46">
        <v>14</v>
      </c>
      <c r="O659" s="400">
        <v>15</v>
      </c>
      <c r="P659" s="46">
        <v>16</v>
      </c>
    </row>
    <row r="660" spans="1:16" ht="30">
      <c r="A660" s="339">
        <v>1</v>
      </c>
      <c r="B660" s="565" t="s">
        <v>2603</v>
      </c>
      <c r="C660" s="344" t="s">
        <v>803</v>
      </c>
      <c r="D660" s="344" t="s">
        <v>804</v>
      </c>
      <c r="E660" s="339">
        <v>96416.65</v>
      </c>
      <c r="F660" s="339" t="s">
        <v>805</v>
      </c>
      <c r="G660" s="339" t="s">
        <v>806</v>
      </c>
      <c r="H660" s="339" t="s">
        <v>352</v>
      </c>
      <c r="I660" s="339" t="s">
        <v>748</v>
      </c>
      <c r="J660" s="339" t="s">
        <v>748</v>
      </c>
      <c r="K660" s="339" t="s">
        <v>748</v>
      </c>
      <c r="L660" s="339" t="s">
        <v>748</v>
      </c>
      <c r="M660" s="339" t="s">
        <v>119</v>
      </c>
      <c r="N660" s="339" t="s">
        <v>748</v>
      </c>
      <c r="O660" s="339" t="s">
        <v>748</v>
      </c>
      <c r="P660" s="339" t="s">
        <v>748</v>
      </c>
    </row>
    <row r="661" spans="1:16" ht="75">
      <c r="A661" s="336">
        <v>2</v>
      </c>
      <c r="B661" s="567"/>
      <c r="C661" s="50" t="s">
        <v>808</v>
      </c>
      <c r="D661" s="344" t="s">
        <v>809</v>
      </c>
      <c r="E661" s="336">
        <v>4845</v>
      </c>
      <c r="F661" s="336" t="s">
        <v>810</v>
      </c>
      <c r="G661" s="336">
        <v>9.2899999999999991</v>
      </c>
      <c r="H661" s="339" t="s">
        <v>811</v>
      </c>
      <c r="I661" s="336" t="s">
        <v>150</v>
      </c>
      <c r="J661" s="336" t="s">
        <v>35</v>
      </c>
      <c r="K661" s="336" t="s">
        <v>35</v>
      </c>
      <c r="L661" s="336" t="s">
        <v>35</v>
      </c>
      <c r="M661" s="207" t="s">
        <v>812</v>
      </c>
      <c r="N661" s="336" t="s">
        <v>35</v>
      </c>
      <c r="O661" s="336" t="s">
        <v>35</v>
      </c>
      <c r="P661" s="336" t="s">
        <v>35</v>
      </c>
    </row>
    <row r="662" spans="1:16">
      <c r="A662" s="603"/>
      <c r="B662" s="604"/>
      <c r="C662" s="604"/>
      <c r="D662" s="604"/>
      <c r="E662" s="604"/>
      <c r="F662" s="604"/>
      <c r="G662" s="604"/>
      <c r="H662" s="604"/>
      <c r="I662" s="604"/>
      <c r="J662" s="604"/>
      <c r="K662" s="604"/>
      <c r="L662" s="604"/>
      <c r="M662" s="604"/>
      <c r="N662" s="604"/>
      <c r="O662" s="604"/>
      <c r="P662" s="604"/>
    </row>
    <row r="663" spans="1:16" ht="20.25" customHeight="1">
      <c r="A663" s="559" t="s">
        <v>88</v>
      </c>
      <c r="B663" s="559"/>
      <c r="C663" s="559"/>
      <c r="D663" s="559"/>
      <c r="E663" s="559"/>
      <c r="F663" s="559"/>
      <c r="G663" s="559"/>
      <c r="H663" s="559"/>
      <c r="I663" s="559"/>
      <c r="J663" s="559"/>
      <c r="K663" s="559"/>
      <c r="L663" s="559"/>
      <c r="M663" s="559"/>
      <c r="N663" s="559"/>
      <c r="O663" s="559"/>
      <c r="P663" s="601"/>
    </row>
    <row r="664" spans="1:16" ht="50.25" customHeight="1">
      <c r="A664" s="46" t="s">
        <v>0</v>
      </c>
      <c r="B664" s="46" t="s">
        <v>2582</v>
      </c>
      <c r="C664" s="46" t="s">
        <v>1</v>
      </c>
      <c r="D664" s="46" t="s">
        <v>2596</v>
      </c>
      <c r="E664" s="67" t="s">
        <v>62</v>
      </c>
      <c r="F664" s="67" t="s">
        <v>63</v>
      </c>
      <c r="G664" s="46" t="s">
        <v>2560</v>
      </c>
      <c r="H664" s="46" t="s">
        <v>2561</v>
      </c>
      <c r="I664" s="46" t="s">
        <v>2583</v>
      </c>
      <c r="J664" s="46" t="s">
        <v>5</v>
      </c>
      <c r="K664" s="46" t="s">
        <v>6</v>
      </c>
      <c r="L664" s="46" t="s">
        <v>66</v>
      </c>
      <c r="M664" s="46" t="s">
        <v>67</v>
      </c>
      <c r="N664" s="67" t="s">
        <v>68</v>
      </c>
      <c r="O664" s="74" t="s">
        <v>69</v>
      </c>
      <c r="P664" s="602"/>
    </row>
    <row r="665" spans="1:16">
      <c r="A665" s="79">
        <v>1</v>
      </c>
      <c r="B665" s="79">
        <v>2</v>
      </c>
      <c r="C665" s="79">
        <v>3</v>
      </c>
      <c r="D665" s="79">
        <v>4</v>
      </c>
      <c r="E665" s="79">
        <v>5</v>
      </c>
      <c r="F665" s="79">
        <v>6</v>
      </c>
      <c r="G665" s="79">
        <v>7</v>
      </c>
      <c r="H665" s="79">
        <v>8</v>
      </c>
      <c r="I665" s="79">
        <v>9</v>
      </c>
      <c r="J665" s="79">
        <v>10</v>
      </c>
      <c r="K665" s="79">
        <v>11</v>
      </c>
      <c r="L665" s="79">
        <v>12</v>
      </c>
      <c r="M665" s="79">
        <v>13</v>
      </c>
      <c r="N665" s="79">
        <v>14</v>
      </c>
      <c r="O665" s="79">
        <v>15</v>
      </c>
      <c r="P665" s="602"/>
    </row>
    <row r="666" spans="1:16" ht="45">
      <c r="A666" s="336">
        <v>1</v>
      </c>
      <c r="B666" s="565" t="s">
        <v>2603</v>
      </c>
      <c r="C666" s="50" t="s">
        <v>808</v>
      </c>
      <c r="D666" s="352" t="s">
        <v>813</v>
      </c>
      <c r="E666" s="335">
        <v>818.75</v>
      </c>
      <c r="F666" s="335" t="s">
        <v>814</v>
      </c>
      <c r="G666" s="335">
        <v>0.20469999999999999</v>
      </c>
      <c r="H666" s="49" t="s">
        <v>815</v>
      </c>
      <c r="I666" s="335" t="s">
        <v>57</v>
      </c>
      <c r="J666" s="335" t="s">
        <v>403</v>
      </c>
      <c r="K666" s="335" t="s">
        <v>17</v>
      </c>
      <c r="L666" s="335" t="s">
        <v>35</v>
      </c>
      <c r="M666" s="335" t="s">
        <v>35</v>
      </c>
      <c r="N666" s="335">
        <v>1</v>
      </c>
      <c r="O666" s="335" t="s">
        <v>35</v>
      </c>
      <c r="P666" s="602"/>
    </row>
    <row r="667" spans="1:16" ht="150">
      <c r="A667" s="336">
        <v>2</v>
      </c>
      <c r="B667" s="566"/>
      <c r="C667" s="344" t="s">
        <v>816</v>
      </c>
      <c r="D667" s="344" t="s">
        <v>2455</v>
      </c>
      <c r="E667" s="336">
        <v>1180</v>
      </c>
      <c r="F667" s="336" t="s">
        <v>35</v>
      </c>
      <c r="G667" s="339" t="s">
        <v>6996</v>
      </c>
      <c r="H667" s="339" t="s">
        <v>817</v>
      </c>
      <c r="I667" s="339" t="s">
        <v>150</v>
      </c>
      <c r="J667" s="336" t="s">
        <v>35</v>
      </c>
      <c r="K667" s="336" t="s">
        <v>35</v>
      </c>
      <c r="L667" s="336" t="s">
        <v>35</v>
      </c>
      <c r="M667" s="336" t="s">
        <v>35</v>
      </c>
      <c r="N667" s="336">
        <v>2</v>
      </c>
      <c r="O667" s="207" t="s">
        <v>818</v>
      </c>
      <c r="P667" s="602"/>
    </row>
    <row r="668" spans="1:16" ht="45">
      <c r="A668" s="336">
        <v>3</v>
      </c>
      <c r="B668" s="566"/>
      <c r="C668" s="344" t="s">
        <v>816</v>
      </c>
      <c r="D668" s="344" t="s">
        <v>819</v>
      </c>
      <c r="E668" s="335">
        <v>928.23</v>
      </c>
      <c r="F668" s="49" t="s">
        <v>820</v>
      </c>
      <c r="G668" s="335">
        <v>0.2253</v>
      </c>
      <c r="H668" s="335">
        <v>19500</v>
      </c>
      <c r="I668" s="49" t="s">
        <v>23</v>
      </c>
      <c r="J668" s="335" t="s">
        <v>17</v>
      </c>
      <c r="K668" s="335" t="s">
        <v>17</v>
      </c>
      <c r="L668" s="335" t="s">
        <v>17</v>
      </c>
      <c r="M668" s="335" t="s">
        <v>17</v>
      </c>
      <c r="N668" s="335">
        <v>3</v>
      </c>
      <c r="O668" s="402"/>
      <c r="P668" s="602"/>
    </row>
    <row r="669" spans="1:16" ht="240">
      <c r="A669" s="336">
        <v>4</v>
      </c>
      <c r="B669" s="566"/>
      <c r="C669" s="344" t="s">
        <v>821</v>
      </c>
      <c r="D669" s="344" t="s">
        <v>2456</v>
      </c>
      <c r="E669" s="339">
        <v>2500</v>
      </c>
      <c r="F669" s="339" t="s">
        <v>822</v>
      </c>
      <c r="G669" s="339">
        <v>0.625</v>
      </c>
      <c r="H669" s="339" t="s">
        <v>823</v>
      </c>
      <c r="I669" s="339" t="s">
        <v>150</v>
      </c>
      <c r="J669" s="339" t="s">
        <v>17</v>
      </c>
      <c r="K669" s="339" t="s">
        <v>17</v>
      </c>
      <c r="L669" s="339" t="s">
        <v>17</v>
      </c>
      <c r="M669" s="339" t="s">
        <v>17</v>
      </c>
      <c r="N669" s="339">
        <v>5</v>
      </c>
      <c r="O669" s="339"/>
      <c r="P669" s="602"/>
    </row>
    <row r="670" spans="1:16" ht="60">
      <c r="A670" s="336">
        <v>5</v>
      </c>
      <c r="B670" s="566"/>
      <c r="C670" s="344" t="s">
        <v>824</v>
      </c>
      <c r="D670" s="344" t="s">
        <v>825</v>
      </c>
      <c r="E670" s="339">
        <v>500</v>
      </c>
      <c r="F670" s="339">
        <v>1997</v>
      </c>
      <c r="G670" s="339">
        <v>0.11373</v>
      </c>
      <c r="H670" s="339" t="s">
        <v>17</v>
      </c>
      <c r="I670" s="339" t="s">
        <v>650</v>
      </c>
      <c r="J670" s="339" t="s">
        <v>17</v>
      </c>
      <c r="K670" s="339" t="s">
        <v>17</v>
      </c>
      <c r="L670" s="339" t="s">
        <v>87</v>
      </c>
      <c r="M670" s="339" t="s">
        <v>17</v>
      </c>
      <c r="N670" s="339">
        <v>6</v>
      </c>
      <c r="O670" s="339"/>
      <c r="P670" s="602"/>
    </row>
    <row r="671" spans="1:16" ht="60">
      <c r="A671" s="336">
        <v>6</v>
      </c>
      <c r="B671" s="566"/>
      <c r="C671" s="344" t="s">
        <v>826</v>
      </c>
      <c r="D671" s="344" t="s">
        <v>827</v>
      </c>
      <c r="E671" s="339">
        <v>1088.0999999999999</v>
      </c>
      <c r="F671" s="339" t="s">
        <v>828</v>
      </c>
      <c r="G671" s="339">
        <v>0.28999999999999998</v>
      </c>
      <c r="H671" s="339" t="s">
        <v>829</v>
      </c>
      <c r="I671" s="339" t="s">
        <v>150</v>
      </c>
      <c r="J671" s="339" t="s">
        <v>17</v>
      </c>
      <c r="K671" s="339" t="s">
        <v>17</v>
      </c>
      <c r="L671" s="339" t="s">
        <v>87</v>
      </c>
      <c r="M671" s="339" t="s">
        <v>17</v>
      </c>
      <c r="N671" s="339">
        <v>8</v>
      </c>
      <c r="O671" s="339"/>
      <c r="P671" s="602"/>
    </row>
    <row r="672" spans="1:16" ht="76.5" customHeight="1">
      <c r="A672" s="336">
        <v>7</v>
      </c>
      <c r="B672" s="566"/>
      <c r="C672" s="344" t="s">
        <v>830</v>
      </c>
      <c r="D672" s="344" t="s">
        <v>831</v>
      </c>
      <c r="E672" s="336">
        <v>435</v>
      </c>
      <c r="F672" s="336" t="s">
        <v>832</v>
      </c>
      <c r="G672" s="336">
        <v>0.30399999999999999</v>
      </c>
      <c r="H672" s="339" t="s">
        <v>833</v>
      </c>
      <c r="I672" s="336" t="s">
        <v>150</v>
      </c>
      <c r="J672" s="336" t="s">
        <v>518</v>
      </c>
      <c r="K672" s="336" t="s">
        <v>515</v>
      </c>
      <c r="L672" s="336" t="s">
        <v>515</v>
      </c>
      <c r="M672" s="336" t="s">
        <v>515</v>
      </c>
      <c r="N672" s="336">
        <v>10</v>
      </c>
      <c r="O672" s="339" t="s">
        <v>834</v>
      </c>
      <c r="P672" s="602"/>
    </row>
    <row r="673" spans="1:16" ht="61.5" customHeight="1">
      <c r="A673" s="336">
        <v>8</v>
      </c>
      <c r="B673" s="566"/>
      <c r="C673" s="344" t="s">
        <v>835</v>
      </c>
      <c r="D673" s="344" t="s">
        <v>836</v>
      </c>
      <c r="E673" s="339" t="s">
        <v>837</v>
      </c>
      <c r="F673" s="336" t="s">
        <v>838</v>
      </c>
      <c r="G673" s="336">
        <v>2.97</v>
      </c>
      <c r="H673" s="339" t="s">
        <v>839</v>
      </c>
      <c r="I673" s="336" t="s">
        <v>150</v>
      </c>
      <c r="J673" s="336" t="s">
        <v>193</v>
      </c>
      <c r="K673" s="336" t="s">
        <v>193</v>
      </c>
      <c r="L673" s="336" t="s">
        <v>193</v>
      </c>
      <c r="M673" s="336" t="s">
        <v>193</v>
      </c>
      <c r="N673" s="336">
        <v>11</v>
      </c>
      <c r="O673" s="336" t="s">
        <v>87</v>
      </c>
      <c r="P673" s="602"/>
    </row>
    <row r="674" spans="1:16" ht="63.75" customHeight="1">
      <c r="A674" s="336">
        <v>9</v>
      </c>
      <c r="B674" s="566"/>
      <c r="C674" s="50" t="s">
        <v>840</v>
      </c>
      <c r="D674" s="344" t="s">
        <v>841</v>
      </c>
      <c r="E674" s="336">
        <v>3132</v>
      </c>
      <c r="F674" s="336">
        <v>1993</v>
      </c>
      <c r="G674" s="336">
        <v>4.47</v>
      </c>
      <c r="H674" s="339" t="s">
        <v>842</v>
      </c>
      <c r="I674" s="336" t="s">
        <v>150</v>
      </c>
      <c r="J674" s="336" t="s">
        <v>193</v>
      </c>
      <c r="K674" s="336" t="s">
        <v>193</v>
      </c>
      <c r="L674" s="336" t="s">
        <v>193</v>
      </c>
      <c r="M674" s="336" t="s">
        <v>193</v>
      </c>
      <c r="N674" s="336">
        <v>12</v>
      </c>
      <c r="O674" s="339" t="s">
        <v>834</v>
      </c>
      <c r="P674" s="602"/>
    </row>
    <row r="675" spans="1:16" ht="75">
      <c r="A675" s="336">
        <v>10</v>
      </c>
      <c r="B675" s="566"/>
      <c r="C675" s="344" t="s">
        <v>843</v>
      </c>
      <c r="D675" s="344" t="s">
        <v>844</v>
      </c>
      <c r="E675" s="336">
        <v>2650.7</v>
      </c>
      <c r="F675" s="336" t="s">
        <v>320</v>
      </c>
      <c r="G675" s="336">
        <v>5.0599999999999996</v>
      </c>
      <c r="H675" s="339" t="s">
        <v>842</v>
      </c>
      <c r="I675" s="336" t="s">
        <v>150</v>
      </c>
      <c r="J675" s="336" t="s">
        <v>193</v>
      </c>
      <c r="K675" s="336" t="s">
        <v>193</v>
      </c>
      <c r="L675" s="336" t="s">
        <v>193</v>
      </c>
      <c r="M675" s="336" t="s">
        <v>193</v>
      </c>
      <c r="N675" s="336">
        <v>13</v>
      </c>
      <c r="O675" s="339" t="s">
        <v>834</v>
      </c>
      <c r="P675" s="602"/>
    </row>
    <row r="676" spans="1:16" ht="75">
      <c r="A676" s="403">
        <v>11</v>
      </c>
      <c r="B676" s="566"/>
      <c r="C676" s="334" t="s">
        <v>845</v>
      </c>
      <c r="D676" s="334" t="s">
        <v>846</v>
      </c>
      <c r="E676" s="403">
        <v>3052.56</v>
      </c>
      <c r="F676" s="403" t="s">
        <v>847</v>
      </c>
      <c r="G676" s="403">
        <v>1.95</v>
      </c>
      <c r="H676" s="346" t="s">
        <v>848</v>
      </c>
      <c r="I676" s="403" t="s">
        <v>150</v>
      </c>
      <c r="J676" s="403" t="s">
        <v>193</v>
      </c>
      <c r="K676" s="403" t="s">
        <v>193</v>
      </c>
      <c r="L676" s="403" t="s">
        <v>193</v>
      </c>
      <c r="M676" s="403" t="s">
        <v>193</v>
      </c>
      <c r="N676" s="403">
        <v>14</v>
      </c>
      <c r="O676" s="403" t="s">
        <v>193</v>
      </c>
      <c r="P676" s="602"/>
    </row>
    <row r="677" spans="1:16">
      <c r="A677" s="600"/>
      <c r="B677" s="600"/>
      <c r="C677" s="600"/>
      <c r="D677" s="600"/>
      <c r="E677" s="600"/>
      <c r="F677" s="600"/>
      <c r="G677" s="600"/>
      <c r="H677" s="600"/>
      <c r="I677" s="600"/>
      <c r="J677" s="600"/>
      <c r="K677" s="600"/>
      <c r="L677" s="600"/>
      <c r="M677" s="600"/>
      <c r="N677" s="600"/>
      <c r="O677" s="600"/>
      <c r="P677" s="600"/>
    </row>
    <row r="678" spans="1:16" ht="20.25" customHeight="1">
      <c r="A678" s="559" t="s">
        <v>111</v>
      </c>
      <c r="B678" s="559"/>
      <c r="C678" s="559"/>
      <c r="D678" s="559"/>
      <c r="E678" s="559"/>
      <c r="F678" s="559"/>
      <c r="G678" s="559"/>
      <c r="H678" s="559"/>
      <c r="I678" s="559"/>
      <c r="J678" s="559"/>
      <c r="K678" s="559"/>
      <c r="L678" s="559"/>
      <c r="M678" s="559"/>
      <c r="N678" s="559"/>
      <c r="O678" s="559"/>
      <c r="P678" s="601"/>
    </row>
    <row r="679" spans="1:16" ht="85.5">
      <c r="A679" s="46" t="s">
        <v>0</v>
      </c>
      <c r="B679" s="46" t="s">
        <v>2582</v>
      </c>
      <c r="C679" s="46" t="s">
        <v>1</v>
      </c>
      <c r="D679" s="46" t="s">
        <v>2596</v>
      </c>
      <c r="E679" s="46" t="s">
        <v>89</v>
      </c>
      <c r="F679" s="46" t="s">
        <v>63</v>
      </c>
      <c r="G679" s="46" t="s">
        <v>2590</v>
      </c>
      <c r="H679" s="46" t="s">
        <v>2561</v>
      </c>
      <c r="I679" s="46" t="s">
        <v>2391</v>
      </c>
      <c r="J679" s="46" t="s">
        <v>5</v>
      </c>
      <c r="K679" s="46" t="s">
        <v>6</v>
      </c>
      <c r="L679" s="46" t="s">
        <v>91</v>
      </c>
      <c r="M679" s="46" t="s">
        <v>67</v>
      </c>
      <c r="N679" s="67" t="s">
        <v>92</v>
      </c>
      <c r="O679" s="401" t="s">
        <v>11</v>
      </c>
      <c r="P679" s="602"/>
    </row>
    <row r="680" spans="1:16">
      <c r="A680" s="345">
        <v>1</v>
      </c>
      <c r="B680" s="79">
        <v>2</v>
      </c>
      <c r="C680" s="79">
        <v>3</v>
      </c>
      <c r="D680" s="79">
        <v>4</v>
      </c>
      <c r="E680" s="79">
        <v>5</v>
      </c>
      <c r="F680" s="79">
        <v>6</v>
      </c>
      <c r="G680" s="79">
        <v>7</v>
      </c>
      <c r="H680" s="79">
        <v>8</v>
      </c>
      <c r="I680" s="79">
        <v>9</v>
      </c>
      <c r="J680" s="79">
        <v>10</v>
      </c>
      <c r="K680" s="79">
        <v>11</v>
      </c>
      <c r="L680" s="79">
        <v>12</v>
      </c>
      <c r="M680" s="79">
        <v>13</v>
      </c>
      <c r="N680" s="357">
        <v>14</v>
      </c>
      <c r="O680" s="79">
        <v>15</v>
      </c>
      <c r="P680" s="602"/>
    </row>
    <row r="681" spans="1:16" ht="100.5" customHeight="1">
      <c r="A681" s="339">
        <v>1</v>
      </c>
      <c r="B681" s="565" t="s">
        <v>2603</v>
      </c>
      <c r="C681" s="344" t="s">
        <v>6997</v>
      </c>
      <c r="D681" s="344" t="s">
        <v>2452</v>
      </c>
      <c r="E681" s="339">
        <v>2520</v>
      </c>
      <c r="F681" s="393" t="s">
        <v>35</v>
      </c>
      <c r="G681" s="53" t="s">
        <v>6996</v>
      </c>
      <c r="H681" s="404" t="s">
        <v>2454</v>
      </c>
      <c r="I681" s="393" t="s">
        <v>35</v>
      </c>
      <c r="J681" s="393" t="s">
        <v>35</v>
      </c>
      <c r="K681" s="393" t="s">
        <v>35</v>
      </c>
      <c r="L681" s="393" t="s">
        <v>35</v>
      </c>
      <c r="M681" s="393" t="s">
        <v>35</v>
      </c>
      <c r="N681" s="68">
        <v>2</v>
      </c>
      <c r="O681" s="393" t="s">
        <v>35</v>
      </c>
      <c r="P681" s="602"/>
    </row>
    <row r="682" spans="1:16" ht="45">
      <c r="A682" s="339">
        <v>2</v>
      </c>
      <c r="B682" s="566"/>
      <c r="C682" s="344" t="s">
        <v>824</v>
      </c>
      <c r="D682" s="344" t="s">
        <v>849</v>
      </c>
      <c r="E682" s="339">
        <v>700</v>
      </c>
      <c r="F682" s="339">
        <v>1997</v>
      </c>
      <c r="G682" s="339">
        <v>0.10607</v>
      </c>
      <c r="H682" s="339" t="s">
        <v>17</v>
      </c>
      <c r="I682" s="339" t="s">
        <v>650</v>
      </c>
      <c r="J682" s="339" t="s">
        <v>17</v>
      </c>
      <c r="K682" s="339" t="s">
        <v>17</v>
      </c>
      <c r="L682" s="339" t="s">
        <v>87</v>
      </c>
      <c r="M682" s="339" t="s">
        <v>17</v>
      </c>
      <c r="N682" s="339">
        <v>6</v>
      </c>
      <c r="O682" s="339"/>
      <c r="P682" s="602"/>
    </row>
    <row r="683" spans="1:16" ht="45">
      <c r="A683" s="339">
        <v>3</v>
      </c>
      <c r="B683" s="566"/>
      <c r="C683" s="344" t="s">
        <v>826</v>
      </c>
      <c r="D683" s="344" t="s">
        <v>2453</v>
      </c>
      <c r="E683" s="339">
        <v>5142.18</v>
      </c>
      <c r="F683" s="339">
        <v>1988</v>
      </c>
      <c r="G683" s="339">
        <v>0.1</v>
      </c>
      <c r="H683" s="339" t="s">
        <v>850</v>
      </c>
      <c r="I683" s="339" t="s">
        <v>150</v>
      </c>
      <c r="J683" s="339" t="s">
        <v>17</v>
      </c>
      <c r="K683" s="339" t="s">
        <v>17</v>
      </c>
      <c r="L683" s="339" t="s">
        <v>87</v>
      </c>
      <c r="M683" s="339" t="s">
        <v>17</v>
      </c>
      <c r="N683" s="339">
        <v>7</v>
      </c>
      <c r="O683" s="339"/>
      <c r="P683" s="602"/>
    </row>
    <row r="684" spans="1:16" ht="45">
      <c r="A684" s="339">
        <v>4</v>
      </c>
      <c r="B684" s="566"/>
      <c r="C684" s="605" t="s">
        <v>840</v>
      </c>
      <c r="D684" s="344" t="s">
        <v>836</v>
      </c>
      <c r="E684" s="339" t="s">
        <v>851</v>
      </c>
      <c r="F684" s="336" t="s">
        <v>852</v>
      </c>
      <c r="G684" s="336">
        <v>2.83</v>
      </c>
      <c r="H684" s="339" t="s">
        <v>853</v>
      </c>
      <c r="I684" s="336" t="s">
        <v>150</v>
      </c>
      <c r="J684" s="336" t="s">
        <v>193</v>
      </c>
      <c r="K684" s="336" t="s">
        <v>193</v>
      </c>
      <c r="L684" s="336" t="s">
        <v>193</v>
      </c>
      <c r="M684" s="336" t="s">
        <v>193</v>
      </c>
      <c r="N684" s="336">
        <v>9</v>
      </c>
      <c r="O684" s="336" t="s">
        <v>87</v>
      </c>
      <c r="P684" s="602"/>
    </row>
    <row r="685" spans="1:16" ht="45">
      <c r="A685" s="339">
        <v>5</v>
      </c>
      <c r="B685" s="566"/>
      <c r="C685" s="606"/>
      <c r="D685" s="344" t="s">
        <v>854</v>
      </c>
      <c r="E685" s="336">
        <v>2150</v>
      </c>
      <c r="F685" s="339" t="s">
        <v>855</v>
      </c>
      <c r="G685" s="336">
        <v>6.3</v>
      </c>
      <c r="H685" s="339" t="s">
        <v>842</v>
      </c>
      <c r="I685" s="336" t="s">
        <v>150</v>
      </c>
      <c r="J685" s="336" t="s">
        <v>193</v>
      </c>
      <c r="K685" s="336" t="s">
        <v>193</v>
      </c>
      <c r="L685" s="336" t="s">
        <v>193</v>
      </c>
      <c r="M685" s="336" t="s">
        <v>193</v>
      </c>
      <c r="N685" s="336">
        <v>10</v>
      </c>
      <c r="O685" s="336" t="s">
        <v>87</v>
      </c>
      <c r="P685" s="602"/>
    </row>
    <row r="686" spans="1:16" ht="30">
      <c r="A686" s="339">
        <v>6</v>
      </c>
      <c r="B686" s="566"/>
      <c r="C686" s="606"/>
      <c r="D686" s="344" t="s">
        <v>856</v>
      </c>
      <c r="E686" s="336">
        <v>2820</v>
      </c>
      <c r="F686" s="336" t="s">
        <v>857</v>
      </c>
      <c r="G686" s="336">
        <v>0.68</v>
      </c>
      <c r="H686" s="339" t="s">
        <v>858</v>
      </c>
      <c r="I686" s="336" t="s">
        <v>150</v>
      </c>
      <c r="J686" s="336" t="s">
        <v>193</v>
      </c>
      <c r="K686" s="336" t="s">
        <v>193</v>
      </c>
      <c r="L686" s="336" t="s">
        <v>193</v>
      </c>
      <c r="M686" s="336" t="s">
        <v>193</v>
      </c>
      <c r="N686" s="336">
        <v>11</v>
      </c>
      <c r="O686" s="336" t="s">
        <v>87</v>
      </c>
      <c r="P686" s="602"/>
    </row>
    <row r="687" spans="1:16" ht="100.5" customHeight="1">
      <c r="A687" s="346">
        <v>7</v>
      </c>
      <c r="B687" s="566"/>
      <c r="C687" s="606"/>
      <c r="D687" s="334" t="s">
        <v>859</v>
      </c>
      <c r="E687" s="403">
        <v>3476.76</v>
      </c>
      <c r="F687" s="403" t="s">
        <v>860</v>
      </c>
      <c r="G687" s="403">
        <v>4.9539</v>
      </c>
      <c r="H687" s="346" t="s">
        <v>861</v>
      </c>
      <c r="I687" s="403" t="s">
        <v>150</v>
      </c>
      <c r="J687" s="403" t="s">
        <v>193</v>
      </c>
      <c r="K687" s="403" t="s">
        <v>193</v>
      </c>
      <c r="L687" s="403" t="s">
        <v>193</v>
      </c>
      <c r="M687" s="403" t="s">
        <v>193</v>
      </c>
      <c r="N687" s="403">
        <v>12</v>
      </c>
      <c r="O687" s="403" t="s">
        <v>87</v>
      </c>
      <c r="P687" s="602"/>
    </row>
    <row r="688" spans="1:16">
      <c r="A688" s="595"/>
      <c r="B688" s="595"/>
      <c r="C688" s="595"/>
      <c r="D688" s="595"/>
      <c r="E688" s="595"/>
      <c r="F688" s="595"/>
      <c r="G688" s="595"/>
      <c r="H688" s="595"/>
      <c r="I688" s="595"/>
      <c r="J688" s="595"/>
      <c r="K688" s="595"/>
      <c r="L688" s="595"/>
      <c r="M688" s="595"/>
      <c r="N688" s="595"/>
      <c r="O688" s="595"/>
      <c r="P688" s="595"/>
    </row>
    <row r="689" spans="1:16" ht="20.25">
      <c r="A689" s="555" t="s">
        <v>112</v>
      </c>
      <c r="B689" s="556"/>
      <c r="C689" s="556"/>
      <c r="D689" s="556"/>
      <c r="E689" s="556"/>
      <c r="F689" s="556"/>
      <c r="G689" s="556"/>
      <c r="H689" s="556"/>
      <c r="I689" s="556"/>
      <c r="J689" s="556"/>
      <c r="K689" s="556"/>
      <c r="L689" s="556"/>
      <c r="M689" s="556"/>
      <c r="N689" s="556"/>
      <c r="O689" s="556"/>
      <c r="P689" s="556"/>
    </row>
    <row r="690" spans="1:16" ht="85.5">
      <c r="A690" s="46" t="s">
        <v>0</v>
      </c>
      <c r="B690" s="46" t="s">
        <v>2582</v>
      </c>
      <c r="C690" s="46" t="s">
        <v>1</v>
      </c>
      <c r="D690" s="46" t="s">
        <v>2596</v>
      </c>
      <c r="E690" s="46" t="s">
        <v>89</v>
      </c>
      <c r="F690" s="46" t="s">
        <v>63</v>
      </c>
      <c r="G690" s="46" t="s">
        <v>2390</v>
      </c>
      <c r="H690" s="46" t="s">
        <v>2561</v>
      </c>
      <c r="I690" s="46" t="s">
        <v>2391</v>
      </c>
      <c r="J690" s="46" t="s">
        <v>5</v>
      </c>
      <c r="K690" s="46" t="s">
        <v>6</v>
      </c>
      <c r="L690" s="46" t="s">
        <v>91</v>
      </c>
      <c r="M690" s="46" t="s">
        <v>67</v>
      </c>
      <c r="N690" s="67" t="s">
        <v>110</v>
      </c>
      <c r="O690" s="67" t="s">
        <v>92</v>
      </c>
      <c r="P690" s="74" t="s">
        <v>69</v>
      </c>
    </row>
    <row r="691" spans="1:16">
      <c r="A691" s="345">
        <v>1</v>
      </c>
      <c r="B691" s="79">
        <v>2</v>
      </c>
      <c r="C691" s="79">
        <v>3</v>
      </c>
      <c r="D691" s="79">
        <v>4</v>
      </c>
      <c r="E691" s="79">
        <v>5</v>
      </c>
      <c r="F691" s="79">
        <v>6</v>
      </c>
      <c r="G691" s="79">
        <v>7</v>
      </c>
      <c r="H691" s="79">
        <v>8</v>
      </c>
      <c r="I691" s="79">
        <v>9</v>
      </c>
      <c r="J691" s="79">
        <v>10</v>
      </c>
      <c r="K691" s="79">
        <v>11</v>
      </c>
      <c r="L691" s="79">
        <v>12</v>
      </c>
      <c r="M691" s="79">
        <v>13</v>
      </c>
      <c r="N691" s="79">
        <v>14</v>
      </c>
      <c r="O691" s="357">
        <v>15</v>
      </c>
      <c r="P691" s="46">
        <v>16</v>
      </c>
    </row>
    <row r="692" spans="1:16" ht="30">
      <c r="A692" s="336">
        <v>1</v>
      </c>
      <c r="B692" s="565" t="s">
        <v>2603</v>
      </c>
      <c r="C692" s="624" t="s">
        <v>840</v>
      </c>
      <c r="D692" s="553" t="s">
        <v>862</v>
      </c>
      <c r="E692" s="336">
        <v>2500</v>
      </c>
      <c r="F692" s="336" t="s">
        <v>863</v>
      </c>
      <c r="G692" s="336">
        <v>1.97</v>
      </c>
      <c r="H692" s="339" t="s">
        <v>864</v>
      </c>
      <c r="I692" s="336" t="s">
        <v>150</v>
      </c>
      <c r="J692" s="336" t="s">
        <v>518</v>
      </c>
      <c r="K692" s="336" t="s">
        <v>518</v>
      </c>
      <c r="L692" s="336" t="s">
        <v>518</v>
      </c>
      <c r="M692" s="336" t="s">
        <v>518</v>
      </c>
      <c r="N692" s="336">
        <v>9</v>
      </c>
      <c r="O692" s="336" t="s">
        <v>518</v>
      </c>
      <c r="P692" s="50" t="s">
        <v>865</v>
      </c>
    </row>
    <row r="693" spans="1:16" ht="30">
      <c r="A693" s="336">
        <v>2</v>
      </c>
      <c r="B693" s="567"/>
      <c r="C693" s="624"/>
      <c r="D693" s="553"/>
      <c r="E693" s="336">
        <v>7500</v>
      </c>
      <c r="F693" s="336" t="s">
        <v>866</v>
      </c>
      <c r="G693" s="336">
        <v>4.66</v>
      </c>
      <c r="H693" s="339" t="s">
        <v>867</v>
      </c>
      <c r="I693" s="336" t="s">
        <v>150</v>
      </c>
      <c r="J693" s="336" t="s">
        <v>518</v>
      </c>
      <c r="K693" s="336" t="s">
        <v>518</v>
      </c>
      <c r="L693" s="336" t="s">
        <v>518</v>
      </c>
      <c r="M693" s="336" t="s">
        <v>518</v>
      </c>
      <c r="N693" s="336" t="s">
        <v>518</v>
      </c>
      <c r="O693" s="336">
        <v>8</v>
      </c>
      <c r="P693" s="344" t="s">
        <v>868</v>
      </c>
    </row>
    <row r="694" spans="1:16">
      <c r="A694" s="603"/>
      <c r="B694" s="604"/>
      <c r="C694" s="604"/>
      <c r="D694" s="604"/>
      <c r="E694" s="604"/>
      <c r="F694" s="604"/>
      <c r="G694" s="604"/>
      <c r="H694" s="604"/>
      <c r="I694" s="604"/>
      <c r="J694" s="604"/>
      <c r="K694" s="604"/>
      <c r="L694" s="604"/>
      <c r="M694" s="604"/>
      <c r="N694" s="604"/>
      <c r="O694" s="604"/>
      <c r="P694" s="604"/>
    </row>
    <row r="695" spans="1:16" ht="22.5">
      <c r="A695" s="803" t="s">
        <v>667</v>
      </c>
      <c r="B695" s="804"/>
      <c r="C695" s="804"/>
      <c r="D695" s="804"/>
      <c r="E695" s="804"/>
      <c r="F695" s="804"/>
      <c r="G695" s="804"/>
      <c r="H695" s="804"/>
      <c r="I695" s="804"/>
      <c r="J695" s="804"/>
      <c r="K695" s="804"/>
      <c r="L695" s="804"/>
      <c r="M695" s="804"/>
      <c r="N695" s="804"/>
      <c r="O695" s="804"/>
      <c r="P695" s="804"/>
    </row>
    <row r="696" spans="1:16" ht="20.25">
      <c r="A696" s="555" t="s">
        <v>61</v>
      </c>
      <c r="B696" s="556"/>
      <c r="C696" s="556"/>
      <c r="D696" s="556"/>
      <c r="E696" s="556"/>
      <c r="F696" s="556"/>
      <c r="G696" s="556"/>
      <c r="H696" s="556"/>
      <c r="I696" s="556"/>
      <c r="J696" s="556"/>
      <c r="K696" s="556"/>
      <c r="L696" s="556"/>
      <c r="M696" s="556"/>
      <c r="N696" s="556"/>
      <c r="O696" s="556"/>
      <c r="P696" s="556"/>
    </row>
    <row r="697" spans="1:16" ht="85.5">
      <c r="A697" s="46" t="s">
        <v>0</v>
      </c>
      <c r="B697" s="46" t="s">
        <v>2592</v>
      </c>
      <c r="C697" s="46" t="s">
        <v>1</v>
      </c>
      <c r="D697" s="46" t="s">
        <v>2593</v>
      </c>
      <c r="E697" s="46" t="s">
        <v>3</v>
      </c>
      <c r="F697" s="46" t="s">
        <v>4</v>
      </c>
      <c r="G697" s="46" t="s">
        <v>2594</v>
      </c>
      <c r="H697" s="46" t="s">
        <v>2595</v>
      </c>
      <c r="I697" s="46" t="s">
        <v>2392</v>
      </c>
      <c r="J697" s="46" t="s">
        <v>5</v>
      </c>
      <c r="K697" s="46" t="s">
        <v>6</v>
      </c>
      <c r="L697" s="46" t="s">
        <v>7</v>
      </c>
      <c r="M697" s="67" t="s">
        <v>8</v>
      </c>
      <c r="N697" s="399" t="s">
        <v>9</v>
      </c>
      <c r="O697" s="400" t="s">
        <v>10</v>
      </c>
      <c r="P697" s="401" t="s">
        <v>11</v>
      </c>
    </row>
    <row r="698" spans="1:16">
      <c r="A698" s="8">
        <v>1</v>
      </c>
      <c r="B698" s="46">
        <v>2</v>
      </c>
      <c r="C698" s="46">
        <v>3</v>
      </c>
      <c r="D698" s="46">
        <v>4</v>
      </c>
      <c r="E698" s="46">
        <v>5</v>
      </c>
      <c r="F698" s="46">
        <v>6</v>
      </c>
      <c r="G698" s="46">
        <v>7</v>
      </c>
      <c r="H698" s="46">
        <v>8</v>
      </c>
      <c r="I698" s="46">
        <v>9</v>
      </c>
      <c r="J698" s="46">
        <v>10</v>
      </c>
      <c r="K698" s="46">
        <v>11</v>
      </c>
      <c r="L698" s="46">
        <v>12</v>
      </c>
      <c r="M698" s="46">
        <v>13</v>
      </c>
      <c r="N698" s="46">
        <v>14</v>
      </c>
      <c r="O698" s="400">
        <v>15</v>
      </c>
      <c r="P698" s="46">
        <v>16</v>
      </c>
    </row>
    <row r="699" spans="1:16">
      <c r="A699" s="216">
        <v>1</v>
      </c>
      <c r="B699" s="598" t="s">
        <v>2602</v>
      </c>
      <c r="C699" s="344" t="s">
        <v>869</v>
      </c>
      <c r="D699" s="583" t="s">
        <v>87</v>
      </c>
      <c r="E699" s="583"/>
      <c r="F699" s="583"/>
      <c r="G699" s="583"/>
      <c r="H699" s="583"/>
      <c r="I699" s="583"/>
      <c r="J699" s="583"/>
      <c r="K699" s="583"/>
      <c r="L699" s="583"/>
      <c r="M699" s="583"/>
      <c r="N699" s="583"/>
      <c r="O699" s="583"/>
      <c r="P699" s="583"/>
    </row>
    <row r="700" spans="1:16" ht="30">
      <c r="A700" s="216">
        <v>2</v>
      </c>
      <c r="B700" s="594"/>
      <c r="C700" s="344" t="s">
        <v>2457</v>
      </c>
      <c r="D700" s="583" t="s">
        <v>87</v>
      </c>
      <c r="E700" s="583"/>
      <c r="F700" s="583"/>
      <c r="G700" s="583"/>
      <c r="H700" s="583"/>
      <c r="I700" s="583"/>
      <c r="J700" s="583"/>
      <c r="K700" s="583"/>
      <c r="L700" s="583"/>
      <c r="M700" s="583"/>
      <c r="N700" s="583"/>
      <c r="O700" s="583"/>
      <c r="P700" s="583"/>
    </row>
    <row r="701" spans="1:16" ht="150">
      <c r="A701" s="659">
        <v>3</v>
      </c>
      <c r="B701" s="594"/>
      <c r="C701" s="553" t="s">
        <v>871</v>
      </c>
      <c r="D701" s="405" t="s">
        <v>872</v>
      </c>
      <c r="E701" s="405">
        <v>2289.2417999999998</v>
      </c>
      <c r="F701" s="405" t="s">
        <v>873</v>
      </c>
      <c r="G701" s="405">
        <v>7.6E-3</v>
      </c>
      <c r="H701" s="406" t="s">
        <v>874</v>
      </c>
      <c r="I701" s="405" t="s">
        <v>875</v>
      </c>
      <c r="J701" s="339" t="s">
        <v>17</v>
      </c>
      <c r="K701" s="339" t="s">
        <v>17</v>
      </c>
      <c r="L701" s="339" t="s">
        <v>876</v>
      </c>
      <c r="M701" s="207" t="s">
        <v>877</v>
      </c>
      <c r="N701" s="207" t="s">
        <v>877</v>
      </c>
      <c r="O701" s="83" t="s">
        <v>454</v>
      </c>
      <c r="P701" s="83" t="s">
        <v>454</v>
      </c>
    </row>
    <row r="702" spans="1:16" ht="60">
      <c r="A702" s="660"/>
      <c r="B702" s="594"/>
      <c r="C702" s="553"/>
      <c r="D702" s="405" t="s">
        <v>878</v>
      </c>
      <c r="E702" s="405">
        <v>438.08945899999998</v>
      </c>
      <c r="F702" s="405" t="s">
        <v>879</v>
      </c>
      <c r="G702" s="405">
        <v>5.1400000000000003E-5</v>
      </c>
      <c r="H702" s="406" t="s">
        <v>880</v>
      </c>
      <c r="I702" s="405" t="s">
        <v>875</v>
      </c>
      <c r="J702" s="339" t="s">
        <v>17</v>
      </c>
      <c r="K702" s="339" t="s">
        <v>17</v>
      </c>
      <c r="L702" s="339" t="s">
        <v>881</v>
      </c>
      <c r="M702" s="207" t="s">
        <v>882</v>
      </c>
      <c r="N702" s="207" t="s">
        <v>882</v>
      </c>
      <c r="O702" s="83" t="s">
        <v>454</v>
      </c>
      <c r="P702" s="83" t="s">
        <v>454</v>
      </c>
    </row>
    <row r="703" spans="1:16" ht="60">
      <c r="A703" s="660"/>
      <c r="B703" s="594"/>
      <c r="C703" s="553"/>
      <c r="D703" s="405" t="s">
        <v>883</v>
      </c>
      <c r="E703" s="405">
        <v>5159.5740290000003</v>
      </c>
      <c r="F703" s="405" t="s">
        <v>884</v>
      </c>
      <c r="G703" s="405">
        <v>5.0000000000000002E-5</v>
      </c>
      <c r="H703" s="406" t="s">
        <v>880</v>
      </c>
      <c r="I703" s="405" t="s">
        <v>875</v>
      </c>
      <c r="J703" s="339" t="s">
        <v>17</v>
      </c>
      <c r="K703" s="339" t="s">
        <v>17</v>
      </c>
      <c r="L703" s="339" t="s">
        <v>885</v>
      </c>
      <c r="M703" s="207" t="s">
        <v>882</v>
      </c>
      <c r="N703" s="207" t="s">
        <v>882</v>
      </c>
      <c r="O703" s="83" t="s">
        <v>454</v>
      </c>
      <c r="P703" s="83" t="s">
        <v>454</v>
      </c>
    </row>
    <row r="704" spans="1:16" ht="60">
      <c r="A704" s="661"/>
      <c r="B704" s="594"/>
      <c r="C704" s="553"/>
      <c r="D704" s="405" t="s">
        <v>886</v>
      </c>
      <c r="E704" s="405">
        <v>1679.959008</v>
      </c>
      <c r="F704" s="405" t="s">
        <v>884</v>
      </c>
      <c r="G704" s="405">
        <v>0.16800000000000001</v>
      </c>
      <c r="H704" s="406" t="s">
        <v>880</v>
      </c>
      <c r="I704" s="405" t="s">
        <v>875</v>
      </c>
      <c r="J704" s="339" t="s">
        <v>17</v>
      </c>
      <c r="K704" s="339" t="s">
        <v>17</v>
      </c>
      <c r="L704" s="339" t="s">
        <v>885</v>
      </c>
      <c r="M704" s="207" t="s">
        <v>882</v>
      </c>
      <c r="N704" s="207" t="s">
        <v>882</v>
      </c>
      <c r="O704" s="83" t="s">
        <v>454</v>
      </c>
      <c r="P704" s="83" t="s">
        <v>454</v>
      </c>
    </row>
    <row r="705" spans="1:16" ht="30">
      <c r="A705" s="347">
        <v>4</v>
      </c>
      <c r="B705" s="594"/>
      <c r="C705" s="116" t="s">
        <v>887</v>
      </c>
      <c r="D705" s="583" t="s">
        <v>87</v>
      </c>
      <c r="E705" s="583"/>
      <c r="F705" s="583"/>
      <c r="G705" s="583"/>
      <c r="H705" s="583"/>
      <c r="I705" s="583"/>
      <c r="J705" s="583"/>
      <c r="K705" s="583"/>
      <c r="L705" s="583"/>
      <c r="M705" s="583"/>
      <c r="N705" s="583"/>
      <c r="O705" s="583"/>
      <c r="P705" s="583"/>
    </row>
    <row r="706" spans="1:16" ht="30">
      <c r="A706" s="339">
        <v>5</v>
      </c>
      <c r="B706" s="594"/>
      <c r="C706" s="116" t="s">
        <v>888</v>
      </c>
      <c r="D706" s="583" t="s">
        <v>87</v>
      </c>
      <c r="E706" s="583"/>
      <c r="F706" s="583"/>
      <c r="G706" s="583"/>
      <c r="H706" s="583"/>
      <c r="I706" s="583"/>
      <c r="J706" s="583"/>
      <c r="K706" s="583"/>
      <c r="L706" s="583"/>
      <c r="M706" s="583"/>
      <c r="N706" s="583"/>
      <c r="O706" s="583"/>
      <c r="P706" s="583"/>
    </row>
    <row r="707" spans="1:16" ht="75">
      <c r="A707" s="347">
        <v>6</v>
      </c>
      <c r="B707" s="594"/>
      <c r="C707" s="344" t="s">
        <v>889</v>
      </c>
      <c r="D707" s="354" t="s">
        <v>890</v>
      </c>
      <c r="E707" s="339">
        <v>105.5</v>
      </c>
      <c r="F707" s="339" t="s">
        <v>891</v>
      </c>
      <c r="G707" s="339">
        <v>2</v>
      </c>
      <c r="H707" s="339">
        <v>2</v>
      </c>
      <c r="I707" s="339" t="s">
        <v>892</v>
      </c>
      <c r="J707" s="83" t="s">
        <v>35</v>
      </c>
      <c r="K707" s="83" t="s">
        <v>35</v>
      </c>
      <c r="L707" s="83" t="s">
        <v>35</v>
      </c>
      <c r="M707" s="339"/>
      <c r="N707" s="339"/>
      <c r="O707" s="83" t="s">
        <v>35</v>
      </c>
      <c r="P707" s="347"/>
    </row>
    <row r="708" spans="1:16" ht="60">
      <c r="A708" s="339">
        <v>7</v>
      </c>
      <c r="B708" s="594"/>
      <c r="C708" s="407" t="s">
        <v>893</v>
      </c>
      <c r="D708" s="408" t="s">
        <v>894</v>
      </c>
      <c r="E708" s="408">
        <v>8214</v>
      </c>
      <c r="F708" s="408" t="s">
        <v>895</v>
      </c>
      <c r="G708" s="216" t="s">
        <v>896</v>
      </c>
      <c r="H708" s="409" t="s">
        <v>897</v>
      </c>
      <c r="I708" s="408" t="s">
        <v>898</v>
      </c>
      <c r="J708" s="408" t="s">
        <v>899</v>
      </c>
      <c r="K708" s="408" t="s">
        <v>900</v>
      </c>
      <c r="L708" s="339" t="s">
        <v>901</v>
      </c>
      <c r="M708" s="408" t="s">
        <v>902</v>
      </c>
      <c r="N708" s="408" t="s">
        <v>757</v>
      </c>
      <c r="O708" s="408" t="s">
        <v>454</v>
      </c>
      <c r="P708" s="410" t="s">
        <v>903</v>
      </c>
    </row>
    <row r="709" spans="1:16" ht="45">
      <c r="A709" s="347">
        <v>8</v>
      </c>
      <c r="B709" s="594"/>
      <c r="C709" s="344" t="s">
        <v>904</v>
      </c>
      <c r="D709" s="580" t="s">
        <v>87</v>
      </c>
      <c r="E709" s="581"/>
      <c r="F709" s="581"/>
      <c r="G709" s="581"/>
      <c r="H709" s="581"/>
      <c r="I709" s="581"/>
      <c r="J709" s="581"/>
      <c r="K709" s="581"/>
      <c r="L709" s="581"/>
      <c r="M709" s="581"/>
      <c r="N709" s="581"/>
      <c r="O709" s="581"/>
      <c r="P709" s="582"/>
    </row>
    <row r="710" spans="1:16" ht="45">
      <c r="A710" s="339">
        <v>9</v>
      </c>
      <c r="B710" s="594"/>
      <c r="C710" s="344" t="s">
        <v>905</v>
      </c>
      <c r="D710" s="577" t="s">
        <v>87</v>
      </c>
      <c r="E710" s="578"/>
      <c r="F710" s="578"/>
      <c r="G710" s="578"/>
      <c r="H710" s="578"/>
      <c r="I710" s="578"/>
      <c r="J710" s="578"/>
      <c r="K710" s="578"/>
      <c r="L710" s="578"/>
      <c r="M710" s="578"/>
      <c r="N710" s="578"/>
      <c r="O710" s="578"/>
      <c r="P710" s="579"/>
    </row>
    <row r="711" spans="1:16" ht="45">
      <c r="A711" s="347">
        <v>10</v>
      </c>
      <c r="B711" s="594"/>
      <c r="C711" s="344" t="s">
        <v>906</v>
      </c>
      <c r="D711" s="577" t="s">
        <v>87</v>
      </c>
      <c r="E711" s="578"/>
      <c r="F711" s="578"/>
      <c r="G711" s="578"/>
      <c r="H711" s="578"/>
      <c r="I711" s="578"/>
      <c r="J711" s="578"/>
      <c r="K711" s="578"/>
      <c r="L711" s="578"/>
      <c r="M711" s="578"/>
      <c r="N711" s="578"/>
      <c r="O711" s="578"/>
      <c r="P711" s="579"/>
    </row>
    <row r="712" spans="1:16" ht="150">
      <c r="A712" s="339">
        <v>11</v>
      </c>
      <c r="B712" s="594"/>
      <c r="C712" s="344" t="s">
        <v>907</v>
      </c>
      <c r="D712" s="339" t="s">
        <v>908</v>
      </c>
      <c r="E712" s="339">
        <v>4553</v>
      </c>
      <c r="F712" s="175" t="s">
        <v>7008</v>
      </c>
      <c r="G712" s="339" t="s">
        <v>35</v>
      </c>
      <c r="H712" s="339" t="s">
        <v>2415</v>
      </c>
      <c r="I712" s="339" t="s">
        <v>909</v>
      </c>
      <c r="J712" s="339" t="s">
        <v>910</v>
      </c>
      <c r="K712" s="339" t="s">
        <v>87</v>
      </c>
      <c r="L712" s="339" t="s">
        <v>17</v>
      </c>
      <c r="M712" s="207" t="s">
        <v>911</v>
      </c>
      <c r="N712" s="207" t="s">
        <v>912</v>
      </c>
      <c r="O712" s="347" t="s">
        <v>35</v>
      </c>
      <c r="P712" s="347" t="s">
        <v>35</v>
      </c>
    </row>
    <row r="713" spans="1:16" ht="30">
      <c r="A713" s="347">
        <v>12</v>
      </c>
      <c r="B713" s="594"/>
      <c r="C713" s="344" t="s">
        <v>913</v>
      </c>
      <c r="D713" s="577" t="s">
        <v>87</v>
      </c>
      <c r="E713" s="578"/>
      <c r="F713" s="578"/>
      <c r="G713" s="578"/>
      <c r="H713" s="578"/>
      <c r="I713" s="578"/>
      <c r="J713" s="578"/>
      <c r="K713" s="578"/>
      <c r="L713" s="578"/>
      <c r="M713" s="578"/>
      <c r="N713" s="578"/>
      <c r="O713" s="578"/>
      <c r="P713" s="411"/>
    </row>
    <row r="714" spans="1:16" ht="30">
      <c r="A714" s="339">
        <v>13</v>
      </c>
      <c r="B714" s="594"/>
      <c r="C714" s="116" t="s">
        <v>914</v>
      </c>
      <c r="D714" s="577" t="s">
        <v>87</v>
      </c>
      <c r="E714" s="578"/>
      <c r="F714" s="578"/>
      <c r="G714" s="578"/>
      <c r="H714" s="578"/>
      <c r="I714" s="578"/>
      <c r="J714" s="578"/>
      <c r="K714" s="578"/>
      <c r="L714" s="578"/>
      <c r="M714" s="578"/>
      <c r="N714" s="578"/>
      <c r="O714" s="578"/>
      <c r="P714" s="411"/>
    </row>
    <row r="715" spans="1:16" ht="30">
      <c r="A715" s="347">
        <v>14</v>
      </c>
      <c r="B715" s="594"/>
      <c r="C715" s="116" t="s">
        <v>915</v>
      </c>
      <c r="D715" s="577" t="s">
        <v>87</v>
      </c>
      <c r="E715" s="578"/>
      <c r="F715" s="578"/>
      <c r="G715" s="578"/>
      <c r="H715" s="578"/>
      <c r="I715" s="578"/>
      <c r="J715" s="578"/>
      <c r="K715" s="578"/>
      <c r="L715" s="578"/>
      <c r="M715" s="578"/>
      <c r="N715" s="578"/>
      <c r="O715" s="578"/>
      <c r="P715" s="411"/>
    </row>
    <row r="716" spans="1:16" ht="30">
      <c r="A716" s="339">
        <v>15</v>
      </c>
      <c r="B716" s="594"/>
      <c r="C716" s="116" t="s">
        <v>916</v>
      </c>
      <c r="D716" s="577" t="s">
        <v>87</v>
      </c>
      <c r="E716" s="578"/>
      <c r="F716" s="578"/>
      <c r="G716" s="578"/>
      <c r="H716" s="578"/>
      <c r="I716" s="578"/>
      <c r="J716" s="578"/>
      <c r="K716" s="578"/>
      <c r="L716" s="578"/>
      <c r="M716" s="578"/>
      <c r="N716" s="578"/>
      <c r="O716" s="578"/>
      <c r="P716" s="411"/>
    </row>
    <row r="717" spans="1:16" ht="30">
      <c r="A717" s="347">
        <v>16</v>
      </c>
      <c r="B717" s="594"/>
      <c r="C717" s="116" t="s">
        <v>917</v>
      </c>
      <c r="D717" s="577" t="s">
        <v>87</v>
      </c>
      <c r="E717" s="578"/>
      <c r="F717" s="578"/>
      <c r="G717" s="578"/>
      <c r="H717" s="578"/>
      <c r="I717" s="578"/>
      <c r="J717" s="578"/>
      <c r="K717" s="578"/>
      <c r="L717" s="578"/>
      <c r="M717" s="578"/>
      <c r="N717" s="578"/>
      <c r="O717" s="578"/>
      <c r="P717" s="411"/>
    </row>
    <row r="718" spans="1:16" ht="30">
      <c r="A718" s="339">
        <v>17</v>
      </c>
      <c r="B718" s="594"/>
      <c r="C718" s="116" t="s">
        <v>918</v>
      </c>
      <c r="D718" s="577" t="s">
        <v>87</v>
      </c>
      <c r="E718" s="578"/>
      <c r="F718" s="578"/>
      <c r="G718" s="578"/>
      <c r="H718" s="578"/>
      <c r="I718" s="578"/>
      <c r="J718" s="578"/>
      <c r="K718" s="578"/>
      <c r="L718" s="578"/>
      <c r="M718" s="578"/>
      <c r="N718" s="578"/>
      <c r="O718" s="578"/>
      <c r="P718" s="411"/>
    </row>
    <row r="719" spans="1:16" ht="30">
      <c r="A719" s="347">
        <v>18</v>
      </c>
      <c r="B719" s="594"/>
      <c r="C719" s="116" t="s">
        <v>919</v>
      </c>
      <c r="D719" s="577" t="s">
        <v>87</v>
      </c>
      <c r="E719" s="578"/>
      <c r="F719" s="578"/>
      <c r="G719" s="578"/>
      <c r="H719" s="578"/>
      <c r="I719" s="578"/>
      <c r="J719" s="578"/>
      <c r="K719" s="578"/>
      <c r="L719" s="578"/>
      <c r="M719" s="578"/>
      <c r="N719" s="578"/>
      <c r="O719" s="578"/>
      <c r="P719" s="411"/>
    </row>
    <row r="720" spans="1:16" ht="45">
      <c r="A720" s="339">
        <v>19</v>
      </c>
      <c r="B720" s="594"/>
      <c r="C720" s="116" t="s">
        <v>920</v>
      </c>
      <c r="D720" s="577" t="s">
        <v>87</v>
      </c>
      <c r="E720" s="578"/>
      <c r="F720" s="578"/>
      <c r="G720" s="578"/>
      <c r="H720" s="578"/>
      <c r="I720" s="578"/>
      <c r="J720" s="578"/>
      <c r="K720" s="578"/>
      <c r="L720" s="578"/>
      <c r="M720" s="578"/>
      <c r="N720" s="578"/>
      <c r="O720" s="578"/>
      <c r="P720" s="411"/>
    </row>
    <row r="721" spans="1:16" ht="30">
      <c r="A721" s="347">
        <v>20</v>
      </c>
      <c r="B721" s="594"/>
      <c r="C721" s="116" t="s">
        <v>921</v>
      </c>
      <c r="D721" s="577" t="s">
        <v>87</v>
      </c>
      <c r="E721" s="578"/>
      <c r="F721" s="578"/>
      <c r="G721" s="578"/>
      <c r="H721" s="578"/>
      <c r="I721" s="578"/>
      <c r="J721" s="578"/>
      <c r="K721" s="578"/>
      <c r="L721" s="578"/>
      <c r="M721" s="578"/>
      <c r="N721" s="578"/>
      <c r="O721" s="578"/>
      <c r="P721" s="411"/>
    </row>
    <row r="722" spans="1:16" ht="122.25" customHeight="1">
      <c r="A722" s="339">
        <v>21</v>
      </c>
      <c r="B722" s="594"/>
      <c r="C722" s="565" t="s">
        <v>922</v>
      </c>
      <c r="D722" s="344" t="s">
        <v>2416</v>
      </c>
      <c r="E722" s="339" t="s">
        <v>923</v>
      </c>
      <c r="F722" s="175" t="s">
        <v>6998</v>
      </c>
      <c r="G722" s="339">
        <v>0.15561720000000001</v>
      </c>
      <c r="H722" s="339" t="s">
        <v>389</v>
      </c>
      <c r="I722" s="339" t="s">
        <v>924</v>
      </c>
      <c r="J722" s="339" t="s">
        <v>389</v>
      </c>
      <c r="K722" s="339" t="s">
        <v>389</v>
      </c>
      <c r="L722" s="339" t="s">
        <v>389</v>
      </c>
      <c r="M722" s="339" t="s">
        <v>925</v>
      </c>
      <c r="N722" s="46" t="s">
        <v>389</v>
      </c>
      <c r="O722" s="339" t="s">
        <v>389</v>
      </c>
      <c r="P722" s="339" t="s">
        <v>926</v>
      </c>
    </row>
    <row r="723" spans="1:16" ht="150">
      <c r="A723" s="347">
        <v>22</v>
      </c>
      <c r="B723" s="594"/>
      <c r="C723" s="566"/>
      <c r="D723" s="344" t="s">
        <v>2417</v>
      </c>
      <c r="E723" s="339" t="s">
        <v>927</v>
      </c>
      <c r="F723" s="175" t="s">
        <v>7001</v>
      </c>
      <c r="G723" s="378" t="s">
        <v>928</v>
      </c>
      <c r="H723" s="339" t="s">
        <v>389</v>
      </c>
      <c r="I723" s="339" t="s">
        <v>929</v>
      </c>
      <c r="J723" s="339" t="s">
        <v>389</v>
      </c>
      <c r="K723" s="339" t="s">
        <v>389</v>
      </c>
      <c r="L723" s="339" t="s">
        <v>389</v>
      </c>
      <c r="M723" s="339" t="s">
        <v>389</v>
      </c>
      <c r="N723" s="339" t="s">
        <v>389</v>
      </c>
      <c r="O723" s="339" t="s">
        <v>389</v>
      </c>
      <c r="P723" s="339" t="s">
        <v>930</v>
      </c>
    </row>
    <row r="724" spans="1:16" ht="186.75" customHeight="1">
      <c r="A724" s="339">
        <v>23</v>
      </c>
      <c r="B724" s="594"/>
      <c r="C724" s="566"/>
      <c r="D724" s="344" t="s">
        <v>2418</v>
      </c>
      <c r="E724" s="339" t="s">
        <v>931</v>
      </c>
      <c r="F724" s="175" t="s">
        <v>7000</v>
      </c>
      <c r="G724" s="339" t="s">
        <v>932</v>
      </c>
      <c r="H724" s="339" t="s">
        <v>389</v>
      </c>
      <c r="I724" s="339" t="s">
        <v>933</v>
      </c>
      <c r="J724" s="339" t="s">
        <v>389</v>
      </c>
      <c r="K724" s="339" t="s">
        <v>389</v>
      </c>
      <c r="L724" s="339" t="s">
        <v>389</v>
      </c>
      <c r="M724" s="339" t="s">
        <v>934</v>
      </c>
      <c r="N724" s="46" t="s">
        <v>389</v>
      </c>
      <c r="O724" s="339" t="s">
        <v>389</v>
      </c>
      <c r="P724" s="339" t="s">
        <v>935</v>
      </c>
    </row>
    <row r="725" spans="1:16" ht="195">
      <c r="A725" s="347">
        <v>24</v>
      </c>
      <c r="B725" s="594"/>
      <c r="C725" s="566"/>
      <c r="D725" s="344" t="s">
        <v>2419</v>
      </c>
      <c r="E725" s="595" t="s">
        <v>936</v>
      </c>
      <c r="F725" s="595"/>
      <c r="G725" s="595"/>
      <c r="H725" s="595"/>
      <c r="I725" s="595"/>
      <c r="J725" s="595"/>
      <c r="K725" s="595"/>
      <c r="L725" s="595"/>
      <c r="M725" s="595"/>
      <c r="N725" s="595"/>
      <c r="O725" s="595"/>
      <c r="P725" s="339" t="s">
        <v>937</v>
      </c>
    </row>
    <row r="726" spans="1:16" ht="180">
      <c r="A726" s="339">
        <v>25</v>
      </c>
      <c r="B726" s="594"/>
      <c r="C726" s="566"/>
      <c r="D726" s="344" t="s">
        <v>2420</v>
      </c>
      <c r="E726" s="595" t="s">
        <v>938</v>
      </c>
      <c r="F726" s="595"/>
      <c r="G726" s="595"/>
      <c r="H726" s="595"/>
      <c r="I726" s="595"/>
      <c r="J726" s="595"/>
      <c r="K726" s="595"/>
      <c r="L726" s="595"/>
      <c r="M726" s="595"/>
      <c r="N726" s="595"/>
      <c r="O726" s="595"/>
      <c r="P726" s="339" t="s">
        <v>939</v>
      </c>
    </row>
    <row r="727" spans="1:16" ht="165">
      <c r="A727" s="347">
        <v>26</v>
      </c>
      <c r="B727" s="594"/>
      <c r="C727" s="566"/>
      <c r="D727" s="344" t="s">
        <v>2421</v>
      </c>
      <c r="E727" s="595" t="s">
        <v>940</v>
      </c>
      <c r="F727" s="595"/>
      <c r="G727" s="595"/>
      <c r="H727" s="595"/>
      <c r="I727" s="595"/>
      <c r="J727" s="595"/>
      <c r="K727" s="595"/>
      <c r="L727" s="595"/>
      <c r="M727" s="595"/>
      <c r="N727" s="595"/>
      <c r="O727" s="595"/>
      <c r="P727" s="339" t="s">
        <v>941</v>
      </c>
    </row>
    <row r="728" spans="1:16" ht="92.25" customHeight="1">
      <c r="A728" s="339">
        <v>27</v>
      </c>
      <c r="B728" s="594"/>
      <c r="C728" s="566"/>
      <c r="D728" s="344" t="s">
        <v>2422</v>
      </c>
      <c r="E728" s="595" t="s">
        <v>942</v>
      </c>
      <c r="F728" s="595"/>
      <c r="G728" s="595"/>
      <c r="H728" s="595"/>
      <c r="I728" s="595"/>
      <c r="J728" s="595"/>
      <c r="K728" s="595"/>
      <c r="L728" s="595"/>
      <c r="M728" s="595"/>
      <c r="N728" s="595"/>
      <c r="O728" s="595"/>
      <c r="P728" s="339" t="s">
        <v>943</v>
      </c>
    </row>
    <row r="729" spans="1:16" ht="165">
      <c r="A729" s="347">
        <v>28</v>
      </c>
      <c r="B729" s="594"/>
      <c r="C729" s="566"/>
      <c r="D729" s="344" t="s">
        <v>2423</v>
      </c>
      <c r="E729" s="595" t="s">
        <v>944</v>
      </c>
      <c r="F729" s="595"/>
      <c r="G729" s="595"/>
      <c r="H729" s="595"/>
      <c r="I729" s="595"/>
      <c r="J729" s="595"/>
      <c r="K729" s="595"/>
      <c r="L729" s="595"/>
      <c r="M729" s="595"/>
      <c r="N729" s="595"/>
      <c r="O729" s="595"/>
      <c r="P729" s="339" t="s">
        <v>945</v>
      </c>
    </row>
    <row r="730" spans="1:16" ht="120">
      <c r="A730" s="339">
        <v>29</v>
      </c>
      <c r="B730" s="594"/>
      <c r="C730" s="566"/>
      <c r="D730" s="344" t="s">
        <v>2424</v>
      </c>
      <c r="E730" s="595" t="s">
        <v>946</v>
      </c>
      <c r="F730" s="595"/>
      <c r="G730" s="595"/>
      <c r="H730" s="595"/>
      <c r="I730" s="595"/>
      <c r="J730" s="595"/>
      <c r="K730" s="595"/>
      <c r="L730" s="595"/>
      <c r="M730" s="595"/>
      <c r="N730" s="595"/>
      <c r="O730" s="595"/>
      <c r="P730" s="339" t="s">
        <v>947</v>
      </c>
    </row>
    <row r="731" spans="1:16" ht="165">
      <c r="A731" s="347">
        <v>30</v>
      </c>
      <c r="B731" s="594"/>
      <c r="C731" s="566"/>
      <c r="D731" s="344" t="s">
        <v>2425</v>
      </c>
      <c r="E731" s="595" t="s">
        <v>948</v>
      </c>
      <c r="F731" s="595"/>
      <c r="G731" s="595"/>
      <c r="H731" s="595"/>
      <c r="I731" s="595"/>
      <c r="J731" s="595"/>
      <c r="K731" s="595"/>
      <c r="L731" s="595"/>
      <c r="M731" s="595"/>
      <c r="N731" s="595"/>
      <c r="O731" s="595"/>
      <c r="P731" s="339" t="s">
        <v>949</v>
      </c>
    </row>
    <row r="732" spans="1:16" ht="124.5" customHeight="1">
      <c r="A732" s="339">
        <v>31</v>
      </c>
      <c r="B732" s="594"/>
      <c r="C732" s="566"/>
      <c r="D732" s="344" t="s">
        <v>2426</v>
      </c>
      <c r="E732" s="595" t="s">
        <v>950</v>
      </c>
      <c r="F732" s="595"/>
      <c r="G732" s="595"/>
      <c r="H732" s="595"/>
      <c r="I732" s="595"/>
      <c r="J732" s="595"/>
      <c r="K732" s="595"/>
      <c r="L732" s="595"/>
      <c r="M732" s="595"/>
      <c r="N732" s="595"/>
      <c r="O732" s="595"/>
      <c r="P732" s="339" t="s">
        <v>951</v>
      </c>
    </row>
    <row r="733" spans="1:16" ht="60">
      <c r="A733" s="347">
        <v>32</v>
      </c>
      <c r="B733" s="594"/>
      <c r="C733" s="566"/>
      <c r="D733" s="344" t="s">
        <v>2427</v>
      </c>
      <c r="E733" s="595" t="s">
        <v>952</v>
      </c>
      <c r="F733" s="595"/>
      <c r="G733" s="595"/>
      <c r="H733" s="595"/>
      <c r="I733" s="595"/>
      <c r="J733" s="595"/>
      <c r="K733" s="595"/>
      <c r="L733" s="595"/>
      <c r="M733" s="595"/>
      <c r="N733" s="595"/>
      <c r="O733" s="595"/>
      <c r="P733" s="339" t="s">
        <v>953</v>
      </c>
    </row>
    <row r="734" spans="1:16" ht="150">
      <c r="A734" s="339">
        <v>33</v>
      </c>
      <c r="B734" s="594"/>
      <c r="C734" s="566"/>
      <c r="D734" s="344" t="s">
        <v>954</v>
      </c>
      <c r="E734" s="339" t="s">
        <v>955</v>
      </c>
      <c r="F734" s="175" t="s">
        <v>6996</v>
      </c>
      <c r="G734" s="339" t="s">
        <v>957</v>
      </c>
      <c r="H734" s="339" t="s">
        <v>958</v>
      </c>
      <c r="I734" s="339" t="s">
        <v>389</v>
      </c>
      <c r="J734" s="339" t="s">
        <v>389</v>
      </c>
      <c r="K734" s="339" t="s">
        <v>389</v>
      </c>
      <c r="L734" s="339" t="s">
        <v>389</v>
      </c>
      <c r="M734" s="339" t="s">
        <v>389</v>
      </c>
      <c r="N734" s="339" t="s">
        <v>959</v>
      </c>
      <c r="O734" s="339" t="s">
        <v>389</v>
      </c>
      <c r="P734" s="339" t="s">
        <v>960</v>
      </c>
    </row>
    <row r="735" spans="1:16" ht="165">
      <c r="A735" s="347">
        <v>34</v>
      </c>
      <c r="B735" s="594"/>
      <c r="C735" s="566"/>
      <c r="D735" s="344" t="s">
        <v>961</v>
      </c>
      <c r="E735" s="339" t="s">
        <v>962</v>
      </c>
      <c r="F735" s="175" t="s">
        <v>7002</v>
      </c>
      <c r="G735" s="339" t="s">
        <v>963</v>
      </c>
      <c r="H735" s="339" t="s">
        <v>964</v>
      </c>
      <c r="I735" s="339" t="s">
        <v>389</v>
      </c>
      <c r="J735" s="339" t="s">
        <v>389</v>
      </c>
      <c r="K735" s="339" t="s">
        <v>389</v>
      </c>
      <c r="L735" s="339" t="s">
        <v>389</v>
      </c>
      <c r="M735" s="339" t="s">
        <v>389</v>
      </c>
      <c r="N735" s="339" t="s">
        <v>965</v>
      </c>
      <c r="O735" s="339" t="s">
        <v>389</v>
      </c>
      <c r="P735" s="339" t="s">
        <v>966</v>
      </c>
    </row>
    <row r="736" spans="1:16" ht="75">
      <c r="A736" s="339">
        <v>35</v>
      </c>
      <c r="B736" s="594"/>
      <c r="C736" s="566"/>
      <c r="D736" s="344" t="s">
        <v>967</v>
      </c>
      <c r="E736" s="595" t="s">
        <v>968</v>
      </c>
      <c r="F736" s="595"/>
      <c r="G736" s="595"/>
      <c r="H736" s="595"/>
      <c r="I736" s="595"/>
      <c r="J736" s="595"/>
      <c r="K736" s="595"/>
      <c r="L736" s="595"/>
      <c r="M736" s="595"/>
      <c r="N736" s="595"/>
      <c r="O736" s="595"/>
      <c r="P736" s="339" t="s">
        <v>969</v>
      </c>
    </row>
    <row r="737" spans="1:16" ht="84.75" customHeight="1">
      <c r="A737" s="347">
        <v>36</v>
      </c>
      <c r="B737" s="594"/>
      <c r="C737" s="566"/>
      <c r="D737" s="344" t="s">
        <v>970</v>
      </c>
      <c r="E737" s="339" t="s">
        <v>971</v>
      </c>
      <c r="F737" s="175" t="s">
        <v>7003</v>
      </c>
      <c r="G737" s="339" t="s">
        <v>972</v>
      </c>
      <c r="H737" s="339" t="s">
        <v>352</v>
      </c>
      <c r="I737" s="339" t="s">
        <v>389</v>
      </c>
      <c r="J737" s="339" t="s">
        <v>389</v>
      </c>
      <c r="K737" s="339" t="s">
        <v>389</v>
      </c>
      <c r="L737" s="339" t="s">
        <v>389</v>
      </c>
      <c r="M737" s="339" t="s">
        <v>389</v>
      </c>
      <c r="N737" s="339" t="s">
        <v>389</v>
      </c>
      <c r="O737" s="339" t="s">
        <v>389</v>
      </c>
      <c r="P737" s="339" t="s">
        <v>973</v>
      </c>
    </row>
    <row r="738" spans="1:16" ht="117.75" customHeight="1">
      <c r="A738" s="339">
        <v>37</v>
      </c>
      <c r="B738" s="594"/>
      <c r="C738" s="566"/>
      <c r="D738" s="344" t="s">
        <v>974</v>
      </c>
      <c r="E738" s="339" t="s">
        <v>971</v>
      </c>
      <c r="F738" s="175" t="s">
        <v>7004</v>
      </c>
      <c r="G738" s="339" t="s">
        <v>972</v>
      </c>
      <c r="H738" s="339" t="s">
        <v>975</v>
      </c>
      <c r="I738" s="339" t="s">
        <v>389</v>
      </c>
      <c r="J738" s="339" t="s">
        <v>389</v>
      </c>
      <c r="K738" s="339" t="s">
        <v>389</v>
      </c>
      <c r="L738" s="339" t="s">
        <v>389</v>
      </c>
      <c r="M738" s="339" t="s">
        <v>389</v>
      </c>
      <c r="N738" s="339" t="s">
        <v>389</v>
      </c>
      <c r="O738" s="339" t="s">
        <v>389</v>
      </c>
      <c r="P738" s="339" t="s">
        <v>976</v>
      </c>
    </row>
    <row r="739" spans="1:16" ht="45">
      <c r="A739" s="347">
        <v>38</v>
      </c>
      <c r="B739" s="594"/>
      <c r="C739" s="566"/>
      <c r="D739" s="344" t="s">
        <v>977</v>
      </c>
      <c r="E739" s="339">
        <v>5490</v>
      </c>
      <c r="F739" s="175" t="s">
        <v>7005</v>
      </c>
      <c r="G739" s="339" t="s">
        <v>972</v>
      </c>
      <c r="H739" s="339" t="s">
        <v>7007</v>
      </c>
      <c r="I739" s="339" t="s">
        <v>389</v>
      </c>
      <c r="J739" s="339" t="s">
        <v>389</v>
      </c>
      <c r="K739" s="339" t="s">
        <v>389</v>
      </c>
      <c r="L739" s="339" t="s">
        <v>389</v>
      </c>
      <c r="M739" s="339" t="s">
        <v>389</v>
      </c>
      <c r="N739" s="339" t="s">
        <v>389</v>
      </c>
      <c r="O739" s="339" t="s">
        <v>389</v>
      </c>
      <c r="P739" s="339" t="s">
        <v>979</v>
      </c>
    </row>
    <row r="740" spans="1:16" ht="90">
      <c r="A740" s="339">
        <v>39</v>
      </c>
      <c r="B740" s="658"/>
      <c r="C740" s="567"/>
      <c r="D740" s="344" t="s">
        <v>980</v>
      </c>
      <c r="E740" s="339" t="s">
        <v>971</v>
      </c>
      <c r="F740" s="175" t="s">
        <v>7006</v>
      </c>
      <c r="G740" s="339" t="s">
        <v>972</v>
      </c>
      <c r="H740" s="339" t="s">
        <v>975</v>
      </c>
      <c r="I740" s="339" t="s">
        <v>389</v>
      </c>
      <c r="J740" s="339" t="s">
        <v>389</v>
      </c>
      <c r="K740" s="339" t="s">
        <v>389</v>
      </c>
      <c r="L740" s="339" t="s">
        <v>389</v>
      </c>
      <c r="M740" s="339" t="s">
        <v>389</v>
      </c>
      <c r="N740" s="339" t="s">
        <v>389</v>
      </c>
      <c r="O740" s="339" t="s">
        <v>389</v>
      </c>
      <c r="P740" s="339" t="s">
        <v>981</v>
      </c>
    </row>
    <row r="741" spans="1:16">
      <c r="A741" s="562"/>
      <c r="B741" s="562"/>
      <c r="C741" s="562"/>
      <c r="D741" s="562"/>
      <c r="E741" s="562"/>
      <c r="F741" s="562"/>
      <c r="G741" s="562"/>
      <c r="H741" s="562"/>
      <c r="I741" s="562"/>
      <c r="J741" s="562"/>
      <c r="K741" s="562"/>
      <c r="L741" s="562"/>
      <c r="M741" s="562"/>
      <c r="N741" s="562"/>
      <c r="O741" s="562"/>
      <c r="P741" s="562"/>
    </row>
    <row r="742" spans="1:16" ht="20.25" customHeight="1">
      <c r="A742" s="559" t="s">
        <v>88</v>
      </c>
      <c r="B742" s="559"/>
      <c r="C742" s="559"/>
      <c r="D742" s="559"/>
      <c r="E742" s="559"/>
      <c r="F742" s="559"/>
      <c r="G742" s="559"/>
      <c r="H742" s="559"/>
      <c r="I742" s="559"/>
      <c r="J742" s="559"/>
      <c r="K742" s="559"/>
      <c r="L742" s="559"/>
      <c r="M742" s="559"/>
      <c r="N742" s="559"/>
      <c r="O742" s="559"/>
      <c r="P742" s="560"/>
    </row>
    <row r="743" spans="1:16" ht="85.5">
      <c r="A743" s="46" t="s">
        <v>0</v>
      </c>
      <c r="B743" s="46" t="s">
        <v>2582</v>
      </c>
      <c r="C743" s="46" t="s">
        <v>1</v>
      </c>
      <c r="D743" s="46" t="s">
        <v>2596</v>
      </c>
      <c r="E743" s="67" t="s">
        <v>62</v>
      </c>
      <c r="F743" s="67" t="s">
        <v>63</v>
      </c>
      <c r="G743" s="46" t="s">
        <v>2560</v>
      </c>
      <c r="H743" s="46" t="s">
        <v>2561</v>
      </c>
      <c r="I743" s="46" t="s">
        <v>65</v>
      </c>
      <c r="J743" s="46" t="s">
        <v>5</v>
      </c>
      <c r="K743" s="46" t="s">
        <v>6</v>
      </c>
      <c r="L743" s="46" t="s">
        <v>66</v>
      </c>
      <c r="M743" s="46" t="s">
        <v>67</v>
      </c>
      <c r="N743" s="67" t="s">
        <v>68</v>
      </c>
      <c r="O743" s="74" t="s">
        <v>69</v>
      </c>
      <c r="P743" s="561"/>
    </row>
    <row r="744" spans="1:16" ht="33" customHeight="1">
      <c r="A744" s="345">
        <v>1</v>
      </c>
      <c r="B744" s="79">
        <v>2</v>
      </c>
      <c r="C744" s="79">
        <v>3</v>
      </c>
      <c r="D744" s="79">
        <v>4</v>
      </c>
      <c r="E744" s="79">
        <v>5</v>
      </c>
      <c r="F744" s="79">
        <v>6</v>
      </c>
      <c r="G744" s="79">
        <v>7</v>
      </c>
      <c r="H744" s="79">
        <v>8</v>
      </c>
      <c r="I744" s="79">
        <v>9</v>
      </c>
      <c r="J744" s="79">
        <v>10</v>
      </c>
      <c r="K744" s="79">
        <v>11</v>
      </c>
      <c r="L744" s="79">
        <v>12</v>
      </c>
      <c r="M744" s="79">
        <v>13</v>
      </c>
      <c r="N744" s="79">
        <v>14</v>
      </c>
      <c r="O744" s="79">
        <v>15</v>
      </c>
      <c r="P744" s="561"/>
    </row>
    <row r="745" spans="1:16" ht="45">
      <c r="A745" s="596">
        <v>1</v>
      </c>
      <c r="B745" s="598" t="s">
        <v>2491</v>
      </c>
      <c r="C745" s="599" t="s">
        <v>982</v>
      </c>
      <c r="D745" s="116" t="s">
        <v>983</v>
      </c>
      <c r="E745" s="339">
        <v>3990</v>
      </c>
      <c r="F745" s="339" t="s">
        <v>984</v>
      </c>
      <c r="G745" s="403">
        <v>4.05</v>
      </c>
      <c r="H745" s="403">
        <v>23.81</v>
      </c>
      <c r="I745" s="403" t="s">
        <v>735</v>
      </c>
      <c r="J745" s="403" t="s">
        <v>26</v>
      </c>
      <c r="K745" s="403" t="s">
        <v>26</v>
      </c>
      <c r="L745" s="403" t="s">
        <v>26</v>
      </c>
      <c r="M745" s="403">
        <v>29042</v>
      </c>
      <c r="N745" s="403">
        <v>1</v>
      </c>
      <c r="O745" s="403"/>
      <c r="P745" s="561"/>
    </row>
    <row r="746" spans="1:16" ht="75">
      <c r="A746" s="597"/>
      <c r="B746" s="594"/>
      <c r="C746" s="566"/>
      <c r="D746" s="334" t="s">
        <v>985</v>
      </c>
      <c r="E746" s="346">
        <v>1013.32</v>
      </c>
      <c r="F746" s="346" t="s">
        <v>986</v>
      </c>
      <c r="G746" s="346" t="s">
        <v>17</v>
      </c>
      <c r="H746" s="346" t="s">
        <v>17</v>
      </c>
      <c r="I746" s="346" t="s">
        <v>986</v>
      </c>
      <c r="J746" s="346" t="s">
        <v>987</v>
      </c>
      <c r="K746" s="346" t="s">
        <v>988</v>
      </c>
      <c r="L746" s="346" t="s">
        <v>26</v>
      </c>
      <c r="M746" s="412" t="s">
        <v>454</v>
      </c>
      <c r="N746" s="346">
        <v>2</v>
      </c>
      <c r="O746" s="207" t="s">
        <v>989</v>
      </c>
      <c r="P746" s="561"/>
    </row>
    <row r="747" spans="1:16" ht="30">
      <c r="A747" s="104">
        <v>2</v>
      </c>
      <c r="B747" s="594"/>
      <c r="C747" s="344" t="s">
        <v>870</v>
      </c>
      <c r="D747" s="590" t="s">
        <v>87</v>
      </c>
      <c r="E747" s="591"/>
      <c r="F747" s="591"/>
      <c r="G747" s="591"/>
      <c r="H747" s="591"/>
      <c r="I747" s="591"/>
      <c r="J747" s="591"/>
      <c r="K747" s="591"/>
      <c r="L747" s="591"/>
      <c r="M747" s="591"/>
      <c r="N747" s="591"/>
      <c r="O747" s="592"/>
      <c r="P747" s="561"/>
    </row>
    <row r="748" spans="1:16" ht="15.75" customHeight="1">
      <c r="A748" s="335">
        <v>3</v>
      </c>
      <c r="B748" s="594"/>
      <c r="C748" s="344" t="s">
        <v>990</v>
      </c>
      <c r="D748" s="590" t="s">
        <v>87</v>
      </c>
      <c r="E748" s="591"/>
      <c r="F748" s="591"/>
      <c r="G748" s="591"/>
      <c r="H748" s="591"/>
      <c r="I748" s="591"/>
      <c r="J748" s="591"/>
      <c r="K748" s="591"/>
      <c r="L748" s="591"/>
      <c r="M748" s="591"/>
      <c r="N748" s="591"/>
      <c r="O748" s="592"/>
      <c r="P748" s="561"/>
    </row>
    <row r="749" spans="1:16" ht="30">
      <c r="A749" s="335">
        <v>4</v>
      </c>
      <c r="B749" s="594"/>
      <c r="C749" s="344" t="s">
        <v>887</v>
      </c>
      <c r="D749" s="590" t="s">
        <v>87</v>
      </c>
      <c r="E749" s="591"/>
      <c r="F749" s="591"/>
      <c r="G749" s="591"/>
      <c r="H749" s="591"/>
      <c r="I749" s="591"/>
      <c r="J749" s="591"/>
      <c r="K749" s="591"/>
      <c r="L749" s="591"/>
      <c r="M749" s="591"/>
      <c r="N749" s="591"/>
      <c r="O749" s="592"/>
      <c r="P749" s="561"/>
    </row>
    <row r="750" spans="1:16" ht="30">
      <c r="A750" s="335">
        <v>5</v>
      </c>
      <c r="B750" s="594"/>
      <c r="C750" s="116" t="s">
        <v>888</v>
      </c>
      <c r="D750" s="590" t="s">
        <v>87</v>
      </c>
      <c r="E750" s="591"/>
      <c r="F750" s="591"/>
      <c r="G750" s="591"/>
      <c r="H750" s="591"/>
      <c r="I750" s="591"/>
      <c r="J750" s="591"/>
      <c r="K750" s="591"/>
      <c r="L750" s="591"/>
      <c r="M750" s="591"/>
      <c r="N750" s="591"/>
      <c r="O750" s="592"/>
      <c r="P750" s="561"/>
    </row>
    <row r="751" spans="1:16" ht="30">
      <c r="A751" s="335">
        <v>6</v>
      </c>
      <c r="B751" s="594"/>
      <c r="C751" s="344" t="s">
        <v>991</v>
      </c>
      <c r="D751" s="590" t="s">
        <v>87</v>
      </c>
      <c r="E751" s="591"/>
      <c r="F751" s="591"/>
      <c r="G751" s="591"/>
      <c r="H751" s="591"/>
      <c r="I751" s="591"/>
      <c r="J751" s="591"/>
      <c r="K751" s="591"/>
      <c r="L751" s="591"/>
      <c r="M751" s="591"/>
      <c r="N751" s="591"/>
      <c r="O751" s="592"/>
      <c r="P751" s="561"/>
    </row>
    <row r="752" spans="1:16" ht="30">
      <c r="A752" s="104">
        <v>7</v>
      </c>
      <c r="B752" s="594"/>
      <c r="C752" s="116" t="s">
        <v>992</v>
      </c>
      <c r="D752" s="590" t="s">
        <v>87</v>
      </c>
      <c r="E752" s="591"/>
      <c r="F752" s="591"/>
      <c r="G752" s="591"/>
      <c r="H752" s="591"/>
      <c r="I752" s="591"/>
      <c r="J752" s="591"/>
      <c r="K752" s="591"/>
      <c r="L752" s="591"/>
      <c r="M752" s="591"/>
      <c r="N752" s="591"/>
      <c r="O752" s="592"/>
      <c r="P752" s="561"/>
    </row>
    <row r="753" spans="1:16" ht="45">
      <c r="A753" s="104">
        <v>8</v>
      </c>
      <c r="B753" s="594"/>
      <c r="C753" s="344" t="s">
        <v>904</v>
      </c>
      <c r="D753" s="590" t="s">
        <v>87</v>
      </c>
      <c r="E753" s="591"/>
      <c r="F753" s="591"/>
      <c r="G753" s="591"/>
      <c r="H753" s="591"/>
      <c r="I753" s="591"/>
      <c r="J753" s="591"/>
      <c r="K753" s="591"/>
      <c r="L753" s="591"/>
      <c r="M753" s="591"/>
      <c r="N753" s="591"/>
      <c r="O753" s="592"/>
      <c r="P753" s="561"/>
    </row>
    <row r="754" spans="1:16" ht="45">
      <c r="A754" s="335">
        <v>9</v>
      </c>
      <c r="B754" s="594"/>
      <c r="C754" s="344" t="s">
        <v>905</v>
      </c>
      <c r="D754" s="590" t="s">
        <v>87</v>
      </c>
      <c r="E754" s="591"/>
      <c r="F754" s="591"/>
      <c r="G754" s="591"/>
      <c r="H754" s="591"/>
      <c r="I754" s="591"/>
      <c r="J754" s="591"/>
      <c r="K754" s="591"/>
      <c r="L754" s="591"/>
      <c r="M754" s="591"/>
      <c r="N754" s="591"/>
      <c r="O754" s="592"/>
      <c r="P754" s="561"/>
    </row>
    <row r="755" spans="1:16" ht="45">
      <c r="A755" s="335">
        <v>10</v>
      </c>
      <c r="B755" s="594"/>
      <c r="C755" s="344" t="s">
        <v>906</v>
      </c>
      <c r="D755" s="590" t="s">
        <v>87</v>
      </c>
      <c r="E755" s="591"/>
      <c r="F755" s="591"/>
      <c r="G755" s="591"/>
      <c r="H755" s="591"/>
      <c r="I755" s="591"/>
      <c r="J755" s="591"/>
      <c r="K755" s="591"/>
      <c r="L755" s="591"/>
      <c r="M755" s="591"/>
      <c r="N755" s="591"/>
      <c r="O755" s="592"/>
      <c r="P755" s="561"/>
    </row>
    <row r="756" spans="1:16" ht="75">
      <c r="A756" s="335">
        <v>11</v>
      </c>
      <c r="B756" s="594"/>
      <c r="C756" s="352" t="s">
        <v>993</v>
      </c>
      <c r="D756" s="344" t="s">
        <v>994</v>
      </c>
      <c r="E756" s="49">
        <v>2000</v>
      </c>
      <c r="F756" s="49" t="s">
        <v>995</v>
      </c>
      <c r="G756" s="49">
        <v>1.2390000000000001</v>
      </c>
      <c r="H756" s="49" t="s">
        <v>35</v>
      </c>
      <c r="I756" s="49" t="s">
        <v>996</v>
      </c>
      <c r="J756" s="49" t="s">
        <v>997</v>
      </c>
      <c r="K756" s="49" t="s">
        <v>998</v>
      </c>
      <c r="L756" s="49" t="s">
        <v>17</v>
      </c>
      <c r="M756" s="49" t="s">
        <v>35</v>
      </c>
      <c r="N756" s="382" t="s">
        <v>454</v>
      </c>
      <c r="O756" s="49" t="s">
        <v>35</v>
      </c>
      <c r="P756" s="561"/>
    </row>
    <row r="757" spans="1:16" ht="33.75" customHeight="1">
      <c r="A757" s="335">
        <v>12</v>
      </c>
      <c r="B757" s="594"/>
      <c r="C757" s="344" t="s">
        <v>913</v>
      </c>
      <c r="D757" s="590" t="s">
        <v>87</v>
      </c>
      <c r="E757" s="591"/>
      <c r="F757" s="591"/>
      <c r="G757" s="591"/>
      <c r="H757" s="591"/>
      <c r="I757" s="591"/>
      <c r="J757" s="591"/>
      <c r="K757" s="591"/>
      <c r="L757" s="591"/>
      <c r="M757" s="591"/>
      <c r="N757" s="591"/>
      <c r="O757" s="592"/>
      <c r="P757" s="561"/>
    </row>
    <row r="758" spans="1:16" ht="30">
      <c r="A758" s="104">
        <v>13</v>
      </c>
      <c r="B758" s="594"/>
      <c r="C758" s="116" t="s">
        <v>914</v>
      </c>
      <c r="D758" s="590" t="s">
        <v>87</v>
      </c>
      <c r="E758" s="591"/>
      <c r="F758" s="591"/>
      <c r="G758" s="591"/>
      <c r="H758" s="591"/>
      <c r="I758" s="591"/>
      <c r="J758" s="591"/>
      <c r="K758" s="591"/>
      <c r="L758" s="591"/>
      <c r="M758" s="591"/>
      <c r="N758" s="591"/>
      <c r="O758" s="592"/>
      <c r="P758" s="561"/>
    </row>
    <row r="759" spans="1:16" ht="30">
      <c r="A759" s="104">
        <v>14</v>
      </c>
      <c r="B759" s="594"/>
      <c r="C759" s="116" t="s">
        <v>999</v>
      </c>
      <c r="D759" s="590" t="s">
        <v>87</v>
      </c>
      <c r="E759" s="591"/>
      <c r="F759" s="591"/>
      <c r="G759" s="591"/>
      <c r="H759" s="591"/>
      <c r="I759" s="591"/>
      <c r="J759" s="591"/>
      <c r="K759" s="591"/>
      <c r="L759" s="591"/>
      <c r="M759" s="591"/>
      <c r="N759" s="591"/>
      <c r="O759" s="592"/>
      <c r="P759" s="561"/>
    </row>
    <row r="760" spans="1:16" ht="30">
      <c r="A760" s="335">
        <v>15</v>
      </c>
      <c r="B760" s="594"/>
      <c r="C760" s="116" t="s">
        <v>1000</v>
      </c>
      <c r="D760" s="590" t="s">
        <v>87</v>
      </c>
      <c r="E760" s="591"/>
      <c r="F760" s="591"/>
      <c r="G760" s="591"/>
      <c r="H760" s="591"/>
      <c r="I760" s="591"/>
      <c r="J760" s="591"/>
      <c r="K760" s="591"/>
      <c r="L760" s="591"/>
      <c r="M760" s="591"/>
      <c r="N760" s="591"/>
      <c r="O760" s="592"/>
      <c r="P760" s="561"/>
    </row>
    <row r="761" spans="1:16" ht="30">
      <c r="A761" s="335">
        <v>16</v>
      </c>
      <c r="B761" s="594"/>
      <c r="C761" s="116" t="s">
        <v>917</v>
      </c>
      <c r="D761" s="590" t="s">
        <v>87</v>
      </c>
      <c r="E761" s="591"/>
      <c r="F761" s="591"/>
      <c r="G761" s="591"/>
      <c r="H761" s="591"/>
      <c r="I761" s="591"/>
      <c r="J761" s="591"/>
      <c r="K761" s="591"/>
      <c r="L761" s="591"/>
      <c r="M761" s="591"/>
      <c r="N761" s="591"/>
      <c r="O761" s="592"/>
      <c r="P761" s="561"/>
    </row>
    <row r="762" spans="1:16" ht="30">
      <c r="A762" s="335">
        <v>17</v>
      </c>
      <c r="B762" s="594"/>
      <c r="C762" s="116" t="s">
        <v>918</v>
      </c>
      <c r="D762" s="590" t="s">
        <v>87</v>
      </c>
      <c r="E762" s="591"/>
      <c r="F762" s="591"/>
      <c r="G762" s="591"/>
      <c r="H762" s="591"/>
      <c r="I762" s="591"/>
      <c r="J762" s="591"/>
      <c r="K762" s="591"/>
      <c r="L762" s="591"/>
      <c r="M762" s="591"/>
      <c r="N762" s="591"/>
      <c r="O762" s="592"/>
      <c r="P762" s="561"/>
    </row>
    <row r="763" spans="1:16" ht="30">
      <c r="A763" s="335">
        <v>18</v>
      </c>
      <c r="B763" s="594"/>
      <c r="C763" s="116" t="s">
        <v>919</v>
      </c>
      <c r="D763" s="607" t="s">
        <v>87</v>
      </c>
      <c r="E763" s="607"/>
      <c r="F763" s="607"/>
      <c r="G763" s="607"/>
      <c r="H763" s="607"/>
      <c r="I763" s="607"/>
      <c r="J763" s="607"/>
      <c r="K763" s="607"/>
      <c r="L763" s="607"/>
      <c r="M763" s="607"/>
      <c r="N763" s="607"/>
      <c r="O763" s="607"/>
      <c r="P763" s="561"/>
    </row>
    <row r="764" spans="1:16" ht="60">
      <c r="A764" s="104">
        <v>19</v>
      </c>
      <c r="B764" s="594"/>
      <c r="C764" s="116" t="s">
        <v>1001</v>
      </c>
      <c r="D764" s="607" t="s">
        <v>87</v>
      </c>
      <c r="E764" s="607"/>
      <c r="F764" s="607"/>
      <c r="G764" s="607"/>
      <c r="H764" s="607"/>
      <c r="I764" s="607"/>
      <c r="J764" s="607"/>
      <c r="K764" s="607"/>
      <c r="L764" s="607"/>
      <c r="M764" s="607"/>
      <c r="N764" s="607"/>
      <c r="O764" s="607"/>
      <c r="P764" s="561"/>
    </row>
    <row r="765" spans="1:16" ht="31.5" customHeight="1">
      <c r="A765" s="106">
        <v>20</v>
      </c>
      <c r="B765" s="594"/>
      <c r="C765" s="116" t="s">
        <v>921</v>
      </c>
      <c r="D765" s="590" t="s">
        <v>87</v>
      </c>
      <c r="E765" s="591"/>
      <c r="F765" s="591"/>
      <c r="G765" s="591"/>
      <c r="H765" s="591"/>
      <c r="I765" s="591"/>
      <c r="J765" s="591"/>
      <c r="K765" s="591"/>
      <c r="L765" s="591"/>
      <c r="M765" s="591"/>
      <c r="N765" s="591"/>
      <c r="O765" s="592"/>
      <c r="P765" s="561"/>
    </row>
    <row r="766" spans="1:16" ht="31.5" customHeight="1">
      <c r="A766" s="320">
        <v>21</v>
      </c>
      <c r="B766" s="413"/>
      <c r="C766" s="414" t="s">
        <v>1002</v>
      </c>
      <c r="D766" s="414" t="s">
        <v>1003</v>
      </c>
      <c r="E766" s="415" t="s">
        <v>1004</v>
      </c>
      <c r="F766" s="416"/>
      <c r="G766" s="416"/>
      <c r="H766" s="416"/>
      <c r="I766" s="416"/>
      <c r="J766" s="416"/>
      <c r="K766" s="416"/>
      <c r="L766" s="416"/>
      <c r="M766" s="416"/>
      <c r="N766" s="416"/>
      <c r="O766" s="417" t="s">
        <v>1005</v>
      </c>
      <c r="P766" s="561"/>
    </row>
    <row r="767" spans="1:16">
      <c r="A767" s="554"/>
      <c r="B767" s="554"/>
      <c r="C767" s="554"/>
      <c r="D767" s="554"/>
      <c r="E767" s="554"/>
      <c r="F767" s="554"/>
      <c r="G767" s="554"/>
      <c r="H767" s="554"/>
      <c r="I767" s="554"/>
      <c r="J767" s="554"/>
      <c r="K767" s="554"/>
      <c r="L767" s="554"/>
      <c r="M767" s="554"/>
      <c r="N767" s="554"/>
      <c r="O767" s="554"/>
      <c r="P767" s="554"/>
    </row>
    <row r="768" spans="1:16" ht="20.25" customHeight="1">
      <c r="A768" s="555" t="s">
        <v>111</v>
      </c>
      <c r="B768" s="556"/>
      <c r="C768" s="556"/>
      <c r="D768" s="556"/>
      <c r="E768" s="556"/>
      <c r="F768" s="556"/>
      <c r="G768" s="556"/>
      <c r="H768" s="556"/>
      <c r="I768" s="556"/>
      <c r="J768" s="556"/>
      <c r="K768" s="556"/>
      <c r="L768" s="556"/>
      <c r="M768" s="556"/>
      <c r="N768" s="556"/>
      <c r="O768" s="805"/>
      <c r="P768" s="560"/>
    </row>
    <row r="769" spans="1:16" ht="85.5">
      <c r="A769" s="46" t="s">
        <v>0</v>
      </c>
      <c r="B769" s="46" t="s">
        <v>2582</v>
      </c>
      <c r="C769" s="46" t="s">
        <v>1</v>
      </c>
      <c r="D769" s="46" t="s">
        <v>2596</v>
      </c>
      <c r="E769" s="46" t="s">
        <v>89</v>
      </c>
      <c r="F769" s="46" t="s">
        <v>63</v>
      </c>
      <c r="G769" s="46" t="s">
        <v>2590</v>
      </c>
      <c r="H769" s="46" t="s">
        <v>2561</v>
      </c>
      <c r="I769" s="46" t="s">
        <v>2391</v>
      </c>
      <c r="J769" s="46" t="s">
        <v>5</v>
      </c>
      <c r="K769" s="46" t="s">
        <v>6</v>
      </c>
      <c r="L769" s="46" t="s">
        <v>91</v>
      </c>
      <c r="M769" s="46" t="s">
        <v>67</v>
      </c>
      <c r="N769" s="67" t="s">
        <v>92</v>
      </c>
      <c r="O769" s="401" t="s">
        <v>11</v>
      </c>
      <c r="P769" s="561"/>
    </row>
    <row r="770" spans="1:16">
      <c r="A770" s="345">
        <v>1</v>
      </c>
      <c r="B770" s="79">
        <v>2</v>
      </c>
      <c r="C770" s="79">
        <v>3</v>
      </c>
      <c r="D770" s="79">
        <v>4</v>
      </c>
      <c r="E770" s="79">
        <v>5</v>
      </c>
      <c r="F770" s="79">
        <v>6</v>
      </c>
      <c r="G770" s="79">
        <v>7</v>
      </c>
      <c r="H770" s="79">
        <v>8</v>
      </c>
      <c r="I770" s="79">
        <v>9</v>
      </c>
      <c r="J770" s="79">
        <v>10</v>
      </c>
      <c r="K770" s="79">
        <v>11</v>
      </c>
      <c r="L770" s="79">
        <v>12</v>
      </c>
      <c r="M770" s="79">
        <v>13</v>
      </c>
      <c r="N770" s="357">
        <v>14</v>
      </c>
      <c r="O770" s="79">
        <v>15</v>
      </c>
      <c r="P770" s="561"/>
    </row>
    <row r="771" spans="1:16" ht="32.25" customHeight="1">
      <c r="A771" s="104">
        <v>1</v>
      </c>
      <c r="B771" s="593" t="s">
        <v>2616</v>
      </c>
      <c r="C771" s="344" t="s">
        <v>1006</v>
      </c>
      <c r="D771" s="116" t="s">
        <v>1007</v>
      </c>
      <c r="E771" s="339">
        <v>20000.32</v>
      </c>
      <c r="F771" s="339">
        <v>1996</v>
      </c>
      <c r="G771" s="339">
        <v>2.2000000000000002</v>
      </c>
      <c r="H771" s="339">
        <v>97.2</v>
      </c>
      <c r="I771" s="339" t="s">
        <v>1008</v>
      </c>
      <c r="J771" s="339" t="s">
        <v>1009</v>
      </c>
      <c r="K771" s="207" t="s">
        <v>1010</v>
      </c>
      <c r="L771" s="339" t="s">
        <v>160</v>
      </c>
      <c r="M771" s="339">
        <v>27402</v>
      </c>
      <c r="N771" s="207" t="s">
        <v>1011</v>
      </c>
      <c r="O771" s="207" t="s">
        <v>1012</v>
      </c>
      <c r="P771" s="561"/>
    </row>
    <row r="772" spans="1:16" ht="30">
      <c r="A772" s="104">
        <v>2</v>
      </c>
      <c r="B772" s="594"/>
      <c r="C772" s="344" t="s">
        <v>870</v>
      </c>
      <c r="D772" s="590" t="s">
        <v>87</v>
      </c>
      <c r="E772" s="591"/>
      <c r="F772" s="591"/>
      <c r="G772" s="591"/>
      <c r="H772" s="591"/>
      <c r="I772" s="591"/>
      <c r="J772" s="591"/>
      <c r="K772" s="591"/>
      <c r="L772" s="591"/>
      <c r="M772" s="591"/>
      <c r="N772" s="591"/>
      <c r="O772" s="592"/>
      <c r="P772" s="561"/>
    </row>
    <row r="773" spans="1:16" ht="32.25" customHeight="1">
      <c r="A773" s="104">
        <v>3</v>
      </c>
      <c r="B773" s="594"/>
      <c r="C773" s="344" t="s">
        <v>990</v>
      </c>
      <c r="D773" s="590" t="s">
        <v>87</v>
      </c>
      <c r="E773" s="591"/>
      <c r="F773" s="591"/>
      <c r="G773" s="591"/>
      <c r="H773" s="591"/>
      <c r="I773" s="591"/>
      <c r="J773" s="591"/>
      <c r="K773" s="591"/>
      <c r="L773" s="591"/>
      <c r="M773" s="591"/>
      <c r="N773" s="591"/>
      <c r="O773" s="592"/>
      <c r="P773" s="561"/>
    </row>
    <row r="774" spans="1:16" ht="30">
      <c r="A774" s="104">
        <v>4</v>
      </c>
      <c r="B774" s="594"/>
      <c r="C774" s="344" t="s">
        <v>887</v>
      </c>
      <c r="D774" s="590" t="s">
        <v>87</v>
      </c>
      <c r="E774" s="591"/>
      <c r="F774" s="591"/>
      <c r="G774" s="591"/>
      <c r="H774" s="591"/>
      <c r="I774" s="591"/>
      <c r="J774" s="591"/>
      <c r="K774" s="591"/>
      <c r="L774" s="591"/>
      <c r="M774" s="591"/>
      <c r="N774" s="591"/>
      <c r="O774" s="592"/>
      <c r="P774" s="561"/>
    </row>
    <row r="775" spans="1:16" ht="32.25" customHeight="1">
      <c r="A775" s="104">
        <v>5</v>
      </c>
      <c r="B775" s="594"/>
      <c r="C775" s="116" t="s">
        <v>888</v>
      </c>
      <c r="D775" s="590" t="s">
        <v>87</v>
      </c>
      <c r="E775" s="591"/>
      <c r="F775" s="591"/>
      <c r="G775" s="591"/>
      <c r="H775" s="591"/>
      <c r="I775" s="591"/>
      <c r="J775" s="591"/>
      <c r="K775" s="591"/>
      <c r="L775" s="591"/>
      <c r="M775" s="591"/>
      <c r="N775" s="591"/>
      <c r="O775" s="592"/>
      <c r="P775" s="561"/>
    </row>
    <row r="776" spans="1:16" ht="31.5" customHeight="1">
      <c r="A776" s="104">
        <v>6</v>
      </c>
      <c r="B776" s="594"/>
      <c r="C776" s="344" t="s">
        <v>991</v>
      </c>
      <c r="D776" s="590" t="s">
        <v>87</v>
      </c>
      <c r="E776" s="591"/>
      <c r="F776" s="591"/>
      <c r="G776" s="591"/>
      <c r="H776" s="591"/>
      <c r="I776" s="591"/>
      <c r="J776" s="591"/>
      <c r="K776" s="591"/>
      <c r="L776" s="591"/>
      <c r="M776" s="591"/>
      <c r="N776" s="591"/>
      <c r="O776" s="592"/>
      <c r="P776" s="561"/>
    </row>
    <row r="777" spans="1:16" ht="30">
      <c r="A777" s="104">
        <v>7</v>
      </c>
      <c r="B777" s="594"/>
      <c r="C777" s="116" t="s">
        <v>992</v>
      </c>
      <c r="D777" s="590" t="s">
        <v>87</v>
      </c>
      <c r="E777" s="591"/>
      <c r="F777" s="591"/>
      <c r="G777" s="591"/>
      <c r="H777" s="591"/>
      <c r="I777" s="591"/>
      <c r="J777" s="591"/>
      <c r="K777" s="591"/>
      <c r="L777" s="591"/>
      <c r="M777" s="591"/>
      <c r="N777" s="591"/>
      <c r="O777" s="592"/>
      <c r="P777" s="561"/>
    </row>
    <row r="778" spans="1:16" ht="45">
      <c r="A778" s="104">
        <v>8</v>
      </c>
      <c r="B778" s="594"/>
      <c r="C778" s="344" t="s">
        <v>904</v>
      </c>
      <c r="D778" s="590" t="s">
        <v>87</v>
      </c>
      <c r="E778" s="591"/>
      <c r="F778" s="591"/>
      <c r="G778" s="591"/>
      <c r="H778" s="591"/>
      <c r="I778" s="591"/>
      <c r="J778" s="591"/>
      <c r="K778" s="591"/>
      <c r="L778" s="591"/>
      <c r="M778" s="591"/>
      <c r="N778" s="591"/>
      <c r="O778" s="592"/>
      <c r="P778" s="561"/>
    </row>
    <row r="779" spans="1:16" ht="45">
      <c r="A779" s="104">
        <v>9</v>
      </c>
      <c r="B779" s="594"/>
      <c r="C779" s="344" t="s">
        <v>905</v>
      </c>
      <c r="D779" s="590" t="s">
        <v>87</v>
      </c>
      <c r="E779" s="591"/>
      <c r="F779" s="591"/>
      <c r="G779" s="591"/>
      <c r="H779" s="591"/>
      <c r="I779" s="591"/>
      <c r="J779" s="591"/>
      <c r="K779" s="591"/>
      <c r="L779" s="591"/>
      <c r="M779" s="591"/>
      <c r="N779" s="591"/>
      <c r="O779" s="592"/>
      <c r="P779" s="561"/>
    </row>
    <row r="780" spans="1:16" ht="45">
      <c r="A780" s="104">
        <v>10</v>
      </c>
      <c r="B780" s="594"/>
      <c r="C780" s="344" t="s">
        <v>906</v>
      </c>
      <c r="D780" s="590" t="s">
        <v>87</v>
      </c>
      <c r="E780" s="591"/>
      <c r="F780" s="591"/>
      <c r="G780" s="591"/>
      <c r="H780" s="591"/>
      <c r="I780" s="591"/>
      <c r="J780" s="591"/>
      <c r="K780" s="591"/>
      <c r="L780" s="591"/>
      <c r="M780" s="591"/>
      <c r="N780" s="591"/>
      <c r="O780" s="592"/>
      <c r="P780" s="561"/>
    </row>
    <row r="781" spans="1:16" ht="33" customHeight="1">
      <c r="A781" s="104">
        <v>11</v>
      </c>
      <c r="B781" s="594"/>
      <c r="C781" s="344" t="s">
        <v>993</v>
      </c>
      <c r="D781" s="590" t="s">
        <v>87</v>
      </c>
      <c r="E781" s="591"/>
      <c r="F781" s="591"/>
      <c r="G781" s="591"/>
      <c r="H781" s="591"/>
      <c r="I781" s="591"/>
      <c r="J781" s="591"/>
      <c r="K781" s="591"/>
      <c r="L781" s="591"/>
      <c r="M781" s="591"/>
      <c r="N781" s="591"/>
      <c r="O781" s="592"/>
      <c r="P781" s="561"/>
    </row>
    <row r="782" spans="1:16" ht="30" customHeight="1">
      <c r="A782" s="104">
        <v>12</v>
      </c>
      <c r="B782" s="594"/>
      <c r="C782" s="344" t="s">
        <v>2458</v>
      </c>
      <c r="D782" s="590" t="s">
        <v>87</v>
      </c>
      <c r="E782" s="591"/>
      <c r="F782" s="591"/>
      <c r="G782" s="591"/>
      <c r="H782" s="591"/>
      <c r="I782" s="591"/>
      <c r="J782" s="591"/>
      <c r="K782" s="591"/>
      <c r="L782" s="591"/>
      <c r="M782" s="591"/>
      <c r="N782" s="591"/>
      <c r="O782" s="592"/>
      <c r="P782" s="561"/>
    </row>
    <row r="783" spans="1:16" ht="30">
      <c r="A783" s="104">
        <v>13</v>
      </c>
      <c r="B783" s="594"/>
      <c r="C783" s="116" t="s">
        <v>914</v>
      </c>
      <c r="D783" s="590" t="s">
        <v>87</v>
      </c>
      <c r="E783" s="591"/>
      <c r="F783" s="591"/>
      <c r="G783" s="591"/>
      <c r="H783" s="591"/>
      <c r="I783" s="591"/>
      <c r="J783" s="591"/>
      <c r="K783" s="591"/>
      <c r="L783" s="591"/>
      <c r="M783" s="591"/>
      <c r="N783" s="591"/>
      <c r="O783" s="592"/>
      <c r="P783" s="561"/>
    </row>
    <row r="784" spans="1:16" ht="30">
      <c r="A784" s="104">
        <v>14</v>
      </c>
      <c r="B784" s="594"/>
      <c r="C784" s="116" t="s">
        <v>999</v>
      </c>
      <c r="D784" s="590" t="s">
        <v>87</v>
      </c>
      <c r="E784" s="591"/>
      <c r="F784" s="591"/>
      <c r="G784" s="591"/>
      <c r="H784" s="591"/>
      <c r="I784" s="591"/>
      <c r="J784" s="591"/>
      <c r="K784" s="591"/>
      <c r="L784" s="591"/>
      <c r="M784" s="591"/>
      <c r="N784" s="591"/>
      <c r="O784" s="592"/>
      <c r="P784" s="561"/>
    </row>
    <row r="785" spans="1:24" ht="30">
      <c r="A785" s="104">
        <v>15</v>
      </c>
      <c r="B785" s="594"/>
      <c r="C785" s="116" t="s">
        <v>1000</v>
      </c>
      <c r="D785" s="590" t="s">
        <v>87</v>
      </c>
      <c r="E785" s="591"/>
      <c r="F785" s="591"/>
      <c r="G785" s="591"/>
      <c r="H785" s="591"/>
      <c r="I785" s="591"/>
      <c r="J785" s="591"/>
      <c r="K785" s="591"/>
      <c r="L785" s="591"/>
      <c r="M785" s="591"/>
      <c r="N785" s="591"/>
      <c r="O785" s="592"/>
      <c r="P785" s="561"/>
    </row>
    <row r="786" spans="1:24" ht="30">
      <c r="A786" s="104">
        <v>16</v>
      </c>
      <c r="B786" s="594"/>
      <c r="C786" s="116" t="s">
        <v>917</v>
      </c>
      <c r="D786" s="590" t="s">
        <v>87</v>
      </c>
      <c r="E786" s="591"/>
      <c r="F786" s="591"/>
      <c r="G786" s="591"/>
      <c r="H786" s="591"/>
      <c r="I786" s="591"/>
      <c r="J786" s="591"/>
      <c r="K786" s="591"/>
      <c r="L786" s="591"/>
      <c r="M786" s="591"/>
      <c r="N786" s="591"/>
      <c r="O786" s="592"/>
      <c r="P786" s="561"/>
    </row>
    <row r="787" spans="1:24" ht="30">
      <c r="A787" s="104">
        <v>17</v>
      </c>
      <c r="B787" s="594"/>
      <c r="C787" s="116" t="s">
        <v>918</v>
      </c>
      <c r="D787" s="590" t="s">
        <v>87</v>
      </c>
      <c r="E787" s="591"/>
      <c r="F787" s="591"/>
      <c r="G787" s="591"/>
      <c r="H787" s="591"/>
      <c r="I787" s="591"/>
      <c r="J787" s="591"/>
      <c r="K787" s="591"/>
      <c r="L787" s="591"/>
      <c r="M787" s="591"/>
      <c r="N787" s="591"/>
      <c r="O787" s="592"/>
      <c r="P787" s="561"/>
    </row>
    <row r="788" spans="1:24" ht="30">
      <c r="A788" s="104">
        <v>18</v>
      </c>
      <c r="B788" s="594"/>
      <c r="C788" s="116" t="s">
        <v>919</v>
      </c>
      <c r="D788" s="690" t="s">
        <v>87</v>
      </c>
      <c r="E788" s="691"/>
      <c r="F788" s="691"/>
      <c r="G788" s="691"/>
      <c r="H788" s="691"/>
      <c r="I788" s="691"/>
      <c r="J788" s="691"/>
      <c r="K788" s="691"/>
      <c r="L788" s="691"/>
      <c r="M788" s="691"/>
      <c r="N788" s="691"/>
      <c r="O788" s="692"/>
      <c r="P788" s="561"/>
    </row>
    <row r="789" spans="1:24" ht="60">
      <c r="A789" s="104">
        <v>19</v>
      </c>
      <c r="B789" s="594"/>
      <c r="C789" s="116" t="s">
        <v>1001</v>
      </c>
      <c r="D789" s="607" t="s">
        <v>87</v>
      </c>
      <c r="E789" s="607"/>
      <c r="F789" s="607"/>
      <c r="G789" s="607"/>
      <c r="H789" s="607"/>
      <c r="I789" s="607"/>
      <c r="J789" s="607"/>
      <c r="K789" s="607"/>
      <c r="L789" s="607"/>
      <c r="M789" s="607"/>
      <c r="N789" s="607"/>
      <c r="O789" s="607"/>
      <c r="P789" s="561"/>
    </row>
    <row r="790" spans="1:24" ht="30">
      <c r="A790" s="104">
        <v>20</v>
      </c>
      <c r="B790" s="594"/>
      <c r="C790" s="116" t="s">
        <v>921</v>
      </c>
      <c r="D790" s="590" t="s">
        <v>87</v>
      </c>
      <c r="E790" s="591"/>
      <c r="F790" s="591"/>
      <c r="G790" s="591"/>
      <c r="H790" s="591"/>
      <c r="I790" s="591"/>
      <c r="J790" s="591"/>
      <c r="K790" s="591"/>
      <c r="L790" s="591"/>
      <c r="M790" s="591"/>
      <c r="N790" s="591"/>
      <c r="O790" s="592"/>
      <c r="P790" s="561"/>
    </row>
    <row r="791" spans="1:24" ht="123.75" customHeight="1">
      <c r="A791" s="104">
        <v>21</v>
      </c>
      <c r="B791" s="594"/>
      <c r="C791" s="553" t="s">
        <v>1013</v>
      </c>
      <c r="D791" s="344" t="s">
        <v>2403</v>
      </c>
      <c r="E791" s="339" t="s">
        <v>923</v>
      </c>
      <c r="F791" s="365" t="s">
        <v>6998</v>
      </c>
      <c r="G791" s="336">
        <v>0.15561720000000001</v>
      </c>
      <c r="H791" s="336" t="s">
        <v>389</v>
      </c>
      <c r="I791" s="418" t="s">
        <v>924</v>
      </c>
      <c r="J791" s="336" t="s">
        <v>389</v>
      </c>
      <c r="K791" s="336" t="s">
        <v>389</v>
      </c>
      <c r="L791" s="336" t="s">
        <v>389</v>
      </c>
      <c r="M791" s="336" t="s">
        <v>389</v>
      </c>
      <c r="N791" s="339" t="s">
        <v>2429</v>
      </c>
      <c r="O791" s="418" t="s">
        <v>926</v>
      </c>
      <c r="P791" s="561"/>
    </row>
    <row r="792" spans="1:24" ht="182.25" customHeight="1">
      <c r="A792" s="104">
        <v>22</v>
      </c>
      <c r="B792" s="594"/>
      <c r="C792" s="553"/>
      <c r="D792" s="344" t="s">
        <v>2404</v>
      </c>
      <c r="E792" s="339" t="s">
        <v>927</v>
      </c>
      <c r="F792" s="365" t="s">
        <v>6999</v>
      </c>
      <c r="G792" s="378" t="s">
        <v>928</v>
      </c>
      <c r="H792" s="336" t="s">
        <v>389</v>
      </c>
      <c r="I792" s="418" t="s">
        <v>929</v>
      </c>
      <c r="J792" s="336" t="s">
        <v>389</v>
      </c>
      <c r="K792" s="336" t="s">
        <v>389</v>
      </c>
      <c r="L792" s="336" t="s">
        <v>389</v>
      </c>
      <c r="M792" s="336" t="s">
        <v>389</v>
      </c>
      <c r="N792" s="339" t="s">
        <v>2430</v>
      </c>
      <c r="O792" s="418" t="s">
        <v>930</v>
      </c>
      <c r="P792" s="561"/>
    </row>
    <row r="793" spans="1:24" ht="168.75" customHeight="1">
      <c r="A793" s="104">
        <v>23</v>
      </c>
      <c r="B793" s="594"/>
      <c r="C793" s="553"/>
      <c r="D793" s="344" t="s">
        <v>2405</v>
      </c>
      <c r="E793" s="339" t="s">
        <v>931</v>
      </c>
      <c r="F793" s="365" t="s">
        <v>7000</v>
      </c>
      <c r="G793" s="378" t="s">
        <v>932</v>
      </c>
      <c r="H793" s="336" t="s">
        <v>389</v>
      </c>
      <c r="I793" s="418" t="s">
        <v>933</v>
      </c>
      <c r="J793" s="336" t="s">
        <v>389</v>
      </c>
      <c r="K793" s="336" t="s">
        <v>389</v>
      </c>
      <c r="L793" s="336" t="s">
        <v>389</v>
      </c>
      <c r="M793" s="336" t="s">
        <v>389</v>
      </c>
      <c r="N793" s="339" t="s">
        <v>2431</v>
      </c>
      <c r="O793" s="418" t="s">
        <v>935</v>
      </c>
      <c r="P793" s="561"/>
    </row>
    <row r="794" spans="1:24" ht="63" customHeight="1">
      <c r="A794" s="104">
        <v>24</v>
      </c>
      <c r="B794" s="594"/>
      <c r="C794" s="553"/>
      <c r="D794" s="344" t="s">
        <v>2406</v>
      </c>
      <c r="E794" s="553" t="s">
        <v>936</v>
      </c>
      <c r="F794" s="553"/>
      <c r="G794" s="553"/>
      <c r="H794" s="553"/>
      <c r="I794" s="553"/>
      <c r="J794" s="553"/>
      <c r="K794" s="553"/>
      <c r="L794" s="553"/>
      <c r="M794" s="553"/>
      <c r="N794" s="553"/>
      <c r="O794" s="207" t="s">
        <v>1014</v>
      </c>
      <c r="P794" s="561"/>
    </row>
    <row r="795" spans="1:24" ht="168" customHeight="1">
      <c r="A795" s="104">
        <v>25</v>
      </c>
      <c r="B795" s="594"/>
      <c r="C795" s="553"/>
      <c r="D795" s="344" t="s">
        <v>2407</v>
      </c>
      <c r="E795" s="553" t="s">
        <v>938</v>
      </c>
      <c r="F795" s="553"/>
      <c r="G795" s="553"/>
      <c r="H795" s="553"/>
      <c r="I795" s="553"/>
      <c r="J795" s="553"/>
      <c r="K795" s="553"/>
      <c r="L795" s="553"/>
      <c r="M795" s="553"/>
      <c r="N795" s="553"/>
      <c r="O795" s="207" t="s">
        <v>1015</v>
      </c>
      <c r="P795" s="561"/>
    </row>
    <row r="796" spans="1:24" ht="165">
      <c r="A796" s="104">
        <v>26</v>
      </c>
      <c r="B796" s="594"/>
      <c r="C796" s="553"/>
      <c r="D796" s="344" t="s">
        <v>2408</v>
      </c>
      <c r="E796" s="553" t="s">
        <v>1016</v>
      </c>
      <c r="F796" s="553"/>
      <c r="G796" s="553"/>
      <c r="H796" s="553"/>
      <c r="I796" s="553"/>
      <c r="J796" s="553"/>
      <c r="K796" s="553"/>
      <c r="L796" s="553"/>
      <c r="M796" s="553"/>
      <c r="N796" s="553"/>
      <c r="O796" s="207" t="s">
        <v>1017</v>
      </c>
      <c r="P796" s="561"/>
      <c r="Q796" s="207"/>
      <c r="R796" s="207"/>
      <c r="S796" s="207"/>
      <c r="T796" s="207"/>
      <c r="U796" s="207"/>
      <c r="V796" s="207"/>
      <c r="W796" s="207"/>
      <c r="X796" s="207"/>
    </row>
    <row r="797" spans="1:24" ht="89.25" customHeight="1">
      <c r="A797" s="104">
        <v>27</v>
      </c>
      <c r="B797" s="594"/>
      <c r="C797" s="553"/>
      <c r="D797" s="344" t="s">
        <v>2409</v>
      </c>
      <c r="E797" s="553" t="s">
        <v>942</v>
      </c>
      <c r="F797" s="553"/>
      <c r="G797" s="553"/>
      <c r="H797" s="553"/>
      <c r="I797" s="553"/>
      <c r="J797" s="553"/>
      <c r="K797" s="553"/>
      <c r="L797" s="553"/>
      <c r="M797" s="553"/>
      <c r="N797" s="553"/>
      <c r="O797" s="207" t="s">
        <v>1018</v>
      </c>
      <c r="P797" s="561"/>
    </row>
    <row r="798" spans="1:24" ht="67.5" customHeight="1">
      <c r="A798" s="104">
        <v>28</v>
      </c>
      <c r="B798" s="594"/>
      <c r="C798" s="553"/>
      <c r="D798" s="344" t="s">
        <v>2410</v>
      </c>
      <c r="E798" s="553" t="s">
        <v>944</v>
      </c>
      <c r="F798" s="553"/>
      <c r="G798" s="553"/>
      <c r="H798" s="553"/>
      <c r="I798" s="553"/>
      <c r="J798" s="553"/>
      <c r="K798" s="553"/>
      <c r="L798" s="553"/>
      <c r="M798" s="553"/>
      <c r="N798" s="553"/>
      <c r="O798" s="207" t="s">
        <v>1019</v>
      </c>
      <c r="P798" s="561"/>
    </row>
    <row r="799" spans="1:24" ht="120" customHeight="1">
      <c r="A799" s="104">
        <v>29</v>
      </c>
      <c r="B799" s="594"/>
      <c r="C799" s="553"/>
      <c r="D799" s="344" t="s">
        <v>2411</v>
      </c>
      <c r="E799" s="553" t="s">
        <v>946</v>
      </c>
      <c r="F799" s="553"/>
      <c r="G799" s="553"/>
      <c r="H799" s="553"/>
      <c r="I799" s="553"/>
      <c r="J799" s="553"/>
      <c r="K799" s="553"/>
      <c r="L799" s="553"/>
      <c r="M799" s="553"/>
      <c r="N799" s="553"/>
      <c r="O799" s="207" t="s">
        <v>947</v>
      </c>
      <c r="P799" s="561"/>
    </row>
    <row r="800" spans="1:24" ht="50.25" customHeight="1">
      <c r="A800" s="104">
        <v>30</v>
      </c>
      <c r="B800" s="594"/>
      <c r="C800" s="553"/>
      <c r="D800" s="344" t="s">
        <v>2412</v>
      </c>
      <c r="E800" s="553" t="s">
        <v>948</v>
      </c>
      <c r="F800" s="553"/>
      <c r="G800" s="553"/>
      <c r="H800" s="553"/>
      <c r="I800" s="553"/>
      <c r="J800" s="553"/>
      <c r="K800" s="553"/>
      <c r="L800" s="553"/>
      <c r="M800" s="553"/>
      <c r="N800" s="553"/>
      <c r="O800" s="207" t="s">
        <v>1020</v>
      </c>
      <c r="P800" s="561"/>
    </row>
    <row r="801" spans="1:16" ht="123.75" customHeight="1">
      <c r="A801" s="104">
        <v>31</v>
      </c>
      <c r="B801" s="594"/>
      <c r="C801" s="553"/>
      <c r="D801" s="344" t="s">
        <v>2413</v>
      </c>
      <c r="E801" s="553" t="s">
        <v>950</v>
      </c>
      <c r="F801" s="553"/>
      <c r="G801" s="553"/>
      <c r="H801" s="553"/>
      <c r="I801" s="553"/>
      <c r="J801" s="553"/>
      <c r="K801" s="553"/>
      <c r="L801" s="553"/>
      <c r="M801" s="553"/>
      <c r="N801" s="553"/>
      <c r="O801" s="207" t="s">
        <v>951</v>
      </c>
      <c r="P801" s="561"/>
    </row>
    <row r="802" spans="1:16" ht="60">
      <c r="A802" s="104">
        <v>32</v>
      </c>
      <c r="B802" s="594"/>
      <c r="C802" s="553"/>
      <c r="D802" s="344" t="s">
        <v>2414</v>
      </c>
      <c r="E802" s="553" t="s">
        <v>952</v>
      </c>
      <c r="F802" s="553"/>
      <c r="G802" s="553"/>
      <c r="H802" s="553"/>
      <c r="I802" s="553"/>
      <c r="J802" s="553"/>
      <c r="K802" s="553"/>
      <c r="L802" s="553"/>
      <c r="M802" s="553"/>
      <c r="N802" s="553"/>
      <c r="O802" s="207" t="s">
        <v>1021</v>
      </c>
      <c r="P802" s="561"/>
    </row>
    <row r="803" spans="1:16" ht="150">
      <c r="A803" s="104">
        <v>33</v>
      </c>
      <c r="B803" s="594"/>
      <c r="C803" s="553"/>
      <c r="D803" s="344" t="s">
        <v>954</v>
      </c>
      <c r="E803" s="339" t="s">
        <v>955</v>
      </c>
      <c r="F803" s="370" t="s">
        <v>6996</v>
      </c>
      <c r="G803" s="53" t="s">
        <v>1022</v>
      </c>
      <c r="H803" s="53" t="s">
        <v>958</v>
      </c>
      <c r="I803" s="123" t="s">
        <v>389</v>
      </c>
      <c r="J803" s="336"/>
      <c r="K803" s="336"/>
      <c r="L803" s="336"/>
      <c r="M803" s="336"/>
      <c r="N803" s="336"/>
      <c r="O803" s="207" t="s">
        <v>1023</v>
      </c>
      <c r="P803" s="561"/>
    </row>
    <row r="804" spans="1:16" ht="165">
      <c r="A804" s="104">
        <v>34</v>
      </c>
      <c r="B804" s="594"/>
      <c r="C804" s="553"/>
      <c r="D804" s="344" t="s">
        <v>961</v>
      </c>
      <c r="E804" s="339" t="s">
        <v>962</v>
      </c>
      <c r="F804" s="419">
        <v>34404</v>
      </c>
      <c r="G804" s="344" t="s">
        <v>963</v>
      </c>
      <c r="H804" s="344" t="s">
        <v>964</v>
      </c>
      <c r="I804" s="50" t="s">
        <v>389</v>
      </c>
      <c r="J804" s="336"/>
      <c r="K804" s="336"/>
      <c r="L804" s="336"/>
      <c r="M804" s="336"/>
      <c r="N804" s="336"/>
      <c r="O804" s="207" t="s">
        <v>966</v>
      </c>
      <c r="P804" s="561"/>
    </row>
    <row r="805" spans="1:16" ht="75">
      <c r="A805" s="104">
        <v>35</v>
      </c>
      <c r="B805" s="594"/>
      <c r="C805" s="553"/>
      <c r="D805" s="344" t="s">
        <v>967</v>
      </c>
      <c r="E805" s="595" t="s">
        <v>968</v>
      </c>
      <c r="F805" s="595"/>
      <c r="G805" s="595"/>
      <c r="H805" s="595"/>
      <c r="I805" s="595"/>
      <c r="J805" s="595"/>
      <c r="K805" s="595"/>
      <c r="L805" s="595"/>
      <c r="M805" s="595"/>
      <c r="N805" s="595"/>
      <c r="O805" s="207" t="s">
        <v>1024</v>
      </c>
      <c r="P805" s="561"/>
    </row>
    <row r="806" spans="1:16" ht="45">
      <c r="A806" s="104">
        <v>36</v>
      </c>
      <c r="B806" s="594"/>
      <c r="C806" s="553"/>
      <c r="D806" s="344" t="s">
        <v>970</v>
      </c>
      <c r="E806" s="339" t="s">
        <v>971</v>
      </c>
      <c r="F806" s="365" t="s">
        <v>7003</v>
      </c>
      <c r="G806" s="339" t="s">
        <v>972</v>
      </c>
      <c r="H806" s="339" t="s">
        <v>352</v>
      </c>
      <c r="I806" s="336" t="s">
        <v>389</v>
      </c>
      <c r="J806" s="336"/>
      <c r="K806" s="336"/>
      <c r="L806" s="336"/>
      <c r="M806" s="336"/>
      <c r="N806" s="336"/>
      <c r="O806" s="207" t="s">
        <v>968</v>
      </c>
      <c r="P806" s="561"/>
    </row>
    <row r="807" spans="1:16" ht="90">
      <c r="A807" s="104">
        <v>37</v>
      </c>
      <c r="B807" s="594"/>
      <c r="C807" s="553"/>
      <c r="D807" s="344" t="s">
        <v>974</v>
      </c>
      <c r="E807" s="339" t="s">
        <v>971</v>
      </c>
      <c r="F807" s="365" t="s">
        <v>7004</v>
      </c>
      <c r="G807" s="339" t="s">
        <v>972</v>
      </c>
      <c r="H807" s="339" t="s">
        <v>975</v>
      </c>
      <c r="I807" s="336" t="s">
        <v>389</v>
      </c>
      <c r="J807" s="336"/>
      <c r="K807" s="336"/>
      <c r="L807" s="336"/>
      <c r="M807" s="336"/>
      <c r="N807" s="336"/>
      <c r="O807" s="207" t="s">
        <v>968</v>
      </c>
      <c r="P807" s="561"/>
    </row>
    <row r="808" spans="1:16" ht="45">
      <c r="A808" s="104">
        <v>38</v>
      </c>
      <c r="B808" s="594"/>
      <c r="C808" s="553"/>
      <c r="D808" s="344" t="s">
        <v>977</v>
      </c>
      <c r="E808" s="336">
        <v>5490</v>
      </c>
      <c r="F808" s="365" t="s">
        <v>7009</v>
      </c>
      <c r="G808" s="339" t="s">
        <v>972</v>
      </c>
      <c r="H808" s="339" t="s">
        <v>978</v>
      </c>
      <c r="I808" s="336" t="s">
        <v>389</v>
      </c>
      <c r="J808" s="336"/>
      <c r="K808" s="336"/>
      <c r="L808" s="336"/>
      <c r="M808" s="336"/>
      <c r="N808" s="336"/>
      <c r="O808" s="207" t="s">
        <v>968</v>
      </c>
      <c r="P808" s="561"/>
    </row>
    <row r="809" spans="1:16" ht="90">
      <c r="A809" s="106">
        <v>39</v>
      </c>
      <c r="B809" s="594"/>
      <c r="C809" s="565"/>
      <c r="D809" s="334" t="s">
        <v>980</v>
      </c>
      <c r="E809" s="346" t="s">
        <v>971</v>
      </c>
      <c r="F809" s="420" t="s">
        <v>7004</v>
      </c>
      <c r="G809" s="346" t="s">
        <v>972</v>
      </c>
      <c r="H809" s="346" t="s">
        <v>975</v>
      </c>
      <c r="I809" s="403" t="s">
        <v>389</v>
      </c>
      <c r="J809" s="403"/>
      <c r="K809" s="403"/>
      <c r="L809" s="403"/>
      <c r="M809" s="403"/>
      <c r="N809" s="403"/>
      <c r="O809" s="417" t="s">
        <v>968</v>
      </c>
      <c r="P809" s="561"/>
    </row>
    <row r="810" spans="1:16">
      <c r="A810" s="554"/>
      <c r="B810" s="554"/>
      <c r="C810" s="554"/>
      <c r="D810" s="554"/>
      <c r="E810" s="554"/>
      <c r="F810" s="554"/>
      <c r="G810" s="554"/>
      <c r="H810" s="554"/>
      <c r="I810" s="554"/>
      <c r="J810" s="554"/>
      <c r="K810" s="554"/>
      <c r="L810" s="554"/>
      <c r="M810" s="554"/>
      <c r="N810" s="554"/>
      <c r="O810" s="554"/>
      <c r="P810" s="554"/>
    </row>
    <row r="811" spans="1:16" ht="20.25">
      <c r="A811" s="555" t="s">
        <v>112</v>
      </c>
      <c r="B811" s="556"/>
      <c r="C811" s="556"/>
      <c r="D811" s="556"/>
      <c r="E811" s="556"/>
      <c r="F811" s="556"/>
      <c r="G811" s="556"/>
      <c r="H811" s="556"/>
      <c r="I811" s="556"/>
      <c r="J811" s="556"/>
      <c r="K811" s="556"/>
      <c r="L811" s="556"/>
      <c r="M811" s="556"/>
      <c r="N811" s="556"/>
      <c r="O811" s="556"/>
      <c r="P811" s="556"/>
    </row>
    <row r="812" spans="1:16" ht="85.5">
      <c r="A812" s="46" t="s">
        <v>0</v>
      </c>
      <c r="B812" s="46" t="s">
        <v>2582</v>
      </c>
      <c r="C812" s="46" t="s">
        <v>1</v>
      </c>
      <c r="D812" s="46" t="s">
        <v>2596</v>
      </c>
      <c r="E812" s="46" t="s">
        <v>89</v>
      </c>
      <c r="F812" s="46" t="s">
        <v>63</v>
      </c>
      <c r="G812" s="46" t="s">
        <v>2390</v>
      </c>
      <c r="H812" s="46" t="s">
        <v>2561</v>
      </c>
      <c r="I812" s="46" t="s">
        <v>2391</v>
      </c>
      <c r="J812" s="46" t="s">
        <v>5</v>
      </c>
      <c r="K812" s="46" t="s">
        <v>6</v>
      </c>
      <c r="L812" s="46" t="s">
        <v>91</v>
      </c>
      <c r="M812" s="46" t="s">
        <v>67</v>
      </c>
      <c r="N812" s="67" t="s">
        <v>110</v>
      </c>
      <c r="O812" s="67" t="s">
        <v>92</v>
      </c>
      <c r="P812" s="74" t="s">
        <v>69</v>
      </c>
    </row>
    <row r="813" spans="1:16">
      <c r="A813" s="345">
        <v>1</v>
      </c>
      <c r="B813" s="79">
        <v>2</v>
      </c>
      <c r="C813" s="79">
        <v>3</v>
      </c>
      <c r="D813" s="79">
        <v>4</v>
      </c>
      <c r="E813" s="79">
        <v>5</v>
      </c>
      <c r="F813" s="79">
        <v>6</v>
      </c>
      <c r="G813" s="79">
        <v>7</v>
      </c>
      <c r="H813" s="79">
        <v>8</v>
      </c>
      <c r="I813" s="79">
        <v>9</v>
      </c>
      <c r="J813" s="79">
        <v>10</v>
      </c>
      <c r="K813" s="79">
        <v>11</v>
      </c>
      <c r="L813" s="79">
        <v>12</v>
      </c>
      <c r="M813" s="79">
        <v>13</v>
      </c>
      <c r="N813" s="79">
        <v>14</v>
      </c>
      <c r="O813" s="357">
        <v>15</v>
      </c>
      <c r="P813" s="46">
        <v>16</v>
      </c>
    </row>
    <row r="814" spans="1:16" ht="122.25" customHeight="1">
      <c r="A814" s="336">
        <v>1</v>
      </c>
      <c r="B814" s="599" t="s">
        <v>2616</v>
      </c>
      <c r="C814" s="116" t="s">
        <v>1025</v>
      </c>
      <c r="D814" s="344" t="s">
        <v>2403</v>
      </c>
      <c r="E814" s="339" t="s">
        <v>923</v>
      </c>
      <c r="F814" s="419" t="s">
        <v>6998</v>
      </c>
      <c r="G814" s="50">
        <v>0.15561720000000001</v>
      </c>
      <c r="H814" s="336" t="s">
        <v>389</v>
      </c>
      <c r="I814" s="344" t="s">
        <v>924</v>
      </c>
      <c r="J814" s="336" t="s">
        <v>389</v>
      </c>
      <c r="K814" s="336" t="s">
        <v>389</v>
      </c>
      <c r="L814" s="336" t="s">
        <v>389</v>
      </c>
      <c r="M814" s="336" t="s">
        <v>389</v>
      </c>
      <c r="N814" s="339" t="s">
        <v>2459</v>
      </c>
      <c r="O814" s="336" t="s">
        <v>119</v>
      </c>
      <c r="P814" s="344" t="s">
        <v>926</v>
      </c>
    </row>
    <row r="815" spans="1:16" ht="185.25" customHeight="1">
      <c r="A815" s="336">
        <v>2</v>
      </c>
      <c r="B815" s="566"/>
      <c r="C815" s="116" t="s">
        <v>1025</v>
      </c>
      <c r="D815" s="252" t="s">
        <v>2404</v>
      </c>
      <c r="E815" s="346" t="s">
        <v>927</v>
      </c>
      <c r="F815" s="421" t="s">
        <v>7001</v>
      </c>
      <c r="G815" s="422" t="s">
        <v>928</v>
      </c>
      <c r="H815" s="336" t="s">
        <v>389</v>
      </c>
      <c r="I815" s="344" t="s">
        <v>929</v>
      </c>
      <c r="J815" s="336" t="s">
        <v>389</v>
      </c>
      <c r="K815" s="336" t="s">
        <v>389</v>
      </c>
      <c r="L815" s="336" t="s">
        <v>389</v>
      </c>
      <c r="M815" s="336" t="s">
        <v>389</v>
      </c>
      <c r="N815" s="339" t="s">
        <v>2460</v>
      </c>
      <c r="O815" s="336" t="s">
        <v>119</v>
      </c>
      <c r="P815" s="344" t="s">
        <v>930</v>
      </c>
    </row>
    <row r="816" spans="1:16" ht="105">
      <c r="A816" s="336">
        <v>3</v>
      </c>
      <c r="B816" s="566"/>
      <c r="C816" s="116" t="s">
        <v>1025</v>
      </c>
      <c r="D816" s="344" t="s">
        <v>2405</v>
      </c>
      <c r="E816" s="339" t="s">
        <v>931</v>
      </c>
      <c r="F816" s="419" t="s">
        <v>7000</v>
      </c>
      <c r="G816" s="344" t="s">
        <v>932</v>
      </c>
      <c r="H816" s="336" t="s">
        <v>389</v>
      </c>
      <c r="I816" s="344" t="s">
        <v>933</v>
      </c>
      <c r="J816" s="336" t="s">
        <v>389</v>
      </c>
      <c r="K816" s="336" t="s">
        <v>389</v>
      </c>
      <c r="L816" s="336" t="s">
        <v>389</v>
      </c>
      <c r="M816" s="336" t="s">
        <v>389</v>
      </c>
      <c r="N816" s="339" t="s">
        <v>2461</v>
      </c>
      <c r="O816" s="336" t="s">
        <v>119</v>
      </c>
      <c r="P816" s="344" t="s">
        <v>935</v>
      </c>
    </row>
    <row r="817" spans="1:16" ht="60.75" customHeight="1">
      <c r="A817" s="336">
        <v>4</v>
      </c>
      <c r="B817" s="566"/>
      <c r="C817" s="116" t="s">
        <v>1025</v>
      </c>
      <c r="D817" s="344" t="s">
        <v>2406</v>
      </c>
      <c r="E817" s="568" t="s">
        <v>936</v>
      </c>
      <c r="F817" s="569"/>
      <c r="G817" s="569"/>
      <c r="H817" s="569"/>
      <c r="I817" s="569"/>
      <c r="J817" s="570"/>
      <c r="K817" s="336" t="s">
        <v>389</v>
      </c>
      <c r="L817" s="336" t="s">
        <v>389</v>
      </c>
      <c r="M817" s="336" t="s">
        <v>389</v>
      </c>
      <c r="N817" s="339" t="s">
        <v>2462</v>
      </c>
      <c r="O817" s="336" t="s">
        <v>119</v>
      </c>
      <c r="P817" s="53" t="s">
        <v>1026</v>
      </c>
    </row>
    <row r="818" spans="1:16" ht="183.75" customHeight="1">
      <c r="A818" s="336">
        <v>5</v>
      </c>
      <c r="B818" s="566"/>
      <c r="C818" s="116" t="s">
        <v>1025</v>
      </c>
      <c r="D818" s="344" t="s">
        <v>2407</v>
      </c>
      <c r="E818" s="568" t="s">
        <v>938</v>
      </c>
      <c r="F818" s="569"/>
      <c r="G818" s="569"/>
      <c r="H818" s="569"/>
      <c r="I818" s="569"/>
      <c r="J818" s="570"/>
      <c r="K818" s="336" t="s">
        <v>389</v>
      </c>
      <c r="L818" s="336" t="s">
        <v>389</v>
      </c>
      <c r="M818" s="336" t="s">
        <v>389</v>
      </c>
      <c r="N818" s="339" t="s">
        <v>2463</v>
      </c>
      <c r="O818" s="336" t="s">
        <v>119</v>
      </c>
      <c r="P818" s="53" t="s">
        <v>1027</v>
      </c>
    </row>
    <row r="819" spans="1:16" ht="185.25" customHeight="1">
      <c r="A819" s="336">
        <v>6</v>
      </c>
      <c r="B819" s="566"/>
      <c r="C819" s="116" t="s">
        <v>1025</v>
      </c>
      <c r="D819" s="344" t="s">
        <v>2408</v>
      </c>
      <c r="E819" s="568" t="s">
        <v>1016</v>
      </c>
      <c r="F819" s="569"/>
      <c r="G819" s="569"/>
      <c r="H819" s="569"/>
      <c r="I819" s="569"/>
      <c r="J819" s="570"/>
      <c r="K819" s="336" t="s">
        <v>389</v>
      </c>
      <c r="L819" s="336" t="s">
        <v>389</v>
      </c>
      <c r="M819" s="336" t="s">
        <v>389</v>
      </c>
      <c r="N819" s="339" t="s">
        <v>2464</v>
      </c>
      <c r="O819" s="336" t="s">
        <v>119</v>
      </c>
      <c r="P819" s="53" t="s">
        <v>1028</v>
      </c>
    </row>
    <row r="820" spans="1:16" ht="90.75" customHeight="1">
      <c r="A820" s="336">
        <v>7</v>
      </c>
      <c r="B820" s="566"/>
      <c r="C820" s="116" t="s">
        <v>1025</v>
      </c>
      <c r="D820" s="344" t="s">
        <v>2409</v>
      </c>
      <c r="E820" s="568" t="s">
        <v>942</v>
      </c>
      <c r="F820" s="569"/>
      <c r="G820" s="569"/>
      <c r="H820" s="569"/>
      <c r="I820" s="569"/>
      <c r="J820" s="570"/>
      <c r="K820" s="336" t="s">
        <v>389</v>
      </c>
      <c r="L820" s="336" t="s">
        <v>389</v>
      </c>
      <c r="M820" s="336" t="s">
        <v>389</v>
      </c>
      <c r="N820" s="339" t="s">
        <v>2465</v>
      </c>
      <c r="O820" s="336" t="s">
        <v>119</v>
      </c>
      <c r="P820" s="53" t="s">
        <v>1029</v>
      </c>
    </row>
    <row r="821" spans="1:16" ht="74.25" customHeight="1">
      <c r="A821" s="336">
        <v>8</v>
      </c>
      <c r="B821" s="566"/>
      <c r="C821" s="116" t="s">
        <v>1025</v>
      </c>
      <c r="D821" s="344" t="s">
        <v>2410</v>
      </c>
      <c r="E821" s="568" t="s">
        <v>944</v>
      </c>
      <c r="F821" s="569"/>
      <c r="G821" s="569"/>
      <c r="H821" s="569"/>
      <c r="I821" s="569"/>
      <c r="J821" s="570"/>
      <c r="K821" s="336" t="s">
        <v>389</v>
      </c>
      <c r="L821" s="336" t="s">
        <v>389</v>
      </c>
      <c r="M821" s="336" t="s">
        <v>389</v>
      </c>
      <c r="N821" s="339" t="s">
        <v>2466</v>
      </c>
      <c r="O821" s="336" t="s">
        <v>119</v>
      </c>
      <c r="P821" s="53" t="s">
        <v>1030</v>
      </c>
    </row>
    <row r="822" spans="1:16" ht="120">
      <c r="A822" s="336">
        <v>9</v>
      </c>
      <c r="B822" s="566"/>
      <c r="C822" s="116" t="s">
        <v>1025</v>
      </c>
      <c r="D822" s="344" t="s">
        <v>2411</v>
      </c>
      <c r="E822" s="662" t="s">
        <v>946</v>
      </c>
      <c r="F822" s="663"/>
      <c r="G822" s="663"/>
      <c r="H822" s="663"/>
      <c r="I822" s="663"/>
      <c r="J822" s="664"/>
      <c r="K822" s="336" t="s">
        <v>389</v>
      </c>
      <c r="L822" s="336" t="s">
        <v>389</v>
      </c>
      <c r="M822" s="336" t="s">
        <v>389</v>
      </c>
      <c r="N822" s="339" t="s">
        <v>2467</v>
      </c>
      <c r="O822" s="336" t="s">
        <v>119</v>
      </c>
      <c r="P822" s="53" t="s">
        <v>1031</v>
      </c>
    </row>
    <row r="823" spans="1:16" ht="165">
      <c r="A823" s="336">
        <v>10</v>
      </c>
      <c r="B823" s="566"/>
      <c r="C823" s="116" t="s">
        <v>1025</v>
      </c>
      <c r="D823" s="344" t="s">
        <v>2412</v>
      </c>
      <c r="E823" s="568" t="s">
        <v>948</v>
      </c>
      <c r="F823" s="569"/>
      <c r="G823" s="569"/>
      <c r="H823" s="569"/>
      <c r="I823" s="569"/>
      <c r="J823" s="570"/>
      <c r="K823" s="336" t="s">
        <v>389</v>
      </c>
      <c r="L823" s="336" t="s">
        <v>389</v>
      </c>
      <c r="M823" s="336" t="s">
        <v>389</v>
      </c>
      <c r="N823" s="339" t="s">
        <v>2468</v>
      </c>
      <c r="O823" s="336" t="s">
        <v>119</v>
      </c>
      <c r="P823" s="53" t="s">
        <v>949</v>
      </c>
    </row>
    <row r="824" spans="1:16" ht="150">
      <c r="A824" s="336">
        <v>11</v>
      </c>
      <c r="B824" s="566"/>
      <c r="C824" s="116" t="s">
        <v>1025</v>
      </c>
      <c r="D824" s="344" t="s">
        <v>2413</v>
      </c>
      <c r="E824" s="568" t="s">
        <v>950</v>
      </c>
      <c r="F824" s="569"/>
      <c r="G824" s="569"/>
      <c r="H824" s="569"/>
      <c r="I824" s="569"/>
      <c r="J824" s="645"/>
      <c r="K824" s="336" t="s">
        <v>389</v>
      </c>
      <c r="L824" s="336" t="s">
        <v>389</v>
      </c>
      <c r="M824" s="336" t="s">
        <v>389</v>
      </c>
      <c r="N824" s="339" t="s">
        <v>2469</v>
      </c>
      <c r="O824" s="336" t="s">
        <v>119</v>
      </c>
      <c r="P824" s="53" t="s">
        <v>951</v>
      </c>
    </row>
    <row r="825" spans="1:16" ht="60">
      <c r="A825" s="336">
        <v>12</v>
      </c>
      <c r="B825" s="566"/>
      <c r="C825" s="116" t="s">
        <v>1025</v>
      </c>
      <c r="D825" s="344" t="s">
        <v>2414</v>
      </c>
      <c r="E825" s="568" t="s">
        <v>952</v>
      </c>
      <c r="F825" s="569"/>
      <c r="G825" s="569"/>
      <c r="H825" s="569"/>
      <c r="I825" s="569"/>
      <c r="J825" s="645"/>
      <c r="K825" s="336" t="s">
        <v>389</v>
      </c>
      <c r="L825" s="336" t="s">
        <v>389</v>
      </c>
      <c r="M825" s="336" t="s">
        <v>389</v>
      </c>
      <c r="N825" s="339" t="s">
        <v>2470</v>
      </c>
      <c r="O825" s="336" t="s">
        <v>119</v>
      </c>
      <c r="P825" s="53" t="s">
        <v>1021</v>
      </c>
    </row>
    <row r="826" spans="1:16" ht="165">
      <c r="A826" s="336">
        <v>13</v>
      </c>
      <c r="B826" s="566"/>
      <c r="C826" s="116" t="s">
        <v>1025</v>
      </c>
      <c r="D826" s="344" t="s">
        <v>954</v>
      </c>
      <c r="E826" s="339" t="s">
        <v>955</v>
      </c>
      <c r="F826" s="365" t="s">
        <v>6996</v>
      </c>
      <c r="G826" s="53" t="s">
        <v>1032</v>
      </c>
      <c r="H826" s="344" t="s">
        <v>2483</v>
      </c>
      <c r="I826" s="336" t="s">
        <v>389</v>
      </c>
      <c r="J826" s="336" t="s">
        <v>389</v>
      </c>
      <c r="K826" s="336" t="s">
        <v>389</v>
      </c>
      <c r="L826" s="336" t="s">
        <v>389</v>
      </c>
      <c r="M826" s="336" t="s">
        <v>389</v>
      </c>
      <c r="N826" s="339" t="s">
        <v>2471</v>
      </c>
      <c r="O826" s="336" t="s">
        <v>119</v>
      </c>
      <c r="P826" s="53" t="s">
        <v>1033</v>
      </c>
    </row>
    <row r="827" spans="1:16" ht="165">
      <c r="A827" s="336">
        <v>14</v>
      </c>
      <c r="B827" s="566"/>
      <c r="C827" s="116" t="s">
        <v>1025</v>
      </c>
      <c r="D827" s="344" t="s">
        <v>961</v>
      </c>
      <c r="E827" s="339" t="s">
        <v>962</v>
      </c>
      <c r="F827" s="365" t="s">
        <v>7002</v>
      </c>
      <c r="G827" s="344" t="s">
        <v>2601</v>
      </c>
      <c r="H827" s="344" t="s">
        <v>964</v>
      </c>
      <c r="I827" s="336" t="s">
        <v>389</v>
      </c>
      <c r="J827" s="336" t="s">
        <v>389</v>
      </c>
      <c r="K827" s="336" t="s">
        <v>389</v>
      </c>
      <c r="L827" s="336" t="s">
        <v>389</v>
      </c>
      <c r="M827" s="336" t="s">
        <v>389</v>
      </c>
      <c r="N827" s="339" t="s">
        <v>2472</v>
      </c>
      <c r="O827" s="336" t="s">
        <v>119</v>
      </c>
      <c r="P827" s="344" t="s">
        <v>966</v>
      </c>
    </row>
    <row r="828" spans="1:16" ht="99" customHeight="1">
      <c r="A828" s="336">
        <v>15</v>
      </c>
      <c r="B828" s="566"/>
      <c r="C828" s="116" t="s">
        <v>1025</v>
      </c>
      <c r="D828" s="344" t="s">
        <v>967</v>
      </c>
      <c r="E828" s="568" t="s">
        <v>1034</v>
      </c>
      <c r="F828" s="569"/>
      <c r="G828" s="569"/>
      <c r="H828" s="569"/>
      <c r="I828" s="570"/>
      <c r="J828" s="336" t="s">
        <v>389</v>
      </c>
      <c r="K828" s="336" t="s">
        <v>389</v>
      </c>
      <c r="L828" s="336" t="s">
        <v>389</v>
      </c>
      <c r="M828" s="336" t="s">
        <v>389</v>
      </c>
      <c r="N828" s="339" t="s">
        <v>2473</v>
      </c>
      <c r="O828" s="336" t="s">
        <v>119</v>
      </c>
      <c r="P828" s="344" t="s">
        <v>969</v>
      </c>
    </row>
    <row r="829" spans="1:16" ht="45">
      <c r="A829" s="336">
        <v>16</v>
      </c>
      <c r="B829" s="566"/>
      <c r="C829" s="116" t="s">
        <v>1025</v>
      </c>
      <c r="D829" s="344" t="s">
        <v>970</v>
      </c>
      <c r="E829" s="339" t="s">
        <v>971</v>
      </c>
      <c r="F829" s="365" t="s">
        <v>7003</v>
      </c>
      <c r="G829" s="53" t="s">
        <v>972</v>
      </c>
      <c r="H829" s="53" t="s">
        <v>352</v>
      </c>
      <c r="I829" s="336" t="s">
        <v>389</v>
      </c>
      <c r="J829" s="336" t="s">
        <v>389</v>
      </c>
      <c r="K829" s="336" t="s">
        <v>389</v>
      </c>
      <c r="L829" s="336" t="s">
        <v>389</v>
      </c>
      <c r="M829" s="336" t="s">
        <v>389</v>
      </c>
      <c r="N829" s="339" t="s">
        <v>2474</v>
      </c>
      <c r="O829" s="336" t="s">
        <v>119</v>
      </c>
      <c r="P829" s="53" t="s">
        <v>1035</v>
      </c>
    </row>
    <row r="830" spans="1:16" ht="33" customHeight="1">
      <c r="A830" s="336">
        <v>17</v>
      </c>
      <c r="B830" s="566"/>
      <c r="C830" s="116" t="s">
        <v>1025</v>
      </c>
      <c r="D830" s="344" t="s">
        <v>974</v>
      </c>
      <c r="E830" s="339" t="s">
        <v>971</v>
      </c>
      <c r="F830" s="365" t="s">
        <v>7004</v>
      </c>
      <c r="G830" s="53" t="s">
        <v>972</v>
      </c>
      <c r="H830" s="53" t="s">
        <v>975</v>
      </c>
      <c r="I830" s="336" t="s">
        <v>389</v>
      </c>
      <c r="J830" s="336" t="s">
        <v>389</v>
      </c>
      <c r="K830" s="336" t="s">
        <v>389</v>
      </c>
      <c r="L830" s="336" t="s">
        <v>389</v>
      </c>
      <c r="M830" s="336" t="s">
        <v>389</v>
      </c>
      <c r="N830" s="339" t="s">
        <v>2475</v>
      </c>
      <c r="O830" s="336" t="s">
        <v>119</v>
      </c>
      <c r="P830" s="53" t="s">
        <v>1035</v>
      </c>
    </row>
    <row r="831" spans="1:16" ht="45">
      <c r="A831" s="336">
        <v>18</v>
      </c>
      <c r="B831" s="566"/>
      <c r="C831" s="116" t="s">
        <v>1025</v>
      </c>
      <c r="D831" s="344" t="s">
        <v>977</v>
      </c>
      <c r="E831" s="336">
        <v>5490</v>
      </c>
      <c r="F831" s="365" t="s">
        <v>7009</v>
      </c>
      <c r="G831" s="53" t="s">
        <v>972</v>
      </c>
      <c r="H831" s="53" t="s">
        <v>978</v>
      </c>
      <c r="I831" s="336" t="s">
        <v>389</v>
      </c>
      <c r="J831" s="336" t="s">
        <v>389</v>
      </c>
      <c r="K831" s="336" t="s">
        <v>389</v>
      </c>
      <c r="L831" s="336" t="s">
        <v>389</v>
      </c>
      <c r="M831" s="336" t="s">
        <v>389</v>
      </c>
      <c r="N831" s="339" t="s">
        <v>2476</v>
      </c>
      <c r="O831" s="336" t="s">
        <v>119</v>
      </c>
      <c r="P831" s="53" t="s">
        <v>1035</v>
      </c>
    </row>
    <row r="832" spans="1:16" ht="90">
      <c r="A832" s="336">
        <v>19</v>
      </c>
      <c r="B832" s="567"/>
      <c r="C832" s="116" t="s">
        <v>1025</v>
      </c>
      <c r="D832" s="344" t="s">
        <v>980</v>
      </c>
      <c r="E832" s="339" t="s">
        <v>971</v>
      </c>
      <c r="F832" s="365" t="s">
        <v>7004</v>
      </c>
      <c r="G832" s="53" t="s">
        <v>972</v>
      </c>
      <c r="H832" s="53" t="s">
        <v>975</v>
      </c>
      <c r="I832" s="336" t="s">
        <v>389</v>
      </c>
      <c r="J832" s="336" t="s">
        <v>389</v>
      </c>
      <c r="K832" s="336" t="s">
        <v>389</v>
      </c>
      <c r="L832" s="336" t="s">
        <v>389</v>
      </c>
      <c r="M832" s="336" t="s">
        <v>389</v>
      </c>
      <c r="N832" s="339" t="s">
        <v>2477</v>
      </c>
      <c r="O832" s="336" t="s">
        <v>119</v>
      </c>
      <c r="P832" s="53" t="s">
        <v>1035</v>
      </c>
    </row>
    <row r="833" spans="1:16">
      <c r="A833" s="562"/>
      <c r="B833" s="562"/>
      <c r="C833" s="562"/>
      <c r="D833" s="562"/>
      <c r="E833" s="562"/>
      <c r="F833" s="562"/>
      <c r="G833" s="562"/>
      <c r="H833" s="562"/>
      <c r="I833" s="562"/>
      <c r="J833" s="562"/>
      <c r="K833" s="562"/>
      <c r="L833" s="562"/>
      <c r="M833" s="562"/>
      <c r="N833" s="562"/>
      <c r="O833" s="562"/>
      <c r="P833" s="562"/>
    </row>
    <row r="834" spans="1:16" ht="22.5">
      <c r="A834" s="803" t="s">
        <v>668</v>
      </c>
      <c r="B834" s="804"/>
      <c r="C834" s="804"/>
      <c r="D834" s="804"/>
      <c r="E834" s="804"/>
      <c r="F834" s="804"/>
      <c r="G834" s="804"/>
      <c r="H834" s="804"/>
      <c r="I834" s="804"/>
      <c r="J834" s="804"/>
      <c r="K834" s="804"/>
      <c r="L834" s="804"/>
      <c r="M834" s="804"/>
      <c r="N834" s="804"/>
      <c r="O834" s="804"/>
      <c r="P834" s="804"/>
    </row>
    <row r="835" spans="1:16" ht="20.25">
      <c r="A835" s="555" t="s">
        <v>61</v>
      </c>
      <c r="B835" s="556"/>
      <c r="C835" s="556"/>
      <c r="D835" s="556"/>
      <c r="E835" s="556"/>
      <c r="F835" s="556"/>
      <c r="G835" s="556"/>
      <c r="H835" s="556"/>
      <c r="I835" s="556"/>
      <c r="J835" s="556"/>
      <c r="K835" s="556"/>
      <c r="L835" s="556"/>
      <c r="M835" s="556"/>
      <c r="N835" s="556"/>
      <c r="O835" s="556"/>
      <c r="P835" s="556"/>
    </row>
    <row r="836" spans="1:16" ht="85.5">
      <c r="A836" s="46" t="s">
        <v>0</v>
      </c>
      <c r="B836" s="46" t="s">
        <v>2592</v>
      </c>
      <c r="C836" s="46" t="s">
        <v>1</v>
      </c>
      <c r="D836" s="46" t="s">
        <v>2593</v>
      </c>
      <c r="E836" s="46" t="s">
        <v>3</v>
      </c>
      <c r="F836" s="46" t="s">
        <v>4</v>
      </c>
      <c r="G836" s="46" t="s">
        <v>2594</v>
      </c>
      <c r="H836" s="46" t="s">
        <v>2595</v>
      </c>
      <c r="I836" s="46" t="s">
        <v>2392</v>
      </c>
      <c r="J836" s="46" t="s">
        <v>5</v>
      </c>
      <c r="K836" s="46" t="s">
        <v>6</v>
      </c>
      <c r="L836" s="46" t="s">
        <v>7</v>
      </c>
      <c r="M836" s="67" t="s">
        <v>8</v>
      </c>
      <c r="N836" s="399" t="s">
        <v>9</v>
      </c>
      <c r="O836" s="400" t="s">
        <v>10</v>
      </c>
      <c r="P836" s="401" t="s">
        <v>11</v>
      </c>
    </row>
    <row r="837" spans="1:16">
      <c r="A837" s="8">
        <v>1</v>
      </c>
      <c r="B837" s="46">
        <v>2</v>
      </c>
      <c r="C837" s="46">
        <v>3</v>
      </c>
      <c r="D837" s="46">
        <v>4</v>
      </c>
      <c r="E837" s="46">
        <v>5</v>
      </c>
      <c r="F837" s="46">
        <v>6</v>
      </c>
      <c r="G837" s="46">
        <v>7</v>
      </c>
      <c r="H837" s="46">
        <v>8</v>
      </c>
      <c r="I837" s="46">
        <v>9</v>
      </c>
      <c r="J837" s="46">
        <v>10</v>
      </c>
      <c r="K837" s="46">
        <v>11</v>
      </c>
      <c r="L837" s="46">
        <v>12</v>
      </c>
      <c r="M837" s="46">
        <v>13</v>
      </c>
      <c r="N837" s="46">
        <v>14</v>
      </c>
      <c r="O837" s="400">
        <v>15</v>
      </c>
      <c r="P837" s="46">
        <v>16</v>
      </c>
    </row>
    <row r="838" spans="1:16" ht="30">
      <c r="A838" s="336">
        <v>1</v>
      </c>
      <c r="B838" s="565" t="s">
        <v>2617</v>
      </c>
      <c r="C838" s="50" t="s">
        <v>1036</v>
      </c>
      <c r="D838" s="344" t="s">
        <v>1037</v>
      </c>
      <c r="E838" s="336">
        <v>202.34</v>
      </c>
      <c r="F838" s="336" t="s">
        <v>1038</v>
      </c>
      <c r="G838" s="336">
        <v>1.4E-5</v>
      </c>
      <c r="H838" s="339" t="s">
        <v>1039</v>
      </c>
      <c r="I838" s="339" t="s">
        <v>150</v>
      </c>
      <c r="J838" s="339" t="s">
        <v>17</v>
      </c>
      <c r="K838" s="339" t="s">
        <v>17</v>
      </c>
      <c r="L838" s="339" t="s">
        <v>1040</v>
      </c>
      <c r="M838" s="339" t="s">
        <v>87</v>
      </c>
      <c r="N838" s="557" t="s">
        <v>1041</v>
      </c>
      <c r="O838" s="336" t="s">
        <v>35</v>
      </c>
      <c r="P838" s="557" t="s">
        <v>1042</v>
      </c>
    </row>
    <row r="839" spans="1:16" ht="45">
      <c r="A839" s="336">
        <v>2</v>
      </c>
      <c r="B839" s="566"/>
      <c r="C839" s="50" t="s">
        <v>1036</v>
      </c>
      <c r="D839" s="344" t="s">
        <v>1043</v>
      </c>
      <c r="E839" s="339">
        <v>464.52</v>
      </c>
      <c r="F839" s="336" t="s">
        <v>1044</v>
      </c>
      <c r="G839" s="336">
        <v>1E-3</v>
      </c>
      <c r="H839" s="339" t="s">
        <v>1045</v>
      </c>
      <c r="I839" s="339" t="s">
        <v>150</v>
      </c>
      <c r="J839" s="339" t="s">
        <v>17</v>
      </c>
      <c r="K839" s="339" t="s">
        <v>17</v>
      </c>
      <c r="L839" s="339" t="s">
        <v>1040</v>
      </c>
      <c r="M839" s="339" t="s">
        <v>87</v>
      </c>
      <c r="N839" s="558"/>
      <c r="O839" s="336" t="s">
        <v>35</v>
      </c>
      <c r="P839" s="558"/>
    </row>
    <row r="840" spans="1:16" ht="60">
      <c r="A840" s="336">
        <v>3</v>
      </c>
      <c r="B840" s="566"/>
      <c r="C840" s="50" t="s">
        <v>1046</v>
      </c>
      <c r="D840" s="344" t="s">
        <v>1047</v>
      </c>
      <c r="E840" s="336">
        <v>5292.37</v>
      </c>
      <c r="F840" s="336" t="s">
        <v>1048</v>
      </c>
      <c r="G840" s="336">
        <v>0.32</v>
      </c>
      <c r="H840" s="336" t="s">
        <v>1049</v>
      </c>
      <c r="I840" s="339" t="s">
        <v>1050</v>
      </c>
      <c r="J840" s="336" t="s">
        <v>1051</v>
      </c>
      <c r="K840" s="336" t="s">
        <v>35</v>
      </c>
      <c r="L840" s="339" t="s">
        <v>1040</v>
      </c>
      <c r="M840" s="336" t="s">
        <v>119</v>
      </c>
      <c r="N840" s="207" t="s">
        <v>1052</v>
      </c>
      <c r="O840" s="336" t="s">
        <v>35</v>
      </c>
      <c r="P840" s="207" t="s">
        <v>1053</v>
      </c>
    </row>
    <row r="841" spans="1:16" ht="75">
      <c r="A841" s="336">
        <v>4</v>
      </c>
      <c r="B841" s="567"/>
      <c r="C841" s="50" t="s">
        <v>1054</v>
      </c>
      <c r="D841" s="344" t="s">
        <v>1055</v>
      </c>
      <c r="E841" s="336">
        <v>2310.84</v>
      </c>
      <c r="F841" s="336" t="s">
        <v>1056</v>
      </c>
      <c r="G841" s="336">
        <v>0.28999999999999998</v>
      </c>
      <c r="H841" s="336">
        <v>1.85</v>
      </c>
      <c r="I841" s="339" t="s">
        <v>1057</v>
      </c>
      <c r="J841" s="336" t="s">
        <v>35</v>
      </c>
      <c r="K841" s="336" t="s">
        <v>35</v>
      </c>
      <c r="L841" s="336" t="s">
        <v>35</v>
      </c>
      <c r="M841" s="336" t="s">
        <v>119</v>
      </c>
      <c r="N841" s="207" t="s">
        <v>1058</v>
      </c>
      <c r="O841" s="339" t="s">
        <v>1059</v>
      </c>
      <c r="P841" s="207" t="s">
        <v>1060</v>
      </c>
    </row>
    <row r="842" spans="1:16">
      <c r="A842" s="562"/>
      <c r="B842" s="562"/>
      <c r="C842" s="562"/>
      <c r="D842" s="562"/>
      <c r="E842" s="562"/>
      <c r="F842" s="562"/>
      <c r="G842" s="562"/>
      <c r="H842" s="562"/>
      <c r="I842" s="562"/>
      <c r="J842" s="562"/>
      <c r="K842" s="562"/>
      <c r="L842" s="562"/>
      <c r="M842" s="562"/>
      <c r="N842" s="562"/>
      <c r="O842" s="562"/>
      <c r="P842" s="562"/>
    </row>
    <row r="843" spans="1:16" ht="20.25" customHeight="1">
      <c r="A843" s="555" t="s">
        <v>88</v>
      </c>
      <c r="B843" s="556"/>
      <c r="C843" s="556"/>
      <c r="D843" s="556"/>
      <c r="E843" s="556"/>
      <c r="F843" s="556"/>
      <c r="G843" s="556"/>
      <c r="H843" s="556"/>
      <c r="I843" s="556"/>
      <c r="J843" s="556"/>
      <c r="K843" s="556"/>
      <c r="L843" s="556"/>
      <c r="M843" s="556"/>
      <c r="N843" s="556"/>
      <c r="O843" s="556"/>
      <c r="P843" s="588"/>
    </row>
    <row r="844" spans="1:16" ht="85.5">
      <c r="A844" s="46" t="s">
        <v>0</v>
      </c>
      <c r="B844" s="46" t="s">
        <v>2582</v>
      </c>
      <c r="C844" s="46" t="s">
        <v>1</v>
      </c>
      <c r="D844" s="46" t="s">
        <v>2596</v>
      </c>
      <c r="E844" s="67" t="s">
        <v>62</v>
      </c>
      <c r="F844" s="67" t="s">
        <v>63</v>
      </c>
      <c r="G844" s="46" t="s">
        <v>2560</v>
      </c>
      <c r="H844" s="46" t="s">
        <v>2561</v>
      </c>
      <c r="I844" s="46" t="s">
        <v>65</v>
      </c>
      <c r="J844" s="46" t="s">
        <v>5</v>
      </c>
      <c r="K844" s="46" t="s">
        <v>6</v>
      </c>
      <c r="L844" s="46" t="s">
        <v>66</v>
      </c>
      <c r="M844" s="46" t="s">
        <v>67</v>
      </c>
      <c r="N844" s="67" t="s">
        <v>68</v>
      </c>
      <c r="O844" s="423" t="s">
        <v>69</v>
      </c>
      <c r="P844" s="588"/>
    </row>
    <row r="845" spans="1:16">
      <c r="A845" s="345">
        <v>1</v>
      </c>
      <c r="B845" s="79">
        <v>2</v>
      </c>
      <c r="C845" s="79">
        <v>3</v>
      </c>
      <c r="D845" s="79">
        <v>4</v>
      </c>
      <c r="E845" s="79">
        <v>5</v>
      </c>
      <c r="F845" s="79">
        <v>6</v>
      </c>
      <c r="G845" s="79">
        <v>7</v>
      </c>
      <c r="H845" s="79">
        <v>8</v>
      </c>
      <c r="I845" s="79">
        <v>9</v>
      </c>
      <c r="J845" s="79">
        <v>10</v>
      </c>
      <c r="K845" s="79">
        <v>11</v>
      </c>
      <c r="L845" s="79">
        <v>12</v>
      </c>
      <c r="M845" s="79">
        <v>13</v>
      </c>
      <c r="N845" s="79">
        <v>14</v>
      </c>
      <c r="O845" s="357">
        <v>15</v>
      </c>
      <c r="P845" s="588"/>
    </row>
    <row r="846" spans="1:16" ht="120">
      <c r="A846" s="335">
        <v>1</v>
      </c>
      <c r="B846" s="565" t="s">
        <v>2618</v>
      </c>
      <c r="C846" s="344" t="s">
        <v>1036</v>
      </c>
      <c r="D846" s="344" t="s">
        <v>1061</v>
      </c>
      <c r="E846" s="49">
        <v>12501.3</v>
      </c>
      <c r="F846" s="49" t="s">
        <v>1062</v>
      </c>
      <c r="G846" s="49" t="s">
        <v>1063</v>
      </c>
      <c r="H846" s="49" t="s">
        <v>1064</v>
      </c>
      <c r="I846" s="49" t="s">
        <v>150</v>
      </c>
      <c r="J846" s="49" t="s">
        <v>17</v>
      </c>
      <c r="K846" s="49" t="s">
        <v>17</v>
      </c>
      <c r="L846" s="49" t="s">
        <v>17</v>
      </c>
      <c r="M846" s="49">
        <v>39608</v>
      </c>
      <c r="N846" s="49">
        <v>1</v>
      </c>
      <c r="O846" s="424" t="s">
        <v>35</v>
      </c>
      <c r="P846" s="588"/>
    </row>
    <row r="847" spans="1:16" ht="135">
      <c r="A847" s="339">
        <v>2</v>
      </c>
      <c r="B847" s="566"/>
      <c r="C847" s="344" t="s">
        <v>1054</v>
      </c>
      <c r="D847" s="344" t="s">
        <v>1065</v>
      </c>
      <c r="E847" s="339">
        <v>6000</v>
      </c>
      <c r="F847" s="339" t="s">
        <v>1066</v>
      </c>
      <c r="G847" s="339" t="s">
        <v>1067</v>
      </c>
      <c r="H847" s="339" t="s">
        <v>1068</v>
      </c>
      <c r="I847" s="339" t="s">
        <v>57</v>
      </c>
      <c r="J847" s="339" t="s">
        <v>1069</v>
      </c>
      <c r="K847" s="207" t="s">
        <v>1070</v>
      </c>
      <c r="L847" s="339" t="s">
        <v>193</v>
      </c>
      <c r="M847" s="207" t="s">
        <v>1071</v>
      </c>
      <c r="N847" s="339" t="s">
        <v>1072</v>
      </c>
      <c r="O847" s="425" t="s">
        <v>1073</v>
      </c>
      <c r="P847" s="588"/>
    </row>
    <row r="848" spans="1:16" ht="60">
      <c r="A848" s="49">
        <v>3</v>
      </c>
      <c r="B848" s="566"/>
      <c r="C848" s="344" t="s">
        <v>1046</v>
      </c>
      <c r="D848" s="344" t="s">
        <v>1074</v>
      </c>
      <c r="E848" s="336">
        <v>3042</v>
      </c>
      <c r="F848" s="336">
        <v>1983</v>
      </c>
      <c r="G848" s="336">
        <v>0.02</v>
      </c>
      <c r="H848" s="49">
        <v>9</v>
      </c>
      <c r="I848" s="339" t="s">
        <v>57</v>
      </c>
      <c r="J848" s="49" t="s">
        <v>1051</v>
      </c>
      <c r="K848" s="207" t="s">
        <v>1075</v>
      </c>
      <c r="L848" s="49" t="s">
        <v>87</v>
      </c>
      <c r="M848" s="49">
        <v>6</v>
      </c>
      <c r="N848" s="49"/>
      <c r="O848" s="425" t="s">
        <v>1076</v>
      </c>
      <c r="P848" s="588"/>
    </row>
    <row r="849" spans="1:17" ht="75">
      <c r="A849" s="339">
        <v>4</v>
      </c>
      <c r="B849" s="567"/>
      <c r="C849" s="344" t="s">
        <v>2490</v>
      </c>
      <c r="D849" s="344" t="s">
        <v>1077</v>
      </c>
      <c r="E849" s="339" t="s">
        <v>1078</v>
      </c>
      <c r="F849" s="339">
        <v>1968</v>
      </c>
      <c r="G849" s="339">
        <v>0.3</v>
      </c>
      <c r="H849" s="339" t="s">
        <v>1079</v>
      </c>
      <c r="I849" s="339" t="s">
        <v>7012</v>
      </c>
      <c r="J849" s="339" t="s">
        <v>748</v>
      </c>
      <c r="K849" s="207" t="s">
        <v>1070</v>
      </c>
      <c r="L849" s="339" t="s">
        <v>193</v>
      </c>
      <c r="M849" s="339" t="s">
        <v>748</v>
      </c>
      <c r="N849" s="339" t="s">
        <v>1080</v>
      </c>
      <c r="O849" s="353" t="s">
        <v>1081</v>
      </c>
      <c r="P849" s="588"/>
    </row>
    <row r="850" spans="1:17">
      <c r="A850" s="562"/>
      <c r="B850" s="562"/>
      <c r="C850" s="562"/>
      <c r="D850" s="562"/>
      <c r="E850" s="562"/>
      <c r="F850" s="562"/>
      <c r="G850" s="562"/>
      <c r="H850" s="562"/>
      <c r="I850" s="562"/>
      <c r="J850" s="562"/>
      <c r="K850" s="562"/>
      <c r="L850" s="562"/>
      <c r="M850" s="562"/>
      <c r="N850" s="562"/>
      <c r="O850" s="562"/>
      <c r="P850" s="562"/>
    </row>
    <row r="851" spans="1:17" ht="20.25" customHeight="1">
      <c r="A851" s="559" t="s">
        <v>111</v>
      </c>
      <c r="B851" s="559"/>
      <c r="C851" s="559"/>
      <c r="D851" s="559"/>
      <c r="E851" s="559"/>
      <c r="F851" s="559"/>
      <c r="G851" s="559"/>
      <c r="H851" s="559"/>
      <c r="I851" s="559"/>
      <c r="J851" s="559"/>
      <c r="K851" s="559"/>
      <c r="L851" s="559"/>
      <c r="M851" s="559"/>
      <c r="N851" s="559"/>
      <c r="O851" s="559"/>
      <c r="P851" s="588"/>
    </row>
    <row r="852" spans="1:17" ht="85.5">
      <c r="A852" s="46" t="s">
        <v>0</v>
      </c>
      <c r="B852" s="46" t="s">
        <v>2582</v>
      </c>
      <c r="C852" s="46" t="s">
        <v>1</v>
      </c>
      <c r="D852" s="46" t="s">
        <v>2596</v>
      </c>
      <c r="E852" s="46" t="s">
        <v>89</v>
      </c>
      <c r="F852" s="46" t="s">
        <v>63</v>
      </c>
      <c r="G852" s="46" t="s">
        <v>2590</v>
      </c>
      <c r="H852" s="46" t="s">
        <v>2561</v>
      </c>
      <c r="I852" s="46" t="s">
        <v>2391</v>
      </c>
      <c r="J852" s="46" t="s">
        <v>5</v>
      </c>
      <c r="K852" s="46" t="s">
        <v>6</v>
      </c>
      <c r="L852" s="46" t="s">
        <v>91</v>
      </c>
      <c r="M852" s="46" t="s">
        <v>67</v>
      </c>
      <c r="N852" s="67" t="s">
        <v>92</v>
      </c>
      <c r="O852" s="401" t="s">
        <v>11</v>
      </c>
      <c r="P852" s="588"/>
    </row>
    <row r="853" spans="1:17">
      <c r="A853" s="345">
        <v>1</v>
      </c>
      <c r="B853" s="79">
        <v>2</v>
      </c>
      <c r="C853" s="79">
        <v>3</v>
      </c>
      <c r="D853" s="79">
        <v>4</v>
      </c>
      <c r="E853" s="79">
        <v>5</v>
      </c>
      <c r="F853" s="79">
        <v>6</v>
      </c>
      <c r="G853" s="79">
        <v>7</v>
      </c>
      <c r="H853" s="79">
        <v>8</v>
      </c>
      <c r="I853" s="79">
        <v>9</v>
      </c>
      <c r="J853" s="79">
        <v>10</v>
      </c>
      <c r="K853" s="79">
        <v>11</v>
      </c>
      <c r="L853" s="79">
        <v>12</v>
      </c>
      <c r="M853" s="79">
        <v>13</v>
      </c>
      <c r="N853" s="357">
        <v>14</v>
      </c>
      <c r="O853" s="79">
        <v>15</v>
      </c>
      <c r="P853" s="588"/>
    </row>
    <row r="854" spans="1:17" ht="135">
      <c r="A854" s="336">
        <v>1</v>
      </c>
      <c r="B854" s="565" t="s">
        <v>2618</v>
      </c>
      <c r="C854" s="50" t="s">
        <v>1036</v>
      </c>
      <c r="D854" s="344" t="s">
        <v>1082</v>
      </c>
      <c r="E854" s="339">
        <v>11957.83</v>
      </c>
      <c r="F854" s="339" t="s">
        <v>1083</v>
      </c>
      <c r="G854" s="339" t="s">
        <v>1084</v>
      </c>
      <c r="H854" s="339" t="s">
        <v>1085</v>
      </c>
      <c r="I854" s="339" t="s">
        <v>150</v>
      </c>
      <c r="J854" s="339" t="s">
        <v>17</v>
      </c>
      <c r="K854" s="339" t="s">
        <v>17</v>
      </c>
      <c r="L854" s="339" t="s">
        <v>17</v>
      </c>
      <c r="M854" s="339">
        <v>39609</v>
      </c>
      <c r="N854" s="339">
        <v>1</v>
      </c>
      <c r="O854" s="336" t="s">
        <v>35</v>
      </c>
      <c r="P854" s="588"/>
    </row>
    <row r="855" spans="1:17" ht="75">
      <c r="A855" s="339">
        <v>2</v>
      </c>
      <c r="B855" s="566"/>
      <c r="C855" s="344" t="s">
        <v>1054</v>
      </c>
      <c r="D855" s="344" t="s">
        <v>1086</v>
      </c>
      <c r="E855" s="339" t="s">
        <v>1087</v>
      </c>
      <c r="F855" s="339" t="s">
        <v>1088</v>
      </c>
      <c r="G855" s="339">
        <v>0.62</v>
      </c>
      <c r="H855" s="339" t="s">
        <v>1089</v>
      </c>
      <c r="I855" s="339" t="s">
        <v>57</v>
      </c>
      <c r="J855" s="339" t="s">
        <v>1090</v>
      </c>
      <c r="K855" s="339" t="s">
        <v>1091</v>
      </c>
      <c r="L855" s="339" t="s">
        <v>1092</v>
      </c>
      <c r="M855" s="339" t="s">
        <v>1093</v>
      </c>
      <c r="N855" s="339" t="s">
        <v>1094</v>
      </c>
      <c r="O855" s="207" t="s">
        <v>1095</v>
      </c>
      <c r="P855" s="588"/>
    </row>
    <row r="856" spans="1:17" ht="75">
      <c r="A856" s="595">
        <v>3</v>
      </c>
      <c r="B856" s="566"/>
      <c r="C856" s="553" t="s">
        <v>1096</v>
      </c>
      <c r="D856" s="344" t="s">
        <v>1097</v>
      </c>
      <c r="E856" s="339" t="s">
        <v>1098</v>
      </c>
      <c r="F856" s="339" t="s">
        <v>216</v>
      </c>
      <c r="G856" s="339">
        <v>0.49</v>
      </c>
      <c r="H856" s="339" t="s">
        <v>1099</v>
      </c>
      <c r="I856" s="339" t="s">
        <v>7013</v>
      </c>
      <c r="J856" s="339" t="s">
        <v>193</v>
      </c>
      <c r="K856" s="339" t="s">
        <v>1100</v>
      </c>
      <c r="L856" s="339" t="s">
        <v>1101</v>
      </c>
      <c r="M856" s="339" t="s">
        <v>1102</v>
      </c>
      <c r="N856" s="339" t="s">
        <v>1103</v>
      </c>
      <c r="O856" s="207" t="s">
        <v>1104</v>
      </c>
      <c r="P856" s="588"/>
    </row>
    <row r="857" spans="1:17" ht="60">
      <c r="A857" s="595"/>
      <c r="B857" s="566"/>
      <c r="C857" s="553"/>
      <c r="D857" s="344" t="s">
        <v>1105</v>
      </c>
      <c r="E857" s="339" t="s">
        <v>1106</v>
      </c>
      <c r="F857" s="339" t="s">
        <v>1107</v>
      </c>
      <c r="G857" s="339">
        <v>0.04</v>
      </c>
      <c r="H857" s="339" t="s">
        <v>2432</v>
      </c>
      <c r="I857" s="339" t="s">
        <v>7013</v>
      </c>
      <c r="J857" s="339" t="s">
        <v>193</v>
      </c>
      <c r="K857" s="339" t="s">
        <v>1100</v>
      </c>
      <c r="L857" s="339" t="s">
        <v>1101</v>
      </c>
      <c r="M857" s="339"/>
      <c r="N857" s="339" t="s">
        <v>1108</v>
      </c>
      <c r="O857" s="207" t="s">
        <v>1109</v>
      </c>
      <c r="P857" s="588"/>
    </row>
    <row r="858" spans="1:17" ht="102.75" customHeight="1">
      <c r="A858" s="49">
        <v>4</v>
      </c>
      <c r="B858" s="566"/>
      <c r="C858" s="352" t="s">
        <v>1046</v>
      </c>
      <c r="D858" s="344" t="s">
        <v>1110</v>
      </c>
      <c r="E858" s="336" t="s">
        <v>1111</v>
      </c>
      <c r="F858" s="336" t="s">
        <v>1112</v>
      </c>
      <c r="G858" s="336">
        <v>0.01</v>
      </c>
      <c r="H858" s="339">
        <v>8.8000000000000007</v>
      </c>
      <c r="I858" s="339" t="s">
        <v>1113</v>
      </c>
      <c r="J858" s="49" t="s">
        <v>1114</v>
      </c>
      <c r="K858" s="49" t="s">
        <v>1075</v>
      </c>
      <c r="L858" s="339" t="s">
        <v>87</v>
      </c>
      <c r="M858" s="339">
        <v>8</v>
      </c>
      <c r="N858" s="339"/>
      <c r="O858" s="207" t="s">
        <v>1115</v>
      </c>
      <c r="P858" s="588"/>
    </row>
    <row r="859" spans="1:17" ht="60">
      <c r="A859" s="49">
        <v>5</v>
      </c>
      <c r="B859" s="566"/>
      <c r="C859" s="352" t="s">
        <v>1046</v>
      </c>
      <c r="D859" s="344" t="s">
        <v>1116</v>
      </c>
      <c r="E859" s="336" t="s">
        <v>1117</v>
      </c>
      <c r="F859" s="336">
        <v>1988</v>
      </c>
      <c r="G859" s="336">
        <v>0.11</v>
      </c>
      <c r="H859" s="339">
        <v>17.87</v>
      </c>
      <c r="I859" s="339" t="s">
        <v>1113</v>
      </c>
      <c r="J859" s="49" t="s">
        <v>1114</v>
      </c>
      <c r="K859" s="49" t="s">
        <v>1075</v>
      </c>
      <c r="L859" s="339" t="s">
        <v>87</v>
      </c>
      <c r="M859" s="339">
        <v>7</v>
      </c>
      <c r="N859" s="339"/>
      <c r="O859" s="207" t="s">
        <v>1118</v>
      </c>
      <c r="P859" s="588"/>
    </row>
    <row r="860" spans="1:17" ht="60">
      <c r="A860" s="49">
        <v>6</v>
      </c>
      <c r="B860" s="566"/>
      <c r="C860" s="352" t="s">
        <v>1046</v>
      </c>
      <c r="D860" s="344" t="s">
        <v>2480</v>
      </c>
      <c r="E860" s="339" t="s">
        <v>1119</v>
      </c>
      <c r="F860" s="336">
        <v>1983</v>
      </c>
      <c r="G860" s="336">
        <v>0.02</v>
      </c>
      <c r="H860" s="339">
        <v>11.98</v>
      </c>
      <c r="I860" s="339" t="s">
        <v>1113</v>
      </c>
      <c r="J860" s="49" t="s">
        <v>1114</v>
      </c>
      <c r="K860" s="49" t="s">
        <v>1075</v>
      </c>
      <c r="L860" s="339" t="s">
        <v>87</v>
      </c>
      <c r="M860" s="339">
        <v>5</v>
      </c>
      <c r="N860" s="339"/>
      <c r="O860" s="207" t="s">
        <v>1120</v>
      </c>
      <c r="P860" s="588"/>
      <c r="Q860" s="426"/>
    </row>
    <row r="861" spans="1:17" ht="60">
      <c r="A861" s="49">
        <v>7</v>
      </c>
      <c r="B861" s="566"/>
      <c r="C861" s="352" t="s">
        <v>1046</v>
      </c>
      <c r="D861" s="344" t="s">
        <v>2479</v>
      </c>
      <c r="E861" s="339">
        <v>80.510000000000005</v>
      </c>
      <c r="F861" s="336">
        <v>1979</v>
      </c>
      <c r="G861" s="336">
        <v>0.13</v>
      </c>
      <c r="H861" s="339">
        <v>1.67</v>
      </c>
      <c r="I861" s="339" t="s">
        <v>23</v>
      </c>
      <c r="J861" s="339" t="s">
        <v>193</v>
      </c>
      <c r="K861" s="49" t="s">
        <v>1075</v>
      </c>
      <c r="L861" s="339" t="s">
        <v>87</v>
      </c>
      <c r="M861" s="339" t="s">
        <v>1121</v>
      </c>
      <c r="N861" s="339"/>
      <c r="O861" s="207" t="s">
        <v>2433</v>
      </c>
      <c r="P861" s="588"/>
      <c r="Q861" s="426"/>
    </row>
    <row r="862" spans="1:17" ht="60">
      <c r="A862" s="336">
        <v>8</v>
      </c>
      <c r="B862" s="567"/>
      <c r="C862" s="352" t="s">
        <v>1046</v>
      </c>
      <c r="D862" s="344" t="s">
        <v>2478</v>
      </c>
      <c r="E862" s="336">
        <v>121.2</v>
      </c>
      <c r="F862" s="336">
        <v>1987</v>
      </c>
      <c r="G862" s="336">
        <v>0.24</v>
      </c>
      <c r="H862" s="336">
        <v>1.78</v>
      </c>
      <c r="I862" s="339" t="s">
        <v>23</v>
      </c>
      <c r="J862" s="339" t="s">
        <v>193</v>
      </c>
      <c r="K862" s="49" t="s">
        <v>1075</v>
      </c>
      <c r="L862" s="339" t="s">
        <v>87</v>
      </c>
      <c r="M862" s="336">
        <v>4</v>
      </c>
      <c r="N862" s="336"/>
      <c r="O862" s="207" t="s">
        <v>2434</v>
      </c>
      <c r="P862" s="588"/>
      <c r="Q862" s="426"/>
    </row>
    <row r="863" spans="1:17">
      <c r="A863" s="575"/>
      <c r="B863" s="575"/>
      <c r="C863" s="575"/>
      <c r="D863" s="575"/>
      <c r="E863" s="575"/>
      <c r="F863" s="575"/>
      <c r="G863" s="575"/>
      <c r="H863" s="575"/>
      <c r="I863" s="575"/>
      <c r="J863" s="575"/>
      <c r="K863" s="575"/>
      <c r="L863" s="575"/>
      <c r="M863" s="575"/>
      <c r="N863" s="575"/>
      <c r="O863" s="575"/>
      <c r="P863" s="575"/>
    </row>
    <row r="864" spans="1:17" ht="20.25">
      <c r="A864" s="555" t="s">
        <v>112</v>
      </c>
      <c r="B864" s="556"/>
      <c r="C864" s="556"/>
      <c r="D864" s="556"/>
      <c r="E864" s="556"/>
      <c r="F864" s="556"/>
      <c r="G864" s="556"/>
      <c r="H864" s="556"/>
      <c r="I864" s="556"/>
      <c r="J864" s="556"/>
      <c r="K864" s="556"/>
      <c r="L864" s="556"/>
      <c r="M864" s="556"/>
      <c r="N864" s="556"/>
      <c r="O864" s="556"/>
      <c r="P864" s="556"/>
    </row>
    <row r="865" spans="1:16" ht="85.5">
      <c r="A865" s="46" t="s">
        <v>0</v>
      </c>
      <c r="B865" s="51" t="s">
        <v>115</v>
      </c>
      <c r="C865" s="51" t="s">
        <v>1</v>
      </c>
      <c r="D865" s="51" t="s">
        <v>2</v>
      </c>
      <c r="E865" s="46" t="s">
        <v>89</v>
      </c>
      <c r="F865" s="46" t="s">
        <v>63</v>
      </c>
      <c r="G865" s="46" t="s">
        <v>90</v>
      </c>
      <c r="H865" s="46" t="s">
        <v>64</v>
      </c>
      <c r="I865" s="46" t="s">
        <v>2428</v>
      </c>
      <c r="J865" s="46" t="s">
        <v>5</v>
      </c>
      <c r="K865" s="46" t="s">
        <v>6</v>
      </c>
      <c r="L865" s="46" t="s">
        <v>91</v>
      </c>
      <c r="M865" s="46" t="s">
        <v>67</v>
      </c>
      <c r="N865" s="67" t="s">
        <v>110</v>
      </c>
      <c r="O865" s="67" t="s">
        <v>92</v>
      </c>
      <c r="P865" s="74" t="s">
        <v>69</v>
      </c>
    </row>
    <row r="866" spans="1:16">
      <c r="A866" s="8">
        <v>1</v>
      </c>
      <c r="B866" s="46">
        <v>2</v>
      </c>
      <c r="C866" s="46">
        <v>3</v>
      </c>
      <c r="D866" s="46">
        <v>4</v>
      </c>
      <c r="E866" s="46">
        <v>5</v>
      </c>
      <c r="F866" s="46">
        <v>6</v>
      </c>
      <c r="G866" s="46">
        <v>7</v>
      </c>
      <c r="H866" s="46">
        <v>8</v>
      </c>
      <c r="I866" s="46">
        <v>9</v>
      </c>
      <c r="J866" s="46">
        <v>10</v>
      </c>
      <c r="K866" s="46">
        <v>11</v>
      </c>
      <c r="L866" s="46">
        <v>12</v>
      </c>
      <c r="M866" s="46">
        <v>13</v>
      </c>
      <c r="N866" s="46">
        <v>14</v>
      </c>
      <c r="O866" s="46">
        <v>15</v>
      </c>
      <c r="P866" s="46">
        <v>16</v>
      </c>
    </row>
    <row r="867" spans="1:16" ht="60">
      <c r="A867" s="336">
        <v>1</v>
      </c>
      <c r="B867" s="632" t="s">
        <v>2618</v>
      </c>
      <c r="C867" s="50" t="s">
        <v>1036</v>
      </c>
      <c r="D867" s="344" t="s">
        <v>1122</v>
      </c>
      <c r="E867" s="339" t="s">
        <v>1123</v>
      </c>
      <c r="F867" s="339" t="s">
        <v>1124</v>
      </c>
      <c r="G867" s="339" t="s">
        <v>1125</v>
      </c>
      <c r="H867" s="339" t="s">
        <v>1126</v>
      </c>
      <c r="I867" s="339" t="s">
        <v>1127</v>
      </c>
      <c r="J867" s="339" t="s">
        <v>17</v>
      </c>
      <c r="K867" s="339" t="s">
        <v>17</v>
      </c>
      <c r="L867" s="339" t="s">
        <v>87</v>
      </c>
      <c r="M867" s="339" t="s">
        <v>193</v>
      </c>
      <c r="N867" s="339">
        <v>2</v>
      </c>
      <c r="O867" s="339">
        <v>2</v>
      </c>
      <c r="P867" s="207" t="s">
        <v>1128</v>
      </c>
    </row>
    <row r="868" spans="1:16" ht="60">
      <c r="A868" s="336">
        <v>2</v>
      </c>
      <c r="B868" s="633"/>
      <c r="C868" s="50" t="s">
        <v>1129</v>
      </c>
      <c r="D868" s="344" t="s">
        <v>1130</v>
      </c>
      <c r="E868" s="336" t="s">
        <v>1131</v>
      </c>
      <c r="F868" s="339" t="s">
        <v>1132</v>
      </c>
      <c r="G868" s="339" t="s">
        <v>1133</v>
      </c>
      <c r="H868" s="336" t="s">
        <v>35</v>
      </c>
      <c r="I868" s="336" t="s">
        <v>15</v>
      </c>
      <c r="J868" s="336" t="s">
        <v>35</v>
      </c>
      <c r="K868" s="336" t="s">
        <v>35</v>
      </c>
      <c r="L868" s="336" t="s">
        <v>35</v>
      </c>
      <c r="M868" s="336" t="s">
        <v>35</v>
      </c>
      <c r="N868" s="336" t="s">
        <v>35</v>
      </c>
      <c r="O868" s="336" t="s">
        <v>35</v>
      </c>
      <c r="P868" s="427" t="s">
        <v>35</v>
      </c>
    </row>
    <row r="869" spans="1:16" ht="60">
      <c r="A869" s="49">
        <v>3</v>
      </c>
      <c r="B869" s="634"/>
      <c r="C869" s="352" t="s">
        <v>1046</v>
      </c>
      <c r="D869" s="344" t="s">
        <v>1134</v>
      </c>
      <c r="E869" s="336" t="s">
        <v>1135</v>
      </c>
      <c r="F869" s="339">
        <v>1988</v>
      </c>
      <c r="G869" s="339">
        <v>0.12</v>
      </c>
      <c r="H869" s="339">
        <v>33.35</v>
      </c>
      <c r="I869" s="49" t="s">
        <v>1113</v>
      </c>
      <c r="J869" s="49" t="s">
        <v>1114</v>
      </c>
      <c r="K869" s="49" t="s">
        <v>1075</v>
      </c>
      <c r="L869" s="49" t="s">
        <v>87</v>
      </c>
      <c r="M869" s="49">
        <v>9</v>
      </c>
      <c r="N869" s="49"/>
      <c r="O869" s="207" t="s">
        <v>2494</v>
      </c>
      <c r="P869" s="336"/>
    </row>
    <row r="870" spans="1:16">
      <c r="A870" s="562"/>
      <c r="B870" s="562"/>
      <c r="C870" s="562"/>
      <c r="D870" s="562"/>
      <c r="E870" s="562"/>
      <c r="F870" s="562"/>
      <c r="G870" s="562"/>
      <c r="H870" s="562"/>
      <c r="I870" s="562"/>
      <c r="J870" s="562"/>
      <c r="K870" s="562"/>
      <c r="L870" s="562"/>
      <c r="M870" s="562"/>
      <c r="N870" s="562"/>
      <c r="O870" s="562"/>
      <c r="P870" s="562"/>
    </row>
    <row r="871" spans="1:16" ht="22.5">
      <c r="A871" s="803" t="s">
        <v>669</v>
      </c>
      <c r="B871" s="804"/>
      <c r="C871" s="804"/>
      <c r="D871" s="804"/>
      <c r="E871" s="804"/>
      <c r="F871" s="804"/>
      <c r="G871" s="804"/>
      <c r="H871" s="804"/>
      <c r="I871" s="804"/>
      <c r="J871" s="804"/>
      <c r="K871" s="804"/>
      <c r="L871" s="804"/>
      <c r="M871" s="804"/>
      <c r="N871" s="804"/>
      <c r="O871" s="804"/>
      <c r="P871" s="804"/>
    </row>
    <row r="872" spans="1:16" ht="20.25">
      <c r="A872" s="555" t="s">
        <v>61</v>
      </c>
      <c r="B872" s="556"/>
      <c r="C872" s="556"/>
      <c r="D872" s="556"/>
      <c r="E872" s="556"/>
      <c r="F872" s="556"/>
      <c r="G872" s="556"/>
      <c r="H872" s="556"/>
      <c r="I872" s="556"/>
      <c r="J872" s="556"/>
      <c r="K872" s="556"/>
      <c r="L872" s="556"/>
      <c r="M872" s="556"/>
      <c r="N872" s="556"/>
      <c r="O872" s="556"/>
      <c r="P872" s="556"/>
    </row>
    <row r="873" spans="1:16" ht="85.5">
      <c r="A873" s="46" t="s">
        <v>0</v>
      </c>
      <c r="B873" s="46" t="s">
        <v>2592</v>
      </c>
      <c r="C873" s="46" t="s">
        <v>1</v>
      </c>
      <c r="D873" s="46" t="s">
        <v>2593</v>
      </c>
      <c r="E873" s="46" t="s">
        <v>3</v>
      </c>
      <c r="F873" s="46" t="s">
        <v>4</v>
      </c>
      <c r="G873" s="46" t="s">
        <v>2594</v>
      </c>
      <c r="H873" s="46" t="s">
        <v>2595</v>
      </c>
      <c r="I873" s="46" t="s">
        <v>2392</v>
      </c>
      <c r="J873" s="46" t="s">
        <v>5</v>
      </c>
      <c r="K873" s="46" t="s">
        <v>6</v>
      </c>
      <c r="L873" s="46" t="s">
        <v>7</v>
      </c>
      <c r="M873" s="67" t="s">
        <v>8</v>
      </c>
      <c r="N873" s="399" t="s">
        <v>9</v>
      </c>
      <c r="O873" s="400" t="s">
        <v>10</v>
      </c>
      <c r="P873" s="401" t="s">
        <v>11</v>
      </c>
    </row>
    <row r="874" spans="1:16">
      <c r="A874" s="8">
        <v>1</v>
      </c>
      <c r="B874" s="46">
        <v>2</v>
      </c>
      <c r="C874" s="46">
        <v>3</v>
      </c>
      <c r="D874" s="46">
        <v>4</v>
      </c>
      <c r="E874" s="46">
        <v>5</v>
      </c>
      <c r="F874" s="46">
        <v>6</v>
      </c>
      <c r="G874" s="46">
        <v>7</v>
      </c>
      <c r="H874" s="46">
        <v>8</v>
      </c>
      <c r="I874" s="46">
        <v>9</v>
      </c>
      <c r="J874" s="46">
        <v>10</v>
      </c>
      <c r="K874" s="46">
        <v>11</v>
      </c>
      <c r="L874" s="46">
        <v>12</v>
      </c>
      <c r="M874" s="46">
        <v>13</v>
      </c>
      <c r="N874" s="46">
        <v>14</v>
      </c>
      <c r="O874" s="400">
        <v>15</v>
      </c>
      <c r="P874" s="46">
        <v>16</v>
      </c>
    </row>
    <row r="875" spans="1:16" ht="20.25" customHeight="1">
      <c r="A875" s="589" t="s">
        <v>87</v>
      </c>
      <c r="B875" s="589"/>
      <c r="C875" s="589"/>
      <c r="D875" s="589"/>
      <c r="E875" s="589"/>
      <c r="F875" s="589"/>
      <c r="G875" s="589"/>
      <c r="H875" s="589"/>
      <c r="I875" s="589"/>
      <c r="J875" s="589"/>
      <c r="K875" s="589"/>
      <c r="L875" s="589"/>
      <c r="M875" s="589"/>
      <c r="N875" s="589"/>
      <c r="O875" s="589"/>
      <c r="P875" s="589"/>
    </row>
    <row r="876" spans="1:16">
      <c r="A876" s="562"/>
      <c r="B876" s="562"/>
      <c r="C876" s="562"/>
      <c r="D876" s="562"/>
      <c r="E876" s="562"/>
      <c r="F876" s="562"/>
      <c r="G876" s="562"/>
      <c r="H876" s="562"/>
      <c r="I876" s="562"/>
      <c r="J876" s="562"/>
      <c r="K876" s="562"/>
      <c r="L876" s="562"/>
      <c r="M876" s="562"/>
      <c r="N876" s="562"/>
      <c r="O876" s="562"/>
      <c r="P876" s="562"/>
    </row>
    <row r="877" spans="1:16" ht="20.25" customHeight="1">
      <c r="A877" s="559" t="s">
        <v>88</v>
      </c>
      <c r="B877" s="559"/>
      <c r="C877" s="559"/>
      <c r="D877" s="559"/>
      <c r="E877" s="559"/>
      <c r="F877" s="559"/>
      <c r="G877" s="559"/>
      <c r="H877" s="559"/>
      <c r="I877" s="559"/>
      <c r="J877" s="559"/>
      <c r="K877" s="559"/>
      <c r="L877" s="559"/>
      <c r="M877" s="559"/>
      <c r="N877" s="559"/>
      <c r="O877" s="559"/>
      <c r="P877" s="560"/>
    </row>
    <row r="878" spans="1:16" ht="85.5">
      <c r="A878" s="46" t="s">
        <v>0</v>
      </c>
      <c r="B878" s="46" t="s">
        <v>2582</v>
      </c>
      <c r="C878" s="46" t="s">
        <v>1</v>
      </c>
      <c r="D878" s="46" t="s">
        <v>2596</v>
      </c>
      <c r="E878" s="67" t="s">
        <v>62</v>
      </c>
      <c r="F878" s="67" t="s">
        <v>63</v>
      </c>
      <c r="G878" s="46" t="s">
        <v>2560</v>
      </c>
      <c r="H878" s="46" t="s">
        <v>2561</v>
      </c>
      <c r="I878" s="46" t="s">
        <v>65</v>
      </c>
      <c r="J878" s="46" t="s">
        <v>5</v>
      </c>
      <c r="K878" s="46" t="s">
        <v>6</v>
      </c>
      <c r="L878" s="46" t="s">
        <v>66</v>
      </c>
      <c r="M878" s="46" t="s">
        <v>67</v>
      </c>
      <c r="N878" s="67" t="s">
        <v>68</v>
      </c>
      <c r="O878" s="423" t="s">
        <v>69</v>
      </c>
      <c r="P878" s="561"/>
    </row>
    <row r="879" spans="1:16">
      <c r="A879" s="345">
        <v>1</v>
      </c>
      <c r="B879" s="79">
        <v>2</v>
      </c>
      <c r="C879" s="79">
        <v>3</v>
      </c>
      <c r="D879" s="79">
        <v>4</v>
      </c>
      <c r="E879" s="79">
        <v>5</v>
      </c>
      <c r="F879" s="79">
        <v>6</v>
      </c>
      <c r="G879" s="79">
        <v>7</v>
      </c>
      <c r="H879" s="79">
        <v>8</v>
      </c>
      <c r="I879" s="79">
        <v>9</v>
      </c>
      <c r="J879" s="79">
        <v>10</v>
      </c>
      <c r="K879" s="79">
        <v>11</v>
      </c>
      <c r="L879" s="79">
        <v>12</v>
      </c>
      <c r="M879" s="79">
        <v>13</v>
      </c>
      <c r="N879" s="79">
        <v>14</v>
      </c>
      <c r="O879" s="357">
        <v>15</v>
      </c>
      <c r="P879" s="561"/>
    </row>
    <row r="880" spans="1:16" ht="30">
      <c r="A880" s="335">
        <v>1</v>
      </c>
      <c r="B880" s="614" t="s">
        <v>6961</v>
      </c>
      <c r="C880" s="75" t="s">
        <v>6962</v>
      </c>
      <c r="D880" s="352" t="s">
        <v>6963</v>
      </c>
      <c r="E880" s="49" t="s">
        <v>6964</v>
      </c>
      <c r="F880" s="335" t="s">
        <v>6965</v>
      </c>
      <c r="G880" s="335">
        <v>11.42</v>
      </c>
      <c r="H880" s="49" t="s">
        <v>6966</v>
      </c>
      <c r="I880" s="335" t="s">
        <v>150</v>
      </c>
      <c r="J880" s="335" t="s">
        <v>17</v>
      </c>
      <c r="K880" s="335" t="s">
        <v>17</v>
      </c>
      <c r="L880" s="335" t="s">
        <v>17</v>
      </c>
      <c r="M880" s="335" t="s">
        <v>17</v>
      </c>
      <c r="N880" s="335" t="s">
        <v>17</v>
      </c>
      <c r="O880" s="424" t="s">
        <v>17</v>
      </c>
      <c r="P880" s="561"/>
    </row>
    <row r="881" spans="1:16" ht="30">
      <c r="A881" s="336">
        <v>2</v>
      </c>
      <c r="B881" s="614"/>
      <c r="C881" s="50" t="s">
        <v>6967</v>
      </c>
      <c r="D881" s="344" t="s">
        <v>6968</v>
      </c>
      <c r="E881" s="339">
        <v>5743.52</v>
      </c>
      <c r="F881" s="339" t="s">
        <v>6969</v>
      </c>
      <c r="G881" s="339">
        <v>3.36</v>
      </c>
      <c r="H881" s="336" t="s">
        <v>17</v>
      </c>
      <c r="I881" s="336" t="s">
        <v>17</v>
      </c>
      <c r="J881" s="336" t="s">
        <v>17</v>
      </c>
      <c r="K881" s="336"/>
      <c r="L881" s="336" t="s">
        <v>17</v>
      </c>
      <c r="M881" s="339"/>
      <c r="N881" s="339"/>
      <c r="O881" s="353" t="s">
        <v>6970</v>
      </c>
      <c r="P881" s="561"/>
    </row>
    <row r="882" spans="1:16">
      <c r="A882" s="428">
        <v>3</v>
      </c>
      <c r="B882" s="632"/>
      <c r="C882" s="329" t="s">
        <v>6971</v>
      </c>
      <c r="D882" s="334"/>
      <c r="E882" s="403">
        <v>182157</v>
      </c>
      <c r="F882" s="403">
        <v>2009</v>
      </c>
      <c r="G882" s="403">
        <v>55872000</v>
      </c>
      <c r="H882" s="403">
        <v>55150</v>
      </c>
      <c r="I882" s="403" t="s">
        <v>6972</v>
      </c>
      <c r="J882" s="403" t="s">
        <v>17</v>
      </c>
      <c r="K882" s="403" t="s">
        <v>17</v>
      </c>
      <c r="L882" s="403" t="s">
        <v>17</v>
      </c>
      <c r="M882" s="403"/>
      <c r="N882" s="403" t="s">
        <v>17</v>
      </c>
      <c r="O882" s="429" t="s">
        <v>6970</v>
      </c>
      <c r="P882" s="561"/>
    </row>
    <row r="883" spans="1:16">
      <c r="A883" s="635"/>
      <c r="B883" s="635"/>
      <c r="C883" s="635"/>
      <c r="D883" s="635"/>
      <c r="E883" s="635"/>
      <c r="F883" s="635"/>
      <c r="G883" s="635"/>
      <c r="H883" s="635"/>
      <c r="I883" s="635"/>
      <c r="J883" s="635"/>
      <c r="K883" s="635"/>
      <c r="L883" s="635"/>
      <c r="M883" s="635"/>
      <c r="N883" s="635"/>
      <c r="O883" s="635"/>
      <c r="P883" s="635"/>
    </row>
    <row r="884" spans="1:16" ht="20.25" customHeight="1">
      <c r="A884" s="648" t="s">
        <v>111</v>
      </c>
      <c r="B884" s="649"/>
      <c r="C884" s="649"/>
      <c r="D884" s="649"/>
      <c r="E884" s="649"/>
      <c r="F884" s="649"/>
      <c r="G884" s="649"/>
      <c r="H884" s="649"/>
      <c r="I884" s="649"/>
      <c r="J884" s="649"/>
      <c r="K884" s="649"/>
      <c r="L884" s="649"/>
      <c r="M884" s="649"/>
      <c r="N884" s="649"/>
      <c r="O884" s="649"/>
      <c r="P884" s="584"/>
    </row>
    <row r="885" spans="1:16" ht="85.5">
      <c r="A885" s="46" t="s">
        <v>0</v>
      </c>
      <c r="B885" s="46" t="s">
        <v>2582</v>
      </c>
      <c r="C885" s="46" t="s">
        <v>1</v>
      </c>
      <c r="D885" s="46" t="s">
        <v>2596</v>
      </c>
      <c r="E885" s="46" t="s">
        <v>89</v>
      </c>
      <c r="F885" s="46" t="s">
        <v>63</v>
      </c>
      <c r="G885" s="46" t="s">
        <v>2590</v>
      </c>
      <c r="H885" s="46" t="s">
        <v>2561</v>
      </c>
      <c r="I885" s="46" t="s">
        <v>2391</v>
      </c>
      <c r="J885" s="46" t="s">
        <v>5</v>
      </c>
      <c r="K885" s="46" t="s">
        <v>6</v>
      </c>
      <c r="L885" s="46" t="s">
        <v>91</v>
      </c>
      <c r="M885" s="46" t="s">
        <v>67</v>
      </c>
      <c r="N885" s="67" t="s">
        <v>92</v>
      </c>
      <c r="O885" s="430" t="s">
        <v>11</v>
      </c>
      <c r="P885" s="585"/>
    </row>
    <row r="886" spans="1:16">
      <c r="A886" s="345">
        <v>1</v>
      </c>
      <c r="B886" s="79">
        <v>2</v>
      </c>
      <c r="C886" s="79">
        <v>3</v>
      </c>
      <c r="D886" s="79">
        <v>4</v>
      </c>
      <c r="E886" s="79">
        <v>5</v>
      </c>
      <c r="F886" s="79">
        <v>6</v>
      </c>
      <c r="G886" s="79">
        <v>7</v>
      </c>
      <c r="H886" s="79">
        <v>8</v>
      </c>
      <c r="I886" s="79">
        <v>9</v>
      </c>
      <c r="J886" s="79">
        <v>10</v>
      </c>
      <c r="K886" s="79">
        <v>11</v>
      </c>
      <c r="L886" s="79">
        <v>12</v>
      </c>
      <c r="M886" s="79">
        <v>13</v>
      </c>
      <c r="N886" s="357">
        <v>14</v>
      </c>
      <c r="O886" s="357">
        <v>15</v>
      </c>
      <c r="P886" s="585"/>
    </row>
    <row r="887" spans="1:16">
      <c r="A887" s="589" t="s">
        <v>87</v>
      </c>
      <c r="B887" s="589"/>
      <c r="C887" s="589"/>
      <c r="D887" s="589"/>
      <c r="E887" s="589"/>
      <c r="F887" s="589"/>
      <c r="G887" s="589"/>
      <c r="H887" s="589"/>
      <c r="I887" s="589"/>
      <c r="J887" s="589"/>
      <c r="K887" s="589"/>
      <c r="L887" s="589"/>
      <c r="M887" s="589"/>
      <c r="N887" s="589"/>
      <c r="O887" s="571"/>
      <c r="P887" s="585"/>
    </row>
    <row r="888" spans="1:16">
      <c r="A888" s="562"/>
      <c r="B888" s="562"/>
      <c r="C888" s="562"/>
      <c r="D888" s="562"/>
      <c r="E888" s="562"/>
      <c r="F888" s="562"/>
      <c r="G888" s="562"/>
      <c r="H888" s="562"/>
      <c r="I888" s="562"/>
      <c r="J888" s="562"/>
      <c r="K888" s="562"/>
      <c r="L888" s="562"/>
      <c r="M888" s="562"/>
      <c r="N888" s="562"/>
      <c r="O888" s="562"/>
      <c r="P888" s="586"/>
    </row>
    <row r="889" spans="1:16" ht="20.25">
      <c r="A889" s="555" t="s">
        <v>112</v>
      </c>
      <c r="B889" s="556"/>
      <c r="C889" s="556"/>
      <c r="D889" s="556"/>
      <c r="E889" s="556"/>
      <c r="F889" s="556"/>
      <c r="G889" s="556"/>
      <c r="H889" s="556"/>
      <c r="I889" s="556"/>
      <c r="J889" s="556"/>
      <c r="K889" s="556"/>
      <c r="L889" s="556"/>
      <c r="M889" s="556"/>
      <c r="N889" s="556"/>
      <c r="O889" s="556"/>
      <c r="P889" s="556"/>
    </row>
    <row r="890" spans="1:16" ht="85.5">
      <c r="A890" s="46" t="s">
        <v>0</v>
      </c>
      <c r="B890" s="46" t="s">
        <v>2582</v>
      </c>
      <c r="C890" s="46" t="s">
        <v>1</v>
      </c>
      <c r="D890" s="46" t="s">
        <v>2596</v>
      </c>
      <c r="E890" s="46" t="s">
        <v>89</v>
      </c>
      <c r="F890" s="46" t="s">
        <v>63</v>
      </c>
      <c r="G890" s="46" t="s">
        <v>2390</v>
      </c>
      <c r="H890" s="46" t="s">
        <v>2561</v>
      </c>
      <c r="I890" s="46" t="s">
        <v>2391</v>
      </c>
      <c r="J890" s="46" t="s">
        <v>5</v>
      </c>
      <c r="K890" s="46" t="s">
        <v>6</v>
      </c>
      <c r="L890" s="46" t="s">
        <v>91</v>
      </c>
      <c r="M890" s="46" t="s">
        <v>67</v>
      </c>
      <c r="N890" s="67" t="s">
        <v>110</v>
      </c>
      <c r="O890" s="67" t="s">
        <v>92</v>
      </c>
      <c r="P890" s="74" t="s">
        <v>69</v>
      </c>
    </row>
    <row r="891" spans="1:16">
      <c r="A891" s="345">
        <v>1</v>
      </c>
      <c r="B891" s="79">
        <v>2</v>
      </c>
      <c r="C891" s="79">
        <v>3</v>
      </c>
      <c r="D891" s="79">
        <v>4</v>
      </c>
      <c r="E891" s="79">
        <v>5</v>
      </c>
      <c r="F891" s="79">
        <v>6</v>
      </c>
      <c r="G891" s="79">
        <v>7</v>
      </c>
      <c r="H891" s="79">
        <v>8</v>
      </c>
      <c r="I891" s="79">
        <v>9</v>
      </c>
      <c r="J891" s="79">
        <v>10</v>
      </c>
      <c r="K891" s="79">
        <v>11</v>
      </c>
      <c r="L891" s="79">
        <v>12</v>
      </c>
      <c r="M891" s="79">
        <v>13</v>
      </c>
      <c r="N891" s="79">
        <v>14</v>
      </c>
      <c r="O891" s="357">
        <v>15</v>
      </c>
      <c r="P891" s="46">
        <v>16</v>
      </c>
    </row>
    <row r="892" spans="1:16">
      <c r="A892" s="572" t="s">
        <v>87</v>
      </c>
      <c r="B892" s="572"/>
      <c r="C892" s="572"/>
      <c r="D892" s="572"/>
      <c r="E892" s="572"/>
      <c r="F892" s="572"/>
      <c r="G892" s="572"/>
      <c r="H892" s="572"/>
      <c r="I892" s="572"/>
      <c r="J892" s="572"/>
      <c r="K892" s="572"/>
      <c r="L892" s="572"/>
      <c r="M892" s="572"/>
      <c r="N892" s="572"/>
      <c r="O892" s="572"/>
      <c r="P892" s="572"/>
    </row>
    <row r="893" spans="1:16" ht="22.5">
      <c r="A893" s="803" t="s">
        <v>670</v>
      </c>
      <c r="B893" s="804"/>
      <c r="C893" s="804"/>
      <c r="D893" s="804"/>
      <c r="E893" s="804"/>
      <c r="F893" s="804"/>
      <c r="G893" s="804"/>
      <c r="H893" s="804"/>
      <c r="I893" s="804"/>
      <c r="J893" s="804"/>
      <c r="K893" s="804"/>
      <c r="L893" s="804"/>
      <c r="M893" s="804"/>
      <c r="N893" s="804"/>
      <c r="O893" s="804"/>
      <c r="P893" s="804"/>
    </row>
    <row r="894" spans="1:16" ht="20.25">
      <c r="A894" s="555" t="s">
        <v>61</v>
      </c>
      <c r="B894" s="556"/>
      <c r="C894" s="556"/>
      <c r="D894" s="556"/>
      <c r="E894" s="556"/>
      <c r="F894" s="556"/>
      <c r="G894" s="556"/>
      <c r="H894" s="556"/>
      <c r="I894" s="556"/>
      <c r="J894" s="556"/>
      <c r="K894" s="556"/>
      <c r="L894" s="556"/>
      <c r="M894" s="556"/>
      <c r="N894" s="556"/>
      <c r="O894" s="556"/>
      <c r="P894" s="556"/>
    </row>
    <row r="895" spans="1:16" ht="85.5">
      <c r="A895" s="46" t="s">
        <v>0</v>
      </c>
      <c r="B895" s="46" t="s">
        <v>2592</v>
      </c>
      <c r="C895" s="46" t="s">
        <v>1</v>
      </c>
      <c r="D895" s="46" t="s">
        <v>2593</v>
      </c>
      <c r="E895" s="46" t="s">
        <v>3</v>
      </c>
      <c r="F895" s="46" t="s">
        <v>4</v>
      </c>
      <c r="G895" s="46" t="s">
        <v>2594</v>
      </c>
      <c r="H895" s="46" t="s">
        <v>2595</v>
      </c>
      <c r="I895" s="46" t="s">
        <v>2392</v>
      </c>
      <c r="J895" s="46" t="s">
        <v>5</v>
      </c>
      <c r="K895" s="46" t="s">
        <v>6</v>
      </c>
      <c r="L895" s="46" t="s">
        <v>7</v>
      </c>
      <c r="M895" s="67" t="s">
        <v>8</v>
      </c>
      <c r="N895" s="399" t="s">
        <v>9</v>
      </c>
      <c r="O895" s="400" t="s">
        <v>10</v>
      </c>
      <c r="P895" s="401" t="s">
        <v>11</v>
      </c>
    </row>
    <row r="896" spans="1:16">
      <c r="A896" s="8">
        <v>1</v>
      </c>
      <c r="B896" s="46">
        <v>2</v>
      </c>
      <c r="C896" s="46">
        <v>3</v>
      </c>
      <c r="D896" s="46">
        <v>4</v>
      </c>
      <c r="E896" s="46">
        <v>5</v>
      </c>
      <c r="F896" s="46">
        <v>6</v>
      </c>
      <c r="G896" s="46">
        <v>7</v>
      </c>
      <c r="H896" s="46">
        <v>8</v>
      </c>
      <c r="I896" s="46">
        <v>9</v>
      </c>
      <c r="J896" s="46">
        <v>10</v>
      </c>
      <c r="K896" s="46">
        <v>11</v>
      </c>
      <c r="L896" s="46">
        <v>12</v>
      </c>
      <c r="M896" s="46">
        <v>13</v>
      </c>
      <c r="N896" s="46">
        <v>14</v>
      </c>
      <c r="O896" s="400">
        <v>15</v>
      </c>
      <c r="P896" s="46">
        <v>16</v>
      </c>
    </row>
    <row r="897" spans="1:16">
      <c r="A897" s="336">
        <v>1</v>
      </c>
      <c r="B897" s="553" t="s">
        <v>2619</v>
      </c>
      <c r="C897" s="344" t="s">
        <v>1234</v>
      </c>
      <c r="D897" s="339" t="s">
        <v>17</v>
      </c>
      <c r="E897" s="336" t="s">
        <v>17</v>
      </c>
      <c r="F897" s="336" t="s">
        <v>17</v>
      </c>
      <c r="G897" s="336" t="s">
        <v>17</v>
      </c>
      <c r="H897" s="336" t="s">
        <v>17</v>
      </c>
      <c r="I897" s="336" t="s">
        <v>17</v>
      </c>
      <c r="J897" s="336" t="s">
        <v>17</v>
      </c>
      <c r="K897" s="336" t="s">
        <v>17</v>
      </c>
      <c r="L897" s="336" t="s">
        <v>17</v>
      </c>
      <c r="M897" s="336" t="s">
        <v>17</v>
      </c>
      <c r="N897" s="336" t="s">
        <v>17</v>
      </c>
      <c r="O897" s="336"/>
      <c r="P897" s="336"/>
    </row>
    <row r="898" spans="1:16" ht="30">
      <c r="A898" s="104">
        <v>2</v>
      </c>
      <c r="B898" s="553"/>
      <c r="C898" s="116" t="s">
        <v>1136</v>
      </c>
      <c r="D898" s="216" t="s">
        <v>87</v>
      </c>
      <c r="E898" s="216" t="s">
        <v>87</v>
      </c>
      <c r="F898" s="216" t="s">
        <v>87</v>
      </c>
      <c r="G898" s="216" t="s">
        <v>87</v>
      </c>
      <c r="H898" s="216" t="s">
        <v>87</v>
      </c>
      <c r="I898" s="216" t="s">
        <v>87</v>
      </c>
      <c r="J898" s="216" t="s">
        <v>87</v>
      </c>
      <c r="K898" s="216" t="s">
        <v>87</v>
      </c>
      <c r="L898" s="216" t="s">
        <v>87</v>
      </c>
      <c r="M898" s="216" t="s">
        <v>87</v>
      </c>
      <c r="N898" s="216"/>
      <c r="O898" s="105" t="s">
        <v>454</v>
      </c>
      <c r="P898" s="391"/>
    </row>
    <row r="899" spans="1:16" ht="33.75" customHeight="1">
      <c r="A899" s="336">
        <v>3</v>
      </c>
      <c r="B899" s="553"/>
      <c r="C899" s="50" t="s">
        <v>1137</v>
      </c>
      <c r="D899" s="344" t="s">
        <v>1138</v>
      </c>
      <c r="E899" s="339" t="s">
        <v>1139</v>
      </c>
      <c r="F899" s="336" t="s">
        <v>1140</v>
      </c>
      <c r="G899" s="336">
        <v>1.6000000000000001E-3</v>
      </c>
      <c r="H899" s="335">
        <v>6.05</v>
      </c>
      <c r="I899" s="336"/>
      <c r="J899" s="336" t="s">
        <v>87</v>
      </c>
      <c r="K899" s="336" t="s">
        <v>87</v>
      </c>
      <c r="L899" s="336" t="s">
        <v>87</v>
      </c>
      <c r="M899" s="336" t="s">
        <v>26</v>
      </c>
      <c r="N899" s="207" t="s">
        <v>1142</v>
      </c>
      <c r="O899" s="336"/>
      <c r="P899" s="207" t="s">
        <v>1141</v>
      </c>
    </row>
    <row r="900" spans="1:16" ht="45.75" customHeight="1">
      <c r="A900" s="104">
        <v>4</v>
      </c>
      <c r="B900" s="553"/>
      <c r="C900" s="50" t="s">
        <v>1137</v>
      </c>
      <c r="D900" s="344" t="s">
        <v>1143</v>
      </c>
      <c r="E900" s="336">
        <v>473.62</v>
      </c>
      <c r="F900" s="336" t="s">
        <v>1144</v>
      </c>
      <c r="G900" s="336" t="s">
        <v>1145</v>
      </c>
      <c r="H900" s="336">
        <v>0.36</v>
      </c>
      <c r="I900" s="336"/>
      <c r="J900" s="336" t="s">
        <v>87</v>
      </c>
      <c r="K900" s="336" t="s">
        <v>87</v>
      </c>
      <c r="L900" s="336" t="s">
        <v>87</v>
      </c>
      <c r="M900" s="336" t="s">
        <v>26</v>
      </c>
      <c r="N900" s="207" t="s">
        <v>1146</v>
      </c>
      <c r="O900" s="336"/>
      <c r="P900" s="207" t="s">
        <v>1146</v>
      </c>
    </row>
    <row r="901" spans="1:16" ht="180">
      <c r="A901" s="336">
        <v>5</v>
      </c>
      <c r="B901" s="553"/>
      <c r="C901" s="116" t="s">
        <v>1147</v>
      </c>
      <c r="D901" s="116" t="s">
        <v>1148</v>
      </c>
      <c r="E901" s="216" t="s">
        <v>1149</v>
      </c>
      <c r="F901" s="216" t="s">
        <v>1150</v>
      </c>
      <c r="G901" s="431" t="s">
        <v>274</v>
      </c>
      <c r="H901" s="49" t="s">
        <v>1151</v>
      </c>
      <c r="I901" s="216" t="s">
        <v>150</v>
      </c>
      <c r="J901" s="216" t="s">
        <v>193</v>
      </c>
      <c r="K901" s="216" t="s">
        <v>26</v>
      </c>
      <c r="L901" s="104" t="s">
        <v>26</v>
      </c>
      <c r="M901" s="104" t="s">
        <v>26</v>
      </c>
      <c r="N901" s="207" t="s">
        <v>1152</v>
      </c>
      <c r="O901" s="105" t="s">
        <v>454</v>
      </c>
      <c r="P901" s="391"/>
    </row>
    <row r="902" spans="1:16" ht="45">
      <c r="A902" s="104">
        <v>6</v>
      </c>
      <c r="B902" s="553"/>
      <c r="C902" s="644" t="s">
        <v>1153</v>
      </c>
      <c r="D902" s="342" t="s">
        <v>1154</v>
      </c>
      <c r="E902" s="89" t="s">
        <v>1155</v>
      </c>
      <c r="F902" s="89" t="s">
        <v>1156</v>
      </c>
      <c r="G902" s="89" t="s">
        <v>17</v>
      </c>
      <c r="H902" s="89" t="s">
        <v>17</v>
      </c>
      <c r="I902" s="90" t="s">
        <v>2509</v>
      </c>
      <c r="J902" s="89" t="s">
        <v>17</v>
      </c>
      <c r="K902" s="89" t="s">
        <v>17</v>
      </c>
      <c r="L902" s="89" t="s">
        <v>17</v>
      </c>
      <c r="M902" s="89" t="s">
        <v>26</v>
      </c>
      <c r="N902" s="89" t="s">
        <v>17</v>
      </c>
      <c r="O902" s="89" t="s">
        <v>87</v>
      </c>
      <c r="P902" s="89" t="s">
        <v>17</v>
      </c>
    </row>
    <row r="903" spans="1:16" ht="45">
      <c r="A903" s="336">
        <v>7</v>
      </c>
      <c r="B903" s="553"/>
      <c r="C903" s="644"/>
      <c r="D903" s="342" t="s">
        <v>1157</v>
      </c>
      <c r="E903" s="89" t="s">
        <v>1158</v>
      </c>
      <c r="F903" s="89" t="s">
        <v>1156</v>
      </c>
      <c r="G903" s="89" t="s">
        <v>17</v>
      </c>
      <c r="H903" s="89" t="s">
        <v>17</v>
      </c>
      <c r="I903" s="90" t="s">
        <v>2509</v>
      </c>
      <c r="J903" s="89" t="s">
        <v>17</v>
      </c>
      <c r="K903" s="89" t="s">
        <v>17</v>
      </c>
      <c r="L903" s="89" t="s">
        <v>17</v>
      </c>
      <c r="M903" s="89" t="s">
        <v>26</v>
      </c>
      <c r="N903" s="89" t="s">
        <v>17</v>
      </c>
      <c r="O903" s="89" t="s">
        <v>87</v>
      </c>
      <c r="P903" s="89" t="s">
        <v>17</v>
      </c>
    </row>
    <row r="904" spans="1:16" ht="30">
      <c r="A904" s="104">
        <v>8</v>
      </c>
      <c r="B904" s="553"/>
      <c r="C904" s="644"/>
      <c r="D904" s="342" t="s">
        <v>1159</v>
      </c>
      <c r="E904" s="89" t="s">
        <v>1160</v>
      </c>
      <c r="F904" s="89" t="s">
        <v>1161</v>
      </c>
      <c r="G904" s="89" t="s">
        <v>17</v>
      </c>
      <c r="H904" s="89" t="s">
        <v>17</v>
      </c>
      <c r="I904" s="90" t="s">
        <v>2509</v>
      </c>
      <c r="J904" s="89" t="s">
        <v>17</v>
      </c>
      <c r="K904" s="89" t="s">
        <v>17</v>
      </c>
      <c r="L904" s="89" t="s">
        <v>17</v>
      </c>
      <c r="M904" s="89" t="s">
        <v>26</v>
      </c>
      <c r="N904" s="89" t="s">
        <v>17</v>
      </c>
      <c r="O904" s="89" t="s">
        <v>87</v>
      </c>
      <c r="P904" s="89" t="s">
        <v>17</v>
      </c>
    </row>
    <row r="905" spans="1:16">
      <c r="A905" s="336">
        <v>9</v>
      </c>
      <c r="B905" s="553"/>
      <c r="C905" s="644"/>
      <c r="D905" s="342" t="s">
        <v>1162</v>
      </c>
      <c r="E905" s="89">
        <v>45.1</v>
      </c>
      <c r="F905" s="89" t="s">
        <v>1156</v>
      </c>
      <c r="G905" s="89" t="s">
        <v>17</v>
      </c>
      <c r="H905" s="89" t="s">
        <v>17</v>
      </c>
      <c r="I905" s="90" t="s">
        <v>2509</v>
      </c>
      <c r="J905" s="89" t="s">
        <v>17</v>
      </c>
      <c r="K905" s="89" t="s">
        <v>17</v>
      </c>
      <c r="L905" s="89" t="s">
        <v>17</v>
      </c>
      <c r="M905" s="89" t="s">
        <v>26</v>
      </c>
      <c r="N905" s="89" t="s">
        <v>17</v>
      </c>
      <c r="O905" s="89" t="s">
        <v>87</v>
      </c>
      <c r="P905" s="89" t="s">
        <v>17</v>
      </c>
    </row>
    <row r="906" spans="1:16" ht="30">
      <c r="A906" s="104">
        <v>10</v>
      </c>
      <c r="B906" s="553"/>
      <c r="C906" s="644"/>
      <c r="D906" s="342" t="s">
        <v>1163</v>
      </c>
      <c r="E906" s="89">
        <v>2400</v>
      </c>
      <c r="F906" s="432">
        <v>1907</v>
      </c>
      <c r="G906" s="89" t="s">
        <v>17</v>
      </c>
      <c r="H906" s="89" t="s">
        <v>17</v>
      </c>
      <c r="I906" s="90" t="s">
        <v>2509</v>
      </c>
      <c r="J906" s="89" t="s">
        <v>17</v>
      </c>
      <c r="K906" s="89" t="s">
        <v>17</v>
      </c>
      <c r="L906" s="89" t="s">
        <v>17</v>
      </c>
      <c r="M906" s="89" t="s">
        <v>26</v>
      </c>
      <c r="N906" s="89" t="s">
        <v>17</v>
      </c>
      <c r="O906" s="89" t="s">
        <v>87</v>
      </c>
      <c r="P906" s="89" t="s">
        <v>17</v>
      </c>
    </row>
    <row r="907" spans="1:16">
      <c r="A907" s="336">
        <v>11</v>
      </c>
      <c r="B907" s="553"/>
      <c r="C907" s="644"/>
      <c r="D907" s="342" t="s">
        <v>1164</v>
      </c>
      <c r="E907" s="89">
        <v>92.9</v>
      </c>
      <c r="F907" s="89" t="s">
        <v>35</v>
      </c>
      <c r="G907" s="89" t="s">
        <v>17</v>
      </c>
      <c r="H907" s="89" t="s">
        <v>17</v>
      </c>
      <c r="I907" s="90" t="s">
        <v>2509</v>
      </c>
      <c r="J907" s="89" t="s">
        <v>17</v>
      </c>
      <c r="K907" s="89" t="s">
        <v>17</v>
      </c>
      <c r="L907" s="89" t="s">
        <v>17</v>
      </c>
      <c r="M907" s="89" t="s">
        <v>26</v>
      </c>
      <c r="N907" s="89" t="s">
        <v>17</v>
      </c>
      <c r="O907" s="89" t="s">
        <v>87</v>
      </c>
      <c r="P907" s="89" t="s">
        <v>17</v>
      </c>
    </row>
    <row r="908" spans="1:16" ht="45">
      <c r="A908" s="104">
        <v>12</v>
      </c>
      <c r="B908" s="553"/>
      <c r="C908" s="644"/>
      <c r="D908" s="342" t="s">
        <v>1165</v>
      </c>
      <c r="E908" s="89" t="s">
        <v>1166</v>
      </c>
      <c r="F908" s="89" t="s">
        <v>1167</v>
      </c>
      <c r="G908" s="89" t="s">
        <v>17</v>
      </c>
      <c r="H908" s="89" t="s">
        <v>17</v>
      </c>
      <c r="I908" s="90" t="s">
        <v>2509</v>
      </c>
      <c r="J908" s="89" t="s">
        <v>17</v>
      </c>
      <c r="K908" s="89" t="s">
        <v>17</v>
      </c>
      <c r="L908" s="89" t="s">
        <v>17</v>
      </c>
      <c r="M908" s="89" t="s">
        <v>26</v>
      </c>
      <c r="N908" s="89" t="s">
        <v>17</v>
      </c>
      <c r="O908" s="89" t="s">
        <v>87</v>
      </c>
      <c r="P908" s="89" t="s">
        <v>17</v>
      </c>
    </row>
    <row r="909" spans="1:16" ht="108" customHeight="1">
      <c r="A909" s="336">
        <v>13</v>
      </c>
      <c r="B909" s="553"/>
      <c r="C909" s="644"/>
      <c r="D909" s="342" t="s">
        <v>1168</v>
      </c>
      <c r="E909" s="89">
        <v>130</v>
      </c>
      <c r="F909" s="90" t="s">
        <v>1169</v>
      </c>
      <c r="G909" s="89" t="s">
        <v>17</v>
      </c>
      <c r="H909" s="89" t="s">
        <v>17</v>
      </c>
      <c r="I909" s="90" t="s">
        <v>2509</v>
      </c>
      <c r="J909" s="89" t="s">
        <v>17</v>
      </c>
      <c r="K909" s="89" t="s">
        <v>17</v>
      </c>
      <c r="L909" s="89" t="s">
        <v>17</v>
      </c>
      <c r="M909" s="89" t="s">
        <v>26</v>
      </c>
      <c r="N909" s="89" t="s">
        <v>17</v>
      </c>
      <c r="O909" s="89" t="s">
        <v>87</v>
      </c>
      <c r="P909" s="89" t="s">
        <v>17</v>
      </c>
    </row>
    <row r="910" spans="1:16" ht="90">
      <c r="A910" s="104">
        <v>14</v>
      </c>
      <c r="B910" s="553"/>
      <c r="C910" s="644"/>
      <c r="D910" s="342" t="s">
        <v>1170</v>
      </c>
      <c r="E910" s="89">
        <v>11300</v>
      </c>
      <c r="F910" s="90" t="s">
        <v>1169</v>
      </c>
      <c r="G910" s="89" t="s">
        <v>17</v>
      </c>
      <c r="H910" s="89" t="s">
        <v>17</v>
      </c>
      <c r="I910" s="90" t="s">
        <v>2509</v>
      </c>
      <c r="J910" s="89" t="s">
        <v>17</v>
      </c>
      <c r="K910" s="89" t="s">
        <v>17</v>
      </c>
      <c r="L910" s="89" t="s">
        <v>17</v>
      </c>
      <c r="M910" s="89" t="s">
        <v>26</v>
      </c>
      <c r="N910" s="89" t="s">
        <v>17</v>
      </c>
      <c r="O910" s="89" t="s">
        <v>87</v>
      </c>
      <c r="P910" s="89" t="s">
        <v>17</v>
      </c>
    </row>
    <row r="911" spans="1:16" ht="90">
      <c r="A911" s="336">
        <v>15</v>
      </c>
      <c r="B911" s="553"/>
      <c r="C911" s="644"/>
      <c r="D911" s="337" t="s">
        <v>1171</v>
      </c>
      <c r="E911" s="91" t="s">
        <v>1172</v>
      </c>
      <c r="F911" s="90" t="s">
        <v>1169</v>
      </c>
      <c r="G911" s="91" t="s">
        <v>17</v>
      </c>
      <c r="H911" s="89" t="s">
        <v>17</v>
      </c>
      <c r="I911" s="90" t="s">
        <v>2509</v>
      </c>
      <c r="J911" s="89" t="s">
        <v>17</v>
      </c>
      <c r="K911" s="89" t="s">
        <v>17</v>
      </c>
      <c r="L911" s="89" t="s">
        <v>17</v>
      </c>
      <c r="M911" s="89" t="s">
        <v>26</v>
      </c>
      <c r="N911" s="89" t="s">
        <v>17</v>
      </c>
      <c r="O911" s="89" t="s">
        <v>87</v>
      </c>
      <c r="P911" s="89" t="s">
        <v>17</v>
      </c>
    </row>
    <row r="912" spans="1:16" ht="90">
      <c r="A912" s="104">
        <v>16</v>
      </c>
      <c r="B912" s="553"/>
      <c r="C912" s="644"/>
      <c r="D912" s="337" t="s">
        <v>1173</v>
      </c>
      <c r="E912" s="91" t="s">
        <v>1174</v>
      </c>
      <c r="F912" s="90" t="s">
        <v>1169</v>
      </c>
      <c r="G912" s="91" t="s">
        <v>17</v>
      </c>
      <c r="H912" s="89" t="s">
        <v>17</v>
      </c>
      <c r="I912" s="90" t="s">
        <v>2509</v>
      </c>
      <c r="J912" s="89" t="s">
        <v>17</v>
      </c>
      <c r="K912" s="89" t="s">
        <v>17</v>
      </c>
      <c r="L912" s="89" t="s">
        <v>17</v>
      </c>
      <c r="M912" s="89" t="s">
        <v>26</v>
      </c>
      <c r="N912" s="89" t="s">
        <v>17</v>
      </c>
      <c r="O912" s="89" t="s">
        <v>87</v>
      </c>
      <c r="P912" s="89" t="s">
        <v>17</v>
      </c>
    </row>
    <row r="913" spans="1:16" ht="108" customHeight="1">
      <c r="A913" s="336">
        <v>17</v>
      </c>
      <c r="B913" s="553"/>
      <c r="C913" s="644"/>
      <c r="D913" s="337" t="s">
        <v>1175</v>
      </c>
      <c r="E913" s="91" t="s">
        <v>1176</v>
      </c>
      <c r="F913" s="90" t="s">
        <v>1169</v>
      </c>
      <c r="G913" s="91" t="s">
        <v>17</v>
      </c>
      <c r="H913" s="89" t="s">
        <v>17</v>
      </c>
      <c r="I913" s="90" t="s">
        <v>2509</v>
      </c>
      <c r="J913" s="89" t="s">
        <v>17</v>
      </c>
      <c r="K913" s="89" t="s">
        <v>17</v>
      </c>
      <c r="L913" s="89" t="s">
        <v>17</v>
      </c>
      <c r="M913" s="89" t="s">
        <v>26</v>
      </c>
      <c r="N913" s="89" t="s">
        <v>17</v>
      </c>
      <c r="O913" s="89" t="s">
        <v>87</v>
      </c>
      <c r="P913" s="89" t="s">
        <v>17</v>
      </c>
    </row>
    <row r="914" spans="1:16" ht="90">
      <c r="A914" s="104">
        <v>18</v>
      </c>
      <c r="B914" s="553"/>
      <c r="C914" s="644"/>
      <c r="D914" s="337" t="s">
        <v>1177</v>
      </c>
      <c r="E914" s="91" t="s">
        <v>1178</v>
      </c>
      <c r="F914" s="90" t="s">
        <v>1169</v>
      </c>
      <c r="G914" s="91" t="s">
        <v>17</v>
      </c>
      <c r="H914" s="89" t="s">
        <v>17</v>
      </c>
      <c r="I914" s="90" t="s">
        <v>2509</v>
      </c>
      <c r="J914" s="89" t="s">
        <v>17</v>
      </c>
      <c r="K914" s="89" t="s">
        <v>17</v>
      </c>
      <c r="L914" s="89" t="s">
        <v>17</v>
      </c>
      <c r="M914" s="89" t="s">
        <v>26</v>
      </c>
      <c r="N914" s="89" t="s">
        <v>17</v>
      </c>
      <c r="O914" s="89" t="s">
        <v>87</v>
      </c>
      <c r="P914" s="89" t="s">
        <v>17</v>
      </c>
    </row>
    <row r="915" spans="1:16" ht="103.5" customHeight="1">
      <c r="A915" s="336">
        <v>19</v>
      </c>
      <c r="B915" s="553"/>
      <c r="C915" s="644"/>
      <c r="D915" s="337" t="s">
        <v>1179</v>
      </c>
      <c r="E915" s="91" t="s">
        <v>1180</v>
      </c>
      <c r="F915" s="90" t="s">
        <v>1169</v>
      </c>
      <c r="G915" s="91" t="s">
        <v>17</v>
      </c>
      <c r="H915" s="89" t="s">
        <v>17</v>
      </c>
      <c r="I915" s="90" t="s">
        <v>2509</v>
      </c>
      <c r="J915" s="89" t="s">
        <v>17</v>
      </c>
      <c r="K915" s="89" t="s">
        <v>17</v>
      </c>
      <c r="L915" s="89" t="s">
        <v>17</v>
      </c>
      <c r="M915" s="89" t="s">
        <v>26</v>
      </c>
      <c r="N915" s="89" t="s">
        <v>17</v>
      </c>
      <c r="O915" s="89" t="s">
        <v>87</v>
      </c>
      <c r="P915" s="89" t="s">
        <v>17</v>
      </c>
    </row>
    <row r="916" spans="1:16" ht="105.75" customHeight="1">
      <c r="A916" s="104">
        <v>20</v>
      </c>
      <c r="B916" s="553"/>
      <c r="C916" s="644"/>
      <c r="D916" s="337" t="s">
        <v>1181</v>
      </c>
      <c r="E916" s="91" t="s">
        <v>1182</v>
      </c>
      <c r="F916" s="90" t="s">
        <v>1169</v>
      </c>
      <c r="G916" s="91" t="s">
        <v>17</v>
      </c>
      <c r="H916" s="89" t="s">
        <v>17</v>
      </c>
      <c r="I916" s="90" t="s">
        <v>2509</v>
      </c>
      <c r="J916" s="89" t="s">
        <v>17</v>
      </c>
      <c r="K916" s="89" t="s">
        <v>17</v>
      </c>
      <c r="L916" s="89" t="s">
        <v>17</v>
      </c>
      <c r="M916" s="89" t="s">
        <v>26</v>
      </c>
      <c r="N916" s="89" t="s">
        <v>17</v>
      </c>
      <c r="O916" s="89" t="s">
        <v>87</v>
      </c>
      <c r="P916" s="89" t="s">
        <v>17</v>
      </c>
    </row>
    <row r="917" spans="1:16" ht="105" customHeight="1">
      <c r="A917" s="336">
        <v>21</v>
      </c>
      <c r="B917" s="553"/>
      <c r="C917" s="644"/>
      <c r="D917" s="337" t="s">
        <v>1183</v>
      </c>
      <c r="E917" s="91" t="s">
        <v>1184</v>
      </c>
      <c r="F917" s="90" t="s">
        <v>1169</v>
      </c>
      <c r="G917" s="91" t="s">
        <v>17</v>
      </c>
      <c r="H917" s="89" t="s">
        <v>17</v>
      </c>
      <c r="I917" s="90" t="s">
        <v>2509</v>
      </c>
      <c r="J917" s="89" t="s">
        <v>17</v>
      </c>
      <c r="K917" s="89" t="s">
        <v>17</v>
      </c>
      <c r="L917" s="89" t="s">
        <v>17</v>
      </c>
      <c r="M917" s="89" t="s">
        <v>26</v>
      </c>
      <c r="N917" s="89" t="s">
        <v>17</v>
      </c>
      <c r="O917" s="89" t="s">
        <v>87</v>
      </c>
      <c r="P917" s="89" t="s">
        <v>17</v>
      </c>
    </row>
    <row r="918" spans="1:16">
      <c r="A918" s="104">
        <v>22</v>
      </c>
      <c r="B918" s="553"/>
      <c r="C918" s="644"/>
      <c r="D918" s="337" t="s">
        <v>1185</v>
      </c>
      <c r="E918" s="91" t="s">
        <v>1186</v>
      </c>
      <c r="F918" s="91" t="s">
        <v>1187</v>
      </c>
      <c r="G918" s="91" t="s">
        <v>17</v>
      </c>
      <c r="H918" s="89" t="s">
        <v>17</v>
      </c>
      <c r="I918" s="90" t="s">
        <v>2509</v>
      </c>
      <c r="J918" s="89" t="s">
        <v>17</v>
      </c>
      <c r="K918" s="89" t="s">
        <v>17</v>
      </c>
      <c r="L918" s="89" t="s">
        <v>17</v>
      </c>
      <c r="M918" s="89" t="s">
        <v>26</v>
      </c>
      <c r="N918" s="89" t="s">
        <v>17</v>
      </c>
      <c r="O918" s="89" t="s">
        <v>87</v>
      </c>
      <c r="P918" s="89" t="s">
        <v>17</v>
      </c>
    </row>
    <row r="919" spans="1:16">
      <c r="A919" s="336">
        <v>23</v>
      </c>
      <c r="B919" s="553"/>
      <c r="C919" s="644"/>
      <c r="D919" s="337" t="s">
        <v>1188</v>
      </c>
      <c r="E919" s="91" t="s">
        <v>1189</v>
      </c>
      <c r="F919" s="91" t="s">
        <v>1190</v>
      </c>
      <c r="G919" s="91" t="s">
        <v>17</v>
      </c>
      <c r="H919" s="89" t="s">
        <v>17</v>
      </c>
      <c r="I919" s="90" t="s">
        <v>2509</v>
      </c>
      <c r="J919" s="89" t="s">
        <v>17</v>
      </c>
      <c r="K919" s="89" t="s">
        <v>17</v>
      </c>
      <c r="L919" s="89" t="s">
        <v>17</v>
      </c>
      <c r="M919" s="89" t="s">
        <v>26</v>
      </c>
      <c r="N919" s="89" t="s">
        <v>17</v>
      </c>
      <c r="O919" s="89" t="s">
        <v>87</v>
      </c>
      <c r="P919" s="89" t="s">
        <v>17</v>
      </c>
    </row>
    <row r="920" spans="1:16" ht="30">
      <c r="A920" s="104">
        <v>24</v>
      </c>
      <c r="B920" s="553"/>
      <c r="C920" s="644"/>
      <c r="D920" s="342" t="s">
        <v>1191</v>
      </c>
      <c r="E920" s="89" t="s">
        <v>1192</v>
      </c>
      <c r="F920" s="89" t="s">
        <v>1193</v>
      </c>
      <c r="G920" s="89" t="s">
        <v>17</v>
      </c>
      <c r="H920" s="89" t="s">
        <v>17</v>
      </c>
      <c r="I920" s="90" t="s">
        <v>2509</v>
      </c>
      <c r="J920" s="89" t="s">
        <v>17</v>
      </c>
      <c r="K920" s="89" t="s">
        <v>17</v>
      </c>
      <c r="L920" s="89" t="s">
        <v>17</v>
      </c>
      <c r="M920" s="89" t="s">
        <v>26</v>
      </c>
      <c r="N920" s="89" t="s">
        <v>17</v>
      </c>
      <c r="O920" s="89" t="s">
        <v>87</v>
      </c>
      <c r="P920" s="89" t="s">
        <v>17</v>
      </c>
    </row>
    <row r="921" spans="1:16" ht="108" customHeight="1">
      <c r="A921" s="336">
        <v>25</v>
      </c>
      <c r="B921" s="553"/>
      <c r="C921" s="644"/>
      <c r="D921" s="342" t="s">
        <v>1194</v>
      </c>
      <c r="E921" s="89" t="s">
        <v>1195</v>
      </c>
      <c r="F921" s="90" t="s">
        <v>1169</v>
      </c>
      <c r="G921" s="89" t="s">
        <v>17</v>
      </c>
      <c r="H921" s="89" t="s">
        <v>17</v>
      </c>
      <c r="I921" s="90" t="s">
        <v>2509</v>
      </c>
      <c r="J921" s="89" t="s">
        <v>17</v>
      </c>
      <c r="K921" s="89" t="s">
        <v>17</v>
      </c>
      <c r="L921" s="89" t="s">
        <v>17</v>
      </c>
      <c r="M921" s="89" t="s">
        <v>26</v>
      </c>
      <c r="N921" s="89" t="s">
        <v>17</v>
      </c>
      <c r="O921" s="89" t="s">
        <v>87</v>
      </c>
      <c r="P921" s="89" t="s">
        <v>17</v>
      </c>
    </row>
    <row r="922" spans="1:16" ht="105" customHeight="1">
      <c r="A922" s="104">
        <v>26</v>
      </c>
      <c r="B922" s="553"/>
      <c r="C922" s="644"/>
      <c r="D922" s="342" t="s">
        <v>1196</v>
      </c>
      <c r="E922" s="89" t="s">
        <v>1197</v>
      </c>
      <c r="F922" s="90" t="s">
        <v>1169</v>
      </c>
      <c r="G922" s="89" t="s">
        <v>17</v>
      </c>
      <c r="H922" s="89" t="s">
        <v>17</v>
      </c>
      <c r="I922" s="90" t="s">
        <v>2509</v>
      </c>
      <c r="J922" s="89" t="s">
        <v>17</v>
      </c>
      <c r="K922" s="89" t="s">
        <v>17</v>
      </c>
      <c r="L922" s="89" t="s">
        <v>17</v>
      </c>
      <c r="M922" s="89" t="s">
        <v>26</v>
      </c>
      <c r="N922" s="89" t="s">
        <v>17</v>
      </c>
      <c r="O922" s="89" t="s">
        <v>87</v>
      </c>
      <c r="P922" s="89" t="s">
        <v>17</v>
      </c>
    </row>
    <row r="923" spans="1:16" ht="107.25" customHeight="1">
      <c r="A923" s="336">
        <v>27</v>
      </c>
      <c r="B923" s="553"/>
      <c r="C923" s="644"/>
      <c r="D923" s="342" t="s">
        <v>1198</v>
      </c>
      <c r="E923" s="89" t="s">
        <v>1199</v>
      </c>
      <c r="F923" s="90" t="s">
        <v>1169</v>
      </c>
      <c r="G923" s="89" t="s">
        <v>17</v>
      </c>
      <c r="H923" s="89" t="s">
        <v>17</v>
      </c>
      <c r="I923" s="90" t="s">
        <v>2509</v>
      </c>
      <c r="J923" s="89" t="s">
        <v>17</v>
      </c>
      <c r="K923" s="89" t="s">
        <v>17</v>
      </c>
      <c r="L923" s="89" t="s">
        <v>17</v>
      </c>
      <c r="M923" s="89" t="s">
        <v>26</v>
      </c>
      <c r="N923" s="89" t="s">
        <v>17</v>
      </c>
      <c r="O923" s="89" t="s">
        <v>87</v>
      </c>
      <c r="P923" s="89" t="s">
        <v>17</v>
      </c>
    </row>
    <row r="924" spans="1:16" ht="103.5" customHeight="1">
      <c r="A924" s="104">
        <v>28</v>
      </c>
      <c r="B924" s="553"/>
      <c r="C924" s="644"/>
      <c r="D924" s="342" t="s">
        <v>1200</v>
      </c>
      <c r="E924" s="89">
        <v>200</v>
      </c>
      <c r="F924" s="90" t="s">
        <v>1169</v>
      </c>
      <c r="G924" s="89" t="s">
        <v>17</v>
      </c>
      <c r="H924" s="89" t="s">
        <v>17</v>
      </c>
      <c r="I924" s="90" t="s">
        <v>2509</v>
      </c>
      <c r="J924" s="89" t="s">
        <v>17</v>
      </c>
      <c r="K924" s="89" t="s">
        <v>17</v>
      </c>
      <c r="L924" s="89" t="s">
        <v>17</v>
      </c>
      <c r="M924" s="89" t="s">
        <v>26</v>
      </c>
      <c r="N924" s="89" t="s">
        <v>17</v>
      </c>
      <c r="O924" s="89" t="s">
        <v>87</v>
      </c>
      <c r="P924" s="89" t="s">
        <v>17</v>
      </c>
    </row>
    <row r="925" spans="1:16" ht="107.25" customHeight="1">
      <c r="A925" s="336">
        <v>29</v>
      </c>
      <c r="B925" s="553"/>
      <c r="C925" s="644"/>
      <c r="D925" s="433" t="s">
        <v>1201</v>
      </c>
      <c r="E925" s="434">
        <v>303.83999999999997</v>
      </c>
      <c r="F925" s="90" t="s">
        <v>1169</v>
      </c>
      <c r="G925" s="89" t="s">
        <v>17</v>
      </c>
      <c r="H925" s="89" t="s">
        <v>17</v>
      </c>
      <c r="I925" s="90" t="s">
        <v>2509</v>
      </c>
      <c r="J925" s="89" t="s">
        <v>17</v>
      </c>
      <c r="K925" s="89" t="s">
        <v>17</v>
      </c>
      <c r="L925" s="89" t="s">
        <v>17</v>
      </c>
      <c r="M925" s="89" t="s">
        <v>26</v>
      </c>
      <c r="N925" s="89" t="s">
        <v>17</v>
      </c>
      <c r="O925" s="89" t="s">
        <v>87</v>
      </c>
      <c r="P925" s="89" t="s">
        <v>17</v>
      </c>
    </row>
    <row r="926" spans="1:16" ht="107.25" customHeight="1">
      <c r="A926" s="104">
        <v>30</v>
      </c>
      <c r="B926" s="553"/>
      <c r="C926" s="644"/>
      <c r="D926" s="433" t="s">
        <v>1202</v>
      </c>
      <c r="E926" s="434">
        <v>769.73</v>
      </c>
      <c r="F926" s="90" t="s">
        <v>1169</v>
      </c>
      <c r="G926" s="89" t="s">
        <v>17</v>
      </c>
      <c r="H926" s="89" t="s">
        <v>17</v>
      </c>
      <c r="I926" s="90" t="s">
        <v>2509</v>
      </c>
      <c r="J926" s="89" t="s">
        <v>17</v>
      </c>
      <c r="K926" s="89" t="s">
        <v>17</v>
      </c>
      <c r="L926" s="89" t="s">
        <v>17</v>
      </c>
      <c r="M926" s="89" t="s">
        <v>26</v>
      </c>
      <c r="N926" s="89" t="s">
        <v>17</v>
      </c>
      <c r="O926" s="89" t="s">
        <v>87</v>
      </c>
      <c r="P926" s="89" t="s">
        <v>17</v>
      </c>
    </row>
    <row r="927" spans="1:16" ht="108.75" customHeight="1">
      <c r="A927" s="336">
        <v>31</v>
      </c>
      <c r="B927" s="553"/>
      <c r="C927" s="644"/>
      <c r="D927" s="433" t="s">
        <v>1203</v>
      </c>
      <c r="E927" s="434">
        <v>668.45</v>
      </c>
      <c r="F927" s="90" t="s">
        <v>1169</v>
      </c>
      <c r="G927" s="89" t="s">
        <v>17</v>
      </c>
      <c r="H927" s="89" t="s">
        <v>17</v>
      </c>
      <c r="I927" s="90" t="s">
        <v>2509</v>
      </c>
      <c r="J927" s="89" t="s">
        <v>17</v>
      </c>
      <c r="K927" s="89" t="s">
        <v>17</v>
      </c>
      <c r="L927" s="89" t="s">
        <v>17</v>
      </c>
      <c r="M927" s="89" t="s">
        <v>26</v>
      </c>
      <c r="N927" s="89" t="s">
        <v>17</v>
      </c>
      <c r="O927" s="89" t="s">
        <v>87</v>
      </c>
      <c r="P927" s="89" t="s">
        <v>17</v>
      </c>
    </row>
    <row r="928" spans="1:16" ht="108" customHeight="1">
      <c r="A928" s="104">
        <v>32</v>
      </c>
      <c r="B928" s="553"/>
      <c r="C928" s="644"/>
      <c r="D928" s="342" t="s">
        <v>1204</v>
      </c>
      <c r="E928" s="90">
        <v>300</v>
      </c>
      <c r="F928" s="90" t="s">
        <v>1169</v>
      </c>
      <c r="G928" s="90">
        <v>6.6E-3</v>
      </c>
      <c r="H928" s="123"/>
      <c r="I928" s="339" t="s">
        <v>150</v>
      </c>
      <c r="J928" s="336" t="s">
        <v>17</v>
      </c>
      <c r="K928" s="336" t="s">
        <v>17</v>
      </c>
      <c r="L928" s="336" t="s">
        <v>160</v>
      </c>
      <c r="M928" s="637" t="s">
        <v>1205</v>
      </c>
      <c r="N928" s="336" t="s">
        <v>17</v>
      </c>
      <c r="O928" s="336" t="s">
        <v>17</v>
      </c>
      <c r="P928" s="89" t="s">
        <v>17</v>
      </c>
    </row>
    <row r="929" spans="1:16" ht="106.5" customHeight="1">
      <c r="A929" s="336">
        <v>33</v>
      </c>
      <c r="B929" s="553"/>
      <c r="C929" s="644"/>
      <c r="D929" s="342" t="s">
        <v>1206</v>
      </c>
      <c r="E929" s="90">
        <v>300</v>
      </c>
      <c r="F929" s="90" t="s">
        <v>1169</v>
      </c>
      <c r="G929" s="90">
        <v>6.6E-3</v>
      </c>
      <c r="H929" s="123"/>
      <c r="I929" s="339" t="s">
        <v>150</v>
      </c>
      <c r="J929" s="336" t="s">
        <v>17</v>
      </c>
      <c r="K929" s="336" t="s">
        <v>17</v>
      </c>
      <c r="L929" s="336" t="s">
        <v>160</v>
      </c>
      <c r="M929" s="637"/>
      <c r="N929" s="336" t="s">
        <v>17</v>
      </c>
      <c r="O929" s="336" t="s">
        <v>17</v>
      </c>
      <c r="P929" s="89" t="s">
        <v>17</v>
      </c>
    </row>
    <row r="930" spans="1:16" ht="107.25" customHeight="1">
      <c r="A930" s="104">
        <v>34</v>
      </c>
      <c r="B930" s="553"/>
      <c r="C930" s="644"/>
      <c r="D930" s="342" t="s">
        <v>1207</v>
      </c>
      <c r="E930" s="90">
        <v>1000</v>
      </c>
      <c r="F930" s="90" t="s">
        <v>1169</v>
      </c>
      <c r="G930" s="90">
        <v>0.02</v>
      </c>
      <c r="H930" s="123"/>
      <c r="I930" s="339" t="s">
        <v>150</v>
      </c>
      <c r="J930" s="336" t="s">
        <v>17</v>
      </c>
      <c r="K930" s="336" t="s">
        <v>17</v>
      </c>
      <c r="L930" s="336" t="s">
        <v>160</v>
      </c>
      <c r="M930" s="637"/>
      <c r="N930" s="336" t="s">
        <v>17</v>
      </c>
      <c r="O930" s="336" t="s">
        <v>17</v>
      </c>
      <c r="P930" s="89" t="s">
        <v>17</v>
      </c>
    </row>
    <row r="931" spans="1:16" ht="90">
      <c r="A931" s="336">
        <v>35</v>
      </c>
      <c r="B931" s="553"/>
      <c r="C931" s="644"/>
      <c r="D931" s="342" t="s">
        <v>1208</v>
      </c>
      <c r="E931" s="90">
        <v>660</v>
      </c>
      <c r="F931" s="90" t="s">
        <v>1169</v>
      </c>
      <c r="G931" s="90">
        <v>0.01</v>
      </c>
      <c r="H931" s="123"/>
      <c r="I931" s="339" t="s">
        <v>150</v>
      </c>
      <c r="J931" s="336" t="s">
        <v>17</v>
      </c>
      <c r="K931" s="336" t="s">
        <v>17</v>
      </c>
      <c r="L931" s="336" t="s">
        <v>160</v>
      </c>
      <c r="M931" s="637"/>
      <c r="N931" s="336" t="s">
        <v>17</v>
      </c>
      <c r="O931" s="336" t="s">
        <v>17</v>
      </c>
      <c r="P931" s="89" t="s">
        <v>17</v>
      </c>
    </row>
    <row r="932" spans="1:16" ht="108" customHeight="1">
      <c r="A932" s="104">
        <v>36</v>
      </c>
      <c r="B932" s="553"/>
      <c r="C932" s="644"/>
      <c r="D932" s="342" t="s">
        <v>1209</v>
      </c>
      <c r="E932" s="90">
        <v>2400</v>
      </c>
      <c r="F932" s="90" t="s">
        <v>1169</v>
      </c>
      <c r="G932" s="90">
        <v>0.05</v>
      </c>
      <c r="H932" s="123"/>
      <c r="I932" s="339" t="s">
        <v>150</v>
      </c>
      <c r="J932" s="336" t="s">
        <v>17</v>
      </c>
      <c r="K932" s="336" t="s">
        <v>17</v>
      </c>
      <c r="L932" s="336" t="s">
        <v>160</v>
      </c>
      <c r="M932" s="637"/>
      <c r="N932" s="336" t="s">
        <v>17</v>
      </c>
      <c r="O932" s="336" t="s">
        <v>17</v>
      </c>
      <c r="P932" s="89" t="s">
        <v>17</v>
      </c>
    </row>
    <row r="933" spans="1:16" ht="90">
      <c r="A933" s="336">
        <v>37</v>
      </c>
      <c r="B933" s="553"/>
      <c r="C933" s="644"/>
      <c r="D933" s="342" t="s">
        <v>1210</v>
      </c>
      <c r="E933" s="90">
        <v>1470</v>
      </c>
      <c r="F933" s="90" t="s">
        <v>1169</v>
      </c>
      <c r="G933" s="90">
        <v>0.23</v>
      </c>
      <c r="H933" s="123"/>
      <c r="I933" s="339" t="s">
        <v>150</v>
      </c>
      <c r="J933" s="336" t="s">
        <v>17</v>
      </c>
      <c r="K933" s="336" t="s">
        <v>17</v>
      </c>
      <c r="L933" s="336" t="s">
        <v>160</v>
      </c>
      <c r="M933" s="637" t="s">
        <v>1205</v>
      </c>
      <c r="N933" s="336" t="s">
        <v>17</v>
      </c>
      <c r="O933" s="336" t="s">
        <v>17</v>
      </c>
      <c r="P933" s="89" t="s">
        <v>17</v>
      </c>
    </row>
    <row r="934" spans="1:16" ht="90">
      <c r="A934" s="104">
        <v>38</v>
      </c>
      <c r="B934" s="553"/>
      <c r="C934" s="644"/>
      <c r="D934" s="342" t="s">
        <v>1211</v>
      </c>
      <c r="E934" s="90">
        <v>180</v>
      </c>
      <c r="F934" s="90" t="s">
        <v>1169</v>
      </c>
      <c r="G934" s="90">
        <v>0.03</v>
      </c>
      <c r="H934" s="123"/>
      <c r="I934" s="339" t="s">
        <v>150</v>
      </c>
      <c r="J934" s="336" t="s">
        <v>17</v>
      </c>
      <c r="K934" s="336" t="s">
        <v>17</v>
      </c>
      <c r="L934" s="336" t="s">
        <v>160</v>
      </c>
      <c r="M934" s="637"/>
      <c r="N934" s="336" t="s">
        <v>17</v>
      </c>
      <c r="O934" s="336" t="s">
        <v>17</v>
      </c>
      <c r="P934" s="89" t="s">
        <v>17</v>
      </c>
    </row>
    <row r="935" spans="1:16" ht="90">
      <c r="A935" s="336">
        <v>39</v>
      </c>
      <c r="B935" s="553"/>
      <c r="C935" s="644"/>
      <c r="D935" s="342" t="s">
        <v>1212</v>
      </c>
      <c r="E935" s="90">
        <v>400</v>
      </c>
      <c r="F935" s="90" t="s">
        <v>1169</v>
      </c>
      <c r="G935" s="90">
        <v>0.06</v>
      </c>
      <c r="H935" s="123"/>
      <c r="I935" s="339" t="s">
        <v>150</v>
      </c>
      <c r="J935" s="336" t="s">
        <v>17</v>
      </c>
      <c r="K935" s="336" t="s">
        <v>17</v>
      </c>
      <c r="L935" s="336" t="s">
        <v>160</v>
      </c>
      <c r="M935" s="637"/>
      <c r="N935" s="336" t="s">
        <v>17</v>
      </c>
      <c r="O935" s="336" t="s">
        <v>17</v>
      </c>
      <c r="P935" s="89" t="s">
        <v>17</v>
      </c>
    </row>
    <row r="936" spans="1:16" ht="90">
      <c r="A936" s="104">
        <v>40</v>
      </c>
      <c r="B936" s="553"/>
      <c r="C936" s="644"/>
      <c r="D936" s="342" t="s">
        <v>1213</v>
      </c>
      <c r="E936" s="90">
        <v>2200</v>
      </c>
      <c r="F936" s="90" t="s">
        <v>1169</v>
      </c>
      <c r="G936" s="90">
        <v>0.31</v>
      </c>
      <c r="H936" s="123"/>
      <c r="I936" s="339" t="s">
        <v>150</v>
      </c>
      <c r="J936" s="336" t="s">
        <v>17</v>
      </c>
      <c r="K936" s="336" t="s">
        <v>17</v>
      </c>
      <c r="L936" s="336" t="s">
        <v>160</v>
      </c>
      <c r="M936" s="637"/>
      <c r="N936" s="336" t="s">
        <v>17</v>
      </c>
      <c r="O936" s="336" t="s">
        <v>17</v>
      </c>
      <c r="P936" s="89" t="s">
        <v>17</v>
      </c>
    </row>
    <row r="937" spans="1:16" ht="103.5" customHeight="1">
      <c r="A937" s="336">
        <v>41</v>
      </c>
      <c r="B937" s="553"/>
      <c r="C937" s="644"/>
      <c r="D937" s="342" t="s">
        <v>1214</v>
      </c>
      <c r="E937" s="90">
        <v>847</v>
      </c>
      <c r="F937" s="90" t="s">
        <v>1169</v>
      </c>
      <c r="G937" s="90">
        <v>0.12</v>
      </c>
      <c r="H937" s="123"/>
      <c r="I937" s="339" t="s">
        <v>150</v>
      </c>
      <c r="J937" s="336" t="s">
        <v>17</v>
      </c>
      <c r="K937" s="336" t="s">
        <v>17</v>
      </c>
      <c r="L937" s="336" t="s">
        <v>160</v>
      </c>
      <c r="M937" s="637"/>
      <c r="N937" s="336" t="s">
        <v>17</v>
      </c>
      <c r="O937" s="336" t="s">
        <v>17</v>
      </c>
      <c r="P937" s="89" t="s">
        <v>17</v>
      </c>
    </row>
    <row r="938" spans="1:16" ht="105" customHeight="1">
      <c r="A938" s="104">
        <v>42</v>
      </c>
      <c r="B938" s="553"/>
      <c r="C938" s="644"/>
      <c r="D938" s="342" t="s">
        <v>1215</v>
      </c>
      <c r="E938" s="90">
        <v>1500</v>
      </c>
      <c r="F938" s="90" t="s">
        <v>1169</v>
      </c>
      <c r="G938" s="90">
        <v>0.03</v>
      </c>
      <c r="H938" s="123"/>
      <c r="I938" s="339" t="s">
        <v>150</v>
      </c>
      <c r="J938" s="336" t="s">
        <v>17</v>
      </c>
      <c r="K938" s="336" t="s">
        <v>17</v>
      </c>
      <c r="L938" s="336" t="s">
        <v>160</v>
      </c>
      <c r="M938" s="637"/>
      <c r="N938" s="336" t="s">
        <v>17</v>
      </c>
      <c r="O938" s="336" t="s">
        <v>17</v>
      </c>
      <c r="P938" s="89" t="s">
        <v>17</v>
      </c>
    </row>
    <row r="939" spans="1:16" ht="30">
      <c r="A939" s="336">
        <v>43</v>
      </c>
      <c r="B939" s="553"/>
      <c r="C939" s="644"/>
      <c r="D939" s="342" t="s">
        <v>1216</v>
      </c>
      <c r="E939" s="90">
        <v>200</v>
      </c>
      <c r="F939" s="90" t="s">
        <v>1217</v>
      </c>
      <c r="G939" s="90">
        <v>2.3E-3</v>
      </c>
      <c r="H939" s="123"/>
      <c r="I939" s="339" t="s">
        <v>150</v>
      </c>
      <c r="J939" s="336" t="s">
        <v>17</v>
      </c>
      <c r="K939" s="336" t="s">
        <v>17</v>
      </c>
      <c r="L939" s="336" t="s">
        <v>160</v>
      </c>
      <c r="M939" s="637" t="s">
        <v>1205</v>
      </c>
      <c r="N939" s="336" t="s">
        <v>17</v>
      </c>
      <c r="O939" s="336" t="s">
        <v>17</v>
      </c>
      <c r="P939" s="89" t="s">
        <v>17</v>
      </c>
    </row>
    <row r="940" spans="1:16" ht="106.5" customHeight="1">
      <c r="A940" s="104">
        <v>44</v>
      </c>
      <c r="B940" s="553"/>
      <c r="C940" s="644"/>
      <c r="D940" s="342" t="s">
        <v>1218</v>
      </c>
      <c r="E940" s="90">
        <v>630</v>
      </c>
      <c r="F940" s="90" t="s">
        <v>1169</v>
      </c>
      <c r="G940" s="90">
        <v>7.1999999999999998E-3</v>
      </c>
      <c r="H940" s="123"/>
      <c r="I940" s="339" t="s">
        <v>150</v>
      </c>
      <c r="J940" s="336" t="s">
        <v>17</v>
      </c>
      <c r="K940" s="336" t="s">
        <v>17</v>
      </c>
      <c r="L940" s="336" t="s">
        <v>160</v>
      </c>
      <c r="M940" s="637"/>
      <c r="N940" s="336" t="s">
        <v>17</v>
      </c>
      <c r="O940" s="336" t="s">
        <v>17</v>
      </c>
      <c r="P940" s="89" t="s">
        <v>17</v>
      </c>
    </row>
    <row r="941" spans="1:16" ht="106.5" customHeight="1">
      <c r="A941" s="336">
        <v>45</v>
      </c>
      <c r="B941" s="553"/>
      <c r="C941" s="644"/>
      <c r="D941" s="342" t="s">
        <v>1219</v>
      </c>
      <c r="E941" s="90">
        <v>150</v>
      </c>
      <c r="F941" s="90" t="s">
        <v>1169</v>
      </c>
      <c r="G941" s="90">
        <v>1.6999999999999999E-3</v>
      </c>
      <c r="H941" s="123"/>
      <c r="I941" s="339" t="s">
        <v>150</v>
      </c>
      <c r="J941" s="336" t="s">
        <v>17</v>
      </c>
      <c r="K941" s="336" t="s">
        <v>17</v>
      </c>
      <c r="L941" s="336" t="s">
        <v>160</v>
      </c>
      <c r="M941" s="637"/>
      <c r="N941" s="336" t="s">
        <v>17</v>
      </c>
      <c r="O941" s="336" t="s">
        <v>17</v>
      </c>
      <c r="P941" s="89" t="s">
        <v>17</v>
      </c>
    </row>
    <row r="942" spans="1:16" ht="107.25" customHeight="1">
      <c r="A942" s="104">
        <v>46</v>
      </c>
      <c r="B942" s="553"/>
      <c r="C942" s="644"/>
      <c r="D942" s="342" t="s">
        <v>1220</v>
      </c>
      <c r="E942" s="90">
        <v>50</v>
      </c>
      <c r="F942" s="90" t="s">
        <v>1169</v>
      </c>
      <c r="G942" s="90">
        <v>5.0000000000000001E-4</v>
      </c>
      <c r="H942" s="123"/>
      <c r="I942" s="339" t="s">
        <v>150</v>
      </c>
      <c r="J942" s="336" t="s">
        <v>17</v>
      </c>
      <c r="K942" s="336" t="s">
        <v>17</v>
      </c>
      <c r="L942" s="336" t="s">
        <v>160</v>
      </c>
      <c r="M942" s="637"/>
      <c r="N942" s="336" t="s">
        <v>17</v>
      </c>
      <c r="O942" s="336" t="s">
        <v>17</v>
      </c>
      <c r="P942" s="89" t="s">
        <v>17</v>
      </c>
    </row>
    <row r="943" spans="1:16" ht="108.75" customHeight="1">
      <c r="A943" s="336">
        <v>47</v>
      </c>
      <c r="B943" s="553"/>
      <c r="C943" s="644"/>
      <c r="D943" s="342" t="s">
        <v>1221</v>
      </c>
      <c r="E943" s="90">
        <v>480</v>
      </c>
      <c r="F943" s="90" t="s">
        <v>1169</v>
      </c>
      <c r="G943" s="90">
        <v>0.01</v>
      </c>
      <c r="H943" s="123"/>
      <c r="I943" s="339" t="s">
        <v>150</v>
      </c>
      <c r="J943" s="336" t="s">
        <v>17</v>
      </c>
      <c r="K943" s="336" t="s">
        <v>17</v>
      </c>
      <c r="L943" s="336" t="s">
        <v>160</v>
      </c>
      <c r="M943" s="637"/>
      <c r="N943" s="336" t="s">
        <v>17</v>
      </c>
      <c r="O943" s="336" t="s">
        <v>17</v>
      </c>
      <c r="P943" s="89" t="s">
        <v>17</v>
      </c>
    </row>
    <row r="944" spans="1:16" ht="105" customHeight="1">
      <c r="A944" s="104">
        <v>48</v>
      </c>
      <c r="B944" s="553"/>
      <c r="C944" s="644"/>
      <c r="D944" s="342" t="s">
        <v>1222</v>
      </c>
      <c r="E944" s="90">
        <v>100</v>
      </c>
      <c r="F944" s="90" t="s">
        <v>1169</v>
      </c>
      <c r="G944" s="90">
        <v>2E-3</v>
      </c>
      <c r="H944" s="123"/>
      <c r="I944" s="339" t="s">
        <v>150</v>
      </c>
      <c r="J944" s="336" t="s">
        <v>17</v>
      </c>
      <c r="K944" s="336" t="s">
        <v>17</v>
      </c>
      <c r="L944" s="336" t="s">
        <v>160</v>
      </c>
      <c r="M944" s="637"/>
      <c r="N944" s="336" t="s">
        <v>17</v>
      </c>
      <c r="O944" s="336" t="s">
        <v>17</v>
      </c>
      <c r="P944" s="89" t="s">
        <v>17</v>
      </c>
    </row>
    <row r="945" spans="1:16" ht="105" customHeight="1">
      <c r="A945" s="336">
        <v>49</v>
      </c>
      <c r="B945" s="553"/>
      <c r="C945" s="644"/>
      <c r="D945" s="342" t="s">
        <v>1223</v>
      </c>
      <c r="E945" s="90">
        <v>780</v>
      </c>
      <c r="F945" s="90" t="s">
        <v>1169</v>
      </c>
      <c r="G945" s="90" t="s">
        <v>35</v>
      </c>
      <c r="H945" s="123"/>
      <c r="I945" s="339" t="s">
        <v>150</v>
      </c>
      <c r="J945" s="336" t="s">
        <v>17</v>
      </c>
      <c r="K945" s="336" t="s">
        <v>17</v>
      </c>
      <c r="L945" s="336" t="s">
        <v>160</v>
      </c>
      <c r="M945" s="637" t="s">
        <v>1205</v>
      </c>
      <c r="N945" s="336" t="s">
        <v>17</v>
      </c>
      <c r="O945" s="336" t="s">
        <v>17</v>
      </c>
      <c r="P945" s="89" t="s">
        <v>17</v>
      </c>
    </row>
    <row r="946" spans="1:16" ht="90">
      <c r="A946" s="104">
        <v>50</v>
      </c>
      <c r="B946" s="553"/>
      <c r="C946" s="644"/>
      <c r="D946" s="342" t="s">
        <v>1224</v>
      </c>
      <c r="E946" s="90">
        <v>80</v>
      </c>
      <c r="F946" s="90" t="s">
        <v>1169</v>
      </c>
      <c r="G946" s="90">
        <v>0.06</v>
      </c>
      <c r="H946" s="123"/>
      <c r="I946" s="339" t="s">
        <v>150</v>
      </c>
      <c r="J946" s="336" t="s">
        <v>17</v>
      </c>
      <c r="K946" s="336" t="s">
        <v>17</v>
      </c>
      <c r="L946" s="336" t="s">
        <v>160</v>
      </c>
      <c r="M946" s="637"/>
      <c r="N946" s="336" t="s">
        <v>17</v>
      </c>
      <c r="O946" s="336" t="s">
        <v>17</v>
      </c>
      <c r="P946" s="89" t="s">
        <v>17</v>
      </c>
    </row>
    <row r="947" spans="1:16" ht="90">
      <c r="A947" s="336">
        <v>51</v>
      </c>
      <c r="B947" s="553"/>
      <c r="C947" s="644"/>
      <c r="D947" s="342" t="s">
        <v>1225</v>
      </c>
      <c r="E947" s="90">
        <v>7100</v>
      </c>
      <c r="F947" s="90" t="s">
        <v>1169</v>
      </c>
      <c r="G947" s="90">
        <v>7.0000000000000007E-2</v>
      </c>
      <c r="H947" s="123"/>
      <c r="I947" s="339" t="s">
        <v>150</v>
      </c>
      <c r="J947" s="336" t="s">
        <v>17</v>
      </c>
      <c r="K947" s="336" t="s">
        <v>17</v>
      </c>
      <c r="L947" s="336" t="s">
        <v>160</v>
      </c>
      <c r="M947" s="637"/>
      <c r="N947" s="336" t="s">
        <v>17</v>
      </c>
      <c r="O947" s="336" t="s">
        <v>17</v>
      </c>
      <c r="P947" s="89" t="s">
        <v>17</v>
      </c>
    </row>
    <row r="948" spans="1:16" ht="90">
      <c r="A948" s="104">
        <v>52</v>
      </c>
      <c r="B948" s="553"/>
      <c r="C948" s="644"/>
      <c r="D948" s="342" t="s">
        <v>1226</v>
      </c>
      <c r="E948" s="90">
        <v>100</v>
      </c>
      <c r="F948" s="90" t="s">
        <v>1169</v>
      </c>
      <c r="G948" s="90">
        <v>1E-3</v>
      </c>
      <c r="H948" s="123"/>
      <c r="I948" s="339" t="s">
        <v>150</v>
      </c>
      <c r="J948" s="336" t="s">
        <v>17</v>
      </c>
      <c r="K948" s="336" t="s">
        <v>17</v>
      </c>
      <c r="L948" s="336" t="s">
        <v>160</v>
      </c>
      <c r="M948" s="637" t="s">
        <v>1205</v>
      </c>
      <c r="N948" s="336" t="s">
        <v>17</v>
      </c>
      <c r="O948" s="336" t="s">
        <v>17</v>
      </c>
      <c r="P948" s="89" t="s">
        <v>17</v>
      </c>
    </row>
    <row r="949" spans="1:16" ht="90">
      <c r="A949" s="336">
        <v>53</v>
      </c>
      <c r="B949" s="553"/>
      <c r="C949" s="644"/>
      <c r="D949" s="342" t="s">
        <v>1227</v>
      </c>
      <c r="E949" s="90">
        <v>12</v>
      </c>
      <c r="F949" s="90" t="s">
        <v>1169</v>
      </c>
      <c r="G949" s="90">
        <v>1E-4</v>
      </c>
      <c r="H949" s="123"/>
      <c r="I949" s="339" t="s">
        <v>150</v>
      </c>
      <c r="J949" s="336" t="s">
        <v>17</v>
      </c>
      <c r="K949" s="336" t="s">
        <v>17</v>
      </c>
      <c r="L949" s="336" t="s">
        <v>160</v>
      </c>
      <c r="M949" s="637"/>
      <c r="N949" s="336" t="s">
        <v>17</v>
      </c>
      <c r="O949" s="336" t="s">
        <v>17</v>
      </c>
      <c r="P949" s="89" t="s">
        <v>17</v>
      </c>
    </row>
    <row r="950" spans="1:16" ht="90">
      <c r="A950" s="104">
        <v>54</v>
      </c>
      <c r="B950" s="553"/>
      <c r="C950" s="644"/>
      <c r="D950" s="342" t="s">
        <v>1228</v>
      </c>
      <c r="E950" s="90">
        <v>680</v>
      </c>
      <c r="F950" s="90" t="s">
        <v>1169</v>
      </c>
      <c r="G950" s="90">
        <v>1.4999999999999999E-2</v>
      </c>
      <c r="H950" s="123"/>
      <c r="I950" s="339" t="s">
        <v>150</v>
      </c>
      <c r="J950" s="336" t="s">
        <v>17</v>
      </c>
      <c r="K950" s="336" t="s">
        <v>17</v>
      </c>
      <c r="L950" s="336" t="s">
        <v>160</v>
      </c>
      <c r="M950" s="637"/>
      <c r="N950" s="336" t="s">
        <v>17</v>
      </c>
      <c r="O950" s="336" t="s">
        <v>17</v>
      </c>
      <c r="P950" s="89" t="s">
        <v>17</v>
      </c>
    </row>
    <row r="951" spans="1:16" ht="90">
      <c r="A951" s="336">
        <v>55</v>
      </c>
      <c r="B951" s="553"/>
      <c r="C951" s="644"/>
      <c r="D951" s="342" t="s">
        <v>1229</v>
      </c>
      <c r="E951" s="90">
        <v>700</v>
      </c>
      <c r="F951" s="90" t="s">
        <v>1169</v>
      </c>
      <c r="G951" s="90">
        <v>7.0000000000000001E-3</v>
      </c>
      <c r="H951" s="123"/>
      <c r="I951" s="339" t="s">
        <v>150</v>
      </c>
      <c r="J951" s="336" t="s">
        <v>17</v>
      </c>
      <c r="K951" s="336" t="s">
        <v>17</v>
      </c>
      <c r="L951" s="336" t="s">
        <v>160</v>
      </c>
      <c r="M951" s="637" t="s">
        <v>1205</v>
      </c>
      <c r="N951" s="336" t="s">
        <v>17</v>
      </c>
      <c r="O951" s="336" t="s">
        <v>17</v>
      </c>
      <c r="P951" s="89" t="s">
        <v>17</v>
      </c>
    </row>
    <row r="952" spans="1:16" ht="92.25" customHeight="1">
      <c r="A952" s="104">
        <v>56</v>
      </c>
      <c r="B952" s="553"/>
      <c r="C952" s="644"/>
      <c r="D952" s="342" t="s">
        <v>1230</v>
      </c>
      <c r="E952" s="90">
        <v>200</v>
      </c>
      <c r="F952" s="90" t="s">
        <v>1169</v>
      </c>
      <c r="G952" s="90">
        <v>2E-3</v>
      </c>
      <c r="H952" s="123"/>
      <c r="I952" s="339" t="s">
        <v>150</v>
      </c>
      <c r="J952" s="336" t="s">
        <v>17</v>
      </c>
      <c r="K952" s="336" t="s">
        <v>17</v>
      </c>
      <c r="L952" s="336" t="s">
        <v>160</v>
      </c>
      <c r="M952" s="637"/>
      <c r="N952" s="336" t="s">
        <v>17</v>
      </c>
      <c r="O952" s="336" t="s">
        <v>17</v>
      </c>
      <c r="P952" s="89" t="s">
        <v>17</v>
      </c>
    </row>
    <row r="953" spans="1:16" ht="90">
      <c r="A953" s="336">
        <v>57</v>
      </c>
      <c r="B953" s="553"/>
      <c r="C953" s="644"/>
      <c r="D953" s="342" t="s">
        <v>1231</v>
      </c>
      <c r="E953" s="90">
        <v>760</v>
      </c>
      <c r="F953" s="90" t="s">
        <v>1169</v>
      </c>
      <c r="G953" s="90">
        <v>8.0000000000000002E-3</v>
      </c>
      <c r="H953" s="123"/>
      <c r="I953" s="339" t="s">
        <v>150</v>
      </c>
      <c r="J953" s="336" t="s">
        <v>17</v>
      </c>
      <c r="K953" s="336" t="s">
        <v>17</v>
      </c>
      <c r="L953" s="336" t="s">
        <v>160</v>
      </c>
      <c r="M953" s="637"/>
      <c r="N953" s="336" t="s">
        <v>17</v>
      </c>
      <c r="O953" s="336" t="s">
        <v>17</v>
      </c>
      <c r="P953" s="89" t="s">
        <v>17</v>
      </c>
    </row>
    <row r="954" spans="1:16">
      <c r="A954" s="104">
        <v>58</v>
      </c>
      <c r="B954" s="553"/>
      <c r="C954" s="344" t="s">
        <v>1233</v>
      </c>
      <c r="D954" s="589" t="s">
        <v>87</v>
      </c>
      <c r="E954" s="589"/>
      <c r="F954" s="589"/>
      <c r="G954" s="589"/>
      <c r="H954" s="589"/>
      <c r="I954" s="589"/>
      <c r="J954" s="589"/>
      <c r="K954" s="589"/>
      <c r="L954" s="589"/>
      <c r="M954" s="589"/>
      <c r="N954" s="589"/>
      <c r="O954" s="589"/>
      <c r="P954" s="589"/>
    </row>
    <row r="955" spans="1:16">
      <c r="A955" s="607"/>
      <c r="B955" s="607"/>
      <c r="C955" s="607"/>
      <c r="D955" s="607"/>
      <c r="E955" s="607"/>
      <c r="F955" s="607"/>
      <c r="G955" s="607"/>
      <c r="H955" s="607"/>
      <c r="I955" s="607"/>
      <c r="J955" s="607"/>
      <c r="K955" s="607"/>
      <c r="L955" s="607"/>
      <c r="M955" s="607"/>
      <c r="N955" s="607"/>
      <c r="O955" s="607"/>
      <c r="P955" s="607"/>
    </row>
    <row r="956" spans="1:16" ht="20.25" customHeight="1">
      <c r="A956" s="559" t="s">
        <v>88</v>
      </c>
      <c r="B956" s="559"/>
      <c r="C956" s="559"/>
      <c r="D956" s="559"/>
      <c r="E956" s="559"/>
      <c r="F956" s="559"/>
      <c r="G956" s="559"/>
      <c r="H956" s="559"/>
      <c r="I956" s="559"/>
      <c r="J956" s="559"/>
      <c r="K956" s="559"/>
      <c r="L956" s="559"/>
      <c r="M956" s="559"/>
      <c r="N956" s="559"/>
      <c r="O956" s="559"/>
      <c r="P956" s="321"/>
    </row>
    <row r="957" spans="1:16" ht="85.5">
      <c r="A957" s="46" t="s">
        <v>0</v>
      </c>
      <c r="B957" s="46" t="s">
        <v>2582</v>
      </c>
      <c r="C957" s="46" t="s">
        <v>1</v>
      </c>
      <c r="D957" s="46" t="s">
        <v>2596</v>
      </c>
      <c r="E957" s="67" t="s">
        <v>62</v>
      </c>
      <c r="F957" s="67" t="s">
        <v>63</v>
      </c>
      <c r="G957" s="46" t="s">
        <v>2560</v>
      </c>
      <c r="H957" s="46" t="s">
        <v>2561</v>
      </c>
      <c r="I957" s="46" t="s">
        <v>2583</v>
      </c>
      <c r="J957" s="46" t="s">
        <v>5</v>
      </c>
      <c r="K957" s="46" t="s">
        <v>6</v>
      </c>
      <c r="L957" s="46" t="s">
        <v>66</v>
      </c>
      <c r="M957" s="46" t="s">
        <v>67</v>
      </c>
      <c r="N957" s="67" t="s">
        <v>68</v>
      </c>
      <c r="O957" s="74" t="s">
        <v>69</v>
      </c>
      <c r="P957" s="322"/>
    </row>
    <row r="958" spans="1:16" ht="15" customHeight="1">
      <c r="A958" s="345">
        <v>1</v>
      </c>
      <c r="B958" s="79">
        <v>2</v>
      </c>
      <c r="C958" s="79">
        <v>3</v>
      </c>
      <c r="D958" s="79">
        <v>4</v>
      </c>
      <c r="E958" s="79">
        <v>5</v>
      </c>
      <c r="F958" s="79">
        <v>6</v>
      </c>
      <c r="G958" s="79">
        <v>7</v>
      </c>
      <c r="H958" s="79">
        <v>8</v>
      </c>
      <c r="I958" s="79">
        <v>9</v>
      </c>
      <c r="J958" s="79">
        <v>10</v>
      </c>
      <c r="K958" s="79">
        <v>11</v>
      </c>
      <c r="L958" s="79">
        <v>12</v>
      </c>
      <c r="M958" s="79">
        <v>13</v>
      </c>
      <c r="N958" s="79">
        <v>14</v>
      </c>
      <c r="O958" s="79">
        <v>15</v>
      </c>
      <c r="P958" s="322"/>
    </row>
    <row r="959" spans="1:16" ht="45.75" customHeight="1">
      <c r="A959" s="336">
        <v>1</v>
      </c>
      <c r="B959" s="565" t="s">
        <v>2619</v>
      </c>
      <c r="C959" s="565" t="s">
        <v>1234</v>
      </c>
      <c r="D959" s="344" t="s">
        <v>7010</v>
      </c>
      <c r="E959" s="435">
        <v>30445</v>
      </c>
      <c r="F959" s="336" t="s">
        <v>1235</v>
      </c>
      <c r="G959" s="336">
        <v>10.67</v>
      </c>
      <c r="H959" s="336" t="s">
        <v>17</v>
      </c>
      <c r="I959" s="336" t="s">
        <v>150</v>
      </c>
      <c r="J959" s="336" t="s">
        <v>748</v>
      </c>
      <c r="K959" s="336" t="s">
        <v>748</v>
      </c>
      <c r="L959" s="339" t="s">
        <v>1236</v>
      </c>
      <c r="M959" s="336" t="s">
        <v>17</v>
      </c>
      <c r="N959" s="336" t="s">
        <v>17</v>
      </c>
      <c r="O959" s="336"/>
      <c r="P959" s="587"/>
    </row>
    <row r="960" spans="1:16" ht="60">
      <c r="A960" s="336">
        <v>2</v>
      </c>
      <c r="B960" s="566"/>
      <c r="C960" s="636"/>
      <c r="D960" s="344" t="s">
        <v>1237</v>
      </c>
      <c r="E960" s="336">
        <v>6310</v>
      </c>
      <c r="F960" s="336" t="s">
        <v>1238</v>
      </c>
      <c r="G960" s="336">
        <v>1.91</v>
      </c>
      <c r="H960" s="336" t="s">
        <v>17</v>
      </c>
      <c r="I960" s="336" t="s">
        <v>150</v>
      </c>
      <c r="J960" s="336" t="s">
        <v>748</v>
      </c>
      <c r="K960" s="336" t="s">
        <v>748</v>
      </c>
      <c r="L960" s="336" t="s">
        <v>17</v>
      </c>
      <c r="M960" s="336" t="s">
        <v>17</v>
      </c>
      <c r="N960" s="336" t="s">
        <v>17</v>
      </c>
      <c r="O960" s="336"/>
      <c r="P960" s="587"/>
    </row>
    <row r="961" spans="1:16" ht="60">
      <c r="A961" s="336">
        <v>3</v>
      </c>
      <c r="B961" s="566"/>
      <c r="C961" s="565" t="s">
        <v>2495</v>
      </c>
      <c r="D961" s="436" t="s">
        <v>2498</v>
      </c>
      <c r="E961" s="216" t="s">
        <v>2227</v>
      </c>
      <c r="F961" s="216">
        <v>1990</v>
      </c>
      <c r="G961" s="216" t="s">
        <v>1307</v>
      </c>
      <c r="H961" s="216" t="s">
        <v>465</v>
      </c>
      <c r="I961" s="216" t="s">
        <v>150</v>
      </c>
      <c r="J961" s="216" t="s">
        <v>193</v>
      </c>
      <c r="K961" s="216" t="s">
        <v>26</v>
      </c>
      <c r="L961" s="216" t="s">
        <v>26</v>
      </c>
      <c r="M961" s="105" t="s">
        <v>454</v>
      </c>
      <c r="N961" s="104" t="s">
        <v>17</v>
      </c>
      <c r="O961" s="437" t="s">
        <v>2228</v>
      </c>
      <c r="P961" s="587"/>
    </row>
    <row r="962" spans="1:16" ht="45">
      <c r="A962" s="336">
        <v>4</v>
      </c>
      <c r="B962" s="566"/>
      <c r="C962" s="566"/>
      <c r="D962" s="122" t="s">
        <v>2499</v>
      </c>
      <c r="E962" s="216" t="s">
        <v>2230</v>
      </c>
      <c r="F962" s="216">
        <v>1988</v>
      </c>
      <c r="G962" s="216" t="s">
        <v>2231</v>
      </c>
      <c r="H962" s="216" t="s">
        <v>465</v>
      </c>
      <c r="I962" s="216" t="s">
        <v>150</v>
      </c>
      <c r="J962" s="216" t="s">
        <v>193</v>
      </c>
      <c r="K962" s="216" t="s">
        <v>26</v>
      </c>
      <c r="L962" s="216" t="s">
        <v>26</v>
      </c>
      <c r="M962" s="105" t="s">
        <v>454</v>
      </c>
      <c r="N962" s="104" t="s">
        <v>17</v>
      </c>
      <c r="O962" s="438"/>
      <c r="P962" s="587"/>
    </row>
    <row r="963" spans="1:16" ht="60">
      <c r="A963" s="336">
        <v>5</v>
      </c>
      <c r="B963" s="566"/>
      <c r="C963" s="567"/>
      <c r="D963" s="439" t="s">
        <v>2496</v>
      </c>
      <c r="E963" s="440">
        <v>2452.64</v>
      </c>
      <c r="F963" s="107" t="s">
        <v>454</v>
      </c>
      <c r="G963" s="107" t="s">
        <v>454</v>
      </c>
      <c r="H963" s="107" t="s">
        <v>454</v>
      </c>
      <c r="I963" s="107" t="s">
        <v>454</v>
      </c>
      <c r="J963" s="107" t="s">
        <v>454</v>
      </c>
      <c r="K963" s="107" t="s">
        <v>454</v>
      </c>
      <c r="L963" s="107" t="s">
        <v>454</v>
      </c>
      <c r="M963" s="107" t="s">
        <v>454</v>
      </c>
      <c r="N963" s="107" t="s">
        <v>454</v>
      </c>
      <c r="O963" s="437" t="s">
        <v>2497</v>
      </c>
      <c r="P963" s="587"/>
    </row>
    <row r="964" spans="1:16" ht="33.75" customHeight="1">
      <c r="A964" s="336">
        <v>6</v>
      </c>
      <c r="B964" s="566"/>
      <c r="C964" s="50" t="s">
        <v>1137</v>
      </c>
      <c r="D964" s="344" t="s">
        <v>1239</v>
      </c>
      <c r="E964" s="336">
        <v>861.98</v>
      </c>
      <c r="F964" s="336">
        <v>1996</v>
      </c>
      <c r="G964" s="336">
        <v>5.1999999999999998E-2</v>
      </c>
      <c r="H964" s="336">
        <v>2.3199999999999998</v>
      </c>
      <c r="I964" s="336" t="s">
        <v>1240</v>
      </c>
      <c r="J964" s="336" t="s">
        <v>87</v>
      </c>
      <c r="K964" s="336" t="s">
        <v>87</v>
      </c>
      <c r="L964" s="336" t="s">
        <v>87</v>
      </c>
      <c r="M964" s="336"/>
      <c r="N964" s="336"/>
      <c r="O964" s="336"/>
      <c r="P964" s="587"/>
    </row>
    <row r="965" spans="1:16" ht="47.25" customHeight="1">
      <c r="A965" s="336">
        <v>7</v>
      </c>
      <c r="B965" s="566"/>
      <c r="C965" s="616" t="s">
        <v>1147</v>
      </c>
      <c r="D965" s="116" t="s">
        <v>1241</v>
      </c>
      <c r="E965" s="216" t="s">
        <v>1242</v>
      </c>
      <c r="F965" s="216" t="s">
        <v>1243</v>
      </c>
      <c r="G965" s="216" t="s">
        <v>274</v>
      </c>
      <c r="H965" s="216" t="s">
        <v>1244</v>
      </c>
      <c r="I965" s="216" t="s">
        <v>150</v>
      </c>
      <c r="J965" s="216" t="s">
        <v>193</v>
      </c>
      <c r="K965" s="216" t="s">
        <v>26</v>
      </c>
      <c r="L965" s="216" t="s">
        <v>26</v>
      </c>
      <c r="M965" s="105" t="s">
        <v>454</v>
      </c>
      <c r="N965" s="104">
        <v>1</v>
      </c>
      <c r="O965" s="216"/>
      <c r="P965" s="587"/>
    </row>
    <row r="966" spans="1:16" ht="60">
      <c r="A966" s="336">
        <v>8</v>
      </c>
      <c r="B966" s="566"/>
      <c r="C966" s="616"/>
      <c r="D966" s="116" t="s">
        <v>1245</v>
      </c>
      <c r="E966" s="216" t="s">
        <v>1246</v>
      </c>
      <c r="F966" s="216" t="s">
        <v>1247</v>
      </c>
      <c r="G966" s="216" t="s">
        <v>274</v>
      </c>
      <c r="H966" s="216" t="s">
        <v>1244</v>
      </c>
      <c r="I966" s="216" t="s">
        <v>150</v>
      </c>
      <c r="J966" s="216" t="s">
        <v>193</v>
      </c>
      <c r="K966" s="216" t="s">
        <v>26</v>
      </c>
      <c r="L966" s="216" t="s">
        <v>26</v>
      </c>
      <c r="M966" s="105" t="s">
        <v>454</v>
      </c>
      <c r="N966" s="104">
        <v>2</v>
      </c>
      <c r="O966" s="437" t="s">
        <v>1248</v>
      </c>
      <c r="P966" s="587"/>
    </row>
    <row r="967" spans="1:16" ht="30">
      <c r="A967" s="336">
        <v>9</v>
      </c>
      <c r="B967" s="566"/>
      <c r="C967" s="616"/>
      <c r="D967" s="116" t="s">
        <v>1249</v>
      </c>
      <c r="E967" s="216" t="s">
        <v>1250</v>
      </c>
      <c r="F967" s="216" t="s">
        <v>1247</v>
      </c>
      <c r="G967" s="216" t="s">
        <v>1251</v>
      </c>
      <c r="H967" s="216" t="s">
        <v>1252</v>
      </c>
      <c r="I967" s="216" t="s">
        <v>150</v>
      </c>
      <c r="J967" s="216" t="s">
        <v>193</v>
      </c>
      <c r="K967" s="216" t="s">
        <v>26</v>
      </c>
      <c r="L967" s="216" t="s">
        <v>26</v>
      </c>
      <c r="M967" s="103" t="s">
        <v>454</v>
      </c>
      <c r="N967" s="216">
        <v>3</v>
      </c>
      <c r="O967" s="437" t="s">
        <v>1248</v>
      </c>
      <c r="P967" s="587"/>
    </row>
    <row r="968" spans="1:16" ht="45">
      <c r="A968" s="336">
        <v>10</v>
      </c>
      <c r="B968" s="567"/>
      <c r="C968" s="616"/>
      <c r="D968" s="116" t="s">
        <v>1253</v>
      </c>
      <c r="E968" s="216" t="s">
        <v>1254</v>
      </c>
      <c r="F968" s="104" t="s">
        <v>1247</v>
      </c>
      <c r="G968" s="216" t="s">
        <v>1255</v>
      </c>
      <c r="H968" s="216" t="s">
        <v>1256</v>
      </c>
      <c r="I968" s="104" t="s">
        <v>150</v>
      </c>
      <c r="J968" s="104" t="s">
        <v>193</v>
      </c>
      <c r="K968" s="104" t="s">
        <v>26</v>
      </c>
      <c r="L968" s="104" t="s">
        <v>26</v>
      </c>
      <c r="M968" s="105" t="s">
        <v>454</v>
      </c>
      <c r="N968" s="104">
        <v>4</v>
      </c>
      <c r="O968" s="437" t="s">
        <v>1248</v>
      </c>
      <c r="P968" s="587"/>
    </row>
    <row r="969" spans="1:16" ht="15" customHeight="1">
      <c r="A969" s="441"/>
      <c r="B969" s="442" t="s">
        <v>363</v>
      </c>
      <c r="C969" s="638" t="s">
        <v>2500</v>
      </c>
      <c r="D969" s="638"/>
      <c r="E969" s="638"/>
      <c r="F969" s="638"/>
      <c r="G969" s="638"/>
      <c r="H969" s="638"/>
      <c r="I969" s="638"/>
      <c r="J969" s="638"/>
      <c r="K969" s="638"/>
      <c r="L969" s="638"/>
      <c r="M969" s="638"/>
      <c r="N969" s="638"/>
      <c r="O969" s="638"/>
      <c r="P969" s="587"/>
    </row>
    <row r="970" spans="1:16" ht="30">
      <c r="A970" s="110">
        <v>11</v>
      </c>
      <c r="B970" s="639" t="s">
        <v>2619</v>
      </c>
      <c r="C970" s="639" t="s">
        <v>1153</v>
      </c>
      <c r="D970" s="342" t="s">
        <v>1257</v>
      </c>
      <c r="E970" s="89" t="s">
        <v>1258</v>
      </c>
      <c r="F970" s="89" t="s">
        <v>1259</v>
      </c>
      <c r="G970" s="89" t="s">
        <v>17</v>
      </c>
      <c r="H970" s="89" t="s">
        <v>17</v>
      </c>
      <c r="I970" s="89" t="s">
        <v>1260</v>
      </c>
      <c r="J970" s="89" t="s">
        <v>193</v>
      </c>
      <c r="K970" s="89" t="s">
        <v>193</v>
      </c>
      <c r="L970" s="89" t="s">
        <v>87</v>
      </c>
      <c r="M970" s="89" t="s">
        <v>87</v>
      </c>
      <c r="N970" s="89" t="s">
        <v>193</v>
      </c>
      <c r="O970" s="89"/>
      <c r="P970" s="587"/>
    </row>
    <row r="971" spans="1:16" ht="30">
      <c r="A971" s="110">
        <v>12</v>
      </c>
      <c r="B971" s="640"/>
      <c r="C971" s="640"/>
      <c r="D971" s="342" t="s">
        <v>1261</v>
      </c>
      <c r="E971" s="89" t="s">
        <v>1262</v>
      </c>
      <c r="F971" s="89" t="s">
        <v>35</v>
      </c>
      <c r="G971" s="89" t="s">
        <v>17</v>
      </c>
      <c r="H971" s="89" t="s">
        <v>17</v>
      </c>
      <c r="I971" s="89" t="s">
        <v>1260</v>
      </c>
      <c r="J971" s="89" t="s">
        <v>193</v>
      </c>
      <c r="K971" s="89" t="s">
        <v>193</v>
      </c>
      <c r="L971" s="89" t="s">
        <v>87</v>
      </c>
      <c r="M971" s="89" t="s">
        <v>87</v>
      </c>
      <c r="N971" s="89" t="s">
        <v>193</v>
      </c>
      <c r="O971" s="89"/>
      <c r="P971" s="587"/>
    </row>
    <row r="972" spans="1:16" ht="30.75" customHeight="1">
      <c r="A972" s="110">
        <v>13</v>
      </c>
      <c r="B972" s="640"/>
      <c r="C972" s="640"/>
      <c r="D972" s="342" t="s">
        <v>1263</v>
      </c>
      <c r="E972" s="89" t="s">
        <v>1264</v>
      </c>
      <c r="F972" s="89" t="s">
        <v>1265</v>
      </c>
      <c r="G972" s="89" t="s">
        <v>17</v>
      </c>
      <c r="H972" s="89" t="s">
        <v>17</v>
      </c>
      <c r="I972" s="89" t="s">
        <v>1260</v>
      </c>
      <c r="J972" s="89" t="s">
        <v>193</v>
      </c>
      <c r="K972" s="89" t="s">
        <v>193</v>
      </c>
      <c r="L972" s="89" t="s">
        <v>87</v>
      </c>
      <c r="M972" s="89" t="s">
        <v>87</v>
      </c>
      <c r="N972" s="89" t="s">
        <v>193</v>
      </c>
      <c r="O972" s="89"/>
      <c r="P972" s="587"/>
    </row>
    <row r="973" spans="1:16" ht="45.75" customHeight="1">
      <c r="A973" s="110">
        <v>14</v>
      </c>
      <c r="B973" s="640"/>
      <c r="C973" s="640"/>
      <c r="D973" s="342" t="s">
        <v>1266</v>
      </c>
      <c r="E973" s="89" t="s">
        <v>1258</v>
      </c>
      <c r="F973" s="89" t="s">
        <v>1267</v>
      </c>
      <c r="G973" s="89" t="s">
        <v>17</v>
      </c>
      <c r="H973" s="89" t="s">
        <v>17</v>
      </c>
      <c r="I973" s="89" t="s">
        <v>1260</v>
      </c>
      <c r="J973" s="89" t="s">
        <v>193</v>
      </c>
      <c r="K973" s="89" t="s">
        <v>193</v>
      </c>
      <c r="L973" s="89" t="s">
        <v>87</v>
      </c>
      <c r="M973" s="89" t="s">
        <v>87</v>
      </c>
      <c r="N973" s="89" t="s">
        <v>193</v>
      </c>
      <c r="O973" s="89"/>
      <c r="P973" s="587"/>
    </row>
    <row r="974" spans="1:16" ht="31.5" customHeight="1">
      <c r="A974" s="110">
        <v>15</v>
      </c>
      <c r="B974" s="640"/>
      <c r="C974" s="640"/>
      <c r="D974" s="342" t="s">
        <v>1268</v>
      </c>
      <c r="E974" s="89" t="s">
        <v>1269</v>
      </c>
      <c r="F974" s="89" t="s">
        <v>35</v>
      </c>
      <c r="G974" s="89" t="s">
        <v>17</v>
      </c>
      <c r="H974" s="89" t="s">
        <v>17</v>
      </c>
      <c r="I974" s="89" t="s">
        <v>1260</v>
      </c>
      <c r="J974" s="89" t="s">
        <v>193</v>
      </c>
      <c r="K974" s="89" t="s">
        <v>193</v>
      </c>
      <c r="L974" s="89" t="s">
        <v>87</v>
      </c>
      <c r="M974" s="89" t="s">
        <v>87</v>
      </c>
      <c r="N974" s="89" t="s">
        <v>193</v>
      </c>
      <c r="O974" s="89"/>
      <c r="P974" s="587"/>
    </row>
    <row r="975" spans="1:16" ht="30" customHeight="1">
      <c r="A975" s="110">
        <v>16</v>
      </c>
      <c r="B975" s="640"/>
      <c r="C975" s="640"/>
      <c r="D975" s="342" t="s">
        <v>1270</v>
      </c>
      <c r="E975" s="89">
        <v>800</v>
      </c>
      <c r="F975" s="89" t="s">
        <v>35</v>
      </c>
      <c r="G975" s="89" t="s">
        <v>17</v>
      </c>
      <c r="H975" s="89" t="s">
        <v>17</v>
      </c>
      <c r="I975" s="89" t="s">
        <v>1260</v>
      </c>
      <c r="J975" s="89" t="s">
        <v>193</v>
      </c>
      <c r="K975" s="89" t="s">
        <v>193</v>
      </c>
      <c r="L975" s="89" t="s">
        <v>87</v>
      </c>
      <c r="M975" s="89" t="s">
        <v>87</v>
      </c>
      <c r="N975" s="89" t="s">
        <v>193</v>
      </c>
      <c r="O975" s="89"/>
      <c r="P975" s="587"/>
    </row>
    <row r="976" spans="1:16" ht="45">
      <c r="A976" s="110">
        <v>17</v>
      </c>
      <c r="B976" s="640"/>
      <c r="C976" s="640"/>
      <c r="D976" s="342" t="s">
        <v>1271</v>
      </c>
      <c r="E976" s="89">
        <v>1349</v>
      </c>
      <c r="F976" s="89" t="s">
        <v>35</v>
      </c>
      <c r="G976" s="89" t="s">
        <v>17</v>
      </c>
      <c r="H976" s="89" t="s">
        <v>17</v>
      </c>
      <c r="I976" s="89" t="s">
        <v>1260</v>
      </c>
      <c r="J976" s="89" t="s">
        <v>193</v>
      </c>
      <c r="K976" s="89" t="s">
        <v>193</v>
      </c>
      <c r="L976" s="89" t="s">
        <v>87</v>
      </c>
      <c r="M976" s="89" t="s">
        <v>87</v>
      </c>
      <c r="N976" s="89" t="s">
        <v>193</v>
      </c>
      <c r="O976" s="89"/>
      <c r="P976" s="587"/>
    </row>
    <row r="977" spans="1:16" ht="30">
      <c r="A977" s="110">
        <v>18</v>
      </c>
      <c r="B977" s="640"/>
      <c r="C977" s="640"/>
      <c r="D977" s="342" t="s">
        <v>1272</v>
      </c>
      <c r="E977" s="89" t="s">
        <v>1273</v>
      </c>
      <c r="F977" s="89" t="s">
        <v>1167</v>
      </c>
      <c r="G977" s="89" t="s">
        <v>17</v>
      </c>
      <c r="H977" s="89" t="s">
        <v>17</v>
      </c>
      <c r="I977" s="89" t="s">
        <v>1260</v>
      </c>
      <c r="J977" s="89" t="s">
        <v>193</v>
      </c>
      <c r="K977" s="89" t="s">
        <v>193</v>
      </c>
      <c r="L977" s="89" t="s">
        <v>87</v>
      </c>
      <c r="M977" s="89" t="s">
        <v>87</v>
      </c>
      <c r="N977" s="89" t="s">
        <v>193</v>
      </c>
      <c r="O977" s="89"/>
      <c r="P977" s="587"/>
    </row>
    <row r="978" spans="1:16" ht="30">
      <c r="A978" s="110">
        <v>19</v>
      </c>
      <c r="B978" s="640"/>
      <c r="C978" s="640"/>
      <c r="D978" s="342" t="s">
        <v>1274</v>
      </c>
      <c r="E978" s="89" t="s">
        <v>1275</v>
      </c>
      <c r="F978" s="89" t="s">
        <v>1276</v>
      </c>
      <c r="G978" s="89" t="s">
        <v>17</v>
      </c>
      <c r="H978" s="89" t="s">
        <v>17</v>
      </c>
      <c r="I978" s="89" t="s">
        <v>1260</v>
      </c>
      <c r="J978" s="89" t="s">
        <v>193</v>
      </c>
      <c r="K978" s="89" t="s">
        <v>193</v>
      </c>
      <c r="L978" s="89" t="s">
        <v>87</v>
      </c>
      <c r="M978" s="89" t="s">
        <v>87</v>
      </c>
      <c r="N978" s="89" t="s">
        <v>193</v>
      </c>
      <c r="O978" s="89"/>
      <c r="P978" s="587"/>
    </row>
    <row r="979" spans="1:16" ht="45">
      <c r="A979" s="110">
        <v>20</v>
      </c>
      <c r="B979" s="640"/>
      <c r="C979" s="640"/>
      <c r="D979" s="341" t="s">
        <v>1277</v>
      </c>
      <c r="E979" s="93">
        <v>72</v>
      </c>
      <c r="F979" s="93" t="s">
        <v>1278</v>
      </c>
      <c r="G979" s="93" t="s">
        <v>17</v>
      </c>
      <c r="H979" s="93" t="s">
        <v>17</v>
      </c>
      <c r="I979" s="93" t="s">
        <v>1260</v>
      </c>
      <c r="J979" s="93" t="s">
        <v>17</v>
      </c>
      <c r="K979" s="93" t="s">
        <v>17</v>
      </c>
      <c r="L979" s="93" t="s">
        <v>87</v>
      </c>
      <c r="M979" s="93" t="s">
        <v>87</v>
      </c>
      <c r="N979" s="93" t="s">
        <v>193</v>
      </c>
      <c r="O979" s="89"/>
      <c r="P979" s="587"/>
    </row>
    <row r="980" spans="1:16" ht="33" customHeight="1">
      <c r="A980" s="110">
        <v>21</v>
      </c>
      <c r="B980" s="640"/>
      <c r="C980" s="640"/>
      <c r="D980" s="341" t="s">
        <v>1279</v>
      </c>
      <c r="E980" s="93">
        <v>200</v>
      </c>
      <c r="F980" s="93">
        <v>1869</v>
      </c>
      <c r="G980" s="93">
        <v>0.02</v>
      </c>
      <c r="H980" s="93" t="s">
        <v>1280</v>
      </c>
      <c r="I980" s="93" t="s">
        <v>261</v>
      </c>
      <c r="J980" s="93" t="s">
        <v>17</v>
      </c>
      <c r="K980" s="93" t="s">
        <v>17</v>
      </c>
      <c r="L980" s="93" t="s">
        <v>160</v>
      </c>
      <c r="M980" s="93" t="s">
        <v>17</v>
      </c>
      <c r="N980" s="93" t="s">
        <v>17</v>
      </c>
      <c r="O980" s="93" t="s">
        <v>17</v>
      </c>
      <c r="P980" s="587"/>
    </row>
    <row r="981" spans="1:16" ht="30">
      <c r="A981" s="110">
        <v>22</v>
      </c>
      <c r="B981" s="640"/>
      <c r="C981" s="640"/>
      <c r="D981" s="341" t="s">
        <v>1281</v>
      </c>
      <c r="E981" s="93">
        <v>177.75</v>
      </c>
      <c r="F981" s="93">
        <v>1929</v>
      </c>
      <c r="G981" s="93">
        <v>0.04</v>
      </c>
      <c r="H981" s="93" t="s">
        <v>1282</v>
      </c>
      <c r="I981" s="93" t="s">
        <v>261</v>
      </c>
      <c r="J981" s="93" t="s">
        <v>17</v>
      </c>
      <c r="K981" s="93" t="s">
        <v>17</v>
      </c>
      <c r="L981" s="93" t="s">
        <v>160</v>
      </c>
      <c r="M981" s="93" t="s">
        <v>17</v>
      </c>
      <c r="N981" s="93" t="s">
        <v>17</v>
      </c>
      <c r="O981" s="93" t="s">
        <v>17</v>
      </c>
      <c r="P981" s="587"/>
    </row>
    <row r="982" spans="1:16" ht="30">
      <c r="A982" s="110">
        <v>23</v>
      </c>
      <c r="B982" s="640"/>
      <c r="C982" s="640"/>
      <c r="D982" s="341" t="s">
        <v>1283</v>
      </c>
      <c r="E982" s="93">
        <v>210.22</v>
      </c>
      <c r="F982" s="93">
        <v>1882</v>
      </c>
      <c r="G982" s="93">
        <v>0.02</v>
      </c>
      <c r="H982" s="93" t="s">
        <v>1282</v>
      </c>
      <c r="I982" s="93" t="s">
        <v>261</v>
      </c>
      <c r="J982" s="93" t="s">
        <v>17</v>
      </c>
      <c r="K982" s="93" t="s">
        <v>17</v>
      </c>
      <c r="L982" s="93" t="s">
        <v>160</v>
      </c>
      <c r="M982" s="93" t="s">
        <v>17</v>
      </c>
      <c r="N982" s="93" t="s">
        <v>17</v>
      </c>
      <c r="O982" s="93" t="s">
        <v>17</v>
      </c>
      <c r="P982" s="587"/>
    </row>
    <row r="983" spans="1:16" ht="30">
      <c r="A983" s="110">
        <v>24</v>
      </c>
      <c r="B983" s="640"/>
      <c r="C983" s="640"/>
      <c r="D983" s="341" t="s">
        <v>1284</v>
      </c>
      <c r="E983" s="93">
        <v>141</v>
      </c>
      <c r="F983" s="93">
        <v>1920</v>
      </c>
      <c r="G983" s="93">
        <v>5.3E-3</v>
      </c>
      <c r="H983" s="93" t="s">
        <v>1282</v>
      </c>
      <c r="I983" s="93" t="s">
        <v>261</v>
      </c>
      <c r="J983" s="93" t="s">
        <v>17</v>
      </c>
      <c r="K983" s="93" t="s">
        <v>17</v>
      </c>
      <c r="L983" s="93" t="s">
        <v>160</v>
      </c>
      <c r="M983" s="93" t="s">
        <v>17</v>
      </c>
      <c r="N983" s="93" t="s">
        <v>17</v>
      </c>
      <c r="O983" s="93" t="s">
        <v>17</v>
      </c>
      <c r="P983" s="587"/>
    </row>
    <row r="984" spans="1:16" ht="30">
      <c r="A984" s="110">
        <v>25</v>
      </c>
      <c r="B984" s="640"/>
      <c r="C984" s="640"/>
      <c r="D984" s="341" t="s">
        <v>1285</v>
      </c>
      <c r="E984" s="93">
        <v>132.91999999999999</v>
      </c>
      <c r="F984" s="93">
        <v>1913</v>
      </c>
      <c r="G984" s="93">
        <v>0.48</v>
      </c>
      <c r="H984" s="93" t="s">
        <v>1282</v>
      </c>
      <c r="I984" s="93" t="s">
        <v>261</v>
      </c>
      <c r="J984" s="93" t="s">
        <v>17</v>
      </c>
      <c r="K984" s="93" t="s">
        <v>17</v>
      </c>
      <c r="L984" s="93" t="s">
        <v>160</v>
      </c>
      <c r="M984" s="93" t="s">
        <v>17</v>
      </c>
      <c r="N984" s="93" t="s">
        <v>17</v>
      </c>
      <c r="O984" s="93" t="s">
        <v>17</v>
      </c>
      <c r="P984" s="587"/>
    </row>
    <row r="985" spans="1:16" ht="30">
      <c r="A985" s="110">
        <v>26</v>
      </c>
      <c r="B985" s="640"/>
      <c r="C985" s="640"/>
      <c r="D985" s="341" t="s">
        <v>1286</v>
      </c>
      <c r="E985" s="93">
        <v>42</v>
      </c>
      <c r="F985" s="93">
        <v>1913</v>
      </c>
      <c r="G985" s="93">
        <v>0.36</v>
      </c>
      <c r="H985" s="93" t="s">
        <v>1282</v>
      </c>
      <c r="I985" s="93" t="s">
        <v>261</v>
      </c>
      <c r="J985" s="93" t="s">
        <v>17</v>
      </c>
      <c r="K985" s="93" t="s">
        <v>17</v>
      </c>
      <c r="L985" s="93" t="s">
        <v>160</v>
      </c>
      <c r="M985" s="93" t="s">
        <v>17</v>
      </c>
      <c r="N985" s="93" t="s">
        <v>17</v>
      </c>
      <c r="O985" s="93" t="s">
        <v>17</v>
      </c>
      <c r="P985" s="587"/>
    </row>
    <row r="986" spans="1:16" ht="30">
      <c r="A986" s="110">
        <v>27</v>
      </c>
      <c r="B986" s="640"/>
      <c r="C986" s="640"/>
      <c r="D986" s="341" t="s">
        <v>1287</v>
      </c>
      <c r="E986" s="93">
        <v>68.400000000000006</v>
      </c>
      <c r="F986" s="93">
        <v>1934</v>
      </c>
      <c r="G986" s="93">
        <v>5.8000000000000003E-2</v>
      </c>
      <c r="H986" s="93" t="s">
        <v>1282</v>
      </c>
      <c r="I986" s="93" t="s">
        <v>261</v>
      </c>
      <c r="J986" s="93" t="s">
        <v>17</v>
      </c>
      <c r="K986" s="93" t="s">
        <v>17</v>
      </c>
      <c r="L986" s="93" t="s">
        <v>160</v>
      </c>
      <c r="M986" s="93" t="s">
        <v>17</v>
      </c>
      <c r="N986" s="93" t="s">
        <v>17</v>
      </c>
      <c r="O986" s="93" t="s">
        <v>17</v>
      </c>
      <c r="P986" s="587"/>
    </row>
    <row r="987" spans="1:16" ht="30">
      <c r="A987" s="110">
        <v>28</v>
      </c>
      <c r="B987" s="640"/>
      <c r="C987" s="640"/>
      <c r="D987" s="341" t="s">
        <v>1288</v>
      </c>
      <c r="E987" s="93">
        <v>170</v>
      </c>
      <c r="F987" s="93">
        <v>1937</v>
      </c>
      <c r="G987" s="93">
        <v>1.1200000000000001</v>
      </c>
      <c r="H987" s="93" t="s">
        <v>1282</v>
      </c>
      <c r="I987" s="93" t="s">
        <v>261</v>
      </c>
      <c r="J987" s="93" t="s">
        <v>17</v>
      </c>
      <c r="K987" s="93" t="s">
        <v>17</v>
      </c>
      <c r="L987" s="93" t="s">
        <v>160</v>
      </c>
      <c r="M987" s="93" t="s">
        <v>17</v>
      </c>
      <c r="N987" s="93" t="s">
        <v>17</v>
      </c>
      <c r="O987" s="93" t="s">
        <v>17</v>
      </c>
      <c r="P987" s="587"/>
    </row>
    <row r="988" spans="1:16" ht="30">
      <c r="A988" s="110">
        <v>29</v>
      </c>
      <c r="B988" s="640"/>
      <c r="C988" s="657"/>
      <c r="D988" s="341" t="s">
        <v>1289</v>
      </c>
      <c r="E988" s="93">
        <v>249.12</v>
      </c>
      <c r="F988" s="93" t="s">
        <v>1290</v>
      </c>
      <c r="G988" s="93">
        <v>0.37</v>
      </c>
      <c r="H988" s="93" t="s">
        <v>1282</v>
      </c>
      <c r="I988" s="93" t="s">
        <v>261</v>
      </c>
      <c r="J988" s="93" t="s">
        <v>17</v>
      </c>
      <c r="K988" s="93" t="s">
        <v>17</v>
      </c>
      <c r="L988" s="93" t="s">
        <v>160</v>
      </c>
      <c r="M988" s="93" t="s">
        <v>17</v>
      </c>
      <c r="N988" s="93" t="s">
        <v>17</v>
      </c>
      <c r="O988" s="93" t="s">
        <v>17</v>
      </c>
      <c r="P988" s="587"/>
    </row>
    <row r="989" spans="1:16" ht="75">
      <c r="A989" s="110">
        <v>30</v>
      </c>
      <c r="B989" s="640"/>
      <c r="C989" s="565" t="s">
        <v>1233</v>
      </c>
      <c r="D989" s="344" t="s">
        <v>1291</v>
      </c>
      <c r="E989" s="172">
        <v>2841.9</v>
      </c>
      <c r="F989" s="339" t="s">
        <v>1292</v>
      </c>
      <c r="G989" s="172">
        <v>6</v>
      </c>
      <c r="H989" s="339" t="s">
        <v>1293</v>
      </c>
      <c r="I989" s="339" t="s">
        <v>150</v>
      </c>
      <c r="J989" s="339" t="s">
        <v>87</v>
      </c>
      <c r="K989" s="339" t="s">
        <v>87</v>
      </c>
      <c r="L989" s="339" t="s">
        <v>87</v>
      </c>
      <c r="M989" s="339" t="s">
        <v>87</v>
      </c>
      <c r="N989" s="339" t="s">
        <v>87</v>
      </c>
      <c r="O989" s="339" t="s">
        <v>87</v>
      </c>
      <c r="P989" s="587"/>
    </row>
    <row r="990" spans="1:16" ht="30">
      <c r="A990" s="110">
        <v>31</v>
      </c>
      <c r="B990" s="640"/>
      <c r="C990" s="566"/>
      <c r="D990" s="344" t="s">
        <v>1294</v>
      </c>
      <c r="E990" s="172">
        <v>880</v>
      </c>
      <c r="F990" s="339" t="s">
        <v>1295</v>
      </c>
      <c r="G990" s="172">
        <v>0.3</v>
      </c>
      <c r="H990" s="339" t="s">
        <v>1293</v>
      </c>
      <c r="I990" s="339" t="s">
        <v>150</v>
      </c>
      <c r="J990" s="339" t="s">
        <v>87</v>
      </c>
      <c r="K990" s="339" t="s">
        <v>87</v>
      </c>
      <c r="L990" s="339" t="s">
        <v>87</v>
      </c>
      <c r="M990" s="339" t="s">
        <v>87</v>
      </c>
      <c r="N990" s="339" t="s">
        <v>87</v>
      </c>
      <c r="O990" s="339" t="s">
        <v>87</v>
      </c>
      <c r="P990" s="587"/>
    </row>
    <row r="991" spans="1:16" ht="30">
      <c r="A991" s="110">
        <v>32</v>
      </c>
      <c r="B991" s="640"/>
      <c r="C991" s="566"/>
      <c r="D991" s="344" t="s">
        <v>1296</v>
      </c>
      <c r="E991" s="172">
        <v>60</v>
      </c>
      <c r="F991" s="339" t="s">
        <v>1295</v>
      </c>
      <c r="G991" s="172">
        <v>0.18</v>
      </c>
      <c r="H991" s="339" t="s">
        <v>1293</v>
      </c>
      <c r="I991" s="339" t="s">
        <v>150</v>
      </c>
      <c r="J991" s="339" t="s">
        <v>87</v>
      </c>
      <c r="K991" s="339" t="s">
        <v>87</v>
      </c>
      <c r="L991" s="339" t="s">
        <v>87</v>
      </c>
      <c r="M991" s="339" t="s">
        <v>87</v>
      </c>
      <c r="N991" s="339" t="s">
        <v>87</v>
      </c>
      <c r="O991" s="339" t="s">
        <v>87</v>
      </c>
      <c r="P991" s="587"/>
    </row>
    <row r="992" spans="1:16" ht="15.75" customHeight="1">
      <c r="A992" s="110">
        <v>33</v>
      </c>
      <c r="B992" s="640"/>
      <c r="C992" s="566"/>
      <c r="D992" s="344" t="s">
        <v>1297</v>
      </c>
      <c r="E992" s="172">
        <v>350</v>
      </c>
      <c r="F992" s="339" t="s">
        <v>1295</v>
      </c>
      <c r="G992" s="339">
        <v>0.77</v>
      </c>
      <c r="H992" s="339" t="s">
        <v>1293</v>
      </c>
      <c r="I992" s="339" t="s">
        <v>150</v>
      </c>
      <c r="J992" s="339" t="s">
        <v>87</v>
      </c>
      <c r="K992" s="339" t="s">
        <v>87</v>
      </c>
      <c r="L992" s="339" t="s">
        <v>87</v>
      </c>
      <c r="M992" s="339" t="s">
        <v>87</v>
      </c>
      <c r="N992" s="339" t="s">
        <v>87</v>
      </c>
      <c r="O992" s="339" t="s">
        <v>87</v>
      </c>
      <c r="P992" s="587"/>
    </row>
    <row r="993" spans="1:16" ht="15.75" customHeight="1">
      <c r="A993" s="110">
        <v>34</v>
      </c>
      <c r="B993" s="640"/>
      <c r="C993" s="566"/>
      <c r="D993" s="344" t="s">
        <v>1298</v>
      </c>
      <c r="E993" s="172">
        <v>136</v>
      </c>
      <c r="F993" s="339" t="s">
        <v>1295</v>
      </c>
      <c r="G993" s="172">
        <v>0.34</v>
      </c>
      <c r="H993" s="339" t="s">
        <v>1293</v>
      </c>
      <c r="I993" s="339" t="s">
        <v>150</v>
      </c>
      <c r="J993" s="339" t="s">
        <v>87</v>
      </c>
      <c r="K993" s="339" t="s">
        <v>87</v>
      </c>
      <c r="L993" s="339" t="s">
        <v>87</v>
      </c>
      <c r="M993" s="339" t="s">
        <v>87</v>
      </c>
      <c r="N993" s="339" t="s">
        <v>87</v>
      </c>
      <c r="O993" s="339" t="s">
        <v>87</v>
      </c>
      <c r="P993" s="587"/>
    </row>
    <row r="994" spans="1:16" ht="15.75" customHeight="1">
      <c r="A994" s="110">
        <v>35</v>
      </c>
      <c r="B994" s="640"/>
      <c r="C994" s="566"/>
      <c r="D994" s="344" t="s">
        <v>1299</v>
      </c>
      <c r="E994" s="172">
        <v>2000</v>
      </c>
      <c r="F994" s="339" t="s">
        <v>1295</v>
      </c>
      <c r="G994" s="172">
        <v>0.03</v>
      </c>
      <c r="H994" s="339" t="s">
        <v>1293</v>
      </c>
      <c r="I994" s="339" t="s">
        <v>150</v>
      </c>
      <c r="J994" s="339" t="s">
        <v>87</v>
      </c>
      <c r="K994" s="339" t="s">
        <v>87</v>
      </c>
      <c r="L994" s="339" t="s">
        <v>87</v>
      </c>
      <c r="M994" s="339" t="s">
        <v>87</v>
      </c>
      <c r="N994" s="339" t="s">
        <v>87</v>
      </c>
      <c r="O994" s="339" t="s">
        <v>87</v>
      </c>
      <c r="P994" s="587"/>
    </row>
    <row r="995" spans="1:16" ht="30">
      <c r="A995" s="323">
        <v>36</v>
      </c>
      <c r="B995" s="640"/>
      <c r="C995" s="566"/>
      <c r="D995" s="334" t="s">
        <v>1300</v>
      </c>
      <c r="E995" s="443">
        <v>427</v>
      </c>
      <c r="F995" s="346" t="s">
        <v>1295</v>
      </c>
      <c r="G995" s="443">
        <v>0.04</v>
      </c>
      <c r="H995" s="346" t="s">
        <v>1293</v>
      </c>
      <c r="I995" s="346" t="s">
        <v>150</v>
      </c>
      <c r="J995" s="346" t="s">
        <v>87</v>
      </c>
      <c r="K995" s="346" t="s">
        <v>87</v>
      </c>
      <c r="L995" s="346" t="s">
        <v>87</v>
      </c>
      <c r="M995" s="346" t="s">
        <v>87</v>
      </c>
      <c r="N995" s="346" t="s">
        <v>87</v>
      </c>
      <c r="O995" s="346" t="s">
        <v>87</v>
      </c>
      <c r="P995" s="587"/>
    </row>
    <row r="996" spans="1:16" ht="15" customHeight="1">
      <c r="A996" s="554"/>
      <c r="B996" s="554"/>
      <c r="C996" s="554"/>
      <c r="D996" s="554"/>
      <c r="E996" s="554"/>
      <c r="F996" s="554"/>
      <c r="G996" s="554"/>
      <c r="H996" s="554"/>
      <c r="I996" s="554"/>
      <c r="J996" s="554"/>
      <c r="K996" s="554"/>
      <c r="L996" s="554"/>
      <c r="M996" s="554"/>
      <c r="N996" s="554"/>
      <c r="O996" s="554"/>
      <c r="P996" s="554"/>
    </row>
    <row r="997" spans="1:16" ht="20.25" customHeight="1">
      <c r="A997" s="576" t="s">
        <v>111</v>
      </c>
      <c r="B997" s="576"/>
      <c r="C997" s="576"/>
      <c r="D997" s="576"/>
      <c r="E997" s="576"/>
      <c r="F997" s="576"/>
      <c r="G997" s="576"/>
      <c r="H997" s="576"/>
      <c r="I997" s="576"/>
      <c r="J997" s="576"/>
      <c r="K997" s="576"/>
      <c r="L997" s="576"/>
      <c r="M997" s="576"/>
      <c r="N997" s="576"/>
      <c r="O997" s="576"/>
      <c r="P997" s="650"/>
    </row>
    <row r="998" spans="1:16" ht="85.5">
      <c r="A998" s="46" t="s">
        <v>0</v>
      </c>
      <c r="B998" s="46" t="s">
        <v>2582</v>
      </c>
      <c r="C998" s="46" t="s">
        <v>1</v>
      </c>
      <c r="D998" s="46" t="s">
        <v>2596</v>
      </c>
      <c r="E998" s="46" t="s">
        <v>89</v>
      </c>
      <c r="F998" s="46" t="s">
        <v>63</v>
      </c>
      <c r="G998" s="46" t="s">
        <v>2590</v>
      </c>
      <c r="H998" s="46" t="s">
        <v>2561</v>
      </c>
      <c r="I998" s="46" t="s">
        <v>2391</v>
      </c>
      <c r="J998" s="46" t="s">
        <v>5</v>
      </c>
      <c r="K998" s="46" t="s">
        <v>6</v>
      </c>
      <c r="L998" s="46" t="s">
        <v>91</v>
      </c>
      <c r="M998" s="46" t="s">
        <v>67</v>
      </c>
      <c r="N998" s="67" t="s">
        <v>92</v>
      </c>
      <c r="O998" s="401" t="s">
        <v>11</v>
      </c>
      <c r="P998" s="587"/>
    </row>
    <row r="999" spans="1:16" ht="15" customHeight="1">
      <c r="A999" s="345">
        <v>1</v>
      </c>
      <c r="B999" s="79">
        <v>2</v>
      </c>
      <c r="C999" s="79">
        <v>3</v>
      </c>
      <c r="D999" s="79">
        <v>4</v>
      </c>
      <c r="E999" s="79">
        <v>5</v>
      </c>
      <c r="F999" s="79">
        <v>6</v>
      </c>
      <c r="G999" s="79">
        <v>7</v>
      </c>
      <c r="H999" s="79">
        <v>8</v>
      </c>
      <c r="I999" s="79">
        <v>9</v>
      </c>
      <c r="J999" s="79">
        <v>10</v>
      </c>
      <c r="K999" s="79">
        <v>11</v>
      </c>
      <c r="L999" s="79">
        <v>12</v>
      </c>
      <c r="M999" s="79">
        <v>13</v>
      </c>
      <c r="N999" s="357">
        <v>14</v>
      </c>
      <c r="O999" s="79">
        <v>15</v>
      </c>
      <c r="P999" s="587"/>
    </row>
    <row r="1000" spans="1:16" ht="60">
      <c r="A1000" s="336">
        <v>1</v>
      </c>
      <c r="B1000" s="565" t="s">
        <v>2620</v>
      </c>
      <c r="C1000" s="565" t="s">
        <v>1234</v>
      </c>
      <c r="D1000" s="334" t="s">
        <v>7011</v>
      </c>
      <c r="E1000" s="346">
        <v>9761</v>
      </c>
      <c r="F1000" s="346" t="s">
        <v>1235</v>
      </c>
      <c r="G1000" s="346">
        <v>4.4400000000000004</v>
      </c>
      <c r="H1000" s="346" t="s">
        <v>17</v>
      </c>
      <c r="I1000" s="346" t="s">
        <v>150</v>
      </c>
      <c r="J1000" s="346" t="s">
        <v>17</v>
      </c>
      <c r="K1000" s="346" t="s">
        <v>17</v>
      </c>
      <c r="L1000" s="346" t="s">
        <v>17</v>
      </c>
      <c r="M1000" s="346" t="s">
        <v>17</v>
      </c>
      <c r="N1000" s="346" t="s">
        <v>17</v>
      </c>
      <c r="O1000" s="87"/>
      <c r="P1000" s="587"/>
    </row>
    <row r="1001" spans="1:16" ht="45">
      <c r="A1001" s="336">
        <v>2</v>
      </c>
      <c r="B1001" s="566"/>
      <c r="C1001" s="567"/>
      <c r="D1001" s="344" t="s">
        <v>1301</v>
      </c>
      <c r="E1001" s="339">
        <v>1793</v>
      </c>
      <c r="F1001" s="339" t="s">
        <v>1302</v>
      </c>
      <c r="G1001" s="339">
        <v>0.92</v>
      </c>
      <c r="H1001" s="339" t="s">
        <v>17</v>
      </c>
      <c r="I1001" s="339" t="s">
        <v>150</v>
      </c>
      <c r="J1001" s="339" t="s">
        <v>17</v>
      </c>
      <c r="K1001" s="339" t="s">
        <v>17</v>
      </c>
      <c r="L1001" s="339" t="s">
        <v>17</v>
      </c>
      <c r="M1001" s="339" t="s">
        <v>17</v>
      </c>
      <c r="N1001" s="353">
        <v>1</v>
      </c>
      <c r="O1001" s="79"/>
      <c r="P1001" s="587"/>
    </row>
    <row r="1002" spans="1:16" ht="45">
      <c r="A1002" s="336">
        <v>3</v>
      </c>
      <c r="B1002" s="566"/>
      <c r="C1002" s="616" t="s">
        <v>1303</v>
      </c>
      <c r="D1002" s="344" t="s">
        <v>2501</v>
      </c>
      <c r="E1002" s="444" t="s">
        <v>1304</v>
      </c>
      <c r="F1002" s="410">
        <v>1993</v>
      </c>
      <c r="G1002" s="410" t="s">
        <v>1305</v>
      </c>
      <c r="H1002" s="410" t="s">
        <v>17</v>
      </c>
      <c r="I1002" s="410" t="s">
        <v>150</v>
      </c>
      <c r="J1002" s="410" t="s">
        <v>193</v>
      </c>
      <c r="K1002" s="410" t="s">
        <v>26</v>
      </c>
      <c r="L1002" s="410" t="s">
        <v>26</v>
      </c>
      <c r="M1002" s="445" t="s">
        <v>454</v>
      </c>
      <c r="N1002" s="408" t="s">
        <v>17</v>
      </c>
      <c r="O1002" s="336"/>
      <c r="P1002" s="587"/>
    </row>
    <row r="1003" spans="1:16" ht="60">
      <c r="A1003" s="336">
        <v>4</v>
      </c>
      <c r="B1003" s="566"/>
      <c r="C1003" s="643"/>
      <c r="D1003" s="446" t="s">
        <v>2502</v>
      </c>
      <c r="E1003" s="447" t="s">
        <v>1306</v>
      </c>
      <c r="F1003" s="440">
        <v>1990</v>
      </c>
      <c r="G1003" s="448" t="s">
        <v>1307</v>
      </c>
      <c r="H1003" s="448" t="s">
        <v>17</v>
      </c>
      <c r="I1003" s="440" t="s">
        <v>150</v>
      </c>
      <c r="J1003" s="440" t="s">
        <v>193</v>
      </c>
      <c r="K1003" s="440" t="s">
        <v>26</v>
      </c>
      <c r="L1003" s="440" t="s">
        <v>26</v>
      </c>
      <c r="M1003" s="449" t="s">
        <v>454</v>
      </c>
      <c r="N1003" s="440" t="s">
        <v>17</v>
      </c>
      <c r="O1003" s="450" t="s">
        <v>1308</v>
      </c>
      <c r="P1003" s="587"/>
    </row>
    <row r="1004" spans="1:16" ht="30">
      <c r="A1004" s="336">
        <v>5</v>
      </c>
      <c r="B1004" s="566"/>
      <c r="C1004" s="50" t="s">
        <v>1137</v>
      </c>
      <c r="D1004" s="344" t="s">
        <v>1309</v>
      </c>
      <c r="E1004" s="336">
        <v>3365.732</v>
      </c>
      <c r="F1004" s="336" t="s">
        <v>1310</v>
      </c>
      <c r="G1004" s="336">
        <v>19.190000000000001</v>
      </c>
      <c r="H1004" s="336">
        <v>5.43</v>
      </c>
      <c r="I1004" s="336" t="s">
        <v>1240</v>
      </c>
      <c r="J1004" s="336" t="s">
        <v>2518</v>
      </c>
      <c r="K1004" s="336" t="s">
        <v>87</v>
      </c>
      <c r="L1004" s="336" t="s">
        <v>87</v>
      </c>
      <c r="M1004" s="336"/>
      <c r="N1004" s="336"/>
      <c r="O1004" s="336"/>
      <c r="P1004" s="587"/>
    </row>
    <row r="1005" spans="1:16" ht="60">
      <c r="A1005" s="336">
        <v>6</v>
      </c>
      <c r="B1005" s="566"/>
      <c r="C1005" s="616" t="s">
        <v>1147</v>
      </c>
      <c r="D1005" s="116" t="s">
        <v>1311</v>
      </c>
      <c r="E1005" s="216" t="s">
        <v>1312</v>
      </c>
      <c r="F1005" s="216" t="s">
        <v>1313</v>
      </c>
      <c r="G1005" s="216" t="s">
        <v>274</v>
      </c>
      <c r="H1005" s="216" t="s">
        <v>1314</v>
      </c>
      <c r="I1005" s="216" t="s">
        <v>150</v>
      </c>
      <c r="J1005" s="216" t="s">
        <v>193</v>
      </c>
      <c r="K1005" s="216" t="s">
        <v>26</v>
      </c>
      <c r="L1005" s="216" t="s">
        <v>26</v>
      </c>
      <c r="M1005" s="103" t="s">
        <v>454</v>
      </c>
      <c r="N1005" s="216">
        <v>1</v>
      </c>
      <c r="O1005" s="216"/>
      <c r="P1005" s="587"/>
    </row>
    <row r="1006" spans="1:16" ht="60">
      <c r="A1006" s="336">
        <v>7</v>
      </c>
      <c r="B1006" s="566"/>
      <c r="C1006" s="616"/>
      <c r="D1006" s="116" t="s">
        <v>1315</v>
      </c>
      <c r="E1006" s="216" t="s">
        <v>1316</v>
      </c>
      <c r="F1006" s="104">
        <v>1998</v>
      </c>
      <c r="G1006" s="216" t="s">
        <v>274</v>
      </c>
      <c r="H1006" s="216" t="s">
        <v>1317</v>
      </c>
      <c r="I1006" s="104" t="s">
        <v>150</v>
      </c>
      <c r="J1006" s="104" t="s">
        <v>193</v>
      </c>
      <c r="K1006" s="104" t="s">
        <v>26</v>
      </c>
      <c r="L1006" s="104" t="s">
        <v>26</v>
      </c>
      <c r="M1006" s="105" t="s">
        <v>454</v>
      </c>
      <c r="N1006" s="104">
        <v>2</v>
      </c>
      <c r="O1006" s="450" t="s">
        <v>2435</v>
      </c>
      <c r="P1006" s="587"/>
    </row>
    <row r="1007" spans="1:16" ht="45">
      <c r="A1007" s="336">
        <v>8</v>
      </c>
      <c r="B1007" s="566"/>
      <c r="C1007" s="616"/>
      <c r="D1007" s="116" t="s">
        <v>1318</v>
      </c>
      <c r="E1007" s="216" t="s">
        <v>1319</v>
      </c>
      <c r="F1007" s="104">
        <v>1995</v>
      </c>
      <c r="G1007" s="216" t="s">
        <v>274</v>
      </c>
      <c r="H1007" s="216" t="s">
        <v>1320</v>
      </c>
      <c r="I1007" s="104" t="s">
        <v>150</v>
      </c>
      <c r="J1007" s="104" t="s">
        <v>193</v>
      </c>
      <c r="K1007" s="104" t="s">
        <v>26</v>
      </c>
      <c r="L1007" s="104" t="s">
        <v>26</v>
      </c>
      <c r="M1007" s="103" t="s">
        <v>454</v>
      </c>
      <c r="N1007" s="104">
        <v>3</v>
      </c>
      <c r="O1007" s="450" t="s">
        <v>2435</v>
      </c>
      <c r="P1007" s="587"/>
    </row>
    <row r="1008" spans="1:16" ht="60">
      <c r="A1008" s="336">
        <v>9</v>
      </c>
      <c r="B1008" s="566"/>
      <c r="C1008" s="616"/>
      <c r="D1008" s="116" t="s">
        <v>1321</v>
      </c>
      <c r="E1008" s="216" t="s">
        <v>17</v>
      </c>
      <c r="F1008" s="104">
        <v>1995</v>
      </c>
      <c r="G1008" s="216" t="s">
        <v>274</v>
      </c>
      <c r="H1008" s="104" t="s">
        <v>1322</v>
      </c>
      <c r="I1008" s="104" t="s">
        <v>7014</v>
      </c>
      <c r="J1008" s="104" t="s">
        <v>193</v>
      </c>
      <c r="K1008" s="104" t="s">
        <v>26</v>
      </c>
      <c r="L1008" s="104" t="s">
        <v>26</v>
      </c>
      <c r="M1008" s="105" t="s">
        <v>454</v>
      </c>
      <c r="N1008" s="104">
        <v>4</v>
      </c>
      <c r="O1008" s="450" t="s">
        <v>2436</v>
      </c>
      <c r="P1008" s="587"/>
    </row>
    <row r="1009" spans="1:16" ht="60">
      <c r="A1009" s="336">
        <v>10</v>
      </c>
      <c r="B1009" s="566"/>
      <c r="C1009" s="616"/>
      <c r="D1009" s="116" t="s">
        <v>1323</v>
      </c>
      <c r="E1009" s="216" t="s">
        <v>1324</v>
      </c>
      <c r="F1009" s="104">
        <v>1995</v>
      </c>
      <c r="G1009" s="216" t="s">
        <v>1325</v>
      </c>
      <c r="H1009" s="216" t="s">
        <v>1320</v>
      </c>
      <c r="I1009" s="104" t="s">
        <v>150</v>
      </c>
      <c r="J1009" s="104" t="s">
        <v>193</v>
      </c>
      <c r="K1009" s="104" t="s">
        <v>26</v>
      </c>
      <c r="L1009" s="104" t="s">
        <v>26</v>
      </c>
      <c r="M1009" s="103" t="s">
        <v>454</v>
      </c>
      <c r="N1009" s="104">
        <v>5</v>
      </c>
      <c r="O1009" s="216"/>
      <c r="P1009" s="587"/>
    </row>
    <row r="1010" spans="1:16" ht="45">
      <c r="A1010" s="336">
        <v>11</v>
      </c>
      <c r="B1010" s="566"/>
      <c r="C1010" s="616"/>
      <c r="D1010" s="116" t="s">
        <v>1326</v>
      </c>
      <c r="E1010" s="216" t="s">
        <v>1327</v>
      </c>
      <c r="F1010" s="104">
        <v>2002</v>
      </c>
      <c r="G1010" s="216" t="s">
        <v>1328</v>
      </c>
      <c r="H1010" s="216" t="s">
        <v>1329</v>
      </c>
      <c r="I1010" s="104" t="s">
        <v>150</v>
      </c>
      <c r="J1010" s="104" t="s">
        <v>193</v>
      </c>
      <c r="K1010" s="104" t="s">
        <v>26</v>
      </c>
      <c r="L1010" s="104" t="s">
        <v>26</v>
      </c>
      <c r="M1010" s="105" t="s">
        <v>454</v>
      </c>
      <c r="N1010" s="104">
        <v>6</v>
      </c>
      <c r="O1010" s="216"/>
      <c r="P1010" s="587"/>
    </row>
    <row r="1011" spans="1:16" ht="60">
      <c r="A1011" s="336">
        <v>12</v>
      </c>
      <c r="B1011" s="566"/>
      <c r="C1011" s="616"/>
      <c r="D1011" s="116" t="s">
        <v>1330</v>
      </c>
      <c r="E1011" s="216" t="s">
        <v>1331</v>
      </c>
      <c r="F1011" s="104" t="s">
        <v>1247</v>
      </c>
      <c r="G1011" s="216" t="s">
        <v>274</v>
      </c>
      <c r="H1011" s="216" t="s">
        <v>1329</v>
      </c>
      <c r="I1011" s="104" t="s">
        <v>150</v>
      </c>
      <c r="J1011" s="104" t="s">
        <v>193</v>
      </c>
      <c r="K1011" s="104" t="s">
        <v>26</v>
      </c>
      <c r="L1011" s="104" t="s">
        <v>26</v>
      </c>
      <c r="M1011" s="105" t="s">
        <v>454</v>
      </c>
      <c r="N1011" s="104">
        <v>7</v>
      </c>
      <c r="O1011" s="450" t="s">
        <v>1248</v>
      </c>
      <c r="P1011" s="587"/>
    </row>
    <row r="1012" spans="1:16" ht="45">
      <c r="A1012" s="336">
        <v>13</v>
      </c>
      <c r="B1012" s="566"/>
      <c r="C1012" s="617"/>
      <c r="D1012" s="446" t="s">
        <v>1332</v>
      </c>
      <c r="E1012" s="451" t="s">
        <v>1333</v>
      </c>
      <c r="F1012" s="106" t="s">
        <v>1247</v>
      </c>
      <c r="G1012" s="451" t="s">
        <v>274</v>
      </c>
      <c r="H1012" s="451" t="s">
        <v>1329</v>
      </c>
      <c r="I1012" s="106" t="s">
        <v>150</v>
      </c>
      <c r="J1012" s="106" t="s">
        <v>193</v>
      </c>
      <c r="K1012" s="106" t="s">
        <v>26</v>
      </c>
      <c r="L1012" s="106" t="s">
        <v>26</v>
      </c>
      <c r="M1012" s="107" t="s">
        <v>454</v>
      </c>
      <c r="N1012" s="106">
        <v>8</v>
      </c>
      <c r="O1012" s="450" t="s">
        <v>1248</v>
      </c>
      <c r="P1012" s="587"/>
    </row>
    <row r="1013" spans="1:16" ht="45">
      <c r="A1013" s="336">
        <v>14</v>
      </c>
      <c r="B1013" s="566"/>
      <c r="C1013" s="654" t="s">
        <v>1153</v>
      </c>
      <c r="D1013" s="96" t="s">
        <v>1334</v>
      </c>
      <c r="E1013" s="97" t="s">
        <v>1335</v>
      </c>
      <c r="F1013" s="108" t="s">
        <v>1336</v>
      </c>
      <c r="G1013" s="91" t="s">
        <v>1337</v>
      </c>
      <c r="H1013" s="91" t="s">
        <v>1338</v>
      </c>
      <c r="I1013" s="91" t="s">
        <v>1339</v>
      </c>
      <c r="J1013" s="91" t="s">
        <v>17</v>
      </c>
      <c r="K1013" s="91" t="s">
        <v>17</v>
      </c>
      <c r="L1013" s="91" t="s">
        <v>17</v>
      </c>
      <c r="M1013" s="91" t="s">
        <v>17</v>
      </c>
      <c r="N1013" s="91" t="s">
        <v>17</v>
      </c>
      <c r="O1013" s="91" t="s">
        <v>17</v>
      </c>
      <c r="P1013" s="587"/>
    </row>
    <row r="1014" spans="1:16" ht="75">
      <c r="A1014" s="336">
        <v>15</v>
      </c>
      <c r="B1014" s="566"/>
      <c r="C1014" s="655"/>
      <c r="D1014" s="98" t="s">
        <v>1340</v>
      </c>
      <c r="E1014" s="97" t="s">
        <v>1341</v>
      </c>
      <c r="F1014" s="109" t="s">
        <v>1342</v>
      </c>
      <c r="G1014" s="91" t="s">
        <v>1343</v>
      </c>
      <c r="H1014" s="91" t="s">
        <v>1338</v>
      </c>
      <c r="I1014" s="91" t="s">
        <v>1339</v>
      </c>
      <c r="J1014" s="91" t="s">
        <v>17</v>
      </c>
      <c r="K1014" s="91" t="s">
        <v>17</v>
      </c>
      <c r="L1014" s="91" t="s">
        <v>17</v>
      </c>
      <c r="M1014" s="91" t="s">
        <v>17</v>
      </c>
      <c r="N1014" s="91" t="s">
        <v>17</v>
      </c>
      <c r="O1014" s="91" t="s">
        <v>17</v>
      </c>
      <c r="P1014" s="587"/>
    </row>
    <row r="1015" spans="1:16" ht="45">
      <c r="A1015" s="336">
        <v>16</v>
      </c>
      <c r="B1015" s="566"/>
      <c r="C1015" s="655"/>
      <c r="D1015" s="98" t="s">
        <v>1344</v>
      </c>
      <c r="E1015" s="99">
        <v>92.38</v>
      </c>
      <c r="F1015" s="99">
        <v>1929</v>
      </c>
      <c r="G1015" s="99">
        <v>0.37</v>
      </c>
      <c r="H1015" s="99" t="s">
        <v>1282</v>
      </c>
      <c r="I1015" s="99" t="s">
        <v>150</v>
      </c>
      <c r="J1015" s="99" t="s">
        <v>17</v>
      </c>
      <c r="K1015" s="99" t="s">
        <v>17</v>
      </c>
      <c r="L1015" s="99" t="s">
        <v>160</v>
      </c>
      <c r="M1015" s="99" t="s">
        <v>17</v>
      </c>
      <c r="N1015" s="99" t="s">
        <v>17</v>
      </c>
      <c r="O1015" s="97" t="s">
        <v>17</v>
      </c>
      <c r="P1015" s="587"/>
    </row>
    <row r="1016" spans="1:16" ht="45">
      <c r="A1016" s="336">
        <v>17</v>
      </c>
      <c r="B1016" s="566"/>
      <c r="C1016" s="655"/>
      <c r="D1016" s="98" t="s">
        <v>1345</v>
      </c>
      <c r="E1016" s="99">
        <v>380.02</v>
      </c>
      <c r="F1016" s="99">
        <v>1984</v>
      </c>
      <c r="G1016" s="99">
        <v>0.49</v>
      </c>
      <c r="H1016" s="99" t="s">
        <v>1282</v>
      </c>
      <c r="I1016" s="99" t="s">
        <v>150</v>
      </c>
      <c r="J1016" s="99" t="s">
        <v>17</v>
      </c>
      <c r="K1016" s="99" t="s">
        <v>17</v>
      </c>
      <c r="L1016" s="99" t="s">
        <v>160</v>
      </c>
      <c r="M1016" s="99" t="s">
        <v>17</v>
      </c>
      <c r="N1016" s="99" t="s">
        <v>17</v>
      </c>
      <c r="O1016" s="97" t="s">
        <v>17</v>
      </c>
      <c r="P1016" s="587"/>
    </row>
    <row r="1017" spans="1:16" ht="30">
      <c r="A1017" s="336">
        <v>18</v>
      </c>
      <c r="B1017" s="566"/>
      <c r="C1017" s="655"/>
      <c r="D1017" s="98" t="s">
        <v>1346</v>
      </c>
      <c r="E1017" s="99">
        <v>172.85</v>
      </c>
      <c r="F1017" s="99">
        <v>1920</v>
      </c>
      <c r="G1017" s="99">
        <v>0.01</v>
      </c>
      <c r="H1017" s="99" t="s">
        <v>1282</v>
      </c>
      <c r="I1017" s="99" t="s">
        <v>150</v>
      </c>
      <c r="J1017" s="99" t="s">
        <v>17</v>
      </c>
      <c r="K1017" s="99" t="s">
        <v>17</v>
      </c>
      <c r="L1017" s="99" t="s">
        <v>160</v>
      </c>
      <c r="M1017" s="99" t="s">
        <v>17</v>
      </c>
      <c r="N1017" s="99" t="s">
        <v>17</v>
      </c>
      <c r="O1017" s="97" t="s">
        <v>17</v>
      </c>
      <c r="P1017" s="587"/>
    </row>
    <row r="1018" spans="1:16" ht="45">
      <c r="A1018" s="336">
        <v>19</v>
      </c>
      <c r="B1018" s="566"/>
      <c r="C1018" s="655"/>
      <c r="D1018" s="98" t="s">
        <v>1347</v>
      </c>
      <c r="E1018" s="99">
        <v>357.9</v>
      </c>
      <c r="F1018" s="99">
        <v>1914</v>
      </c>
      <c r="G1018" s="99">
        <v>0.3</v>
      </c>
      <c r="H1018" s="99" t="s">
        <v>1282</v>
      </c>
      <c r="I1018" s="99" t="s">
        <v>150</v>
      </c>
      <c r="J1018" s="99" t="s">
        <v>17</v>
      </c>
      <c r="K1018" s="99" t="s">
        <v>17</v>
      </c>
      <c r="L1018" s="99" t="s">
        <v>160</v>
      </c>
      <c r="M1018" s="99" t="s">
        <v>17</v>
      </c>
      <c r="N1018" s="99" t="s">
        <v>17</v>
      </c>
      <c r="O1018" s="97" t="s">
        <v>17</v>
      </c>
      <c r="P1018" s="587"/>
    </row>
    <row r="1019" spans="1:16" ht="45">
      <c r="A1019" s="336">
        <v>20</v>
      </c>
      <c r="B1019" s="566"/>
      <c r="C1019" s="655"/>
      <c r="D1019" s="98" t="s">
        <v>1348</v>
      </c>
      <c r="E1019" s="99">
        <v>1454.8</v>
      </c>
      <c r="F1019" s="99">
        <v>1914</v>
      </c>
      <c r="G1019" s="99">
        <v>1.1399999999999999</v>
      </c>
      <c r="H1019" s="99" t="s">
        <v>1282</v>
      </c>
      <c r="I1019" s="99" t="s">
        <v>150</v>
      </c>
      <c r="J1019" s="99" t="s">
        <v>17</v>
      </c>
      <c r="K1019" s="99" t="s">
        <v>17</v>
      </c>
      <c r="L1019" s="99" t="s">
        <v>160</v>
      </c>
      <c r="M1019" s="99" t="s">
        <v>17</v>
      </c>
      <c r="N1019" s="99" t="s">
        <v>17</v>
      </c>
      <c r="O1019" s="97" t="s">
        <v>17</v>
      </c>
      <c r="P1019" s="587"/>
    </row>
    <row r="1020" spans="1:16" ht="45">
      <c r="A1020" s="336">
        <v>21</v>
      </c>
      <c r="B1020" s="566"/>
      <c r="C1020" s="655"/>
      <c r="D1020" s="98" t="s">
        <v>1348</v>
      </c>
      <c r="E1020" s="99" t="s">
        <v>1349</v>
      </c>
      <c r="F1020" s="99" t="s">
        <v>1290</v>
      </c>
      <c r="G1020" s="99">
        <v>0.1</v>
      </c>
      <c r="H1020" s="99" t="s">
        <v>1282</v>
      </c>
      <c r="I1020" s="99" t="s">
        <v>150</v>
      </c>
      <c r="J1020" s="99" t="s">
        <v>17</v>
      </c>
      <c r="K1020" s="99" t="s">
        <v>17</v>
      </c>
      <c r="L1020" s="99" t="s">
        <v>160</v>
      </c>
      <c r="M1020" s="99" t="s">
        <v>17</v>
      </c>
      <c r="N1020" s="99" t="s">
        <v>17</v>
      </c>
      <c r="O1020" s="97" t="s">
        <v>17</v>
      </c>
      <c r="P1020" s="587"/>
    </row>
    <row r="1021" spans="1:16" ht="45">
      <c r="A1021" s="336">
        <v>22</v>
      </c>
      <c r="B1021" s="566"/>
      <c r="C1021" s="655"/>
      <c r="D1021" s="98" t="s">
        <v>1350</v>
      </c>
      <c r="E1021" s="99">
        <v>252.5</v>
      </c>
      <c r="F1021" s="99">
        <v>1914</v>
      </c>
      <c r="G1021" s="99">
        <v>0.22</v>
      </c>
      <c r="H1021" s="99" t="s">
        <v>1282</v>
      </c>
      <c r="I1021" s="99" t="s">
        <v>150</v>
      </c>
      <c r="J1021" s="99" t="s">
        <v>17</v>
      </c>
      <c r="K1021" s="99" t="s">
        <v>17</v>
      </c>
      <c r="L1021" s="99" t="s">
        <v>160</v>
      </c>
      <c r="M1021" s="99" t="s">
        <v>17</v>
      </c>
      <c r="N1021" s="99" t="s">
        <v>17</v>
      </c>
      <c r="O1021" s="97" t="s">
        <v>17</v>
      </c>
      <c r="P1021" s="587"/>
    </row>
    <row r="1022" spans="1:16" ht="45">
      <c r="A1022" s="336">
        <v>23</v>
      </c>
      <c r="B1022" s="566"/>
      <c r="C1022" s="655"/>
      <c r="D1022" s="98" t="s">
        <v>1351</v>
      </c>
      <c r="E1022" s="99">
        <v>539.11</v>
      </c>
      <c r="F1022" s="99">
        <v>1914</v>
      </c>
      <c r="G1022" s="99">
        <v>0.43</v>
      </c>
      <c r="H1022" s="99" t="s">
        <v>1282</v>
      </c>
      <c r="I1022" s="99" t="s">
        <v>150</v>
      </c>
      <c r="J1022" s="99" t="s">
        <v>17</v>
      </c>
      <c r="K1022" s="99" t="s">
        <v>17</v>
      </c>
      <c r="L1022" s="99" t="s">
        <v>160</v>
      </c>
      <c r="M1022" s="99" t="s">
        <v>17</v>
      </c>
      <c r="N1022" s="99" t="s">
        <v>17</v>
      </c>
      <c r="O1022" s="355" t="s">
        <v>17</v>
      </c>
      <c r="P1022" s="587"/>
    </row>
    <row r="1023" spans="1:16" ht="30">
      <c r="A1023" s="336">
        <v>24</v>
      </c>
      <c r="B1023" s="566"/>
      <c r="C1023" s="656"/>
      <c r="D1023" s="100" t="s">
        <v>1352</v>
      </c>
      <c r="E1023" s="101">
        <v>1934.01</v>
      </c>
      <c r="F1023" s="101">
        <v>1934</v>
      </c>
      <c r="G1023" s="101">
        <v>1.1200000000000001</v>
      </c>
      <c r="H1023" s="101" t="s">
        <v>1282</v>
      </c>
      <c r="I1023" s="99" t="s">
        <v>150</v>
      </c>
      <c r="J1023" s="101" t="s">
        <v>17</v>
      </c>
      <c r="K1023" s="101" t="s">
        <v>17</v>
      </c>
      <c r="L1023" s="101" t="s">
        <v>160</v>
      </c>
      <c r="M1023" s="101" t="s">
        <v>17</v>
      </c>
      <c r="N1023" s="101" t="s">
        <v>17</v>
      </c>
      <c r="O1023" s="97" t="s">
        <v>17</v>
      </c>
      <c r="P1023" s="587"/>
    </row>
    <row r="1024" spans="1:16" ht="30">
      <c r="A1024" s="336">
        <v>25</v>
      </c>
      <c r="B1024" s="567"/>
      <c r="C1024" s="344" t="s">
        <v>1233</v>
      </c>
      <c r="D1024" s="344" t="s">
        <v>1353</v>
      </c>
      <c r="E1024" s="174">
        <v>20230</v>
      </c>
      <c r="F1024" s="339">
        <v>1971</v>
      </c>
      <c r="G1024" s="339">
        <v>582274</v>
      </c>
      <c r="H1024" s="339" t="s">
        <v>87</v>
      </c>
      <c r="I1024" s="99" t="s">
        <v>150</v>
      </c>
      <c r="J1024" s="339" t="s">
        <v>87</v>
      </c>
      <c r="K1024" s="339" t="s">
        <v>87</v>
      </c>
      <c r="L1024" s="339" t="s">
        <v>87</v>
      </c>
      <c r="M1024" s="339" t="s">
        <v>87</v>
      </c>
      <c r="N1024" s="339" t="s">
        <v>87</v>
      </c>
      <c r="O1024" s="347" t="s">
        <v>87</v>
      </c>
      <c r="P1024" s="587"/>
    </row>
    <row r="1025" spans="1:16" ht="15" customHeight="1">
      <c r="A1025" s="651"/>
      <c r="B1025" s="652"/>
      <c r="C1025" s="652"/>
      <c r="D1025" s="652"/>
      <c r="E1025" s="652"/>
      <c r="F1025" s="652"/>
      <c r="G1025" s="652"/>
      <c r="H1025" s="652"/>
      <c r="I1025" s="652"/>
      <c r="J1025" s="652"/>
      <c r="K1025" s="652"/>
      <c r="L1025" s="652"/>
      <c r="M1025" s="652"/>
      <c r="N1025" s="652"/>
      <c r="O1025" s="652"/>
      <c r="P1025" s="653"/>
    </row>
    <row r="1026" spans="1:16" ht="20.25">
      <c r="A1026" s="555" t="s">
        <v>112</v>
      </c>
      <c r="B1026" s="556"/>
      <c r="C1026" s="556"/>
      <c r="D1026" s="556"/>
      <c r="E1026" s="556"/>
      <c r="F1026" s="556"/>
      <c r="G1026" s="556"/>
      <c r="H1026" s="556"/>
      <c r="I1026" s="556"/>
      <c r="J1026" s="556"/>
      <c r="K1026" s="556"/>
      <c r="L1026" s="556"/>
      <c r="M1026" s="556"/>
      <c r="N1026" s="556"/>
      <c r="O1026" s="556"/>
      <c r="P1026" s="556"/>
    </row>
    <row r="1027" spans="1:16" ht="85.5">
      <c r="A1027" s="46" t="s">
        <v>0</v>
      </c>
      <c r="B1027" s="46" t="s">
        <v>2582</v>
      </c>
      <c r="C1027" s="46" t="s">
        <v>1</v>
      </c>
      <c r="D1027" s="46" t="s">
        <v>2596</v>
      </c>
      <c r="E1027" s="46" t="s">
        <v>89</v>
      </c>
      <c r="F1027" s="46" t="s">
        <v>63</v>
      </c>
      <c r="G1027" s="46" t="s">
        <v>2390</v>
      </c>
      <c r="H1027" s="46" t="s">
        <v>2561</v>
      </c>
      <c r="I1027" s="46" t="s">
        <v>2391</v>
      </c>
      <c r="J1027" s="46" t="s">
        <v>5</v>
      </c>
      <c r="K1027" s="46" t="s">
        <v>6</v>
      </c>
      <c r="L1027" s="46" t="s">
        <v>91</v>
      </c>
      <c r="M1027" s="46" t="s">
        <v>67</v>
      </c>
      <c r="N1027" s="67" t="s">
        <v>110</v>
      </c>
      <c r="O1027" s="67" t="s">
        <v>92</v>
      </c>
      <c r="P1027" s="74" t="s">
        <v>69</v>
      </c>
    </row>
    <row r="1028" spans="1:16">
      <c r="A1028" s="345">
        <v>1</v>
      </c>
      <c r="B1028" s="79">
        <v>2</v>
      </c>
      <c r="C1028" s="79">
        <v>3</v>
      </c>
      <c r="D1028" s="79">
        <v>4</v>
      </c>
      <c r="E1028" s="79">
        <v>5</v>
      </c>
      <c r="F1028" s="79">
        <v>6</v>
      </c>
      <c r="G1028" s="79">
        <v>7</v>
      </c>
      <c r="H1028" s="79">
        <v>8</v>
      </c>
      <c r="I1028" s="79">
        <v>9</v>
      </c>
      <c r="J1028" s="79">
        <v>10</v>
      </c>
      <c r="K1028" s="79">
        <v>11</v>
      </c>
      <c r="L1028" s="79">
        <v>12</v>
      </c>
      <c r="M1028" s="79">
        <v>13</v>
      </c>
      <c r="N1028" s="79">
        <v>14</v>
      </c>
      <c r="O1028" s="357">
        <v>15</v>
      </c>
      <c r="P1028" s="46">
        <v>16</v>
      </c>
    </row>
    <row r="1029" spans="1:16" ht="90">
      <c r="A1029" s="339">
        <v>1</v>
      </c>
      <c r="B1029" s="565" t="s">
        <v>2619</v>
      </c>
      <c r="C1029" s="553" t="s">
        <v>1234</v>
      </c>
      <c r="D1029" s="344" t="s">
        <v>7015</v>
      </c>
      <c r="E1029" s="435">
        <v>30445</v>
      </c>
      <c r="F1029" s="339" t="s">
        <v>1235</v>
      </c>
      <c r="G1029" s="336">
        <v>10.67</v>
      </c>
      <c r="H1029" s="336" t="s">
        <v>17</v>
      </c>
      <c r="I1029" s="336" t="s">
        <v>150</v>
      </c>
      <c r="J1029" s="336" t="s">
        <v>17</v>
      </c>
      <c r="K1029" s="336" t="s">
        <v>17</v>
      </c>
      <c r="L1029" s="339" t="s">
        <v>1354</v>
      </c>
      <c r="M1029" s="336" t="s">
        <v>17</v>
      </c>
      <c r="N1029" s="336">
        <v>1</v>
      </c>
      <c r="O1029" s="336">
        <v>1</v>
      </c>
      <c r="P1029" s="336"/>
    </row>
    <row r="1030" spans="1:16" ht="60">
      <c r="A1030" s="339">
        <v>2</v>
      </c>
      <c r="B1030" s="566"/>
      <c r="C1030" s="553"/>
      <c r="D1030" s="334" t="s">
        <v>7011</v>
      </c>
      <c r="E1030" s="435">
        <v>9761</v>
      </c>
      <c r="F1030" s="339" t="s">
        <v>1235</v>
      </c>
      <c r="G1030" s="336">
        <v>4.4400000000000004</v>
      </c>
      <c r="H1030" s="336" t="s">
        <v>17</v>
      </c>
      <c r="I1030" s="336" t="s">
        <v>150</v>
      </c>
      <c r="J1030" s="336" t="s">
        <v>17</v>
      </c>
      <c r="K1030" s="336" t="s">
        <v>17</v>
      </c>
      <c r="L1030" s="336" t="s">
        <v>17</v>
      </c>
      <c r="M1030" s="336" t="s">
        <v>465</v>
      </c>
      <c r="N1030" s="336" t="s">
        <v>17</v>
      </c>
      <c r="O1030" s="336" t="s">
        <v>17</v>
      </c>
      <c r="P1030" s="336"/>
    </row>
    <row r="1031" spans="1:16" ht="30">
      <c r="A1031" s="339">
        <v>3</v>
      </c>
      <c r="B1031" s="566"/>
      <c r="C1031" s="344" t="s">
        <v>2503</v>
      </c>
      <c r="D1031" s="618" t="s">
        <v>87</v>
      </c>
      <c r="E1031" s="619"/>
      <c r="F1031" s="619"/>
      <c r="G1031" s="619"/>
      <c r="H1031" s="619"/>
      <c r="I1031" s="619"/>
      <c r="J1031" s="619"/>
      <c r="K1031" s="619"/>
      <c r="L1031" s="619"/>
      <c r="M1031" s="619"/>
      <c r="N1031" s="619"/>
      <c r="O1031" s="619"/>
      <c r="P1031" s="620"/>
    </row>
    <row r="1032" spans="1:16" ht="135">
      <c r="A1032" s="339">
        <v>4</v>
      </c>
      <c r="B1032" s="566"/>
      <c r="C1032" s="605" t="s">
        <v>1137</v>
      </c>
      <c r="D1032" s="344" t="s">
        <v>1355</v>
      </c>
      <c r="E1032" s="336">
        <v>12856</v>
      </c>
      <c r="F1032" s="336">
        <v>1956</v>
      </c>
      <c r="G1032" s="336">
        <v>0.93310000000000004</v>
      </c>
      <c r="H1032" s="336">
        <v>69.16</v>
      </c>
      <c r="I1032" s="336"/>
      <c r="J1032" s="336" t="s">
        <v>87</v>
      </c>
      <c r="K1032" s="336" t="s">
        <v>87</v>
      </c>
      <c r="L1032" s="336" t="s">
        <v>87</v>
      </c>
      <c r="M1032" s="336"/>
      <c r="N1032" s="336"/>
      <c r="O1032" s="336"/>
      <c r="P1032" s="207" t="s">
        <v>1356</v>
      </c>
    </row>
    <row r="1033" spans="1:16" ht="75">
      <c r="A1033" s="339">
        <v>5</v>
      </c>
      <c r="B1033" s="566"/>
      <c r="C1033" s="606"/>
      <c r="D1033" s="344" t="s">
        <v>1357</v>
      </c>
      <c r="E1033" s="336">
        <v>2039.7</v>
      </c>
      <c r="F1033" s="336">
        <v>1993</v>
      </c>
      <c r="G1033" s="336">
        <v>0.41399999999999998</v>
      </c>
      <c r="H1033" s="336">
        <v>2.19</v>
      </c>
      <c r="I1033" s="336"/>
      <c r="J1033" s="336" t="s">
        <v>87</v>
      </c>
      <c r="K1033" s="336" t="s">
        <v>87</v>
      </c>
      <c r="L1033" s="336" t="s">
        <v>87</v>
      </c>
      <c r="M1033" s="336"/>
      <c r="N1033" s="336"/>
      <c r="O1033" s="336"/>
      <c r="P1033" s="336"/>
    </row>
    <row r="1034" spans="1:16" ht="105">
      <c r="A1034" s="339">
        <v>6</v>
      </c>
      <c r="B1034" s="566"/>
      <c r="C1034" s="636"/>
      <c r="D1034" s="344" t="s">
        <v>1358</v>
      </c>
      <c r="E1034" s="336">
        <v>7803</v>
      </c>
      <c r="F1034" s="336">
        <v>1993</v>
      </c>
      <c r="G1034" s="336">
        <v>4.0800000000000003E-2</v>
      </c>
      <c r="H1034" s="336">
        <v>12.48</v>
      </c>
      <c r="I1034" s="336"/>
      <c r="J1034" s="336" t="s">
        <v>87</v>
      </c>
      <c r="K1034" s="336" t="s">
        <v>87</v>
      </c>
      <c r="L1034" s="336" t="s">
        <v>87</v>
      </c>
      <c r="M1034" s="336"/>
      <c r="N1034" s="336"/>
      <c r="O1034" s="336"/>
      <c r="P1034" s="123"/>
    </row>
    <row r="1035" spans="1:16">
      <c r="A1035" s="339">
        <v>7</v>
      </c>
      <c r="B1035" s="566"/>
      <c r="C1035" s="452" t="s">
        <v>2504</v>
      </c>
      <c r="D1035" s="618" t="s">
        <v>87</v>
      </c>
      <c r="E1035" s="619"/>
      <c r="F1035" s="619"/>
      <c r="G1035" s="619"/>
      <c r="H1035" s="619"/>
      <c r="I1035" s="619"/>
      <c r="J1035" s="619"/>
      <c r="K1035" s="619"/>
      <c r="L1035" s="619"/>
      <c r="M1035" s="619"/>
      <c r="N1035" s="619"/>
      <c r="O1035" s="619"/>
      <c r="P1035" s="620"/>
    </row>
    <row r="1036" spans="1:16" ht="30">
      <c r="A1036" s="339">
        <v>8</v>
      </c>
      <c r="B1036" s="566"/>
      <c r="C1036" s="605" t="s">
        <v>1153</v>
      </c>
      <c r="D1036" s="344" t="s">
        <v>1359</v>
      </c>
      <c r="E1036" s="336">
        <v>2300</v>
      </c>
      <c r="F1036" s="336">
        <v>1937</v>
      </c>
      <c r="G1036" s="336">
        <v>1.36</v>
      </c>
      <c r="H1036" s="336" t="s">
        <v>1282</v>
      </c>
      <c r="I1036" s="335" t="s">
        <v>261</v>
      </c>
      <c r="J1036" s="335" t="s">
        <v>160</v>
      </c>
      <c r="K1036" s="335" t="s">
        <v>160</v>
      </c>
      <c r="L1036" s="335" t="s">
        <v>160</v>
      </c>
      <c r="M1036" s="335" t="s">
        <v>160</v>
      </c>
      <c r="N1036" s="49" t="s">
        <v>160</v>
      </c>
      <c r="O1036" s="49" t="s">
        <v>160</v>
      </c>
      <c r="P1036" s="134" t="s">
        <v>160</v>
      </c>
    </row>
    <row r="1037" spans="1:16" ht="30">
      <c r="A1037" s="339">
        <v>9</v>
      </c>
      <c r="B1037" s="566"/>
      <c r="C1037" s="606"/>
      <c r="D1037" s="344" t="s">
        <v>1360</v>
      </c>
      <c r="E1037" s="336">
        <v>195</v>
      </c>
      <c r="F1037" s="336">
        <v>1994</v>
      </c>
      <c r="G1037" s="336">
        <v>0.02</v>
      </c>
      <c r="H1037" s="336" t="s">
        <v>1282</v>
      </c>
      <c r="I1037" s="335" t="s">
        <v>261</v>
      </c>
      <c r="J1037" s="335" t="s">
        <v>160</v>
      </c>
      <c r="K1037" s="335" t="s">
        <v>160</v>
      </c>
      <c r="L1037" s="335" t="s">
        <v>160</v>
      </c>
      <c r="M1037" s="335" t="s">
        <v>160</v>
      </c>
      <c r="N1037" s="49" t="s">
        <v>160</v>
      </c>
      <c r="O1037" s="49" t="s">
        <v>160</v>
      </c>
      <c r="P1037" s="134" t="s">
        <v>160</v>
      </c>
    </row>
    <row r="1038" spans="1:16" ht="30">
      <c r="A1038" s="339">
        <v>10</v>
      </c>
      <c r="B1038" s="566"/>
      <c r="C1038" s="606"/>
      <c r="D1038" s="344" t="s">
        <v>1361</v>
      </c>
      <c r="E1038" s="336">
        <v>318.64</v>
      </c>
      <c r="F1038" s="336">
        <v>1997</v>
      </c>
      <c r="G1038" s="336">
        <v>0.04</v>
      </c>
      <c r="H1038" s="336" t="s">
        <v>1282</v>
      </c>
      <c r="I1038" s="335" t="s">
        <v>261</v>
      </c>
      <c r="J1038" s="335" t="s">
        <v>160</v>
      </c>
      <c r="K1038" s="335" t="s">
        <v>160</v>
      </c>
      <c r="L1038" s="335" t="s">
        <v>160</v>
      </c>
      <c r="M1038" s="335" t="s">
        <v>160</v>
      </c>
      <c r="N1038" s="49" t="s">
        <v>160</v>
      </c>
      <c r="O1038" s="49" t="s">
        <v>160</v>
      </c>
      <c r="P1038" s="134" t="s">
        <v>160</v>
      </c>
    </row>
    <row r="1039" spans="1:16" ht="30">
      <c r="A1039" s="339">
        <v>11</v>
      </c>
      <c r="B1039" s="566"/>
      <c r="C1039" s="636"/>
      <c r="D1039" s="344" t="s">
        <v>1362</v>
      </c>
      <c r="E1039" s="403">
        <v>61.43</v>
      </c>
      <c r="F1039" s="403">
        <v>1933</v>
      </c>
      <c r="G1039" s="403">
        <v>3.0000000000000001E-3</v>
      </c>
      <c r="H1039" s="403" t="s">
        <v>1282</v>
      </c>
      <c r="I1039" s="428" t="s">
        <v>261</v>
      </c>
      <c r="J1039" s="428" t="s">
        <v>160</v>
      </c>
      <c r="K1039" s="428" t="s">
        <v>160</v>
      </c>
      <c r="L1039" s="428" t="s">
        <v>160</v>
      </c>
      <c r="M1039" s="428" t="s">
        <v>160</v>
      </c>
      <c r="N1039" s="453" t="s">
        <v>160</v>
      </c>
      <c r="O1039" s="453" t="s">
        <v>160</v>
      </c>
      <c r="P1039" s="454" t="s">
        <v>160</v>
      </c>
    </row>
    <row r="1040" spans="1:16">
      <c r="A1040" s="339">
        <v>12</v>
      </c>
      <c r="B1040" s="567"/>
      <c r="C1040" s="344" t="s">
        <v>1233</v>
      </c>
      <c r="D1040" s="571" t="s">
        <v>87</v>
      </c>
      <c r="E1040" s="572"/>
      <c r="F1040" s="572"/>
      <c r="G1040" s="572"/>
      <c r="H1040" s="572"/>
      <c r="I1040" s="572"/>
      <c r="J1040" s="572"/>
      <c r="K1040" s="572"/>
      <c r="L1040" s="572"/>
      <c r="M1040" s="572"/>
      <c r="N1040" s="572"/>
      <c r="O1040" s="572"/>
      <c r="P1040" s="573"/>
    </row>
    <row r="1041" spans="1:16">
      <c r="A1041" s="574"/>
      <c r="B1041" s="574"/>
      <c r="C1041" s="574"/>
      <c r="D1041" s="574"/>
      <c r="E1041" s="574"/>
      <c r="F1041" s="574"/>
      <c r="G1041" s="574"/>
      <c r="H1041" s="574"/>
      <c r="I1041" s="574"/>
      <c r="J1041" s="574"/>
      <c r="K1041" s="574"/>
      <c r="L1041" s="574"/>
      <c r="M1041" s="574"/>
      <c r="N1041" s="574"/>
      <c r="O1041" s="574"/>
      <c r="P1041" s="574"/>
    </row>
    <row r="1042" spans="1:16" ht="22.5">
      <c r="A1042" s="803" t="s">
        <v>671</v>
      </c>
      <c r="B1042" s="804"/>
      <c r="C1042" s="804"/>
      <c r="D1042" s="804"/>
      <c r="E1042" s="804"/>
      <c r="F1042" s="804"/>
      <c r="G1042" s="804"/>
      <c r="H1042" s="804"/>
      <c r="I1042" s="804"/>
      <c r="J1042" s="804"/>
      <c r="K1042" s="804"/>
      <c r="L1042" s="804"/>
      <c r="M1042" s="804"/>
      <c r="N1042" s="804"/>
      <c r="O1042" s="804"/>
      <c r="P1042" s="804"/>
    </row>
    <row r="1043" spans="1:16" ht="20.25">
      <c r="A1043" s="555" t="s">
        <v>61</v>
      </c>
      <c r="B1043" s="556"/>
      <c r="C1043" s="556"/>
      <c r="D1043" s="556"/>
      <c r="E1043" s="556"/>
      <c r="F1043" s="556"/>
      <c r="G1043" s="556"/>
      <c r="H1043" s="556"/>
      <c r="I1043" s="556"/>
      <c r="J1043" s="556"/>
      <c r="K1043" s="556"/>
      <c r="L1043" s="556"/>
      <c r="M1043" s="556"/>
      <c r="N1043" s="556"/>
      <c r="O1043" s="556"/>
      <c r="P1043" s="556"/>
    </row>
    <row r="1044" spans="1:16" ht="85.5">
      <c r="A1044" s="46" t="s">
        <v>0</v>
      </c>
      <c r="B1044" s="46" t="s">
        <v>2592</v>
      </c>
      <c r="C1044" s="46" t="s">
        <v>1</v>
      </c>
      <c r="D1044" s="46" t="s">
        <v>2593</v>
      </c>
      <c r="E1044" s="46" t="s">
        <v>3</v>
      </c>
      <c r="F1044" s="46" t="s">
        <v>4</v>
      </c>
      <c r="G1044" s="46" t="s">
        <v>2594</v>
      </c>
      <c r="H1044" s="46" t="s">
        <v>2595</v>
      </c>
      <c r="I1044" s="46" t="s">
        <v>2392</v>
      </c>
      <c r="J1044" s="46" t="s">
        <v>5</v>
      </c>
      <c r="K1044" s="46" t="s">
        <v>6</v>
      </c>
      <c r="L1044" s="46" t="s">
        <v>7</v>
      </c>
      <c r="M1044" s="67" t="s">
        <v>8</v>
      </c>
      <c r="N1044" s="399" t="s">
        <v>9</v>
      </c>
      <c r="O1044" s="400" t="s">
        <v>10</v>
      </c>
      <c r="P1044" s="401" t="s">
        <v>11</v>
      </c>
    </row>
    <row r="1045" spans="1:16">
      <c r="A1045" s="8">
        <v>1</v>
      </c>
      <c r="B1045" s="46">
        <v>2</v>
      </c>
      <c r="C1045" s="46">
        <v>3</v>
      </c>
      <c r="D1045" s="46">
        <v>4</v>
      </c>
      <c r="E1045" s="46">
        <v>5</v>
      </c>
      <c r="F1045" s="46">
        <v>6</v>
      </c>
      <c r="G1045" s="46">
        <v>7</v>
      </c>
      <c r="H1045" s="46">
        <v>8</v>
      </c>
      <c r="I1045" s="46">
        <v>9</v>
      </c>
      <c r="J1045" s="46">
        <v>10</v>
      </c>
      <c r="K1045" s="46">
        <v>11</v>
      </c>
      <c r="L1045" s="46">
        <v>12</v>
      </c>
      <c r="M1045" s="46">
        <v>13</v>
      </c>
      <c r="N1045" s="46">
        <v>14</v>
      </c>
      <c r="O1045" s="400">
        <v>15</v>
      </c>
      <c r="P1045" s="46">
        <v>16</v>
      </c>
    </row>
    <row r="1046" spans="1:16" ht="90">
      <c r="A1046" s="336">
        <v>1</v>
      </c>
      <c r="B1046" s="565" t="s">
        <v>2621</v>
      </c>
      <c r="C1046" s="344" t="s">
        <v>2440</v>
      </c>
      <c r="D1046" s="344" t="s">
        <v>1363</v>
      </c>
      <c r="E1046" s="339">
        <v>371.98399999999998</v>
      </c>
      <c r="F1046" s="336" t="s">
        <v>1364</v>
      </c>
      <c r="G1046" s="336" t="s">
        <v>389</v>
      </c>
      <c r="H1046" s="336" t="s">
        <v>17</v>
      </c>
      <c r="I1046" s="336" t="s">
        <v>1240</v>
      </c>
      <c r="J1046" s="336" t="s">
        <v>389</v>
      </c>
      <c r="K1046" s="336" t="s">
        <v>389</v>
      </c>
      <c r="L1046" s="207" t="s">
        <v>1365</v>
      </c>
      <c r="M1046" s="336" t="s">
        <v>389</v>
      </c>
      <c r="N1046" s="336" t="s">
        <v>389</v>
      </c>
      <c r="O1046" s="336" t="s">
        <v>389</v>
      </c>
      <c r="P1046" s="336"/>
    </row>
    <row r="1047" spans="1:16" ht="30">
      <c r="A1047" s="336">
        <v>2</v>
      </c>
      <c r="B1047" s="566"/>
      <c r="C1047" s="565" t="s">
        <v>2438</v>
      </c>
      <c r="D1047" s="352" t="s">
        <v>1366</v>
      </c>
      <c r="E1047" s="336">
        <v>3783</v>
      </c>
      <c r="F1047" s="335" t="s">
        <v>1367</v>
      </c>
      <c r="G1047" s="335">
        <v>5.4999999999999997E-3</v>
      </c>
      <c r="H1047" s="336" t="s">
        <v>17</v>
      </c>
      <c r="I1047" s="339" t="s">
        <v>2442</v>
      </c>
      <c r="J1047" s="336" t="s">
        <v>17</v>
      </c>
      <c r="K1047" s="336" t="s">
        <v>17</v>
      </c>
      <c r="L1047" s="336" t="s">
        <v>87</v>
      </c>
      <c r="M1047" s="336"/>
      <c r="N1047" s="336"/>
      <c r="O1047" s="336"/>
      <c r="P1047" s="336"/>
    </row>
    <row r="1048" spans="1:16" ht="45">
      <c r="A1048" s="336">
        <v>3</v>
      </c>
      <c r="B1048" s="566"/>
      <c r="C1048" s="566"/>
      <c r="D1048" s="344" t="s">
        <v>1368</v>
      </c>
      <c r="E1048" s="336">
        <v>18511.099999999999</v>
      </c>
      <c r="F1048" s="336" t="s">
        <v>1369</v>
      </c>
      <c r="G1048" s="336">
        <v>6.3E-3</v>
      </c>
      <c r="H1048" s="336" t="s">
        <v>17</v>
      </c>
      <c r="I1048" s="339" t="s">
        <v>2442</v>
      </c>
      <c r="J1048" s="336" t="s">
        <v>17</v>
      </c>
      <c r="K1048" s="336" t="s">
        <v>17</v>
      </c>
      <c r="L1048" s="336" t="s">
        <v>87</v>
      </c>
      <c r="M1048" s="336"/>
      <c r="N1048" s="336"/>
      <c r="O1048" s="336"/>
      <c r="P1048" s="336"/>
    </row>
    <row r="1049" spans="1:16" ht="45">
      <c r="A1049" s="336">
        <v>4</v>
      </c>
      <c r="B1049" s="566"/>
      <c r="C1049" s="566"/>
      <c r="D1049" s="344" t="s">
        <v>1370</v>
      </c>
      <c r="E1049" s="336">
        <v>981.05</v>
      </c>
      <c r="F1049" s="336" t="s">
        <v>1369</v>
      </c>
      <c r="G1049" s="336">
        <v>6.3300000000000004E-6</v>
      </c>
      <c r="H1049" s="339" t="s">
        <v>17</v>
      </c>
      <c r="I1049" s="339" t="s">
        <v>150</v>
      </c>
      <c r="J1049" s="339"/>
      <c r="K1049" s="339"/>
      <c r="L1049" s="207" t="s">
        <v>2437</v>
      </c>
      <c r="M1049" s="336"/>
      <c r="N1049" s="336"/>
      <c r="O1049" s="336"/>
      <c r="P1049" s="336"/>
    </row>
    <row r="1050" spans="1:16" ht="30">
      <c r="A1050" s="336">
        <v>5</v>
      </c>
      <c r="B1050" s="566"/>
      <c r="C1050" s="566"/>
      <c r="D1050" s="344" t="s">
        <v>1371</v>
      </c>
      <c r="E1050" s="336">
        <v>1781.26</v>
      </c>
      <c r="F1050" s="336" t="s">
        <v>1372</v>
      </c>
      <c r="G1050" s="336">
        <v>3.5000000000000001E-3</v>
      </c>
      <c r="H1050" s="336">
        <v>0.55000000000000004</v>
      </c>
      <c r="I1050" s="339" t="s">
        <v>150</v>
      </c>
      <c r="J1050" s="339"/>
      <c r="K1050" s="339"/>
      <c r="L1050" s="336"/>
      <c r="M1050" s="336"/>
      <c r="N1050" s="336"/>
      <c r="O1050" s="336"/>
      <c r="P1050" s="336"/>
    </row>
    <row r="1051" spans="1:16">
      <c r="A1051" s="336">
        <v>6</v>
      </c>
      <c r="B1051" s="566"/>
      <c r="C1051" s="566"/>
      <c r="D1051" s="344" t="s">
        <v>1373</v>
      </c>
      <c r="E1051" s="336">
        <v>1254.53</v>
      </c>
      <c r="F1051" s="336" t="s">
        <v>1374</v>
      </c>
      <c r="G1051" s="336"/>
      <c r="H1051" s="336"/>
      <c r="I1051" s="339" t="s">
        <v>150</v>
      </c>
      <c r="J1051" s="339"/>
      <c r="K1051" s="339"/>
      <c r="L1051" s="336"/>
      <c r="M1051" s="336"/>
      <c r="N1051" s="336"/>
      <c r="O1051" s="336"/>
      <c r="P1051" s="336"/>
    </row>
    <row r="1052" spans="1:16">
      <c r="A1052" s="336">
        <v>7</v>
      </c>
      <c r="B1052" s="566"/>
      <c r="C1052" s="566"/>
      <c r="D1052" s="344" t="s">
        <v>1375</v>
      </c>
      <c r="E1052" s="336">
        <v>1456.87</v>
      </c>
      <c r="F1052" s="336" t="s">
        <v>1376</v>
      </c>
      <c r="G1052" s="336"/>
      <c r="H1052" s="336"/>
      <c r="I1052" s="339" t="s">
        <v>150</v>
      </c>
      <c r="J1052" s="339"/>
      <c r="K1052" s="339"/>
      <c r="L1052" s="336"/>
      <c r="M1052" s="336"/>
      <c r="N1052" s="336"/>
      <c r="O1052" s="336"/>
      <c r="P1052" s="336"/>
    </row>
    <row r="1053" spans="1:16">
      <c r="A1053" s="336">
        <v>8</v>
      </c>
      <c r="B1053" s="566"/>
      <c r="C1053" s="567"/>
      <c r="D1053" s="344" t="s">
        <v>1377</v>
      </c>
      <c r="E1053" s="336">
        <v>1780.62</v>
      </c>
      <c r="F1053" s="336" t="s">
        <v>1378</v>
      </c>
      <c r="G1053" s="336"/>
      <c r="H1053" s="336"/>
      <c r="I1053" s="339" t="s">
        <v>150</v>
      </c>
      <c r="J1053" s="339"/>
      <c r="K1053" s="339"/>
      <c r="L1053" s="336"/>
      <c r="M1053" s="336"/>
      <c r="N1053" s="336"/>
      <c r="O1053" s="336"/>
      <c r="P1053" s="336"/>
    </row>
    <row r="1054" spans="1:16" ht="105">
      <c r="A1054" s="336">
        <v>9</v>
      </c>
      <c r="B1054" s="567"/>
      <c r="C1054" s="344" t="s">
        <v>1379</v>
      </c>
      <c r="D1054" s="50" t="s">
        <v>2505</v>
      </c>
      <c r="E1054" s="336" t="s">
        <v>1380</v>
      </c>
      <c r="F1054" s="339" t="s">
        <v>1381</v>
      </c>
      <c r="G1054" s="336" t="s">
        <v>17</v>
      </c>
      <c r="H1054" s="336" t="s">
        <v>274</v>
      </c>
      <c r="I1054" s="336" t="s">
        <v>17</v>
      </c>
      <c r="J1054" s="336" t="s">
        <v>17</v>
      </c>
      <c r="K1054" s="336" t="s">
        <v>17</v>
      </c>
      <c r="L1054" s="336" t="s">
        <v>1382</v>
      </c>
      <c r="M1054" s="336" t="s">
        <v>26</v>
      </c>
      <c r="N1054" s="336" t="s">
        <v>17</v>
      </c>
      <c r="O1054" s="336" t="s">
        <v>17</v>
      </c>
      <c r="P1054" s="455" t="s">
        <v>1383</v>
      </c>
    </row>
    <row r="1055" spans="1:16">
      <c r="A1055" s="562"/>
      <c r="B1055" s="562"/>
      <c r="C1055" s="562"/>
      <c r="D1055" s="562"/>
      <c r="E1055" s="562"/>
      <c r="F1055" s="562"/>
      <c r="G1055" s="562"/>
      <c r="H1055" s="562"/>
      <c r="I1055" s="562"/>
      <c r="J1055" s="562"/>
      <c r="K1055" s="562"/>
      <c r="L1055" s="562"/>
      <c r="M1055" s="562"/>
      <c r="N1055" s="562"/>
      <c r="O1055" s="562"/>
      <c r="P1055" s="562"/>
    </row>
    <row r="1056" spans="1:16" ht="20.25" customHeight="1">
      <c r="A1056" s="559" t="s">
        <v>88</v>
      </c>
      <c r="B1056" s="559"/>
      <c r="C1056" s="559"/>
      <c r="D1056" s="559"/>
      <c r="E1056" s="559"/>
      <c r="F1056" s="559"/>
      <c r="G1056" s="559"/>
      <c r="H1056" s="559"/>
      <c r="I1056" s="559"/>
      <c r="J1056" s="559"/>
      <c r="K1056" s="559"/>
      <c r="L1056" s="559"/>
      <c r="M1056" s="559"/>
      <c r="N1056" s="559"/>
      <c r="O1056" s="559"/>
      <c r="P1056" s="560"/>
    </row>
    <row r="1057" spans="1:16" ht="85.5">
      <c r="A1057" s="46" t="s">
        <v>0</v>
      </c>
      <c r="B1057" s="46" t="s">
        <v>2582</v>
      </c>
      <c r="C1057" s="46" t="s">
        <v>1</v>
      </c>
      <c r="D1057" s="46" t="s">
        <v>2596</v>
      </c>
      <c r="E1057" s="67" t="s">
        <v>62</v>
      </c>
      <c r="F1057" s="67" t="s">
        <v>63</v>
      </c>
      <c r="G1057" s="46" t="s">
        <v>2560</v>
      </c>
      <c r="H1057" s="46" t="s">
        <v>2561</v>
      </c>
      <c r="I1057" s="46" t="s">
        <v>2583</v>
      </c>
      <c r="J1057" s="46" t="s">
        <v>5</v>
      </c>
      <c r="K1057" s="46" t="s">
        <v>6</v>
      </c>
      <c r="L1057" s="46" t="s">
        <v>66</v>
      </c>
      <c r="M1057" s="46" t="s">
        <v>67</v>
      </c>
      <c r="N1057" s="67" t="s">
        <v>68</v>
      </c>
      <c r="O1057" s="74" t="s">
        <v>69</v>
      </c>
      <c r="P1057" s="561"/>
    </row>
    <row r="1058" spans="1:16" ht="15" customHeight="1">
      <c r="A1058" s="345">
        <v>1</v>
      </c>
      <c r="B1058" s="79">
        <v>2</v>
      </c>
      <c r="C1058" s="79">
        <v>3</v>
      </c>
      <c r="D1058" s="79">
        <v>4</v>
      </c>
      <c r="E1058" s="79">
        <v>5</v>
      </c>
      <c r="F1058" s="79">
        <v>6</v>
      </c>
      <c r="G1058" s="79">
        <v>7</v>
      </c>
      <c r="H1058" s="79">
        <v>8</v>
      </c>
      <c r="I1058" s="79">
        <v>9</v>
      </c>
      <c r="J1058" s="79">
        <v>10</v>
      </c>
      <c r="K1058" s="79">
        <v>11</v>
      </c>
      <c r="L1058" s="79">
        <v>12</v>
      </c>
      <c r="M1058" s="79">
        <v>13</v>
      </c>
      <c r="N1058" s="79">
        <v>14</v>
      </c>
      <c r="O1058" s="79">
        <v>15</v>
      </c>
      <c r="P1058" s="561"/>
    </row>
    <row r="1059" spans="1:16" ht="45">
      <c r="A1059" s="336">
        <v>1</v>
      </c>
      <c r="B1059" s="565" t="s">
        <v>2621</v>
      </c>
      <c r="C1059" s="344" t="s">
        <v>2439</v>
      </c>
      <c r="D1059" s="352" t="s">
        <v>1385</v>
      </c>
      <c r="E1059" s="335">
        <v>227</v>
      </c>
      <c r="F1059" s="335" t="s">
        <v>1367</v>
      </c>
      <c r="G1059" s="641">
        <v>5.4999999999999997E-3</v>
      </c>
      <c r="H1059" s="335" t="s">
        <v>17</v>
      </c>
      <c r="I1059" s="595" t="s">
        <v>2442</v>
      </c>
      <c r="J1059" s="428" t="s">
        <v>17</v>
      </c>
      <c r="K1059" s="428" t="s">
        <v>17</v>
      </c>
      <c r="L1059" s="339" t="s">
        <v>87</v>
      </c>
      <c r="M1059" s="335"/>
      <c r="N1059" s="335"/>
      <c r="O1059" s="77" t="s">
        <v>1386</v>
      </c>
      <c r="P1059" s="561"/>
    </row>
    <row r="1060" spans="1:16" ht="45">
      <c r="A1060" s="336">
        <v>2</v>
      </c>
      <c r="B1060" s="566"/>
      <c r="C1060" s="344" t="s">
        <v>2439</v>
      </c>
      <c r="D1060" s="352" t="s">
        <v>1387</v>
      </c>
      <c r="E1060" s="335">
        <v>155.429</v>
      </c>
      <c r="F1060" s="335" t="s">
        <v>1367</v>
      </c>
      <c r="G1060" s="642"/>
      <c r="H1060" s="335" t="s">
        <v>17</v>
      </c>
      <c r="I1060" s="595"/>
      <c r="J1060" s="428" t="s">
        <v>17</v>
      </c>
      <c r="K1060" s="428" t="s">
        <v>17</v>
      </c>
      <c r="L1060" s="339" t="s">
        <v>87</v>
      </c>
      <c r="M1060" s="335"/>
      <c r="N1060" s="335"/>
      <c r="O1060" s="77" t="s">
        <v>7016</v>
      </c>
      <c r="P1060" s="561"/>
    </row>
    <row r="1061" spans="1:16" ht="30">
      <c r="A1061" s="336">
        <v>3</v>
      </c>
      <c r="B1061" s="566"/>
      <c r="C1061" s="344" t="s">
        <v>1379</v>
      </c>
      <c r="D1061" s="456" t="s">
        <v>1388</v>
      </c>
      <c r="E1061" s="457">
        <v>607</v>
      </c>
      <c r="F1061" s="126" t="s">
        <v>17</v>
      </c>
      <c r="G1061" s="126" t="s">
        <v>17</v>
      </c>
      <c r="H1061" s="336" t="s">
        <v>17</v>
      </c>
      <c r="I1061" s="403" t="s">
        <v>1389</v>
      </c>
      <c r="J1061" s="428" t="s">
        <v>17</v>
      </c>
      <c r="K1061" s="428" t="s">
        <v>17</v>
      </c>
      <c r="L1061" s="428" t="s">
        <v>17</v>
      </c>
      <c r="M1061" s="428" t="s">
        <v>17</v>
      </c>
      <c r="N1061" s="428"/>
      <c r="O1061" s="77" t="s">
        <v>1390</v>
      </c>
      <c r="P1061" s="561"/>
    </row>
    <row r="1062" spans="1:16" ht="47.25" customHeight="1">
      <c r="A1062" s="336">
        <v>4</v>
      </c>
      <c r="B1062" s="566"/>
      <c r="C1062" s="344" t="s">
        <v>1379</v>
      </c>
      <c r="D1062" s="240" t="s">
        <v>1391</v>
      </c>
      <c r="E1062" s="126" t="s">
        <v>1392</v>
      </c>
      <c r="F1062" s="126" t="s">
        <v>1393</v>
      </c>
      <c r="G1062" s="126" t="s">
        <v>1394</v>
      </c>
      <c r="H1062" s="336" t="s">
        <v>352</v>
      </c>
      <c r="I1062" s="336" t="s">
        <v>785</v>
      </c>
      <c r="J1062" s="49" t="s">
        <v>1395</v>
      </c>
      <c r="K1062" s="49" t="s">
        <v>1396</v>
      </c>
      <c r="L1062" s="335" t="s">
        <v>17</v>
      </c>
      <c r="M1062" s="335" t="s">
        <v>17</v>
      </c>
      <c r="N1062" s="335" t="s">
        <v>17</v>
      </c>
      <c r="O1062" s="77" t="s">
        <v>1397</v>
      </c>
      <c r="P1062" s="561"/>
    </row>
    <row r="1063" spans="1:16" ht="30">
      <c r="A1063" s="335">
        <v>5</v>
      </c>
      <c r="B1063" s="566"/>
      <c r="C1063" s="344" t="s">
        <v>1379</v>
      </c>
      <c r="D1063" s="456" t="s">
        <v>1398</v>
      </c>
      <c r="E1063" s="457">
        <v>719</v>
      </c>
      <c r="F1063" s="457" t="s">
        <v>17</v>
      </c>
      <c r="G1063" s="457" t="s">
        <v>17</v>
      </c>
      <c r="H1063" s="457" t="s">
        <v>17</v>
      </c>
      <c r="I1063" s="457" t="s">
        <v>17</v>
      </c>
      <c r="J1063" s="457" t="s">
        <v>17</v>
      </c>
      <c r="K1063" s="457" t="s">
        <v>17</v>
      </c>
      <c r="L1063" s="457" t="s">
        <v>17</v>
      </c>
      <c r="M1063" s="457" t="s">
        <v>17</v>
      </c>
      <c r="N1063" s="457" t="s">
        <v>17</v>
      </c>
      <c r="O1063" s="77" t="s">
        <v>1399</v>
      </c>
      <c r="P1063" s="561"/>
    </row>
    <row r="1064" spans="1:16" ht="90">
      <c r="A1064" s="428">
        <v>6</v>
      </c>
      <c r="B1064" s="566"/>
      <c r="C1064" s="334" t="s">
        <v>1400</v>
      </c>
      <c r="D1064" s="458" t="s">
        <v>1401</v>
      </c>
      <c r="E1064" s="403">
        <v>10198</v>
      </c>
      <c r="F1064" s="403" t="s">
        <v>1402</v>
      </c>
      <c r="G1064" s="403">
        <v>0.34</v>
      </c>
      <c r="H1064" s="403" t="s">
        <v>17</v>
      </c>
      <c r="I1064" s="346" t="s">
        <v>1403</v>
      </c>
      <c r="J1064" s="403" t="s">
        <v>17</v>
      </c>
      <c r="K1064" s="403" t="s">
        <v>17</v>
      </c>
      <c r="L1064" s="403" t="s">
        <v>1404</v>
      </c>
      <c r="M1064" s="403" t="s">
        <v>17</v>
      </c>
      <c r="N1064" s="403" t="s">
        <v>17</v>
      </c>
      <c r="O1064" s="453" t="s">
        <v>17</v>
      </c>
      <c r="P1064" s="646"/>
    </row>
    <row r="1065" spans="1:16" ht="15" customHeight="1">
      <c r="A1065" s="554"/>
      <c r="B1065" s="554"/>
      <c r="C1065" s="554"/>
      <c r="D1065" s="554"/>
      <c r="E1065" s="554"/>
      <c r="F1065" s="554"/>
      <c r="G1065" s="554"/>
      <c r="H1065" s="554"/>
      <c r="I1065" s="554"/>
      <c r="J1065" s="554"/>
      <c r="K1065" s="554"/>
      <c r="L1065" s="554"/>
      <c r="M1065" s="554"/>
      <c r="N1065" s="554"/>
      <c r="O1065" s="554"/>
      <c r="P1065" s="554"/>
    </row>
    <row r="1066" spans="1:16" ht="20.25" customHeight="1">
      <c r="A1066" s="559" t="s">
        <v>111</v>
      </c>
      <c r="B1066" s="559"/>
      <c r="C1066" s="559"/>
      <c r="D1066" s="559"/>
      <c r="E1066" s="559"/>
      <c r="F1066" s="559"/>
      <c r="G1066" s="559"/>
      <c r="H1066" s="559"/>
      <c r="I1066" s="559"/>
      <c r="J1066" s="559"/>
      <c r="K1066" s="559"/>
      <c r="L1066" s="559"/>
      <c r="M1066" s="559"/>
      <c r="N1066" s="559"/>
      <c r="O1066" s="559"/>
      <c r="P1066" s="601"/>
    </row>
    <row r="1067" spans="1:16" ht="85.5">
      <c r="A1067" s="46" t="s">
        <v>0</v>
      </c>
      <c r="B1067" s="46" t="s">
        <v>2582</v>
      </c>
      <c r="C1067" s="46" t="s">
        <v>1</v>
      </c>
      <c r="D1067" s="46" t="s">
        <v>2596</v>
      </c>
      <c r="E1067" s="46" t="s">
        <v>89</v>
      </c>
      <c r="F1067" s="46" t="s">
        <v>63</v>
      </c>
      <c r="G1067" s="46" t="s">
        <v>2590</v>
      </c>
      <c r="H1067" s="46" t="s">
        <v>2561</v>
      </c>
      <c r="I1067" s="46" t="s">
        <v>2391</v>
      </c>
      <c r="J1067" s="46" t="s">
        <v>5</v>
      </c>
      <c r="K1067" s="46" t="s">
        <v>6</v>
      </c>
      <c r="L1067" s="46" t="s">
        <v>91</v>
      </c>
      <c r="M1067" s="46" t="s">
        <v>67</v>
      </c>
      <c r="N1067" s="67" t="s">
        <v>92</v>
      </c>
      <c r="O1067" s="401" t="s">
        <v>11</v>
      </c>
      <c r="P1067" s="602"/>
    </row>
    <row r="1068" spans="1:16" ht="15" customHeight="1">
      <c r="A1068" s="345">
        <v>1</v>
      </c>
      <c r="B1068" s="79">
        <v>2</v>
      </c>
      <c r="C1068" s="79">
        <v>3</v>
      </c>
      <c r="D1068" s="79">
        <v>4</v>
      </c>
      <c r="E1068" s="79">
        <v>5</v>
      </c>
      <c r="F1068" s="79">
        <v>6</v>
      </c>
      <c r="G1068" s="79">
        <v>7</v>
      </c>
      <c r="H1068" s="79">
        <v>8</v>
      </c>
      <c r="I1068" s="79">
        <v>9</v>
      </c>
      <c r="J1068" s="79">
        <v>10</v>
      </c>
      <c r="K1068" s="79">
        <v>11</v>
      </c>
      <c r="L1068" s="79">
        <v>12</v>
      </c>
      <c r="M1068" s="79">
        <v>13</v>
      </c>
      <c r="N1068" s="357">
        <v>14</v>
      </c>
      <c r="O1068" s="79">
        <v>15</v>
      </c>
      <c r="P1068" s="602"/>
    </row>
    <row r="1069" spans="1:16" ht="45">
      <c r="A1069" s="336">
        <v>1</v>
      </c>
      <c r="B1069" s="565" t="s">
        <v>2621</v>
      </c>
      <c r="C1069" s="344" t="s">
        <v>2440</v>
      </c>
      <c r="D1069" s="344" t="s">
        <v>1363</v>
      </c>
      <c r="E1069" s="339">
        <v>68011.89</v>
      </c>
      <c r="F1069" s="339" t="s">
        <v>1364</v>
      </c>
      <c r="G1069" s="336">
        <v>0.16</v>
      </c>
      <c r="H1069" s="336" t="s">
        <v>389</v>
      </c>
      <c r="I1069" s="336" t="s">
        <v>1405</v>
      </c>
      <c r="J1069" s="336" t="s">
        <v>389</v>
      </c>
      <c r="K1069" s="336" t="s">
        <v>389</v>
      </c>
      <c r="L1069" s="336" t="s">
        <v>389</v>
      </c>
      <c r="M1069" s="336" t="s">
        <v>389</v>
      </c>
      <c r="N1069" s="336" t="s">
        <v>389</v>
      </c>
      <c r="O1069" s="336" t="s">
        <v>389</v>
      </c>
      <c r="P1069" s="602"/>
    </row>
    <row r="1070" spans="1:16" ht="45">
      <c r="A1070" s="336">
        <v>2</v>
      </c>
      <c r="B1070" s="566"/>
      <c r="C1070" s="344" t="s">
        <v>2438</v>
      </c>
      <c r="D1070" s="344" t="s">
        <v>1368</v>
      </c>
      <c r="E1070" s="336">
        <v>630.53</v>
      </c>
      <c r="F1070" s="336" t="s">
        <v>1369</v>
      </c>
      <c r="G1070" s="336">
        <v>6.3E-3</v>
      </c>
      <c r="H1070" s="336" t="s">
        <v>17</v>
      </c>
      <c r="I1070" s="339" t="s">
        <v>2442</v>
      </c>
      <c r="J1070" s="336" t="s">
        <v>87</v>
      </c>
      <c r="K1070" s="336" t="s">
        <v>87</v>
      </c>
      <c r="L1070" s="336" t="s">
        <v>87</v>
      </c>
      <c r="M1070" s="336" t="s">
        <v>17</v>
      </c>
      <c r="N1070" s="336"/>
      <c r="O1070" s="336"/>
      <c r="P1070" s="602"/>
    </row>
    <row r="1071" spans="1:16" ht="45">
      <c r="A1071" s="336">
        <v>3</v>
      </c>
      <c r="B1071" s="566"/>
      <c r="C1071" s="344" t="s">
        <v>1379</v>
      </c>
      <c r="D1071" s="240" t="s">
        <v>1391</v>
      </c>
      <c r="E1071" s="336" t="s">
        <v>1406</v>
      </c>
      <c r="F1071" s="455" t="s">
        <v>1407</v>
      </c>
      <c r="G1071" s="455" t="s">
        <v>1408</v>
      </c>
      <c r="H1071" s="455" t="s">
        <v>306</v>
      </c>
      <c r="I1071" s="336" t="s">
        <v>1409</v>
      </c>
      <c r="J1071" s="339" t="s">
        <v>1410</v>
      </c>
      <c r="K1071" s="339" t="s">
        <v>1411</v>
      </c>
      <c r="L1071" s="336" t="s">
        <v>87</v>
      </c>
      <c r="M1071" s="336" t="s">
        <v>87</v>
      </c>
      <c r="N1071" s="336" t="s">
        <v>87</v>
      </c>
      <c r="O1071" s="207" t="s">
        <v>1412</v>
      </c>
      <c r="P1071" s="602"/>
    </row>
    <row r="1072" spans="1:16" ht="30">
      <c r="A1072" s="336">
        <v>4</v>
      </c>
      <c r="B1072" s="566"/>
      <c r="C1072" s="344" t="s">
        <v>1379</v>
      </c>
      <c r="D1072" s="344" t="s">
        <v>1413</v>
      </c>
      <c r="E1072" s="336" t="s">
        <v>17</v>
      </c>
      <c r="F1072" s="336" t="s">
        <v>17</v>
      </c>
      <c r="G1072" s="336" t="s">
        <v>17</v>
      </c>
      <c r="H1072" s="336" t="s">
        <v>17</v>
      </c>
      <c r="I1072" s="336" t="s">
        <v>17</v>
      </c>
      <c r="J1072" s="336" t="s">
        <v>17</v>
      </c>
      <c r="K1072" s="336" t="s">
        <v>17</v>
      </c>
      <c r="L1072" s="336" t="s">
        <v>17</v>
      </c>
      <c r="M1072" s="336" t="s">
        <v>17</v>
      </c>
      <c r="N1072" s="336" t="s">
        <v>17</v>
      </c>
      <c r="O1072" s="336" t="s">
        <v>17</v>
      </c>
      <c r="P1072" s="602"/>
    </row>
    <row r="1073" spans="1:16" ht="30">
      <c r="A1073" s="336">
        <v>5</v>
      </c>
      <c r="B1073" s="566"/>
      <c r="C1073" s="344" t="s">
        <v>1379</v>
      </c>
      <c r="D1073" s="344" t="s">
        <v>1414</v>
      </c>
      <c r="E1073" s="336">
        <v>770</v>
      </c>
      <c r="F1073" s="336" t="s">
        <v>17</v>
      </c>
      <c r="G1073" s="336" t="s">
        <v>17</v>
      </c>
      <c r="H1073" s="336" t="s">
        <v>17</v>
      </c>
      <c r="I1073" s="336" t="s">
        <v>17</v>
      </c>
      <c r="J1073" s="336" t="s">
        <v>17</v>
      </c>
      <c r="K1073" s="336" t="s">
        <v>17</v>
      </c>
      <c r="L1073" s="356" t="s">
        <v>17</v>
      </c>
      <c r="M1073" s="356" t="s">
        <v>17</v>
      </c>
      <c r="N1073" s="356" t="s">
        <v>17</v>
      </c>
      <c r="O1073" s="336" t="s">
        <v>17</v>
      </c>
      <c r="P1073" s="602"/>
    </row>
    <row r="1074" spans="1:16" ht="45">
      <c r="A1074" s="336">
        <v>6</v>
      </c>
      <c r="B1074" s="566"/>
      <c r="C1074" s="344" t="s">
        <v>1379</v>
      </c>
      <c r="D1074" s="344" t="s">
        <v>1415</v>
      </c>
      <c r="E1074" s="336">
        <v>7439</v>
      </c>
      <c r="F1074" s="336" t="s">
        <v>17</v>
      </c>
      <c r="G1074" s="365">
        <v>41729</v>
      </c>
      <c r="H1074" s="336">
        <v>13.2049</v>
      </c>
      <c r="I1074" s="336" t="s">
        <v>23</v>
      </c>
      <c r="J1074" s="339" t="s">
        <v>1416</v>
      </c>
      <c r="K1074" s="336" t="s">
        <v>17</v>
      </c>
      <c r="L1074" s="356" t="s">
        <v>17</v>
      </c>
      <c r="M1074" s="356" t="s">
        <v>17</v>
      </c>
      <c r="N1074" s="356" t="s">
        <v>17</v>
      </c>
      <c r="O1074" s="207" t="s">
        <v>1417</v>
      </c>
      <c r="P1074" s="602"/>
    </row>
    <row r="1075" spans="1:16" ht="75">
      <c r="A1075" s="403">
        <v>7</v>
      </c>
      <c r="B1075" s="566"/>
      <c r="C1075" s="334" t="s">
        <v>1400</v>
      </c>
      <c r="D1075" s="334" t="s">
        <v>2441</v>
      </c>
      <c r="E1075" s="403">
        <v>15378.05</v>
      </c>
      <c r="F1075" s="403" t="s">
        <v>1402</v>
      </c>
      <c r="G1075" s="403">
        <v>0.51</v>
      </c>
      <c r="H1075" s="403" t="s">
        <v>17</v>
      </c>
      <c r="I1075" s="346" t="s">
        <v>1403</v>
      </c>
      <c r="J1075" s="403" t="s">
        <v>17</v>
      </c>
      <c r="K1075" s="403" t="s">
        <v>17</v>
      </c>
      <c r="L1075" s="403" t="s">
        <v>17</v>
      </c>
      <c r="M1075" s="403" t="s">
        <v>17</v>
      </c>
      <c r="N1075" s="403" t="s">
        <v>17</v>
      </c>
      <c r="O1075" s="403" t="s">
        <v>17</v>
      </c>
      <c r="P1075" s="647"/>
    </row>
    <row r="1076" spans="1:16">
      <c r="A1076" s="459"/>
      <c r="B1076" s="460"/>
      <c r="C1076" s="460"/>
      <c r="D1076" s="460"/>
      <c r="E1076" s="460"/>
      <c r="F1076" s="460"/>
      <c r="G1076" s="460"/>
      <c r="H1076" s="460"/>
      <c r="I1076" s="460"/>
      <c r="J1076" s="460"/>
      <c r="K1076" s="460"/>
      <c r="L1076" s="460"/>
      <c r="M1076" s="460"/>
      <c r="N1076" s="460"/>
      <c r="O1076" s="461"/>
      <c r="P1076" s="462"/>
    </row>
    <row r="1077" spans="1:16" ht="20.25">
      <c r="A1077" s="555" t="s">
        <v>112</v>
      </c>
      <c r="B1077" s="556"/>
      <c r="C1077" s="556"/>
      <c r="D1077" s="556"/>
      <c r="E1077" s="556"/>
      <c r="F1077" s="556"/>
      <c r="G1077" s="556"/>
      <c r="H1077" s="556"/>
      <c r="I1077" s="556"/>
      <c r="J1077" s="556"/>
      <c r="K1077" s="556"/>
      <c r="L1077" s="556"/>
      <c r="M1077" s="556"/>
      <c r="N1077" s="556"/>
      <c r="O1077" s="556"/>
      <c r="P1077" s="556"/>
    </row>
    <row r="1078" spans="1:16" ht="85.5">
      <c r="A1078" s="46" t="s">
        <v>0</v>
      </c>
      <c r="B1078" s="46" t="s">
        <v>115</v>
      </c>
      <c r="C1078" s="46" t="s">
        <v>1</v>
      </c>
      <c r="D1078" s="46" t="s">
        <v>2</v>
      </c>
      <c r="E1078" s="46" t="s">
        <v>89</v>
      </c>
      <c r="F1078" s="46" t="s">
        <v>63</v>
      </c>
      <c r="G1078" s="46" t="s">
        <v>90</v>
      </c>
      <c r="H1078" s="46" t="s">
        <v>64</v>
      </c>
      <c r="I1078" s="46" t="s">
        <v>2391</v>
      </c>
      <c r="J1078" s="46" t="s">
        <v>5</v>
      </c>
      <c r="K1078" s="46" t="s">
        <v>6</v>
      </c>
      <c r="L1078" s="46" t="s">
        <v>91</v>
      </c>
      <c r="M1078" s="46" t="s">
        <v>67</v>
      </c>
      <c r="N1078" s="67" t="s">
        <v>110</v>
      </c>
      <c r="O1078" s="67" t="s">
        <v>92</v>
      </c>
      <c r="P1078" s="74" t="s">
        <v>69</v>
      </c>
    </row>
    <row r="1079" spans="1:16">
      <c r="A1079" s="80">
        <v>1</v>
      </c>
      <c r="B1079" s="82">
        <v>2</v>
      </c>
      <c r="C1079" s="81">
        <v>3</v>
      </c>
      <c r="D1079" s="82">
        <v>4</v>
      </c>
      <c r="E1079" s="81">
        <v>5</v>
      </c>
      <c r="F1079" s="82">
        <v>6</v>
      </c>
      <c r="G1079" s="81">
        <v>7</v>
      </c>
      <c r="H1079" s="82">
        <v>8</v>
      </c>
      <c r="I1079" s="81">
        <v>9</v>
      </c>
      <c r="J1079" s="82">
        <v>10</v>
      </c>
      <c r="K1079" s="81">
        <v>11</v>
      </c>
      <c r="L1079" s="82">
        <v>12</v>
      </c>
      <c r="M1079" s="81">
        <v>13</v>
      </c>
      <c r="N1079" s="82">
        <v>14</v>
      </c>
      <c r="O1079" s="81">
        <v>15</v>
      </c>
      <c r="P1079" s="82">
        <v>16</v>
      </c>
    </row>
    <row r="1080" spans="1:16" ht="45">
      <c r="A1080" s="336">
        <v>1</v>
      </c>
      <c r="B1080" s="565" t="s">
        <v>1384</v>
      </c>
      <c r="C1080" s="344" t="s">
        <v>2439</v>
      </c>
      <c r="D1080" s="344" t="s">
        <v>1418</v>
      </c>
      <c r="E1080" s="336">
        <v>10566</v>
      </c>
      <c r="F1080" s="336" t="s">
        <v>1419</v>
      </c>
      <c r="G1080" s="336">
        <v>0.82</v>
      </c>
      <c r="H1080" s="336" t="s">
        <v>17</v>
      </c>
      <c r="I1080" s="336" t="s">
        <v>150</v>
      </c>
      <c r="J1080" s="336" t="s">
        <v>87</v>
      </c>
      <c r="K1080" s="336"/>
      <c r="L1080" s="336"/>
      <c r="M1080" s="336"/>
      <c r="N1080" s="336">
        <v>2</v>
      </c>
      <c r="O1080" s="336">
        <v>2</v>
      </c>
      <c r="P1080" s="123"/>
    </row>
    <row r="1081" spans="1:16" ht="45">
      <c r="A1081" s="336">
        <v>2</v>
      </c>
      <c r="B1081" s="566"/>
      <c r="C1081" s="344" t="s">
        <v>2439</v>
      </c>
      <c r="D1081" s="344" t="s">
        <v>1420</v>
      </c>
      <c r="E1081" s="336">
        <v>4289.67</v>
      </c>
      <c r="F1081" s="336" t="s">
        <v>1369</v>
      </c>
      <c r="G1081" s="123"/>
      <c r="H1081" s="123"/>
      <c r="I1081" s="336" t="s">
        <v>150</v>
      </c>
      <c r="J1081" s="336"/>
      <c r="K1081" s="339" t="s">
        <v>1421</v>
      </c>
      <c r="L1081" s="336"/>
      <c r="M1081" s="336"/>
      <c r="N1081" s="336"/>
      <c r="O1081" s="336"/>
      <c r="P1081" s="123"/>
    </row>
    <row r="1082" spans="1:16" ht="45">
      <c r="A1082" s="336">
        <v>3</v>
      </c>
      <c r="B1082" s="567"/>
      <c r="C1082" s="344" t="s">
        <v>2439</v>
      </c>
      <c r="D1082" s="50" t="s">
        <v>1422</v>
      </c>
      <c r="E1082" s="336">
        <v>1012</v>
      </c>
      <c r="F1082" s="336" t="s">
        <v>1423</v>
      </c>
      <c r="G1082" s="336"/>
      <c r="H1082" s="336"/>
      <c r="I1082" s="336" t="s">
        <v>150</v>
      </c>
      <c r="J1082" s="336"/>
      <c r="K1082" s="463"/>
      <c r="L1082" s="336"/>
      <c r="M1082" s="336"/>
      <c r="N1082" s="336"/>
      <c r="O1082" s="336"/>
      <c r="P1082" s="123"/>
    </row>
    <row r="1083" spans="1:16">
      <c r="A1083" s="562"/>
      <c r="B1083" s="562"/>
      <c r="C1083" s="562"/>
      <c r="D1083" s="562"/>
      <c r="E1083" s="562"/>
      <c r="F1083" s="562"/>
      <c r="G1083" s="562"/>
      <c r="H1083" s="562"/>
      <c r="I1083" s="562"/>
      <c r="J1083" s="562"/>
      <c r="K1083" s="562"/>
      <c r="L1083" s="562"/>
      <c r="M1083" s="562"/>
      <c r="N1083" s="562"/>
      <c r="O1083" s="562"/>
      <c r="P1083" s="562"/>
    </row>
    <row r="1084" spans="1:16" ht="22.5">
      <c r="A1084" s="803" t="s">
        <v>672</v>
      </c>
      <c r="B1084" s="804"/>
      <c r="C1084" s="804"/>
      <c r="D1084" s="804"/>
      <c r="E1084" s="804"/>
      <c r="F1084" s="804"/>
      <c r="G1084" s="804"/>
      <c r="H1084" s="804"/>
      <c r="I1084" s="804"/>
      <c r="J1084" s="804"/>
      <c r="K1084" s="804"/>
      <c r="L1084" s="804"/>
      <c r="M1084" s="804"/>
      <c r="N1084" s="804"/>
      <c r="O1084" s="804"/>
      <c r="P1084" s="804"/>
    </row>
    <row r="1085" spans="1:16" ht="20.25">
      <c r="A1085" s="555" t="s">
        <v>61</v>
      </c>
      <c r="B1085" s="556"/>
      <c r="C1085" s="556"/>
      <c r="D1085" s="556"/>
      <c r="E1085" s="556"/>
      <c r="F1085" s="556"/>
      <c r="G1085" s="556"/>
      <c r="H1085" s="556"/>
      <c r="I1085" s="556"/>
      <c r="J1085" s="556"/>
      <c r="K1085" s="556"/>
      <c r="L1085" s="556"/>
      <c r="M1085" s="556"/>
      <c r="N1085" s="556"/>
      <c r="O1085" s="556"/>
      <c r="P1085" s="556"/>
    </row>
    <row r="1086" spans="1:16" ht="85.5">
      <c r="A1086" s="46" t="s">
        <v>0</v>
      </c>
      <c r="B1086" s="46" t="s">
        <v>2592</v>
      </c>
      <c r="C1086" s="46" t="s">
        <v>1</v>
      </c>
      <c r="D1086" s="46" t="s">
        <v>2593</v>
      </c>
      <c r="E1086" s="46" t="s">
        <v>3</v>
      </c>
      <c r="F1086" s="46" t="s">
        <v>4</v>
      </c>
      <c r="G1086" s="46" t="s">
        <v>2594</v>
      </c>
      <c r="H1086" s="46" t="s">
        <v>2595</v>
      </c>
      <c r="I1086" s="46" t="s">
        <v>2392</v>
      </c>
      <c r="J1086" s="46" t="s">
        <v>5</v>
      </c>
      <c r="K1086" s="46" t="s">
        <v>6</v>
      </c>
      <c r="L1086" s="46" t="s">
        <v>7</v>
      </c>
      <c r="M1086" s="67" t="s">
        <v>8</v>
      </c>
      <c r="N1086" s="399" t="s">
        <v>9</v>
      </c>
      <c r="O1086" s="400" t="s">
        <v>10</v>
      </c>
      <c r="P1086" s="401" t="s">
        <v>11</v>
      </c>
    </row>
    <row r="1087" spans="1:16">
      <c r="A1087" s="8">
        <v>1</v>
      </c>
      <c r="B1087" s="46">
        <v>2</v>
      </c>
      <c r="C1087" s="46">
        <v>3</v>
      </c>
      <c r="D1087" s="46">
        <v>4</v>
      </c>
      <c r="E1087" s="46">
        <v>5</v>
      </c>
      <c r="F1087" s="46">
        <v>6</v>
      </c>
      <c r="G1087" s="46">
        <v>7</v>
      </c>
      <c r="H1087" s="46">
        <v>8</v>
      </c>
      <c r="I1087" s="46">
        <v>9</v>
      </c>
      <c r="J1087" s="46">
        <v>10</v>
      </c>
      <c r="K1087" s="46">
        <v>11</v>
      </c>
      <c r="L1087" s="46">
        <v>12</v>
      </c>
      <c r="M1087" s="46">
        <v>13</v>
      </c>
      <c r="N1087" s="46">
        <v>14</v>
      </c>
      <c r="O1087" s="400">
        <v>15</v>
      </c>
      <c r="P1087" s="46">
        <v>16</v>
      </c>
    </row>
    <row r="1088" spans="1:16" ht="180">
      <c r="A1088" s="336">
        <v>1</v>
      </c>
      <c r="B1088" s="565" t="s">
        <v>2600</v>
      </c>
      <c r="C1088" s="344" t="s">
        <v>1438</v>
      </c>
      <c r="D1088" s="344" t="s">
        <v>1439</v>
      </c>
      <c r="E1088" s="336">
        <f>12140.6 + 4622</f>
        <v>16762.599999999999</v>
      </c>
      <c r="F1088" s="339" t="s">
        <v>1440</v>
      </c>
      <c r="G1088" s="339" t="s">
        <v>1441</v>
      </c>
      <c r="H1088" s="336"/>
      <c r="I1088" s="336" t="s">
        <v>150</v>
      </c>
      <c r="J1088" s="68" t="s">
        <v>35</v>
      </c>
      <c r="K1088" s="68" t="s">
        <v>35</v>
      </c>
      <c r="L1088" s="68" t="s">
        <v>35</v>
      </c>
      <c r="M1088" s="207" t="s">
        <v>2443</v>
      </c>
      <c r="N1088" s="207" t="s">
        <v>1442</v>
      </c>
      <c r="O1088" s="336"/>
      <c r="P1088" s="207" t="s">
        <v>1443</v>
      </c>
    </row>
    <row r="1089" spans="1:16" ht="60">
      <c r="A1089" s="339">
        <v>2</v>
      </c>
      <c r="B1089" s="566"/>
      <c r="C1089" s="344" t="s">
        <v>1444</v>
      </c>
      <c r="D1089" s="344" t="s">
        <v>1445</v>
      </c>
      <c r="E1089" s="336">
        <v>835.17</v>
      </c>
      <c r="F1089" s="175">
        <v>38049</v>
      </c>
      <c r="G1089" s="339">
        <v>2.5000000000000001E-2</v>
      </c>
      <c r="H1089" s="339">
        <v>3.7580000000000002E-2</v>
      </c>
      <c r="I1089" s="339" t="s">
        <v>150</v>
      </c>
      <c r="J1089" s="339"/>
      <c r="K1089" s="339"/>
      <c r="L1089" s="339"/>
      <c r="M1089" s="339" t="s">
        <v>1446</v>
      </c>
      <c r="N1089" s="339"/>
      <c r="O1089" s="339"/>
      <c r="P1089" s="207" t="s">
        <v>1447</v>
      </c>
    </row>
    <row r="1090" spans="1:16" ht="45">
      <c r="A1090" s="336">
        <v>3</v>
      </c>
      <c r="B1090" s="566"/>
      <c r="C1090" s="344" t="s">
        <v>1424</v>
      </c>
      <c r="D1090" s="344" t="s">
        <v>1425</v>
      </c>
      <c r="E1090" s="336" t="s">
        <v>1426</v>
      </c>
      <c r="F1090" s="336" t="s">
        <v>274</v>
      </c>
      <c r="G1090" s="336"/>
      <c r="H1090" s="336" t="s">
        <v>35</v>
      </c>
      <c r="I1090" s="336" t="s">
        <v>35</v>
      </c>
      <c r="J1090" s="336"/>
      <c r="K1090" s="336"/>
      <c r="L1090" s="339" t="s">
        <v>1427</v>
      </c>
      <c r="M1090" s="336" t="s">
        <v>26</v>
      </c>
      <c r="N1090" s="336"/>
      <c r="O1090" s="336"/>
      <c r="P1090" s="207" t="s">
        <v>1428</v>
      </c>
    </row>
    <row r="1091" spans="1:16" ht="270">
      <c r="A1091" s="339">
        <v>4</v>
      </c>
      <c r="B1091" s="566"/>
      <c r="C1091" s="344" t="s">
        <v>1424</v>
      </c>
      <c r="D1091" s="344" t="s">
        <v>1429</v>
      </c>
      <c r="E1091" s="339" t="s">
        <v>1430</v>
      </c>
      <c r="F1091" s="339" t="s">
        <v>17</v>
      </c>
      <c r="G1091" s="339" t="s">
        <v>17</v>
      </c>
      <c r="H1091" s="373">
        <v>0.18</v>
      </c>
      <c r="I1091" s="339" t="s">
        <v>1389</v>
      </c>
      <c r="J1091" s="339" t="s">
        <v>17</v>
      </c>
      <c r="K1091" s="339" t="s">
        <v>17</v>
      </c>
      <c r="L1091" s="339" t="s">
        <v>17</v>
      </c>
      <c r="M1091" s="339" t="s">
        <v>87</v>
      </c>
      <c r="N1091" s="207" t="s">
        <v>1431</v>
      </c>
      <c r="O1091" s="339"/>
      <c r="P1091" s="339" t="s">
        <v>1432</v>
      </c>
    </row>
    <row r="1092" spans="1:16" ht="30">
      <c r="A1092" s="336">
        <v>5</v>
      </c>
      <c r="B1092" s="567"/>
      <c r="C1092" s="344" t="s">
        <v>1434</v>
      </c>
      <c r="D1092" s="344" t="s">
        <v>1435</v>
      </c>
      <c r="E1092" s="336">
        <v>4621.8</v>
      </c>
      <c r="F1092" s="336" t="s">
        <v>1436</v>
      </c>
      <c r="G1092" s="336">
        <v>1.71</v>
      </c>
      <c r="H1092" s="136">
        <v>6.92</v>
      </c>
      <c r="I1092" s="336" t="s">
        <v>150</v>
      </c>
      <c r="J1092" s="336" t="s">
        <v>17</v>
      </c>
      <c r="K1092" s="336" t="s">
        <v>17</v>
      </c>
      <c r="L1092" s="336" t="s">
        <v>17</v>
      </c>
      <c r="M1092" s="336" t="s">
        <v>119</v>
      </c>
      <c r="N1092" s="339" t="s">
        <v>17</v>
      </c>
      <c r="O1092" s="336">
        <v>31483</v>
      </c>
      <c r="P1092" s="123"/>
    </row>
    <row r="1093" spans="1:16">
      <c r="A1093" s="562"/>
      <c r="B1093" s="562"/>
      <c r="C1093" s="562"/>
      <c r="D1093" s="562"/>
      <c r="E1093" s="562"/>
      <c r="F1093" s="562"/>
      <c r="G1093" s="562"/>
      <c r="H1093" s="562"/>
      <c r="I1093" s="562"/>
      <c r="J1093" s="562"/>
      <c r="K1093" s="562"/>
      <c r="L1093" s="562"/>
      <c r="M1093" s="562"/>
      <c r="N1093" s="562"/>
      <c r="O1093" s="562"/>
      <c r="P1093" s="562"/>
    </row>
    <row r="1094" spans="1:16" ht="20.25" customHeight="1">
      <c r="A1094" s="559" t="s">
        <v>88</v>
      </c>
      <c r="B1094" s="559"/>
      <c r="C1094" s="559"/>
      <c r="D1094" s="559"/>
      <c r="E1094" s="559"/>
      <c r="F1094" s="559"/>
      <c r="G1094" s="559"/>
      <c r="H1094" s="559"/>
      <c r="I1094" s="559"/>
      <c r="J1094" s="559"/>
      <c r="K1094" s="559"/>
      <c r="L1094" s="559"/>
      <c r="M1094" s="559"/>
      <c r="N1094" s="559"/>
      <c r="O1094" s="559"/>
      <c r="P1094" s="560"/>
    </row>
    <row r="1095" spans="1:16" ht="64.5" customHeight="1">
      <c r="A1095" s="46" t="s">
        <v>0</v>
      </c>
      <c r="B1095" s="46" t="s">
        <v>2582</v>
      </c>
      <c r="C1095" s="46" t="s">
        <v>1</v>
      </c>
      <c r="D1095" s="46" t="s">
        <v>2596</v>
      </c>
      <c r="E1095" s="67" t="s">
        <v>62</v>
      </c>
      <c r="F1095" s="67" t="s">
        <v>63</v>
      </c>
      <c r="G1095" s="46" t="s">
        <v>2560</v>
      </c>
      <c r="H1095" s="46" t="s">
        <v>2561</v>
      </c>
      <c r="I1095" s="46" t="s">
        <v>2583</v>
      </c>
      <c r="J1095" s="46" t="s">
        <v>5</v>
      </c>
      <c r="K1095" s="46" t="s">
        <v>6</v>
      </c>
      <c r="L1095" s="46" t="s">
        <v>66</v>
      </c>
      <c r="M1095" s="46" t="s">
        <v>67</v>
      </c>
      <c r="N1095" s="67" t="s">
        <v>68</v>
      </c>
      <c r="O1095" s="74" t="s">
        <v>69</v>
      </c>
      <c r="P1095" s="561"/>
    </row>
    <row r="1096" spans="1:16">
      <c r="A1096" s="345">
        <v>1</v>
      </c>
      <c r="B1096" s="79">
        <v>2</v>
      </c>
      <c r="C1096" s="79">
        <v>3</v>
      </c>
      <c r="D1096" s="79">
        <v>4</v>
      </c>
      <c r="E1096" s="79">
        <v>5</v>
      </c>
      <c r="F1096" s="79">
        <v>6</v>
      </c>
      <c r="G1096" s="79">
        <v>7</v>
      </c>
      <c r="H1096" s="79">
        <v>8</v>
      </c>
      <c r="I1096" s="79">
        <v>9</v>
      </c>
      <c r="J1096" s="79">
        <v>10</v>
      </c>
      <c r="K1096" s="79">
        <v>11</v>
      </c>
      <c r="L1096" s="79">
        <v>12</v>
      </c>
      <c r="M1096" s="79">
        <v>13</v>
      </c>
      <c r="N1096" s="79">
        <v>14</v>
      </c>
      <c r="O1096" s="79">
        <v>15</v>
      </c>
      <c r="P1096" s="561"/>
    </row>
    <row r="1097" spans="1:16" ht="45">
      <c r="A1097" s="336">
        <v>1</v>
      </c>
      <c r="B1097" s="565" t="s">
        <v>2600</v>
      </c>
      <c r="C1097" s="344" t="s">
        <v>1438</v>
      </c>
      <c r="D1097" s="352" t="s">
        <v>1448</v>
      </c>
      <c r="E1097" s="335">
        <v>3000</v>
      </c>
      <c r="F1097" s="335">
        <v>2002</v>
      </c>
      <c r="G1097" s="83" t="s">
        <v>429</v>
      </c>
      <c r="H1097" s="68" t="s">
        <v>35</v>
      </c>
      <c r="I1097" s="336" t="s">
        <v>1449</v>
      </c>
      <c r="J1097" s="68" t="s">
        <v>35</v>
      </c>
      <c r="K1097" s="68" t="s">
        <v>35</v>
      </c>
      <c r="L1097" s="68" t="s">
        <v>35</v>
      </c>
      <c r="M1097" s="335"/>
      <c r="N1097" s="335"/>
      <c r="O1097" s="335"/>
      <c r="P1097" s="561"/>
    </row>
    <row r="1098" spans="1:16" ht="90">
      <c r="A1098" s="49">
        <v>2</v>
      </c>
      <c r="B1098" s="566"/>
      <c r="C1098" s="352" t="s">
        <v>1462</v>
      </c>
      <c r="D1098" s="352" t="s">
        <v>1463</v>
      </c>
      <c r="E1098" s="49" t="s">
        <v>1464</v>
      </c>
      <c r="F1098" s="49" t="s">
        <v>1465</v>
      </c>
      <c r="G1098" s="49" t="s">
        <v>1466</v>
      </c>
      <c r="H1098" s="49" t="s">
        <v>1467</v>
      </c>
      <c r="I1098" s="49" t="s">
        <v>150</v>
      </c>
      <c r="J1098" s="49" t="s">
        <v>17</v>
      </c>
      <c r="K1098" s="49" t="s">
        <v>17</v>
      </c>
      <c r="L1098" s="49" t="s">
        <v>26</v>
      </c>
      <c r="M1098" s="49"/>
      <c r="N1098" s="49">
        <v>1</v>
      </c>
      <c r="O1098" s="49"/>
      <c r="P1098" s="561"/>
    </row>
    <row r="1099" spans="1:16" ht="30">
      <c r="A1099" s="336">
        <v>3</v>
      </c>
      <c r="B1099" s="566"/>
      <c r="C1099" s="344" t="s">
        <v>1444</v>
      </c>
      <c r="D1099" s="344" t="s">
        <v>1474</v>
      </c>
      <c r="E1099" s="336">
        <v>5713</v>
      </c>
      <c r="F1099" s="563" t="s">
        <v>1475</v>
      </c>
      <c r="G1099" s="564"/>
      <c r="H1099" s="49">
        <v>51.421700000000001</v>
      </c>
      <c r="I1099" s="49" t="s">
        <v>150</v>
      </c>
      <c r="J1099" s="49"/>
      <c r="K1099" s="49"/>
      <c r="L1099" s="49"/>
      <c r="M1099" s="49"/>
      <c r="N1099" s="49" t="s">
        <v>1476</v>
      </c>
      <c r="O1099" s="49"/>
      <c r="P1099" s="561"/>
    </row>
    <row r="1100" spans="1:16" ht="60">
      <c r="A1100" s="49">
        <v>4</v>
      </c>
      <c r="B1100" s="566"/>
      <c r="C1100" s="344" t="s">
        <v>1424</v>
      </c>
      <c r="D1100" s="352" t="s">
        <v>1482</v>
      </c>
      <c r="E1100" s="49">
        <v>748.67</v>
      </c>
      <c r="F1100" s="339" t="s">
        <v>1483</v>
      </c>
      <c r="G1100" s="49" t="s">
        <v>1484</v>
      </c>
      <c r="H1100" s="49" t="s">
        <v>1485</v>
      </c>
      <c r="I1100" s="49" t="s">
        <v>194</v>
      </c>
      <c r="J1100" s="49" t="s">
        <v>17</v>
      </c>
      <c r="K1100" s="49" t="s">
        <v>17</v>
      </c>
      <c r="L1100" s="49" t="s">
        <v>17</v>
      </c>
      <c r="M1100" s="49"/>
      <c r="N1100" s="49"/>
      <c r="O1100" s="49"/>
      <c r="P1100" s="561"/>
    </row>
    <row r="1101" spans="1:16" ht="105">
      <c r="A1101" s="336">
        <v>5</v>
      </c>
      <c r="B1101" s="566"/>
      <c r="C1101" s="344" t="s">
        <v>1424</v>
      </c>
      <c r="D1101" s="344" t="s">
        <v>1486</v>
      </c>
      <c r="E1101" s="339" t="s">
        <v>1487</v>
      </c>
      <c r="F1101" s="339"/>
      <c r="G1101" s="339"/>
      <c r="H1101" s="339">
        <v>0.72</v>
      </c>
      <c r="I1101" s="339" t="s">
        <v>1389</v>
      </c>
      <c r="J1101" s="339"/>
      <c r="K1101" s="339"/>
      <c r="L1101" s="339" t="s">
        <v>17</v>
      </c>
      <c r="M1101" s="339" t="s">
        <v>17</v>
      </c>
      <c r="N1101" s="339"/>
      <c r="O1101" s="339"/>
      <c r="P1101" s="561"/>
    </row>
    <row r="1102" spans="1:16" ht="60">
      <c r="A1102" s="49">
        <v>6</v>
      </c>
      <c r="B1102" s="566"/>
      <c r="C1102" s="344" t="s">
        <v>1424</v>
      </c>
      <c r="D1102" s="352" t="s">
        <v>1488</v>
      </c>
      <c r="E1102" s="335" t="s">
        <v>1489</v>
      </c>
      <c r="F1102" s="335" t="s">
        <v>1490</v>
      </c>
      <c r="G1102" s="335" t="s">
        <v>274</v>
      </c>
      <c r="H1102" s="49" t="s">
        <v>1491</v>
      </c>
      <c r="I1102" s="49" t="s">
        <v>1492</v>
      </c>
      <c r="J1102" s="335" t="s">
        <v>87</v>
      </c>
      <c r="K1102" s="335" t="s">
        <v>87</v>
      </c>
      <c r="L1102" s="335" t="s">
        <v>87</v>
      </c>
      <c r="M1102" s="464" t="s">
        <v>87</v>
      </c>
      <c r="N1102" s="49"/>
      <c r="O1102" s="465"/>
      <c r="P1102" s="561"/>
    </row>
    <row r="1103" spans="1:16" ht="60">
      <c r="A1103" s="403">
        <v>7</v>
      </c>
      <c r="B1103" s="566"/>
      <c r="C1103" s="334" t="s">
        <v>1434</v>
      </c>
      <c r="D1103" s="458" t="s">
        <v>1498</v>
      </c>
      <c r="E1103" s="428">
        <v>7400</v>
      </c>
      <c r="F1103" s="428" t="s">
        <v>17</v>
      </c>
      <c r="G1103" s="428" t="s">
        <v>17</v>
      </c>
      <c r="H1103" s="453" t="s">
        <v>1499</v>
      </c>
      <c r="I1103" s="428" t="s">
        <v>384</v>
      </c>
      <c r="J1103" s="428" t="s">
        <v>17</v>
      </c>
      <c r="K1103" s="428" t="s">
        <v>17</v>
      </c>
      <c r="L1103" s="428" t="s">
        <v>17</v>
      </c>
      <c r="M1103" s="428">
        <v>5066</v>
      </c>
      <c r="N1103" s="428" t="s">
        <v>1500</v>
      </c>
      <c r="O1103" s="453" t="s">
        <v>1501</v>
      </c>
      <c r="P1103" s="561"/>
    </row>
    <row r="1104" spans="1:16">
      <c r="A1104" s="554"/>
      <c r="B1104" s="554"/>
      <c r="C1104" s="554"/>
      <c r="D1104" s="554"/>
      <c r="E1104" s="554"/>
      <c r="F1104" s="554"/>
      <c r="G1104" s="554"/>
      <c r="H1104" s="554"/>
      <c r="I1104" s="554"/>
      <c r="J1104" s="554"/>
      <c r="K1104" s="554"/>
      <c r="L1104" s="554"/>
      <c r="M1104" s="554"/>
      <c r="N1104" s="554"/>
      <c r="O1104" s="554"/>
      <c r="P1104" s="554"/>
    </row>
    <row r="1105" spans="1:16" ht="20.25" customHeight="1">
      <c r="A1105" s="559" t="s">
        <v>111</v>
      </c>
      <c r="B1105" s="559"/>
      <c r="C1105" s="559"/>
      <c r="D1105" s="559"/>
      <c r="E1105" s="559"/>
      <c r="F1105" s="559"/>
      <c r="G1105" s="559"/>
      <c r="H1105" s="559"/>
      <c r="I1105" s="559"/>
      <c r="J1105" s="559"/>
      <c r="K1105" s="559"/>
      <c r="L1105" s="559"/>
      <c r="M1105" s="559"/>
      <c r="N1105" s="559"/>
      <c r="O1105" s="559"/>
      <c r="P1105" s="560"/>
    </row>
    <row r="1106" spans="1:16" ht="85.5">
      <c r="A1106" s="46" t="s">
        <v>0</v>
      </c>
      <c r="B1106" s="46" t="s">
        <v>2582</v>
      </c>
      <c r="C1106" s="46" t="s">
        <v>1</v>
      </c>
      <c r="D1106" s="46" t="s">
        <v>2596</v>
      </c>
      <c r="E1106" s="46" t="s">
        <v>89</v>
      </c>
      <c r="F1106" s="46" t="s">
        <v>63</v>
      </c>
      <c r="G1106" s="46" t="s">
        <v>2590</v>
      </c>
      <c r="H1106" s="46" t="s">
        <v>2561</v>
      </c>
      <c r="I1106" s="46" t="s">
        <v>2391</v>
      </c>
      <c r="J1106" s="46" t="s">
        <v>5</v>
      </c>
      <c r="K1106" s="46" t="s">
        <v>6</v>
      </c>
      <c r="L1106" s="46" t="s">
        <v>91</v>
      </c>
      <c r="M1106" s="46" t="s">
        <v>67</v>
      </c>
      <c r="N1106" s="67" t="s">
        <v>92</v>
      </c>
      <c r="O1106" s="401" t="s">
        <v>11</v>
      </c>
      <c r="P1106" s="561"/>
    </row>
    <row r="1107" spans="1:16">
      <c r="A1107" s="345">
        <v>1</v>
      </c>
      <c r="B1107" s="79">
        <v>2</v>
      </c>
      <c r="C1107" s="79">
        <v>3</v>
      </c>
      <c r="D1107" s="79">
        <v>4</v>
      </c>
      <c r="E1107" s="79">
        <v>5</v>
      </c>
      <c r="F1107" s="79">
        <v>6</v>
      </c>
      <c r="G1107" s="79">
        <v>7</v>
      </c>
      <c r="H1107" s="79">
        <v>8</v>
      </c>
      <c r="I1107" s="79">
        <v>9</v>
      </c>
      <c r="J1107" s="79">
        <v>10</v>
      </c>
      <c r="K1107" s="79">
        <v>11</v>
      </c>
      <c r="L1107" s="79">
        <v>12</v>
      </c>
      <c r="M1107" s="79">
        <v>13</v>
      </c>
      <c r="N1107" s="357">
        <v>14</v>
      </c>
      <c r="O1107" s="79">
        <v>15</v>
      </c>
      <c r="P1107" s="561"/>
    </row>
    <row r="1108" spans="1:16" ht="90">
      <c r="A1108" s="336">
        <v>1</v>
      </c>
      <c r="B1108" s="565" t="s">
        <v>1437</v>
      </c>
      <c r="C1108" s="565" t="s">
        <v>1438</v>
      </c>
      <c r="D1108" s="344" t="s">
        <v>1450</v>
      </c>
      <c r="E1108" s="336">
        <v>5012</v>
      </c>
      <c r="F1108" s="336">
        <v>1986</v>
      </c>
      <c r="G1108" s="83" t="s">
        <v>429</v>
      </c>
      <c r="H1108" s="68" t="s">
        <v>35</v>
      </c>
      <c r="I1108" s="336" t="s">
        <v>1449</v>
      </c>
      <c r="J1108" s="68" t="s">
        <v>35</v>
      </c>
      <c r="K1108" s="68" t="s">
        <v>35</v>
      </c>
      <c r="L1108" s="68" t="s">
        <v>35</v>
      </c>
      <c r="M1108" s="336"/>
      <c r="N1108" s="336"/>
      <c r="O1108" s="336"/>
      <c r="P1108" s="561"/>
    </row>
    <row r="1109" spans="1:16" ht="90">
      <c r="A1109" s="336">
        <v>2</v>
      </c>
      <c r="B1109" s="566"/>
      <c r="C1109" s="566"/>
      <c r="D1109" s="344" t="s">
        <v>1451</v>
      </c>
      <c r="E1109" s="336">
        <v>40.46</v>
      </c>
      <c r="F1109" s="336" t="s">
        <v>1452</v>
      </c>
      <c r="G1109" s="68">
        <v>0.36</v>
      </c>
      <c r="H1109" s="68" t="s">
        <v>35</v>
      </c>
      <c r="I1109" s="336" t="s">
        <v>1449</v>
      </c>
      <c r="J1109" s="68" t="s">
        <v>35</v>
      </c>
      <c r="K1109" s="68" t="s">
        <v>35</v>
      </c>
      <c r="L1109" s="68" t="s">
        <v>35</v>
      </c>
      <c r="M1109" s="336"/>
      <c r="N1109" s="336"/>
      <c r="O1109" s="336"/>
      <c r="P1109" s="561"/>
    </row>
    <row r="1110" spans="1:16" ht="90">
      <c r="A1110" s="336">
        <v>3</v>
      </c>
      <c r="B1110" s="566"/>
      <c r="C1110" s="566"/>
      <c r="D1110" s="344" t="s">
        <v>1453</v>
      </c>
      <c r="E1110" s="336">
        <v>40.46</v>
      </c>
      <c r="F1110" s="336" t="s">
        <v>1452</v>
      </c>
      <c r="G1110" s="68">
        <v>0.36</v>
      </c>
      <c r="H1110" s="68" t="s">
        <v>35</v>
      </c>
      <c r="I1110" s="336" t="s">
        <v>1449</v>
      </c>
      <c r="J1110" s="68" t="s">
        <v>35</v>
      </c>
      <c r="K1110" s="68" t="s">
        <v>35</v>
      </c>
      <c r="L1110" s="68" t="s">
        <v>35</v>
      </c>
      <c r="M1110" s="336"/>
      <c r="N1110" s="336"/>
      <c r="O1110" s="336"/>
      <c r="P1110" s="561"/>
    </row>
    <row r="1111" spans="1:16" ht="30">
      <c r="A1111" s="336">
        <v>4</v>
      </c>
      <c r="B1111" s="567"/>
      <c r="C1111" s="567"/>
      <c r="D1111" s="344" t="s">
        <v>1454</v>
      </c>
      <c r="E1111" s="336" t="s">
        <v>1455</v>
      </c>
      <c r="F1111" s="336" t="s">
        <v>1456</v>
      </c>
      <c r="G1111" s="336">
        <v>0.186</v>
      </c>
      <c r="H1111" s="68" t="s">
        <v>35</v>
      </c>
      <c r="I1111" s="336" t="s">
        <v>261</v>
      </c>
      <c r="J1111" s="68" t="s">
        <v>35</v>
      </c>
      <c r="K1111" s="68" t="s">
        <v>35</v>
      </c>
      <c r="L1111" s="68" t="s">
        <v>35</v>
      </c>
      <c r="M1111" s="336"/>
      <c r="N1111" s="336">
        <v>1</v>
      </c>
      <c r="O1111" s="336"/>
      <c r="P1111" s="561"/>
    </row>
    <row r="1112" spans="1:16" ht="90">
      <c r="A1112" s="49">
        <v>5</v>
      </c>
      <c r="B1112" s="352" t="s">
        <v>1461</v>
      </c>
      <c r="C1112" s="352" t="s">
        <v>1462</v>
      </c>
      <c r="D1112" s="344" t="s">
        <v>1468</v>
      </c>
      <c r="E1112" s="339" t="s">
        <v>1469</v>
      </c>
      <c r="F1112" s="339" t="s">
        <v>1470</v>
      </c>
      <c r="G1112" s="339" t="s">
        <v>1471</v>
      </c>
      <c r="H1112" s="339" t="s">
        <v>1472</v>
      </c>
      <c r="I1112" s="339" t="s">
        <v>150</v>
      </c>
      <c r="J1112" s="339" t="s">
        <v>17</v>
      </c>
      <c r="K1112" s="339" t="s">
        <v>17</v>
      </c>
      <c r="L1112" s="339" t="s">
        <v>1473</v>
      </c>
      <c r="M1112" s="339"/>
      <c r="N1112" s="339">
        <v>1</v>
      </c>
      <c r="O1112" s="339"/>
      <c r="P1112" s="561"/>
    </row>
    <row r="1113" spans="1:16" ht="30">
      <c r="A1113" s="339">
        <v>6</v>
      </c>
      <c r="B1113" s="344" t="s">
        <v>1437</v>
      </c>
      <c r="C1113" s="344" t="s">
        <v>1444</v>
      </c>
      <c r="D1113" s="344" t="s">
        <v>1477</v>
      </c>
      <c r="E1113" s="336">
        <v>6748</v>
      </c>
      <c r="F1113" s="563" t="s">
        <v>1475</v>
      </c>
      <c r="G1113" s="564"/>
      <c r="H1113" s="339">
        <v>43.865000000000002</v>
      </c>
      <c r="I1113" s="339" t="s">
        <v>150</v>
      </c>
      <c r="J1113" s="339"/>
      <c r="K1113" s="339"/>
      <c r="L1113" s="339"/>
      <c r="M1113" s="339"/>
      <c r="N1113" s="339">
        <v>1</v>
      </c>
      <c r="O1113" s="339"/>
      <c r="P1113" s="561"/>
    </row>
    <row r="1114" spans="1:16" ht="60">
      <c r="A1114" s="335">
        <v>7</v>
      </c>
      <c r="B1114" s="344" t="s">
        <v>1433</v>
      </c>
      <c r="C1114" s="344" t="s">
        <v>1434</v>
      </c>
      <c r="D1114" s="352" t="s">
        <v>1502</v>
      </c>
      <c r="E1114" s="336">
        <v>9791</v>
      </c>
      <c r="F1114" s="336" t="s">
        <v>17</v>
      </c>
      <c r="G1114" s="336" t="s">
        <v>17</v>
      </c>
      <c r="H1114" s="49" t="s">
        <v>1499</v>
      </c>
      <c r="I1114" s="336" t="s">
        <v>384</v>
      </c>
      <c r="J1114" s="336" t="s">
        <v>17</v>
      </c>
      <c r="K1114" s="336" t="s">
        <v>17</v>
      </c>
      <c r="L1114" s="336" t="s">
        <v>17</v>
      </c>
      <c r="M1114" s="336">
        <v>5066</v>
      </c>
      <c r="N1114" s="336">
        <v>1</v>
      </c>
      <c r="O1114" s="665" t="s">
        <v>1501</v>
      </c>
      <c r="P1114" s="561"/>
    </row>
    <row r="1115" spans="1:16" ht="60">
      <c r="A1115" s="403">
        <v>8</v>
      </c>
      <c r="B1115" s="334" t="s">
        <v>1433</v>
      </c>
      <c r="C1115" s="334" t="s">
        <v>1434</v>
      </c>
      <c r="D1115" s="458" t="s">
        <v>1503</v>
      </c>
      <c r="E1115" s="403">
        <v>1778</v>
      </c>
      <c r="F1115" s="403" t="s">
        <v>17</v>
      </c>
      <c r="G1115" s="403" t="s">
        <v>17</v>
      </c>
      <c r="H1115" s="453" t="s">
        <v>1499</v>
      </c>
      <c r="I1115" s="403" t="s">
        <v>384</v>
      </c>
      <c r="J1115" s="403" t="s">
        <v>17</v>
      </c>
      <c r="K1115" s="403" t="s">
        <v>17</v>
      </c>
      <c r="L1115" s="403" t="s">
        <v>17</v>
      </c>
      <c r="M1115" s="403">
        <v>5066</v>
      </c>
      <c r="N1115" s="403">
        <v>2</v>
      </c>
      <c r="O1115" s="666"/>
      <c r="P1115" s="561"/>
    </row>
    <row r="1116" spans="1:16">
      <c r="A1116" s="554"/>
      <c r="B1116" s="554"/>
      <c r="C1116" s="554"/>
      <c r="D1116" s="554"/>
      <c r="E1116" s="554"/>
      <c r="F1116" s="554"/>
      <c r="G1116" s="554"/>
      <c r="H1116" s="554"/>
      <c r="I1116" s="554"/>
      <c r="J1116" s="554"/>
      <c r="K1116" s="554"/>
      <c r="L1116" s="554"/>
      <c r="M1116" s="554"/>
      <c r="N1116" s="554"/>
      <c r="O1116" s="554"/>
      <c r="P1116" s="554"/>
    </row>
    <row r="1117" spans="1:16" ht="20.25">
      <c r="A1117" s="555" t="s">
        <v>112</v>
      </c>
      <c r="B1117" s="556"/>
      <c r="C1117" s="556"/>
      <c r="D1117" s="556"/>
      <c r="E1117" s="556"/>
      <c r="F1117" s="556"/>
      <c r="G1117" s="556"/>
      <c r="H1117" s="556"/>
      <c r="I1117" s="556"/>
      <c r="J1117" s="556"/>
      <c r="K1117" s="556"/>
      <c r="L1117" s="556"/>
      <c r="M1117" s="556"/>
      <c r="N1117" s="556"/>
      <c r="O1117" s="556"/>
      <c r="P1117" s="556"/>
    </row>
    <row r="1118" spans="1:16" ht="85.5">
      <c r="A1118" s="46" t="s">
        <v>0</v>
      </c>
      <c r="B1118" s="46" t="s">
        <v>2582</v>
      </c>
      <c r="C1118" s="46" t="s">
        <v>1</v>
      </c>
      <c r="D1118" s="46" t="s">
        <v>2596</v>
      </c>
      <c r="E1118" s="46" t="s">
        <v>89</v>
      </c>
      <c r="F1118" s="46" t="s">
        <v>63</v>
      </c>
      <c r="G1118" s="46" t="s">
        <v>2390</v>
      </c>
      <c r="H1118" s="46" t="s">
        <v>2561</v>
      </c>
      <c r="I1118" s="46" t="s">
        <v>2391</v>
      </c>
      <c r="J1118" s="46" t="s">
        <v>5</v>
      </c>
      <c r="K1118" s="46" t="s">
        <v>6</v>
      </c>
      <c r="L1118" s="46" t="s">
        <v>91</v>
      </c>
      <c r="M1118" s="46" t="s">
        <v>67</v>
      </c>
      <c r="N1118" s="67" t="s">
        <v>110</v>
      </c>
      <c r="O1118" s="67" t="s">
        <v>92</v>
      </c>
      <c r="P1118" s="74" t="s">
        <v>69</v>
      </c>
    </row>
    <row r="1119" spans="1:16">
      <c r="A1119" s="345">
        <v>1</v>
      </c>
      <c r="B1119" s="79">
        <v>2</v>
      </c>
      <c r="C1119" s="79">
        <v>3</v>
      </c>
      <c r="D1119" s="79">
        <v>4</v>
      </c>
      <c r="E1119" s="79">
        <v>5</v>
      </c>
      <c r="F1119" s="79">
        <v>6</v>
      </c>
      <c r="G1119" s="79">
        <v>7</v>
      </c>
      <c r="H1119" s="79">
        <v>8</v>
      </c>
      <c r="I1119" s="79">
        <v>9</v>
      </c>
      <c r="J1119" s="79">
        <v>10</v>
      </c>
      <c r="K1119" s="79">
        <v>11</v>
      </c>
      <c r="L1119" s="79">
        <v>12</v>
      </c>
      <c r="M1119" s="79">
        <v>13</v>
      </c>
      <c r="N1119" s="79">
        <v>14</v>
      </c>
      <c r="O1119" s="357">
        <v>15</v>
      </c>
      <c r="P1119" s="46">
        <v>16</v>
      </c>
    </row>
    <row r="1120" spans="1:16" ht="75">
      <c r="A1120" s="336">
        <v>1</v>
      </c>
      <c r="B1120" s="565" t="s">
        <v>2599</v>
      </c>
      <c r="C1120" s="565" t="s">
        <v>1438</v>
      </c>
      <c r="D1120" s="344" t="s">
        <v>1457</v>
      </c>
      <c r="E1120" s="336">
        <v>2023.5</v>
      </c>
      <c r="F1120" s="336" t="s">
        <v>1458</v>
      </c>
      <c r="G1120" s="336">
        <v>0.15</v>
      </c>
      <c r="H1120" s="336"/>
      <c r="I1120" s="336" t="s">
        <v>261</v>
      </c>
      <c r="J1120" s="68" t="s">
        <v>35</v>
      </c>
      <c r="K1120" s="68" t="s">
        <v>35</v>
      </c>
      <c r="L1120" s="68" t="s">
        <v>35</v>
      </c>
      <c r="M1120" s="336"/>
      <c r="N1120" s="336">
        <v>1</v>
      </c>
      <c r="O1120" s="336">
        <v>1</v>
      </c>
      <c r="P1120" s="336"/>
    </row>
    <row r="1121" spans="1:16" ht="60">
      <c r="A1121" s="339">
        <v>2</v>
      </c>
      <c r="B1121" s="566"/>
      <c r="C1121" s="567"/>
      <c r="D1121" s="344" t="s">
        <v>1459</v>
      </c>
      <c r="E1121" s="339">
        <v>1230.288</v>
      </c>
      <c r="F1121" s="339" t="s">
        <v>1460</v>
      </c>
      <c r="G1121" s="339">
        <v>0.45600000000000002</v>
      </c>
      <c r="H1121" s="339"/>
      <c r="I1121" s="339" t="s">
        <v>261</v>
      </c>
      <c r="J1121" s="83" t="s">
        <v>35</v>
      </c>
      <c r="K1121" s="83" t="s">
        <v>35</v>
      </c>
      <c r="L1121" s="83" t="s">
        <v>35</v>
      </c>
      <c r="M1121" s="339"/>
      <c r="N1121" s="339">
        <v>2</v>
      </c>
      <c r="O1121" s="339">
        <v>2</v>
      </c>
      <c r="P1121" s="339"/>
    </row>
    <row r="1122" spans="1:16" ht="60">
      <c r="A1122" s="336">
        <v>3</v>
      </c>
      <c r="B1122" s="566"/>
      <c r="C1122" s="344" t="s">
        <v>1444</v>
      </c>
      <c r="D1122" s="344" t="s">
        <v>1478</v>
      </c>
      <c r="E1122" s="336">
        <v>2811.06</v>
      </c>
      <c r="F1122" s="336" t="s">
        <v>1479</v>
      </c>
      <c r="G1122" s="336">
        <v>0.10199999999999999</v>
      </c>
      <c r="H1122" s="336">
        <v>1.4055</v>
      </c>
      <c r="I1122" s="336" t="s">
        <v>150</v>
      </c>
      <c r="J1122" s="336"/>
      <c r="K1122" s="336"/>
      <c r="L1122" s="336"/>
      <c r="M1122" s="336"/>
      <c r="N1122" s="336">
        <v>3</v>
      </c>
      <c r="O1122" s="336">
        <v>2</v>
      </c>
      <c r="P1122" s="123"/>
    </row>
    <row r="1123" spans="1:16" ht="60">
      <c r="A1123" s="336">
        <v>4</v>
      </c>
      <c r="B1123" s="566"/>
      <c r="C1123" s="344" t="s">
        <v>1444</v>
      </c>
      <c r="D1123" s="344" t="s">
        <v>1480</v>
      </c>
      <c r="E1123" s="336">
        <v>5463.25</v>
      </c>
      <c r="F1123" s="336" t="s">
        <v>1481</v>
      </c>
      <c r="G1123" s="336">
        <v>0.16</v>
      </c>
      <c r="H1123" s="336">
        <v>0.77063999999999999</v>
      </c>
      <c r="I1123" s="336" t="s">
        <v>150</v>
      </c>
      <c r="J1123" s="336"/>
      <c r="K1123" s="336"/>
      <c r="L1123" s="336"/>
      <c r="M1123" s="336"/>
      <c r="N1123" s="336">
        <v>4</v>
      </c>
      <c r="O1123" s="336">
        <v>3</v>
      </c>
      <c r="P1123" s="123"/>
    </row>
    <row r="1124" spans="1:16" ht="30">
      <c r="A1124" s="339">
        <v>5</v>
      </c>
      <c r="B1124" s="566"/>
      <c r="C1124" s="344" t="s">
        <v>1424</v>
      </c>
      <c r="D1124" s="344" t="s">
        <v>2444</v>
      </c>
      <c r="E1124" s="339" t="s">
        <v>1493</v>
      </c>
      <c r="F1124" s="339" t="s">
        <v>1494</v>
      </c>
      <c r="G1124" s="339">
        <v>4.4999999999999997E-3</v>
      </c>
      <c r="H1124" s="339" t="s">
        <v>1282</v>
      </c>
      <c r="I1124" s="339"/>
      <c r="J1124" s="339" t="s">
        <v>1280</v>
      </c>
      <c r="K1124" s="339" t="s">
        <v>1280</v>
      </c>
      <c r="L1124" s="339" t="s">
        <v>1280</v>
      </c>
      <c r="M1124" s="339" t="s">
        <v>1282</v>
      </c>
      <c r="N1124" s="339"/>
      <c r="O1124" s="339"/>
      <c r="P1124" s="339"/>
    </row>
    <row r="1125" spans="1:16" ht="60">
      <c r="A1125" s="339">
        <v>6</v>
      </c>
      <c r="B1125" s="567"/>
      <c r="C1125" s="344" t="s">
        <v>1424</v>
      </c>
      <c r="D1125" s="344" t="s">
        <v>1495</v>
      </c>
      <c r="E1125" s="339" t="s">
        <v>1496</v>
      </c>
      <c r="F1125" s="339" t="s">
        <v>1282</v>
      </c>
      <c r="G1125" s="339" t="s">
        <v>1282</v>
      </c>
      <c r="H1125" s="339"/>
      <c r="I1125" s="339"/>
      <c r="J1125" s="339"/>
      <c r="K1125" s="339"/>
      <c r="L1125" s="339"/>
      <c r="M1125" s="339"/>
      <c r="N1125" s="339"/>
      <c r="O1125" s="339"/>
      <c r="P1125" s="207" t="s">
        <v>1497</v>
      </c>
    </row>
    <row r="1126" spans="1:16">
      <c r="A1126" s="562"/>
      <c r="B1126" s="562"/>
      <c r="C1126" s="562"/>
      <c r="D1126" s="562"/>
      <c r="E1126" s="562"/>
      <c r="F1126" s="562"/>
      <c r="G1126" s="562"/>
      <c r="H1126" s="562"/>
      <c r="I1126" s="562"/>
      <c r="J1126" s="562"/>
      <c r="K1126" s="562"/>
      <c r="L1126" s="562"/>
      <c r="M1126" s="562"/>
      <c r="N1126" s="562"/>
      <c r="O1126" s="562"/>
      <c r="P1126" s="562"/>
    </row>
    <row r="1127" spans="1:16" ht="22.5">
      <c r="A1127" s="803" t="s">
        <v>673</v>
      </c>
      <c r="B1127" s="804"/>
      <c r="C1127" s="804"/>
      <c r="D1127" s="804"/>
      <c r="E1127" s="804"/>
      <c r="F1127" s="804"/>
      <c r="G1127" s="804"/>
      <c r="H1127" s="804"/>
      <c r="I1127" s="804"/>
      <c r="J1127" s="804"/>
      <c r="K1127" s="804"/>
      <c r="L1127" s="804"/>
      <c r="M1127" s="804"/>
      <c r="N1127" s="804"/>
      <c r="O1127" s="804"/>
      <c r="P1127" s="804"/>
    </row>
    <row r="1128" spans="1:16" ht="20.25">
      <c r="A1128" s="555" t="s">
        <v>61</v>
      </c>
      <c r="B1128" s="556"/>
      <c r="C1128" s="556"/>
      <c r="D1128" s="556"/>
      <c r="E1128" s="556"/>
      <c r="F1128" s="556"/>
      <c r="G1128" s="556"/>
      <c r="H1128" s="556"/>
      <c r="I1128" s="556"/>
      <c r="J1128" s="556"/>
      <c r="K1128" s="556"/>
      <c r="L1128" s="556"/>
      <c r="M1128" s="556"/>
      <c r="N1128" s="556"/>
      <c r="O1128" s="556"/>
      <c r="P1128" s="556"/>
    </row>
    <row r="1129" spans="1:16" ht="85.5">
      <c r="A1129" s="46" t="s">
        <v>0</v>
      </c>
      <c r="B1129" s="46" t="s">
        <v>2592</v>
      </c>
      <c r="C1129" s="46" t="s">
        <v>1</v>
      </c>
      <c r="D1129" s="46" t="s">
        <v>2593</v>
      </c>
      <c r="E1129" s="46" t="s">
        <v>3</v>
      </c>
      <c r="F1129" s="46" t="s">
        <v>4</v>
      </c>
      <c r="G1129" s="46" t="s">
        <v>2594</v>
      </c>
      <c r="H1129" s="46" t="s">
        <v>2595</v>
      </c>
      <c r="I1129" s="46" t="s">
        <v>2392</v>
      </c>
      <c r="J1129" s="46" t="s">
        <v>5</v>
      </c>
      <c r="K1129" s="46" t="s">
        <v>6</v>
      </c>
      <c r="L1129" s="46" t="s">
        <v>7</v>
      </c>
      <c r="M1129" s="67" t="s">
        <v>8</v>
      </c>
      <c r="N1129" s="399" t="s">
        <v>9</v>
      </c>
      <c r="O1129" s="400" t="s">
        <v>10</v>
      </c>
      <c r="P1129" s="401" t="s">
        <v>11</v>
      </c>
    </row>
    <row r="1130" spans="1:16">
      <c r="A1130" s="8">
        <v>1</v>
      </c>
      <c r="B1130" s="46">
        <v>2</v>
      </c>
      <c r="C1130" s="46">
        <v>3</v>
      </c>
      <c r="D1130" s="46">
        <v>4</v>
      </c>
      <c r="E1130" s="46">
        <v>5</v>
      </c>
      <c r="F1130" s="46">
        <v>6</v>
      </c>
      <c r="G1130" s="46">
        <v>7</v>
      </c>
      <c r="H1130" s="46">
        <v>8</v>
      </c>
      <c r="I1130" s="46">
        <v>9</v>
      </c>
      <c r="J1130" s="46">
        <v>10</v>
      </c>
      <c r="K1130" s="46">
        <v>11</v>
      </c>
      <c r="L1130" s="46">
        <v>12</v>
      </c>
      <c r="M1130" s="46">
        <v>13</v>
      </c>
      <c r="N1130" s="46">
        <v>14</v>
      </c>
      <c r="O1130" s="400">
        <v>15</v>
      </c>
      <c r="P1130" s="46">
        <v>16</v>
      </c>
    </row>
    <row r="1131" spans="1:16" ht="30">
      <c r="A1131" s="336">
        <v>1</v>
      </c>
      <c r="B1131" s="670" t="s">
        <v>2598</v>
      </c>
      <c r="C1131" s="344" t="s">
        <v>1519</v>
      </c>
      <c r="D1131" s="344" t="s">
        <v>1520</v>
      </c>
      <c r="E1131" s="336">
        <v>11805</v>
      </c>
      <c r="F1131" s="336">
        <v>1957</v>
      </c>
      <c r="G1131" s="336" t="s">
        <v>193</v>
      </c>
      <c r="H1131" s="336" t="s">
        <v>193</v>
      </c>
      <c r="I1131" s="123"/>
      <c r="J1131" s="336"/>
      <c r="K1131" s="336"/>
      <c r="L1131" s="336"/>
      <c r="M1131" s="336"/>
      <c r="N1131" s="336"/>
      <c r="O1131" s="336"/>
      <c r="P1131" s="123"/>
    </row>
    <row r="1132" spans="1:16" ht="30">
      <c r="A1132" s="466">
        <v>2</v>
      </c>
      <c r="B1132" s="671"/>
      <c r="C1132" s="344" t="s">
        <v>2515</v>
      </c>
      <c r="D1132" s="571" t="s">
        <v>87</v>
      </c>
      <c r="E1132" s="572"/>
      <c r="F1132" s="572"/>
      <c r="G1132" s="572"/>
      <c r="H1132" s="572"/>
      <c r="I1132" s="572"/>
      <c r="J1132" s="572"/>
      <c r="K1132" s="572"/>
      <c r="L1132" s="572"/>
      <c r="M1132" s="572"/>
      <c r="N1132" s="572"/>
      <c r="O1132" s="572"/>
      <c r="P1132" s="573"/>
    </row>
    <row r="1133" spans="1:16" ht="255">
      <c r="A1133" s="336">
        <v>3</v>
      </c>
      <c r="B1133" s="671"/>
      <c r="C1133" s="467" t="s">
        <v>2339</v>
      </c>
      <c r="D1133" s="467" t="s">
        <v>2510</v>
      </c>
      <c r="E1133" s="468">
        <v>945</v>
      </c>
      <c r="F1133" s="468" t="s">
        <v>2511</v>
      </c>
      <c r="G1133" s="468">
        <v>1.49</v>
      </c>
      <c r="H1133" s="469" t="s">
        <v>389</v>
      </c>
      <c r="I1133" s="469" t="s">
        <v>389</v>
      </c>
      <c r="J1133" s="469" t="s">
        <v>389</v>
      </c>
      <c r="K1133" s="469" t="s">
        <v>389</v>
      </c>
      <c r="L1133" s="469" t="s">
        <v>389</v>
      </c>
      <c r="M1133" s="469" t="s">
        <v>389</v>
      </c>
      <c r="N1133" s="469" t="s">
        <v>389</v>
      </c>
      <c r="O1133" s="469" t="s">
        <v>389</v>
      </c>
      <c r="P1133" s="395" t="s">
        <v>2512</v>
      </c>
    </row>
    <row r="1134" spans="1:16">
      <c r="A1134" s="466">
        <v>4</v>
      </c>
      <c r="B1134" s="671"/>
      <c r="C1134" s="470" t="s">
        <v>2513</v>
      </c>
      <c r="D1134" s="471" t="s">
        <v>2514</v>
      </c>
      <c r="E1134" s="472">
        <v>3653</v>
      </c>
      <c r="F1134" s="473" t="s">
        <v>7017</v>
      </c>
      <c r="G1134" s="369" t="s">
        <v>748</v>
      </c>
      <c r="H1134" s="369"/>
      <c r="I1134" s="369" t="s">
        <v>150</v>
      </c>
      <c r="J1134" s="369" t="s">
        <v>35</v>
      </c>
      <c r="K1134" s="369" t="s">
        <v>35</v>
      </c>
      <c r="L1134" s="369" t="s">
        <v>87</v>
      </c>
      <c r="M1134" s="369"/>
      <c r="N1134" s="369"/>
      <c r="O1134" s="369"/>
      <c r="P1134" s="474"/>
    </row>
    <row r="1135" spans="1:16" ht="30">
      <c r="A1135" s="336">
        <v>5</v>
      </c>
      <c r="B1135" s="672"/>
      <c r="C1135" s="122" t="s">
        <v>2516</v>
      </c>
      <c r="D1135" s="667" t="s">
        <v>87</v>
      </c>
      <c r="E1135" s="574"/>
      <c r="F1135" s="574"/>
      <c r="G1135" s="574"/>
      <c r="H1135" s="574"/>
      <c r="I1135" s="574"/>
      <c r="J1135" s="574"/>
      <c r="K1135" s="574"/>
      <c r="L1135" s="574"/>
      <c r="M1135" s="574"/>
      <c r="N1135" s="574"/>
      <c r="O1135" s="574"/>
      <c r="P1135" s="668"/>
    </row>
    <row r="1136" spans="1:16">
      <c r="A1136" s="562"/>
      <c r="B1136" s="562"/>
      <c r="C1136" s="562"/>
      <c r="D1136" s="562"/>
      <c r="E1136" s="562"/>
      <c r="F1136" s="562"/>
      <c r="G1136" s="562"/>
      <c r="H1136" s="562"/>
      <c r="I1136" s="562"/>
      <c r="J1136" s="562"/>
      <c r="K1136" s="562"/>
      <c r="L1136" s="562"/>
      <c r="M1136" s="562"/>
      <c r="N1136" s="562"/>
      <c r="O1136" s="562"/>
      <c r="P1136" s="562"/>
    </row>
    <row r="1137" spans="1:16" ht="20.25" customHeight="1">
      <c r="A1137" s="559" t="s">
        <v>88</v>
      </c>
      <c r="B1137" s="559"/>
      <c r="C1137" s="559"/>
      <c r="D1137" s="559"/>
      <c r="E1137" s="559"/>
      <c r="F1137" s="559"/>
      <c r="G1137" s="559"/>
      <c r="H1137" s="559"/>
      <c r="I1137" s="559"/>
      <c r="J1137" s="559"/>
      <c r="K1137" s="559"/>
      <c r="L1137" s="559"/>
      <c r="M1137" s="559"/>
      <c r="N1137" s="559"/>
      <c r="O1137" s="559"/>
      <c r="P1137" s="560"/>
    </row>
    <row r="1138" spans="1:16" ht="85.5">
      <c r="A1138" s="46" t="s">
        <v>0</v>
      </c>
      <c r="B1138" s="46" t="s">
        <v>2582</v>
      </c>
      <c r="C1138" s="46" t="s">
        <v>1</v>
      </c>
      <c r="D1138" s="46" t="s">
        <v>2596</v>
      </c>
      <c r="E1138" s="67" t="s">
        <v>62</v>
      </c>
      <c r="F1138" s="67" t="s">
        <v>63</v>
      </c>
      <c r="G1138" s="46" t="s">
        <v>2560</v>
      </c>
      <c r="H1138" s="46" t="s">
        <v>2561</v>
      </c>
      <c r="I1138" s="46" t="s">
        <v>2626</v>
      </c>
      <c r="J1138" s="46" t="s">
        <v>5</v>
      </c>
      <c r="K1138" s="46" t="s">
        <v>6</v>
      </c>
      <c r="L1138" s="46" t="s">
        <v>66</v>
      </c>
      <c r="M1138" s="46" t="s">
        <v>67</v>
      </c>
      <c r="N1138" s="67" t="s">
        <v>68</v>
      </c>
      <c r="O1138" s="74" t="s">
        <v>69</v>
      </c>
      <c r="P1138" s="561"/>
    </row>
    <row r="1139" spans="1:16">
      <c r="A1139" s="345">
        <v>1</v>
      </c>
      <c r="B1139" s="79">
        <v>2</v>
      </c>
      <c r="C1139" s="79">
        <v>3</v>
      </c>
      <c r="D1139" s="79">
        <v>4</v>
      </c>
      <c r="E1139" s="79">
        <v>5</v>
      </c>
      <c r="F1139" s="79">
        <v>6</v>
      </c>
      <c r="G1139" s="79">
        <v>7</v>
      </c>
      <c r="H1139" s="79">
        <v>8</v>
      </c>
      <c r="I1139" s="79">
        <v>9</v>
      </c>
      <c r="J1139" s="79">
        <v>10</v>
      </c>
      <c r="K1139" s="79">
        <v>11</v>
      </c>
      <c r="L1139" s="79">
        <v>12</v>
      </c>
      <c r="M1139" s="79">
        <v>13</v>
      </c>
      <c r="N1139" s="79">
        <v>14</v>
      </c>
      <c r="O1139" s="79">
        <v>15</v>
      </c>
      <c r="P1139" s="561"/>
    </row>
    <row r="1140" spans="1:16" ht="30">
      <c r="A1140" s="349">
        <v>1</v>
      </c>
      <c r="B1140" s="395" t="s">
        <v>1504</v>
      </c>
      <c r="C1140" s="395" t="s">
        <v>1505</v>
      </c>
      <c r="D1140" s="395" t="s">
        <v>1506</v>
      </c>
      <c r="E1140" s="349">
        <v>9094</v>
      </c>
      <c r="F1140" s="349">
        <v>2005</v>
      </c>
      <c r="G1140" s="349" t="s">
        <v>1507</v>
      </c>
      <c r="H1140" s="475" t="s">
        <v>454</v>
      </c>
      <c r="I1140" s="475" t="s">
        <v>454</v>
      </c>
      <c r="J1140" s="475" t="s">
        <v>454</v>
      </c>
      <c r="K1140" s="475" t="s">
        <v>454</v>
      </c>
      <c r="L1140" s="475" t="s">
        <v>454</v>
      </c>
      <c r="M1140" s="475" t="s">
        <v>454</v>
      </c>
      <c r="N1140" s="475" t="s">
        <v>454</v>
      </c>
      <c r="O1140" s="475" t="s">
        <v>454</v>
      </c>
      <c r="P1140" s="561"/>
    </row>
    <row r="1141" spans="1:16" ht="60">
      <c r="A1141" s="469">
        <v>2</v>
      </c>
      <c r="B1141" s="395" t="s">
        <v>1504</v>
      </c>
      <c r="C1141" s="395" t="s">
        <v>1505</v>
      </c>
      <c r="D1141" s="395" t="s">
        <v>1508</v>
      </c>
      <c r="E1141" s="469">
        <v>1400</v>
      </c>
      <c r="F1141" s="469">
        <v>2004</v>
      </c>
      <c r="G1141" s="469">
        <v>6.7900000000000002E-2</v>
      </c>
      <c r="H1141" s="475" t="s">
        <v>454</v>
      </c>
      <c r="I1141" s="475" t="s">
        <v>454</v>
      </c>
      <c r="J1141" s="475" t="s">
        <v>454</v>
      </c>
      <c r="K1141" s="475" t="s">
        <v>454</v>
      </c>
      <c r="L1141" s="475" t="s">
        <v>454</v>
      </c>
      <c r="M1141" s="475" t="s">
        <v>454</v>
      </c>
      <c r="N1141" s="475" t="s">
        <v>454</v>
      </c>
      <c r="O1141" s="475" t="s">
        <v>454</v>
      </c>
      <c r="P1141" s="561"/>
    </row>
    <row r="1142" spans="1:16" ht="45">
      <c r="A1142" s="350">
        <v>3</v>
      </c>
      <c r="B1142" s="476" t="s">
        <v>1504</v>
      </c>
      <c r="C1142" s="476" t="s">
        <v>1505</v>
      </c>
      <c r="D1142" s="476" t="s">
        <v>1509</v>
      </c>
      <c r="E1142" s="477">
        <v>1600</v>
      </c>
      <c r="F1142" s="477">
        <v>2001</v>
      </c>
      <c r="G1142" s="477">
        <v>4.0000000000000001E-3</v>
      </c>
      <c r="H1142" s="478" t="s">
        <v>454</v>
      </c>
      <c r="I1142" s="478" t="s">
        <v>454</v>
      </c>
      <c r="J1142" s="478" t="s">
        <v>454</v>
      </c>
      <c r="K1142" s="478" t="s">
        <v>454</v>
      </c>
      <c r="L1142" s="478" t="s">
        <v>454</v>
      </c>
      <c r="M1142" s="478" t="s">
        <v>454</v>
      </c>
      <c r="N1142" s="478" t="s">
        <v>454</v>
      </c>
      <c r="O1142" s="478" t="s">
        <v>454</v>
      </c>
      <c r="P1142" s="561"/>
    </row>
    <row r="1143" spans="1:16" ht="45">
      <c r="A1143" s="469">
        <v>4</v>
      </c>
      <c r="B1143" s="395" t="s">
        <v>1504</v>
      </c>
      <c r="C1143" s="395" t="s">
        <v>1505</v>
      </c>
      <c r="D1143" s="395" t="s">
        <v>1510</v>
      </c>
      <c r="E1143" s="469">
        <v>2754.8</v>
      </c>
      <c r="F1143" s="469" t="s">
        <v>1511</v>
      </c>
      <c r="G1143" s="469">
        <v>0.62</v>
      </c>
      <c r="H1143" s="475" t="s">
        <v>454</v>
      </c>
      <c r="I1143" s="475" t="s">
        <v>454</v>
      </c>
      <c r="J1143" s="475" t="s">
        <v>454</v>
      </c>
      <c r="K1143" s="475" t="s">
        <v>454</v>
      </c>
      <c r="L1143" s="475" t="s">
        <v>454</v>
      </c>
      <c r="M1143" s="475" t="s">
        <v>454</v>
      </c>
      <c r="N1143" s="475" t="s">
        <v>454</v>
      </c>
      <c r="O1143" s="475" t="s">
        <v>454</v>
      </c>
      <c r="P1143" s="561"/>
    </row>
    <row r="1144" spans="1:16" ht="75">
      <c r="A1144" s="351">
        <v>5</v>
      </c>
      <c r="B1144" s="479" t="s">
        <v>1504</v>
      </c>
      <c r="C1144" s="479" t="s">
        <v>1505</v>
      </c>
      <c r="D1144" s="479" t="s">
        <v>1512</v>
      </c>
      <c r="E1144" s="480">
        <v>784</v>
      </c>
      <c r="F1144" s="480" t="s">
        <v>1513</v>
      </c>
      <c r="G1144" s="481" t="s">
        <v>454</v>
      </c>
      <c r="H1144" s="481" t="s">
        <v>454</v>
      </c>
      <c r="I1144" s="480" t="s">
        <v>1514</v>
      </c>
      <c r="J1144" s="351" t="s">
        <v>1512</v>
      </c>
      <c r="K1144" s="351" t="s">
        <v>1515</v>
      </c>
      <c r="L1144" s="481" t="s">
        <v>454</v>
      </c>
      <c r="M1144" s="481" t="s">
        <v>454</v>
      </c>
      <c r="N1144" s="481" t="s">
        <v>454</v>
      </c>
      <c r="O1144" s="351" t="s">
        <v>1516</v>
      </c>
      <c r="P1144" s="561"/>
    </row>
    <row r="1145" spans="1:16">
      <c r="A1145" s="554"/>
      <c r="B1145" s="554"/>
      <c r="C1145" s="554"/>
      <c r="D1145" s="554"/>
      <c r="E1145" s="554"/>
      <c r="F1145" s="554"/>
      <c r="G1145" s="554"/>
      <c r="H1145" s="554"/>
      <c r="I1145" s="554"/>
      <c r="J1145" s="554"/>
      <c r="K1145" s="554"/>
      <c r="L1145" s="554"/>
      <c r="M1145" s="554"/>
      <c r="N1145" s="554"/>
      <c r="O1145" s="554"/>
      <c r="P1145" s="554"/>
    </row>
    <row r="1146" spans="1:16" ht="20.25" customHeight="1">
      <c r="A1146" s="559" t="s">
        <v>111</v>
      </c>
      <c r="B1146" s="559"/>
      <c r="C1146" s="559"/>
      <c r="D1146" s="559"/>
      <c r="E1146" s="559"/>
      <c r="F1146" s="559"/>
      <c r="G1146" s="559"/>
      <c r="H1146" s="559"/>
      <c r="I1146" s="559"/>
      <c r="J1146" s="559"/>
      <c r="K1146" s="559"/>
      <c r="L1146" s="559"/>
      <c r="M1146" s="559"/>
      <c r="N1146" s="559"/>
      <c r="O1146" s="559"/>
      <c r="P1146" s="629"/>
    </row>
    <row r="1147" spans="1:16" ht="85.5">
      <c r="A1147" s="46" t="s">
        <v>0</v>
      </c>
      <c r="B1147" s="46" t="s">
        <v>2582</v>
      </c>
      <c r="C1147" s="46" t="s">
        <v>1</v>
      </c>
      <c r="D1147" s="46" t="s">
        <v>2596</v>
      </c>
      <c r="E1147" s="46" t="s">
        <v>89</v>
      </c>
      <c r="F1147" s="46" t="s">
        <v>63</v>
      </c>
      <c r="G1147" s="46" t="s">
        <v>2590</v>
      </c>
      <c r="H1147" s="46" t="s">
        <v>2561</v>
      </c>
      <c r="I1147" s="46" t="s">
        <v>2391</v>
      </c>
      <c r="J1147" s="46" t="s">
        <v>5</v>
      </c>
      <c r="K1147" s="46" t="s">
        <v>6</v>
      </c>
      <c r="L1147" s="46" t="s">
        <v>91</v>
      </c>
      <c r="M1147" s="46" t="s">
        <v>67</v>
      </c>
      <c r="N1147" s="67" t="s">
        <v>92</v>
      </c>
      <c r="O1147" s="401" t="s">
        <v>11</v>
      </c>
      <c r="P1147" s="630"/>
    </row>
    <row r="1148" spans="1:16">
      <c r="A1148" s="345">
        <v>1</v>
      </c>
      <c r="B1148" s="79">
        <v>2</v>
      </c>
      <c r="C1148" s="79">
        <v>3</v>
      </c>
      <c r="D1148" s="79">
        <v>4</v>
      </c>
      <c r="E1148" s="79">
        <v>5</v>
      </c>
      <c r="F1148" s="79">
        <v>6</v>
      </c>
      <c r="G1148" s="79">
        <v>7</v>
      </c>
      <c r="H1148" s="79">
        <v>8</v>
      </c>
      <c r="I1148" s="79">
        <v>9</v>
      </c>
      <c r="J1148" s="79">
        <v>10</v>
      </c>
      <c r="K1148" s="79">
        <v>11</v>
      </c>
      <c r="L1148" s="79">
        <v>12</v>
      </c>
      <c r="M1148" s="79">
        <v>13</v>
      </c>
      <c r="N1148" s="357">
        <v>14</v>
      </c>
      <c r="O1148" s="79">
        <v>15</v>
      </c>
      <c r="P1148" s="630"/>
    </row>
    <row r="1149" spans="1:16" ht="45">
      <c r="A1149" s="349">
        <v>1</v>
      </c>
      <c r="B1149" s="395" t="s">
        <v>1504</v>
      </c>
      <c r="C1149" s="395" t="s">
        <v>1505</v>
      </c>
      <c r="D1149" s="395" t="s">
        <v>1517</v>
      </c>
      <c r="E1149" s="349">
        <v>4801.49</v>
      </c>
      <c r="F1149" s="482" t="s">
        <v>1518</v>
      </c>
      <c r="G1149" s="483" t="s">
        <v>454</v>
      </c>
      <c r="H1149" s="483" t="s">
        <v>454</v>
      </c>
      <c r="I1149" s="483" t="s">
        <v>454</v>
      </c>
      <c r="J1149" s="484" t="s">
        <v>454</v>
      </c>
      <c r="K1149" s="484" t="s">
        <v>454</v>
      </c>
      <c r="L1149" s="484" t="s">
        <v>454</v>
      </c>
      <c r="M1149" s="484" t="s">
        <v>454</v>
      </c>
      <c r="N1149" s="484" t="s">
        <v>454</v>
      </c>
      <c r="O1149" s="475" t="s">
        <v>454</v>
      </c>
      <c r="P1149" s="631"/>
    </row>
    <row r="1150" spans="1:16">
      <c r="A1150" s="562"/>
      <c r="B1150" s="562"/>
      <c r="C1150" s="562"/>
      <c r="D1150" s="562"/>
      <c r="E1150" s="562"/>
      <c r="F1150" s="562"/>
      <c r="G1150" s="562"/>
      <c r="H1150" s="562"/>
      <c r="I1150" s="562"/>
      <c r="J1150" s="562"/>
      <c r="K1150" s="562"/>
      <c r="L1150" s="562"/>
      <c r="M1150" s="562"/>
      <c r="N1150" s="562"/>
      <c r="O1150" s="562"/>
      <c r="P1150" s="562"/>
    </row>
    <row r="1151" spans="1:16" ht="20.25">
      <c r="A1151" s="555" t="s">
        <v>112</v>
      </c>
      <c r="B1151" s="556"/>
      <c r="C1151" s="556"/>
      <c r="D1151" s="556"/>
      <c r="E1151" s="556"/>
      <c r="F1151" s="556"/>
      <c r="G1151" s="556"/>
      <c r="H1151" s="556"/>
      <c r="I1151" s="556"/>
      <c r="J1151" s="556"/>
      <c r="K1151" s="556"/>
      <c r="L1151" s="556"/>
      <c r="M1151" s="556"/>
      <c r="N1151" s="556"/>
      <c r="O1151" s="556"/>
      <c r="P1151" s="556"/>
    </row>
    <row r="1152" spans="1:16" ht="85.5">
      <c r="A1152" s="46" t="s">
        <v>0</v>
      </c>
      <c r="B1152" s="46" t="s">
        <v>2582</v>
      </c>
      <c r="C1152" s="46" t="s">
        <v>1</v>
      </c>
      <c r="D1152" s="46" t="s">
        <v>2596</v>
      </c>
      <c r="E1152" s="46" t="s">
        <v>89</v>
      </c>
      <c r="F1152" s="46" t="s">
        <v>63</v>
      </c>
      <c r="G1152" s="46" t="s">
        <v>2390</v>
      </c>
      <c r="H1152" s="46" t="s">
        <v>2561</v>
      </c>
      <c r="I1152" s="46" t="s">
        <v>2391</v>
      </c>
      <c r="J1152" s="46" t="s">
        <v>5</v>
      </c>
      <c r="K1152" s="46" t="s">
        <v>6</v>
      </c>
      <c r="L1152" s="46" t="s">
        <v>91</v>
      </c>
      <c r="M1152" s="46" t="s">
        <v>67</v>
      </c>
      <c r="N1152" s="67" t="s">
        <v>110</v>
      </c>
      <c r="O1152" s="67" t="s">
        <v>92</v>
      </c>
      <c r="P1152" s="74" t="s">
        <v>69</v>
      </c>
    </row>
    <row r="1153" spans="1:16">
      <c r="A1153" s="345">
        <v>1</v>
      </c>
      <c r="B1153" s="79">
        <v>2</v>
      </c>
      <c r="C1153" s="79">
        <v>3</v>
      </c>
      <c r="D1153" s="79">
        <v>4</v>
      </c>
      <c r="E1153" s="79">
        <v>5</v>
      </c>
      <c r="F1153" s="79">
        <v>6</v>
      </c>
      <c r="G1153" s="79">
        <v>7</v>
      </c>
      <c r="H1153" s="79">
        <v>8</v>
      </c>
      <c r="I1153" s="79">
        <v>9</v>
      </c>
      <c r="J1153" s="79">
        <v>10</v>
      </c>
      <c r="K1153" s="79">
        <v>11</v>
      </c>
      <c r="L1153" s="79">
        <v>12</v>
      </c>
      <c r="M1153" s="79">
        <v>13</v>
      </c>
      <c r="N1153" s="79">
        <v>14</v>
      </c>
      <c r="O1153" s="357">
        <v>15</v>
      </c>
      <c r="P1153" s="46">
        <v>16</v>
      </c>
    </row>
    <row r="1154" spans="1:16" ht="60">
      <c r="A1154" s="339">
        <v>1</v>
      </c>
      <c r="B1154" s="565" t="s">
        <v>2598</v>
      </c>
      <c r="C1154" s="344" t="s">
        <v>1519</v>
      </c>
      <c r="D1154" s="344" t="s">
        <v>1521</v>
      </c>
      <c r="E1154" s="339">
        <v>77721.600000000006</v>
      </c>
      <c r="F1154" s="339" t="s">
        <v>1522</v>
      </c>
      <c r="G1154" s="339" t="s">
        <v>17</v>
      </c>
      <c r="H1154" s="339" t="s">
        <v>17</v>
      </c>
      <c r="I1154" s="339"/>
      <c r="J1154" s="339"/>
      <c r="K1154" s="339"/>
      <c r="L1154" s="339"/>
      <c r="M1154" s="339"/>
      <c r="N1154" s="339"/>
      <c r="O1154" s="339"/>
      <c r="P1154" s="339"/>
    </row>
    <row r="1155" spans="1:16" ht="60">
      <c r="A1155" s="339">
        <v>2</v>
      </c>
      <c r="B1155" s="566"/>
      <c r="C1155" s="344" t="s">
        <v>1519</v>
      </c>
      <c r="D1155" s="344" t="s">
        <v>1523</v>
      </c>
      <c r="E1155" s="339">
        <v>8190.7</v>
      </c>
      <c r="F1155" s="339">
        <v>1957</v>
      </c>
      <c r="G1155" s="339" t="s">
        <v>17</v>
      </c>
      <c r="H1155" s="339" t="s">
        <v>17</v>
      </c>
      <c r="I1155" s="339"/>
      <c r="J1155" s="339"/>
      <c r="K1155" s="339"/>
      <c r="L1155" s="339"/>
      <c r="M1155" s="339"/>
      <c r="N1155" s="339"/>
      <c r="O1155" s="339"/>
      <c r="P1155" s="339"/>
    </row>
    <row r="1156" spans="1:16" ht="30">
      <c r="A1156" s="339">
        <v>3</v>
      </c>
      <c r="B1156" s="566"/>
      <c r="C1156" s="344" t="s">
        <v>1519</v>
      </c>
      <c r="D1156" s="344" t="s">
        <v>1524</v>
      </c>
      <c r="E1156" s="339">
        <v>11805</v>
      </c>
      <c r="F1156" s="339">
        <v>1957</v>
      </c>
      <c r="G1156" s="339" t="s">
        <v>17</v>
      </c>
      <c r="H1156" s="339" t="s">
        <v>17</v>
      </c>
      <c r="I1156" s="123"/>
      <c r="J1156" s="336"/>
      <c r="K1156" s="336"/>
      <c r="L1156" s="336"/>
      <c r="M1156" s="336"/>
      <c r="N1156" s="336"/>
      <c r="O1156" s="336"/>
      <c r="P1156" s="123"/>
    </row>
    <row r="1157" spans="1:16" ht="60">
      <c r="A1157" s="339">
        <v>4</v>
      </c>
      <c r="B1157" s="566"/>
      <c r="C1157" s="344" t="s">
        <v>1519</v>
      </c>
      <c r="D1157" s="344" t="s">
        <v>1525</v>
      </c>
      <c r="E1157" s="339">
        <v>5563</v>
      </c>
      <c r="F1157" s="339" t="s">
        <v>1526</v>
      </c>
      <c r="G1157" s="339" t="s">
        <v>17</v>
      </c>
      <c r="H1157" s="339" t="s">
        <v>17</v>
      </c>
      <c r="I1157" s="339"/>
      <c r="J1157" s="339"/>
      <c r="K1157" s="339"/>
      <c r="L1157" s="339"/>
      <c r="M1157" s="339"/>
      <c r="N1157" s="339"/>
      <c r="O1157" s="339"/>
      <c r="P1157" s="339"/>
    </row>
    <row r="1158" spans="1:16" ht="22.5" customHeight="1">
      <c r="A1158" s="339">
        <v>5</v>
      </c>
      <c r="B1158" s="567"/>
      <c r="C1158" s="344" t="s">
        <v>1505</v>
      </c>
      <c r="D1158" s="485" t="s">
        <v>454</v>
      </c>
      <c r="E1158" s="83" t="s">
        <v>454</v>
      </c>
      <c r="F1158" s="486" t="s">
        <v>454</v>
      </c>
      <c r="G1158" s="486" t="s">
        <v>454</v>
      </c>
      <c r="H1158" s="486" t="s">
        <v>454</v>
      </c>
      <c r="I1158" s="486" t="s">
        <v>454</v>
      </c>
      <c r="J1158" s="83" t="s">
        <v>454</v>
      </c>
      <c r="K1158" s="83" t="s">
        <v>454</v>
      </c>
      <c r="L1158" s="83" t="s">
        <v>454</v>
      </c>
      <c r="M1158" s="83" t="s">
        <v>454</v>
      </c>
      <c r="N1158" s="83" t="s">
        <v>454</v>
      </c>
      <c r="O1158" s="83" t="s">
        <v>454</v>
      </c>
      <c r="P1158" s="486" t="s">
        <v>454</v>
      </c>
    </row>
    <row r="1159" spans="1:16" ht="16.5" customHeight="1">
      <c r="A1159" s="562"/>
      <c r="B1159" s="562"/>
      <c r="C1159" s="562"/>
      <c r="D1159" s="562"/>
      <c r="E1159" s="562"/>
      <c r="F1159" s="562"/>
      <c r="G1159" s="562"/>
      <c r="H1159" s="562"/>
      <c r="I1159" s="562"/>
      <c r="J1159" s="562"/>
      <c r="K1159" s="562"/>
      <c r="L1159" s="562"/>
      <c r="M1159" s="562"/>
      <c r="N1159" s="562"/>
      <c r="O1159" s="562"/>
      <c r="P1159" s="562"/>
    </row>
    <row r="1160" spans="1:16" ht="22.5">
      <c r="A1160" s="803" t="s">
        <v>674</v>
      </c>
      <c r="B1160" s="804"/>
      <c r="C1160" s="804"/>
      <c r="D1160" s="804"/>
      <c r="E1160" s="804"/>
      <c r="F1160" s="804"/>
      <c r="G1160" s="804"/>
      <c r="H1160" s="804"/>
      <c r="I1160" s="804"/>
      <c r="J1160" s="804"/>
      <c r="K1160" s="804"/>
      <c r="L1160" s="804"/>
      <c r="M1160" s="804"/>
      <c r="N1160" s="804"/>
      <c r="O1160" s="804"/>
      <c r="P1160" s="804"/>
    </row>
    <row r="1161" spans="1:16" ht="20.25">
      <c r="A1161" s="555" t="s">
        <v>61</v>
      </c>
      <c r="B1161" s="556"/>
      <c r="C1161" s="556"/>
      <c r="D1161" s="556"/>
      <c r="E1161" s="556"/>
      <c r="F1161" s="556"/>
      <c r="G1161" s="556"/>
      <c r="H1161" s="556"/>
      <c r="I1161" s="556"/>
      <c r="J1161" s="556"/>
      <c r="K1161" s="556"/>
      <c r="L1161" s="556"/>
      <c r="M1161" s="556"/>
      <c r="N1161" s="556"/>
      <c r="O1161" s="556"/>
      <c r="P1161" s="556"/>
    </row>
    <row r="1162" spans="1:16" ht="77.25" customHeight="1">
      <c r="A1162" s="46" t="s">
        <v>0</v>
      </c>
      <c r="B1162" s="46" t="s">
        <v>2592</v>
      </c>
      <c r="C1162" s="46" t="s">
        <v>1</v>
      </c>
      <c r="D1162" s="46" t="s">
        <v>2593</v>
      </c>
      <c r="E1162" s="46" t="s">
        <v>3</v>
      </c>
      <c r="F1162" s="46" t="s">
        <v>4</v>
      </c>
      <c r="G1162" s="46" t="s">
        <v>2594</v>
      </c>
      <c r="H1162" s="46" t="s">
        <v>2595</v>
      </c>
      <c r="I1162" s="46" t="s">
        <v>2392</v>
      </c>
      <c r="J1162" s="46" t="s">
        <v>5</v>
      </c>
      <c r="K1162" s="46" t="s">
        <v>6</v>
      </c>
      <c r="L1162" s="46" t="s">
        <v>7</v>
      </c>
      <c r="M1162" s="67" t="s">
        <v>8</v>
      </c>
      <c r="N1162" s="399" t="s">
        <v>9</v>
      </c>
      <c r="O1162" s="400" t="s">
        <v>10</v>
      </c>
      <c r="P1162" s="401" t="s">
        <v>11</v>
      </c>
    </row>
    <row r="1163" spans="1:16">
      <c r="A1163" s="46">
        <v>1</v>
      </c>
      <c r="B1163" s="46">
        <v>2</v>
      </c>
      <c r="C1163" s="46">
        <v>3</v>
      </c>
      <c r="D1163" s="46">
        <v>4</v>
      </c>
      <c r="E1163" s="46">
        <v>5</v>
      </c>
      <c r="F1163" s="46">
        <v>6</v>
      </c>
      <c r="G1163" s="46">
        <v>7</v>
      </c>
      <c r="H1163" s="46">
        <v>8</v>
      </c>
      <c r="I1163" s="46">
        <v>9</v>
      </c>
      <c r="J1163" s="46">
        <v>10</v>
      </c>
      <c r="K1163" s="46">
        <v>11</v>
      </c>
      <c r="L1163" s="46">
        <v>12</v>
      </c>
      <c r="M1163" s="46">
        <v>13</v>
      </c>
      <c r="N1163" s="46">
        <v>14</v>
      </c>
      <c r="O1163" s="400">
        <v>15</v>
      </c>
      <c r="P1163" s="46">
        <v>16</v>
      </c>
    </row>
    <row r="1164" spans="1:16" ht="270">
      <c r="A1164" s="335">
        <v>1</v>
      </c>
      <c r="B1164" s="632" t="s">
        <v>1527</v>
      </c>
      <c r="C1164" s="352" t="s">
        <v>1528</v>
      </c>
      <c r="D1164" s="352" t="s">
        <v>1529</v>
      </c>
      <c r="E1164" s="335">
        <v>2023.43</v>
      </c>
      <c r="F1164" s="335" t="s">
        <v>1530</v>
      </c>
      <c r="G1164" s="49" t="s">
        <v>1531</v>
      </c>
      <c r="H1164" s="77" t="s">
        <v>1532</v>
      </c>
      <c r="I1164" s="49" t="s">
        <v>35</v>
      </c>
      <c r="J1164" s="335" t="s">
        <v>748</v>
      </c>
      <c r="K1164" s="335" t="s">
        <v>748</v>
      </c>
      <c r="L1164" s="335" t="s">
        <v>87</v>
      </c>
      <c r="M1164" s="335" t="s">
        <v>26</v>
      </c>
      <c r="N1164" s="335" t="s">
        <v>35</v>
      </c>
      <c r="O1164" s="335" t="s">
        <v>35</v>
      </c>
      <c r="P1164" s="335" t="s">
        <v>35</v>
      </c>
    </row>
    <row r="1165" spans="1:16" ht="90">
      <c r="A1165" s="335">
        <v>2</v>
      </c>
      <c r="B1165" s="633"/>
      <c r="C1165" s="352" t="s">
        <v>1528</v>
      </c>
      <c r="D1165" s="352" t="s">
        <v>1533</v>
      </c>
      <c r="E1165" s="49" t="s">
        <v>1534</v>
      </c>
      <c r="F1165" s="49" t="s">
        <v>1535</v>
      </c>
      <c r="G1165" s="49" t="s">
        <v>1536</v>
      </c>
      <c r="H1165" s="335" t="s">
        <v>35</v>
      </c>
      <c r="I1165" s="335" t="s">
        <v>35</v>
      </c>
      <c r="J1165" s="49" t="s">
        <v>1537</v>
      </c>
      <c r="K1165" s="335" t="s">
        <v>35</v>
      </c>
      <c r="L1165" s="335" t="s">
        <v>35</v>
      </c>
      <c r="M1165" s="335" t="s">
        <v>35</v>
      </c>
      <c r="N1165" s="335" t="s">
        <v>35</v>
      </c>
      <c r="O1165" s="335" t="s">
        <v>35</v>
      </c>
      <c r="P1165" s="77" t="s">
        <v>1538</v>
      </c>
    </row>
    <row r="1166" spans="1:16" ht="60">
      <c r="A1166" s="335">
        <v>3</v>
      </c>
      <c r="B1166" s="633"/>
      <c r="C1166" s="614" t="s">
        <v>1539</v>
      </c>
      <c r="D1166" s="352" t="s">
        <v>1540</v>
      </c>
      <c r="E1166" s="49">
        <v>86</v>
      </c>
      <c r="F1166" s="49" t="s">
        <v>1541</v>
      </c>
      <c r="G1166" s="49">
        <v>4840000</v>
      </c>
      <c r="H1166" s="49" t="s">
        <v>454</v>
      </c>
      <c r="I1166" s="49" t="s">
        <v>1542</v>
      </c>
      <c r="J1166" s="49" t="s">
        <v>17</v>
      </c>
      <c r="K1166" s="49" t="s">
        <v>17</v>
      </c>
      <c r="L1166" s="49" t="s">
        <v>17</v>
      </c>
      <c r="M1166" s="77" t="s">
        <v>1543</v>
      </c>
      <c r="N1166" s="49" t="s">
        <v>17</v>
      </c>
      <c r="O1166" s="49" t="s">
        <v>17</v>
      </c>
      <c r="P1166" s="49" t="s">
        <v>17</v>
      </c>
    </row>
    <row r="1167" spans="1:16" ht="90">
      <c r="A1167" s="335">
        <v>4</v>
      </c>
      <c r="B1167" s="633"/>
      <c r="C1167" s="614"/>
      <c r="D1167" s="352" t="s">
        <v>1544</v>
      </c>
      <c r="E1167" s="49" t="s">
        <v>1545</v>
      </c>
      <c r="F1167" s="49" t="s">
        <v>1546</v>
      </c>
      <c r="G1167" s="49">
        <v>4.2</v>
      </c>
      <c r="H1167" s="49">
        <v>4.2</v>
      </c>
      <c r="I1167" s="49" t="s">
        <v>1547</v>
      </c>
      <c r="J1167" s="49" t="s">
        <v>87</v>
      </c>
      <c r="K1167" s="49" t="s">
        <v>87</v>
      </c>
      <c r="L1167" s="49" t="s">
        <v>87</v>
      </c>
      <c r="M1167" s="77" t="s">
        <v>1548</v>
      </c>
      <c r="N1167" s="49" t="s">
        <v>87</v>
      </c>
      <c r="O1167" s="49" t="s">
        <v>17</v>
      </c>
      <c r="P1167" s="335" t="s">
        <v>35</v>
      </c>
    </row>
    <row r="1168" spans="1:16" ht="45">
      <c r="A1168" s="335">
        <v>5</v>
      </c>
      <c r="B1168" s="633"/>
      <c r="C1168" s="352" t="s">
        <v>1549</v>
      </c>
      <c r="D1168" s="352" t="s">
        <v>1550</v>
      </c>
      <c r="E1168" s="49">
        <v>10036.200000000001</v>
      </c>
      <c r="F1168" s="335" t="s">
        <v>1551</v>
      </c>
      <c r="G1168" s="487">
        <f>6200000/10000000</f>
        <v>0.62</v>
      </c>
      <c r="H1168" s="49" t="s">
        <v>1552</v>
      </c>
      <c r="I1168" s="49" t="s">
        <v>1553</v>
      </c>
      <c r="J1168" s="335" t="s">
        <v>748</v>
      </c>
      <c r="K1168" s="335" t="s">
        <v>748</v>
      </c>
      <c r="L1168" s="335" t="s">
        <v>748</v>
      </c>
      <c r="M1168" s="77" t="s">
        <v>1554</v>
      </c>
      <c r="N1168" s="49" t="s">
        <v>17</v>
      </c>
      <c r="O1168" s="335" t="s">
        <v>748</v>
      </c>
      <c r="P1168" s="335" t="s">
        <v>35</v>
      </c>
    </row>
    <row r="1169" spans="1:16" ht="75">
      <c r="A1169" s="335">
        <v>6</v>
      </c>
      <c r="B1169" s="633"/>
      <c r="C1169" s="352" t="s">
        <v>1555</v>
      </c>
      <c r="D1169" s="352" t="s">
        <v>1556</v>
      </c>
      <c r="E1169" s="335">
        <v>3722.9</v>
      </c>
      <c r="F1169" s="335" t="s">
        <v>1557</v>
      </c>
      <c r="G1169" s="335">
        <v>3.99</v>
      </c>
      <c r="H1169" s="49" t="s">
        <v>1558</v>
      </c>
      <c r="I1169" s="49" t="s">
        <v>1559</v>
      </c>
      <c r="J1169" s="335" t="s">
        <v>748</v>
      </c>
      <c r="K1169" s="335" t="s">
        <v>748</v>
      </c>
      <c r="L1169" s="335" t="s">
        <v>748</v>
      </c>
      <c r="M1169" s="77" t="s">
        <v>1543</v>
      </c>
      <c r="N1169" s="49" t="s">
        <v>17</v>
      </c>
      <c r="O1169" s="335" t="s">
        <v>748</v>
      </c>
      <c r="P1169" s="335" t="s">
        <v>35</v>
      </c>
    </row>
    <row r="1170" spans="1:16" ht="75">
      <c r="A1170" s="335">
        <v>7</v>
      </c>
      <c r="B1170" s="634"/>
      <c r="C1170" s="352" t="s">
        <v>1560</v>
      </c>
      <c r="D1170" s="352" t="s">
        <v>1561</v>
      </c>
      <c r="E1170" s="113" t="s">
        <v>1562</v>
      </c>
      <c r="F1170" s="335" t="s">
        <v>1563</v>
      </c>
      <c r="G1170" s="335">
        <v>0.87</v>
      </c>
      <c r="H1170" s="335">
        <v>0.87</v>
      </c>
      <c r="I1170" s="335" t="s">
        <v>23</v>
      </c>
      <c r="J1170" s="335" t="s">
        <v>17</v>
      </c>
      <c r="K1170" s="335" t="s">
        <v>17</v>
      </c>
      <c r="L1170" s="335" t="s">
        <v>87</v>
      </c>
      <c r="M1170" s="77" t="s">
        <v>1543</v>
      </c>
      <c r="N1170" s="335" t="s">
        <v>17</v>
      </c>
      <c r="O1170" s="49" t="s">
        <v>1564</v>
      </c>
      <c r="P1170" s="49" t="s">
        <v>1565</v>
      </c>
    </row>
    <row r="1171" spans="1:16">
      <c r="A1171" s="562"/>
      <c r="B1171" s="562"/>
      <c r="C1171" s="562"/>
      <c r="D1171" s="562"/>
      <c r="E1171" s="562"/>
      <c r="F1171" s="562"/>
      <c r="G1171" s="562"/>
      <c r="H1171" s="562"/>
      <c r="I1171" s="562"/>
      <c r="J1171" s="562"/>
      <c r="K1171" s="562"/>
      <c r="L1171" s="562"/>
      <c r="M1171" s="562"/>
      <c r="N1171" s="562"/>
      <c r="O1171" s="562"/>
      <c r="P1171" s="562"/>
    </row>
    <row r="1172" spans="1:16" ht="20.25" customHeight="1">
      <c r="A1172" s="559" t="s">
        <v>88</v>
      </c>
      <c r="B1172" s="559"/>
      <c r="C1172" s="559"/>
      <c r="D1172" s="559"/>
      <c r="E1172" s="559"/>
      <c r="F1172" s="559"/>
      <c r="G1172" s="559"/>
      <c r="H1172" s="559"/>
      <c r="I1172" s="559"/>
      <c r="J1172" s="559"/>
      <c r="K1172" s="559"/>
      <c r="L1172" s="559"/>
      <c r="M1172" s="559"/>
      <c r="N1172" s="559"/>
      <c r="O1172" s="559"/>
      <c r="P1172" s="560"/>
    </row>
    <row r="1173" spans="1:16" ht="85.5">
      <c r="A1173" s="46" t="s">
        <v>0</v>
      </c>
      <c r="B1173" s="46" t="s">
        <v>2582</v>
      </c>
      <c r="C1173" s="46" t="s">
        <v>1</v>
      </c>
      <c r="D1173" s="46" t="s">
        <v>2596</v>
      </c>
      <c r="E1173" s="67" t="s">
        <v>62</v>
      </c>
      <c r="F1173" s="67" t="s">
        <v>63</v>
      </c>
      <c r="G1173" s="46" t="s">
        <v>2560</v>
      </c>
      <c r="H1173" s="46" t="s">
        <v>2561</v>
      </c>
      <c r="I1173" s="46" t="s">
        <v>2583</v>
      </c>
      <c r="J1173" s="46" t="s">
        <v>5</v>
      </c>
      <c r="K1173" s="46" t="s">
        <v>6</v>
      </c>
      <c r="L1173" s="46" t="s">
        <v>66</v>
      </c>
      <c r="M1173" s="46" t="s">
        <v>67</v>
      </c>
      <c r="N1173" s="67" t="s">
        <v>68</v>
      </c>
      <c r="O1173" s="74" t="s">
        <v>69</v>
      </c>
      <c r="P1173" s="561"/>
    </row>
    <row r="1174" spans="1:16" ht="15" customHeight="1">
      <c r="A1174" s="345">
        <v>1</v>
      </c>
      <c r="B1174" s="79">
        <v>2</v>
      </c>
      <c r="C1174" s="79">
        <v>3</v>
      </c>
      <c r="D1174" s="79">
        <v>4</v>
      </c>
      <c r="E1174" s="79">
        <v>5</v>
      </c>
      <c r="F1174" s="79">
        <v>6</v>
      </c>
      <c r="G1174" s="79">
        <v>7</v>
      </c>
      <c r="H1174" s="79">
        <v>8</v>
      </c>
      <c r="I1174" s="79">
        <v>9</v>
      </c>
      <c r="J1174" s="79">
        <v>10</v>
      </c>
      <c r="K1174" s="79">
        <v>11</v>
      </c>
      <c r="L1174" s="79">
        <v>12</v>
      </c>
      <c r="M1174" s="79">
        <v>13</v>
      </c>
      <c r="N1174" s="79">
        <v>14</v>
      </c>
      <c r="O1174" s="79">
        <v>15</v>
      </c>
      <c r="P1174" s="561"/>
    </row>
    <row r="1175" spans="1:16" ht="135">
      <c r="A1175" s="335">
        <v>1</v>
      </c>
      <c r="B1175" s="614" t="s">
        <v>1527</v>
      </c>
      <c r="C1175" s="352" t="s">
        <v>1528</v>
      </c>
      <c r="D1175" s="352" t="s">
        <v>1566</v>
      </c>
      <c r="E1175" s="49">
        <v>4781</v>
      </c>
      <c r="F1175" s="49" t="s">
        <v>1567</v>
      </c>
      <c r="G1175" s="49" t="s">
        <v>1568</v>
      </c>
      <c r="H1175" s="335" t="s">
        <v>1569</v>
      </c>
      <c r="I1175" s="335" t="s">
        <v>650</v>
      </c>
      <c r="J1175" s="49" t="s">
        <v>1570</v>
      </c>
      <c r="K1175" s="335" t="s">
        <v>35</v>
      </c>
      <c r="L1175" s="335" t="s">
        <v>35</v>
      </c>
      <c r="M1175" s="335" t="s">
        <v>35</v>
      </c>
      <c r="N1175" s="335">
        <v>1</v>
      </c>
      <c r="O1175" s="77" t="s">
        <v>1570</v>
      </c>
      <c r="P1175" s="561"/>
    </row>
    <row r="1176" spans="1:16" ht="120">
      <c r="A1176" s="335">
        <v>2</v>
      </c>
      <c r="B1176" s="614"/>
      <c r="C1176" s="352" t="s">
        <v>1528</v>
      </c>
      <c r="D1176" s="352" t="s">
        <v>1571</v>
      </c>
      <c r="E1176" s="335">
        <v>849.34</v>
      </c>
      <c r="F1176" s="335" t="s">
        <v>1572</v>
      </c>
      <c r="G1176" s="335">
        <v>3.2887199999999998E-2</v>
      </c>
      <c r="H1176" s="335">
        <v>9859080</v>
      </c>
      <c r="I1176" s="335" t="s">
        <v>563</v>
      </c>
      <c r="J1176" s="335" t="s">
        <v>17</v>
      </c>
      <c r="K1176" s="335" t="s">
        <v>17</v>
      </c>
      <c r="L1176" s="335" t="s">
        <v>17</v>
      </c>
      <c r="M1176" s="49" t="s">
        <v>956</v>
      </c>
      <c r="N1176" s="335">
        <v>3</v>
      </c>
      <c r="O1176" s="77" t="s">
        <v>1573</v>
      </c>
      <c r="P1176" s="561"/>
    </row>
    <row r="1177" spans="1:16" ht="195">
      <c r="A1177" s="488">
        <v>3</v>
      </c>
      <c r="B1177" s="614"/>
      <c r="C1177" s="352" t="s">
        <v>1528</v>
      </c>
      <c r="D1177" s="352" t="s">
        <v>7486</v>
      </c>
      <c r="E1177" s="49" t="s">
        <v>2366</v>
      </c>
      <c r="F1177" s="335" t="s">
        <v>17</v>
      </c>
      <c r="G1177" s="49" t="s">
        <v>17</v>
      </c>
      <c r="H1177" s="49" t="s">
        <v>1575</v>
      </c>
      <c r="I1177" s="615" t="s">
        <v>1576</v>
      </c>
      <c r="J1177" s="615"/>
      <c r="K1177" s="615"/>
      <c r="L1177" s="615"/>
      <c r="M1177" s="615"/>
      <c r="N1177" s="49">
        <v>4</v>
      </c>
      <c r="O1177" s="67"/>
      <c r="P1177" s="561"/>
    </row>
    <row r="1178" spans="1:16" ht="45">
      <c r="A1178" s="488">
        <v>4</v>
      </c>
      <c r="B1178" s="641" t="s">
        <v>1527</v>
      </c>
      <c r="C1178" s="352" t="s">
        <v>1539</v>
      </c>
      <c r="D1178" s="352" t="s">
        <v>1577</v>
      </c>
      <c r="E1178" s="335">
        <v>3224</v>
      </c>
      <c r="F1178" s="335" t="s">
        <v>17</v>
      </c>
      <c r="G1178" s="335">
        <v>0.1043</v>
      </c>
      <c r="H1178" s="335">
        <v>7</v>
      </c>
      <c r="I1178" s="49" t="s">
        <v>1578</v>
      </c>
      <c r="J1178" s="335" t="s">
        <v>17</v>
      </c>
      <c r="K1178" s="335" t="s">
        <v>17</v>
      </c>
      <c r="L1178" s="335" t="s">
        <v>17</v>
      </c>
      <c r="M1178" s="335" t="s">
        <v>17</v>
      </c>
      <c r="N1178" s="335">
        <v>5</v>
      </c>
      <c r="O1178" s="335" t="s">
        <v>17</v>
      </c>
      <c r="P1178" s="561"/>
    </row>
    <row r="1179" spans="1:16" ht="90" customHeight="1">
      <c r="A1179" s="488">
        <v>5</v>
      </c>
      <c r="B1179" s="669"/>
      <c r="C1179" s="352" t="s">
        <v>1579</v>
      </c>
      <c r="D1179" s="352" t="s">
        <v>1580</v>
      </c>
      <c r="E1179" s="335">
        <v>5556.9</v>
      </c>
      <c r="F1179" s="335" t="s">
        <v>1581</v>
      </c>
      <c r="G1179" s="487">
        <f>10092800/10000000</f>
        <v>1.00928</v>
      </c>
      <c r="H1179" s="49" t="s">
        <v>1582</v>
      </c>
      <c r="I1179" s="335" t="s">
        <v>150</v>
      </c>
      <c r="J1179" s="335" t="s">
        <v>748</v>
      </c>
      <c r="K1179" s="335" t="s">
        <v>748</v>
      </c>
      <c r="L1179" s="335" t="s">
        <v>748</v>
      </c>
      <c r="M1179" s="335" t="s">
        <v>748</v>
      </c>
      <c r="N1179" s="335">
        <v>7</v>
      </c>
      <c r="O1179" s="49" t="s">
        <v>1583</v>
      </c>
      <c r="P1179" s="561"/>
    </row>
    <row r="1180" spans="1:16" ht="45">
      <c r="A1180" s="488">
        <v>6</v>
      </c>
      <c r="B1180" s="669"/>
      <c r="C1180" s="352" t="s">
        <v>1584</v>
      </c>
      <c r="D1180" s="352" t="s">
        <v>1585</v>
      </c>
      <c r="E1180" s="335">
        <v>5568.47</v>
      </c>
      <c r="F1180" s="49" t="s">
        <v>1586</v>
      </c>
      <c r="G1180" s="335" t="s">
        <v>87</v>
      </c>
      <c r="H1180" s="49" t="s">
        <v>1587</v>
      </c>
      <c r="I1180" s="335" t="s">
        <v>296</v>
      </c>
      <c r="J1180" s="335" t="s">
        <v>296</v>
      </c>
      <c r="K1180" s="335" t="s">
        <v>296</v>
      </c>
      <c r="L1180" s="335" t="s">
        <v>296</v>
      </c>
      <c r="M1180" s="335" t="s">
        <v>296</v>
      </c>
      <c r="N1180" s="335">
        <v>8</v>
      </c>
      <c r="O1180" s="335" t="s">
        <v>296</v>
      </c>
      <c r="P1180" s="561"/>
    </row>
    <row r="1181" spans="1:16" ht="45">
      <c r="A1181" s="489">
        <v>7</v>
      </c>
      <c r="B1181" s="669"/>
      <c r="C1181" s="458" t="s">
        <v>1560</v>
      </c>
      <c r="D1181" s="324" t="s">
        <v>1588</v>
      </c>
      <c r="E1181" s="325" t="s">
        <v>1589</v>
      </c>
      <c r="F1181" s="325" t="s">
        <v>1590</v>
      </c>
      <c r="G1181" s="325" t="s">
        <v>1591</v>
      </c>
      <c r="H1181" s="428">
        <v>2.3199999999999998</v>
      </c>
      <c r="I1181" s="428" t="s">
        <v>23</v>
      </c>
      <c r="J1181" s="428" t="s">
        <v>17</v>
      </c>
      <c r="K1181" s="428" t="s">
        <v>17</v>
      </c>
      <c r="L1181" s="428" t="s">
        <v>17</v>
      </c>
      <c r="M1181" s="428" t="s">
        <v>296</v>
      </c>
      <c r="N1181" s="428">
        <v>9</v>
      </c>
      <c r="O1181" s="428" t="s">
        <v>296</v>
      </c>
      <c r="P1181" s="646"/>
    </row>
    <row r="1182" spans="1:16" ht="15" customHeight="1">
      <c r="A1182" s="554"/>
      <c r="B1182" s="554"/>
      <c r="C1182" s="554"/>
      <c r="D1182" s="554"/>
      <c r="E1182" s="554"/>
      <c r="F1182" s="554"/>
      <c r="G1182" s="554"/>
      <c r="H1182" s="554"/>
      <c r="I1182" s="554"/>
      <c r="J1182" s="554"/>
      <c r="K1182" s="554"/>
      <c r="L1182" s="554"/>
      <c r="M1182" s="554"/>
      <c r="N1182" s="554"/>
      <c r="O1182" s="554"/>
      <c r="P1182" s="554"/>
    </row>
    <row r="1183" spans="1:16" ht="20.25" customHeight="1">
      <c r="A1183" s="576" t="s">
        <v>111</v>
      </c>
      <c r="B1183" s="576"/>
      <c r="C1183" s="576"/>
      <c r="D1183" s="576"/>
      <c r="E1183" s="576"/>
      <c r="F1183" s="576"/>
      <c r="G1183" s="576"/>
      <c r="H1183" s="576"/>
      <c r="I1183" s="576"/>
      <c r="J1183" s="576"/>
      <c r="K1183" s="576"/>
      <c r="L1183" s="576"/>
      <c r="M1183" s="576"/>
      <c r="N1183" s="576"/>
      <c r="O1183" s="576"/>
      <c r="P1183" s="588"/>
    </row>
    <row r="1184" spans="1:16" ht="85.5">
      <c r="A1184" s="46" t="s">
        <v>0</v>
      </c>
      <c r="B1184" s="46" t="s">
        <v>2582</v>
      </c>
      <c r="C1184" s="46" t="s">
        <v>1</v>
      </c>
      <c r="D1184" s="46" t="s">
        <v>2596</v>
      </c>
      <c r="E1184" s="46" t="s">
        <v>89</v>
      </c>
      <c r="F1184" s="46" t="s">
        <v>63</v>
      </c>
      <c r="G1184" s="46" t="s">
        <v>2590</v>
      </c>
      <c r="H1184" s="46" t="s">
        <v>2561</v>
      </c>
      <c r="I1184" s="46" t="s">
        <v>2391</v>
      </c>
      <c r="J1184" s="46" t="s">
        <v>5</v>
      </c>
      <c r="K1184" s="46" t="s">
        <v>6</v>
      </c>
      <c r="L1184" s="46" t="s">
        <v>91</v>
      </c>
      <c r="M1184" s="46" t="s">
        <v>67</v>
      </c>
      <c r="N1184" s="67" t="s">
        <v>92</v>
      </c>
      <c r="O1184" s="401" t="s">
        <v>11</v>
      </c>
      <c r="P1184" s="588"/>
    </row>
    <row r="1185" spans="1:16" ht="15" customHeight="1">
      <c r="A1185" s="345">
        <v>1</v>
      </c>
      <c r="B1185" s="79">
        <v>2</v>
      </c>
      <c r="C1185" s="79">
        <v>3</v>
      </c>
      <c r="D1185" s="79">
        <v>4</v>
      </c>
      <c r="E1185" s="79">
        <v>5</v>
      </c>
      <c r="F1185" s="79">
        <v>6</v>
      </c>
      <c r="G1185" s="79">
        <v>7</v>
      </c>
      <c r="H1185" s="79">
        <v>8</v>
      </c>
      <c r="I1185" s="79">
        <v>9</v>
      </c>
      <c r="J1185" s="79">
        <v>10</v>
      </c>
      <c r="K1185" s="79">
        <v>11</v>
      </c>
      <c r="L1185" s="79">
        <v>12</v>
      </c>
      <c r="M1185" s="79">
        <v>13</v>
      </c>
      <c r="N1185" s="357">
        <v>14</v>
      </c>
      <c r="O1185" s="79">
        <v>15</v>
      </c>
      <c r="P1185" s="588"/>
    </row>
    <row r="1186" spans="1:16" ht="75">
      <c r="A1186" s="488">
        <v>1</v>
      </c>
      <c r="B1186" s="632" t="s">
        <v>1527</v>
      </c>
      <c r="C1186" s="352" t="s">
        <v>1539</v>
      </c>
      <c r="D1186" s="352" t="s">
        <v>1592</v>
      </c>
      <c r="E1186" s="49">
        <v>3818</v>
      </c>
      <c r="F1186" s="49" t="s">
        <v>1593</v>
      </c>
      <c r="G1186" s="49">
        <v>7.3999999999999996E-2</v>
      </c>
      <c r="H1186" s="49">
        <v>1.5</v>
      </c>
      <c r="I1186" s="49" t="s">
        <v>1542</v>
      </c>
      <c r="J1186" s="49" t="s">
        <v>17</v>
      </c>
      <c r="K1186" s="49" t="s">
        <v>17</v>
      </c>
      <c r="L1186" s="49" t="s">
        <v>17</v>
      </c>
      <c r="M1186" s="49" t="s">
        <v>17</v>
      </c>
      <c r="N1186" s="49">
        <v>2</v>
      </c>
      <c r="O1186" s="77" t="s">
        <v>1594</v>
      </c>
      <c r="P1186" s="588"/>
    </row>
    <row r="1187" spans="1:16" ht="90">
      <c r="A1187" s="488">
        <v>2</v>
      </c>
      <c r="B1187" s="633"/>
      <c r="C1187" s="352" t="s">
        <v>1595</v>
      </c>
      <c r="D1187" s="352" t="s">
        <v>2445</v>
      </c>
      <c r="E1187" s="49">
        <v>1363</v>
      </c>
      <c r="F1187" s="490" t="s">
        <v>1596</v>
      </c>
      <c r="G1187" s="49">
        <v>5.3999999999999999E-2</v>
      </c>
      <c r="H1187" s="49">
        <v>5.3999999999999999E-2</v>
      </c>
      <c r="I1187" s="49" t="s">
        <v>23</v>
      </c>
      <c r="J1187" s="49" t="s">
        <v>1597</v>
      </c>
      <c r="K1187" s="49" t="s">
        <v>1597</v>
      </c>
      <c r="L1187" s="49" t="s">
        <v>620</v>
      </c>
      <c r="M1187" s="49" t="s">
        <v>1597</v>
      </c>
      <c r="N1187" s="49">
        <v>4</v>
      </c>
      <c r="O1187" s="77" t="s">
        <v>1598</v>
      </c>
      <c r="P1187" s="588"/>
    </row>
    <row r="1188" spans="1:16" ht="30">
      <c r="A1188" s="488">
        <v>3</v>
      </c>
      <c r="B1188" s="633"/>
      <c r="C1188" s="614" t="s">
        <v>1599</v>
      </c>
      <c r="D1188" s="352" t="s">
        <v>1600</v>
      </c>
      <c r="E1188" s="49">
        <v>11735.9</v>
      </c>
      <c r="F1188" s="49" t="s">
        <v>1601</v>
      </c>
      <c r="G1188" s="49">
        <v>0.24</v>
      </c>
      <c r="H1188" s="49" t="s">
        <v>1602</v>
      </c>
      <c r="I1188" s="49" t="s">
        <v>1597</v>
      </c>
      <c r="J1188" s="49" t="s">
        <v>1597</v>
      </c>
      <c r="K1188" s="49" t="s">
        <v>620</v>
      </c>
      <c r="L1188" s="49" t="s">
        <v>1597</v>
      </c>
      <c r="M1188" s="49" t="s">
        <v>1597</v>
      </c>
      <c r="N1188" s="49">
        <v>7</v>
      </c>
      <c r="O1188" s="49" t="s">
        <v>1597</v>
      </c>
      <c r="P1188" s="588"/>
    </row>
    <row r="1189" spans="1:16" ht="30">
      <c r="A1189" s="491">
        <v>4</v>
      </c>
      <c r="B1189" s="633"/>
      <c r="C1189" s="614"/>
      <c r="D1189" s="352" t="s">
        <v>1603</v>
      </c>
      <c r="E1189" s="49">
        <v>20679.400000000001</v>
      </c>
      <c r="F1189" s="49" t="s">
        <v>1604</v>
      </c>
      <c r="G1189" s="49">
        <v>1.48</v>
      </c>
      <c r="H1189" s="49" t="s">
        <v>1602</v>
      </c>
      <c r="I1189" s="49" t="s">
        <v>1597</v>
      </c>
      <c r="J1189" s="49" t="s">
        <v>1597</v>
      </c>
      <c r="K1189" s="49" t="s">
        <v>1597</v>
      </c>
      <c r="L1189" s="49" t="s">
        <v>1597</v>
      </c>
      <c r="M1189" s="49" t="s">
        <v>1597</v>
      </c>
      <c r="N1189" s="49">
        <v>8</v>
      </c>
      <c r="O1189" s="49" t="s">
        <v>1597</v>
      </c>
      <c r="P1189" s="588"/>
    </row>
    <row r="1190" spans="1:16" ht="45" customHeight="1">
      <c r="A1190" s="488">
        <v>5</v>
      </c>
      <c r="B1190" s="633"/>
      <c r="C1190" s="614"/>
      <c r="D1190" s="352" t="s">
        <v>1605</v>
      </c>
      <c r="E1190" s="49" t="s">
        <v>1606</v>
      </c>
      <c r="F1190" s="49">
        <v>1997</v>
      </c>
      <c r="G1190" s="49">
        <v>0.64</v>
      </c>
      <c r="H1190" s="49" t="s">
        <v>1602</v>
      </c>
      <c r="I1190" s="49" t="s">
        <v>1597</v>
      </c>
      <c r="J1190" s="49" t="s">
        <v>1597</v>
      </c>
      <c r="K1190" s="49" t="s">
        <v>1597</v>
      </c>
      <c r="L1190" s="49" t="s">
        <v>1597</v>
      </c>
      <c r="M1190" s="49" t="s">
        <v>1597</v>
      </c>
      <c r="N1190" s="49">
        <v>9</v>
      </c>
      <c r="O1190" s="49" t="s">
        <v>1597</v>
      </c>
      <c r="P1190" s="588"/>
    </row>
    <row r="1191" spans="1:16" ht="45">
      <c r="A1191" s="491">
        <v>6</v>
      </c>
      <c r="B1191" s="634"/>
      <c r="C1191" s="352" t="s">
        <v>1560</v>
      </c>
      <c r="D1191" s="114" t="s">
        <v>1607</v>
      </c>
      <c r="E1191" s="113">
        <v>3690</v>
      </c>
      <c r="F1191" s="113">
        <v>1985</v>
      </c>
      <c r="G1191" s="113" t="s">
        <v>1591</v>
      </c>
      <c r="H1191" s="49" t="s">
        <v>1322</v>
      </c>
      <c r="I1191" s="49" t="s">
        <v>23</v>
      </c>
      <c r="J1191" s="49" t="s">
        <v>17</v>
      </c>
      <c r="K1191" s="49" t="s">
        <v>17</v>
      </c>
      <c r="L1191" s="49" t="s">
        <v>17</v>
      </c>
      <c r="M1191" s="49" t="s">
        <v>1597</v>
      </c>
      <c r="N1191" s="49">
        <v>10</v>
      </c>
      <c r="O1191" s="49" t="s">
        <v>1597</v>
      </c>
      <c r="P1191" s="588"/>
    </row>
    <row r="1192" spans="1:16">
      <c r="A1192" s="575"/>
      <c r="B1192" s="575"/>
      <c r="C1192" s="575"/>
      <c r="D1192" s="575"/>
      <c r="E1192" s="575"/>
      <c r="F1192" s="575"/>
      <c r="G1192" s="575"/>
      <c r="H1192" s="575"/>
      <c r="I1192" s="575"/>
      <c r="J1192" s="575"/>
      <c r="K1192" s="575"/>
      <c r="L1192" s="575"/>
      <c r="M1192" s="575"/>
      <c r="N1192" s="575"/>
      <c r="O1192" s="575"/>
      <c r="P1192" s="575"/>
    </row>
    <row r="1193" spans="1:16" ht="20.25">
      <c r="A1193" s="555" t="s">
        <v>112</v>
      </c>
      <c r="B1193" s="556"/>
      <c r="C1193" s="556"/>
      <c r="D1193" s="556"/>
      <c r="E1193" s="556"/>
      <c r="F1193" s="556"/>
      <c r="G1193" s="556"/>
      <c r="H1193" s="556"/>
      <c r="I1193" s="556"/>
      <c r="J1193" s="556"/>
      <c r="K1193" s="556"/>
      <c r="L1193" s="556"/>
      <c r="M1193" s="556"/>
      <c r="N1193" s="556"/>
      <c r="O1193" s="556"/>
      <c r="P1193" s="556"/>
    </row>
    <row r="1194" spans="1:16" ht="85.5">
      <c r="A1194" s="46" t="s">
        <v>0</v>
      </c>
      <c r="B1194" s="46" t="s">
        <v>2582</v>
      </c>
      <c r="C1194" s="46" t="s">
        <v>1</v>
      </c>
      <c r="D1194" s="46" t="s">
        <v>2596</v>
      </c>
      <c r="E1194" s="46" t="s">
        <v>89</v>
      </c>
      <c r="F1194" s="46" t="s">
        <v>63</v>
      </c>
      <c r="G1194" s="46" t="s">
        <v>2390</v>
      </c>
      <c r="H1194" s="46" t="s">
        <v>2561</v>
      </c>
      <c r="I1194" s="46" t="s">
        <v>2391</v>
      </c>
      <c r="J1194" s="46" t="s">
        <v>5</v>
      </c>
      <c r="K1194" s="46" t="s">
        <v>6</v>
      </c>
      <c r="L1194" s="46" t="s">
        <v>91</v>
      </c>
      <c r="M1194" s="46" t="s">
        <v>67</v>
      </c>
      <c r="N1194" s="67" t="s">
        <v>110</v>
      </c>
      <c r="O1194" s="67" t="s">
        <v>92</v>
      </c>
      <c r="P1194" s="74" t="s">
        <v>69</v>
      </c>
    </row>
    <row r="1195" spans="1:16">
      <c r="A1195" s="345">
        <v>1</v>
      </c>
      <c r="B1195" s="79">
        <v>2</v>
      </c>
      <c r="C1195" s="79">
        <v>3</v>
      </c>
      <c r="D1195" s="79">
        <v>4</v>
      </c>
      <c r="E1195" s="79">
        <v>5</v>
      </c>
      <c r="F1195" s="79">
        <v>6</v>
      </c>
      <c r="G1195" s="79">
        <v>7</v>
      </c>
      <c r="H1195" s="79">
        <v>8</v>
      </c>
      <c r="I1195" s="79">
        <v>9</v>
      </c>
      <c r="J1195" s="79">
        <v>10</v>
      </c>
      <c r="K1195" s="79">
        <v>11</v>
      </c>
      <c r="L1195" s="79">
        <v>12</v>
      </c>
      <c r="M1195" s="79">
        <v>13</v>
      </c>
      <c r="N1195" s="79">
        <v>14</v>
      </c>
      <c r="O1195" s="357">
        <v>15</v>
      </c>
      <c r="P1195" s="46">
        <v>16</v>
      </c>
    </row>
    <row r="1196" spans="1:16" ht="105">
      <c r="A1196" s="49">
        <v>1</v>
      </c>
      <c r="B1196" s="632" t="s">
        <v>1527</v>
      </c>
      <c r="C1196" s="352" t="s">
        <v>1528</v>
      </c>
      <c r="D1196" s="352" t="s">
        <v>7018</v>
      </c>
      <c r="E1196" s="49" t="s">
        <v>1608</v>
      </c>
      <c r="F1196" s="49" t="s">
        <v>1609</v>
      </c>
      <c r="G1196" s="335">
        <v>0.33</v>
      </c>
      <c r="H1196" s="49" t="s">
        <v>1610</v>
      </c>
      <c r="I1196" s="335" t="s">
        <v>150</v>
      </c>
      <c r="J1196" s="335" t="s">
        <v>748</v>
      </c>
      <c r="K1196" s="335" t="s">
        <v>748</v>
      </c>
      <c r="L1196" s="335" t="s">
        <v>748</v>
      </c>
      <c r="M1196" s="49" t="s">
        <v>1611</v>
      </c>
      <c r="N1196" s="335">
        <v>2</v>
      </c>
      <c r="O1196" s="335">
        <v>1</v>
      </c>
      <c r="P1196" s="69" t="s">
        <v>1612</v>
      </c>
    </row>
    <row r="1197" spans="1:16" ht="30">
      <c r="A1197" s="49">
        <v>2</v>
      </c>
      <c r="B1197" s="633"/>
      <c r="C1197" s="352" t="s">
        <v>1613</v>
      </c>
      <c r="D1197" s="352" t="s">
        <v>2446</v>
      </c>
      <c r="E1197" s="49">
        <v>1260</v>
      </c>
      <c r="F1197" s="358">
        <v>35765</v>
      </c>
      <c r="G1197" s="335">
        <v>0.77</v>
      </c>
      <c r="H1197" s="335">
        <v>0.95</v>
      </c>
      <c r="I1197" s="335" t="s">
        <v>23</v>
      </c>
      <c r="J1197" s="335" t="s">
        <v>1597</v>
      </c>
      <c r="K1197" s="335" t="s">
        <v>1597</v>
      </c>
      <c r="L1197" s="335" t="s">
        <v>620</v>
      </c>
      <c r="M1197" s="335" t="s">
        <v>1597</v>
      </c>
      <c r="N1197" s="335">
        <v>6</v>
      </c>
      <c r="O1197" s="335" t="s">
        <v>1597</v>
      </c>
      <c r="P1197" s="335" t="s">
        <v>1597</v>
      </c>
    </row>
    <row r="1198" spans="1:16" ht="30">
      <c r="A1198" s="335">
        <v>3</v>
      </c>
      <c r="B1198" s="634"/>
      <c r="C1198" s="352" t="s">
        <v>1613</v>
      </c>
      <c r="D1198" s="352" t="s">
        <v>2447</v>
      </c>
      <c r="E1198" s="49">
        <v>442.48</v>
      </c>
      <c r="F1198" s="358">
        <v>35765</v>
      </c>
      <c r="G1198" s="335">
        <v>0.27</v>
      </c>
      <c r="H1198" s="335">
        <v>0.35</v>
      </c>
      <c r="I1198" s="335" t="s">
        <v>23</v>
      </c>
      <c r="J1198" s="335" t="s">
        <v>1597</v>
      </c>
      <c r="K1198" s="335" t="s">
        <v>1597</v>
      </c>
      <c r="L1198" s="335" t="s">
        <v>620</v>
      </c>
      <c r="M1198" s="335" t="s">
        <v>1597</v>
      </c>
      <c r="N1198" s="335" t="s">
        <v>1597</v>
      </c>
      <c r="O1198" s="335">
        <v>5</v>
      </c>
      <c r="P1198" s="335" t="s">
        <v>1597</v>
      </c>
    </row>
    <row r="1199" spans="1:16">
      <c r="A1199" s="554"/>
      <c r="B1199" s="554"/>
      <c r="C1199" s="554"/>
      <c r="D1199" s="554"/>
      <c r="E1199" s="554"/>
      <c r="F1199" s="554"/>
      <c r="G1199" s="554"/>
      <c r="H1199" s="554"/>
      <c r="I1199" s="554"/>
      <c r="J1199" s="554"/>
      <c r="K1199" s="554"/>
      <c r="L1199" s="554"/>
      <c r="M1199" s="554"/>
      <c r="N1199" s="554"/>
      <c r="O1199" s="554"/>
      <c r="P1199" s="554"/>
    </row>
  </sheetData>
  <mergeCells count="614">
    <mergeCell ref="A310:P310"/>
    <mergeCell ref="A311:P311"/>
    <mergeCell ref="A460:O460"/>
    <mergeCell ref="P460:P463"/>
    <mergeCell ref="D328:O328"/>
    <mergeCell ref="M329:N329"/>
    <mergeCell ref="D330:O330"/>
    <mergeCell ref="D331:O331"/>
    <mergeCell ref="D332:O332"/>
    <mergeCell ref="D333:O333"/>
    <mergeCell ref="A335:O335"/>
    <mergeCell ref="P335:P345"/>
    <mergeCell ref="D342:O342"/>
    <mergeCell ref="D343:O343"/>
    <mergeCell ref="D344:O344"/>
    <mergeCell ref="A323:P323"/>
    <mergeCell ref="P375:P419"/>
    <mergeCell ref="A420:P420"/>
    <mergeCell ref="A421:O421"/>
    <mergeCell ref="P421:P435"/>
    <mergeCell ref="B424:B435"/>
    <mergeCell ref="D429:O429"/>
    <mergeCell ref="D431:O431"/>
    <mergeCell ref="D432:O432"/>
    <mergeCell ref="E794:N794"/>
    <mergeCell ref="E795:N795"/>
    <mergeCell ref="C791:C809"/>
    <mergeCell ref="D772:O772"/>
    <mergeCell ref="D773:O773"/>
    <mergeCell ref="D774:O774"/>
    <mergeCell ref="D775:O775"/>
    <mergeCell ref="D776:O776"/>
    <mergeCell ref="D777:O777"/>
    <mergeCell ref="D790:O790"/>
    <mergeCell ref="D778:O778"/>
    <mergeCell ref="D784:O784"/>
    <mergeCell ref="D779:O779"/>
    <mergeCell ref="E799:N799"/>
    <mergeCell ref="E800:N800"/>
    <mergeCell ref="E801:N801"/>
    <mergeCell ref="E802:N802"/>
    <mergeCell ref="E805:N805"/>
    <mergeCell ref="D788:O788"/>
    <mergeCell ref="D789:O789"/>
    <mergeCell ref="D786:O786"/>
    <mergeCell ref="D785:O785"/>
    <mergeCell ref="D787:O787"/>
    <mergeCell ref="E797:N797"/>
    <mergeCell ref="A42:P42"/>
    <mergeCell ref="B45:B47"/>
    <mergeCell ref="C54:C56"/>
    <mergeCell ref="E55:H55"/>
    <mergeCell ref="A57:P57"/>
    <mergeCell ref="B52:B56"/>
    <mergeCell ref="C72:C73"/>
    <mergeCell ref="C74:C76"/>
    <mergeCell ref="A48:P48"/>
    <mergeCell ref="A49:O49"/>
    <mergeCell ref="P49:P56"/>
    <mergeCell ref="A58:O58"/>
    <mergeCell ref="C77:C81"/>
    <mergeCell ref="E79:H79"/>
    <mergeCell ref="A83:P83"/>
    <mergeCell ref="A84:P84"/>
    <mergeCell ref="C63:C67"/>
    <mergeCell ref="A69:P69"/>
    <mergeCell ref="B72:B81"/>
    <mergeCell ref="B61:B67"/>
    <mergeCell ref="M97:M100"/>
    <mergeCell ref="N97:N100"/>
    <mergeCell ref="A82:P82"/>
    <mergeCell ref="P58:P67"/>
    <mergeCell ref="A68:P68"/>
    <mergeCell ref="A3:P3"/>
    <mergeCell ref="A1:P1"/>
    <mergeCell ref="A41:P41"/>
    <mergeCell ref="A36:P36"/>
    <mergeCell ref="A2:P2"/>
    <mergeCell ref="A13:P13"/>
    <mergeCell ref="B6:B12"/>
    <mergeCell ref="B26:B34"/>
    <mergeCell ref="B18:B21"/>
    <mergeCell ref="B39:P39"/>
    <mergeCell ref="A14:P14"/>
    <mergeCell ref="A22:P22"/>
    <mergeCell ref="A23:O23"/>
    <mergeCell ref="A15:O15"/>
    <mergeCell ref="A35:P35"/>
    <mergeCell ref="A40:P40"/>
    <mergeCell ref="H116:H118"/>
    <mergeCell ref="I116:I118"/>
    <mergeCell ref="J116:J118"/>
    <mergeCell ref="K116:K118"/>
    <mergeCell ref="C103:C107"/>
    <mergeCell ref="C108:C111"/>
    <mergeCell ref="O97:O100"/>
    <mergeCell ref="B87:B90"/>
    <mergeCell ref="C89:C90"/>
    <mergeCell ref="C97:C100"/>
    <mergeCell ref="H97:H100"/>
    <mergeCell ref="I97:I100"/>
    <mergeCell ref="J97:J100"/>
    <mergeCell ref="K97:K100"/>
    <mergeCell ref="L97:L100"/>
    <mergeCell ref="B95:B111"/>
    <mergeCell ref="A91:P91"/>
    <mergeCell ref="A92:O92"/>
    <mergeCell ref="P92:P111"/>
    <mergeCell ref="A112:P112"/>
    <mergeCell ref="A113:O113"/>
    <mergeCell ref="P113:P125"/>
    <mergeCell ref="L116:L118"/>
    <mergeCell ref="M116:M118"/>
    <mergeCell ref="A168:P168"/>
    <mergeCell ref="B171:B173"/>
    <mergeCell ref="A175:P175"/>
    <mergeCell ref="A176:P176"/>
    <mergeCell ref="B179:B182"/>
    <mergeCell ref="B148:B153"/>
    <mergeCell ref="C148:C150"/>
    <mergeCell ref="B158:B166"/>
    <mergeCell ref="C158:C160"/>
    <mergeCell ref="K160:O160"/>
    <mergeCell ref="C163:C165"/>
    <mergeCell ref="P155:P166"/>
    <mergeCell ref="A167:P167"/>
    <mergeCell ref="A174:P174"/>
    <mergeCell ref="A154:P154"/>
    <mergeCell ref="A155:O155"/>
    <mergeCell ref="A190:P190"/>
    <mergeCell ref="B193:B196"/>
    <mergeCell ref="C197:O197"/>
    <mergeCell ref="C198:O198"/>
    <mergeCell ref="B203:B207"/>
    <mergeCell ref="C203:C205"/>
    <mergeCell ref="A183:B183"/>
    <mergeCell ref="C184:P184"/>
    <mergeCell ref="C185:P185"/>
    <mergeCell ref="C186:P186"/>
    <mergeCell ref="C187:P187"/>
    <mergeCell ref="C188:P188"/>
    <mergeCell ref="A189:P189"/>
    <mergeCell ref="A199:P199"/>
    <mergeCell ref="P191:P198"/>
    <mergeCell ref="C222:P222"/>
    <mergeCell ref="A224:P224"/>
    <mergeCell ref="A225:P225"/>
    <mergeCell ref="B228:B237"/>
    <mergeCell ref="C228:C233"/>
    <mergeCell ref="C234:C235"/>
    <mergeCell ref="C209:O209"/>
    <mergeCell ref="C210:O210"/>
    <mergeCell ref="A212:P212"/>
    <mergeCell ref="B215:B218"/>
    <mergeCell ref="C220:P220"/>
    <mergeCell ref="C221:P221"/>
    <mergeCell ref="A219:P219"/>
    <mergeCell ref="A211:P211"/>
    <mergeCell ref="A223:P223"/>
    <mergeCell ref="B649:B654"/>
    <mergeCell ref="A678:O678"/>
    <mergeCell ref="C280:C288"/>
    <mergeCell ref="C289:C292"/>
    <mergeCell ref="B242:B265"/>
    <mergeCell ref="J244:O244"/>
    <mergeCell ref="C246:C247"/>
    <mergeCell ref="C248:C250"/>
    <mergeCell ref="C251:C261"/>
    <mergeCell ref="C262:C265"/>
    <mergeCell ref="O275:O279"/>
    <mergeCell ref="O270:O274"/>
    <mergeCell ref="D304:D305"/>
    <mergeCell ref="D434:O434"/>
    <mergeCell ref="A471:P471"/>
    <mergeCell ref="D474:P474"/>
    <mergeCell ref="A476:P476"/>
    <mergeCell ref="A477:P477"/>
    <mergeCell ref="A452:P452"/>
    <mergeCell ref="A453:P453"/>
    <mergeCell ref="B458:P458"/>
    <mergeCell ref="B468:B469"/>
    <mergeCell ref="B456:B457"/>
    <mergeCell ref="A459:P459"/>
    <mergeCell ref="B666:B676"/>
    <mergeCell ref="A677:P677"/>
    <mergeCell ref="D764:O764"/>
    <mergeCell ref="D765:O765"/>
    <mergeCell ref="A646:P646"/>
    <mergeCell ref="B314:B321"/>
    <mergeCell ref="D315:P315"/>
    <mergeCell ref="D316:P316"/>
    <mergeCell ref="D317:P317"/>
    <mergeCell ref="D318:P318"/>
    <mergeCell ref="D319:P319"/>
    <mergeCell ref="D320:P320"/>
    <mergeCell ref="D321:P321"/>
    <mergeCell ref="D326:O326"/>
    <mergeCell ref="B326:B333"/>
    <mergeCell ref="D327:O327"/>
    <mergeCell ref="C568:C579"/>
    <mergeCell ref="C425:C426"/>
    <mergeCell ref="D705:P705"/>
    <mergeCell ref="D700:P700"/>
    <mergeCell ref="A655:P655"/>
    <mergeCell ref="A662:P662"/>
    <mergeCell ref="A663:O663"/>
    <mergeCell ref="P663:P676"/>
    <mergeCell ref="A620:P620"/>
    <mergeCell ref="A616:A617"/>
    <mergeCell ref="A811:P811"/>
    <mergeCell ref="A464:P464"/>
    <mergeCell ref="A465:O465"/>
    <mergeCell ref="P465:P469"/>
    <mergeCell ref="A470:P470"/>
    <mergeCell ref="D480:P480"/>
    <mergeCell ref="C516:C519"/>
    <mergeCell ref="D541:P541"/>
    <mergeCell ref="C546:C549"/>
    <mergeCell ref="D488:P488"/>
    <mergeCell ref="C508:C509"/>
    <mergeCell ref="C495:C501"/>
    <mergeCell ref="D482:P482"/>
    <mergeCell ref="A481:A482"/>
    <mergeCell ref="D484:P484"/>
    <mergeCell ref="A483:A484"/>
    <mergeCell ref="D486:P486"/>
    <mergeCell ref="D652:P652"/>
    <mergeCell ref="D653:P653"/>
    <mergeCell ref="D654:P654"/>
    <mergeCell ref="A689:P689"/>
    <mergeCell ref="B660:B661"/>
    <mergeCell ref="A537:P537"/>
    <mergeCell ref="C587:C588"/>
    <mergeCell ref="A538:P538"/>
    <mergeCell ref="D558:P558"/>
    <mergeCell ref="D566:O566"/>
    <mergeCell ref="A561:P561"/>
    <mergeCell ref="A562:O562"/>
    <mergeCell ref="P562:P580"/>
    <mergeCell ref="A581:P581"/>
    <mergeCell ref="D551:P551"/>
    <mergeCell ref="A582:P582"/>
    <mergeCell ref="A553:P553"/>
    <mergeCell ref="A554:P554"/>
    <mergeCell ref="P583:P588"/>
    <mergeCell ref="A552:P552"/>
    <mergeCell ref="C606:C607"/>
    <mergeCell ref="B541:B551"/>
    <mergeCell ref="C589:C598"/>
    <mergeCell ref="B585:B599"/>
    <mergeCell ref="B604:B608"/>
    <mergeCell ref="B557:B560"/>
    <mergeCell ref="D604:P604"/>
    <mergeCell ref="D560:P560"/>
    <mergeCell ref="C542:C545"/>
    <mergeCell ref="A601:P601"/>
    <mergeCell ref="A600:P600"/>
    <mergeCell ref="B565:B580"/>
    <mergeCell ref="E820:J820"/>
    <mergeCell ref="E821:J821"/>
    <mergeCell ref="E822:J822"/>
    <mergeCell ref="B1196:B1198"/>
    <mergeCell ref="O1114:O1115"/>
    <mergeCell ref="D1132:P1132"/>
    <mergeCell ref="C1166:C1167"/>
    <mergeCell ref="B1175:B1177"/>
    <mergeCell ref="I1177:M1177"/>
    <mergeCell ref="A1161:P1161"/>
    <mergeCell ref="A1193:P1193"/>
    <mergeCell ref="A1151:P1151"/>
    <mergeCell ref="A1160:P1160"/>
    <mergeCell ref="D1135:P1135"/>
    <mergeCell ref="A1128:P1128"/>
    <mergeCell ref="A1127:P1127"/>
    <mergeCell ref="B1178:B1181"/>
    <mergeCell ref="B1164:B1170"/>
    <mergeCell ref="B1154:B1158"/>
    <mergeCell ref="B1131:B1135"/>
    <mergeCell ref="B1120:B1125"/>
    <mergeCell ref="C1120:C1121"/>
    <mergeCell ref="P1183:P1191"/>
    <mergeCell ref="P1172:P1181"/>
    <mergeCell ref="M945:M947"/>
    <mergeCell ref="M948:M950"/>
    <mergeCell ref="A1042:P1042"/>
    <mergeCell ref="D1031:P1031"/>
    <mergeCell ref="B1000:B1024"/>
    <mergeCell ref="C1013:C1023"/>
    <mergeCell ref="C970:C988"/>
    <mergeCell ref="E824:J824"/>
    <mergeCell ref="B692:B693"/>
    <mergeCell ref="C692:C693"/>
    <mergeCell ref="D692:D693"/>
    <mergeCell ref="B699:B740"/>
    <mergeCell ref="A701:A704"/>
    <mergeCell ref="C701:C704"/>
    <mergeCell ref="C722:C740"/>
    <mergeCell ref="E725:O725"/>
    <mergeCell ref="E726:O726"/>
    <mergeCell ref="A695:P695"/>
    <mergeCell ref="A696:P696"/>
    <mergeCell ref="E731:O731"/>
    <mergeCell ref="D713:O713"/>
    <mergeCell ref="D715:O715"/>
    <mergeCell ref="D716:O716"/>
    <mergeCell ref="D717:O717"/>
    <mergeCell ref="A864:P864"/>
    <mergeCell ref="B854:B862"/>
    <mergeCell ref="E825:J825"/>
    <mergeCell ref="A833:P833"/>
    <mergeCell ref="B838:B841"/>
    <mergeCell ref="B846:B849"/>
    <mergeCell ref="E828:I828"/>
    <mergeCell ref="A1085:P1085"/>
    <mergeCell ref="A1084:P1084"/>
    <mergeCell ref="A1077:P1077"/>
    <mergeCell ref="B1080:B1082"/>
    <mergeCell ref="A856:A857"/>
    <mergeCell ref="C856:C857"/>
    <mergeCell ref="A871:P871"/>
    <mergeCell ref="P1056:P1064"/>
    <mergeCell ref="P1066:P1075"/>
    <mergeCell ref="B880:B882"/>
    <mergeCell ref="A884:O884"/>
    <mergeCell ref="A888:O888"/>
    <mergeCell ref="A955:P955"/>
    <mergeCell ref="A956:O956"/>
    <mergeCell ref="P997:P1024"/>
    <mergeCell ref="A1025:P1025"/>
    <mergeCell ref="A863:P863"/>
    <mergeCell ref="B867:B869"/>
    <mergeCell ref="B1059:B1064"/>
    <mergeCell ref="A893:P893"/>
    <mergeCell ref="A889:P889"/>
    <mergeCell ref="C1029:C1030"/>
    <mergeCell ref="B897:B954"/>
    <mergeCell ref="B959:B968"/>
    <mergeCell ref="C961:C963"/>
    <mergeCell ref="C969:O969"/>
    <mergeCell ref="B970:B995"/>
    <mergeCell ref="A997:O997"/>
    <mergeCell ref="A1056:O1056"/>
    <mergeCell ref="A894:P894"/>
    <mergeCell ref="G1059:G1060"/>
    <mergeCell ref="I1059:I1060"/>
    <mergeCell ref="B1029:B1040"/>
    <mergeCell ref="C1002:C1003"/>
    <mergeCell ref="A1043:P1043"/>
    <mergeCell ref="A887:O887"/>
    <mergeCell ref="A892:P892"/>
    <mergeCell ref="C902:C953"/>
    <mergeCell ref="A876:P876"/>
    <mergeCell ref="C1036:C1039"/>
    <mergeCell ref="C1032:C1034"/>
    <mergeCell ref="B1186:B1191"/>
    <mergeCell ref="C1188:C1190"/>
    <mergeCell ref="A1083:P1083"/>
    <mergeCell ref="A1093:P1093"/>
    <mergeCell ref="A1094:O1094"/>
    <mergeCell ref="P1094:P1103"/>
    <mergeCell ref="A1104:P1104"/>
    <mergeCell ref="A870:P870"/>
    <mergeCell ref="A877:O877"/>
    <mergeCell ref="A883:P883"/>
    <mergeCell ref="B1046:B1054"/>
    <mergeCell ref="A872:P872"/>
    <mergeCell ref="D954:P954"/>
    <mergeCell ref="P1137:P1144"/>
    <mergeCell ref="B1069:B1075"/>
    <mergeCell ref="C959:C960"/>
    <mergeCell ref="C965:C968"/>
    <mergeCell ref="C989:C995"/>
    <mergeCell ref="C1047:C1053"/>
    <mergeCell ref="C1000:C1001"/>
    <mergeCell ref="M951:M953"/>
    <mergeCell ref="M928:M932"/>
    <mergeCell ref="M933:M938"/>
    <mergeCell ref="M939:M944"/>
    <mergeCell ref="A1055:P1055"/>
    <mergeCell ref="A1066:O1066"/>
    <mergeCell ref="B1088:B1092"/>
    <mergeCell ref="A1145:P1145"/>
    <mergeCell ref="A1146:O1146"/>
    <mergeCell ref="P1146:P1149"/>
    <mergeCell ref="A1150:P1150"/>
    <mergeCell ref="A1159:P1159"/>
    <mergeCell ref="A1182:P1182"/>
    <mergeCell ref="A1136:P1136"/>
    <mergeCell ref="A1137:O1137"/>
    <mergeCell ref="A1172:O1172"/>
    <mergeCell ref="A126:P126"/>
    <mergeCell ref="A134:P134"/>
    <mergeCell ref="C140:P140"/>
    <mergeCell ref="A139:A140"/>
    <mergeCell ref="A144:P144"/>
    <mergeCell ref="A145:O145"/>
    <mergeCell ref="P145:P153"/>
    <mergeCell ref="A127:P127"/>
    <mergeCell ref="B130:B133"/>
    <mergeCell ref="C131:C132"/>
    <mergeCell ref="A135:P135"/>
    <mergeCell ref="A136:P136"/>
    <mergeCell ref="B139:B143"/>
    <mergeCell ref="N116:N118"/>
    <mergeCell ref="C119:C121"/>
    <mergeCell ref="C122:C123"/>
    <mergeCell ref="C124:C125"/>
    <mergeCell ref="B116:B125"/>
    <mergeCell ref="C116:C118"/>
    <mergeCell ref="A1065:P1065"/>
    <mergeCell ref="A322:P322"/>
    <mergeCell ref="A334:P334"/>
    <mergeCell ref="P324:P333"/>
    <mergeCell ref="D357:P357"/>
    <mergeCell ref="D345:O345"/>
    <mergeCell ref="A347:P347"/>
    <mergeCell ref="B350:B357"/>
    <mergeCell ref="D350:P350"/>
    <mergeCell ref="D351:P351"/>
    <mergeCell ref="D352:P352"/>
    <mergeCell ref="D353:P353"/>
    <mergeCell ref="D354:P354"/>
    <mergeCell ref="B338:B345"/>
    <mergeCell ref="D338:O338"/>
    <mergeCell ref="D339:O339"/>
    <mergeCell ref="D340:O340"/>
    <mergeCell ref="D341:O341"/>
    <mergeCell ref="C1005:C1012"/>
    <mergeCell ref="D1035:P1035"/>
    <mergeCell ref="A346:P346"/>
    <mergeCell ref="A359:P359"/>
    <mergeCell ref="A360:P360"/>
    <mergeCell ref="A437:P437"/>
    <mergeCell ref="D355:P355"/>
    <mergeCell ref="D356:P356"/>
    <mergeCell ref="B363:B373"/>
    <mergeCell ref="D367:P367"/>
    <mergeCell ref="D369:P369"/>
    <mergeCell ref="D370:P370"/>
    <mergeCell ref="D372:P372"/>
    <mergeCell ref="B378:B419"/>
    <mergeCell ref="C379:C381"/>
    <mergeCell ref="C390:C419"/>
    <mergeCell ref="D384:O384"/>
    <mergeCell ref="D386:O386"/>
    <mergeCell ref="A358:P358"/>
    <mergeCell ref="D387:O387"/>
    <mergeCell ref="D388:O388"/>
    <mergeCell ref="D389:O389"/>
    <mergeCell ref="A374:P374"/>
    <mergeCell ref="A375:O375"/>
    <mergeCell ref="A239:O239"/>
    <mergeCell ref="P239:P265"/>
    <mergeCell ref="A200:O200"/>
    <mergeCell ref="P200:P210"/>
    <mergeCell ref="A238:P238"/>
    <mergeCell ref="A266:P266"/>
    <mergeCell ref="P268:P292"/>
    <mergeCell ref="A293:P293"/>
    <mergeCell ref="A309:P309"/>
    <mergeCell ref="A294:P294"/>
    <mergeCell ref="B297:B308"/>
    <mergeCell ref="C298:C299"/>
    <mergeCell ref="C300:C305"/>
    <mergeCell ref="J304:J305"/>
    <mergeCell ref="K304:K305"/>
    <mergeCell ref="L304:L305"/>
    <mergeCell ref="M304:M305"/>
    <mergeCell ref="N304:N305"/>
    <mergeCell ref="O304:O305"/>
    <mergeCell ref="C306:C307"/>
    <mergeCell ref="A267:P267"/>
    <mergeCell ref="B270:B292"/>
    <mergeCell ref="C270:C274"/>
    <mergeCell ref="C276:C278"/>
    <mergeCell ref="D433:O433"/>
    <mergeCell ref="A425:A426"/>
    <mergeCell ref="A379:A381"/>
    <mergeCell ref="A436:P436"/>
    <mergeCell ref="A451:P451"/>
    <mergeCell ref="A491:O491"/>
    <mergeCell ref="D489:P489"/>
    <mergeCell ref="B480:B489"/>
    <mergeCell ref="B494:B511"/>
    <mergeCell ref="B440:B450"/>
    <mergeCell ref="D440:P442"/>
    <mergeCell ref="D444:P444"/>
    <mergeCell ref="D446:P446"/>
    <mergeCell ref="D447:P447"/>
    <mergeCell ref="A512:P512"/>
    <mergeCell ref="A513:O513"/>
    <mergeCell ref="P513:P536"/>
    <mergeCell ref="D449:P449"/>
    <mergeCell ref="C481:C486"/>
    <mergeCell ref="A485:A486"/>
    <mergeCell ref="A490:P490"/>
    <mergeCell ref="P491:P511"/>
    <mergeCell ref="D511:O511"/>
    <mergeCell ref="D536:O536"/>
    <mergeCell ref="C502:C507"/>
    <mergeCell ref="C529:C534"/>
    <mergeCell ref="B516:B536"/>
    <mergeCell ref="C520:C528"/>
    <mergeCell ref="C641:C642"/>
    <mergeCell ref="B636:B644"/>
    <mergeCell ref="E818:J818"/>
    <mergeCell ref="E819:J819"/>
    <mergeCell ref="C684:C687"/>
    <mergeCell ref="E736:O736"/>
    <mergeCell ref="D752:O752"/>
    <mergeCell ref="D753:O753"/>
    <mergeCell ref="D754:O754"/>
    <mergeCell ref="D755:O755"/>
    <mergeCell ref="D751:O751"/>
    <mergeCell ref="D759:O759"/>
    <mergeCell ref="D760:O760"/>
    <mergeCell ref="D763:O763"/>
    <mergeCell ref="D711:P711"/>
    <mergeCell ref="E732:O732"/>
    <mergeCell ref="D757:O757"/>
    <mergeCell ref="D758:O758"/>
    <mergeCell ref="D720:O720"/>
    <mergeCell ref="D718:O718"/>
    <mergeCell ref="D719:O719"/>
    <mergeCell ref="B814:B832"/>
    <mergeCell ref="E817:J817"/>
    <mergeCell ref="A767:P767"/>
    <mergeCell ref="D699:P699"/>
    <mergeCell ref="A745:A746"/>
    <mergeCell ref="B745:B765"/>
    <mergeCell ref="C745:C746"/>
    <mergeCell ref="C616:C617"/>
    <mergeCell ref="B614:B619"/>
    <mergeCell ref="D586:O586"/>
    <mergeCell ref="D605:P605"/>
    <mergeCell ref="P678:P687"/>
    <mergeCell ref="A688:P688"/>
    <mergeCell ref="A656:P656"/>
    <mergeCell ref="A657:P657"/>
    <mergeCell ref="A610:P610"/>
    <mergeCell ref="A611:P611"/>
    <mergeCell ref="A650:A651"/>
    <mergeCell ref="A621:O621"/>
    <mergeCell ref="P621:P631"/>
    <mergeCell ref="A632:P632"/>
    <mergeCell ref="A633:O633"/>
    <mergeCell ref="P633:P644"/>
    <mergeCell ref="A645:P645"/>
    <mergeCell ref="B624:B631"/>
    <mergeCell ref="A609:P609"/>
    <mergeCell ref="A694:P694"/>
    <mergeCell ref="A741:P741"/>
    <mergeCell ref="A742:O742"/>
    <mergeCell ref="P742:P766"/>
    <mergeCell ref="D762:O762"/>
    <mergeCell ref="D761:O761"/>
    <mergeCell ref="D721:O721"/>
    <mergeCell ref="D748:O748"/>
    <mergeCell ref="D749:O749"/>
    <mergeCell ref="D750:O750"/>
    <mergeCell ref="E727:O727"/>
    <mergeCell ref="E728:O728"/>
    <mergeCell ref="E729:O729"/>
    <mergeCell ref="E730:O730"/>
    <mergeCell ref="D747:O747"/>
    <mergeCell ref="E733:O733"/>
    <mergeCell ref="D714:O714"/>
    <mergeCell ref="B681:B687"/>
    <mergeCell ref="D710:P710"/>
    <mergeCell ref="D709:P709"/>
    <mergeCell ref="D706:P706"/>
    <mergeCell ref="P877:P882"/>
    <mergeCell ref="P884:P888"/>
    <mergeCell ref="A996:P996"/>
    <mergeCell ref="P959:P995"/>
    <mergeCell ref="A768:O768"/>
    <mergeCell ref="P768:P809"/>
    <mergeCell ref="A810:P810"/>
    <mergeCell ref="A842:P842"/>
    <mergeCell ref="A843:O843"/>
    <mergeCell ref="P843:P849"/>
    <mergeCell ref="A850:P850"/>
    <mergeCell ref="A851:O851"/>
    <mergeCell ref="P851:P862"/>
    <mergeCell ref="A875:P875"/>
    <mergeCell ref="D780:O780"/>
    <mergeCell ref="D781:O781"/>
    <mergeCell ref="D782:O782"/>
    <mergeCell ref="D783:O783"/>
    <mergeCell ref="B771:B809"/>
    <mergeCell ref="E796:N796"/>
    <mergeCell ref="A1199:P1199"/>
    <mergeCell ref="A835:P835"/>
    <mergeCell ref="E798:N798"/>
    <mergeCell ref="N838:N839"/>
    <mergeCell ref="P838:P839"/>
    <mergeCell ref="A1105:O1105"/>
    <mergeCell ref="P1105:P1115"/>
    <mergeCell ref="A1116:P1116"/>
    <mergeCell ref="A1126:P1126"/>
    <mergeCell ref="A1117:P1117"/>
    <mergeCell ref="F1113:G1113"/>
    <mergeCell ref="B1108:B1111"/>
    <mergeCell ref="C1108:C1111"/>
    <mergeCell ref="F1099:G1099"/>
    <mergeCell ref="B1097:B1103"/>
    <mergeCell ref="E823:J823"/>
    <mergeCell ref="A834:P834"/>
    <mergeCell ref="D1040:P1040"/>
    <mergeCell ref="A1026:P1026"/>
    <mergeCell ref="A1041:P1041"/>
    <mergeCell ref="A1192:P1192"/>
    <mergeCell ref="A1183:O1183"/>
    <mergeCell ref="A1171:P1171"/>
  </mergeCells>
  <pageMargins left="0.7" right="0.7" top="0.75" bottom="0.75" header="0.3" footer="0.3"/>
  <pageSetup paperSize="5" scale="54" orientation="landscape" r:id="rId1"/>
  <colBreaks count="1" manualBreakCount="1">
    <brk id="16" max="1048575" man="1"/>
  </colBreaks>
</worksheet>
</file>

<file path=xl/worksheets/sheet2.xml><?xml version="1.0" encoding="utf-8"?>
<worksheet xmlns="http://schemas.openxmlformats.org/spreadsheetml/2006/main" xmlns:r="http://schemas.openxmlformats.org/officeDocument/2006/relationships">
  <dimension ref="A1:P381"/>
  <sheetViews>
    <sheetView view="pageBreakPreview" zoomScale="60" zoomScaleNormal="60" workbookViewId="0">
      <selection activeCell="D374" sqref="D374"/>
    </sheetView>
  </sheetViews>
  <sheetFormatPr defaultRowHeight="14.25"/>
  <cols>
    <col min="1" max="1" width="7.7109375" style="13" customWidth="1"/>
    <col min="2" max="2" width="15.7109375" style="22" customWidth="1"/>
    <col min="3" max="3" width="22.7109375" style="13" customWidth="1"/>
    <col min="4" max="4" width="24.7109375" style="13" customWidth="1"/>
    <col min="5" max="5" width="30.7109375" style="13" customWidth="1"/>
    <col min="6" max="6" width="13.7109375" style="21" customWidth="1"/>
    <col min="7" max="7" width="21.7109375" style="13" customWidth="1"/>
    <col min="8" max="8" width="18.7109375" style="13" customWidth="1"/>
    <col min="9" max="9" width="18.7109375" style="16" customWidth="1"/>
    <col min="10" max="10" width="14.7109375" style="13" customWidth="1"/>
    <col min="11" max="11" width="18.7109375" style="13" customWidth="1"/>
    <col min="12" max="13" width="10.7109375" style="13" customWidth="1"/>
    <col min="14" max="14" width="20.7109375" style="13" customWidth="1"/>
    <col min="15" max="15" width="15.7109375" style="13" customWidth="1"/>
    <col min="16" max="16" width="12.28515625" style="13" customWidth="1"/>
    <col min="17" max="16384" width="9.140625" style="13"/>
  </cols>
  <sheetData>
    <row r="1" spans="1:16" s="11" customFormat="1" ht="20.25" customHeight="1">
      <c r="A1" s="702" t="s">
        <v>1615</v>
      </c>
      <c r="B1" s="702"/>
      <c r="C1" s="702"/>
      <c r="D1" s="702"/>
      <c r="E1" s="702"/>
      <c r="F1" s="702"/>
      <c r="G1" s="702"/>
      <c r="H1" s="702"/>
      <c r="I1" s="702"/>
      <c r="J1" s="702"/>
      <c r="K1" s="702"/>
      <c r="L1" s="702"/>
      <c r="M1" s="702"/>
      <c r="N1" s="702"/>
      <c r="O1" s="702"/>
    </row>
    <row r="2" spans="1:16" ht="22.5">
      <c r="A2" s="700" t="s">
        <v>113</v>
      </c>
      <c r="B2" s="700"/>
      <c r="C2" s="700"/>
      <c r="D2" s="700"/>
      <c r="E2" s="700"/>
      <c r="F2" s="700"/>
      <c r="G2" s="700"/>
      <c r="H2" s="700"/>
      <c r="I2" s="700"/>
      <c r="J2" s="700"/>
      <c r="K2" s="700"/>
      <c r="L2" s="700"/>
      <c r="M2" s="700"/>
      <c r="N2" s="700"/>
      <c r="O2" s="700"/>
    </row>
    <row r="3" spans="1:16" ht="20.25">
      <c r="A3" s="559" t="s">
        <v>7710</v>
      </c>
      <c r="B3" s="559"/>
      <c r="C3" s="559"/>
      <c r="D3" s="559"/>
      <c r="E3" s="559"/>
      <c r="F3" s="559"/>
      <c r="G3" s="559"/>
      <c r="H3" s="559"/>
      <c r="I3" s="559"/>
      <c r="J3" s="559"/>
      <c r="K3" s="559"/>
      <c r="L3" s="559"/>
      <c r="M3" s="559"/>
      <c r="N3" s="559"/>
      <c r="O3" s="559"/>
    </row>
    <row r="4" spans="1:16" ht="99.75">
      <c r="A4" s="18" t="s">
        <v>0</v>
      </c>
      <c r="B4" s="18" t="s">
        <v>2631</v>
      </c>
      <c r="C4" s="18" t="s">
        <v>2632</v>
      </c>
      <c r="D4" s="18" t="s">
        <v>1617</v>
      </c>
      <c r="E4" s="18" t="s">
        <v>1618</v>
      </c>
      <c r="F4" s="18" t="s">
        <v>2623</v>
      </c>
      <c r="G4" s="18" t="s">
        <v>1619</v>
      </c>
      <c r="H4" s="19" t="s">
        <v>2624</v>
      </c>
      <c r="I4" s="18" t="s">
        <v>2625</v>
      </c>
      <c r="J4" s="18" t="s">
        <v>1620</v>
      </c>
      <c r="K4" s="19" t="s">
        <v>2633</v>
      </c>
      <c r="L4" s="20" t="s">
        <v>1621</v>
      </c>
      <c r="M4" s="20" t="s">
        <v>1622</v>
      </c>
      <c r="N4" s="19" t="s">
        <v>2634</v>
      </c>
      <c r="O4" s="18" t="s">
        <v>1623</v>
      </c>
    </row>
    <row r="5" spans="1:16">
      <c r="A5" s="530">
        <v>1</v>
      </c>
      <c r="B5" s="530">
        <v>2</v>
      </c>
      <c r="C5" s="530">
        <v>3</v>
      </c>
      <c r="D5" s="530">
        <v>4</v>
      </c>
      <c r="E5" s="530">
        <v>5</v>
      </c>
      <c r="F5" s="530">
        <v>6</v>
      </c>
      <c r="G5" s="530">
        <v>7</v>
      </c>
      <c r="H5" s="530">
        <v>8</v>
      </c>
      <c r="I5" s="19">
        <v>9</v>
      </c>
      <c r="J5" s="530">
        <v>10</v>
      </c>
      <c r="K5" s="530">
        <v>11</v>
      </c>
      <c r="L5" s="530">
        <v>12</v>
      </c>
      <c r="M5" s="530">
        <v>13</v>
      </c>
      <c r="N5" s="530">
        <v>14</v>
      </c>
      <c r="O5" s="530">
        <v>15</v>
      </c>
      <c r="P5" s="12"/>
    </row>
    <row r="6" spans="1:16" ht="60">
      <c r="A6" s="117">
        <v>1</v>
      </c>
      <c r="B6" s="705" t="s">
        <v>2613</v>
      </c>
      <c r="C6" s="528" t="s">
        <v>1624</v>
      </c>
      <c r="D6" s="519" t="s">
        <v>71</v>
      </c>
      <c r="E6" s="519" t="s">
        <v>1625</v>
      </c>
      <c r="F6" s="544" t="s">
        <v>1626</v>
      </c>
      <c r="G6" s="544" t="s">
        <v>1627</v>
      </c>
      <c r="H6" s="517"/>
      <c r="I6" s="544" t="s">
        <v>1628</v>
      </c>
      <c r="J6" s="544" t="s">
        <v>1629</v>
      </c>
      <c r="K6" s="517"/>
      <c r="L6" s="517">
        <v>1</v>
      </c>
      <c r="M6" s="517"/>
      <c r="N6" s="517"/>
      <c r="O6" s="517"/>
      <c r="P6" s="12"/>
    </row>
    <row r="7" spans="1:16" ht="60">
      <c r="A7" s="117">
        <v>2</v>
      </c>
      <c r="B7" s="705"/>
      <c r="C7" s="519" t="s">
        <v>74</v>
      </c>
      <c r="D7" s="519" t="s">
        <v>1630</v>
      </c>
      <c r="E7" s="519" t="s">
        <v>1631</v>
      </c>
      <c r="F7" s="544" t="s">
        <v>1632</v>
      </c>
      <c r="G7" s="544" t="s">
        <v>1633</v>
      </c>
      <c r="H7" s="517" t="s">
        <v>35</v>
      </c>
      <c r="I7" s="544" t="s">
        <v>1634</v>
      </c>
      <c r="J7" s="517" t="s">
        <v>35</v>
      </c>
      <c r="K7" s="517" t="s">
        <v>35</v>
      </c>
      <c r="L7" s="517">
        <v>2</v>
      </c>
      <c r="M7" s="517" t="s">
        <v>35</v>
      </c>
      <c r="N7" s="517" t="s">
        <v>35</v>
      </c>
      <c r="O7" s="517"/>
      <c r="P7" s="12"/>
    </row>
    <row r="8" spans="1:16" ht="60">
      <c r="A8" s="117">
        <v>3</v>
      </c>
      <c r="B8" s="705"/>
      <c r="C8" s="519" t="s">
        <v>74</v>
      </c>
      <c r="D8" s="519" t="s">
        <v>1635</v>
      </c>
      <c r="E8" s="517" t="s">
        <v>35</v>
      </c>
      <c r="F8" s="544">
        <v>3723.47</v>
      </c>
      <c r="G8" s="544" t="s">
        <v>1636</v>
      </c>
      <c r="H8" s="517" t="s">
        <v>35</v>
      </c>
      <c r="I8" s="544" t="s">
        <v>35</v>
      </c>
      <c r="J8" s="517" t="s">
        <v>35</v>
      </c>
      <c r="K8" s="517" t="s">
        <v>35</v>
      </c>
      <c r="L8" s="517" t="s">
        <v>35</v>
      </c>
      <c r="M8" s="517" t="s">
        <v>35</v>
      </c>
      <c r="N8" s="517" t="s">
        <v>35</v>
      </c>
      <c r="O8" s="517"/>
      <c r="P8" s="12"/>
    </row>
    <row r="9" spans="1:16" ht="75">
      <c r="A9" s="117">
        <v>4</v>
      </c>
      <c r="B9" s="705"/>
      <c r="C9" s="519" t="s">
        <v>12</v>
      </c>
      <c r="D9" s="34" t="s">
        <v>80</v>
      </c>
      <c r="E9" s="34" t="s">
        <v>1637</v>
      </c>
      <c r="F9" s="307">
        <v>1332.21</v>
      </c>
      <c r="G9" s="307" t="s">
        <v>1638</v>
      </c>
      <c r="H9" s="307" t="s">
        <v>17</v>
      </c>
      <c r="I9" s="307">
        <v>1.03</v>
      </c>
      <c r="J9" s="307" t="s">
        <v>267</v>
      </c>
      <c r="K9" s="544" t="s">
        <v>17</v>
      </c>
      <c r="L9" s="544">
        <v>3</v>
      </c>
      <c r="M9" s="544" t="s">
        <v>35</v>
      </c>
      <c r="N9" s="544" t="s">
        <v>17</v>
      </c>
      <c r="O9" s="544"/>
      <c r="P9" s="12"/>
    </row>
    <row r="10" spans="1:16" ht="45" customHeight="1">
      <c r="A10" s="117">
        <v>5</v>
      </c>
      <c r="B10" s="705"/>
      <c r="C10" s="519" t="s">
        <v>12</v>
      </c>
      <c r="D10" s="34" t="s">
        <v>1639</v>
      </c>
      <c r="E10" s="34" t="s">
        <v>2481</v>
      </c>
      <c r="F10" s="307">
        <v>123.64</v>
      </c>
      <c r="G10" s="307" t="s">
        <v>1641</v>
      </c>
      <c r="H10" s="27" t="s">
        <v>17</v>
      </c>
      <c r="I10" s="27" t="s">
        <v>1642</v>
      </c>
      <c r="J10" s="307" t="s">
        <v>17</v>
      </c>
      <c r="K10" s="544" t="s">
        <v>17</v>
      </c>
      <c r="L10" s="544" t="s">
        <v>35</v>
      </c>
      <c r="M10" s="544" t="s">
        <v>35</v>
      </c>
      <c r="N10" s="544" t="s">
        <v>17</v>
      </c>
      <c r="O10" s="111" t="s">
        <v>1640</v>
      </c>
      <c r="P10" s="12"/>
    </row>
    <row r="11" spans="1:16" ht="45">
      <c r="A11" s="117">
        <v>6</v>
      </c>
      <c r="B11" s="705"/>
      <c r="C11" s="310" t="s">
        <v>1643</v>
      </c>
      <c r="D11" s="34" t="s">
        <v>1644</v>
      </c>
      <c r="E11" s="34" t="s">
        <v>1645</v>
      </c>
      <c r="F11" s="517">
        <v>9180</v>
      </c>
      <c r="G11" s="517" t="s">
        <v>1646</v>
      </c>
      <c r="H11" s="517" t="s">
        <v>24</v>
      </c>
      <c r="I11" s="517">
        <v>5.3</v>
      </c>
      <c r="J11" s="517" t="s">
        <v>22</v>
      </c>
      <c r="K11" s="517" t="s">
        <v>22</v>
      </c>
      <c r="L11" s="517">
        <v>4</v>
      </c>
      <c r="M11" s="517" t="s">
        <v>35</v>
      </c>
      <c r="N11" s="517" t="s">
        <v>22</v>
      </c>
      <c r="O11" s="517"/>
      <c r="P11" s="12"/>
    </row>
    <row r="12" spans="1:16">
      <c r="A12" s="693"/>
      <c r="B12" s="693"/>
      <c r="C12" s="693"/>
      <c r="D12" s="693"/>
      <c r="E12" s="693"/>
      <c r="F12" s="693"/>
      <c r="G12" s="693"/>
      <c r="H12" s="693"/>
      <c r="I12" s="693"/>
      <c r="J12" s="693"/>
      <c r="K12" s="693"/>
      <c r="L12" s="693"/>
      <c r="M12" s="693"/>
      <c r="N12" s="693"/>
      <c r="O12" s="693"/>
    </row>
    <row r="13" spans="1:16" ht="22.5" customHeight="1">
      <c r="A13" s="700" t="s">
        <v>116</v>
      </c>
      <c r="B13" s="700"/>
      <c r="C13" s="700"/>
      <c r="D13" s="700"/>
      <c r="E13" s="700"/>
      <c r="F13" s="700"/>
      <c r="G13" s="700"/>
      <c r="H13" s="700"/>
      <c r="I13" s="700"/>
      <c r="J13" s="700"/>
      <c r="K13" s="700"/>
      <c r="L13" s="700"/>
      <c r="M13" s="700"/>
      <c r="N13" s="700"/>
      <c r="O13" s="700"/>
    </row>
    <row r="14" spans="1:16" ht="20.25">
      <c r="A14" s="559" t="s">
        <v>7710</v>
      </c>
      <c r="B14" s="559"/>
      <c r="C14" s="559"/>
      <c r="D14" s="559"/>
      <c r="E14" s="559"/>
      <c r="F14" s="559"/>
      <c r="G14" s="559"/>
      <c r="H14" s="559"/>
      <c r="I14" s="559"/>
      <c r="J14" s="559"/>
      <c r="K14" s="559"/>
      <c r="L14" s="559"/>
      <c r="M14" s="559"/>
      <c r="N14" s="559"/>
      <c r="O14" s="559"/>
    </row>
    <row r="15" spans="1:16" ht="99.75">
      <c r="A15" s="18" t="s">
        <v>0</v>
      </c>
      <c r="B15" s="18" t="s">
        <v>2631</v>
      </c>
      <c r="C15" s="18" t="s">
        <v>2632</v>
      </c>
      <c r="D15" s="18" t="s">
        <v>1617</v>
      </c>
      <c r="E15" s="18" t="s">
        <v>1618</v>
      </c>
      <c r="F15" s="18" t="s">
        <v>2623</v>
      </c>
      <c r="G15" s="18" t="s">
        <v>1619</v>
      </c>
      <c r="H15" s="19" t="s">
        <v>2624</v>
      </c>
      <c r="I15" s="18" t="s">
        <v>2625</v>
      </c>
      <c r="J15" s="18" t="s">
        <v>1620</v>
      </c>
      <c r="K15" s="19" t="s">
        <v>2633</v>
      </c>
      <c r="L15" s="20" t="s">
        <v>1621</v>
      </c>
      <c r="M15" s="20" t="s">
        <v>1622</v>
      </c>
      <c r="N15" s="19" t="s">
        <v>2634</v>
      </c>
      <c r="O15" s="18" t="s">
        <v>1623</v>
      </c>
    </row>
    <row r="16" spans="1:16">
      <c r="A16" s="530">
        <v>1</v>
      </c>
      <c r="B16" s="530">
        <v>2</v>
      </c>
      <c r="C16" s="530">
        <v>3</v>
      </c>
      <c r="D16" s="530">
        <v>4</v>
      </c>
      <c r="E16" s="530">
        <v>5</v>
      </c>
      <c r="F16" s="530">
        <v>6</v>
      </c>
      <c r="G16" s="530">
        <v>7</v>
      </c>
      <c r="H16" s="530">
        <v>8</v>
      </c>
      <c r="I16" s="19">
        <v>9</v>
      </c>
      <c r="J16" s="530">
        <v>10</v>
      </c>
      <c r="K16" s="530">
        <v>11</v>
      </c>
      <c r="L16" s="530">
        <v>12</v>
      </c>
      <c r="M16" s="530">
        <v>13</v>
      </c>
      <c r="N16" s="530">
        <v>14</v>
      </c>
      <c r="O16" s="530">
        <v>15</v>
      </c>
    </row>
    <row r="17" spans="1:15" ht="75">
      <c r="A17" s="513">
        <v>1</v>
      </c>
      <c r="B17" s="706" t="s">
        <v>2622</v>
      </c>
      <c r="C17" s="696" t="s">
        <v>1937</v>
      </c>
      <c r="D17" s="516" t="s">
        <v>1938</v>
      </c>
      <c r="E17" s="511" t="s">
        <v>1938</v>
      </c>
      <c r="F17" s="539">
        <v>1128.51</v>
      </c>
      <c r="G17" s="513">
        <v>1961</v>
      </c>
      <c r="H17" s="513" t="s">
        <v>296</v>
      </c>
      <c r="I17" s="513" t="s">
        <v>1939</v>
      </c>
      <c r="J17" s="513" t="s">
        <v>296</v>
      </c>
      <c r="K17" s="513" t="s">
        <v>296</v>
      </c>
      <c r="L17" s="513" t="s">
        <v>296</v>
      </c>
      <c r="M17" s="513" t="s">
        <v>296</v>
      </c>
      <c r="N17" s="539"/>
      <c r="O17" s="510" t="s">
        <v>1940</v>
      </c>
    </row>
    <row r="18" spans="1:15" ht="60">
      <c r="A18" s="513">
        <v>2</v>
      </c>
      <c r="B18" s="696"/>
      <c r="C18" s="696"/>
      <c r="D18" s="516" t="s">
        <v>1941</v>
      </c>
      <c r="E18" s="511" t="s">
        <v>1942</v>
      </c>
      <c r="F18" s="539">
        <v>5137.4399999999996</v>
      </c>
      <c r="G18" s="513">
        <v>1985</v>
      </c>
      <c r="H18" s="513">
        <v>1.08</v>
      </c>
      <c r="I18" s="513" t="s">
        <v>1939</v>
      </c>
      <c r="J18" s="513" t="s">
        <v>296</v>
      </c>
      <c r="K18" s="513" t="s">
        <v>296</v>
      </c>
      <c r="L18" s="513" t="s">
        <v>296</v>
      </c>
      <c r="M18" s="513" t="s">
        <v>296</v>
      </c>
      <c r="N18" s="539" t="s">
        <v>296</v>
      </c>
      <c r="O18" s="510" t="s">
        <v>1943</v>
      </c>
    </row>
    <row r="19" spans="1:15" ht="60">
      <c r="A19" s="513">
        <v>3</v>
      </c>
      <c r="B19" s="696"/>
      <c r="C19" s="696"/>
      <c r="D19" s="516" t="s">
        <v>1944</v>
      </c>
      <c r="E19" s="511" t="s">
        <v>1945</v>
      </c>
      <c r="F19" s="539">
        <v>1128.51</v>
      </c>
      <c r="G19" s="513">
        <v>1961</v>
      </c>
      <c r="H19" s="513"/>
      <c r="I19" s="513">
        <v>1.4E-3</v>
      </c>
      <c r="J19" s="513" t="s">
        <v>296</v>
      </c>
      <c r="K19" s="513" t="s">
        <v>296</v>
      </c>
      <c r="L19" s="513" t="s">
        <v>296</v>
      </c>
      <c r="M19" s="513" t="s">
        <v>296</v>
      </c>
      <c r="N19" s="539" t="s">
        <v>296</v>
      </c>
      <c r="O19" s="510" t="s">
        <v>1943</v>
      </c>
    </row>
    <row r="20" spans="1:15" ht="90">
      <c r="A20" s="513">
        <v>4</v>
      </c>
      <c r="B20" s="696"/>
      <c r="C20" s="696" t="s">
        <v>137</v>
      </c>
      <c r="D20" s="516" t="s">
        <v>138</v>
      </c>
      <c r="E20" s="511" t="s">
        <v>1946</v>
      </c>
      <c r="F20" s="513">
        <v>3836.16</v>
      </c>
      <c r="G20" s="517">
        <v>2001</v>
      </c>
      <c r="H20" s="517">
        <v>0</v>
      </c>
      <c r="I20" s="517">
        <v>4.1399999999999997</v>
      </c>
      <c r="J20" s="517">
        <v>13.51</v>
      </c>
      <c r="K20" s="517" t="s">
        <v>17</v>
      </c>
      <c r="L20" s="517">
        <v>1</v>
      </c>
      <c r="M20" s="517" t="s">
        <v>17</v>
      </c>
      <c r="N20" s="517"/>
      <c r="O20" s="310"/>
    </row>
    <row r="21" spans="1:15" ht="45">
      <c r="A21" s="513">
        <v>5</v>
      </c>
      <c r="B21" s="696"/>
      <c r="C21" s="696"/>
      <c r="D21" s="534" t="s">
        <v>7019</v>
      </c>
      <c r="E21" s="515" t="s">
        <v>1947</v>
      </c>
      <c r="F21" s="539">
        <v>1339.5</v>
      </c>
      <c r="G21" s="539">
        <v>1994</v>
      </c>
      <c r="H21" s="539">
        <v>0</v>
      </c>
      <c r="I21" s="539">
        <v>1.96</v>
      </c>
      <c r="J21" s="234">
        <v>5</v>
      </c>
      <c r="K21" s="539" t="s">
        <v>17</v>
      </c>
      <c r="L21" s="539" t="s">
        <v>17</v>
      </c>
      <c r="M21" s="539">
        <v>1</v>
      </c>
      <c r="N21" s="520"/>
      <c r="O21" s="520"/>
    </row>
    <row r="22" spans="1:15" ht="32.25" customHeight="1">
      <c r="A22" s="513">
        <v>6</v>
      </c>
      <c r="B22" s="696"/>
      <c r="C22" s="696"/>
      <c r="D22" s="534" t="s">
        <v>174</v>
      </c>
      <c r="E22" s="511" t="s">
        <v>1948</v>
      </c>
      <c r="F22" s="513">
        <v>327.76</v>
      </c>
      <c r="G22" s="541">
        <v>1994</v>
      </c>
      <c r="H22" s="539">
        <v>0</v>
      </c>
      <c r="I22" s="539">
        <v>0.12</v>
      </c>
      <c r="J22" s="539">
        <v>3.16</v>
      </c>
      <c r="K22" s="539" t="s">
        <v>17</v>
      </c>
      <c r="L22" s="539" t="s">
        <v>17</v>
      </c>
      <c r="M22" s="539">
        <v>2</v>
      </c>
      <c r="N22" s="520"/>
      <c r="O22" s="520"/>
    </row>
    <row r="23" spans="1:15" ht="45">
      <c r="A23" s="513">
        <v>7</v>
      </c>
      <c r="B23" s="696"/>
      <c r="C23" s="696"/>
      <c r="D23" s="516" t="s">
        <v>176</v>
      </c>
      <c r="E23" s="515" t="s">
        <v>1949</v>
      </c>
      <c r="F23" s="513">
        <v>150</v>
      </c>
      <c r="G23" s="513">
        <v>2001</v>
      </c>
      <c r="H23" s="513">
        <v>0</v>
      </c>
      <c r="I23" s="539">
        <v>0.28000000000000003</v>
      </c>
      <c r="J23" s="539">
        <v>3.31</v>
      </c>
      <c r="K23" s="539" t="s">
        <v>17</v>
      </c>
      <c r="L23" s="539" t="s">
        <v>17</v>
      </c>
      <c r="M23" s="539">
        <v>3</v>
      </c>
      <c r="N23" s="539"/>
      <c r="O23" s="539"/>
    </row>
    <row r="24" spans="1:15">
      <c r="A24" s="693"/>
      <c r="B24" s="693"/>
      <c r="C24" s="693"/>
      <c r="D24" s="693"/>
      <c r="E24" s="693"/>
      <c r="F24" s="693"/>
      <c r="G24" s="693"/>
      <c r="H24" s="693"/>
      <c r="I24" s="693"/>
      <c r="J24" s="693"/>
      <c r="K24" s="693"/>
      <c r="L24" s="693"/>
      <c r="M24" s="693"/>
      <c r="N24" s="693"/>
      <c r="O24" s="693"/>
    </row>
    <row r="25" spans="1:15" ht="22.5">
      <c r="A25" s="700" t="s">
        <v>268</v>
      </c>
      <c r="B25" s="700"/>
      <c r="C25" s="700"/>
      <c r="D25" s="700"/>
      <c r="E25" s="700"/>
      <c r="F25" s="700"/>
      <c r="G25" s="700"/>
      <c r="H25" s="700"/>
      <c r="I25" s="700"/>
      <c r="J25" s="700"/>
      <c r="K25" s="700"/>
      <c r="L25" s="700"/>
      <c r="M25" s="700"/>
      <c r="N25" s="700"/>
      <c r="O25" s="700"/>
    </row>
    <row r="26" spans="1:15" ht="20.25">
      <c r="A26" s="559" t="s">
        <v>7710</v>
      </c>
      <c r="B26" s="559"/>
      <c r="C26" s="559"/>
      <c r="D26" s="559"/>
      <c r="E26" s="559"/>
      <c r="F26" s="559"/>
      <c r="G26" s="559"/>
      <c r="H26" s="559"/>
      <c r="I26" s="559"/>
      <c r="J26" s="559"/>
      <c r="K26" s="559"/>
      <c r="L26" s="559"/>
      <c r="M26" s="559"/>
      <c r="N26" s="559"/>
      <c r="O26" s="559"/>
    </row>
    <row r="27" spans="1:15" ht="30" customHeight="1">
      <c r="A27" s="18" t="s">
        <v>0</v>
      </c>
      <c r="B27" s="18" t="s">
        <v>2631</v>
      </c>
      <c r="C27" s="18" t="s">
        <v>2632</v>
      </c>
      <c r="D27" s="18" t="s">
        <v>1617</v>
      </c>
      <c r="E27" s="18" t="s">
        <v>1618</v>
      </c>
      <c r="F27" s="18" t="s">
        <v>2623</v>
      </c>
      <c r="G27" s="18" t="s">
        <v>1619</v>
      </c>
      <c r="H27" s="19" t="s">
        <v>2624</v>
      </c>
      <c r="I27" s="18" t="s">
        <v>2625</v>
      </c>
      <c r="J27" s="18" t="s">
        <v>1620</v>
      </c>
      <c r="K27" s="19" t="s">
        <v>2633</v>
      </c>
      <c r="L27" s="20" t="s">
        <v>1621</v>
      </c>
      <c r="M27" s="20" t="s">
        <v>1622</v>
      </c>
      <c r="N27" s="19" t="s">
        <v>2634</v>
      </c>
      <c r="O27" s="18" t="s">
        <v>1623</v>
      </c>
    </row>
    <row r="28" spans="1:15">
      <c r="A28" s="530">
        <v>1</v>
      </c>
      <c r="B28" s="530">
        <v>2</v>
      </c>
      <c r="C28" s="530">
        <v>3</v>
      </c>
      <c r="D28" s="530">
        <v>4</v>
      </c>
      <c r="E28" s="530">
        <v>5</v>
      </c>
      <c r="F28" s="530">
        <v>6</v>
      </c>
      <c r="G28" s="530">
        <v>7</v>
      </c>
      <c r="H28" s="530">
        <v>8</v>
      </c>
      <c r="I28" s="19">
        <v>9</v>
      </c>
      <c r="J28" s="530">
        <v>10</v>
      </c>
      <c r="K28" s="530">
        <v>11</v>
      </c>
      <c r="L28" s="530">
        <v>12</v>
      </c>
      <c r="M28" s="530">
        <v>13</v>
      </c>
      <c r="N28" s="530">
        <v>14</v>
      </c>
      <c r="O28" s="530">
        <v>15</v>
      </c>
    </row>
    <row r="29" spans="1:15" ht="30">
      <c r="A29" s="694">
        <v>1</v>
      </c>
      <c r="B29" s="696" t="s">
        <v>2611</v>
      </c>
      <c r="C29" s="696" t="s">
        <v>257</v>
      </c>
      <c r="D29" s="703" t="s">
        <v>206</v>
      </c>
      <c r="E29" s="516" t="s">
        <v>1950</v>
      </c>
      <c r="F29" s="694">
        <v>2229.65</v>
      </c>
      <c r="G29" s="694" t="s">
        <v>207</v>
      </c>
      <c r="H29" s="694" t="s">
        <v>35</v>
      </c>
      <c r="I29" s="694" t="s">
        <v>35</v>
      </c>
      <c r="J29" s="694" t="s">
        <v>2380</v>
      </c>
      <c r="K29" s="694" t="s">
        <v>1951</v>
      </c>
      <c r="L29" s="694" t="s">
        <v>1952</v>
      </c>
      <c r="M29" s="694" t="s">
        <v>35</v>
      </c>
      <c r="N29" s="694" t="s">
        <v>35</v>
      </c>
      <c r="O29" s="696" t="s">
        <v>1953</v>
      </c>
    </row>
    <row r="30" spans="1:15" ht="30">
      <c r="A30" s="694"/>
      <c r="B30" s="696"/>
      <c r="C30" s="696"/>
      <c r="D30" s="703"/>
      <c r="E30" s="516" t="s">
        <v>1954</v>
      </c>
      <c r="F30" s="694"/>
      <c r="G30" s="694"/>
      <c r="H30" s="694"/>
      <c r="I30" s="694"/>
      <c r="J30" s="694"/>
      <c r="K30" s="694"/>
      <c r="L30" s="694"/>
      <c r="M30" s="694"/>
      <c r="N30" s="694"/>
      <c r="O30" s="696"/>
    </row>
    <row r="31" spans="1:15" ht="90">
      <c r="A31" s="513">
        <v>2</v>
      </c>
      <c r="B31" s="696"/>
      <c r="C31" s="696"/>
      <c r="D31" s="516" t="s">
        <v>1955</v>
      </c>
      <c r="E31" s="516" t="s">
        <v>1956</v>
      </c>
      <c r="F31" s="513">
        <v>2182.4299999999998</v>
      </c>
      <c r="G31" s="513" t="s">
        <v>35</v>
      </c>
      <c r="H31" s="513">
        <v>1997</v>
      </c>
      <c r="I31" s="513" t="s">
        <v>1957</v>
      </c>
      <c r="J31" s="513" t="s">
        <v>2380</v>
      </c>
      <c r="K31" s="513" t="s">
        <v>87</v>
      </c>
      <c r="L31" s="531" t="s">
        <v>1958</v>
      </c>
      <c r="M31" s="513" t="s">
        <v>35</v>
      </c>
      <c r="N31" s="513" t="s">
        <v>35</v>
      </c>
      <c r="O31" s="531" t="s">
        <v>1958</v>
      </c>
    </row>
    <row r="32" spans="1:15" ht="30">
      <c r="A32" s="513">
        <v>3</v>
      </c>
      <c r="B32" s="696"/>
      <c r="C32" s="696"/>
      <c r="D32" s="516" t="s">
        <v>258</v>
      </c>
      <c r="E32" s="516" t="s">
        <v>1959</v>
      </c>
      <c r="F32" s="513">
        <v>2154.7800000000002</v>
      </c>
      <c r="G32" s="513" t="s">
        <v>35</v>
      </c>
      <c r="H32" s="513" t="s">
        <v>259</v>
      </c>
      <c r="I32" s="513" t="s">
        <v>260</v>
      </c>
      <c r="J32" s="513" t="s">
        <v>2381</v>
      </c>
      <c r="K32" s="513" t="s">
        <v>35</v>
      </c>
      <c r="L32" s="513" t="s">
        <v>35</v>
      </c>
      <c r="M32" s="513" t="s">
        <v>1960</v>
      </c>
      <c r="N32" s="513" t="s">
        <v>35</v>
      </c>
      <c r="O32" s="513" t="s">
        <v>35</v>
      </c>
    </row>
    <row r="33" spans="1:15" ht="60">
      <c r="A33" s="513">
        <v>4</v>
      </c>
      <c r="B33" s="696"/>
      <c r="C33" s="516" t="s">
        <v>212</v>
      </c>
      <c r="D33" s="516" t="s">
        <v>7020</v>
      </c>
      <c r="E33" s="516" t="s">
        <v>1961</v>
      </c>
      <c r="F33" s="513" t="s">
        <v>1962</v>
      </c>
      <c r="G33" s="513" t="s">
        <v>1962</v>
      </c>
      <c r="H33" s="513" t="s">
        <v>1962</v>
      </c>
      <c r="I33" s="513" t="s">
        <v>1962</v>
      </c>
      <c r="J33" s="513" t="s">
        <v>1962</v>
      </c>
      <c r="K33" s="513" t="s">
        <v>1962</v>
      </c>
      <c r="L33" s="513" t="s">
        <v>1962</v>
      </c>
      <c r="M33" s="513" t="s">
        <v>1962</v>
      </c>
      <c r="N33" s="513" t="s">
        <v>1962</v>
      </c>
      <c r="O33" s="512"/>
    </row>
    <row r="34" spans="1:15" ht="30">
      <c r="A34" s="513">
        <v>5</v>
      </c>
      <c r="B34" s="696"/>
      <c r="C34" s="707" t="s">
        <v>184</v>
      </c>
      <c r="D34" s="516" t="s">
        <v>215</v>
      </c>
      <c r="E34" s="516" t="s">
        <v>1963</v>
      </c>
      <c r="F34" s="512">
        <v>1216</v>
      </c>
      <c r="G34" s="512" t="s">
        <v>216</v>
      </c>
      <c r="H34" s="697" t="s">
        <v>17</v>
      </c>
      <c r="I34" s="512">
        <v>0.78</v>
      </c>
      <c r="J34" s="697" t="s">
        <v>17</v>
      </c>
      <c r="K34" s="697" t="s">
        <v>17</v>
      </c>
      <c r="L34" s="512">
        <v>1</v>
      </c>
      <c r="M34" s="697" t="s">
        <v>17</v>
      </c>
      <c r="N34" s="697" t="s">
        <v>17</v>
      </c>
      <c r="O34" s="708"/>
    </row>
    <row r="35" spans="1:15" ht="30">
      <c r="A35" s="513">
        <v>6</v>
      </c>
      <c r="B35" s="696"/>
      <c r="C35" s="707"/>
      <c r="D35" s="516" t="s">
        <v>218</v>
      </c>
      <c r="E35" s="516" t="s">
        <v>1964</v>
      </c>
      <c r="F35" s="512">
        <v>1463</v>
      </c>
      <c r="G35" s="512" t="s">
        <v>219</v>
      </c>
      <c r="H35" s="697"/>
      <c r="I35" s="512">
        <v>1.26</v>
      </c>
      <c r="J35" s="697"/>
      <c r="K35" s="697"/>
      <c r="L35" s="512">
        <v>2</v>
      </c>
      <c r="M35" s="697"/>
      <c r="N35" s="697"/>
      <c r="O35" s="708"/>
    </row>
    <row r="36" spans="1:15" ht="30">
      <c r="A36" s="513">
        <v>7</v>
      </c>
      <c r="B36" s="696"/>
      <c r="C36" s="707"/>
      <c r="D36" s="516" t="s">
        <v>220</v>
      </c>
      <c r="E36" s="516" t="s">
        <v>1965</v>
      </c>
      <c r="F36" s="512">
        <v>189</v>
      </c>
      <c r="G36" s="512" t="s">
        <v>221</v>
      </c>
      <c r="H36" s="697"/>
      <c r="I36" s="512">
        <v>0.13</v>
      </c>
      <c r="J36" s="697"/>
      <c r="K36" s="697"/>
      <c r="L36" s="512">
        <v>3</v>
      </c>
      <c r="M36" s="697"/>
      <c r="N36" s="697"/>
      <c r="O36" s="708"/>
    </row>
    <row r="37" spans="1:15" ht="30">
      <c r="A37" s="513">
        <v>8</v>
      </c>
      <c r="B37" s="696"/>
      <c r="C37" s="707"/>
      <c r="D37" s="516" t="s">
        <v>222</v>
      </c>
      <c r="E37" s="526" t="s">
        <v>1966</v>
      </c>
      <c r="F37" s="512">
        <v>1736</v>
      </c>
      <c r="G37" s="40" t="s">
        <v>223</v>
      </c>
      <c r="H37" s="697"/>
      <c r="I37" s="512">
        <v>1.78</v>
      </c>
      <c r="J37" s="697"/>
      <c r="K37" s="697"/>
      <c r="L37" s="512">
        <v>4</v>
      </c>
      <c r="M37" s="697"/>
      <c r="N37" s="697"/>
      <c r="O37" s="708"/>
    </row>
    <row r="38" spans="1:15" ht="60">
      <c r="A38" s="513">
        <v>9</v>
      </c>
      <c r="B38" s="696"/>
      <c r="C38" s="707" t="s">
        <v>189</v>
      </c>
      <c r="D38" s="534" t="s">
        <v>190</v>
      </c>
      <c r="E38" s="534" t="s">
        <v>1967</v>
      </c>
      <c r="F38" s="512">
        <v>1723</v>
      </c>
      <c r="G38" s="512" t="s">
        <v>193</v>
      </c>
      <c r="H38" s="512" t="s">
        <v>191</v>
      </c>
      <c r="I38" s="512">
        <v>0.16</v>
      </c>
      <c r="J38" s="512" t="s">
        <v>193</v>
      </c>
      <c r="K38" s="512" t="s">
        <v>193</v>
      </c>
      <c r="L38" s="512">
        <v>1</v>
      </c>
      <c r="M38" s="512" t="s">
        <v>17</v>
      </c>
      <c r="N38" s="512" t="s">
        <v>17</v>
      </c>
      <c r="O38" s="512"/>
    </row>
    <row r="39" spans="1:15" ht="60">
      <c r="A39" s="513">
        <v>10</v>
      </c>
      <c r="B39" s="696"/>
      <c r="C39" s="707"/>
      <c r="D39" s="534" t="s">
        <v>225</v>
      </c>
      <c r="E39" s="516" t="s">
        <v>1968</v>
      </c>
      <c r="F39" s="512">
        <v>1312</v>
      </c>
      <c r="G39" s="512" t="s">
        <v>193</v>
      </c>
      <c r="H39" s="512" t="s">
        <v>226</v>
      </c>
      <c r="I39" s="512">
        <v>1.51</v>
      </c>
      <c r="J39" s="512" t="s">
        <v>193</v>
      </c>
      <c r="K39" s="512" t="s">
        <v>193</v>
      </c>
      <c r="L39" s="512">
        <v>2</v>
      </c>
      <c r="M39" s="512" t="s">
        <v>17</v>
      </c>
      <c r="N39" s="512" t="s">
        <v>17</v>
      </c>
      <c r="O39" s="512"/>
    </row>
    <row r="40" spans="1:15" ht="45">
      <c r="A40" s="513">
        <v>11</v>
      </c>
      <c r="B40" s="696"/>
      <c r="C40" s="707" t="s">
        <v>252</v>
      </c>
      <c r="D40" s="516" t="s">
        <v>230</v>
      </c>
      <c r="E40" s="516" t="s">
        <v>1969</v>
      </c>
      <c r="F40" s="512">
        <v>5909.89</v>
      </c>
      <c r="G40" s="512" t="s">
        <v>17</v>
      </c>
      <c r="H40" s="512" t="s">
        <v>232</v>
      </c>
      <c r="I40" s="512" t="s">
        <v>17</v>
      </c>
      <c r="J40" s="512" t="s">
        <v>17</v>
      </c>
      <c r="K40" s="512" t="s">
        <v>17</v>
      </c>
      <c r="L40" s="512" t="s">
        <v>17</v>
      </c>
      <c r="M40" s="512" t="s">
        <v>17</v>
      </c>
      <c r="N40" s="512" t="s">
        <v>17</v>
      </c>
      <c r="O40" s="523"/>
    </row>
    <row r="41" spans="1:15" ht="45">
      <c r="A41" s="513">
        <v>12</v>
      </c>
      <c r="B41" s="696"/>
      <c r="C41" s="707"/>
      <c r="D41" s="516" t="s">
        <v>231</v>
      </c>
      <c r="E41" s="516" t="s">
        <v>1970</v>
      </c>
      <c r="F41" s="512">
        <v>76.180000000000007</v>
      </c>
      <c r="G41" s="512" t="s">
        <v>232</v>
      </c>
      <c r="H41" s="512" t="s">
        <v>232</v>
      </c>
      <c r="I41" s="512" t="s">
        <v>17</v>
      </c>
      <c r="J41" s="512" t="s">
        <v>17</v>
      </c>
      <c r="K41" s="512" t="s">
        <v>17</v>
      </c>
      <c r="L41" s="512" t="s">
        <v>17</v>
      </c>
      <c r="M41" s="512" t="s">
        <v>17</v>
      </c>
      <c r="N41" s="512" t="s">
        <v>17</v>
      </c>
      <c r="O41" s="523"/>
    </row>
    <row r="42" spans="1:15" ht="45">
      <c r="A42" s="513">
        <v>13</v>
      </c>
      <c r="B42" s="696"/>
      <c r="C42" s="707"/>
      <c r="D42" s="516" t="s">
        <v>233</v>
      </c>
      <c r="E42" s="516" t="s">
        <v>1970</v>
      </c>
      <c r="F42" s="512">
        <v>76.180000000000007</v>
      </c>
      <c r="G42" s="512" t="s">
        <v>232</v>
      </c>
      <c r="H42" s="512" t="s">
        <v>232</v>
      </c>
      <c r="I42" s="512" t="s">
        <v>17</v>
      </c>
      <c r="J42" s="512" t="s">
        <v>17</v>
      </c>
      <c r="K42" s="512" t="s">
        <v>17</v>
      </c>
      <c r="L42" s="512" t="s">
        <v>17</v>
      </c>
      <c r="M42" s="512" t="s">
        <v>17</v>
      </c>
      <c r="N42" s="512" t="s">
        <v>17</v>
      </c>
      <c r="O42" s="523"/>
    </row>
    <row r="43" spans="1:15" ht="45">
      <c r="A43" s="513">
        <v>14</v>
      </c>
      <c r="B43" s="696"/>
      <c r="C43" s="707"/>
      <c r="D43" s="516" t="s">
        <v>234</v>
      </c>
      <c r="E43" s="516" t="s">
        <v>1971</v>
      </c>
      <c r="F43" s="512">
        <v>55.74</v>
      </c>
      <c r="G43" s="512" t="s">
        <v>232</v>
      </c>
      <c r="H43" s="512" t="s">
        <v>232</v>
      </c>
      <c r="I43" s="512" t="s">
        <v>17</v>
      </c>
      <c r="J43" s="512" t="s">
        <v>17</v>
      </c>
      <c r="K43" s="512" t="s">
        <v>17</v>
      </c>
      <c r="L43" s="512" t="s">
        <v>17</v>
      </c>
      <c r="M43" s="512" t="s">
        <v>17</v>
      </c>
      <c r="N43" s="512" t="s">
        <v>17</v>
      </c>
      <c r="O43" s="523"/>
    </row>
    <row r="44" spans="1:15" ht="45">
      <c r="A44" s="513">
        <v>15</v>
      </c>
      <c r="B44" s="696"/>
      <c r="C44" s="707"/>
      <c r="D44" s="516" t="s">
        <v>235</v>
      </c>
      <c r="E44" s="516" t="s">
        <v>1972</v>
      </c>
      <c r="F44" s="512">
        <v>55.74</v>
      </c>
      <c r="G44" s="512" t="s">
        <v>232</v>
      </c>
      <c r="H44" s="512" t="s">
        <v>232</v>
      </c>
      <c r="I44" s="512" t="s">
        <v>17</v>
      </c>
      <c r="J44" s="512" t="s">
        <v>17</v>
      </c>
      <c r="K44" s="512" t="s">
        <v>17</v>
      </c>
      <c r="L44" s="512" t="s">
        <v>17</v>
      </c>
      <c r="M44" s="512" t="s">
        <v>17</v>
      </c>
      <c r="N44" s="512" t="s">
        <v>17</v>
      </c>
      <c r="O44" s="523"/>
    </row>
    <row r="45" spans="1:15" ht="90">
      <c r="A45" s="513">
        <v>16</v>
      </c>
      <c r="B45" s="696"/>
      <c r="C45" s="707" t="s">
        <v>197</v>
      </c>
      <c r="D45" s="516" t="s">
        <v>1973</v>
      </c>
      <c r="E45" s="516" t="s">
        <v>2635</v>
      </c>
      <c r="F45" s="512">
        <v>11592</v>
      </c>
      <c r="G45" s="40" t="s">
        <v>7021</v>
      </c>
      <c r="H45" s="5" t="s">
        <v>35</v>
      </c>
      <c r="I45" s="512" t="s">
        <v>1974</v>
      </c>
      <c r="J45" s="512" t="s">
        <v>1975</v>
      </c>
      <c r="K45" s="513" t="s">
        <v>1976</v>
      </c>
      <c r="L45" s="5" t="s">
        <v>35</v>
      </c>
      <c r="M45" s="5">
        <v>1</v>
      </c>
      <c r="N45" s="5"/>
      <c r="O45" s="527"/>
    </row>
    <row r="46" spans="1:15" ht="75">
      <c r="A46" s="513">
        <v>17</v>
      </c>
      <c r="B46" s="696"/>
      <c r="C46" s="707"/>
      <c r="D46" s="516" t="s">
        <v>1977</v>
      </c>
      <c r="E46" s="516" t="s">
        <v>1978</v>
      </c>
      <c r="F46" s="512">
        <v>8728</v>
      </c>
      <c r="G46" s="512">
        <v>1962</v>
      </c>
      <c r="H46" s="5" t="s">
        <v>35</v>
      </c>
      <c r="I46" s="513" t="s">
        <v>1979</v>
      </c>
      <c r="J46" s="512" t="s">
        <v>1975</v>
      </c>
      <c r="K46" s="5" t="s">
        <v>35</v>
      </c>
      <c r="L46" s="5">
        <v>1</v>
      </c>
      <c r="M46" s="5" t="s">
        <v>35</v>
      </c>
      <c r="N46" s="5" t="s">
        <v>35</v>
      </c>
      <c r="O46" s="527"/>
    </row>
    <row r="47" spans="1:15" ht="60">
      <c r="A47" s="513">
        <v>18</v>
      </c>
      <c r="B47" s="696"/>
      <c r="C47" s="707"/>
      <c r="D47" s="516" t="s">
        <v>1980</v>
      </c>
      <c r="E47" s="516" t="s">
        <v>1981</v>
      </c>
      <c r="F47" s="512">
        <v>464.51</v>
      </c>
      <c r="G47" s="40" t="s">
        <v>7022</v>
      </c>
      <c r="H47" s="5" t="s">
        <v>35</v>
      </c>
      <c r="I47" s="513" t="s">
        <v>1979</v>
      </c>
      <c r="J47" s="512" t="s">
        <v>1975</v>
      </c>
      <c r="K47" s="5" t="s">
        <v>35</v>
      </c>
      <c r="L47" s="5">
        <v>3</v>
      </c>
      <c r="M47" s="5" t="s">
        <v>35</v>
      </c>
      <c r="N47" s="5" t="s">
        <v>35</v>
      </c>
      <c r="O47" s="527"/>
    </row>
    <row r="48" spans="1:15" ht="75">
      <c r="A48" s="513">
        <v>19</v>
      </c>
      <c r="B48" s="696"/>
      <c r="C48" s="707"/>
      <c r="D48" s="516" t="s">
        <v>1982</v>
      </c>
      <c r="E48" s="516" t="s">
        <v>1983</v>
      </c>
      <c r="F48" s="512">
        <v>1371</v>
      </c>
      <c r="G48" s="40" t="s">
        <v>7023</v>
      </c>
      <c r="H48" s="5" t="s">
        <v>35</v>
      </c>
      <c r="I48" s="512">
        <v>4.29</v>
      </c>
      <c r="J48" s="512" t="s">
        <v>1975</v>
      </c>
      <c r="K48" s="5" t="s">
        <v>35</v>
      </c>
      <c r="L48" s="5">
        <v>2</v>
      </c>
      <c r="M48" s="5" t="s">
        <v>35</v>
      </c>
      <c r="N48" s="5" t="s">
        <v>35</v>
      </c>
      <c r="O48" s="527"/>
    </row>
    <row r="49" spans="1:15" ht="15">
      <c r="A49" s="694"/>
      <c r="B49" s="694"/>
      <c r="C49" s="694"/>
      <c r="D49" s="694"/>
      <c r="E49" s="694"/>
      <c r="F49" s="694"/>
      <c r="G49" s="694"/>
      <c r="H49" s="694"/>
      <c r="I49" s="694"/>
      <c r="J49" s="694"/>
      <c r="K49" s="694"/>
      <c r="L49" s="694"/>
      <c r="M49" s="694"/>
      <c r="N49" s="694"/>
      <c r="O49" s="694"/>
    </row>
    <row r="50" spans="1:15" ht="22.5">
      <c r="A50" s="700" t="s">
        <v>269</v>
      </c>
      <c r="B50" s="700"/>
      <c r="C50" s="700"/>
      <c r="D50" s="700"/>
      <c r="E50" s="700"/>
      <c r="F50" s="700"/>
      <c r="G50" s="700"/>
      <c r="H50" s="700"/>
      <c r="I50" s="700"/>
      <c r="J50" s="700"/>
      <c r="K50" s="700"/>
      <c r="L50" s="700"/>
      <c r="M50" s="700"/>
      <c r="N50" s="700"/>
      <c r="O50" s="700"/>
    </row>
    <row r="51" spans="1:15" ht="20.25">
      <c r="A51" s="559" t="s">
        <v>7710</v>
      </c>
      <c r="B51" s="559"/>
      <c r="C51" s="559"/>
      <c r="D51" s="559"/>
      <c r="E51" s="559"/>
      <c r="F51" s="559"/>
      <c r="G51" s="559"/>
      <c r="H51" s="559"/>
      <c r="I51" s="559"/>
      <c r="J51" s="559"/>
      <c r="K51" s="559"/>
      <c r="L51" s="559"/>
      <c r="M51" s="559"/>
      <c r="N51" s="559"/>
      <c r="O51" s="559"/>
    </row>
    <row r="52" spans="1:15" ht="99.75">
      <c r="A52" s="18" t="s">
        <v>0</v>
      </c>
      <c r="B52" s="18" t="s">
        <v>2631</v>
      </c>
      <c r="C52" s="18" t="s">
        <v>2632</v>
      </c>
      <c r="D52" s="18" t="s">
        <v>1617</v>
      </c>
      <c r="E52" s="18" t="s">
        <v>1618</v>
      </c>
      <c r="F52" s="18" t="s">
        <v>2623</v>
      </c>
      <c r="G52" s="18" t="s">
        <v>1619</v>
      </c>
      <c r="H52" s="19" t="s">
        <v>2624</v>
      </c>
      <c r="I52" s="18" t="s">
        <v>2625</v>
      </c>
      <c r="J52" s="18" t="s">
        <v>1620</v>
      </c>
      <c r="K52" s="19" t="s">
        <v>2633</v>
      </c>
      <c r="L52" s="20" t="s">
        <v>1621</v>
      </c>
      <c r="M52" s="20" t="s">
        <v>1622</v>
      </c>
      <c r="N52" s="19" t="s">
        <v>2634</v>
      </c>
      <c r="O52" s="18" t="s">
        <v>1623</v>
      </c>
    </row>
    <row r="53" spans="1:15" ht="96" customHeight="1">
      <c r="A53" s="530">
        <v>1</v>
      </c>
      <c r="B53" s="530">
        <v>2</v>
      </c>
      <c r="C53" s="530">
        <v>3</v>
      </c>
      <c r="D53" s="530">
        <v>4</v>
      </c>
      <c r="E53" s="530">
        <v>5</v>
      </c>
      <c r="F53" s="530">
        <v>6</v>
      </c>
      <c r="G53" s="530">
        <v>7</v>
      </c>
      <c r="H53" s="530">
        <v>8</v>
      </c>
      <c r="I53" s="19">
        <v>9</v>
      </c>
      <c r="J53" s="530">
        <v>10</v>
      </c>
      <c r="K53" s="530">
        <v>11</v>
      </c>
      <c r="L53" s="530">
        <v>12</v>
      </c>
      <c r="M53" s="530">
        <v>13</v>
      </c>
      <c r="N53" s="530">
        <v>14</v>
      </c>
      <c r="O53" s="530">
        <v>15</v>
      </c>
    </row>
    <row r="54" spans="1:15" ht="105">
      <c r="A54" s="513">
        <v>1</v>
      </c>
      <c r="B54" s="696" t="s">
        <v>2610</v>
      </c>
      <c r="C54" s="696" t="s">
        <v>270</v>
      </c>
      <c r="D54" s="499" t="s">
        <v>1984</v>
      </c>
      <c r="E54" s="511" t="s">
        <v>2637</v>
      </c>
      <c r="F54" s="513">
        <v>6104</v>
      </c>
      <c r="G54" s="542" t="s">
        <v>1985</v>
      </c>
      <c r="H54" s="513" t="s">
        <v>17</v>
      </c>
      <c r="I54" s="513">
        <v>1.24</v>
      </c>
      <c r="J54" s="513" t="s">
        <v>301</v>
      </c>
      <c r="K54" s="513" t="s">
        <v>301</v>
      </c>
      <c r="L54" s="513">
        <v>1</v>
      </c>
      <c r="M54" s="513">
        <v>1</v>
      </c>
      <c r="N54" s="513" t="s">
        <v>17</v>
      </c>
      <c r="O54" s="513"/>
    </row>
    <row r="55" spans="1:15" ht="75">
      <c r="A55" s="513">
        <v>2</v>
      </c>
      <c r="B55" s="696"/>
      <c r="C55" s="696"/>
      <c r="D55" s="499" t="s">
        <v>1986</v>
      </c>
      <c r="E55" s="511" t="s">
        <v>1987</v>
      </c>
      <c r="F55" s="513">
        <v>601</v>
      </c>
      <c r="G55" s="542" t="s">
        <v>1988</v>
      </c>
      <c r="H55" s="513" t="s">
        <v>17</v>
      </c>
      <c r="I55" s="513">
        <v>0.4</v>
      </c>
      <c r="J55" s="513" t="s">
        <v>301</v>
      </c>
      <c r="K55" s="513" t="s">
        <v>301</v>
      </c>
      <c r="L55" s="513">
        <v>1</v>
      </c>
      <c r="M55" s="513">
        <v>1</v>
      </c>
      <c r="N55" s="513" t="s">
        <v>17</v>
      </c>
      <c r="O55" s="513"/>
    </row>
    <row r="56" spans="1:15" ht="90">
      <c r="A56" s="513">
        <v>3</v>
      </c>
      <c r="B56" s="696"/>
      <c r="C56" s="696"/>
      <c r="D56" s="499" t="s">
        <v>1989</v>
      </c>
      <c r="E56" s="511" t="s">
        <v>2636</v>
      </c>
      <c r="F56" s="513">
        <v>778</v>
      </c>
      <c r="G56" s="542" t="s">
        <v>304</v>
      </c>
      <c r="H56" s="513" t="s">
        <v>17</v>
      </c>
      <c r="I56" s="513">
        <v>0.55000000000000004</v>
      </c>
      <c r="J56" s="513" t="s">
        <v>301</v>
      </c>
      <c r="K56" s="513" t="s">
        <v>301</v>
      </c>
      <c r="L56" s="513">
        <v>2</v>
      </c>
      <c r="M56" s="513">
        <v>2</v>
      </c>
      <c r="N56" s="513" t="s">
        <v>17</v>
      </c>
      <c r="O56" s="513"/>
    </row>
    <row r="57" spans="1:15" ht="75">
      <c r="A57" s="513">
        <v>4</v>
      </c>
      <c r="B57" s="696"/>
      <c r="C57" s="511" t="s">
        <v>1990</v>
      </c>
      <c r="D57" s="511" t="s">
        <v>308</v>
      </c>
      <c r="E57" s="515" t="s">
        <v>1991</v>
      </c>
      <c r="F57" s="513">
        <v>2100</v>
      </c>
      <c r="G57" s="542" t="s">
        <v>442</v>
      </c>
      <c r="H57" s="513" t="s">
        <v>17</v>
      </c>
      <c r="I57" s="513">
        <v>2.5</v>
      </c>
      <c r="J57" s="513"/>
      <c r="K57" s="513" t="s">
        <v>87</v>
      </c>
      <c r="L57" s="513">
        <v>1</v>
      </c>
      <c r="M57" s="513" t="s">
        <v>17</v>
      </c>
      <c r="N57" s="513" t="s">
        <v>17</v>
      </c>
      <c r="O57" s="513"/>
    </row>
    <row r="58" spans="1:15" ht="105">
      <c r="A58" s="513">
        <v>5</v>
      </c>
      <c r="B58" s="696"/>
      <c r="C58" s="511" t="s">
        <v>1992</v>
      </c>
      <c r="D58" s="511" t="s">
        <v>293</v>
      </c>
      <c r="E58" s="511" t="s">
        <v>1993</v>
      </c>
      <c r="F58" s="513" t="s">
        <v>2382</v>
      </c>
      <c r="G58" s="513" t="s">
        <v>1994</v>
      </c>
      <c r="H58" s="513" t="s">
        <v>17</v>
      </c>
      <c r="I58" s="513" t="s">
        <v>1995</v>
      </c>
      <c r="J58" s="513" t="s">
        <v>1996</v>
      </c>
      <c r="K58" s="513" t="s">
        <v>1996</v>
      </c>
      <c r="L58" s="513"/>
      <c r="M58" s="513"/>
      <c r="N58" s="513"/>
      <c r="O58" s="513"/>
    </row>
    <row r="59" spans="1:15">
      <c r="A59" s="693"/>
      <c r="B59" s="693"/>
      <c r="C59" s="693"/>
      <c r="D59" s="693"/>
      <c r="E59" s="693"/>
      <c r="F59" s="693"/>
      <c r="G59" s="693"/>
      <c r="H59" s="693"/>
      <c r="I59" s="693"/>
      <c r="J59" s="693"/>
      <c r="K59" s="693"/>
      <c r="L59" s="693"/>
      <c r="M59" s="693"/>
      <c r="N59" s="693"/>
      <c r="O59" s="693"/>
    </row>
    <row r="60" spans="1:15" ht="22.5">
      <c r="A60" s="700" t="s">
        <v>339</v>
      </c>
      <c r="B60" s="700"/>
      <c r="C60" s="700"/>
      <c r="D60" s="700"/>
      <c r="E60" s="700"/>
      <c r="F60" s="700"/>
      <c r="G60" s="700"/>
      <c r="H60" s="700"/>
      <c r="I60" s="700"/>
      <c r="J60" s="700"/>
      <c r="K60" s="700"/>
      <c r="L60" s="700"/>
      <c r="M60" s="700"/>
      <c r="N60" s="700"/>
      <c r="O60" s="700"/>
    </row>
    <row r="61" spans="1:15" ht="20.25">
      <c r="A61" s="559" t="s">
        <v>7710</v>
      </c>
      <c r="B61" s="559"/>
      <c r="C61" s="559"/>
      <c r="D61" s="559"/>
      <c r="E61" s="559"/>
      <c r="F61" s="559"/>
      <c r="G61" s="559"/>
      <c r="H61" s="559"/>
      <c r="I61" s="559"/>
      <c r="J61" s="559"/>
      <c r="K61" s="559"/>
      <c r="L61" s="559"/>
      <c r="M61" s="559"/>
      <c r="N61" s="559"/>
      <c r="O61" s="559"/>
    </row>
    <row r="62" spans="1:15" ht="99.75">
      <c r="A62" s="18" t="s">
        <v>0</v>
      </c>
      <c r="B62" s="18" t="s">
        <v>2631</v>
      </c>
      <c r="C62" s="18" t="s">
        <v>2632</v>
      </c>
      <c r="D62" s="18" t="s">
        <v>1617</v>
      </c>
      <c r="E62" s="18" t="s">
        <v>1618</v>
      </c>
      <c r="F62" s="18" t="s">
        <v>2623</v>
      </c>
      <c r="G62" s="18" t="s">
        <v>1619</v>
      </c>
      <c r="H62" s="19" t="s">
        <v>2624</v>
      </c>
      <c r="I62" s="18" t="s">
        <v>2625</v>
      </c>
      <c r="J62" s="18" t="s">
        <v>1620</v>
      </c>
      <c r="K62" s="19" t="s">
        <v>2633</v>
      </c>
      <c r="L62" s="20" t="s">
        <v>1621</v>
      </c>
      <c r="M62" s="20" t="s">
        <v>1622</v>
      </c>
      <c r="N62" s="19" t="s">
        <v>2634</v>
      </c>
      <c r="O62" s="18" t="s">
        <v>1623</v>
      </c>
    </row>
    <row r="63" spans="1:15">
      <c r="A63" s="530">
        <v>1</v>
      </c>
      <c r="B63" s="530">
        <v>2</v>
      </c>
      <c r="C63" s="530">
        <v>3</v>
      </c>
      <c r="D63" s="530">
        <v>4</v>
      </c>
      <c r="E63" s="530">
        <v>5</v>
      </c>
      <c r="F63" s="530">
        <v>6</v>
      </c>
      <c r="G63" s="530">
        <v>7</v>
      </c>
      <c r="H63" s="530">
        <v>8</v>
      </c>
      <c r="I63" s="19">
        <v>9</v>
      </c>
      <c r="J63" s="530">
        <v>10</v>
      </c>
      <c r="K63" s="530">
        <v>11</v>
      </c>
      <c r="L63" s="530">
        <v>12</v>
      </c>
      <c r="M63" s="530">
        <v>13</v>
      </c>
      <c r="N63" s="530">
        <v>14</v>
      </c>
      <c r="O63" s="530">
        <v>15</v>
      </c>
    </row>
    <row r="64" spans="1:15" ht="165">
      <c r="A64" s="513">
        <v>1</v>
      </c>
      <c r="B64" s="696" t="s">
        <v>2608</v>
      </c>
      <c r="C64" s="511" t="s">
        <v>1997</v>
      </c>
      <c r="D64" s="511" t="s">
        <v>378</v>
      </c>
      <c r="E64" s="115" t="s">
        <v>2638</v>
      </c>
      <c r="F64" s="513">
        <v>8045.79</v>
      </c>
      <c r="G64" s="2">
        <v>33756</v>
      </c>
      <c r="H64" s="513" t="s">
        <v>193</v>
      </c>
      <c r="I64" s="513">
        <v>3.54</v>
      </c>
      <c r="J64" s="513" t="s">
        <v>1998</v>
      </c>
      <c r="K64" s="513" t="s">
        <v>1999</v>
      </c>
      <c r="L64" s="513"/>
      <c r="M64" s="513"/>
      <c r="N64" s="513"/>
      <c r="O64" s="513"/>
    </row>
    <row r="65" spans="1:15" ht="45">
      <c r="A65" s="513">
        <v>2</v>
      </c>
      <c r="B65" s="696"/>
      <c r="C65" s="511" t="s">
        <v>409</v>
      </c>
      <c r="D65" s="511" t="s">
        <v>410</v>
      </c>
      <c r="E65" s="511" t="s">
        <v>409</v>
      </c>
      <c r="F65" s="513" t="s">
        <v>2000</v>
      </c>
      <c r="G65" s="513" t="s">
        <v>382</v>
      </c>
      <c r="H65" s="513" t="s">
        <v>17</v>
      </c>
      <c r="I65" s="513">
        <v>2.84</v>
      </c>
      <c r="J65" s="513" t="s">
        <v>17</v>
      </c>
      <c r="K65" s="513" t="s">
        <v>17</v>
      </c>
      <c r="L65" s="513" t="s">
        <v>411</v>
      </c>
      <c r="M65" s="513" t="s">
        <v>411</v>
      </c>
      <c r="N65" s="513" t="s">
        <v>411</v>
      </c>
      <c r="O65" s="513" t="s">
        <v>411</v>
      </c>
    </row>
    <row r="66" spans="1:15" ht="45">
      <c r="A66" s="513">
        <v>3</v>
      </c>
      <c r="B66" s="696"/>
      <c r="C66" s="511" t="s">
        <v>412</v>
      </c>
      <c r="D66" s="511" t="s">
        <v>386</v>
      </c>
      <c r="E66" s="515" t="s">
        <v>2001</v>
      </c>
      <c r="F66" s="513">
        <v>1476</v>
      </c>
      <c r="G66" s="513" t="s">
        <v>2002</v>
      </c>
      <c r="H66" s="513" t="s">
        <v>387</v>
      </c>
      <c r="I66" s="513">
        <v>2.37</v>
      </c>
      <c r="J66" s="513" t="s">
        <v>388</v>
      </c>
      <c r="K66" s="513" t="s">
        <v>302</v>
      </c>
      <c r="L66" s="513" t="s">
        <v>35</v>
      </c>
      <c r="M66" s="513" t="s">
        <v>35</v>
      </c>
      <c r="N66" s="513" t="s">
        <v>302</v>
      </c>
      <c r="O66" s="513" t="s">
        <v>389</v>
      </c>
    </row>
    <row r="67" spans="1:15" ht="60">
      <c r="A67" s="513">
        <v>4</v>
      </c>
      <c r="B67" s="696"/>
      <c r="C67" s="515" t="s">
        <v>419</v>
      </c>
      <c r="D67" s="515" t="s">
        <v>420</v>
      </c>
      <c r="E67" s="515" t="s">
        <v>2003</v>
      </c>
      <c r="F67" s="513">
        <v>1310</v>
      </c>
      <c r="G67" s="513" t="s">
        <v>2004</v>
      </c>
      <c r="H67" s="513" t="s">
        <v>35</v>
      </c>
      <c r="I67" s="513" t="s">
        <v>2639</v>
      </c>
      <c r="J67" s="513" t="s">
        <v>35</v>
      </c>
      <c r="K67" s="513" t="s">
        <v>35</v>
      </c>
      <c r="L67" s="513" t="s">
        <v>35</v>
      </c>
      <c r="M67" s="513" t="s">
        <v>35</v>
      </c>
      <c r="N67" s="513" t="s">
        <v>35</v>
      </c>
      <c r="O67" s="513" t="s">
        <v>35</v>
      </c>
    </row>
    <row r="68" spans="1:15" ht="45">
      <c r="A68" s="513">
        <v>5</v>
      </c>
      <c r="B68" s="696"/>
      <c r="C68" s="511" t="s">
        <v>390</v>
      </c>
      <c r="D68" s="511" t="s">
        <v>391</v>
      </c>
      <c r="E68" s="511" t="s">
        <v>2005</v>
      </c>
      <c r="F68" s="513" t="s">
        <v>2006</v>
      </c>
      <c r="G68" s="2">
        <v>38869</v>
      </c>
      <c r="H68" s="513" t="s">
        <v>17</v>
      </c>
      <c r="I68" s="513">
        <v>2.35</v>
      </c>
      <c r="J68" s="513" t="s">
        <v>363</v>
      </c>
      <c r="K68" s="513" t="s">
        <v>35</v>
      </c>
      <c r="L68" s="513">
        <v>1</v>
      </c>
      <c r="M68" s="513">
        <v>1</v>
      </c>
      <c r="N68" s="513" t="s">
        <v>35</v>
      </c>
      <c r="O68" s="513" t="s">
        <v>35</v>
      </c>
    </row>
    <row r="69" spans="1:15" ht="15">
      <c r="A69" s="513"/>
      <c r="B69" s="513"/>
      <c r="C69" s="513"/>
      <c r="D69" s="513"/>
      <c r="E69" s="513"/>
      <c r="F69" s="513"/>
      <c r="G69" s="513"/>
      <c r="H69" s="513"/>
      <c r="I69" s="513"/>
      <c r="J69" s="513"/>
      <c r="K69" s="513"/>
      <c r="L69" s="513"/>
      <c r="M69" s="513"/>
      <c r="N69" s="513"/>
      <c r="O69" s="513"/>
    </row>
    <row r="70" spans="1:15" ht="15">
      <c r="A70" s="513" t="s">
        <v>363</v>
      </c>
      <c r="B70" s="696" t="s">
        <v>2007</v>
      </c>
      <c r="C70" s="696"/>
      <c r="D70" s="696"/>
      <c r="E70" s="696"/>
      <c r="F70" s="696"/>
      <c r="G70" s="696"/>
      <c r="H70" s="696"/>
      <c r="I70" s="696"/>
      <c r="J70" s="696"/>
      <c r="K70" s="696"/>
      <c r="L70" s="696"/>
      <c r="M70" s="696"/>
      <c r="N70" s="696"/>
      <c r="O70" s="696"/>
    </row>
    <row r="71" spans="1:15">
      <c r="A71" s="693"/>
      <c r="B71" s="693"/>
      <c r="C71" s="693"/>
      <c r="D71" s="693"/>
      <c r="E71" s="693"/>
      <c r="F71" s="693"/>
      <c r="G71" s="693"/>
      <c r="H71" s="693"/>
      <c r="I71" s="693"/>
      <c r="J71" s="693"/>
      <c r="K71" s="693"/>
      <c r="L71" s="693"/>
      <c r="M71" s="693"/>
      <c r="N71" s="693"/>
      <c r="O71" s="693"/>
    </row>
    <row r="72" spans="1:15" ht="22.5">
      <c r="A72" s="700" t="s">
        <v>424</v>
      </c>
      <c r="B72" s="700"/>
      <c r="C72" s="700"/>
      <c r="D72" s="700"/>
      <c r="E72" s="700"/>
      <c r="F72" s="700"/>
      <c r="G72" s="700"/>
      <c r="H72" s="700"/>
      <c r="I72" s="700"/>
      <c r="J72" s="700"/>
      <c r="K72" s="700"/>
      <c r="L72" s="700"/>
      <c r="M72" s="700"/>
      <c r="N72" s="700"/>
      <c r="O72" s="700"/>
    </row>
    <row r="73" spans="1:15" ht="20.25">
      <c r="A73" s="559" t="s">
        <v>7710</v>
      </c>
      <c r="B73" s="559"/>
      <c r="C73" s="559"/>
      <c r="D73" s="559"/>
      <c r="E73" s="559"/>
      <c r="F73" s="559"/>
      <c r="G73" s="559"/>
      <c r="H73" s="559"/>
      <c r="I73" s="559"/>
      <c r="J73" s="559"/>
      <c r="K73" s="559"/>
      <c r="L73" s="559"/>
      <c r="M73" s="559"/>
      <c r="N73" s="559"/>
      <c r="O73" s="559"/>
    </row>
    <row r="74" spans="1:15" ht="99.75">
      <c r="A74" s="18" t="s">
        <v>0</v>
      </c>
      <c r="B74" s="18" t="s">
        <v>2631</v>
      </c>
      <c r="C74" s="18" t="s">
        <v>2632</v>
      </c>
      <c r="D74" s="18" t="s">
        <v>1617</v>
      </c>
      <c r="E74" s="18" t="s">
        <v>1618</v>
      </c>
      <c r="F74" s="18" t="s">
        <v>2623</v>
      </c>
      <c r="G74" s="18" t="s">
        <v>1619</v>
      </c>
      <c r="H74" s="19" t="s">
        <v>2624</v>
      </c>
      <c r="I74" s="18" t="s">
        <v>2625</v>
      </c>
      <c r="J74" s="18" t="s">
        <v>1620</v>
      </c>
      <c r="K74" s="19" t="s">
        <v>2633</v>
      </c>
      <c r="L74" s="20" t="s">
        <v>1621</v>
      </c>
      <c r="M74" s="20" t="s">
        <v>1622</v>
      </c>
      <c r="N74" s="19" t="s">
        <v>2634</v>
      </c>
      <c r="O74" s="18" t="s">
        <v>1623</v>
      </c>
    </row>
    <row r="75" spans="1:15">
      <c r="A75" s="530">
        <v>1</v>
      </c>
      <c r="B75" s="530">
        <v>2</v>
      </c>
      <c r="C75" s="530">
        <v>3</v>
      </c>
      <c r="D75" s="530">
        <v>4</v>
      </c>
      <c r="E75" s="530">
        <v>5</v>
      </c>
      <c r="F75" s="530">
        <v>6</v>
      </c>
      <c r="G75" s="530">
        <v>7</v>
      </c>
      <c r="H75" s="530">
        <v>8</v>
      </c>
      <c r="I75" s="19">
        <v>9</v>
      </c>
      <c r="J75" s="530">
        <v>10</v>
      </c>
      <c r="K75" s="530">
        <v>11</v>
      </c>
      <c r="L75" s="530">
        <v>12</v>
      </c>
      <c r="M75" s="530">
        <v>13</v>
      </c>
      <c r="N75" s="530">
        <v>14</v>
      </c>
      <c r="O75" s="530">
        <v>15</v>
      </c>
    </row>
    <row r="76" spans="1:15" ht="229.5" customHeight="1">
      <c r="A76" s="514">
        <v>1</v>
      </c>
      <c r="B76" s="706" t="s">
        <v>2607</v>
      </c>
      <c r="C76" s="515" t="s">
        <v>466</v>
      </c>
      <c r="D76" s="515" t="s">
        <v>426</v>
      </c>
      <c r="E76" s="515" t="s">
        <v>2640</v>
      </c>
      <c r="F76" s="514">
        <f>5841+4880</f>
        <v>10721</v>
      </c>
      <c r="G76" s="307">
        <v>1963</v>
      </c>
      <c r="H76" s="307" t="s">
        <v>17</v>
      </c>
      <c r="I76" s="38">
        <f>7.88+3.89</f>
        <v>11.77</v>
      </c>
      <c r="J76" s="27">
        <v>185.01</v>
      </c>
      <c r="K76" s="39"/>
      <c r="L76" s="27">
        <v>1</v>
      </c>
      <c r="M76" s="27" t="s">
        <v>302</v>
      </c>
      <c r="N76" s="539" t="s">
        <v>2008</v>
      </c>
      <c r="O76" s="539" t="s">
        <v>2484</v>
      </c>
    </row>
    <row r="77" spans="1:15" ht="105">
      <c r="A77" s="514">
        <v>2</v>
      </c>
      <c r="B77" s="706"/>
      <c r="C77" s="28" t="s">
        <v>469</v>
      </c>
      <c r="D77" s="28" t="s">
        <v>470</v>
      </c>
      <c r="E77" s="28" t="s">
        <v>2485</v>
      </c>
      <c r="F77" s="514">
        <v>9665</v>
      </c>
      <c r="G77" s="514" t="s">
        <v>472</v>
      </c>
      <c r="H77" s="514" t="s">
        <v>472</v>
      </c>
      <c r="I77" s="539" t="s">
        <v>2009</v>
      </c>
      <c r="J77" s="546" t="s">
        <v>2010</v>
      </c>
      <c r="K77" s="514" t="s">
        <v>302</v>
      </c>
      <c r="L77" s="514">
        <v>2</v>
      </c>
      <c r="M77" s="514" t="s">
        <v>17</v>
      </c>
      <c r="N77" s="514" t="s">
        <v>302</v>
      </c>
      <c r="O77" s="539" t="s">
        <v>2487</v>
      </c>
    </row>
    <row r="78" spans="1:15" ht="150">
      <c r="A78" s="514">
        <v>3</v>
      </c>
      <c r="B78" s="706"/>
      <c r="C78" s="43" t="s">
        <v>481</v>
      </c>
      <c r="D78" s="515" t="s">
        <v>2011</v>
      </c>
      <c r="E78" s="515" t="s">
        <v>2486</v>
      </c>
      <c r="F78" s="514">
        <v>7520.59</v>
      </c>
      <c r="G78" s="715" t="s">
        <v>2012</v>
      </c>
      <c r="H78" s="715"/>
      <c r="I78" s="715"/>
      <c r="J78" s="715"/>
      <c r="K78" s="715"/>
      <c r="L78" s="715"/>
      <c r="M78" s="715"/>
      <c r="N78" s="715"/>
      <c r="O78" s="715"/>
    </row>
    <row r="79" spans="1:15" ht="60">
      <c r="A79" s="514">
        <v>4</v>
      </c>
      <c r="B79" s="706"/>
      <c r="C79" s="43" t="s">
        <v>481</v>
      </c>
      <c r="D79" s="515" t="s">
        <v>2013</v>
      </c>
      <c r="E79" s="515" t="s">
        <v>2488</v>
      </c>
      <c r="F79" s="514">
        <v>2739.52</v>
      </c>
      <c r="G79" s="715"/>
      <c r="H79" s="715"/>
      <c r="I79" s="715"/>
      <c r="J79" s="715"/>
      <c r="K79" s="715"/>
      <c r="L79" s="715"/>
      <c r="M79" s="715"/>
      <c r="N79" s="715"/>
      <c r="O79" s="715"/>
    </row>
    <row r="80" spans="1:15" ht="409.5">
      <c r="A80" s="514">
        <v>5</v>
      </c>
      <c r="B80" s="706"/>
      <c r="C80" s="706" t="s">
        <v>486</v>
      </c>
      <c r="D80" s="515" t="s">
        <v>2014</v>
      </c>
      <c r="E80" s="515" t="s">
        <v>2641</v>
      </c>
      <c r="F80" s="539" t="s">
        <v>2015</v>
      </c>
      <c r="G80" s="539" t="s">
        <v>489</v>
      </c>
      <c r="H80" s="514" t="s">
        <v>214</v>
      </c>
      <c r="I80" s="539" t="s">
        <v>2016</v>
      </c>
      <c r="J80" s="539" t="s">
        <v>2017</v>
      </c>
      <c r="K80" s="539" t="s">
        <v>2018</v>
      </c>
      <c r="L80" s="514">
        <v>5</v>
      </c>
      <c r="M80" s="539">
        <v>2</v>
      </c>
      <c r="N80" s="514" t="s">
        <v>17</v>
      </c>
      <c r="O80" s="307" t="s">
        <v>2019</v>
      </c>
    </row>
    <row r="81" spans="1:15" ht="165">
      <c r="A81" s="514">
        <v>6</v>
      </c>
      <c r="B81" s="706"/>
      <c r="C81" s="706"/>
      <c r="D81" s="515" t="s">
        <v>2020</v>
      </c>
      <c r="E81" s="515" t="s">
        <v>2021</v>
      </c>
      <c r="F81" s="539" t="s">
        <v>494</v>
      </c>
      <c r="G81" s="539">
        <v>1999</v>
      </c>
      <c r="H81" s="514" t="s">
        <v>214</v>
      </c>
      <c r="I81" s="539" t="s">
        <v>2022</v>
      </c>
      <c r="J81" s="539" t="s">
        <v>2023</v>
      </c>
      <c r="K81" s="539" t="s">
        <v>2018</v>
      </c>
      <c r="L81" s="514">
        <v>6</v>
      </c>
      <c r="M81" s="514">
        <v>3</v>
      </c>
      <c r="N81" s="539" t="s">
        <v>17</v>
      </c>
      <c r="O81" s="539" t="s">
        <v>2024</v>
      </c>
    </row>
    <row r="82" spans="1:15" ht="30">
      <c r="A82" s="514">
        <v>7</v>
      </c>
      <c r="B82" s="706"/>
      <c r="C82" s="43" t="s">
        <v>450</v>
      </c>
      <c r="D82" s="515" t="s">
        <v>2025</v>
      </c>
      <c r="E82" s="43" t="s">
        <v>2026</v>
      </c>
      <c r="F82" s="514">
        <v>452</v>
      </c>
      <c r="G82" s="307" t="s">
        <v>499</v>
      </c>
      <c r="H82" s="307" t="s">
        <v>499</v>
      </c>
      <c r="I82" s="38" t="s">
        <v>454</v>
      </c>
      <c r="J82" s="27"/>
      <c r="K82" s="38" t="s">
        <v>454</v>
      </c>
      <c r="L82" s="514">
        <v>7</v>
      </c>
      <c r="M82" s="27"/>
      <c r="N82" s="38" t="s">
        <v>454</v>
      </c>
      <c r="O82" s="38" t="s">
        <v>454</v>
      </c>
    </row>
    <row r="83" spans="1:15" ht="30">
      <c r="A83" s="514">
        <v>8</v>
      </c>
      <c r="B83" s="706"/>
      <c r="C83" s="43" t="s">
        <v>450</v>
      </c>
      <c r="D83" s="515" t="s">
        <v>2027</v>
      </c>
      <c r="E83" s="43" t="s">
        <v>2028</v>
      </c>
      <c r="F83" s="514">
        <v>980</v>
      </c>
      <c r="G83" s="539" t="s">
        <v>2029</v>
      </c>
      <c r="H83" s="539" t="s">
        <v>2030</v>
      </c>
      <c r="I83" s="514">
        <v>8.5</v>
      </c>
      <c r="J83" s="27"/>
      <c r="K83" s="38" t="s">
        <v>454</v>
      </c>
      <c r="L83" s="514">
        <v>8</v>
      </c>
      <c r="M83" s="27"/>
      <c r="N83" s="38" t="s">
        <v>454</v>
      </c>
      <c r="O83" s="38" t="s">
        <v>454</v>
      </c>
    </row>
    <row r="84" spans="1:15" ht="90">
      <c r="A84" s="514">
        <v>9</v>
      </c>
      <c r="B84" s="706"/>
      <c r="C84" s="706" t="s">
        <v>508</v>
      </c>
      <c r="D84" s="118" t="s">
        <v>509</v>
      </c>
      <c r="E84" s="515" t="s">
        <v>2031</v>
      </c>
      <c r="F84" s="36">
        <v>5273</v>
      </c>
      <c r="G84" s="539" t="s">
        <v>515</v>
      </c>
      <c r="H84" s="539" t="s">
        <v>515</v>
      </c>
      <c r="I84" s="36" t="s">
        <v>510</v>
      </c>
      <c r="J84" s="539" t="s">
        <v>515</v>
      </c>
      <c r="K84" s="539" t="s">
        <v>302</v>
      </c>
      <c r="L84" s="539">
        <v>10</v>
      </c>
      <c r="M84" s="539" t="s">
        <v>518</v>
      </c>
      <c r="N84" s="539" t="s">
        <v>515</v>
      </c>
      <c r="O84" s="539"/>
    </row>
    <row r="85" spans="1:15" ht="105">
      <c r="A85" s="514">
        <v>10</v>
      </c>
      <c r="B85" s="706"/>
      <c r="C85" s="706"/>
      <c r="D85" s="73" t="s">
        <v>512</v>
      </c>
      <c r="E85" s="515" t="s">
        <v>2032</v>
      </c>
      <c r="F85" s="36">
        <v>2289</v>
      </c>
      <c r="G85" s="539" t="s">
        <v>515</v>
      </c>
      <c r="H85" s="539" t="s">
        <v>515</v>
      </c>
      <c r="I85" s="36" t="s">
        <v>513</v>
      </c>
      <c r="J85" s="539" t="s">
        <v>2033</v>
      </c>
      <c r="K85" s="539" t="s">
        <v>302</v>
      </c>
      <c r="L85" s="539">
        <v>11</v>
      </c>
      <c r="M85" s="539" t="s">
        <v>515</v>
      </c>
      <c r="N85" s="539" t="s">
        <v>515</v>
      </c>
      <c r="O85" s="539"/>
    </row>
    <row r="86" spans="1:15" ht="90">
      <c r="A86" s="514">
        <v>11</v>
      </c>
      <c r="B86" s="706"/>
      <c r="C86" s="706"/>
      <c r="D86" s="73" t="s">
        <v>514</v>
      </c>
      <c r="E86" s="515" t="s">
        <v>2032</v>
      </c>
      <c r="F86" s="36">
        <v>955</v>
      </c>
      <c r="G86" s="539" t="s">
        <v>515</v>
      </c>
      <c r="H86" s="539" t="s">
        <v>515</v>
      </c>
      <c r="I86" s="36">
        <v>3.0000000000000001E-3</v>
      </c>
      <c r="J86" s="539"/>
      <c r="K86" s="539" t="s">
        <v>302</v>
      </c>
      <c r="L86" s="539">
        <v>12</v>
      </c>
      <c r="M86" s="539">
        <v>6</v>
      </c>
      <c r="N86" s="539" t="s">
        <v>515</v>
      </c>
      <c r="O86" s="539"/>
    </row>
    <row r="87" spans="1:15" ht="90">
      <c r="A87" s="514">
        <v>12</v>
      </c>
      <c r="B87" s="706"/>
      <c r="C87" s="706"/>
      <c r="D87" s="73" t="s">
        <v>516</v>
      </c>
      <c r="E87" s="515" t="s">
        <v>2034</v>
      </c>
      <c r="F87" s="36">
        <v>1086</v>
      </c>
      <c r="G87" s="539">
        <v>1985</v>
      </c>
      <c r="H87" s="539" t="s">
        <v>515</v>
      </c>
      <c r="I87" s="36" t="s">
        <v>517</v>
      </c>
      <c r="J87" s="539" t="s">
        <v>515</v>
      </c>
      <c r="K87" s="539" t="s">
        <v>302</v>
      </c>
      <c r="L87" s="539">
        <v>13</v>
      </c>
      <c r="M87" s="539" t="s">
        <v>515</v>
      </c>
      <c r="N87" s="539" t="s">
        <v>515</v>
      </c>
      <c r="O87" s="539"/>
    </row>
    <row r="88" spans="1:15" ht="90">
      <c r="A88" s="514">
        <v>13</v>
      </c>
      <c r="B88" s="706"/>
      <c r="C88" s="706"/>
      <c r="D88" s="73" t="s">
        <v>519</v>
      </c>
      <c r="E88" s="515" t="s">
        <v>2035</v>
      </c>
      <c r="F88" s="36">
        <v>295</v>
      </c>
      <c r="G88" s="539">
        <v>2003</v>
      </c>
      <c r="H88" s="539" t="s">
        <v>515</v>
      </c>
      <c r="I88" s="36">
        <v>0.30599999999999999</v>
      </c>
      <c r="J88" s="539" t="s">
        <v>515</v>
      </c>
      <c r="K88" s="539" t="s">
        <v>302</v>
      </c>
      <c r="L88" s="539">
        <v>14</v>
      </c>
      <c r="M88" s="539" t="s">
        <v>515</v>
      </c>
      <c r="N88" s="539" t="s">
        <v>515</v>
      </c>
      <c r="O88" s="539"/>
    </row>
    <row r="89" spans="1:15" ht="75">
      <c r="A89" s="514">
        <v>14</v>
      </c>
      <c r="B89" s="706"/>
      <c r="C89" s="706"/>
      <c r="D89" s="73" t="s">
        <v>520</v>
      </c>
      <c r="E89" s="515" t="s">
        <v>2035</v>
      </c>
      <c r="F89" s="36">
        <v>500</v>
      </c>
      <c r="G89" s="539">
        <v>1993</v>
      </c>
      <c r="H89" s="539" t="s">
        <v>515</v>
      </c>
      <c r="I89" s="36">
        <v>0.33800000000000002</v>
      </c>
      <c r="J89" s="539" t="s">
        <v>515</v>
      </c>
      <c r="K89" s="539" t="s">
        <v>302</v>
      </c>
      <c r="L89" s="539">
        <v>15</v>
      </c>
      <c r="M89" s="539" t="s">
        <v>515</v>
      </c>
      <c r="N89" s="539" t="s">
        <v>515</v>
      </c>
      <c r="O89" s="539"/>
    </row>
    <row r="90" spans="1:15" ht="45">
      <c r="A90" s="514">
        <v>15</v>
      </c>
      <c r="B90" s="706"/>
      <c r="C90" s="706"/>
      <c r="D90" s="73" t="s">
        <v>521</v>
      </c>
      <c r="E90" s="515" t="s">
        <v>2036</v>
      </c>
      <c r="F90" s="36">
        <v>2296</v>
      </c>
      <c r="G90" s="539">
        <v>1992</v>
      </c>
      <c r="H90" s="539" t="s">
        <v>515</v>
      </c>
      <c r="I90" s="36">
        <v>0.75</v>
      </c>
      <c r="J90" s="539">
        <v>5.1397000000000004</v>
      </c>
      <c r="K90" s="539" t="s">
        <v>302</v>
      </c>
      <c r="L90" s="539">
        <v>16</v>
      </c>
      <c r="M90" s="539" t="s">
        <v>515</v>
      </c>
      <c r="N90" s="539" t="s">
        <v>515</v>
      </c>
      <c r="O90" s="539"/>
    </row>
    <row r="91" spans="1:15" ht="45">
      <c r="A91" s="514">
        <v>16</v>
      </c>
      <c r="B91" s="706"/>
      <c r="C91" s="706"/>
      <c r="D91" s="73" t="s">
        <v>522</v>
      </c>
      <c r="E91" s="515" t="s">
        <v>2035</v>
      </c>
      <c r="F91" s="36">
        <v>352</v>
      </c>
      <c r="G91" s="539" t="s">
        <v>2037</v>
      </c>
      <c r="H91" s="539" t="s">
        <v>515</v>
      </c>
      <c r="I91" s="36">
        <v>0.28000000000000003</v>
      </c>
      <c r="J91" s="539">
        <v>0.42</v>
      </c>
      <c r="K91" s="539" t="s">
        <v>302</v>
      </c>
      <c r="L91" s="539">
        <v>17</v>
      </c>
      <c r="M91" s="539">
        <v>7</v>
      </c>
      <c r="N91" s="539" t="s">
        <v>515</v>
      </c>
      <c r="O91" s="539"/>
    </row>
    <row r="92" spans="1:15" ht="30">
      <c r="A92" s="514">
        <v>17</v>
      </c>
      <c r="B92" s="706"/>
      <c r="C92" s="706"/>
      <c r="D92" s="73" t="s">
        <v>524</v>
      </c>
      <c r="E92" s="515" t="s">
        <v>2032</v>
      </c>
      <c r="F92" s="36">
        <v>927</v>
      </c>
      <c r="G92" s="539">
        <v>927</v>
      </c>
      <c r="H92" s="539" t="s">
        <v>515</v>
      </c>
      <c r="I92" s="36">
        <v>0.56820000000000004</v>
      </c>
      <c r="J92" s="539"/>
      <c r="K92" s="539" t="s">
        <v>302</v>
      </c>
      <c r="L92" s="539">
        <v>18</v>
      </c>
      <c r="M92" s="539">
        <v>8</v>
      </c>
      <c r="N92" s="539" t="s">
        <v>515</v>
      </c>
      <c r="O92" s="539"/>
    </row>
    <row r="93" spans="1:15" ht="75">
      <c r="A93" s="514">
        <v>18</v>
      </c>
      <c r="B93" s="706"/>
      <c r="C93" s="706"/>
      <c r="D93" s="73" t="s">
        <v>526</v>
      </c>
      <c r="E93" s="515" t="s">
        <v>2038</v>
      </c>
      <c r="F93" s="36">
        <v>752</v>
      </c>
      <c r="G93" s="539" t="s">
        <v>527</v>
      </c>
      <c r="H93" s="539" t="s">
        <v>511</v>
      </c>
      <c r="I93" s="36">
        <v>0.75</v>
      </c>
      <c r="J93" s="539"/>
      <c r="K93" s="539" t="s">
        <v>302</v>
      </c>
      <c r="L93" s="539">
        <v>19</v>
      </c>
      <c r="M93" s="539">
        <v>4</v>
      </c>
      <c r="N93" s="539" t="s">
        <v>515</v>
      </c>
      <c r="O93" s="539"/>
    </row>
    <row r="94" spans="1:15" ht="75">
      <c r="A94" s="514">
        <v>19</v>
      </c>
      <c r="B94" s="706"/>
      <c r="C94" s="706"/>
      <c r="D94" s="73" t="s">
        <v>528</v>
      </c>
      <c r="E94" s="515" t="s">
        <v>2034</v>
      </c>
      <c r="F94" s="36">
        <v>2306</v>
      </c>
      <c r="G94" s="37">
        <v>37288</v>
      </c>
      <c r="H94" s="539" t="s">
        <v>515</v>
      </c>
      <c r="I94" s="36">
        <v>4.74</v>
      </c>
      <c r="J94" s="539">
        <v>7.79</v>
      </c>
      <c r="K94" s="539" t="s">
        <v>302</v>
      </c>
      <c r="L94" s="539">
        <v>20</v>
      </c>
      <c r="M94" s="539">
        <v>5</v>
      </c>
      <c r="N94" s="539" t="s">
        <v>515</v>
      </c>
      <c r="O94" s="539"/>
    </row>
    <row r="95" spans="1:15" ht="30">
      <c r="A95" s="514">
        <v>20</v>
      </c>
      <c r="B95" s="706"/>
      <c r="C95" s="696" t="s">
        <v>461</v>
      </c>
      <c r="D95" s="511" t="s">
        <v>532</v>
      </c>
      <c r="E95" s="511" t="s">
        <v>2039</v>
      </c>
      <c r="F95" s="513" t="s">
        <v>2040</v>
      </c>
      <c r="G95" s="513">
        <v>1999</v>
      </c>
      <c r="H95" s="513"/>
      <c r="I95" s="513" t="s">
        <v>2041</v>
      </c>
      <c r="J95" s="513"/>
      <c r="K95" s="513" t="s">
        <v>17</v>
      </c>
      <c r="L95" s="513">
        <v>1</v>
      </c>
      <c r="M95" s="513" t="s">
        <v>17</v>
      </c>
      <c r="N95" s="513" t="s">
        <v>2042</v>
      </c>
      <c r="O95" s="513"/>
    </row>
    <row r="96" spans="1:15" ht="60">
      <c r="A96" s="514">
        <v>21</v>
      </c>
      <c r="B96" s="706"/>
      <c r="C96" s="696"/>
      <c r="D96" s="511" t="s">
        <v>536</v>
      </c>
      <c r="E96" s="511" t="s">
        <v>2043</v>
      </c>
      <c r="F96" s="513" t="s">
        <v>2044</v>
      </c>
      <c r="G96" s="513">
        <v>1999</v>
      </c>
      <c r="H96" s="513" t="s">
        <v>17</v>
      </c>
      <c r="I96" s="513"/>
      <c r="J96" s="513"/>
      <c r="K96" s="513"/>
      <c r="L96" s="513">
        <v>22</v>
      </c>
      <c r="M96" s="513">
        <v>11</v>
      </c>
      <c r="N96" s="513"/>
      <c r="O96" s="513"/>
    </row>
    <row r="97" spans="1:15" ht="30">
      <c r="A97" s="514">
        <v>22</v>
      </c>
      <c r="B97" s="706"/>
      <c r="C97" s="696"/>
      <c r="D97" s="511" t="s">
        <v>2045</v>
      </c>
      <c r="E97" s="511" t="s">
        <v>2046</v>
      </c>
      <c r="F97" s="513" t="s">
        <v>2047</v>
      </c>
      <c r="G97" s="513">
        <v>1989</v>
      </c>
      <c r="H97" s="513" t="s">
        <v>454</v>
      </c>
      <c r="I97" s="513">
        <v>3.36</v>
      </c>
      <c r="J97" s="513"/>
      <c r="K97" s="513"/>
      <c r="L97" s="513">
        <v>23</v>
      </c>
      <c r="M97" s="513">
        <v>10</v>
      </c>
      <c r="N97" s="513" t="s">
        <v>454</v>
      </c>
      <c r="O97" s="513"/>
    </row>
    <row r="98" spans="1:15" s="137" customFormat="1" ht="45">
      <c r="A98" s="514">
        <v>23</v>
      </c>
      <c r="B98" s="706"/>
      <c r="C98" s="696"/>
      <c r="D98" s="511" t="s">
        <v>584</v>
      </c>
      <c r="E98" s="511" t="s">
        <v>2048</v>
      </c>
      <c r="F98" s="513">
        <v>1864.5</v>
      </c>
      <c r="G98" s="513">
        <v>1995</v>
      </c>
      <c r="H98" s="513" t="s">
        <v>302</v>
      </c>
      <c r="I98" s="513">
        <f>3600000/10000000</f>
        <v>0.36</v>
      </c>
      <c r="J98" s="513"/>
      <c r="K98" s="513"/>
      <c r="L98" s="513">
        <v>24</v>
      </c>
      <c r="M98" s="513"/>
      <c r="N98" s="513"/>
      <c r="O98" s="513"/>
    </row>
    <row r="99" spans="1:15" ht="180">
      <c r="A99" s="514">
        <v>24</v>
      </c>
      <c r="B99" s="706"/>
      <c r="C99" s="519" t="s">
        <v>614</v>
      </c>
      <c r="D99" s="519" t="s">
        <v>2049</v>
      </c>
      <c r="E99" s="519" t="s">
        <v>2050</v>
      </c>
      <c r="F99" s="544">
        <v>2796.5250000000001</v>
      </c>
      <c r="G99" s="544" t="s">
        <v>17</v>
      </c>
      <c r="H99" s="544" t="s">
        <v>2051</v>
      </c>
      <c r="I99" s="544">
        <v>4.95</v>
      </c>
      <c r="J99" s="544" t="s">
        <v>2052</v>
      </c>
      <c r="K99" s="544" t="s">
        <v>2053</v>
      </c>
      <c r="L99" s="517" t="s">
        <v>748</v>
      </c>
      <c r="M99" s="517" t="s">
        <v>748</v>
      </c>
      <c r="N99" s="517" t="s">
        <v>2054</v>
      </c>
      <c r="O99" s="517" t="s">
        <v>87</v>
      </c>
    </row>
    <row r="100" spans="1:15" ht="105">
      <c r="A100" s="514">
        <v>25</v>
      </c>
      <c r="B100" s="706"/>
      <c r="C100" s="43" t="s">
        <v>2055</v>
      </c>
      <c r="D100" s="511" t="s">
        <v>2056</v>
      </c>
      <c r="E100" s="511" t="s">
        <v>2057</v>
      </c>
      <c r="F100" s="513" t="s">
        <v>2058</v>
      </c>
      <c r="G100" s="512">
        <v>1984</v>
      </c>
      <c r="H100" s="513" t="s">
        <v>214</v>
      </c>
      <c r="I100" s="513" t="s">
        <v>2059</v>
      </c>
      <c r="J100" s="513" t="s">
        <v>2060</v>
      </c>
      <c r="K100" s="513" t="s">
        <v>2061</v>
      </c>
      <c r="L100" s="512" t="s">
        <v>17</v>
      </c>
      <c r="M100" s="512" t="s">
        <v>17</v>
      </c>
      <c r="N100" s="513" t="s">
        <v>2062</v>
      </c>
      <c r="O100" s="512"/>
    </row>
    <row r="101" spans="1:15" ht="105">
      <c r="A101" s="514">
        <v>26</v>
      </c>
      <c r="B101" s="706"/>
      <c r="C101" s="43" t="s">
        <v>2055</v>
      </c>
      <c r="D101" s="511" t="s">
        <v>2056</v>
      </c>
      <c r="E101" s="511" t="s">
        <v>2489</v>
      </c>
      <c r="F101" s="513" t="s">
        <v>2063</v>
      </c>
      <c r="G101" s="512">
        <v>1992</v>
      </c>
      <c r="H101" s="513" t="s">
        <v>214</v>
      </c>
      <c r="I101" s="513" t="s">
        <v>2064</v>
      </c>
      <c r="J101" s="513" t="s">
        <v>2060</v>
      </c>
      <c r="K101" s="513" t="s">
        <v>2061</v>
      </c>
      <c r="L101" s="512" t="s">
        <v>17</v>
      </c>
      <c r="M101" s="512" t="s">
        <v>17</v>
      </c>
      <c r="N101" s="513" t="s">
        <v>2062</v>
      </c>
      <c r="O101" s="513" t="s">
        <v>2065</v>
      </c>
    </row>
    <row r="102" spans="1:15" ht="225">
      <c r="A102" s="514">
        <v>27</v>
      </c>
      <c r="B102" s="706"/>
      <c r="C102" s="511" t="s">
        <v>614</v>
      </c>
      <c r="D102" s="511" t="s">
        <v>615</v>
      </c>
      <c r="E102" s="511" t="s">
        <v>2642</v>
      </c>
      <c r="F102" s="513" t="s">
        <v>2066</v>
      </c>
      <c r="G102" s="513" t="s">
        <v>2067</v>
      </c>
      <c r="H102" s="513" t="s">
        <v>620</v>
      </c>
      <c r="I102" s="513">
        <v>0.4</v>
      </c>
      <c r="J102" s="513">
        <v>0.3</v>
      </c>
      <c r="K102" s="513" t="s">
        <v>620</v>
      </c>
      <c r="L102" s="513" t="s">
        <v>87</v>
      </c>
      <c r="M102" s="513">
        <v>12</v>
      </c>
      <c r="N102" s="513" t="s">
        <v>2068</v>
      </c>
      <c r="O102" s="513" t="s">
        <v>620</v>
      </c>
    </row>
    <row r="103" spans="1:15">
      <c r="A103" s="695"/>
      <c r="B103" s="695"/>
      <c r="C103" s="695"/>
      <c r="D103" s="695"/>
      <c r="E103" s="695"/>
      <c r="F103" s="695"/>
      <c r="G103" s="695"/>
      <c r="H103" s="695"/>
      <c r="I103" s="695"/>
      <c r="J103" s="695"/>
      <c r="K103" s="695"/>
      <c r="L103" s="695"/>
      <c r="M103" s="695"/>
      <c r="N103" s="695"/>
      <c r="O103" s="695"/>
    </row>
    <row r="104" spans="1:15" ht="22.5">
      <c r="A104" s="700" t="s">
        <v>638</v>
      </c>
      <c r="B104" s="700"/>
      <c r="C104" s="700"/>
      <c r="D104" s="700"/>
      <c r="E104" s="700"/>
      <c r="F104" s="700"/>
      <c r="G104" s="700"/>
      <c r="H104" s="700"/>
      <c r="I104" s="700"/>
      <c r="J104" s="700"/>
      <c r="K104" s="700"/>
      <c r="L104" s="700"/>
      <c r="M104" s="700"/>
      <c r="N104" s="700"/>
      <c r="O104" s="700"/>
    </row>
    <row r="105" spans="1:15" ht="20.25">
      <c r="A105" s="559" t="s">
        <v>7710</v>
      </c>
      <c r="B105" s="559"/>
      <c r="C105" s="559"/>
      <c r="D105" s="559"/>
      <c r="E105" s="559"/>
      <c r="F105" s="559"/>
      <c r="G105" s="559"/>
      <c r="H105" s="559"/>
      <c r="I105" s="559"/>
      <c r="J105" s="559"/>
      <c r="K105" s="559"/>
      <c r="L105" s="559"/>
      <c r="M105" s="559"/>
      <c r="N105" s="559"/>
      <c r="O105" s="559"/>
    </row>
    <row r="106" spans="1:15" ht="99.75">
      <c r="A106" s="18" t="s">
        <v>0</v>
      </c>
      <c r="B106" s="18" t="s">
        <v>2631</v>
      </c>
      <c r="C106" s="18" t="s">
        <v>2632</v>
      </c>
      <c r="D106" s="18" t="s">
        <v>1617</v>
      </c>
      <c r="E106" s="18" t="s">
        <v>1618</v>
      </c>
      <c r="F106" s="18" t="s">
        <v>2623</v>
      </c>
      <c r="G106" s="18" t="s">
        <v>1619</v>
      </c>
      <c r="H106" s="19" t="s">
        <v>2624</v>
      </c>
      <c r="I106" s="18" t="s">
        <v>2625</v>
      </c>
      <c r="J106" s="18" t="s">
        <v>1620</v>
      </c>
      <c r="K106" s="19" t="s">
        <v>2633</v>
      </c>
      <c r="L106" s="20" t="s">
        <v>1621</v>
      </c>
      <c r="M106" s="20" t="s">
        <v>1622</v>
      </c>
      <c r="N106" s="19" t="s">
        <v>2634</v>
      </c>
      <c r="O106" s="18" t="s">
        <v>1623</v>
      </c>
    </row>
    <row r="107" spans="1:15">
      <c r="A107" s="530">
        <v>1</v>
      </c>
      <c r="B107" s="530">
        <v>2</v>
      </c>
      <c r="C107" s="530">
        <v>3</v>
      </c>
      <c r="D107" s="530">
        <v>4</v>
      </c>
      <c r="E107" s="530">
        <v>5</v>
      </c>
      <c r="F107" s="530">
        <v>6</v>
      </c>
      <c r="G107" s="530">
        <v>7</v>
      </c>
      <c r="H107" s="530">
        <v>8</v>
      </c>
      <c r="I107" s="19">
        <v>9</v>
      </c>
      <c r="J107" s="530">
        <v>10</v>
      </c>
      <c r="K107" s="530">
        <v>11</v>
      </c>
      <c r="L107" s="530">
        <v>12</v>
      </c>
      <c r="M107" s="530">
        <v>13</v>
      </c>
      <c r="N107" s="530">
        <v>14</v>
      </c>
      <c r="O107" s="530">
        <v>15</v>
      </c>
    </row>
    <row r="108" spans="1:15" ht="120">
      <c r="A108" s="512">
        <v>1</v>
      </c>
      <c r="B108" s="703" t="s">
        <v>621</v>
      </c>
      <c r="C108" s="523" t="s">
        <v>622</v>
      </c>
      <c r="D108" s="30" t="s">
        <v>2070</v>
      </c>
      <c r="E108" s="30" t="s">
        <v>2071</v>
      </c>
      <c r="F108" s="517">
        <v>17104</v>
      </c>
      <c r="G108" s="517">
        <v>1952</v>
      </c>
      <c r="H108" s="517" t="s">
        <v>17</v>
      </c>
      <c r="I108" s="517" t="s">
        <v>17</v>
      </c>
      <c r="J108" s="517" t="s">
        <v>17</v>
      </c>
      <c r="K108" s="517" t="s">
        <v>17</v>
      </c>
      <c r="L108" s="517" t="s">
        <v>17</v>
      </c>
      <c r="M108" s="517" t="s">
        <v>17</v>
      </c>
      <c r="N108" s="517" t="s">
        <v>17</v>
      </c>
      <c r="O108" s="517" t="s">
        <v>302</v>
      </c>
    </row>
    <row r="109" spans="1:15" ht="15">
      <c r="A109" s="521">
        <v>2</v>
      </c>
      <c r="B109" s="703"/>
      <c r="C109" s="33" t="s">
        <v>627</v>
      </c>
      <c r="D109" s="704" t="s">
        <v>87</v>
      </c>
      <c r="E109" s="704"/>
      <c r="F109" s="704"/>
      <c r="G109" s="704"/>
      <c r="H109" s="704"/>
      <c r="I109" s="704"/>
      <c r="J109" s="704"/>
      <c r="K109" s="704"/>
      <c r="L109" s="704"/>
      <c r="M109" s="704"/>
      <c r="N109" s="704"/>
      <c r="O109" s="704"/>
    </row>
    <row r="110" spans="1:15" ht="15" customHeight="1">
      <c r="A110" s="521">
        <v>3</v>
      </c>
      <c r="B110" s="703"/>
      <c r="C110" s="33" t="s">
        <v>628</v>
      </c>
      <c r="D110" s="704" t="s">
        <v>87</v>
      </c>
      <c r="E110" s="704"/>
      <c r="F110" s="704"/>
      <c r="G110" s="704"/>
      <c r="H110" s="704"/>
      <c r="I110" s="704"/>
      <c r="J110" s="704"/>
      <c r="K110" s="704"/>
      <c r="L110" s="704"/>
      <c r="M110" s="704"/>
      <c r="N110" s="704"/>
      <c r="O110" s="704"/>
    </row>
    <row r="111" spans="1:15" ht="255">
      <c r="A111" s="521">
        <v>4</v>
      </c>
      <c r="B111" s="703"/>
      <c r="C111" s="523" t="s">
        <v>629</v>
      </c>
      <c r="D111" s="34" t="s">
        <v>634</v>
      </c>
      <c r="E111" s="519" t="s">
        <v>2072</v>
      </c>
      <c r="F111" s="307">
        <v>744</v>
      </c>
      <c r="G111" s="517" t="s">
        <v>7024</v>
      </c>
      <c r="H111" s="517" t="s">
        <v>17</v>
      </c>
      <c r="I111" s="544" t="s">
        <v>2073</v>
      </c>
      <c r="J111" s="544" t="s">
        <v>635</v>
      </c>
      <c r="K111" s="544" t="s">
        <v>2074</v>
      </c>
      <c r="L111" s="517">
        <v>1</v>
      </c>
      <c r="M111" s="517" t="s">
        <v>17</v>
      </c>
      <c r="N111" s="111" t="s">
        <v>2075</v>
      </c>
      <c r="O111" s="532" t="s">
        <v>35</v>
      </c>
    </row>
    <row r="112" spans="1:15" ht="15">
      <c r="A112" s="521">
        <v>5</v>
      </c>
      <c r="B112" s="703"/>
      <c r="C112" s="33" t="s">
        <v>630</v>
      </c>
      <c r="D112" s="704" t="s">
        <v>87</v>
      </c>
      <c r="E112" s="704"/>
      <c r="F112" s="704"/>
      <c r="G112" s="704"/>
      <c r="H112" s="704"/>
      <c r="I112" s="704"/>
      <c r="J112" s="704"/>
      <c r="K112" s="704"/>
      <c r="L112" s="704"/>
      <c r="M112" s="704"/>
      <c r="N112" s="704"/>
      <c r="O112" s="704"/>
    </row>
    <row r="113" spans="1:16" ht="15">
      <c r="A113" s="521">
        <v>6</v>
      </c>
      <c r="B113" s="703"/>
      <c r="C113" s="33" t="s">
        <v>631</v>
      </c>
      <c r="D113" s="712" t="s">
        <v>87</v>
      </c>
      <c r="E113" s="712"/>
      <c r="F113" s="712"/>
      <c r="G113" s="712"/>
      <c r="H113" s="712"/>
      <c r="I113" s="712"/>
      <c r="J113" s="712"/>
      <c r="K113" s="712"/>
      <c r="L113" s="712"/>
      <c r="M113" s="712"/>
      <c r="N113" s="712"/>
      <c r="O113" s="712"/>
    </row>
    <row r="114" spans="1:16" ht="15">
      <c r="A114" s="521">
        <v>7</v>
      </c>
      <c r="B114" s="703"/>
      <c r="C114" s="33" t="s">
        <v>632</v>
      </c>
      <c r="D114" s="712" t="s">
        <v>87</v>
      </c>
      <c r="E114" s="712"/>
      <c r="F114" s="712"/>
      <c r="G114" s="712"/>
      <c r="H114" s="712"/>
      <c r="I114" s="712"/>
      <c r="J114" s="712"/>
      <c r="K114" s="712"/>
      <c r="L114" s="712"/>
      <c r="M114" s="712"/>
      <c r="N114" s="712"/>
      <c r="O114" s="712"/>
    </row>
    <row r="115" spans="1:16" ht="15">
      <c r="A115" s="521">
        <v>8</v>
      </c>
      <c r="B115" s="703"/>
      <c r="C115" s="33" t="s">
        <v>633</v>
      </c>
      <c r="D115" s="712" t="s">
        <v>87</v>
      </c>
      <c r="E115" s="712"/>
      <c r="F115" s="712"/>
      <c r="G115" s="712"/>
      <c r="H115" s="712"/>
      <c r="I115" s="712"/>
      <c r="J115" s="712"/>
      <c r="K115" s="712"/>
      <c r="L115" s="712"/>
      <c r="M115" s="712"/>
      <c r="N115" s="712"/>
      <c r="O115" s="712"/>
    </row>
    <row r="116" spans="1:16">
      <c r="A116" s="693"/>
      <c r="B116" s="693"/>
      <c r="C116" s="693"/>
      <c r="D116" s="693"/>
      <c r="E116" s="693"/>
      <c r="F116" s="693"/>
      <c r="G116" s="693"/>
      <c r="H116" s="693"/>
      <c r="I116" s="693"/>
      <c r="J116" s="693"/>
      <c r="K116" s="693"/>
      <c r="L116" s="693"/>
      <c r="M116" s="693"/>
      <c r="N116" s="693"/>
      <c r="O116" s="693"/>
    </row>
    <row r="117" spans="1:16" ht="22.5">
      <c r="A117" s="701" t="s">
        <v>639</v>
      </c>
      <c r="B117" s="701"/>
      <c r="C117" s="701"/>
      <c r="D117" s="701"/>
      <c r="E117" s="701"/>
      <c r="F117" s="701"/>
      <c r="G117" s="701"/>
      <c r="H117" s="701"/>
      <c r="I117" s="701"/>
      <c r="J117" s="701"/>
      <c r="K117" s="701"/>
      <c r="L117" s="701"/>
      <c r="M117" s="701"/>
      <c r="N117" s="701"/>
      <c r="O117" s="701"/>
    </row>
    <row r="118" spans="1:16" ht="20.25">
      <c r="A118" s="559" t="s">
        <v>7710</v>
      </c>
      <c r="B118" s="559"/>
      <c r="C118" s="559"/>
      <c r="D118" s="559"/>
      <c r="E118" s="559"/>
      <c r="F118" s="559"/>
      <c r="G118" s="559"/>
      <c r="H118" s="559"/>
      <c r="I118" s="559"/>
      <c r="J118" s="559"/>
      <c r="K118" s="559"/>
      <c r="L118" s="559"/>
      <c r="M118" s="559"/>
      <c r="N118" s="559"/>
      <c r="O118" s="559"/>
    </row>
    <row r="119" spans="1:16" ht="99.75">
      <c r="A119" s="18" t="s">
        <v>0</v>
      </c>
      <c r="B119" s="18" t="s">
        <v>2631</v>
      </c>
      <c r="C119" s="18" t="s">
        <v>2632</v>
      </c>
      <c r="D119" s="18" t="s">
        <v>1617</v>
      </c>
      <c r="E119" s="18" t="s">
        <v>1618</v>
      </c>
      <c r="F119" s="18" t="s">
        <v>2623</v>
      </c>
      <c r="G119" s="18" t="s">
        <v>1619</v>
      </c>
      <c r="H119" s="19" t="s">
        <v>2624</v>
      </c>
      <c r="I119" s="18" t="s">
        <v>2625</v>
      </c>
      <c r="J119" s="18" t="s">
        <v>1620</v>
      </c>
      <c r="K119" s="19" t="s">
        <v>2633</v>
      </c>
      <c r="L119" s="20" t="s">
        <v>1621</v>
      </c>
      <c r="M119" s="20" t="s">
        <v>1622</v>
      </c>
      <c r="N119" s="19" t="s">
        <v>2634</v>
      </c>
      <c r="O119" s="18" t="s">
        <v>1623</v>
      </c>
    </row>
    <row r="120" spans="1:16">
      <c r="A120" s="530">
        <v>1</v>
      </c>
      <c r="B120" s="530">
        <v>2</v>
      </c>
      <c r="C120" s="530">
        <v>3</v>
      </c>
      <c r="D120" s="530">
        <v>4</v>
      </c>
      <c r="E120" s="530">
        <v>5</v>
      </c>
      <c r="F120" s="530">
        <v>6</v>
      </c>
      <c r="G120" s="530">
        <v>7</v>
      </c>
      <c r="H120" s="530">
        <v>8</v>
      </c>
      <c r="I120" s="19">
        <v>9</v>
      </c>
      <c r="J120" s="530">
        <v>10</v>
      </c>
      <c r="K120" s="530">
        <v>11</v>
      </c>
      <c r="L120" s="530">
        <v>12</v>
      </c>
      <c r="M120" s="530">
        <v>13</v>
      </c>
      <c r="N120" s="530">
        <v>14</v>
      </c>
      <c r="O120" s="530">
        <v>15</v>
      </c>
    </row>
    <row r="121" spans="1:16" ht="15">
      <c r="A121" s="513">
        <v>1</v>
      </c>
      <c r="B121" s="696" t="s">
        <v>6927</v>
      </c>
      <c r="C121" s="511" t="s">
        <v>6856</v>
      </c>
      <c r="D121" s="709" t="s">
        <v>87</v>
      </c>
      <c r="E121" s="709"/>
      <c r="F121" s="709"/>
      <c r="G121" s="709"/>
      <c r="H121" s="709"/>
      <c r="I121" s="709"/>
      <c r="J121" s="709"/>
      <c r="K121" s="709"/>
      <c r="L121" s="709"/>
      <c r="M121" s="709"/>
      <c r="N121" s="709"/>
      <c r="O121" s="709"/>
    </row>
    <row r="122" spans="1:16" ht="45">
      <c r="A122" s="513">
        <v>2</v>
      </c>
      <c r="B122" s="696"/>
      <c r="C122" s="511" t="s">
        <v>6862</v>
      </c>
      <c r="D122" s="525" t="s">
        <v>6928</v>
      </c>
      <c r="E122" s="511" t="s">
        <v>6928</v>
      </c>
      <c r="F122" s="513" t="s">
        <v>6929</v>
      </c>
      <c r="G122" s="513" t="s">
        <v>6930</v>
      </c>
      <c r="H122" s="513" t="s">
        <v>6931</v>
      </c>
      <c r="I122" s="25"/>
      <c r="J122" s="25"/>
      <c r="K122" s="25"/>
      <c r="L122" s="25"/>
      <c r="M122" s="25"/>
      <c r="N122" s="25"/>
      <c r="O122" s="25"/>
      <c r="P122" s="21"/>
    </row>
    <row r="123" spans="1:16" ht="15">
      <c r="A123" s="513">
        <v>3</v>
      </c>
      <c r="B123" s="696"/>
      <c r="C123" s="511" t="s">
        <v>6863</v>
      </c>
      <c r="D123" s="25"/>
      <c r="E123" s="25"/>
      <c r="F123" s="25"/>
      <c r="G123" s="25"/>
      <c r="H123" s="25"/>
      <c r="I123" s="25"/>
      <c r="J123" s="25"/>
      <c r="K123" s="25"/>
      <c r="L123" s="25"/>
      <c r="M123" s="25"/>
      <c r="N123" s="25"/>
      <c r="O123" s="25"/>
      <c r="P123" s="21"/>
    </row>
    <row r="124" spans="1:16" ht="15">
      <c r="A124" s="513">
        <v>4</v>
      </c>
      <c r="B124" s="696"/>
      <c r="C124" s="511" t="s">
        <v>6864</v>
      </c>
      <c r="D124" s="25"/>
      <c r="E124" s="25"/>
      <c r="F124" s="25"/>
      <c r="G124" s="25"/>
      <c r="H124" s="25"/>
      <c r="I124" s="25"/>
      <c r="J124" s="25"/>
      <c r="K124" s="25"/>
      <c r="L124" s="25"/>
      <c r="M124" s="25"/>
      <c r="N124" s="25"/>
      <c r="O124" s="25"/>
      <c r="P124" s="21"/>
    </row>
    <row r="125" spans="1:16" ht="15">
      <c r="A125" s="513">
        <v>5</v>
      </c>
      <c r="B125" s="696"/>
      <c r="C125" s="511" t="s">
        <v>6865</v>
      </c>
      <c r="D125" s="25"/>
      <c r="E125" s="25"/>
      <c r="F125" s="25"/>
      <c r="G125" s="25"/>
      <c r="H125" s="25"/>
      <c r="I125" s="25"/>
      <c r="J125" s="25"/>
      <c r="K125" s="25"/>
      <c r="L125" s="25"/>
      <c r="M125" s="25"/>
      <c r="N125" s="25"/>
      <c r="O125" s="25"/>
      <c r="P125" s="21"/>
    </row>
    <row r="126" spans="1:16" ht="15">
      <c r="A126" s="513">
        <v>6</v>
      </c>
      <c r="B126" s="696"/>
      <c r="C126" s="511" t="s">
        <v>6866</v>
      </c>
      <c r="D126" s="25"/>
      <c r="E126" s="25"/>
      <c r="F126" s="25"/>
      <c r="G126" s="25"/>
      <c r="H126" s="25"/>
      <c r="I126" s="25"/>
      <c r="J126" s="25"/>
      <c r="K126" s="25"/>
      <c r="L126" s="25"/>
      <c r="M126" s="25"/>
      <c r="N126" s="25"/>
      <c r="O126" s="25"/>
      <c r="P126" s="21"/>
    </row>
    <row r="127" spans="1:16" ht="15">
      <c r="A127" s="513">
        <v>7</v>
      </c>
      <c r="B127" s="696"/>
      <c r="C127" s="511" t="s">
        <v>6867</v>
      </c>
      <c r="D127" s="709" t="s">
        <v>87</v>
      </c>
      <c r="E127" s="709"/>
      <c r="F127" s="709"/>
      <c r="G127" s="709"/>
      <c r="H127" s="709"/>
      <c r="I127" s="709"/>
      <c r="J127" s="709"/>
      <c r="K127" s="709"/>
      <c r="L127" s="709"/>
      <c r="M127" s="709"/>
      <c r="N127" s="709"/>
      <c r="O127" s="709"/>
      <c r="P127" s="21"/>
    </row>
    <row r="128" spans="1:16" ht="15">
      <c r="A128" s="513">
        <v>8</v>
      </c>
      <c r="B128" s="696"/>
      <c r="C128" s="511" t="s">
        <v>6868</v>
      </c>
      <c r="D128" s="709" t="s">
        <v>87</v>
      </c>
      <c r="E128" s="709"/>
      <c r="F128" s="709"/>
      <c r="G128" s="709"/>
      <c r="H128" s="709"/>
      <c r="I128" s="709"/>
      <c r="J128" s="709"/>
      <c r="K128" s="709"/>
      <c r="L128" s="709"/>
      <c r="M128" s="709"/>
      <c r="N128" s="709"/>
      <c r="O128" s="709"/>
      <c r="P128" s="21"/>
    </row>
    <row r="129" spans="1:16" ht="15">
      <c r="A129" s="513">
        <v>9</v>
      </c>
      <c r="B129" s="696"/>
      <c r="C129" s="511" t="s">
        <v>6869</v>
      </c>
      <c r="D129" s="25"/>
      <c r="E129" s="513"/>
      <c r="F129" s="513"/>
      <c r="G129" s="513"/>
      <c r="H129" s="513"/>
      <c r="I129" s="513"/>
      <c r="J129" s="513"/>
      <c r="K129" s="513"/>
      <c r="L129" s="513"/>
      <c r="M129" s="513"/>
      <c r="N129" s="513"/>
      <c r="O129" s="513"/>
      <c r="P129" s="21"/>
    </row>
    <row r="130" spans="1:16" ht="15">
      <c r="A130" s="513">
        <v>10</v>
      </c>
      <c r="B130" s="696"/>
      <c r="C130" s="511" t="s">
        <v>6870</v>
      </c>
      <c r="D130" s="25"/>
      <c r="E130" s="513"/>
      <c r="F130" s="513"/>
      <c r="G130" s="513"/>
      <c r="H130" s="513"/>
      <c r="I130" s="513"/>
      <c r="J130" s="513"/>
      <c r="K130" s="513"/>
      <c r="L130" s="513"/>
      <c r="M130" s="513"/>
      <c r="N130" s="513"/>
      <c r="O130" s="513"/>
      <c r="P130" s="21"/>
    </row>
    <row r="131" spans="1:16" ht="60">
      <c r="A131" s="513">
        <v>11</v>
      </c>
      <c r="B131" s="696"/>
      <c r="C131" s="696" t="s">
        <v>6871</v>
      </c>
      <c r="D131" s="25" t="s">
        <v>6932</v>
      </c>
      <c r="E131" s="511" t="s">
        <v>6932</v>
      </c>
      <c r="F131" s="513" t="s">
        <v>6933</v>
      </c>
      <c r="G131" s="513" t="s">
        <v>6890</v>
      </c>
      <c r="H131" s="513">
        <v>3.7</v>
      </c>
      <c r="I131" s="513"/>
      <c r="J131" s="513"/>
      <c r="K131" s="513"/>
      <c r="L131" s="513"/>
      <c r="M131" s="513"/>
      <c r="N131" s="513"/>
      <c r="O131" s="513"/>
      <c r="P131" s="21"/>
    </row>
    <row r="132" spans="1:16" ht="30">
      <c r="A132" s="513">
        <v>12</v>
      </c>
      <c r="B132" s="696"/>
      <c r="C132" s="696"/>
      <c r="D132" s="25" t="s">
        <v>6934</v>
      </c>
      <c r="E132" s="511" t="s">
        <v>6934</v>
      </c>
      <c r="F132" s="513" t="s">
        <v>6935</v>
      </c>
      <c r="G132" s="513" t="s">
        <v>6886</v>
      </c>
      <c r="H132" s="513">
        <v>1.75</v>
      </c>
      <c r="I132" s="513"/>
      <c r="J132" s="513"/>
      <c r="K132" s="513"/>
      <c r="L132" s="513"/>
      <c r="M132" s="513"/>
      <c r="N132" s="513"/>
      <c r="O132" s="513"/>
      <c r="P132" s="21"/>
    </row>
    <row r="133" spans="1:16" ht="45">
      <c r="A133" s="513">
        <v>13</v>
      </c>
      <c r="B133" s="696"/>
      <c r="C133" s="696"/>
      <c r="D133" s="25" t="s">
        <v>6936</v>
      </c>
      <c r="E133" s="511" t="s">
        <v>6936</v>
      </c>
      <c r="F133" s="513">
        <v>199</v>
      </c>
      <c r="G133" s="513">
        <v>1998</v>
      </c>
      <c r="H133" s="513">
        <v>0.3</v>
      </c>
      <c r="I133" s="513"/>
      <c r="J133" s="513"/>
      <c r="K133" s="513"/>
      <c r="L133" s="513"/>
      <c r="M133" s="513"/>
      <c r="N133" s="513"/>
      <c r="O133" s="513"/>
      <c r="P133" s="21"/>
    </row>
    <row r="134" spans="1:16" ht="60">
      <c r="A134" s="513">
        <v>14</v>
      </c>
      <c r="B134" s="696"/>
      <c r="C134" s="696"/>
      <c r="D134" s="25" t="s">
        <v>6937</v>
      </c>
      <c r="E134" s="511" t="s">
        <v>6937</v>
      </c>
      <c r="F134" s="513">
        <v>1470.68</v>
      </c>
      <c r="G134" s="513" t="s">
        <v>6918</v>
      </c>
      <c r="H134" s="513">
        <v>0.88</v>
      </c>
      <c r="I134" s="513"/>
      <c r="J134" s="513"/>
      <c r="K134" s="513"/>
      <c r="L134" s="513"/>
      <c r="M134" s="513"/>
      <c r="N134" s="513"/>
      <c r="O134" s="513"/>
      <c r="P134" s="21"/>
    </row>
    <row r="135" spans="1:16" ht="30">
      <c r="A135" s="513">
        <v>15</v>
      </c>
      <c r="B135" s="696"/>
      <c r="C135" s="696"/>
      <c r="D135" s="25" t="s">
        <v>6938</v>
      </c>
      <c r="E135" s="511" t="s">
        <v>6938</v>
      </c>
      <c r="F135" s="513">
        <v>121</v>
      </c>
      <c r="G135" s="513" t="s">
        <v>6908</v>
      </c>
      <c r="H135" s="513" t="s">
        <v>302</v>
      </c>
      <c r="I135" s="513"/>
      <c r="J135" s="513"/>
      <c r="K135" s="513"/>
      <c r="L135" s="513"/>
      <c r="M135" s="513"/>
      <c r="N135" s="513"/>
      <c r="O135" s="513"/>
      <c r="P135" s="21"/>
    </row>
    <row r="136" spans="1:16" ht="30">
      <c r="A136" s="513">
        <v>16</v>
      </c>
      <c r="B136" s="696"/>
      <c r="C136" s="696"/>
      <c r="D136" s="25" t="s">
        <v>6939</v>
      </c>
      <c r="E136" s="511" t="s">
        <v>6939</v>
      </c>
      <c r="F136" s="513">
        <v>615</v>
      </c>
      <c r="G136" s="513" t="s">
        <v>6910</v>
      </c>
      <c r="H136" s="513" t="s">
        <v>748</v>
      </c>
      <c r="I136" s="513"/>
      <c r="J136" s="513"/>
      <c r="K136" s="513"/>
      <c r="L136" s="513"/>
      <c r="M136" s="513"/>
      <c r="N136" s="513"/>
      <c r="O136" s="513"/>
      <c r="P136" s="21"/>
    </row>
    <row r="137" spans="1:16" ht="45">
      <c r="A137" s="513">
        <v>17</v>
      </c>
      <c r="B137" s="696"/>
      <c r="C137" s="696"/>
      <c r="D137" s="25" t="s">
        <v>6940</v>
      </c>
      <c r="E137" s="511" t="s">
        <v>6940</v>
      </c>
      <c r="F137" s="513">
        <v>534.46</v>
      </c>
      <c r="G137" s="513" t="s">
        <v>6941</v>
      </c>
      <c r="H137" s="513">
        <v>14.39</v>
      </c>
      <c r="I137" s="513"/>
      <c r="J137" s="513"/>
      <c r="K137" s="513"/>
      <c r="L137" s="513"/>
      <c r="M137" s="513"/>
      <c r="N137" s="513"/>
      <c r="O137" s="513"/>
      <c r="P137" s="21"/>
    </row>
    <row r="138" spans="1:16" ht="30">
      <c r="A138" s="513">
        <v>18</v>
      </c>
      <c r="B138" s="696"/>
      <c r="C138" s="696"/>
      <c r="D138" s="267" t="s">
        <v>6942</v>
      </c>
      <c r="E138" s="499" t="s">
        <v>6942</v>
      </c>
      <c r="F138" s="513">
        <v>154</v>
      </c>
      <c r="G138" s="513">
        <v>1948</v>
      </c>
      <c r="H138" s="513">
        <v>0.03</v>
      </c>
      <c r="I138" s="513"/>
      <c r="J138" s="513"/>
      <c r="K138" s="513"/>
      <c r="L138" s="513"/>
      <c r="M138" s="513"/>
      <c r="N138" s="513"/>
      <c r="O138" s="513"/>
      <c r="P138" s="21"/>
    </row>
    <row r="139" spans="1:16" ht="30">
      <c r="A139" s="513">
        <v>19</v>
      </c>
      <c r="B139" s="696"/>
      <c r="C139" s="696"/>
      <c r="D139" s="25" t="s">
        <v>6943</v>
      </c>
      <c r="E139" s="511" t="s">
        <v>6943</v>
      </c>
      <c r="F139" s="513">
        <v>160</v>
      </c>
      <c r="G139" s="513">
        <v>1957</v>
      </c>
      <c r="H139" s="513">
        <v>0.02</v>
      </c>
      <c r="I139" s="513"/>
      <c r="J139" s="513"/>
      <c r="K139" s="513"/>
      <c r="L139" s="513"/>
      <c r="M139" s="513"/>
      <c r="N139" s="513"/>
      <c r="O139" s="513"/>
      <c r="P139" s="21"/>
    </row>
    <row r="140" spans="1:16" ht="30">
      <c r="A140" s="513">
        <v>20</v>
      </c>
      <c r="B140" s="696"/>
      <c r="C140" s="696"/>
      <c r="D140" s="25" t="s">
        <v>6944</v>
      </c>
      <c r="E140" s="511" t="s">
        <v>6944</v>
      </c>
      <c r="F140" s="513">
        <v>72</v>
      </c>
      <c r="G140" s="513">
        <v>1948</v>
      </c>
      <c r="H140" s="513">
        <v>2E-3</v>
      </c>
      <c r="I140" s="513"/>
      <c r="J140" s="513"/>
      <c r="K140" s="513"/>
      <c r="L140" s="513"/>
      <c r="M140" s="513"/>
      <c r="N140" s="513"/>
      <c r="O140" s="513"/>
      <c r="P140" s="21"/>
    </row>
    <row r="141" spans="1:16" ht="30">
      <c r="A141" s="513">
        <v>21</v>
      </c>
      <c r="B141" s="696"/>
      <c r="C141" s="696"/>
      <c r="D141" s="25" t="s">
        <v>6945</v>
      </c>
      <c r="E141" s="511" t="s">
        <v>6945</v>
      </c>
      <c r="F141" s="513">
        <v>643</v>
      </c>
      <c r="G141" s="513">
        <v>1956</v>
      </c>
      <c r="H141" s="513">
        <v>3.0000000000000001E-3</v>
      </c>
      <c r="I141" s="513"/>
      <c r="J141" s="513"/>
      <c r="K141" s="513"/>
      <c r="L141" s="513"/>
      <c r="M141" s="513"/>
      <c r="N141" s="513"/>
      <c r="O141" s="513"/>
      <c r="P141" s="21"/>
    </row>
    <row r="142" spans="1:16" ht="45">
      <c r="A142" s="513">
        <v>22</v>
      </c>
      <c r="B142" s="696"/>
      <c r="C142" s="696"/>
      <c r="D142" s="25" t="s">
        <v>6946</v>
      </c>
      <c r="E142" s="511" t="s">
        <v>6946</v>
      </c>
      <c r="F142" s="513">
        <v>73</v>
      </c>
      <c r="G142" s="513" t="s">
        <v>6901</v>
      </c>
      <c r="H142" s="513">
        <v>2.0000000000000001E-4</v>
      </c>
      <c r="I142" s="513"/>
      <c r="J142" s="513"/>
      <c r="K142" s="513"/>
      <c r="L142" s="513"/>
      <c r="M142" s="513"/>
      <c r="N142" s="513"/>
      <c r="O142" s="513"/>
      <c r="P142" s="21"/>
    </row>
    <row r="143" spans="1:16" ht="30">
      <c r="A143" s="513">
        <v>23</v>
      </c>
      <c r="B143" s="696"/>
      <c r="C143" s="696"/>
      <c r="D143" s="25" t="s">
        <v>6947</v>
      </c>
      <c r="E143" s="511" t="s">
        <v>6947</v>
      </c>
      <c r="F143" s="513">
        <v>79</v>
      </c>
      <c r="G143" s="513">
        <v>1959</v>
      </c>
      <c r="H143" s="513">
        <v>2.0000000000000001E-4</v>
      </c>
      <c r="I143" s="513"/>
      <c r="J143" s="513"/>
      <c r="K143" s="513"/>
      <c r="L143" s="513"/>
      <c r="M143" s="513"/>
      <c r="N143" s="513"/>
      <c r="O143" s="513"/>
      <c r="P143" s="21"/>
    </row>
    <row r="144" spans="1:16" ht="30">
      <c r="A144" s="513">
        <v>24</v>
      </c>
      <c r="B144" s="696"/>
      <c r="C144" s="696"/>
      <c r="D144" s="25" t="s">
        <v>6948</v>
      </c>
      <c r="E144" s="511" t="s">
        <v>6948</v>
      </c>
      <c r="F144" s="513">
        <v>57</v>
      </c>
      <c r="G144" s="513">
        <v>1950</v>
      </c>
      <c r="H144" s="513">
        <v>2.0000000000000001E-4</v>
      </c>
      <c r="I144" s="513"/>
      <c r="J144" s="513"/>
      <c r="K144" s="513"/>
      <c r="L144" s="513"/>
      <c r="M144" s="513"/>
      <c r="N144" s="513"/>
      <c r="O144" s="513"/>
      <c r="P144" s="21"/>
    </row>
    <row r="145" spans="1:16" ht="30">
      <c r="A145" s="513">
        <v>25</v>
      </c>
      <c r="B145" s="696"/>
      <c r="C145" s="696"/>
      <c r="D145" s="25" t="s">
        <v>6949</v>
      </c>
      <c r="E145" s="511" t="s">
        <v>6949</v>
      </c>
      <c r="F145" s="513">
        <v>48</v>
      </c>
      <c r="G145" s="513" t="s">
        <v>6950</v>
      </c>
      <c r="H145" s="513">
        <v>0.04</v>
      </c>
      <c r="I145" s="513"/>
      <c r="J145" s="513"/>
      <c r="K145" s="513"/>
      <c r="L145" s="513"/>
      <c r="M145" s="513"/>
      <c r="N145" s="513"/>
      <c r="O145" s="513"/>
      <c r="P145" s="21"/>
    </row>
    <row r="146" spans="1:16" ht="15">
      <c r="A146" s="513">
        <v>26</v>
      </c>
      <c r="B146" s="696"/>
      <c r="C146" s="696"/>
      <c r="D146" s="25" t="s">
        <v>6951</v>
      </c>
      <c r="E146" s="511" t="s">
        <v>6951</v>
      </c>
      <c r="F146" s="513">
        <v>1450</v>
      </c>
      <c r="G146" s="513">
        <v>1955</v>
      </c>
      <c r="H146" s="513">
        <v>2.5000000000000001E-2</v>
      </c>
      <c r="I146" s="513"/>
      <c r="J146" s="513"/>
      <c r="K146" s="513"/>
      <c r="L146" s="513"/>
      <c r="M146" s="513"/>
      <c r="N146" s="513"/>
      <c r="O146" s="513"/>
      <c r="P146" s="21"/>
    </row>
    <row r="147" spans="1:16" ht="30">
      <c r="A147" s="513">
        <v>27</v>
      </c>
      <c r="B147" s="696"/>
      <c r="C147" s="696"/>
      <c r="D147" s="25" t="s">
        <v>6912</v>
      </c>
      <c r="E147" s="511" t="s">
        <v>6912</v>
      </c>
      <c r="F147" s="513">
        <v>598</v>
      </c>
      <c r="G147" s="513">
        <v>1955</v>
      </c>
      <c r="H147" s="513">
        <v>0.04</v>
      </c>
      <c r="I147" s="513"/>
      <c r="J147" s="513"/>
      <c r="K147" s="513"/>
      <c r="L147" s="513"/>
      <c r="M147" s="513"/>
      <c r="N147" s="513"/>
      <c r="O147" s="513"/>
      <c r="P147" s="21"/>
    </row>
    <row r="148" spans="1:16" ht="30">
      <c r="A148" s="513">
        <v>28</v>
      </c>
      <c r="B148" s="696"/>
      <c r="C148" s="696"/>
      <c r="D148" s="25" t="s">
        <v>6913</v>
      </c>
      <c r="E148" s="511" t="s">
        <v>6913</v>
      </c>
      <c r="F148" s="513">
        <v>1016.61</v>
      </c>
      <c r="G148" s="513">
        <v>1956</v>
      </c>
      <c r="H148" s="513">
        <v>0.01</v>
      </c>
      <c r="I148" s="513"/>
      <c r="J148" s="513"/>
      <c r="K148" s="513"/>
      <c r="L148" s="513"/>
      <c r="M148" s="513"/>
      <c r="N148" s="513"/>
      <c r="O148" s="513"/>
    </row>
    <row r="149" spans="1:16" ht="15">
      <c r="A149" s="513">
        <v>29</v>
      </c>
      <c r="B149" s="696"/>
      <c r="C149" s="696"/>
      <c r="D149" s="25" t="s">
        <v>6952</v>
      </c>
      <c r="E149" s="511" t="s">
        <v>6952</v>
      </c>
      <c r="F149" s="513">
        <v>125</v>
      </c>
      <c r="G149" s="513">
        <v>1955</v>
      </c>
      <c r="H149" s="513">
        <v>3.0000000000000001E-3</v>
      </c>
      <c r="I149" s="513"/>
      <c r="J149" s="513"/>
      <c r="K149" s="513"/>
      <c r="L149" s="513"/>
      <c r="M149" s="513"/>
      <c r="N149" s="513"/>
      <c r="O149" s="513"/>
    </row>
    <row r="150" spans="1:16" ht="30">
      <c r="A150" s="513">
        <v>30</v>
      </c>
      <c r="B150" s="696"/>
      <c r="C150" s="696"/>
      <c r="D150" s="25" t="s">
        <v>6915</v>
      </c>
      <c r="E150" s="511" t="s">
        <v>6915</v>
      </c>
      <c r="F150" s="513">
        <v>1891</v>
      </c>
      <c r="G150" s="513" t="s">
        <v>6953</v>
      </c>
      <c r="H150" s="513">
        <v>0.02</v>
      </c>
      <c r="I150" s="513"/>
      <c r="J150" s="513"/>
      <c r="K150" s="513"/>
      <c r="L150" s="513"/>
      <c r="M150" s="513"/>
      <c r="N150" s="513"/>
      <c r="O150" s="513"/>
    </row>
    <row r="151" spans="1:16" ht="30">
      <c r="A151" s="513">
        <v>31</v>
      </c>
      <c r="B151" s="696"/>
      <c r="C151" s="696"/>
      <c r="D151" s="25" t="s">
        <v>6916</v>
      </c>
      <c r="E151" s="511" t="s">
        <v>6916</v>
      </c>
      <c r="F151" s="513">
        <v>7006.48</v>
      </c>
      <c r="G151" s="513">
        <v>1955</v>
      </c>
      <c r="H151" s="513">
        <v>0.23</v>
      </c>
      <c r="I151" s="513"/>
      <c r="J151" s="513"/>
      <c r="K151" s="513"/>
      <c r="L151" s="513"/>
      <c r="M151" s="513"/>
      <c r="N151" s="513"/>
      <c r="O151" s="513"/>
    </row>
    <row r="152" spans="1:16" ht="30">
      <c r="A152" s="513">
        <v>32</v>
      </c>
      <c r="B152" s="696"/>
      <c r="C152" s="696"/>
      <c r="D152" s="25" t="s">
        <v>6954</v>
      </c>
      <c r="E152" s="511" t="s">
        <v>6954</v>
      </c>
      <c r="F152" s="513">
        <v>101</v>
      </c>
      <c r="G152" s="513">
        <v>1955</v>
      </c>
      <c r="H152" s="513" t="s">
        <v>17</v>
      </c>
      <c r="I152" s="513"/>
      <c r="J152" s="513"/>
      <c r="K152" s="513"/>
      <c r="L152" s="513"/>
      <c r="M152" s="513"/>
      <c r="N152" s="513"/>
      <c r="O152" s="513"/>
    </row>
    <row r="153" spans="1:16" ht="45">
      <c r="A153" s="513">
        <v>33</v>
      </c>
      <c r="B153" s="696"/>
      <c r="C153" s="696"/>
      <c r="D153" s="25" t="s">
        <v>6955</v>
      </c>
      <c r="E153" s="511" t="s">
        <v>6955</v>
      </c>
      <c r="F153" s="513">
        <v>562</v>
      </c>
      <c r="G153" s="513" t="s">
        <v>6956</v>
      </c>
      <c r="H153" s="513">
        <v>4.46</v>
      </c>
      <c r="I153" s="513"/>
      <c r="J153" s="513"/>
      <c r="K153" s="513"/>
      <c r="L153" s="513"/>
      <c r="M153" s="513"/>
      <c r="N153" s="513"/>
      <c r="O153" s="513"/>
    </row>
    <row r="154" spans="1:16" ht="15">
      <c r="A154" s="694"/>
      <c r="B154" s="694"/>
      <c r="C154" s="694"/>
      <c r="D154" s="694"/>
      <c r="E154" s="694"/>
      <c r="F154" s="694"/>
      <c r="G154" s="694"/>
      <c r="H154" s="694"/>
      <c r="I154" s="694"/>
      <c r="J154" s="694"/>
      <c r="K154" s="694"/>
      <c r="L154" s="694"/>
      <c r="M154" s="694"/>
      <c r="N154" s="694"/>
      <c r="O154" s="694"/>
    </row>
    <row r="155" spans="1:16" ht="22.5">
      <c r="A155" s="700" t="s">
        <v>640</v>
      </c>
      <c r="B155" s="700"/>
      <c r="C155" s="700"/>
      <c r="D155" s="700"/>
      <c r="E155" s="700"/>
      <c r="F155" s="700"/>
      <c r="G155" s="700"/>
      <c r="H155" s="700"/>
      <c r="I155" s="700"/>
      <c r="J155" s="700"/>
      <c r="K155" s="700"/>
      <c r="L155" s="700"/>
      <c r="M155" s="700"/>
      <c r="N155" s="700"/>
      <c r="O155" s="700"/>
    </row>
    <row r="156" spans="1:16" ht="20.25">
      <c r="A156" s="559" t="s">
        <v>7710</v>
      </c>
      <c r="B156" s="559"/>
      <c r="C156" s="559"/>
      <c r="D156" s="559"/>
      <c r="E156" s="559"/>
      <c r="F156" s="559"/>
      <c r="G156" s="559"/>
      <c r="H156" s="559"/>
      <c r="I156" s="559"/>
      <c r="J156" s="559"/>
      <c r="K156" s="559"/>
      <c r="L156" s="559"/>
      <c r="M156" s="559"/>
      <c r="N156" s="559"/>
      <c r="O156" s="559"/>
    </row>
    <row r="157" spans="1:16" ht="99.75">
      <c r="A157" s="18" t="s">
        <v>0</v>
      </c>
      <c r="B157" s="18" t="s">
        <v>2631</v>
      </c>
      <c r="C157" s="18" t="s">
        <v>2632</v>
      </c>
      <c r="D157" s="18" t="s">
        <v>1617</v>
      </c>
      <c r="E157" s="18" t="s">
        <v>1618</v>
      </c>
      <c r="F157" s="18" t="s">
        <v>2623</v>
      </c>
      <c r="G157" s="18" t="s">
        <v>1619</v>
      </c>
      <c r="H157" s="19" t="s">
        <v>2624</v>
      </c>
      <c r="I157" s="18" t="s">
        <v>2625</v>
      </c>
      <c r="J157" s="18" t="s">
        <v>1620</v>
      </c>
      <c r="K157" s="19" t="s">
        <v>2633</v>
      </c>
      <c r="L157" s="20" t="s">
        <v>1621</v>
      </c>
      <c r="M157" s="20" t="s">
        <v>1622</v>
      </c>
      <c r="N157" s="19" t="s">
        <v>2634</v>
      </c>
      <c r="O157" s="18" t="s">
        <v>1623</v>
      </c>
    </row>
    <row r="158" spans="1:16">
      <c r="A158" s="530">
        <v>1</v>
      </c>
      <c r="B158" s="530">
        <v>2</v>
      </c>
      <c r="C158" s="530">
        <v>3</v>
      </c>
      <c r="D158" s="530">
        <v>4</v>
      </c>
      <c r="E158" s="530">
        <v>5</v>
      </c>
      <c r="F158" s="530">
        <v>6</v>
      </c>
      <c r="G158" s="530">
        <v>7</v>
      </c>
      <c r="H158" s="530">
        <v>8</v>
      </c>
      <c r="I158" s="19">
        <v>9</v>
      </c>
      <c r="J158" s="530">
        <v>10</v>
      </c>
      <c r="K158" s="530">
        <v>11</v>
      </c>
      <c r="L158" s="530">
        <v>12</v>
      </c>
      <c r="M158" s="530">
        <v>13</v>
      </c>
      <c r="N158" s="530">
        <v>14</v>
      </c>
      <c r="O158" s="530">
        <v>15</v>
      </c>
    </row>
    <row r="159" spans="1:16" ht="150">
      <c r="A159" s="514">
        <v>1</v>
      </c>
      <c r="B159" s="515" t="s">
        <v>2604</v>
      </c>
      <c r="C159" s="43" t="s">
        <v>2492</v>
      </c>
      <c r="D159" s="78" t="s">
        <v>654</v>
      </c>
      <c r="E159" s="43" t="s">
        <v>2076</v>
      </c>
      <c r="F159" s="514">
        <v>9537</v>
      </c>
      <c r="G159" s="514">
        <v>1986</v>
      </c>
      <c r="H159" s="514" t="s">
        <v>306</v>
      </c>
      <c r="I159" s="514" t="s">
        <v>306</v>
      </c>
      <c r="J159" s="539" t="s">
        <v>2077</v>
      </c>
      <c r="K159" s="516" t="s">
        <v>2078</v>
      </c>
      <c r="L159" s="539">
        <v>1</v>
      </c>
      <c r="M159" s="514" t="s">
        <v>17</v>
      </c>
      <c r="N159" s="514" t="s">
        <v>17</v>
      </c>
      <c r="O159" s="514" t="s">
        <v>87</v>
      </c>
    </row>
    <row r="160" spans="1:16">
      <c r="A160" s="693"/>
      <c r="B160" s="693"/>
      <c r="C160" s="693"/>
      <c r="D160" s="693"/>
      <c r="E160" s="693"/>
      <c r="F160" s="693"/>
      <c r="G160" s="693"/>
      <c r="H160" s="693"/>
      <c r="I160" s="693"/>
      <c r="J160" s="693"/>
      <c r="K160" s="693"/>
      <c r="L160" s="693"/>
      <c r="M160" s="693"/>
      <c r="N160" s="693"/>
      <c r="O160" s="693"/>
    </row>
    <row r="161" spans="1:15" ht="22.5">
      <c r="A161" s="700" t="s">
        <v>663</v>
      </c>
      <c r="B161" s="700"/>
      <c r="C161" s="700"/>
      <c r="D161" s="700"/>
      <c r="E161" s="700"/>
      <c r="F161" s="700"/>
      <c r="G161" s="700"/>
      <c r="H161" s="700"/>
      <c r="I161" s="700"/>
      <c r="J161" s="700"/>
      <c r="K161" s="700"/>
      <c r="L161" s="700"/>
      <c r="M161" s="700"/>
      <c r="N161" s="700"/>
      <c r="O161" s="700"/>
    </row>
    <row r="162" spans="1:15" ht="20.25">
      <c r="A162" s="559" t="s">
        <v>7710</v>
      </c>
      <c r="B162" s="559"/>
      <c r="C162" s="559"/>
      <c r="D162" s="559"/>
      <c r="E162" s="559"/>
      <c r="F162" s="559"/>
      <c r="G162" s="559"/>
      <c r="H162" s="559"/>
      <c r="I162" s="559"/>
      <c r="J162" s="559"/>
      <c r="K162" s="559"/>
      <c r="L162" s="559"/>
      <c r="M162" s="559"/>
      <c r="N162" s="559"/>
      <c r="O162" s="559"/>
    </row>
    <row r="163" spans="1:15" ht="99.75">
      <c r="A163" s="18" t="s">
        <v>0</v>
      </c>
      <c r="B163" s="18" t="s">
        <v>2631</v>
      </c>
      <c r="C163" s="18" t="s">
        <v>2632</v>
      </c>
      <c r="D163" s="18" t="s">
        <v>1617</v>
      </c>
      <c r="E163" s="18" t="s">
        <v>1618</v>
      </c>
      <c r="F163" s="18" t="s">
        <v>2623</v>
      </c>
      <c r="G163" s="18" t="s">
        <v>1619</v>
      </c>
      <c r="H163" s="19" t="s">
        <v>2624</v>
      </c>
      <c r="I163" s="18" t="s">
        <v>2625</v>
      </c>
      <c r="J163" s="18" t="s">
        <v>1620</v>
      </c>
      <c r="K163" s="19" t="s">
        <v>2633</v>
      </c>
      <c r="L163" s="20" t="s">
        <v>1621</v>
      </c>
      <c r="M163" s="20" t="s">
        <v>1622</v>
      </c>
      <c r="N163" s="19" t="s">
        <v>2634</v>
      </c>
      <c r="O163" s="18" t="s">
        <v>1623</v>
      </c>
    </row>
    <row r="164" spans="1:15">
      <c r="A164" s="530">
        <v>1</v>
      </c>
      <c r="B164" s="530">
        <v>2</v>
      </c>
      <c r="C164" s="530">
        <v>3</v>
      </c>
      <c r="D164" s="530">
        <v>4</v>
      </c>
      <c r="E164" s="530">
        <v>5</v>
      </c>
      <c r="F164" s="530">
        <v>6</v>
      </c>
      <c r="G164" s="530">
        <v>7</v>
      </c>
      <c r="H164" s="530">
        <v>8</v>
      </c>
      <c r="I164" s="19">
        <v>9</v>
      </c>
      <c r="J164" s="530">
        <v>10</v>
      </c>
      <c r="K164" s="530">
        <v>11</v>
      </c>
      <c r="L164" s="530">
        <v>12</v>
      </c>
      <c r="M164" s="530">
        <v>13</v>
      </c>
      <c r="N164" s="530">
        <v>14</v>
      </c>
      <c r="O164" s="530">
        <v>15</v>
      </c>
    </row>
    <row r="165" spans="1:15" ht="30">
      <c r="A165" s="513">
        <v>1</v>
      </c>
      <c r="B165" s="696" t="s">
        <v>2614</v>
      </c>
      <c r="C165" s="696" t="s">
        <v>676</v>
      </c>
      <c r="D165" s="547"/>
      <c r="E165" s="511" t="s">
        <v>2079</v>
      </c>
      <c r="F165" s="513">
        <v>1650</v>
      </c>
      <c r="G165" s="513" t="s">
        <v>2080</v>
      </c>
      <c r="H165" s="513" t="s">
        <v>17</v>
      </c>
      <c r="I165" s="513">
        <v>1.55</v>
      </c>
      <c r="J165" s="513" t="s">
        <v>679</v>
      </c>
      <c r="K165" s="513" t="s">
        <v>17</v>
      </c>
      <c r="L165" s="513">
        <v>1</v>
      </c>
      <c r="M165" s="513" t="s">
        <v>17</v>
      </c>
      <c r="N165" s="513" t="s">
        <v>17</v>
      </c>
      <c r="O165" s="513" t="s">
        <v>17</v>
      </c>
    </row>
    <row r="166" spans="1:15" ht="300">
      <c r="A166" s="512">
        <v>2</v>
      </c>
      <c r="B166" s="696"/>
      <c r="C166" s="696"/>
      <c r="D166" s="511" t="s">
        <v>2081</v>
      </c>
      <c r="E166" s="511" t="s">
        <v>2082</v>
      </c>
      <c r="F166" s="513">
        <v>279.8</v>
      </c>
      <c r="G166" s="513" t="s">
        <v>17</v>
      </c>
      <c r="H166" s="513" t="s">
        <v>2083</v>
      </c>
      <c r="I166" s="513">
        <v>0.18</v>
      </c>
      <c r="J166" s="513" t="s">
        <v>691</v>
      </c>
      <c r="K166" s="513" t="s">
        <v>17</v>
      </c>
      <c r="L166" s="513" t="s">
        <v>17</v>
      </c>
      <c r="M166" s="513" t="s">
        <v>17</v>
      </c>
      <c r="N166" s="513" t="s">
        <v>17</v>
      </c>
      <c r="O166" s="3" t="s">
        <v>2084</v>
      </c>
    </row>
    <row r="167" spans="1:15" ht="45">
      <c r="A167" s="512">
        <v>3</v>
      </c>
      <c r="B167" s="696"/>
      <c r="C167" s="696" t="s">
        <v>692</v>
      </c>
      <c r="D167" s="511" t="s">
        <v>703</v>
      </c>
      <c r="E167" s="511" t="s">
        <v>2085</v>
      </c>
      <c r="F167" s="513">
        <v>1054</v>
      </c>
      <c r="G167" s="513" t="s">
        <v>35</v>
      </c>
      <c r="H167" s="513" t="s">
        <v>704</v>
      </c>
      <c r="I167" s="512">
        <v>0.99</v>
      </c>
      <c r="J167" s="512">
        <v>1.7</v>
      </c>
      <c r="K167" s="711" t="s">
        <v>2086</v>
      </c>
      <c r="L167" s="512">
        <v>1</v>
      </c>
      <c r="M167" s="512" t="s">
        <v>17</v>
      </c>
      <c r="N167" s="512" t="s">
        <v>17</v>
      </c>
      <c r="O167" s="313" t="s">
        <v>2087</v>
      </c>
    </row>
    <row r="168" spans="1:15" ht="75">
      <c r="A168" s="512">
        <v>4</v>
      </c>
      <c r="B168" s="696"/>
      <c r="C168" s="696"/>
      <c r="D168" s="511" t="s">
        <v>705</v>
      </c>
      <c r="E168" s="511" t="s">
        <v>2088</v>
      </c>
      <c r="F168" s="513" t="s">
        <v>706</v>
      </c>
      <c r="G168" s="512" t="s">
        <v>35</v>
      </c>
      <c r="H168" s="512">
        <v>1984</v>
      </c>
      <c r="I168" s="512">
        <v>3.25</v>
      </c>
      <c r="J168" s="512">
        <v>5.25</v>
      </c>
      <c r="K168" s="711"/>
      <c r="L168" s="512">
        <v>2</v>
      </c>
      <c r="M168" s="512" t="s">
        <v>17</v>
      </c>
      <c r="N168" s="512" t="s">
        <v>17</v>
      </c>
      <c r="O168" s="313" t="s">
        <v>2089</v>
      </c>
    </row>
    <row r="169" spans="1:15" ht="135">
      <c r="A169" s="512">
        <v>5</v>
      </c>
      <c r="B169" s="696"/>
      <c r="C169" s="696"/>
      <c r="D169" s="511" t="s">
        <v>707</v>
      </c>
      <c r="E169" s="499" t="s">
        <v>2090</v>
      </c>
      <c r="F169" s="500">
        <v>544.5</v>
      </c>
      <c r="G169" s="497" t="s">
        <v>35</v>
      </c>
      <c r="H169" s="500" t="s">
        <v>708</v>
      </c>
      <c r="I169" s="500" t="s">
        <v>2398</v>
      </c>
      <c r="J169" s="512">
        <v>0.27</v>
      </c>
      <c r="K169" s="711"/>
      <c r="L169" s="512">
        <v>3</v>
      </c>
      <c r="M169" s="512">
        <v>3</v>
      </c>
      <c r="N169" s="512" t="s">
        <v>17</v>
      </c>
      <c r="O169" s="1" t="s">
        <v>2091</v>
      </c>
    </row>
    <row r="170" spans="1:15" ht="75">
      <c r="A170" s="512">
        <v>6</v>
      </c>
      <c r="B170" s="696"/>
      <c r="C170" s="696"/>
      <c r="D170" s="498" t="s">
        <v>696</v>
      </c>
      <c r="E170" s="499" t="s">
        <v>2090</v>
      </c>
      <c r="F170" s="500" t="s">
        <v>2092</v>
      </c>
      <c r="G170" s="497" t="s">
        <v>35</v>
      </c>
      <c r="H170" s="500" t="s">
        <v>2093</v>
      </c>
      <c r="I170" s="513" t="s">
        <v>698</v>
      </c>
      <c r="J170" s="497">
        <v>5.3550000000000004</v>
      </c>
      <c r="K170" s="711"/>
      <c r="L170" s="512" t="s">
        <v>17</v>
      </c>
      <c r="M170" s="512" t="s">
        <v>17</v>
      </c>
      <c r="N170" s="512" t="s">
        <v>17</v>
      </c>
      <c r="O170" s="513" t="s">
        <v>2094</v>
      </c>
    </row>
    <row r="171" spans="1:15" ht="105">
      <c r="A171" s="512">
        <v>7</v>
      </c>
      <c r="B171" s="696"/>
      <c r="C171" s="696"/>
      <c r="D171" s="498" t="s">
        <v>709</v>
      </c>
      <c r="E171" s="499" t="s">
        <v>2095</v>
      </c>
      <c r="F171" s="500">
        <v>570.13</v>
      </c>
      <c r="G171" s="497" t="s">
        <v>35</v>
      </c>
      <c r="H171" s="500" t="s">
        <v>710</v>
      </c>
      <c r="I171" s="125" t="s">
        <v>2628</v>
      </c>
      <c r="J171" s="512">
        <v>0.28000000000000003</v>
      </c>
      <c r="K171" s="711"/>
      <c r="L171" s="512">
        <v>4</v>
      </c>
      <c r="M171" s="512">
        <v>4</v>
      </c>
      <c r="N171" s="512" t="s">
        <v>17</v>
      </c>
      <c r="O171" s="539" t="s">
        <v>2096</v>
      </c>
    </row>
    <row r="172" spans="1:15" ht="120">
      <c r="A172" s="512">
        <v>8</v>
      </c>
      <c r="B172" s="696"/>
      <c r="C172" s="696"/>
      <c r="D172" s="534" t="s">
        <v>2630</v>
      </c>
      <c r="E172" s="511" t="s">
        <v>2097</v>
      </c>
      <c r="F172" s="513">
        <v>371</v>
      </c>
      <c r="G172" s="126" t="s">
        <v>2098</v>
      </c>
      <c r="H172" s="126" t="s">
        <v>2099</v>
      </c>
      <c r="I172" s="84">
        <v>0.94</v>
      </c>
      <c r="J172" s="512">
        <v>1.7115</v>
      </c>
      <c r="K172" s="711"/>
      <c r="L172" s="539">
        <v>5</v>
      </c>
      <c r="M172" s="539" t="s">
        <v>17</v>
      </c>
      <c r="N172" s="513" t="s">
        <v>2100</v>
      </c>
      <c r="O172" s="539" t="s">
        <v>2643</v>
      </c>
    </row>
    <row r="173" spans="1:15" ht="60">
      <c r="A173" s="512">
        <v>9</v>
      </c>
      <c r="B173" s="696"/>
      <c r="C173" s="696"/>
      <c r="D173" s="25" t="s">
        <v>714</v>
      </c>
      <c r="E173" s="511" t="s">
        <v>2101</v>
      </c>
      <c r="F173" s="513">
        <v>447</v>
      </c>
      <c r="G173" s="512" t="s">
        <v>35</v>
      </c>
      <c r="H173" s="513" t="s">
        <v>715</v>
      </c>
      <c r="I173" s="539">
        <v>0.37</v>
      </c>
      <c r="J173" s="514">
        <v>0.95</v>
      </c>
      <c r="K173" s="711"/>
      <c r="L173" s="539">
        <v>6</v>
      </c>
      <c r="M173" s="539">
        <v>1</v>
      </c>
      <c r="N173" s="539" t="s">
        <v>17</v>
      </c>
      <c r="O173" s="539" t="s">
        <v>35</v>
      </c>
    </row>
    <row r="174" spans="1:15" ht="45">
      <c r="A174" s="512">
        <v>10</v>
      </c>
      <c r="B174" s="696"/>
      <c r="C174" s="696"/>
      <c r="D174" s="25" t="s">
        <v>716</v>
      </c>
      <c r="E174" s="499" t="s">
        <v>2102</v>
      </c>
      <c r="F174" s="513">
        <v>520</v>
      </c>
      <c r="G174" s="512" t="s">
        <v>35</v>
      </c>
      <c r="H174" s="513" t="s">
        <v>717</v>
      </c>
      <c r="I174" s="539">
        <v>0.42</v>
      </c>
      <c r="J174" s="514">
        <v>0.87</v>
      </c>
      <c r="K174" s="711"/>
      <c r="L174" s="539">
        <v>7</v>
      </c>
      <c r="M174" s="539">
        <v>2</v>
      </c>
      <c r="N174" s="539" t="s">
        <v>17</v>
      </c>
      <c r="O174" s="539" t="s">
        <v>35</v>
      </c>
    </row>
    <row r="175" spans="1:15" ht="30">
      <c r="A175" s="512">
        <v>11</v>
      </c>
      <c r="B175" s="696"/>
      <c r="C175" s="696" t="s">
        <v>749</v>
      </c>
      <c r="D175" s="511" t="s">
        <v>750</v>
      </c>
      <c r="E175" s="511" t="s">
        <v>2103</v>
      </c>
      <c r="F175" s="513">
        <v>1061</v>
      </c>
      <c r="G175" s="513" t="s">
        <v>2104</v>
      </c>
      <c r="H175" s="512" t="s">
        <v>17</v>
      </c>
      <c r="I175" s="513" t="s">
        <v>2105</v>
      </c>
      <c r="J175" s="513" t="s">
        <v>2106</v>
      </c>
      <c r="K175" s="513" t="s">
        <v>87</v>
      </c>
      <c r="L175" s="513">
        <v>1</v>
      </c>
      <c r="M175" s="518" t="s">
        <v>902</v>
      </c>
      <c r="N175" s="513"/>
      <c r="O175" s="513"/>
    </row>
    <row r="176" spans="1:15" ht="60">
      <c r="A176" s="512">
        <v>12</v>
      </c>
      <c r="B176" s="696"/>
      <c r="C176" s="696"/>
      <c r="D176" s="511" t="s">
        <v>732</v>
      </c>
      <c r="E176" s="511" t="s">
        <v>2107</v>
      </c>
      <c r="F176" s="513">
        <v>410.17</v>
      </c>
      <c r="G176" s="513" t="s">
        <v>2108</v>
      </c>
      <c r="H176" s="512" t="s">
        <v>17</v>
      </c>
      <c r="I176" s="543" t="s">
        <v>2629</v>
      </c>
      <c r="J176" s="127">
        <v>12556245</v>
      </c>
      <c r="K176" s="513" t="s">
        <v>87</v>
      </c>
      <c r="L176" s="513">
        <v>2</v>
      </c>
      <c r="M176" s="513">
        <v>2</v>
      </c>
      <c r="N176" s="513" t="s">
        <v>2109</v>
      </c>
      <c r="O176" s="518" t="s">
        <v>902</v>
      </c>
    </row>
    <row r="177" spans="1:15" ht="45">
      <c r="A177" s="512">
        <v>13</v>
      </c>
      <c r="B177" s="696"/>
      <c r="C177" s="696"/>
      <c r="D177" s="511" t="s">
        <v>737</v>
      </c>
      <c r="E177" s="511" t="s">
        <v>2110</v>
      </c>
      <c r="F177" s="512">
        <v>88.15</v>
      </c>
      <c r="G177" s="513" t="s">
        <v>2108</v>
      </c>
      <c r="H177" s="512" t="s">
        <v>17</v>
      </c>
      <c r="I177" s="513" t="s">
        <v>2399</v>
      </c>
      <c r="J177" s="513" t="s">
        <v>2111</v>
      </c>
      <c r="K177" s="512" t="s">
        <v>87</v>
      </c>
      <c r="L177" s="512">
        <v>3</v>
      </c>
      <c r="M177" s="512">
        <v>3</v>
      </c>
      <c r="N177" s="513" t="s">
        <v>2109</v>
      </c>
      <c r="O177" s="518" t="s">
        <v>902</v>
      </c>
    </row>
    <row r="178" spans="1:15" ht="105">
      <c r="A178" s="512">
        <v>14</v>
      </c>
      <c r="B178" s="696"/>
      <c r="C178" s="696"/>
      <c r="D178" s="511" t="s">
        <v>739</v>
      </c>
      <c r="E178" s="511" t="s">
        <v>2112</v>
      </c>
      <c r="F178" s="513" t="s">
        <v>763</v>
      </c>
      <c r="G178" s="512" t="s">
        <v>2113</v>
      </c>
      <c r="H178" s="513" t="s">
        <v>748</v>
      </c>
      <c r="I178" s="513" t="s">
        <v>2114</v>
      </c>
      <c r="J178" s="513" t="s">
        <v>2115</v>
      </c>
      <c r="K178" s="512" t="s">
        <v>748</v>
      </c>
      <c r="L178" s="512">
        <v>4</v>
      </c>
      <c r="M178" s="512">
        <v>4</v>
      </c>
      <c r="N178" s="512" t="s">
        <v>748</v>
      </c>
      <c r="O178" s="512" t="s">
        <v>748</v>
      </c>
    </row>
    <row r="179" spans="1:15" ht="60">
      <c r="A179" s="512">
        <v>15</v>
      </c>
      <c r="B179" s="696"/>
      <c r="C179" s="696"/>
      <c r="D179" s="511" t="s">
        <v>2116</v>
      </c>
      <c r="E179" s="511" t="s">
        <v>2117</v>
      </c>
      <c r="F179" s="512">
        <v>198</v>
      </c>
      <c r="G179" s="513" t="s">
        <v>2118</v>
      </c>
      <c r="H179" s="513" t="s">
        <v>2119</v>
      </c>
      <c r="I179" s="513" t="s">
        <v>2120</v>
      </c>
      <c r="J179" s="543" t="s">
        <v>2121</v>
      </c>
      <c r="K179" s="512" t="s">
        <v>748</v>
      </c>
      <c r="L179" s="512">
        <v>5</v>
      </c>
      <c r="M179" s="512">
        <v>5</v>
      </c>
      <c r="N179" s="512" t="s">
        <v>748</v>
      </c>
      <c r="O179" s="512" t="s">
        <v>302</v>
      </c>
    </row>
    <row r="180" spans="1:15" ht="90">
      <c r="A180" s="512">
        <v>16</v>
      </c>
      <c r="B180" s="696"/>
      <c r="C180" s="696"/>
      <c r="D180" s="511" t="s">
        <v>743</v>
      </c>
      <c r="E180" s="511" t="s">
        <v>2122</v>
      </c>
      <c r="F180" s="513" t="s">
        <v>2123</v>
      </c>
      <c r="G180" s="513" t="s">
        <v>2124</v>
      </c>
      <c r="H180" s="513" t="s">
        <v>748</v>
      </c>
      <c r="I180" s="513">
        <v>2.33</v>
      </c>
      <c r="J180" s="513" t="s">
        <v>746</v>
      </c>
      <c r="K180" s="512" t="s">
        <v>748</v>
      </c>
      <c r="L180" s="512">
        <v>6</v>
      </c>
      <c r="M180" s="512">
        <v>6</v>
      </c>
      <c r="N180" s="512" t="s">
        <v>748</v>
      </c>
      <c r="O180" s="512" t="s">
        <v>748</v>
      </c>
    </row>
    <row r="181" spans="1:15" ht="60">
      <c r="A181" s="512">
        <v>17</v>
      </c>
      <c r="B181" s="696"/>
      <c r="C181" s="696" t="s">
        <v>781</v>
      </c>
      <c r="D181" s="515" t="s">
        <v>2125</v>
      </c>
      <c r="E181" s="515" t="s">
        <v>782</v>
      </c>
      <c r="F181" s="307">
        <v>870</v>
      </c>
      <c r="G181" s="512" t="s">
        <v>2126</v>
      </c>
      <c r="H181" s="512" t="s">
        <v>17</v>
      </c>
      <c r="I181" s="497">
        <v>0.15</v>
      </c>
      <c r="J181" s="512" t="s">
        <v>1975</v>
      </c>
      <c r="K181" s="546" t="s">
        <v>787</v>
      </c>
      <c r="L181" s="539">
        <v>1</v>
      </c>
      <c r="M181" s="539" t="s">
        <v>35</v>
      </c>
      <c r="N181" s="539" t="s">
        <v>17</v>
      </c>
      <c r="O181" s="539" t="s">
        <v>35</v>
      </c>
    </row>
    <row r="182" spans="1:15" ht="45">
      <c r="A182" s="512">
        <v>18</v>
      </c>
      <c r="B182" s="696"/>
      <c r="C182" s="696"/>
      <c r="D182" s="515" t="s">
        <v>788</v>
      </c>
      <c r="E182" s="515" t="s">
        <v>2127</v>
      </c>
      <c r="F182" s="307">
        <v>103</v>
      </c>
      <c r="G182" s="512" t="s">
        <v>2128</v>
      </c>
      <c r="H182" s="512" t="s">
        <v>17</v>
      </c>
      <c r="I182" s="497">
        <v>7.0000000000000007E-2</v>
      </c>
      <c r="J182" s="512" t="s">
        <v>1975</v>
      </c>
      <c r="K182" s="546" t="s">
        <v>17</v>
      </c>
      <c r="L182" s="539">
        <v>2</v>
      </c>
      <c r="M182" s="539">
        <v>1</v>
      </c>
      <c r="N182" s="539"/>
      <c r="O182" s="539" t="s">
        <v>35</v>
      </c>
    </row>
    <row r="183" spans="1:15" ht="195">
      <c r="A183" s="512">
        <v>19</v>
      </c>
      <c r="B183" s="696"/>
      <c r="C183" s="511" t="s">
        <v>791</v>
      </c>
      <c r="D183" s="515" t="s">
        <v>2129</v>
      </c>
      <c r="E183" s="515" t="s">
        <v>2130</v>
      </c>
      <c r="F183" s="515" t="s">
        <v>2131</v>
      </c>
      <c r="G183" s="512" t="s">
        <v>306</v>
      </c>
      <c r="H183" s="512" t="s">
        <v>306</v>
      </c>
      <c r="I183" s="512" t="s">
        <v>306</v>
      </c>
      <c r="J183" s="512" t="s">
        <v>306</v>
      </c>
      <c r="K183" s="512" t="s">
        <v>17</v>
      </c>
      <c r="L183" s="539">
        <v>3</v>
      </c>
      <c r="M183" s="539" t="s">
        <v>35</v>
      </c>
      <c r="N183" s="539" t="s">
        <v>17</v>
      </c>
      <c r="O183" s="513" t="s">
        <v>2132</v>
      </c>
    </row>
    <row r="184" spans="1:15" ht="45">
      <c r="A184" s="512">
        <v>20</v>
      </c>
      <c r="B184" s="696"/>
      <c r="C184" s="511" t="s">
        <v>802</v>
      </c>
      <c r="D184" s="697" t="s">
        <v>87</v>
      </c>
      <c r="E184" s="698"/>
      <c r="F184" s="698"/>
      <c r="G184" s="698"/>
      <c r="H184" s="698"/>
      <c r="I184" s="698"/>
      <c r="J184" s="698"/>
      <c r="K184" s="698"/>
      <c r="L184" s="698"/>
      <c r="M184" s="698"/>
      <c r="N184" s="698"/>
      <c r="O184" s="24"/>
    </row>
    <row r="185" spans="1:15">
      <c r="A185" s="693"/>
      <c r="B185" s="693"/>
      <c r="C185" s="693"/>
      <c r="D185" s="693"/>
      <c r="E185" s="693"/>
      <c r="F185" s="693"/>
      <c r="G185" s="693"/>
      <c r="H185" s="693"/>
      <c r="I185" s="693"/>
      <c r="J185" s="693"/>
      <c r="K185" s="693"/>
      <c r="L185" s="693"/>
      <c r="M185" s="693"/>
      <c r="N185" s="693"/>
      <c r="O185" s="693"/>
    </row>
    <row r="186" spans="1:15" ht="22.5">
      <c r="A186" s="701" t="s">
        <v>664</v>
      </c>
      <c r="B186" s="701"/>
      <c r="C186" s="701"/>
      <c r="D186" s="701"/>
      <c r="E186" s="701"/>
      <c r="F186" s="701"/>
      <c r="G186" s="701"/>
      <c r="H186" s="701"/>
      <c r="I186" s="701"/>
      <c r="J186" s="701"/>
      <c r="K186" s="701"/>
      <c r="L186" s="701"/>
      <c r="M186" s="701"/>
      <c r="N186" s="701"/>
      <c r="O186" s="701"/>
    </row>
    <row r="187" spans="1:15" ht="20.25">
      <c r="A187" s="559" t="s">
        <v>7710</v>
      </c>
      <c r="B187" s="559"/>
      <c r="C187" s="559"/>
      <c r="D187" s="559"/>
      <c r="E187" s="559"/>
      <c r="F187" s="559"/>
      <c r="G187" s="559"/>
      <c r="H187" s="559"/>
      <c r="I187" s="559"/>
      <c r="J187" s="559"/>
      <c r="K187" s="559"/>
      <c r="L187" s="559"/>
      <c r="M187" s="559"/>
      <c r="N187" s="559"/>
      <c r="O187" s="559"/>
    </row>
    <row r="188" spans="1:15" ht="99.75">
      <c r="A188" s="18" t="s">
        <v>0</v>
      </c>
      <c r="B188" s="18" t="s">
        <v>2631</v>
      </c>
      <c r="C188" s="18" t="s">
        <v>2632</v>
      </c>
      <c r="D188" s="18" t="s">
        <v>1617</v>
      </c>
      <c r="E188" s="18" t="s">
        <v>1618</v>
      </c>
      <c r="F188" s="18" t="s">
        <v>2623</v>
      </c>
      <c r="G188" s="18" t="s">
        <v>1619</v>
      </c>
      <c r="H188" s="19" t="s">
        <v>2624</v>
      </c>
      <c r="I188" s="18" t="s">
        <v>2625</v>
      </c>
      <c r="J188" s="18" t="s">
        <v>1620</v>
      </c>
      <c r="K188" s="19" t="s">
        <v>2633</v>
      </c>
      <c r="L188" s="20" t="s">
        <v>1621</v>
      </c>
      <c r="M188" s="20" t="s">
        <v>1622</v>
      </c>
      <c r="N188" s="19" t="s">
        <v>2634</v>
      </c>
      <c r="O188" s="18" t="s">
        <v>1623</v>
      </c>
    </row>
    <row r="189" spans="1:15">
      <c r="A189" s="530">
        <v>1</v>
      </c>
      <c r="B189" s="530">
        <v>2</v>
      </c>
      <c r="C189" s="530">
        <v>3</v>
      </c>
      <c r="D189" s="530">
        <v>4</v>
      </c>
      <c r="E189" s="530">
        <v>5</v>
      </c>
      <c r="F189" s="530">
        <v>6</v>
      </c>
      <c r="G189" s="530">
        <v>7</v>
      </c>
      <c r="H189" s="530">
        <v>8</v>
      </c>
      <c r="I189" s="19">
        <v>9</v>
      </c>
      <c r="J189" s="530">
        <v>10</v>
      </c>
      <c r="K189" s="530">
        <v>11</v>
      </c>
      <c r="L189" s="530">
        <v>12</v>
      </c>
      <c r="M189" s="530">
        <v>13</v>
      </c>
      <c r="N189" s="530">
        <v>14</v>
      </c>
      <c r="O189" s="530">
        <v>15</v>
      </c>
    </row>
    <row r="190" spans="1:15" ht="60">
      <c r="A190" s="513">
        <v>1</v>
      </c>
      <c r="B190" s="696" t="s">
        <v>6468</v>
      </c>
      <c r="C190" s="511" t="s">
        <v>6469</v>
      </c>
      <c r="D190" s="516" t="s">
        <v>6474</v>
      </c>
      <c r="E190" s="516" t="s">
        <v>7187</v>
      </c>
      <c r="F190" s="513">
        <v>31148.5</v>
      </c>
      <c r="G190" s="513" t="s">
        <v>7188</v>
      </c>
      <c r="H190" s="513" t="s">
        <v>17</v>
      </c>
      <c r="I190" s="513" t="s">
        <v>7189</v>
      </c>
      <c r="J190" s="513" t="s">
        <v>6473</v>
      </c>
      <c r="K190" s="513" t="s">
        <v>7190</v>
      </c>
      <c r="L190" s="513" t="s">
        <v>6475</v>
      </c>
      <c r="M190" s="513" t="s">
        <v>87</v>
      </c>
      <c r="N190" s="513" t="s">
        <v>17</v>
      </c>
      <c r="O190" s="513"/>
    </row>
    <row r="191" spans="1:15" ht="60">
      <c r="A191" s="513">
        <v>2</v>
      </c>
      <c r="B191" s="696"/>
      <c r="C191" s="696" t="s">
        <v>7201</v>
      </c>
      <c r="D191" s="516" t="s">
        <v>7202</v>
      </c>
      <c r="E191" s="516" t="s">
        <v>7206</v>
      </c>
      <c r="F191" s="513">
        <v>771.09</v>
      </c>
      <c r="G191" s="513" t="s">
        <v>7204</v>
      </c>
      <c r="H191" s="298"/>
      <c r="I191" s="298"/>
      <c r="J191" s="298"/>
      <c r="K191" s="298"/>
      <c r="L191" s="298"/>
      <c r="M191" s="298"/>
      <c r="N191" s="298"/>
      <c r="O191" s="500" t="s">
        <v>834</v>
      </c>
    </row>
    <row r="192" spans="1:15" ht="90">
      <c r="A192" s="513">
        <v>3</v>
      </c>
      <c r="B192" s="696"/>
      <c r="C192" s="699"/>
      <c r="D192" s="516" t="s">
        <v>7203</v>
      </c>
      <c r="E192" s="516" t="s">
        <v>7207</v>
      </c>
      <c r="F192" s="513" t="s">
        <v>7208</v>
      </c>
      <c r="G192" s="513" t="s">
        <v>7205</v>
      </c>
      <c r="H192" s="298"/>
      <c r="I192" s="298"/>
      <c r="J192" s="298"/>
      <c r="K192" s="298"/>
      <c r="L192" s="298"/>
      <c r="M192" s="298"/>
      <c r="N192" s="298"/>
      <c r="O192" s="513" t="s">
        <v>7209</v>
      </c>
    </row>
    <row r="193" spans="1:15" ht="120">
      <c r="A193" s="513">
        <v>4</v>
      </c>
      <c r="B193" s="696"/>
      <c r="C193" s="696" t="s">
        <v>7185</v>
      </c>
      <c r="D193" s="516" t="s">
        <v>7226</v>
      </c>
      <c r="E193" s="516" t="s">
        <v>7324</v>
      </c>
      <c r="F193" s="513" t="s">
        <v>17</v>
      </c>
      <c r="G193" s="513" t="s">
        <v>7227</v>
      </c>
      <c r="H193" s="513" t="s">
        <v>748</v>
      </c>
      <c r="I193" s="513" t="s">
        <v>7228</v>
      </c>
      <c r="J193" s="513" t="s">
        <v>17</v>
      </c>
      <c r="K193" s="513" t="s">
        <v>87</v>
      </c>
      <c r="L193" s="513" t="s">
        <v>35</v>
      </c>
      <c r="M193" s="513">
        <v>1</v>
      </c>
      <c r="N193" s="513" t="s">
        <v>748</v>
      </c>
      <c r="O193" s="527" t="s">
        <v>35</v>
      </c>
    </row>
    <row r="194" spans="1:15" ht="105">
      <c r="A194" s="513">
        <v>5</v>
      </c>
      <c r="B194" s="696"/>
      <c r="C194" s="696"/>
      <c r="D194" s="516" t="s">
        <v>7229</v>
      </c>
      <c r="E194" s="516" t="s">
        <v>7325</v>
      </c>
      <c r="F194" s="513">
        <v>3644.76</v>
      </c>
      <c r="G194" s="513" t="s">
        <v>6489</v>
      </c>
      <c r="H194" s="513" t="s">
        <v>748</v>
      </c>
      <c r="I194" s="513" t="s">
        <v>17</v>
      </c>
      <c r="J194" s="513" t="s">
        <v>17</v>
      </c>
      <c r="K194" s="513" t="s">
        <v>87</v>
      </c>
      <c r="L194" s="544">
        <v>1</v>
      </c>
      <c r="M194" s="544" t="s">
        <v>35</v>
      </c>
      <c r="N194" s="513" t="s">
        <v>748</v>
      </c>
      <c r="O194" s="527" t="s">
        <v>35</v>
      </c>
    </row>
    <row r="195" spans="1:15" ht="90">
      <c r="A195" s="513">
        <v>6</v>
      </c>
      <c r="B195" s="696"/>
      <c r="C195" s="696"/>
      <c r="D195" s="513" t="s">
        <v>7230</v>
      </c>
      <c r="E195" s="300" t="s">
        <v>7326</v>
      </c>
      <c r="F195" s="513">
        <v>976.39</v>
      </c>
      <c r="G195" s="513" t="s">
        <v>6496</v>
      </c>
      <c r="H195" s="513" t="s">
        <v>748</v>
      </c>
      <c r="I195" s="513" t="s">
        <v>7231</v>
      </c>
      <c r="J195" s="513" t="s">
        <v>17</v>
      </c>
      <c r="K195" s="513" t="s">
        <v>87</v>
      </c>
      <c r="L195" s="513" t="s">
        <v>35</v>
      </c>
      <c r="M195" s="513">
        <v>2</v>
      </c>
      <c r="N195" s="513" t="s">
        <v>748</v>
      </c>
      <c r="O195" s="512" t="s">
        <v>35</v>
      </c>
    </row>
    <row r="196" spans="1:15" ht="15">
      <c r="A196" s="513">
        <v>7</v>
      </c>
      <c r="B196" s="696"/>
      <c r="C196" s="511" t="s">
        <v>7186</v>
      </c>
      <c r="D196" s="694" t="s">
        <v>87</v>
      </c>
      <c r="E196" s="694"/>
      <c r="F196" s="694"/>
      <c r="G196" s="694"/>
      <c r="H196" s="694"/>
      <c r="I196" s="694"/>
      <c r="J196" s="694"/>
      <c r="K196" s="694"/>
      <c r="L196" s="694"/>
      <c r="M196" s="694"/>
      <c r="N196" s="694"/>
      <c r="O196" s="694"/>
    </row>
    <row r="197" spans="1:15">
      <c r="A197" s="693"/>
      <c r="B197" s="693"/>
      <c r="C197" s="693"/>
      <c r="D197" s="693"/>
      <c r="E197" s="693"/>
      <c r="F197" s="693"/>
      <c r="G197" s="693"/>
      <c r="H197" s="693"/>
      <c r="I197" s="693"/>
      <c r="J197" s="693"/>
      <c r="K197" s="693"/>
      <c r="L197" s="693"/>
      <c r="M197" s="693"/>
      <c r="N197" s="693"/>
      <c r="O197" s="693"/>
    </row>
    <row r="198" spans="1:15" ht="22.5">
      <c r="A198" s="701" t="s">
        <v>665</v>
      </c>
      <c r="B198" s="701"/>
      <c r="C198" s="701"/>
      <c r="D198" s="701"/>
      <c r="E198" s="701"/>
      <c r="F198" s="701"/>
      <c r="G198" s="701"/>
      <c r="H198" s="701"/>
      <c r="I198" s="701"/>
      <c r="J198" s="701"/>
      <c r="K198" s="701"/>
      <c r="L198" s="701"/>
      <c r="M198" s="701"/>
      <c r="N198" s="701"/>
      <c r="O198" s="701"/>
    </row>
    <row r="199" spans="1:15" ht="20.25">
      <c r="A199" s="559" t="s">
        <v>7710</v>
      </c>
      <c r="B199" s="559"/>
      <c r="C199" s="559"/>
      <c r="D199" s="559"/>
      <c r="E199" s="559"/>
      <c r="F199" s="559"/>
      <c r="G199" s="559"/>
      <c r="H199" s="559"/>
      <c r="I199" s="559"/>
      <c r="J199" s="559"/>
      <c r="K199" s="559"/>
      <c r="L199" s="559"/>
      <c r="M199" s="559"/>
      <c r="N199" s="559"/>
      <c r="O199" s="559"/>
    </row>
    <row r="200" spans="1:15" ht="99.75">
      <c r="A200" s="18" t="s">
        <v>0</v>
      </c>
      <c r="B200" s="18" t="s">
        <v>2631</v>
      </c>
      <c r="C200" s="18" t="s">
        <v>2632</v>
      </c>
      <c r="D200" s="18" t="s">
        <v>1617</v>
      </c>
      <c r="E200" s="18" t="s">
        <v>1618</v>
      </c>
      <c r="F200" s="18" t="s">
        <v>2623</v>
      </c>
      <c r="G200" s="18" t="s">
        <v>1619</v>
      </c>
      <c r="H200" s="19" t="s">
        <v>2624</v>
      </c>
      <c r="I200" s="18" t="s">
        <v>2625</v>
      </c>
      <c r="J200" s="18" t="s">
        <v>1620</v>
      </c>
      <c r="K200" s="19" t="s">
        <v>2633</v>
      </c>
      <c r="L200" s="20" t="s">
        <v>1621</v>
      </c>
      <c r="M200" s="20" t="s">
        <v>1622</v>
      </c>
      <c r="N200" s="19" t="s">
        <v>2634</v>
      </c>
      <c r="O200" s="18" t="s">
        <v>1623</v>
      </c>
    </row>
    <row r="201" spans="1:15">
      <c r="A201" s="530">
        <v>1</v>
      </c>
      <c r="B201" s="530">
        <v>2</v>
      </c>
      <c r="C201" s="530">
        <v>3</v>
      </c>
      <c r="D201" s="530">
        <v>4</v>
      </c>
      <c r="E201" s="530">
        <v>5</v>
      </c>
      <c r="F201" s="530">
        <v>6</v>
      </c>
      <c r="G201" s="530">
        <v>7</v>
      </c>
      <c r="H201" s="530">
        <v>8</v>
      </c>
      <c r="I201" s="19">
        <v>9</v>
      </c>
      <c r="J201" s="530">
        <v>10</v>
      </c>
      <c r="K201" s="530">
        <v>11</v>
      </c>
      <c r="L201" s="530">
        <v>12</v>
      </c>
      <c r="M201" s="530">
        <v>13</v>
      </c>
      <c r="N201" s="530">
        <v>14</v>
      </c>
      <c r="O201" s="530">
        <v>15</v>
      </c>
    </row>
    <row r="202" spans="1:15" ht="105">
      <c r="A202" s="497">
        <v>1</v>
      </c>
      <c r="B202" s="553" t="s">
        <v>6622</v>
      </c>
      <c r="C202" s="499" t="s">
        <v>7025</v>
      </c>
      <c r="D202" s="499" t="s">
        <v>7026</v>
      </c>
      <c r="E202" s="499" t="s">
        <v>3225</v>
      </c>
      <c r="F202" s="500">
        <v>2147.0300000000002</v>
      </c>
      <c r="G202" s="500" t="s">
        <v>7027</v>
      </c>
      <c r="H202" s="500" t="s">
        <v>17</v>
      </c>
      <c r="I202" s="500" t="s">
        <v>17</v>
      </c>
      <c r="J202" s="500" t="s">
        <v>17</v>
      </c>
      <c r="K202" s="500" t="s">
        <v>17</v>
      </c>
      <c r="L202" s="500">
        <v>1</v>
      </c>
      <c r="M202" s="500" t="s">
        <v>17</v>
      </c>
      <c r="N202" s="500" t="s">
        <v>17</v>
      </c>
      <c r="O202" s="500" t="s">
        <v>2520</v>
      </c>
    </row>
    <row r="203" spans="1:15" ht="75">
      <c r="A203" s="600">
        <v>2</v>
      </c>
      <c r="B203" s="553"/>
      <c r="C203" s="553" t="s">
        <v>6628</v>
      </c>
      <c r="D203" s="499" t="s">
        <v>2521</v>
      </c>
      <c r="E203" s="499" t="s">
        <v>7028</v>
      </c>
      <c r="F203" s="497">
        <v>8900.8700000000008</v>
      </c>
      <c r="G203" s="500" t="s">
        <v>7049</v>
      </c>
      <c r="H203" s="497"/>
      <c r="I203" s="497" t="s">
        <v>1008</v>
      </c>
      <c r="J203" s="497" t="s">
        <v>26</v>
      </c>
      <c r="K203" s="497"/>
      <c r="L203" s="497">
        <v>1</v>
      </c>
      <c r="M203" s="497">
        <v>1</v>
      </c>
      <c r="N203" s="497"/>
      <c r="O203" s="497"/>
    </row>
    <row r="204" spans="1:15" ht="90">
      <c r="A204" s="600"/>
      <c r="B204" s="553"/>
      <c r="C204" s="553"/>
      <c r="D204" s="499" t="s">
        <v>2569</v>
      </c>
      <c r="E204" s="499" t="s">
        <v>7029</v>
      </c>
      <c r="F204" s="497">
        <v>966.62</v>
      </c>
      <c r="G204" s="497" t="s">
        <v>2545</v>
      </c>
      <c r="H204" s="500">
        <v>1987</v>
      </c>
      <c r="I204" s="500" t="s">
        <v>2546</v>
      </c>
      <c r="J204" s="497">
        <v>4750</v>
      </c>
      <c r="K204" s="497" t="s">
        <v>26</v>
      </c>
      <c r="L204" s="497">
        <v>2</v>
      </c>
      <c r="M204" s="500">
        <v>2</v>
      </c>
      <c r="N204" s="497"/>
      <c r="O204" s="500" t="s">
        <v>7030</v>
      </c>
    </row>
    <row r="205" spans="1:15" ht="45">
      <c r="A205" s="497">
        <v>3</v>
      </c>
      <c r="B205" s="553"/>
      <c r="C205" s="499" t="s">
        <v>7031</v>
      </c>
      <c r="D205" s="498" t="s">
        <v>2549</v>
      </c>
      <c r="E205" s="499" t="s">
        <v>7032</v>
      </c>
      <c r="F205" s="497">
        <v>7734</v>
      </c>
      <c r="G205" s="497" t="s">
        <v>7033</v>
      </c>
      <c r="H205" s="500" t="s">
        <v>7034</v>
      </c>
      <c r="I205" s="497">
        <v>0.11600000000000001</v>
      </c>
      <c r="J205" s="497" t="s">
        <v>193</v>
      </c>
      <c r="K205" s="497" t="s">
        <v>26</v>
      </c>
      <c r="L205" s="497">
        <v>1</v>
      </c>
      <c r="M205" s="497">
        <v>1</v>
      </c>
      <c r="N205" s="497" t="s">
        <v>193</v>
      </c>
      <c r="O205" s="497" t="s">
        <v>87</v>
      </c>
    </row>
    <row r="206" spans="1:15" ht="45">
      <c r="A206" s="595">
        <v>4</v>
      </c>
      <c r="B206" s="553"/>
      <c r="C206" s="553" t="s">
        <v>7035</v>
      </c>
      <c r="D206" s="499" t="s">
        <v>7036</v>
      </c>
      <c r="E206" s="499" t="s">
        <v>7037</v>
      </c>
      <c r="F206" s="500">
        <v>765.94</v>
      </c>
      <c r="G206" s="500"/>
      <c r="H206" s="253">
        <v>30560</v>
      </c>
      <c r="I206" s="500">
        <v>0.12</v>
      </c>
      <c r="J206" s="500"/>
      <c r="K206" s="500"/>
      <c r="L206" s="500">
        <v>1</v>
      </c>
      <c r="M206" s="500"/>
      <c r="N206" s="500"/>
      <c r="O206" s="500"/>
    </row>
    <row r="207" spans="1:15" ht="90">
      <c r="A207" s="595"/>
      <c r="B207" s="553"/>
      <c r="C207" s="553"/>
      <c r="D207" s="499" t="s">
        <v>7038</v>
      </c>
      <c r="E207" s="499" t="s">
        <v>7039</v>
      </c>
      <c r="F207" s="500"/>
      <c r="G207" s="500" t="s">
        <v>7040</v>
      </c>
      <c r="H207" s="500"/>
      <c r="I207" s="500">
        <v>4.7899999999999998E-2</v>
      </c>
      <c r="J207" s="500"/>
      <c r="K207" s="500"/>
      <c r="L207" s="500">
        <v>2</v>
      </c>
      <c r="M207" s="500"/>
      <c r="N207" s="500"/>
      <c r="O207" s="500"/>
    </row>
    <row r="208" spans="1:15" ht="90">
      <c r="A208" s="600">
        <v>5</v>
      </c>
      <c r="B208" s="553"/>
      <c r="C208" s="553" t="s">
        <v>7041</v>
      </c>
      <c r="D208" s="499" t="s">
        <v>7042</v>
      </c>
      <c r="E208" s="499" t="s">
        <v>7043</v>
      </c>
      <c r="F208" s="500">
        <v>1860.69</v>
      </c>
      <c r="G208" s="500"/>
      <c r="H208" s="253"/>
      <c r="I208" s="500"/>
      <c r="J208" s="500"/>
      <c r="K208" s="500" t="s">
        <v>7044</v>
      </c>
      <c r="L208" s="500"/>
      <c r="M208" s="500"/>
      <c r="N208" s="500"/>
      <c r="O208" s="500" t="s">
        <v>7045</v>
      </c>
    </row>
    <row r="209" spans="1:15" ht="75">
      <c r="A209" s="600"/>
      <c r="B209" s="553"/>
      <c r="C209" s="553"/>
      <c r="D209" s="499" t="s">
        <v>7046</v>
      </c>
      <c r="E209" s="499" t="s">
        <v>7047</v>
      </c>
      <c r="F209" s="172">
        <v>4353.5</v>
      </c>
      <c r="G209" s="500" t="s">
        <v>2558</v>
      </c>
      <c r="H209" s="500"/>
      <c r="I209" s="500">
        <v>6.14</v>
      </c>
      <c r="J209" s="500"/>
      <c r="K209" s="500"/>
      <c r="L209" s="500"/>
      <c r="M209" s="500"/>
      <c r="N209" s="500"/>
      <c r="O209" s="500" t="s">
        <v>7048</v>
      </c>
    </row>
    <row r="210" spans="1:15" ht="15">
      <c r="A210" s="600"/>
      <c r="B210" s="600"/>
      <c r="C210" s="600"/>
      <c r="D210" s="600"/>
      <c r="E210" s="600"/>
      <c r="F210" s="600"/>
      <c r="G210" s="600"/>
      <c r="H210" s="600"/>
      <c r="I210" s="600"/>
      <c r="J210" s="600"/>
      <c r="K210" s="600"/>
      <c r="L210" s="600"/>
      <c r="M210" s="600"/>
      <c r="N210" s="600"/>
      <c r="O210" s="600"/>
    </row>
    <row r="211" spans="1:15" ht="22.5">
      <c r="A211" s="700" t="s">
        <v>666</v>
      </c>
      <c r="B211" s="700"/>
      <c r="C211" s="700"/>
      <c r="D211" s="700"/>
      <c r="E211" s="700"/>
      <c r="F211" s="700"/>
      <c r="G211" s="700"/>
      <c r="H211" s="700"/>
      <c r="I211" s="700"/>
      <c r="J211" s="700"/>
      <c r="K211" s="700"/>
      <c r="L211" s="700"/>
      <c r="M211" s="700"/>
      <c r="N211" s="700"/>
      <c r="O211" s="700"/>
    </row>
    <row r="212" spans="1:15" ht="20.25">
      <c r="A212" s="559" t="s">
        <v>7710</v>
      </c>
      <c r="B212" s="559"/>
      <c r="C212" s="559"/>
      <c r="D212" s="559"/>
      <c r="E212" s="559"/>
      <c r="F212" s="559"/>
      <c r="G212" s="559"/>
      <c r="H212" s="559"/>
      <c r="I212" s="559"/>
      <c r="J212" s="559"/>
      <c r="K212" s="559"/>
      <c r="L212" s="559"/>
      <c r="M212" s="559"/>
      <c r="N212" s="559"/>
      <c r="O212" s="559"/>
    </row>
    <row r="213" spans="1:15" ht="99.75">
      <c r="A213" s="18" t="s">
        <v>0</v>
      </c>
      <c r="B213" s="18" t="s">
        <v>2631</v>
      </c>
      <c r="C213" s="18" t="s">
        <v>2632</v>
      </c>
      <c r="D213" s="18" t="s">
        <v>1617</v>
      </c>
      <c r="E213" s="18" t="s">
        <v>1618</v>
      </c>
      <c r="F213" s="18" t="s">
        <v>2623</v>
      </c>
      <c r="G213" s="18" t="s">
        <v>1619</v>
      </c>
      <c r="H213" s="19" t="s">
        <v>2624</v>
      </c>
      <c r="I213" s="18" t="s">
        <v>2625</v>
      </c>
      <c r="J213" s="18" t="s">
        <v>1620</v>
      </c>
      <c r="K213" s="19" t="s">
        <v>2633</v>
      </c>
      <c r="L213" s="20" t="s">
        <v>1621</v>
      </c>
      <c r="M213" s="20" t="s">
        <v>1622</v>
      </c>
      <c r="N213" s="19" t="s">
        <v>2634</v>
      </c>
      <c r="O213" s="18" t="s">
        <v>1623</v>
      </c>
    </row>
    <row r="214" spans="1:15">
      <c r="A214" s="530">
        <v>1</v>
      </c>
      <c r="B214" s="530">
        <v>2</v>
      </c>
      <c r="C214" s="530">
        <v>3</v>
      </c>
      <c r="D214" s="530">
        <v>4</v>
      </c>
      <c r="E214" s="530">
        <v>5</v>
      </c>
      <c r="F214" s="530">
        <v>6</v>
      </c>
      <c r="G214" s="530">
        <v>7</v>
      </c>
      <c r="H214" s="530">
        <v>8</v>
      </c>
      <c r="I214" s="19">
        <v>9</v>
      </c>
      <c r="J214" s="530">
        <v>10</v>
      </c>
      <c r="K214" s="530">
        <v>11</v>
      </c>
      <c r="L214" s="530">
        <v>12</v>
      </c>
      <c r="M214" s="530">
        <v>13</v>
      </c>
      <c r="N214" s="530">
        <v>14</v>
      </c>
      <c r="O214" s="530">
        <v>15</v>
      </c>
    </row>
    <row r="215" spans="1:15" ht="45">
      <c r="A215" s="512">
        <v>1</v>
      </c>
      <c r="B215" s="696" t="s">
        <v>2603</v>
      </c>
      <c r="C215" s="523" t="s">
        <v>808</v>
      </c>
      <c r="D215" s="515" t="s">
        <v>813</v>
      </c>
      <c r="E215" s="511" t="s">
        <v>2133</v>
      </c>
      <c r="F215" s="513" t="s">
        <v>2134</v>
      </c>
      <c r="G215" s="512" t="s">
        <v>2135</v>
      </c>
      <c r="H215" s="512" t="s">
        <v>35</v>
      </c>
      <c r="I215" s="512">
        <v>1.35</v>
      </c>
      <c r="J215" s="512" t="s">
        <v>17</v>
      </c>
      <c r="K215" s="512" t="s">
        <v>17</v>
      </c>
      <c r="L215" s="512">
        <v>1</v>
      </c>
      <c r="M215" s="512" t="s">
        <v>35</v>
      </c>
      <c r="N215" s="512" t="s">
        <v>35</v>
      </c>
      <c r="O215" s="512"/>
    </row>
    <row r="216" spans="1:15" ht="315">
      <c r="A216" s="512">
        <v>2</v>
      </c>
      <c r="B216" s="696"/>
      <c r="C216" s="696" t="s">
        <v>816</v>
      </c>
      <c r="D216" s="511" t="s">
        <v>2645</v>
      </c>
      <c r="E216" s="511" t="s">
        <v>2644</v>
      </c>
      <c r="F216" s="512">
        <v>1180</v>
      </c>
      <c r="G216" s="512">
        <v>1959</v>
      </c>
      <c r="H216" s="513" t="s">
        <v>35</v>
      </c>
      <c r="I216" s="513" t="s">
        <v>352</v>
      </c>
      <c r="J216" s="513" t="s">
        <v>2136</v>
      </c>
      <c r="K216" s="513" t="s">
        <v>2137</v>
      </c>
      <c r="L216" s="513">
        <v>2</v>
      </c>
      <c r="M216" s="513" t="s">
        <v>35</v>
      </c>
      <c r="N216" s="513" t="s">
        <v>35</v>
      </c>
      <c r="O216" s="531" t="s">
        <v>818</v>
      </c>
    </row>
    <row r="217" spans="1:15" ht="45">
      <c r="A217" s="512">
        <v>3</v>
      </c>
      <c r="B217" s="696"/>
      <c r="C217" s="696"/>
      <c r="D217" s="511" t="s">
        <v>819</v>
      </c>
      <c r="E217" s="511" t="s">
        <v>2138</v>
      </c>
      <c r="F217" s="512">
        <v>928.23</v>
      </c>
      <c r="G217" s="512" t="s">
        <v>17</v>
      </c>
      <c r="H217" s="512" t="s">
        <v>820</v>
      </c>
      <c r="I217" s="512">
        <v>0.2253</v>
      </c>
      <c r="J217" s="512" t="s">
        <v>2139</v>
      </c>
      <c r="K217" s="512" t="s">
        <v>17</v>
      </c>
      <c r="L217" s="512">
        <v>3</v>
      </c>
      <c r="M217" s="512" t="s">
        <v>35</v>
      </c>
      <c r="N217" s="512" t="s">
        <v>35</v>
      </c>
      <c r="O217" s="512"/>
    </row>
    <row r="218" spans="1:15" ht="45">
      <c r="A218" s="512">
        <v>4</v>
      </c>
      <c r="B218" s="696"/>
      <c r="C218" s="511" t="s">
        <v>2140</v>
      </c>
      <c r="D218" s="511" t="s">
        <v>2141</v>
      </c>
      <c r="E218" s="511" t="s">
        <v>2142</v>
      </c>
      <c r="F218" s="513">
        <v>3053</v>
      </c>
      <c r="G218" s="512" t="s">
        <v>17</v>
      </c>
      <c r="H218" s="513" t="s">
        <v>2143</v>
      </c>
      <c r="I218" s="513">
        <v>2.72</v>
      </c>
      <c r="J218" s="513" t="s">
        <v>2144</v>
      </c>
      <c r="K218" s="512"/>
      <c r="L218" s="512" t="s">
        <v>17</v>
      </c>
      <c r="M218" s="512" t="s">
        <v>17</v>
      </c>
      <c r="N218" s="512"/>
      <c r="O218" s="512"/>
    </row>
    <row r="219" spans="1:15" ht="255">
      <c r="A219" s="512">
        <v>5</v>
      </c>
      <c r="B219" s="696"/>
      <c r="C219" s="511" t="s">
        <v>821</v>
      </c>
      <c r="D219" s="511" t="s">
        <v>2145</v>
      </c>
      <c r="E219" s="511" t="s">
        <v>2146</v>
      </c>
      <c r="F219" s="513">
        <v>1520.48</v>
      </c>
      <c r="G219" s="513" t="s">
        <v>822</v>
      </c>
      <c r="H219" s="512" t="s">
        <v>17</v>
      </c>
      <c r="I219" s="513">
        <v>2.64</v>
      </c>
      <c r="J219" s="513" t="s">
        <v>2147</v>
      </c>
      <c r="K219" s="513" t="s">
        <v>2148</v>
      </c>
      <c r="L219" s="512">
        <v>4</v>
      </c>
      <c r="M219" s="512" t="s">
        <v>17</v>
      </c>
      <c r="N219" s="512"/>
      <c r="O219" s="512"/>
    </row>
    <row r="220" spans="1:15" ht="60">
      <c r="A220" s="512">
        <v>6</v>
      </c>
      <c r="B220" s="696"/>
      <c r="C220" s="511" t="s">
        <v>824</v>
      </c>
      <c r="D220" s="511" t="s">
        <v>825</v>
      </c>
      <c r="E220" s="511" t="s">
        <v>2149</v>
      </c>
      <c r="F220" s="513">
        <v>618.26</v>
      </c>
      <c r="G220" s="513" t="s">
        <v>2150</v>
      </c>
      <c r="H220" s="512" t="s">
        <v>17</v>
      </c>
      <c r="I220" s="513">
        <v>1.02</v>
      </c>
      <c r="J220" s="512" t="s">
        <v>17</v>
      </c>
      <c r="K220" s="512" t="s">
        <v>17</v>
      </c>
      <c r="L220" s="512">
        <v>5</v>
      </c>
      <c r="M220" s="512" t="s">
        <v>17</v>
      </c>
      <c r="N220" s="512" t="s">
        <v>2151</v>
      </c>
      <c r="O220" s="512"/>
    </row>
    <row r="221" spans="1:15" ht="60">
      <c r="A221" s="512">
        <v>7</v>
      </c>
      <c r="B221" s="696"/>
      <c r="C221" s="511" t="s">
        <v>2152</v>
      </c>
      <c r="D221" s="511" t="s">
        <v>2153</v>
      </c>
      <c r="E221" s="511" t="s">
        <v>2154</v>
      </c>
      <c r="F221" s="513">
        <v>726</v>
      </c>
      <c r="G221" s="512" t="s">
        <v>17</v>
      </c>
      <c r="H221" s="513" t="s">
        <v>2155</v>
      </c>
      <c r="I221" s="513" t="s">
        <v>274</v>
      </c>
      <c r="J221" s="513" t="s">
        <v>2156</v>
      </c>
      <c r="K221" s="512"/>
      <c r="L221" s="512" t="s">
        <v>17</v>
      </c>
      <c r="M221" s="512" t="s">
        <v>17</v>
      </c>
      <c r="N221" s="512"/>
      <c r="O221" s="512"/>
    </row>
    <row r="222" spans="1:15" ht="45">
      <c r="A222" s="512">
        <v>8</v>
      </c>
      <c r="B222" s="696"/>
      <c r="C222" s="511" t="s">
        <v>826</v>
      </c>
      <c r="D222" s="511" t="s">
        <v>2157</v>
      </c>
      <c r="E222" s="511" t="s">
        <v>2158</v>
      </c>
      <c r="F222" s="513">
        <v>1088.0999999999999</v>
      </c>
      <c r="G222" s="513" t="s">
        <v>828</v>
      </c>
      <c r="H222" s="512" t="s">
        <v>17</v>
      </c>
      <c r="I222" s="513">
        <v>0.28999999999999998</v>
      </c>
      <c r="J222" s="513" t="s">
        <v>2159</v>
      </c>
      <c r="K222" s="512"/>
      <c r="L222" s="512">
        <v>6</v>
      </c>
      <c r="M222" s="512" t="s">
        <v>17</v>
      </c>
      <c r="N222" s="512"/>
      <c r="O222" s="512"/>
    </row>
    <row r="223" spans="1:15" ht="60">
      <c r="A223" s="512">
        <v>9</v>
      </c>
      <c r="B223" s="696"/>
      <c r="C223" s="511" t="s">
        <v>830</v>
      </c>
      <c r="D223" s="511" t="s">
        <v>2160</v>
      </c>
      <c r="E223" s="511" t="s">
        <v>2161</v>
      </c>
      <c r="F223" s="512">
        <v>4335</v>
      </c>
      <c r="G223" s="512" t="s">
        <v>863</v>
      </c>
      <c r="H223" s="517" t="s">
        <v>17</v>
      </c>
      <c r="I223" s="512">
        <v>1.97</v>
      </c>
      <c r="J223" s="513" t="s">
        <v>864</v>
      </c>
      <c r="K223" s="512" t="s">
        <v>515</v>
      </c>
      <c r="L223" s="512" t="s">
        <v>518</v>
      </c>
      <c r="M223" s="512">
        <v>1</v>
      </c>
      <c r="N223" s="517" t="s">
        <v>17</v>
      </c>
      <c r="O223" s="513" t="s">
        <v>2162</v>
      </c>
    </row>
    <row r="224" spans="1:15" ht="75">
      <c r="A224" s="512">
        <v>10</v>
      </c>
      <c r="B224" s="696"/>
      <c r="C224" s="511" t="s">
        <v>830</v>
      </c>
      <c r="D224" s="511" t="s">
        <v>831</v>
      </c>
      <c r="E224" s="511" t="s">
        <v>2163</v>
      </c>
      <c r="F224" s="512">
        <v>210</v>
      </c>
      <c r="G224" s="512" t="s">
        <v>832</v>
      </c>
      <c r="H224" s="517" t="s">
        <v>17</v>
      </c>
      <c r="I224" s="512">
        <v>0.30399999999999999</v>
      </c>
      <c r="J224" s="513" t="s">
        <v>864</v>
      </c>
      <c r="K224" s="512" t="s">
        <v>515</v>
      </c>
      <c r="L224" s="512">
        <v>7</v>
      </c>
      <c r="M224" s="512" t="s">
        <v>518</v>
      </c>
      <c r="N224" s="517" t="s">
        <v>17</v>
      </c>
      <c r="O224" s="513" t="s">
        <v>2164</v>
      </c>
    </row>
    <row r="225" spans="1:15" ht="75">
      <c r="A225" s="512">
        <v>11</v>
      </c>
      <c r="B225" s="696"/>
      <c r="C225" s="519" t="s">
        <v>835</v>
      </c>
      <c r="D225" s="511" t="s">
        <v>2165</v>
      </c>
      <c r="E225" s="511" t="s">
        <v>2166</v>
      </c>
      <c r="F225" s="512">
        <v>4134</v>
      </c>
      <c r="G225" s="512">
        <v>1985</v>
      </c>
      <c r="H225" s="517" t="s">
        <v>17</v>
      </c>
      <c r="I225" s="512">
        <v>2.97</v>
      </c>
      <c r="J225" s="513" t="s">
        <v>2167</v>
      </c>
      <c r="K225" s="513" t="s">
        <v>2168</v>
      </c>
      <c r="L225" s="512">
        <v>8</v>
      </c>
      <c r="M225" s="512" t="s">
        <v>17</v>
      </c>
      <c r="N225" s="517" t="s">
        <v>17</v>
      </c>
      <c r="O225" s="512" t="s">
        <v>193</v>
      </c>
    </row>
    <row r="226" spans="1:15" ht="45">
      <c r="A226" s="512">
        <v>12</v>
      </c>
      <c r="B226" s="696"/>
      <c r="C226" s="310" t="s">
        <v>840</v>
      </c>
      <c r="D226" s="519" t="s">
        <v>2169</v>
      </c>
      <c r="E226" s="519" t="s">
        <v>841</v>
      </c>
      <c r="F226" s="512">
        <v>3132</v>
      </c>
      <c r="G226" s="512">
        <v>1993</v>
      </c>
      <c r="H226" s="517" t="s">
        <v>17</v>
      </c>
      <c r="I226" s="512">
        <v>4.47</v>
      </c>
      <c r="J226" s="307" t="s">
        <v>2170</v>
      </c>
      <c r="K226" s="129" t="s">
        <v>515</v>
      </c>
      <c r="L226" s="512">
        <v>9</v>
      </c>
      <c r="M226" s="512" t="s">
        <v>17</v>
      </c>
      <c r="N226" s="517" t="s">
        <v>17</v>
      </c>
      <c r="O226" s="512" t="s">
        <v>17</v>
      </c>
    </row>
    <row r="227" spans="1:15" ht="75">
      <c r="A227" s="512">
        <v>13</v>
      </c>
      <c r="B227" s="696"/>
      <c r="C227" s="519" t="s">
        <v>843</v>
      </c>
      <c r="D227" s="519" t="s">
        <v>844</v>
      </c>
      <c r="E227" s="519" t="s">
        <v>2171</v>
      </c>
      <c r="F227" s="512">
        <v>2650.7</v>
      </c>
      <c r="G227" s="512" t="s">
        <v>320</v>
      </c>
      <c r="H227" s="517" t="s">
        <v>17</v>
      </c>
      <c r="I227" s="512">
        <v>5.0599999999999996</v>
      </c>
      <c r="J227" s="307" t="s">
        <v>2170</v>
      </c>
      <c r="K227" s="129" t="s">
        <v>515</v>
      </c>
      <c r="L227" s="512">
        <v>10</v>
      </c>
      <c r="M227" s="512" t="s">
        <v>17</v>
      </c>
      <c r="N227" s="517" t="s">
        <v>17</v>
      </c>
      <c r="O227" s="517" t="s">
        <v>17</v>
      </c>
    </row>
    <row r="228" spans="1:15" ht="75">
      <c r="A228" s="512">
        <v>14</v>
      </c>
      <c r="B228" s="696"/>
      <c r="C228" s="519" t="s">
        <v>845</v>
      </c>
      <c r="D228" s="511" t="s">
        <v>2172</v>
      </c>
      <c r="E228" s="511" t="s">
        <v>2173</v>
      </c>
      <c r="F228" s="512">
        <v>3052.56</v>
      </c>
      <c r="G228" s="512" t="s">
        <v>847</v>
      </c>
      <c r="H228" s="517" t="s">
        <v>17</v>
      </c>
      <c r="I228" s="512">
        <v>1.95</v>
      </c>
      <c r="J228" s="513">
        <v>95000</v>
      </c>
      <c r="K228" s="517" t="s">
        <v>17</v>
      </c>
      <c r="L228" s="512">
        <v>11</v>
      </c>
      <c r="M228" s="512" t="s">
        <v>17</v>
      </c>
      <c r="N228" s="517" t="s">
        <v>17</v>
      </c>
      <c r="O228" s="517" t="s">
        <v>17</v>
      </c>
    </row>
    <row r="229" spans="1:15">
      <c r="A229" s="693"/>
      <c r="B229" s="693"/>
      <c r="C229" s="693"/>
      <c r="D229" s="693"/>
      <c r="E229" s="693"/>
      <c r="F229" s="693"/>
      <c r="G229" s="693"/>
      <c r="H229" s="693"/>
      <c r="I229" s="693"/>
      <c r="J229" s="693"/>
      <c r="K229" s="693"/>
      <c r="L229" s="693"/>
      <c r="M229" s="693"/>
      <c r="N229" s="693"/>
      <c r="O229" s="693"/>
    </row>
    <row r="230" spans="1:15" ht="22.5">
      <c r="A230" s="700" t="s">
        <v>667</v>
      </c>
      <c r="B230" s="700"/>
      <c r="C230" s="700"/>
      <c r="D230" s="700"/>
      <c r="E230" s="700"/>
      <c r="F230" s="700"/>
      <c r="G230" s="700"/>
      <c r="H230" s="700"/>
      <c r="I230" s="700"/>
      <c r="J230" s="700"/>
      <c r="K230" s="700"/>
      <c r="L230" s="700"/>
      <c r="M230" s="700"/>
      <c r="N230" s="700"/>
      <c r="O230" s="700"/>
    </row>
    <row r="231" spans="1:15" ht="20.25">
      <c r="A231" s="559" t="s">
        <v>7710</v>
      </c>
      <c r="B231" s="559"/>
      <c r="C231" s="559"/>
      <c r="D231" s="559"/>
      <c r="E231" s="559"/>
      <c r="F231" s="559"/>
      <c r="G231" s="559"/>
      <c r="H231" s="559"/>
      <c r="I231" s="559"/>
      <c r="J231" s="559"/>
      <c r="K231" s="559"/>
      <c r="L231" s="559"/>
      <c r="M231" s="559"/>
      <c r="N231" s="559"/>
      <c r="O231" s="559"/>
    </row>
    <row r="232" spans="1:15" ht="99.75">
      <c r="A232" s="18" t="s">
        <v>0</v>
      </c>
      <c r="B232" s="18" t="s">
        <v>2631</v>
      </c>
      <c r="C232" s="18" t="s">
        <v>2632</v>
      </c>
      <c r="D232" s="18" t="s">
        <v>1617</v>
      </c>
      <c r="E232" s="18" t="s">
        <v>1618</v>
      </c>
      <c r="F232" s="18" t="s">
        <v>2623</v>
      </c>
      <c r="G232" s="18" t="s">
        <v>1619</v>
      </c>
      <c r="H232" s="19" t="s">
        <v>2624</v>
      </c>
      <c r="I232" s="18" t="s">
        <v>2625</v>
      </c>
      <c r="J232" s="18" t="s">
        <v>1620</v>
      </c>
      <c r="K232" s="19" t="s">
        <v>2633</v>
      </c>
      <c r="L232" s="20" t="s">
        <v>1621</v>
      </c>
      <c r="M232" s="20" t="s">
        <v>1622</v>
      </c>
      <c r="N232" s="19" t="s">
        <v>2634</v>
      </c>
      <c r="O232" s="18" t="s">
        <v>1623</v>
      </c>
    </row>
    <row r="233" spans="1:15">
      <c r="A233" s="530">
        <v>1</v>
      </c>
      <c r="B233" s="530">
        <v>2</v>
      </c>
      <c r="C233" s="530">
        <v>3</v>
      </c>
      <c r="D233" s="530">
        <v>4</v>
      </c>
      <c r="E233" s="530">
        <v>5</v>
      </c>
      <c r="F233" s="530">
        <v>6</v>
      </c>
      <c r="G233" s="530">
        <v>7</v>
      </c>
      <c r="H233" s="530">
        <v>8</v>
      </c>
      <c r="I233" s="19">
        <v>9</v>
      </c>
      <c r="J233" s="530">
        <v>10</v>
      </c>
      <c r="K233" s="530">
        <v>11</v>
      </c>
      <c r="L233" s="530">
        <v>12</v>
      </c>
      <c r="M233" s="530">
        <v>13</v>
      </c>
      <c r="N233" s="530">
        <v>14</v>
      </c>
      <c r="O233" s="530">
        <v>15</v>
      </c>
    </row>
    <row r="234" spans="1:15" ht="45">
      <c r="A234" s="513">
        <v>1</v>
      </c>
      <c r="B234" s="703" t="s">
        <v>2616</v>
      </c>
      <c r="C234" s="511" t="s">
        <v>1006</v>
      </c>
      <c r="D234" s="524" t="s">
        <v>983</v>
      </c>
      <c r="E234" s="511" t="s">
        <v>2174</v>
      </c>
      <c r="F234" s="513">
        <v>3990</v>
      </c>
      <c r="G234" s="513"/>
      <c r="H234" s="513" t="s">
        <v>2175</v>
      </c>
      <c r="I234" s="513">
        <v>4.05</v>
      </c>
      <c r="J234" s="513">
        <v>23.81</v>
      </c>
      <c r="K234" s="513" t="s">
        <v>26</v>
      </c>
      <c r="L234" s="513">
        <v>1</v>
      </c>
      <c r="M234" s="513" t="s">
        <v>17</v>
      </c>
      <c r="N234" s="513" t="s">
        <v>26</v>
      </c>
      <c r="O234" s="518" t="s">
        <v>454</v>
      </c>
    </row>
    <row r="235" spans="1:15" ht="60">
      <c r="A235" s="513">
        <v>2</v>
      </c>
      <c r="B235" s="703"/>
      <c r="C235" s="511" t="s">
        <v>1006</v>
      </c>
      <c r="D235" s="511" t="s">
        <v>985</v>
      </c>
      <c r="E235" s="511" t="s">
        <v>2176</v>
      </c>
      <c r="F235" s="513">
        <v>1013.32</v>
      </c>
      <c r="G235" s="513" t="s">
        <v>17</v>
      </c>
      <c r="H235" s="513" t="s">
        <v>986</v>
      </c>
      <c r="I235" s="513" t="s">
        <v>17</v>
      </c>
      <c r="J235" s="513" t="s">
        <v>17</v>
      </c>
      <c r="K235" s="513" t="s">
        <v>2177</v>
      </c>
      <c r="L235" s="513">
        <v>2</v>
      </c>
      <c r="M235" s="513" t="s">
        <v>17</v>
      </c>
      <c r="N235" s="513" t="s">
        <v>986</v>
      </c>
      <c r="O235" s="513" t="s">
        <v>987</v>
      </c>
    </row>
    <row r="236" spans="1:15" ht="75">
      <c r="A236" s="513">
        <v>3</v>
      </c>
      <c r="B236" s="703"/>
      <c r="C236" s="524" t="s">
        <v>2178</v>
      </c>
      <c r="D236" s="524" t="s">
        <v>2179</v>
      </c>
      <c r="E236" s="524" t="s">
        <v>2180</v>
      </c>
      <c r="F236" s="533">
        <v>37157.32</v>
      </c>
      <c r="G236" s="533" t="s">
        <v>2181</v>
      </c>
      <c r="H236" s="533" t="s">
        <v>2182</v>
      </c>
      <c r="I236" s="513">
        <v>1.0359999999999999E-2</v>
      </c>
      <c r="J236" s="513" t="s">
        <v>2183</v>
      </c>
      <c r="K236" s="513" t="s">
        <v>2183</v>
      </c>
      <c r="L236" s="513" t="s">
        <v>2183</v>
      </c>
      <c r="M236" s="513" t="s">
        <v>2183</v>
      </c>
      <c r="N236" s="518" t="s">
        <v>454</v>
      </c>
      <c r="O236" s="518" t="s">
        <v>454</v>
      </c>
    </row>
    <row r="237" spans="1:15" ht="60">
      <c r="A237" s="513">
        <v>4</v>
      </c>
      <c r="B237" s="703"/>
      <c r="C237" s="511" t="s">
        <v>2184</v>
      </c>
      <c r="D237" s="511" t="s">
        <v>2185</v>
      </c>
      <c r="E237" s="511" t="s">
        <v>2186</v>
      </c>
      <c r="F237" s="513">
        <v>1238</v>
      </c>
      <c r="G237" s="513" t="s">
        <v>306</v>
      </c>
      <c r="H237" s="513" t="s">
        <v>306</v>
      </c>
      <c r="I237" s="513" t="s">
        <v>306</v>
      </c>
      <c r="J237" s="513" t="s">
        <v>306</v>
      </c>
      <c r="K237" s="513" t="s">
        <v>306</v>
      </c>
      <c r="L237" s="512" t="s">
        <v>2187</v>
      </c>
      <c r="M237" s="512" t="s">
        <v>2188</v>
      </c>
      <c r="N237" s="513" t="s">
        <v>306</v>
      </c>
      <c r="O237" s="526" t="s">
        <v>2189</v>
      </c>
    </row>
    <row r="238" spans="1:15" ht="90">
      <c r="A238" s="513">
        <v>5</v>
      </c>
      <c r="B238" s="703"/>
      <c r="C238" s="507" t="s">
        <v>1025</v>
      </c>
      <c r="D238" s="511" t="s">
        <v>2190</v>
      </c>
      <c r="E238" s="524" t="s">
        <v>2191</v>
      </c>
      <c r="F238" s="513" t="s">
        <v>2192</v>
      </c>
      <c r="G238" s="512" t="s">
        <v>389</v>
      </c>
      <c r="H238" s="512" t="s">
        <v>389</v>
      </c>
      <c r="I238" s="512" t="s">
        <v>389</v>
      </c>
      <c r="J238" s="512" t="s">
        <v>389</v>
      </c>
      <c r="K238" s="512" t="s">
        <v>389</v>
      </c>
      <c r="L238" s="516" t="s">
        <v>2193</v>
      </c>
      <c r="M238" s="124" t="s">
        <v>454</v>
      </c>
      <c r="N238" s="516"/>
      <c r="O238" s="516" t="s">
        <v>2194</v>
      </c>
    </row>
    <row r="239" spans="1:15">
      <c r="A239" s="693"/>
      <c r="B239" s="693"/>
      <c r="C239" s="693"/>
      <c r="D239" s="693"/>
      <c r="E239" s="693"/>
      <c r="F239" s="693"/>
      <c r="G239" s="693"/>
      <c r="H239" s="693"/>
      <c r="I239" s="693"/>
      <c r="J239" s="693"/>
      <c r="K239" s="693"/>
      <c r="L239" s="693"/>
      <c r="M239" s="693"/>
      <c r="N239" s="693"/>
      <c r="O239" s="693"/>
    </row>
    <row r="240" spans="1:15" ht="22.5">
      <c r="A240" s="700" t="s">
        <v>668</v>
      </c>
      <c r="B240" s="700"/>
      <c r="C240" s="700"/>
      <c r="D240" s="700"/>
      <c r="E240" s="700"/>
      <c r="F240" s="700"/>
      <c r="G240" s="700"/>
      <c r="H240" s="700"/>
      <c r="I240" s="700"/>
      <c r="J240" s="700"/>
      <c r="K240" s="700"/>
      <c r="L240" s="700"/>
      <c r="M240" s="700"/>
      <c r="N240" s="700"/>
      <c r="O240" s="700"/>
    </row>
    <row r="241" spans="1:15" ht="20.25">
      <c r="A241" s="559" t="s">
        <v>7710</v>
      </c>
      <c r="B241" s="559"/>
      <c r="C241" s="559"/>
      <c r="D241" s="559"/>
      <c r="E241" s="559"/>
      <c r="F241" s="559"/>
      <c r="G241" s="559"/>
      <c r="H241" s="559"/>
      <c r="I241" s="559"/>
      <c r="J241" s="559"/>
      <c r="K241" s="559"/>
      <c r="L241" s="559"/>
      <c r="M241" s="559"/>
      <c r="N241" s="559"/>
      <c r="O241" s="559"/>
    </row>
    <row r="242" spans="1:15" ht="99.75">
      <c r="A242" s="18" t="s">
        <v>0</v>
      </c>
      <c r="B242" s="18" t="s">
        <v>2631</v>
      </c>
      <c r="C242" s="18" t="s">
        <v>2632</v>
      </c>
      <c r="D242" s="18" t="s">
        <v>1617</v>
      </c>
      <c r="E242" s="18" t="s">
        <v>1618</v>
      </c>
      <c r="F242" s="18" t="s">
        <v>2623</v>
      </c>
      <c r="G242" s="18" t="s">
        <v>1619</v>
      </c>
      <c r="H242" s="19" t="s">
        <v>2624</v>
      </c>
      <c r="I242" s="18" t="s">
        <v>2625</v>
      </c>
      <c r="J242" s="18" t="s">
        <v>1620</v>
      </c>
      <c r="K242" s="19" t="s">
        <v>2633</v>
      </c>
      <c r="L242" s="20" t="s">
        <v>1621</v>
      </c>
      <c r="M242" s="20" t="s">
        <v>1622</v>
      </c>
      <c r="N242" s="19" t="s">
        <v>2634</v>
      </c>
      <c r="O242" s="18" t="s">
        <v>1623</v>
      </c>
    </row>
    <row r="243" spans="1:15">
      <c r="A243" s="530">
        <v>1</v>
      </c>
      <c r="B243" s="530">
        <v>2</v>
      </c>
      <c r="C243" s="530">
        <v>3</v>
      </c>
      <c r="D243" s="530">
        <v>4</v>
      </c>
      <c r="E243" s="530">
        <v>5</v>
      </c>
      <c r="F243" s="530">
        <v>6</v>
      </c>
      <c r="G243" s="530">
        <v>7</v>
      </c>
      <c r="H243" s="530">
        <v>8</v>
      </c>
      <c r="I243" s="19">
        <v>9</v>
      </c>
      <c r="J243" s="530">
        <v>10</v>
      </c>
      <c r="K243" s="530">
        <v>11</v>
      </c>
      <c r="L243" s="530">
        <v>12</v>
      </c>
      <c r="M243" s="530">
        <v>13</v>
      </c>
      <c r="N243" s="530">
        <v>14</v>
      </c>
      <c r="O243" s="530">
        <v>15</v>
      </c>
    </row>
    <row r="244" spans="1:15" ht="390">
      <c r="A244" s="512">
        <v>1</v>
      </c>
      <c r="B244" s="696" t="s">
        <v>2618</v>
      </c>
      <c r="C244" s="511" t="s">
        <v>1036</v>
      </c>
      <c r="D244" s="515" t="s">
        <v>1061</v>
      </c>
      <c r="E244" s="511" t="s">
        <v>2646</v>
      </c>
      <c r="F244" s="513" t="s">
        <v>2195</v>
      </c>
      <c r="G244" s="513" t="s">
        <v>2196</v>
      </c>
      <c r="H244" s="513" t="s">
        <v>17</v>
      </c>
      <c r="I244" s="539" t="s">
        <v>1063</v>
      </c>
      <c r="J244" s="539" t="s">
        <v>1064</v>
      </c>
      <c r="K244" s="513" t="s">
        <v>17</v>
      </c>
      <c r="L244" s="513">
        <v>1</v>
      </c>
      <c r="M244" s="513"/>
      <c r="N244" s="531" t="s">
        <v>2197</v>
      </c>
      <c r="O244" s="531" t="s">
        <v>2197</v>
      </c>
    </row>
    <row r="245" spans="1:15" ht="150">
      <c r="A245" s="512">
        <v>2</v>
      </c>
      <c r="B245" s="696"/>
      <c r="C245" s="506" t="s">
        <v>2198</v>
      </c>
      <c r="D245" s="506" t="s">
        <v>2199</v>
      </c>
      <c r="E245" s="506" t="s">
        <v>2200</v>
      </c>
      <c r="F245" s="23" t="s">
        <v>2201</v>
      </c>
      <c r="G245" s="23" t="s">
        <v>2202</v>
      </c>
      <c r="H245" s="516" t="s">
        <v>35</v>
      </c>
      <c r="I245" s="513" t="s">
        <v>2203</v>
      </c>
      <c r="J245" s="513" t="s">
        <v>2204</v>
      </c>
      <c r="K245" s="513" t="s">
        <v>2205</v>
      </c>
      <c r="L245" s="513" t="s">
        <v>119</v>
      </c>
      <c r="M245" s="513" t="s">
        <v>119</v>
      </c>
      <c r="N245" s="513" t="s">
        <v>35</v>
      </c>
      <c r="O245" s="510" t="s">
        <v>2206</v>
      </c>
    </row>
    <row r="246" spans="1:15" ht="225">
      <c r="A246" s="513">
        <v>3</v>
      </c>
      <c r="B246" s="696"/>
      <c r="C246" s="511" t="s">
        <v>1054</v>
      </c>
      <c r="D246" s="511" t="s">
        <v>1065</v>
      </c>
      <c r="E246" s="511" t="s">
        <v>2647</v>
      </c>
      <c r="F246" s="513" t="s">
        <v>2207</v>
      </c>
      <c r="G246" s="513" t="s">
        <v>2208</v>
      </c>
      <c r="H246" s="513" t="s">
        <v>193</v>
      </c>
      <c r="I246" s="513" t="s">
        <v>2209</v>
      </c>
      <c r="J246" s="513" t="s">
        <v>2210</v>
      </c>
      <c r="K246" s="513" t="s">
        <v>2211</v>
      </c>
      <c r="L246" s="513" t="s">
        <v>2212</v>
      </c>
      <c r="M246" s="513" t="s">
        <v>193</v>
      </c>
      <c r="N246" s="513" t="s">
        <v>193</v>
      </c>
      <c r="O246" s="510" t="s">
        <v>2213</v>
      </c>
    </row>
    <row r="247" spans="1:15" ht="60">
      <c r="A247" s="539">
        <v>4</v>
      </c>
      <c r="B247" s="696"/>
      <c r="C247" s="515" t="s">
        <v>1046</v>
      </c>
      <c r="D247" s="511" t="s">
        <v>2214</v>
      </c>
      <c r="E247" s="519" t="s">
        <v>2215</v>
      </c>
      <c r="F247" s="513">
        <v>7737.54</v>
      </c>
      <c r="G247" s="513">
        <v>1994</v>
      </c>
      <c r="H247" s="513" t="s">
        <v>193</v>
      </c>
      <c r="I247" s="513" t="s">
        <v>2216</v>
      </c>
      <c r="J247" s="500" t="s">
        <v>35</v>
      </c>
      <c r="K247" s="539" t="s">
        <v>1075</v>
      </c>
      <c r="L247" s="513">
        <v>1</v>
      </c>
      <c r="M247" s="513" t="s">
        <v>2217</v>
      </c>
      <c r="N247" s="513" t="s">
        <v>193</v>
      </c>
      <c r="O247" s="510" t="s">
        <v>2648</v>
      </c>
    </row>
    <row r="248" spans="1:15" ht="60">
      <c r="A248" s="539">
        <v>5</v>
      </c>
      <c r="B248" s="696"/>
      <c r="C248" s="515" t="s">
        <v>1046</v>
      </c>
      <c r="D248" s="511" t="s">
        <v>2218</v>
      </c>
      <c r="E248" s="519" t="s">
        <v>2219</v>
      </c>
      <c r="F248" s="513">
        <v>1222</v>
      </c>
      <c r="G248" s="513">
        <v>2000</v>
      </c>
      <c r="H248" s="513" t="s">
        <v>193</v>
      </c>
      <c r="I248" s="513">
        <v>4.51</v>
      </c>
      <c r="J248" s="513" t="s">
        <v>35</v>
      </c>
      <c r="K248" s="539" t="s">
        <v>1075</v>
      </c>
      <c r="L248" s="513" t="s">
        <v>193</v>
      </c>
      <c r="M248" s="513">
        <v>1</v>
      </c>
      <c r="N248" s="513" t="s">
        <v>193</v>
      </c>
      <c r="O248" s="510" t="s">
        <v>2648</v>
      </c>
    </row>
    <row r="249" spans="1:15" ht="165">
      <c r="A249" s="513">
        <v>6</v>
      </c>
      <c r="B249" s="696"/>
      <c r="C249" s="511" t="s">
        <v>2220</v>
      </c>
      <c r="D249" s="511" t="s">
        <v>1077</v>
      </c>
      <c r="E249" s="511" t="s">
        <v>7050</v>
      </c>
      <c r="F249" s="511" t="s">
        <v>2221</v>
      </c>
      <c r="G249" s="513" t="s">
        <v>2222</v>
      </c>
      <c r="H249" s="513" t="s">
        <v>193</v>
      </c>
      <c r="I249" s="511" t="s">
        <v>2223</v>
      </c>
      <c r="J249" s="513" t="s">
        <v>2224</v>
      </c>
      <c r="K249" s="513" t="s">
        <v>2211</v>
      </c>
      <c r="L249" s="513" t="s">
        <v>2212</v>
      </c>
      <c r="M249" s="513" t="s">
        <v>193</v>
      </c>
      <c r="N249" s="513" t="s">
        <v>193</v>
      </c>
      <c r="O249" s="510" t="s">
        <v>2221</v>
      </c>
    </row>
    <row r="250" spans="1:15">
      <c r="A250" s="15"/>
      <c r="B250" s="312"/>
      <c r="C250" s="15"/>
      <c r="D250" s="15"/>
      <c r="E250" s="15"/>
      <c r="F250" s="537"/>
      <c r="G250" s="15"/>
      <c r="H250" s="15"/>
      <c r="I250" s="14"/>
      <c r="J250" s="15"/>
      <c r="K250" s="15"/>
      <c r="L250" s="15"/>
      <c r="M250" s="15"/>
      <c r="N250" s="15"/>
      <c r="O250" s="15"/>
    </row>
    <row r="251" spans="1:15" ht="22.5">
      <c r="A251" s="700" t="s">
        <v>669</v>
      </c>
      <c r="B251" s="700"/>
      <c r="C251" s="700"/>
      <c r="D251" s="700"/>
      <c r="E251" s="700"/>
      <c r="F251" s="700"/>
      <c r="G251" s="700"/>
      <c r="H251" s="700"/>
      <c r="I251" s="700"/>
      <c r="J251" s="700"/>
      <c r="K251" s="700"/>
      <c r="L251" s="700"/>
      <c r="M251" s="700"/>
      <c r="N251" s="700"/>
      <c r="O251" s="700"/>
    </row>
    <row r="252" spans="1:15" ht="20.25">
      <c r="A252" s="559" t="s">
        <v>7710</v>
      </c>
      <c r="B252" s="559"/>
      <c r="C252" s="559"/>
      <c r="D252" s="559"/>
      <c r="E252" s="559"/>
      <c r="F252" s="559"/>
      <c r="G252" s="559"/>
      <c r="H252" s="559"/>
      <c r="I252" s="559"/>
      <c r="J252" s="559"/>
      <c r="K252" s="559"/>
      <c r="L252" s="559"/>
      <c r="M252" s="559"/>
      <c r="N252" s="559"/>
      <c r="O252" s="559"/>
    </row>
    <row r="253" spans="1:15" ht="99.75">
      <c r="A253" s="18" t="s">
        <v>0</v>
      </c>
      <c r="B253" s="18" t="s">
        <v>2631</v>
      </c>
      <c r="C253" s="18" t="s">
        <v>2632</v>
      </c>
      <c r="D253" s="18" t="s">
        <v>1617</v>
      </c>
      <c r="E253" s="18" t="s">
        <v>1618</v>
      </c>
      <c r="F253" s="18" t="s">
        <v>2623</v>
      </c>
      <c r="G253" s="18" t="s">
        <v>1619</v>
      </c>
      <c r="H253" s="19" t="s">
        <v>2624</v>
      </c>
      <c r="I253" s="18" t="s">
        <v>2625</v>
      </c>
      <c r="J253" s="18" t="s">
        <v>1620</v>
      </c>
      <c r="K253" s="19" t="s">
        <v>2633</v>
      </c>
      <c r="L253" s="20" t="s">
        <v>1621</v>
      </c>
      <c r="M253" s="20" t="s">
        <v>1622</v>
      </c>
      <c r="N253" s="19" t="s">
        <v>2634</v>
      </c>
      <c r="O253" s="18" t="s">
        <v>1623</v>
      </c>
    </row>
    <row r="254" spans="1:15">
      <c r="A254" s="530">
        <v>1</v>
      </c>
      <c r="B254" s="530">
        <v>2</v>
      </c>
      <c r="C254" s="530">
        <v>3</v>
      </c>
      <c r="D254" s="530">
        <v>4</v>
      </c>
      <c r="E254" s="530">
        <v>5</v>
      </c>
      <c r="F254" s="530">
        <v>6</v>
      </c>
      <c r="G254" s="530">
        <v>7</v>
      </c>
      <c r="H254" s="530">
        <v>8</v>
      </c>
      <c r="I254" s="19">
        <v>9</v>
      </c>
      <c r="J254" s="530">
        <v>10</v>
      </c>
      <c r="K254" s="530">
        <v>11</v>
      </c>
      <c r="L254" s="530">
        <v>12</v>
      </c>
      <c r="M254" s="530">
        <v>13</v>
      </c>
      <c r="N254" s="530">
        <v>14</v>
      </c>
      <c r="O254" s="530">
        <v>15</v>
      </c>
    </row>
    <row r="255" spans="1:15" ht="30">
      <c r="A255" s="512">
        <v>1</v>
      </c>
      <c r="B255" s="511" t="s">
        <v>7055</v>
      </c>
      <c r="C255" s="523" t="s">
        <v>6962</v>
      </c>
      <c r="D255" s="511" t="s">
        <v>7051</v>
      </c>
      <c r="E255" s="511" t="s">
        <v>7052</v>
      </c>
      <c r="F255" s="512">
        <v>4716.82</v>
      </c>
      <c r="G255" s="512" t="s">
        <v>7053</v>
      </c>
      <c r="H255" s="512" t="s">
        <v>17</v>
      </c>
      <c r="I255" s="512">
        <v>11.42</v>
      </c>
      <c r="J255" s="513" t="s">
        <v>7054</v>
      </c>
      <c r="K255" s="512" t="s">
        <v>17</v>
      </c>
      <c r="L255" s="512">
        <v>1</v>
      </c>
      <c r="M255" s="512" t="s">
        <v>17</v>
      </c>
      <c r="N255" s="512" t="s">
        <v>17</v>
      </c>
      <c r="O255" s="512" t="s">
        <v>17</v>
      </c>
    </row>
    <row r="256" spans="1:15">
      <c r="A256" s="693"/>
      <c r="B256" s="693"/>
      <c r="C256" s="693"/>
      <c r="D256" s="693"/>
      <c r="E256" s="693"/>
      <c r="F256" s="693"/>
      <c r="G256" s="693"/>
      <c r="H256" s="693"/>
      <c r="I256" s="693"/>
      <c r="J256" s="693"/>
      <c r="K256" s="693"/>
      <c r="L256" s="693"/>
      <c r="M256" s="693"/>
      <c r="N256" s="693"/>
      <c r="O256" s="693"/>
    </row>
    <row r="257" spans="1:15" ht="22.5">
      <c r="A257" s="700" t="s">
        <v>670</v>
      </c>
      <c r="B257" s="700"/>
      <c r="C257" s="700"/>
      <c r="D257" s="700"/>
      <c r="E257" s="700"/>
      <c r="F257" s="700"/>
      <c r="G257" s="700"/>
      <c r="H257" s="700"/>
      <c r="I257" s="700"/>
      <c r="J257" s="700"/>
      <c r="K257" s="700"/>
      <c r="L257" s="700"/>
      <c r="M257" s="700"/>
      <c r="N257" s="700"/>
      <c r="O257" s="700"/>
    </row>
    <row r="258" spans="1:15" ht="20.25">
      <c r="A258" s="559" t="s">
        <v>7710</v>
      </c>
      <c r="B258" s="559"/>
      <c r="C258" s="559"/>
      <c r="D258" s="559"/>
      <c r="E258" s="559"/>
      <c r="F258" s="559"/>
      <c r="G258" s="559"/>
      <c r="H258" s="559"/>
      <c r="I258" s="559"/>
      <c r="J258" s="559"/>
      <c r="K258" s="559"/>
      <c r="L258" s="559"/>
      <c r="M258" s="559"/>
      <c r="N258" s="559"/>
      <c r="O258" s="559"/>
    </row>
    <row r="259" spans="1:15" ht="99.75">
      <c r="A259" s="18" t="s">
        <v>0</v>
      </c>
      <c r="B259" s="18" t="s">
        <v>2631</v>
      </c>
      <c r="C259" s="18" t="s">
        <v>2632</v>
      </c>
      <c r="D259" s="18" t="s">
        <v>1617</v>
      </c>
      <c r="E259" s="18" t="s">
        <v>1618</v>
      </c>
      <c r="F259" s="18" t="s">
        <v>2623</v>
      </c>
      <c r="G259" s="18" t="s">
        <v>1619</v>
      </c>
      <c r="H259" s="19" t="s">
        <v>2624</v>
      </c>
      <c r="I259" s="18" t="s">
        <v>2625</v>
      </c>
      <c r="J259" s="18" t="s">
        <v>1620</v>
      </c>
      <c r="K259" s="19" t="s">
        <v>2633</v>
      </c>
      <c r="L259" s="20" t="s">
        <v>1621</v>
      </c>
      <c r="M259" s="20" t="s">
        <v>1622</v>
      </c>
      <c r="N259" s="19" t="s">
        <v>2634</v>
      </c>
      <c r="O259" s="18" t="s">
        <v>1623</v>
      </c>
    </row>
    <row r="260" spans="1:15">
      <c r="A260" s="530">
        <v>1</v>
      </c>
      <c r="B260" s="530">
        <v>2</v>
      </c>
      <c r="C260" s="530">
        <v>3</v>
      </c>
      <c r="D260" s="530">
        <v>4</v>
      </c>
      <c r="E260" s="530">
        <v>5</v>
      </c>
      <c r="F260" s="530">
        <v>6</v>
      </c>
      <c r="G260" s="530">
        <v>7</v>
      </c>
      <c r="H260" s="530">
        <v>8</v>
      </c>
      <c r="I260" s="19">
        <v>9</v>
      </c>
      <c r="J260" s="530">
        <v>10</v>
      </c>
      <c r="K260" s="530">
        <v>11</v>
      </c>
      <c r="L260" s="530">
        <v>12</v>
      </c>
      <c r="M260" s="530">
        <v>13</v>
      </c>
      <c r="N260" s="530">
        <v>14</v>
      </c>
      <c r="O260" s="530">
        <v>15</v>
      </c>
    </row>
    <row r="261" spans="1:15" ht="165">
      <c r="A261" s="697">
        <v>1</v>
      </c>
      <c r="B261" s="696" t="s">
        <v>2619</v>
      </c>
      <c r="C261" s="696" t="s">
        <v>1234</v>
      </c>
      <c r="D261" s="511" t="s">
        <v>7056</v>
      </c>
      <c r="E261" s="511" t="s">
        <v>2649</v>
      </c>
      <c r="F261" s="31">
        <v>30445</v>
      </c>
      <c r="G261" s="512" t="s">
        <v>1235</v>
      </c>
      <c r="H261" s="512" t="s">
        <v>17</v>
      </c>
      <c r="I261" s="512">
        <v>10.67</v>
      </c>
      <c r="J261" s="512" t="s">
        <v>17</v>
      </c>
      <c r="K261" s="512" t="s">
        <v>17</v>
      </c>
      <c r="L261" s="512">
        <v>1</v>
      </c>
      <c r="M261" s="512">
        <v>1</v>
      </c>
      <c r="N261" s="512" t="s">
        <v>17</v>
      </c>
      <c r="O261" s="512" t="s">
        <v>17</v>
      </c>
    </row>
    <row r="262" spans="1:15" ht="60">
      <c r="A262" s="697"/>
      <c r="B262" s="696"/>
      <c r="C262" s="699"/>
      <c r="D262" s="511" t="s">
        <v>1237</v>
      </c>
      <c r="E262" s="511" t="s">
        <v>2225</v>
      </c>
      <c r="F262" s="512">
        <v>6310</v>
      </c>
      <c r="G262" s="512" t="s">
        <v>1238</v>
      </c>
      <c r="H262" s="512">
        <v>73.430000000000007</v>
      </c>
      <c r="I262" s="512" t="s">
        <v>17</v>
      </c>
      <c r="J262" s="512" t="s">
        <v>79</v>
      </c>
      <c r="K262" s="512" t="s">
        <v>748</v>
      </c>
      <c r="L262" s="512">
        <v>2</v>
      </c>
      <c r="M262" s="512">
        <v>2</v>
      </c>
      <c r="N262" s="512" t="s">
        <v>17</v>
      </c>
      <c r="O262" s="512" t="s">
        <v>17</v>
      </c>
    </row>
    <row r="263" spans="1:15" ht="90">
      <c r="A263" s="306">
        <v>2</v>
      </c>
      <c r="B263" s="696"/>
      <c r="C263" s="713" t="s">
        <v>1303</v>
      </c>
      <c r="D263" s="524" t="s">
        <v>2651</v>
      </c>
      <c r="E263" s="511" t="s">
        <v>2226</v>
      </c>
      <c r="F263" s="533" t="s">
        <v>2227</v>
      </c>
      <c r="G263" s="533" t="s">
        <v>17</v>
      </c>
      <c r="H263" s="533" t="s">
        <v>17</v>
      </c>
      <c r="I263" s="533" t="s">
        <v>1307</v>
      </c>
      <c r="J263" s="533" t="s">
        <v>465</v>
      </c>
      <c r="K263" s="533" t="s">
        <v>17</v>
      </c>
      <c r="L263" s="533">
        <v>1</v>
      </c>
      <c r="M263" s="533" t="s">
        <v>17</v>
      </c>
      <c r="N263" s="533" t="s">
        <v>17</v>
      </c>
      <c r="O263" s="524" t="s">
        <v>2228</v>
      </c>
    </row>
    <row r="264" spans="1:15" ht="210">
      <c r="A264" s="697">
        <v>3</v>
      </c>
      <c r="B264" s="696"/>
      <c r="C264" s="713"/>
      <c r="D264" s="511" t="s">
        <v>2229</v>
      </c>
      <c r="E264" s="524" t="s">
        <v>2650</v>
      </c>
      <c r="F264" s="533" t="s">
        <v>2230</v>
      </c>
      <c r="G264" s="533" t="s">
        <v>17</v>
      </c>
      <c r="H264" s="533" t="s">
        <v>17</v>
      </c>
      <c r="I264" s="533" t="s">
        <v>2231</v>
      </c>
      <c r="J264" s="533" t="s">
        <v>465</v>
      </c>
      <c r="K264" s="533" t="s">
        <v>17</v>
      </c>
      <c r="L264" s="533">
        <v>2</v>
      </c>
      <c r="M264" s="533" t="s">
        <v>17</v>
      </c>
      <c r="N264" s="533" t="s">
        <v>17</v>
      </c>
      <c r="O264" s="524"/>
    </row>
    <row r="265" spans="1:15" ht="45">
      <c r="A265" s="697"/>
      <c r="B265" s="696"/>
      <c r="C265" s="523" t="s">
        <v>1137</v>
      </c>
      <c r="D265" s="511" t="s">
        <v>2232</v>
      </c>
      <c r="E265" s="523"/>
      <c r="F265" s="512">
        <v>861.98</v>
      </c>
      <c r="G265" s="512">
        <v>1996</v>
      </c>
      <c r="H265" s="512">
        <v>1996</v>
      </c>
      <c r="I265" s="512">
        <v>5.1999999999999998E-2</v>
      </c>
      <c r="J265" s="512">
        <v>2.3199999999999998</v>
      </c>
      <c r="K265" s="512" t="s">
        <v>87</v>
      </c>
      <c r="L265" s="512">
        <v>1</v>
      </c>
      <c r="M265" s="512" t="s">
        <v>17</v>
      </c>
      <c r="N265" s="512" t="s">
        <v>87</v>
      </c>
      <c r="O265" s="512"/>
    </row>
    <row r="266" spans="1:15" ht="45">
      <c r="A266" s="306">
        <v>4</v>
      </c>
      <c r="B266" s="696"/>
      <c r="C266" s="523" t="s">
        <v>1137</v>
      </c>
      <c r="D266" s="511" t="s">
        <v>2233</v>
      </c>
      <c r="E266" s="523"/>
      <c r="F266" s="512">
        <v>164.44</v>
      </c>
      <c r="G266" s="512">
        <v>1993</v>
      </c>
      <c r="H266" s="512">
        <v>1993</v>
      </c>
      <c r="I266" s="512">
        <v>4.0800000000000003E-2</v>
      </c>
      <c r="J266" s="512">
        <v>0.26</v>
      </c>
      <c r="K266" s="512" t="s">
        <v>87</v>
      </c>
      <c r="L266" s="512" t="s">
        <v>17</v>
      </c>
      <c r="M266" s="512">
        <v>3</v>
      </c>
      <c r="N266" s="512" t="s">
        <v>87</v>
      </c>
      <c r="O266" s="512"/>
    </row>
    <row r="267" spans="1:15" ht="60">
      <c r="A267" s="697">
        <v>5</v>
      </c>
      <c r="B267" s="696"/>
      <c r="C267" s="523" t="s">
        <v>1137</v>
      </c>
      <c r="D267" s="511" t="s">
        <v>2234</v>
      </c>
      <c r="E267" s="523"/>
      <c r="F267" s="512">
        <v>1885.99</v>
      </c>
      <c r="G267" s="512">
        <v>1985</v>
      </c>
      <c r="H267" s="512"/>
      <c r="I267" s="512">
        <v>9.5999999999999992E-3</v>
      </c>
      <c r="J267" s="512">
        <v>10.14</v>
      </c>
      <c r="K267" s="512" t="s">
        <v>87</v>
      </c>
      <c r="L267" s="512" t="s">
        <v>17</v>
      </c>
      <c r="M267" s="512">
        <v>1</v>
      </c>
      <c r="N267" s="512" t="s">
        <v>87</v>
      </c>
      <c r="O267" s="512"/>
    </row>
    <row r="268" spans="1:15" ht="45">
      <c r="A268" s="697"/>
      <c r="B268" s="696"/>
      <c r="C268" s="523" t="s">
        <v>1137</v>
      </c>
      <c r="D268" s="511" t="s">
        <v>2235</v>
      </c>
      <c r="E268" s="523"/>
      <c r="F268" s="512">
        <v>2039.7</v>
      </c>
      <c r="G268" s="512">
        <v>1993</v>
      </c>
      <c r="H268" s="512">
        <v>1993</v>
      </c>
      <c r="I268" s="512">
        <v>0.41399999999999998</v>
      </c>
      <c r="J268" s="512">
        <v>2.19</v>
      </c>
      <c r="K268" s="512" t="s">
        <v>87</v>
      </c>
      <c r="L268" s="512" t="s">
        <v>17</v>
      </c>
      <c r="M268" s="512">
        <v>2</v>
      </c>
      <c r="N268" s="512"/>
      <c r="O268" s="512"/>
    </row>
    <row r="269" spans="1:15" ht="45">
      <c r="A269" s="306">
        <v>6</v>
      </c>
      <c r="B269" s="696"/>
      <c r="C269" s="713" t="s">
        <v>1147</v>
      </c>
      <c r="D269" s="524" t="s">
        <v>1241</v>
      </c>
      <c r="E269" s="511" t="s">
        <v>2236</v>
      </c>
      <c r="F269" s="512">
        <v>5870.8</v>
      </c>
      <c r="G269" s="512" t="s">
        <v>2237</v>
      </c>
      <c r="H269" s="516"/>
      <c r="I269" s="512">
        <v>3.71</v>
      </c>
      <c r="J269" s="513" t="s">
        <v>2238</v>
      </c>
      <c r="K269" s="512"/>
      <c r="L269" s="512">
        <v>1</v>
      </c>
      <c r="M269" s="512" t="s">
        <v>17</v>
      </c>
      <c r="N269" s="512"/>
      <c r="O269" s="513" t="s">
        <v>2239</v>
      </c>
    </row>
    <row r="270" spans="1:15" ht="60">
      <c r="A270" s="512">
        <v>7</v>
      </c>
      <c r="B270" s="696"/>
      <c r="C270" s="713"/>
      <c r="D270" s="524" t="s">
        <v>1245</v>
      </c>
      <c r="E270" s="511" t="s">
        <v>2240</v>
      </c>
      <c r="F270" s="512">
        <v>1221</v>
      </c>
      <c r="G270" s="513" t="s">
        <v>17</v>
      </c>
      <c r="H270" s="513" t="s">
        <v>2241</v>
      </c>
      <c r="I270" s="513" t="s">
        <v>1322</v>
      </c>
      <c r="J270" s="513" t="s">
        <v>2238</v>
      </c>
      <c r="K270" s="512"/>
      <c r="L270" s="512">
        <v>2</v>
      </c>
      <c r="M270" s="512" t="s">
        <v>17</v>
      </c>
      <c r="N270" s="512"/>
      <c r="O270" s="513"/>
    </row>
    <row r="271" spans="1:15" ht="30">
      <c r="A271" s="512">
        <v>8</v>
      </c>
      <c r="B271" s="696"/>
      <c r="C271" s="713"/>
      <c r="D271" s="524" t="s">
        <v>1249</v>
      </c>
      <c r="E271" s="511" t="s">
        <v>2242</v>
      </c>
      <c r="F271" s="512">
        <v>256</v>
      </c>
      <c r="G271" s="513" t="s">
        <v>17</v>
      </c>
      <c r="H271" s="511" t="s">
        <v>2241</v>
      </c>
      <c r="I271" s="513" t="s">
        <v>1322</v>
      </c>
      <c r="J271" s="513" t="s">
        <v>2238</v>
      </c>
      <c r="K271" s="512"/>
      <c r="L271" s="512">
        <v>3</v>
      </c>
      <c r="M271" s="512" t="s">
        <v>17</v>
      </c>
      <c r="N271" s="512"/>
      <c r="O271" s="513"/>
    </row>
    <row r="272" spans="1:15" ht="45">
      <c r="A272" s="306">
        <v>9</v>
      </c>
      <c r="B272" s="696"/>
      <c r="C272" s="713"/>
      <c r="D272" s="524" t="s">
        <v>1253</v>
      </c>
      <c r="E272" s="511" t="s">
        <v>2242</v>
      </c>
      <c r="F272" s="512">
        <v>480</v>
      </c>
      <c r="G272" s="513" t="s">
        <v>17</v>
      </c>
      <c r="H272" s="511" t="s">
        <v>2241</v>
      </c>
      <c r="I272" s="513" t="s">
        <v>1322</v>
      </c>
      <c r="J272" s="513" t="s">
        <v>2238</v>
      </c>
      <c r="K272" s="512"/>
      <c r="L272" s="512">
        <v>4</v>
      </c>
      <c r="M272" s="512" t="s">
        <v>17</v>
      </c>
      <c r="N272" s="512"/>
      <c r="O272" s="513"/>
    </row>
    <row r="273" spans="1:15" ht="30">
      <c r="A273" s="512">
        <v>10</v>
      </c>
      <c r="B273" s="696"/>
      <c r="C273" s="509" t="s">
        <v>1153</v>
      </c>
      <c r="D273" s="509" t="s">
        <v>1257</v>
      </c>
      <c r="E273" s="509">
        <v>1</v>
      </c>
      <c r="F273" s="90" t="s">
        <v>1258</v>
      </c>
      <c r="G273" s="90" t="s">
        <v>1259</v>
      </c>
      <c r="H273" s="90" t="s">
        <v>1338</v>
      </c>
      <c r="I273" s="90" t="s">
        <v>748</v>
      </c>
      <c r="J273" s="90" t="s">
        <v>748</v>
      </c>
      <c r="K273" s="90" t="s">
        <v>87</v>
      </c>
      <c r="L273" s="90">
        <v>1</v>
      </c>
      <c r="M273" s="90" t="s">
        <v>1338</v>
      </c>
      <c r="N273" s="90" t="s">
        <v>87</v>
      </c>
      <c r="O273" s="130"/>
    </row>
    <row r="274" spans="1:15" ht="30">
      <c r="A274" s="512">
        <v>11</v>
      </c>
      <c r="B274" s="696"/>
      <c r="C274" s="509" t="s">
        <v>1153</v>
      </c>
      <c r="D274" s="509" t="s">
        <v>1261</v>
      </c>
      <c r="E274" s="509">
        <v>1</v>
      </c>
      <c r="F274" s="90" t="s">
        <v>1262</v>
      </c>
      <c r="G274" s="90" t="s">
        <v>35</v>
      </c>
      <c r="H274" s="90" t="s">
        <v>1338</v>
      </c>
      <c r="I274" s="90" t="s">
        <v>748</v>
      </c>
      <c r="J274" s="90" t="s">
        <v>748</v>
      </c>
      <c r="K274" s="90" t="s">
        <v>87</v>
      </c>
      <c r="L274" s="90">
        <v>2</v>
      </c>
      <c r="M274" s="90" t="s">
        <v>1338</v>
      </c>
      <c r="N274" s="90" t="s">
        <v>87</v>
      </c>
      <c r="O274" s="130"/>
    </row>
    <row r="275" spans="1:15" ht="45">
      <c r="A275" s="306">
        <v>12</v>
      </c>
      <c r="B275" s="696"/>
      <c r="C275" s="509" t="s">
        <v>1153</v>
      </c>
      <c r="D275" s="509" t="s">
        <v>1263</v>
      </c>
      <c r="E275" s="509">
        <v>1</v>
      </c>
      <c r="F275" s="90" t="s">
        <v>1264</v>
      </c>
      <c r="G275" s="90" t="s">
        <v>1265</v>
      </c>
      <c r="H275" s="90" t="s">
        <v>1338</v>
      </c>
      <c r="I275" s="90" t="s">
        <v>748</v>
      </c>
      <c r="J275" s="90" t="s">
        <v>748</v>
      </c>
      <c r="K275" s="90" t="s">
        <v>87</v>
      </c>
      <c r="L275" s="90">
        <v>3</v>
      </c>
      <c r="M275" s="90" t="s">
        <v>1338</v>
      </c>
      <c r="N275" s="90" t="s">
        <v>87</v>
      </c>
      <c r="O275" s="130"/>
    </row>
    <row r="276" spans="1:15" ht="30">
      <c r="A276" s="512">
        <v>13</v>
      </c>
      <c r="B276" s="696"/>
      <c r="C276" s="509" t="s">
        <v>1153</v>
      </c>
      <c r="D276" s="509" t="s">
        <v>1266</v>
      </c>
      <c r="E276" s="133">
        <v>1</v>
      </c>
      <c r="F276" s="89" t="s">
        <v>1258</v>
      </c>
      <c r="G276" s="89" t="s">
        <v>1267</v>
      </c>
      <c r="H276" s="130" t="s">
        <v>1338</v>
      </c>
      <c r="I276" s="130" t="s">
        <v>748</v>
      </c>
      <c r="J276" s="130" t="s">
        <v>748</v>
      </c>
      <c r="K276" s="130" t="s">
        <v>87</v>
      </c>
      <c r="L276" s="130">
        <v>4</v>
      </c>
      <c r="M276" s="130" t="s">
        <v>1338</v>
      </c>
      <c r="N276" s="130" t="s">
        <v>87</v>
      </c>
      <c r="O276" s="130"/>
    </row>
    <row r="277" spans="1:15" ht="45">
      <c r="A277" s="512">
        <v>14</v>
      </c>
      <c r="B277" s="696"/>
      <c r="C277" s="509" t="s">
        <v>1153</v>
      </c>
      <c r="D277" s="509" t="s">
        <v>1268</v>
      </c>
      <c r="E277" s="133">
        <v>1</v>
      </c>
      <c r="F277" s="89" t="s">
        <v>1269</v>
      </c>
      <c r="G277" s="89" t="s">
        <v>35</v>
      </c>
      <c r="H277" s="130" t="s">
        <v>1338</v>
      </c>
      <c r="I277" s="130" t="s">
        <v>748</v>
      </c>
      <c r="J277" s="130" t="s">
        <v>748</v>
      </c>
      <c r="K277" s="130" t="s">
        <v>87</v>
      </c>
      <c r="L277" s="130">
        <v>5</v>
      </c>
      <c r="M277" s="130" t="s">
        <v>1338</v>
      </c>
      <c r="N277" s="130" t="s">
        <v>87</v>
      </c>
      <c r="O277" s="130"/>
    </row>
    <row r="278" spans="1:15" ht="30">
      <c r="A278" s="306">
        <v>15</v>
      </c>
      <c r="B278" s="696"/>
      <c r="C278" s="509" t="s">
        <v>1153</v>
      </c>
      <c r="D278" s="509" t="s">
        <v>1270</v>
      </c>
      <c r="E278" s="133">
        <v>1</v>
      </c>
      <c r="F278" s="89">
        <v>800</v>
      </c>
      <c r="G278" s="89" t="s">
        <v>35</v>
      </c>
      <c r="H278" s="130" t="s">
        <v>1338</v>
      </c>
      <c r="I278" s="130" t="s">
        <v>748</v>
      </c>
      <c r="J278" s="130" t="s">
        <v>748</v>
      </c>
      <c r="K278" s="130" t="s">
        <v>87</v>
      </c>
      <c r="L278" s="130">
        <v>6</v>
      </c>
      <c r="M278" s="130" t="s">
        <v>1338</v>
      </c>
      <c r="N278" s="130" t="s">
        <v>87</v>
      </c>
      <c r="O278" s="130"/>
    </row>
    <row r="279" spans="1:15" ht="45">
      <c r="A279" s="512">
        <v>16</v>
      </c>
      <c r="B279" s="696"/>
      <c r="C279" s="509" t="s">
        <v>1153</v>
      </c>
      <c r="D279" s="509" t="s">
        <v>1271</v>
      </c>
      <c r="E279" s="133">
        <v>1</v>
      </c>
      <c r="F279" s="89">
        <v>1349</v>
      </c>
      <c r="G279" s="89" t="s">
        <v>35</v>
      </c>
      <c r="H279" s="130" t="s">
        <v>1338</v>
      </c>
      <c r="I279" s="130" t="s">
        <v>748</v>
      </c>
      <c r="J279" s="130" t="s">
        <v>748</v>
      </c>
      <c r="K279" s="130" t="s">
        <v>87</v>
      </c>
      <c r="L279" s="130">
        <v>7</v>
      </c>
      <c r="M279" s="130" t="s">
        <v>1338</v>
      </c>
      <c r="N279" s="130" t="s">
        <v>87</v>
      </c>
      <c r="O279" s="130"/>
    </row>
    <row r="280" spans="1:15" ht="30">
      <c r="A280" s="512">
        <v>17</v>
      </c>
      <c r="B280" s="696"/>
      <c r="C280" s="509" t="s">
        <v>1153</v>
      </c>
      <c r="D280" s="509" t="s">
        <v>1272</v>
      </c>
      <c r="E280" s="133">
        <v>1</v>
      </c>
      <c r="F280" s="89" t="s">
        <v>1273</v>
      </c>
      <c r="G280" s="89" t="s">
        <v>1167</v>
      </c>
      <c r="H280" s="130" t="s">
        <v>1338</v>
      </c>
      <c r="I280" s="130" t="s">
        <v>748</v>
      </c>
      <c r="J280" s="130" t="s">
        <v>748</v>
      </c>
      <c r="K280" s="130" t="s">
        <v>87</v>
      </c>
      <c r="L280" s="130">
        <v>8</v>
      </c>
      <c r="M280" s="130" t="s">
        <v>1338</v>
      </c>
      <c r="N280" s="130" t="s">
        <v>87</v>
      </c>
      <c r="O280" s="130"/>
    </row>
    <row r="281" spans="1:15" ht="30">
      <c r="A281" s="306">
        <v>18</v>
      </c>
      <c r="B281" s="696"/>
      <c r="C281" s="509" t="s">
        <v>1153</v>
      </c>
      <c r="D281" s="509" t="s">
        <v>1274</v>
      </c>
      <c r="E281" s="133">
        <v>1</v>
      </c>
      <c r="F281" s="89" t="s">
        <v>1275</v>
      </c>
      <c r="G281" s="89" t="s">
        <v>1276</v>
      </c>
      <c r="H281" s="130" t="s">
        <v>1338</v>
      </c>
      <c r="I281" s="130" t="s">
        <v>748</v>
      </c>
      <c r="J281" s="130" t="s">
        <v>748</v>
      </c>
      <c r="K281" s="130" t="s">
        <v>87</v>
      </c>
      <c r="L281" s="130">
        <v>9</v>
      </c>
      <c r="M281" s="130" t="s">
        <v>1338</v>
      </c>
      <c r="N281" s="130" t="s">
        <v>87</v>
      </c>
      <c r="O281" s="130"/>
    </row>
    <row r="282" spans="1:15" ht="45">
      <c r="A282" s="697">
        <v>19</v>
      </c>
      <c r="B282" s="696"/>
      <c r="C282" s="131" t="s">
        <v>1153</v>
      </c>
      <c r="D282" s="131" t="s">
        <v>1277</v>
      </c>
      <c r="E282" s="133">
        <v>1</v>
      </c>
      <c r="F282" s="132">
        <v>72</v>
      </c>
      <c r="G282" s="132" t="s">
        <v>1278</v>
      </c>
      <c r="H282" s="130" t="s">
        <v>1338</v>
      </c>
      <c r="I282" s="130" t="s">
        <v>748</v>
      </c>
      <c r="J282" s="130" t="s">
        <v>748</v>
      </c>
      <c r="K282" s="130" t="s">
        <v>87</v>
      </c>
      <c r="L282" s="130">
        <v>10</v>
      </c>
      <c r="M282" s="130" t="s">
        <v>1338</v>
      </c>
      <c r="N282" s="130" t="s">
        <v>87</v>
      </c>
      <c r="O282" s="130"/>
    </row>
    <row r="283" spans="1:15" ht="15">
      <c r="A283" s="697"/>
      <c r="B283" s="696"/>
      <c r="C283" s="523" t="s">
        <v>1153</v>
      </c>
      <c r="D283" s="511" t="s">
        <v>1279</v>
      </c>
      <c r="E283" s="515" t="s">
        <v>2243</v>
      </c>
      <c r="F283" s="512">
        <v>200</v>
      </c>
      <c r="G283" s="512">
        <v>1869</v>
      </c>
      <c r="H283" s="512">
        <v>0.02</v>
      </c>
      <c r="I283" s="512" t="s">
        <v>1280</v>
      </c>
      <c r="J283" s="514"/>
      <c r="K283" s="514" t="s">
        <v>17</v>
      </c>
      <c r="L283" s="514">
        <v>1</v>
      </c>
      <c r="M283" s="514"/>
      <c r="N283" s="514" t="s">
        <v>87</v>
      </c>
      <c r="O283" s="514" t="s">
        <v>87</v>
      </c>
    </row>
    <row r="284" spans="1:15" ht="30">
      <c r="A284" s="306">
        <v>20</v>
      </c>
      <c r="B284" s="696"/>
      <c r="C284" s="523" t="s">
        <v>1153</v>
      </c>
      <c r="D284" s="511" t="s">
        <v>1281</v>
      </c>
      <c r="E284" s="515" t="s">
        <v>2244</v>
      </c>
      <c r="F284" s="512">
        <v>177.75</v>
      </c>
      <c r="G284" s="512">
        <v>1929</v>
      </c>
      <c r="H284" s="512">
        <v>0.04</v>
      </c>
      <c r="I284" s="512" t="s">
        <v>1282</v>
      </c>
      <c r="J284" s="514"/>
      <c r="K284" s="514" t="s">
        <v>17</v>
      </c>
      <c r="L284" s="514">
        <v>2</v>
      </c>
      <c r="M284" s="514"/>
      <c r="N284" s="514" t="s">
        <v>87</v>
      </c>
      <c r="O284" s="514" t="s">
        <v>87</v>
      </c>
    </row>
    <row r="285" spans="1:15" ht="30">
      <c r="A285" s="512">
        <v>21</v>
      </c>
      <c r="B285" s="696"/>
      <c r="C285" s="523" t="s">
        <v>1153</v>
      </c>
      <c r="D285" s="511" t="s">
        <v>1283</v>
      </c>
      <c r="E285" s="515" t="s">
        <v>2245</v>
      </c>
      <c r="F285" s="512">
        <v>210.22</v>
      </c>
      <c r="G285" s="512">
        <v>1882</v>
      </c>
      <c r="H285" s="512">
        <v>0.02</v>
      </c>
      <c r="I285" s="512" t="s">
        <v>1282</v>
      </c>
      <c r="J285" s="514"/>
      <c r="K285" s="514" t="s">
        <v>17</v>
      </c>
      <c r="L285" s="514">
        <v>3</v>
      </c>
      <c r="M285" s="514"/>
      <c r="N285" s="514" t="s">
        <v>87</v>
      </c>
      <c r="O285" s="514" t="s">
        <v>87</v>
      </c>
    </row>
    <row r="286" spans="1:15" ht="30">
      <c r="A286" s="512">
        <v>22</v>
      </c>
      <c r="B286" s="696"/>
      <c r="C286" s="523" t="s">
        <v>1153</v>
      </c>
      <c r="D286" s="511" t="s">
        <v>1284</v>
      </c>
      <c r="E286" s="515" t="s">
        <v>2245</v>
      </c>
      <c r="F286" s="512">
        <v>141</v>
      </c>
      <c r="G286" s="512">
        <v>1920</v>
      </c>
      <c r="H286" s="512">
        <v>5.3E-3</v>
      </c>
      <c r="I286" s="512" t="s">
        <v>1282</v>
      </c>
      <c r="J286" s="514"/>
      <c r="K286" s="514" t="s">
        <v>17</v>
      </c>
      <c r="L286" s="514">
        <v>4</v>
      </c>
      <c r="M286" s="514"/>
      <c r="N286" s="514" t="s">
        <v>87</v>
      </c>
      <c r="O286" s="514" t="s">
        <v>87</v>
      </c>
    </row>
    <row r="287" spans="1:15" ht="30">
      <c r="A287" s="512">
        <v>23</v>
      </c>
      <c r="B287" s="696"/>
      <c r="C287" s="523" t="s">
        <v>1153</v>
      </c>
      <c r="D287" s="511" t="s">
        <v>1285</v>
      </c>
      <c r="E287" s="515" t="s">
        <v>2246</v>
      </c>
      <c r="F287" s="512">
        <v>132.91999999999999</v>
      </c>
      <c r="G287" s="512">
        <v>1913</v>
      </c>
      <c r="H287" s="512">
        <v>0.48</v>
      </c>
      <c r="I287" s="512" t="s">
        <v>1282</v>
      </c>
      <c r="J287" s="514"/>
      <c r="K287" s="514" t="s">
        <v>17</v>
      </c>
      <c r="L287" s="514">
        <v>5</v>
      </c>
      <c r="M287" s="514"/>
      <c r="N287" s="514" t="s">
        <v>87</v>
      </c>
      <c r="O287" s="514" t="s">
        <v>87</v>
      </c>
    </row>
    <row r="288" spans="1:15" ht="30">
      <c r="A288" s="512">
        <v>24</v>
      </c>
      <c r="B288" s="696"/>
      <c r="C288" s="523" t="s">
        <v>1153</v>
      </c>
      <c r="D288" s="511" t="s">
        <v>1286</v>
      </c>
      <c r="E288" s="515" t="s">
        <v>2247</v>
      </c>
      <c r="F288" s="512">
        <v>42</v>
      </c>
      <c r="G288" s="512">
        <v>1913</v>
      </c>
      <c r="H288" s="512">
        <v>0.36</v>
      </c>
      <c r="I288" s="512" t="s">
        <v>1282</v>
      </c>
      <c r="J288" s="514"/>
      <c r="K288" s="514" t="s">
        <v>17</v>
      </c>
      <c r="L288" s="514">
        <v>6</v>
      </c>
      <c r="M288" s="514"/>
      <c r="N288" s="514" t="s">
        <v>87</v>
      </c>
      <c r="O288" s="514" t="s">
        <v>87</v>
      </c>
    </row>
    <row r="289" spans="1:15" ht="30">
      <c r="A289" s="512">
        <v>25</v>
      </c>
      <c r="B289" s="696"/>
      <c r="C289" s="523" t="s">
        <v>1153</v>
      </c>
      <c r="D289" s="511" t="s">
        <v>1287</v>
      </c>
      <c r="E289" s="515" t="s">
        <v>2247</v>
      </c>
      <c r="F289" s="512">
        <v>68.400000000000006</v>
      </c>
      <c r="G289" s="512">
        <v>1934</v>
      </c>
      <c r="H289" s="512">
        <v>5.8000000000000003E-2</v>
      </c>
      <c r="I289" s="512" t="s">
        <v>1282</v>
      </c>
      <c r="J289" s="514"/>
      <c r="K289" s="514" t="s">
        <v>17</v>
      </c>
      <c r="L289" s="514">
        <v>7</v>
      </c>
      <c r="M289" s="514"/>
      <c r="N289" s="514" t="s">
        <v>87</v>
      </c>
      <c r="O289" s="514" t="s">
        <v>87</v>
      </c>
    </row>
    <row r="290" spans="1:15" ht="30">
      <c r="A290" s="512">
        <v>26</v>
      </c>
      <c r="B290" s="696"/>
      <c r="C290" s="523" t="s">
        <v>1153</v>
      </c>
      <c r="D290" s="511" t="s">
        <v>1288</v>
      </c>
      <c r="E290" s="515" t="s">
        <v>2247</v>
      </c>
      <c r="F290" s="512">
        <v>170</v>
      </c>
      <c r="G290" s="512">
        <v>1937</v>
      </c>
      <c r="H290" s="512">
        <v>1.1200000000000001</v>
      </c>
      <c r="I290" s="512" t="s">
        <v>1282</v>
      </c>
      <c r="J290" s="514"/>
      <c r="K290" s="514" t="s">
        <v>17</v>
      </c>
      <c r="L290" s="514">
        <v>8</v>
      </c>
      <c r="M290" s="514"/>
      <c r="N290" s="514" t="s">
        <v>87</v>
      </c>
      <c r="O290" s="514" t="s">
        <v>87</v>
      </c>
    </row>
    <row r="291" spans="1:15" ht="30">
      <c r="A291" s="512">
        <v>27</v>
      </c>
      <c r="B291" s="696"/>
      <c r="C291" s="523" t="s">
        <v>1153</v>
      </c>
      <c r="D291" s="511" t="s">
        <v>1289</v>
      </c>
      <c r="E291" s="515" t="s">
        <v>2247</v>
      </c>
      <c r="F291" s="512">
        <v>249.12</v>
      </c>
      <c r="G291" s="512" t="s">
        <v>1290</v>
      </c>
      <c r="H291" s="512">
        <v>0.37</v>
      </c>
      <c r="I291" s="512" t="s">
        <v>1282</v>
      </c>
      <c r="J291" s="514"/>
      <c r="K291" s="514" t="s">
        <v>17</v>
      </c>
      <c r="L291" s="514">
        <v>9</v>
      </c>
      <c r="M291" s="514"/>
      <c r="N291" s="514" t="s">
        <v>87</v>
      </c>
      <c r="O291" s="514" t="s">
        <v>87</v>
      </c>
    </row>
    <row r="292" spans="1:15" ht="30">
      <c r="A292" s="512">
        <v>28</v>
      </c>
      <c r="B292" s="696"/>
      <c r="C292" s="523" t="s">
        <v>1153</v>
      </c>
      <c r="D292" s="511" t="s">
        <v>1359</v>
      </c>
      <c r="E292" s="515" t="s">
        <v>2248</v>
      </c>
      <c r="F292" s="512">
        <v>2300</v>
      </c>
      <c r="G292" s="512">
        <v>1937</v>
      </c>
      <c r="H292" s="512">
        <v>1.36</v>
      </c>
      <c r="I292" s="512" t="s">
        <v>1282</v>
      </c>
      <c r="J292" s="514"/>
      <c r="K292" s="514" t="s">
        <v>17</v>
      </c>
      <c r="L292" s="514"/>
      <c r="M292" s="514">
        <v>1</v>
      </c>
      <c r="N292" s="514" t="s">
        <v>87</v>
      </c>
      <c r="O292" s="514" t="s">
        <v>87</v>
      </c>
    </row>
    <row r="293" spans="1:15" ht="30">
      <c r="A293" s="512">
        <v>29</v>
      </c>
      <c r="B293" s="696"/>
      <c r="C293" s="523" t="s">
        <v>1153</v>
      </c>
      <c r="D293" s="511" t="s">
        <v>1360</v>
      </c>
      <c r="E293" s="515" t="s">
        <v>2249</v>
      </c>
      <c r="F293" s="512">
        <v>195</v>
      </c>
      <c r="G293" s="512">
        <v>1994</v>
      </c>
      <c r="H293" s="512">
        <v>0.02</v>
      </c>
      <c r="I293" s="512" t="s">
        <v>1282</v>
      </c>
      <c r="J293" s="514"/>
      <c r="K293" s="514" t="s">
        <v>17</v>
      </c>
      <c r="L293" s="514"/>
      <c r="M293" s="514">
        <v>2</v>
      </c>
      <c r="N293" s="514" t="s">
        <v>87</v>
      </c>
      <c r="O293" s="514" t="s">
        <v>87</v>
      </c>
    </row>
    <row r="294" spans="1:15" ht="30">
      <c r="A294" s="512">
        <v>30</v>
      </c>
      <c r="B294" s="696"/>
      <c r="C294" s="523" t="s">
        <v>1153</v>
      </c>
      <c r="D294" s="511" t="s">
        <v>1361</v>
      </c>
      <c r="E294" s="515" t="s">
        <v>2248</v>
      </c>
      <c r="F294" s="512">
        <v>318.64</v>
      </c>
      <c r="G294" s="512">
        <v>1997</v>
      </c>
      <c r="H294" s="512">
        <v>0.04</v>
      </c>
      <c r="I294" s="512" t="s">
        <v>1282</v>
      </c>
      <c r="J294" s="514"/>
      <c r="K294" s="514" t="s">
        <v>17</v>
      </c>
      <c r="L294" s="514"/>
      <c r="M294" s="514">
        <v>3</v>
      </c>
      <c r="N294" s="514" t="s">
        <v>87</v>
      </c>
      <c r="O294" s="514" t="s">
        <v>87</v>
      </c>
    </row>
    <row r="295" spans="1:15" ht="30">
      <c r="A295" s="512">
        <v>31</v>
      </c>
      <c r="B295" s="696"/>
      <c r="C295" s="523" t="s">
        <v>1153</v>
      </c>
      <c r="D295" s="511" t="s">
        <v>1362</v>
      </c>
      <c r="E295" s="515" t="s">
        <v>2249</v>
      </c>
      <c r="F295" s="512">
        <v>61.43</v>
      </c>
      <c r="G295" s="512">
        <v>1933</v>
      </c>
      <c r="H295" s="512">
        <v>3.0000000000000001E-3</v>
      </c>
      <c r="I295" s="512" t="s">
        <v>1282</v>
      </c>
      <c r="J295" s="514"/>
      <c r="K295" s="514" t="s">
        <v>17</v>
      </c>
      <c r="L295" s="514"/>
      <c r="M295" s="514">
        <v>4</v>
      </c>
      <c r="N295" s="514" t="s">
        <v>87</v>
      </c>
      <c r="O295" s="514" t="s">
        <v>87</v>
      </c>
    </row>
    <row r="296" spans="1:15" ht="30">
      <c r="A296" s="512">
        <v>32</v>
      </c>
      <c r="B296" s="696" t="s">
        <v>1232</v>
      </c>
      <c r="C296" s="696" t="s">
        <v>1233</v>
      </c>
      <c r="D296" s="511" t="s">
        <v>2250</v>
      </c>
      <c r="E296" s="696" t="s">
        <v>2251</v>
      </c>
      <c r="F296" s="545">
        <v>2841.9</v>
      </c>
      <c r="G296" s="513" t="s">
        <v>2252</v>
      </c>
      <c r="H296" s="513" t="s">
        <v>87</v>
      </c>
      <c r="I296" s="545">
        <v>6</v>
      </c>
      <c r="J296" s="513" t="s">
        <v>87</v>
      </c>
      <c r="K296" s="513" t="s">
        <v>87</v>
      </c>
      <c r="L296" s="513" t="s">
        <v>87</v>
      </c>
      <c r="M296" s="513" t="s">
        <v>87</v>
      </c>
      <c r="N296" s="514" t="s">
        <v>87</v>
      </c>
      <c r="O296" s="514" t="s">
        <v>87</v>
      </c>
    </row>
    <row r="297" spans="1:15" ht="30">
      <c r="A297" s="512">
        <v>33</v>
      </c>
      <c r="B297" s="696"/>
      <c r="C297" s="696"/>
      <c r="D297" s="511" t="s">
        <v>2253</v>
      </c>
      <c r="E297" s="696"/>
      <c r="F297" s="545">
        <v>880</v>
      </c>
      <c r="G297" s="513" t="s">
        <v>1295</v>
      </c>
      <c r="H297" s="513" t="s">
        <v>87</v>
      </c>
      <c r="I297" s="545">
        <v>0.3</v>
      </c>
      <c r="J297" s="513" t="s">
        <v>87</v>
      </c>
      <c r="K297" s="513" t="s">
        <v>87</v>
      </c>
      <c r="L297" s="513" t="s">
        <v>87</v>
      </c>
      <c r="M297" s="513" t="s">
        <v>87</v>
      </c>
      <c r="N297" s="514" t="s">
        <v>87</v>
      </c>
      <c r="O297" s="514" t="s">
        <v>87</v>
      </c>
    </row>
    <row r="298" spans="1:15" ht="30">
      <c r="A298" s="512">
        <v>34</v>
      </c>
      <c r="B298" s="696"/>
      <c r="C298" s="696"/>
      <c r="D298" s="511" t="s">
        <v>2254</v>
      </c>
      <c r="E298" s="696"/>
      <c r="F298" s="545">
        <v>60</v>
      </c>
      <c r="G298" s="513" t="s">
        <v>1295</v>
      </c>
      <c r="H298" s="513" t="s">
        <v>87</v>
      </c>
      <c r="I298" s="545">
        <v>0.18</v>
      </c>
      <c r="J298" s="513" t="s">
        <v>87</v>
      </c>
      <c r="K298" s="513" t="s">
        <v>87</v>
      </c>
      <c r="L298" s="513" t="s">
        <v>87</v>
      </c>
      <c r="M298" s="513" t="s">
        <v>87</v>
      </c>
      <c r="N298" s="514" t="s">
        <v>87</v>
      </c>
      <c r="O298" s="514" t="s">
        <v>87</v>
      </c>
    </row>
    <row r="299" spans="1:15" ht="30">
      <c r="A299" s="512">
        <v>35</v>
      </c>
      <c r="B299" s="696"/>
      <c r="C299" s="696"/>
      <c r="D299" s="511" t="s">
        <v>2255</v>
      </c>
      <c r="E299" s="696"/>
      <c r="F299" s="545">
        <v>136</v>
      </c>
      <c r="G299" s="513" t="s">
        <v>1295</v>
      </c>
      <c r="H299" s="513" t="s">
        <v>87</v>
      </c>
      <c r="I299" s="545">
        <v>0.34</v>
      </c>
      <c r="J299" s="513" t="s">
        <v>87</v>
      </c>
      <c r="K299" s="513" t="s">
        <v>87</v>
      </c>
      <c r="L299" s="513" t="s">
        <v>87</v>
      </c>
      <c r="M299" s="513" t="s">
        <v>87</v>
      </c>
      <c r="N299" s="514" t="s">
        <v>87</v>
      </c>
      <c r="O299" s="514" t="s">
        <v>87</v>
      </c>
    </row>
    <row r="300" spans="1:15" ht="15">
      <c r="A300" s="512">
        <v>36</v>
      </c>
      <c r="B300" s="696"/>
      <c r="C300" s="696"/>
      <c r="D300" s="511" t="s">
        <v>2256</v>
      </c>
      <c r="E300" s="696"/>
      <c r="F300" s="545">
        <v>350</v>
      </c>
      <c r="G300" s="513" t="s">
        <v>1295</v>
      </c>
      <c r="H300" s="513" t="s">
        <v>87</v>
      </c>
      <c r="I300" s="545">
        <v>0.77</v>
      </c>
      <c r="J300" s="513" t="s">
        <v>87</v>
      </c>
      <c r="K300" s="513" t="s">
        <v>87</v>
      </c>
      <c r="L300" s="513" t="s">
        <v>87</v>
      </c>
      <c r="M300" s="513" t="s">
        <v>87</v>
      </c>
      <c r="N300" s="514" t="s">
        <v>87</v>
      </c>
      <c r="O300" s="514" t="s">
        <v>87</v>
      </c>
    </row>
    <row r="301" spans="1:15" ht="30">
      <c r="A301" s="512">
        <v>37</v>
      </c>
      <c r="B301" s="696"/>
      <c r="C301" s="696"/>
      <c r="D301" s="511" t="s">
        <v>2257</v>
      </c>
      <c r="E301" s="696"/>
      <c r="F301" s="545">
        <v>2000</v>
      </c>
      <c r="G301" s="513" t="s">
        <v>1295</v>
      </c>
      <c r="H301" s="513" t="s">
        <v>87</v>
      </c>
      <c r="I301" s="545">
        <v>0.03</v>
      </c>
      <c r="J301" s="513" t="s">
        <v>87</v>
      </c>
      <c r="K301" s="513" t="s">
        <v>87</v>
      </c>
      <c r="L301" s="513" t="s">
        <v>87</v>
      </c>
      <c r="M301" s="513" t="s">
        <v>87</v>
      </c>
      <c r="N301" s="514" t="s">
        <v>87</v>
      </c>
      <c r="O301" s="514" t="s">
        <v>87</v>
      </c>
    </row>
    <row r="302" spans="1:15" ht="30">
      <c r="A302" s="512">
        <v>38</v>
      </c>
      <c r="B302" s="696"/>
      <c r="C302" s="696"/>
      <c r="D302" s="511" t="s">
        <v>2258</v>
      </c>
      <c r="E302" s="696"/>
      <c r="F302" s="545">
        <v>427</v>
      </c>
      <c r="G302" s="513" t="s">
        <v>1295</v>
      </c>
      <c r="H302" s="513" t="s">
        <v>87</v>
      </c>
      <c r="I302" s="545">
        <v>0.04</v>
      </c>
      <c r="J302" s="513" t="s">
        <v>87</v>
      </c>
      <c r="K302" s="513" t="s">
        <v>87</v>
      </c>
      <c r="L302" s="513" t="s">
        <v>87</v>
      </c>
      <c r="M302" s="513" t="s">
        <v>87</v>
      </c>
      <c r="N302" s="514" t="s">
        <v>87</v>
      </c>
      <c r="O302" s="514" t="s">
        <v>87</v>
      </c>
    </row>
    <row r="303" spans="1:15">
      <c r="A303" s="693"/>
      <c r="B303" s="693"/>
      <c r="C303" s="693"/>
      <c r="D303" s="693"/>
      <c r="E303" s="693"/>
      <c r="F303" s="693"/>
      <c r="G303" s="693"/>
      <c r="H303" s="693"/>
      <c r="I303" s="693"/>
      <c r="J303" s="693"/>
      <c r="K303" s="693"/>
      <c r="L303" s="693"/>
      <c r="M303" s="693"/>
      <c r="N303" s="693"/>
      <c r="O303" s="693"/>
    </row>
    <row r="304" spans="1:15" ht="22.5">
      <c r="A304" s="700" t="s">
        <v>671</v>
      </c>
      <c r="B304" s="700"/>
      <c r="C304" s="700"/>
      <c r="D304" s="700"/>
      <c r="E304" s="700"/>
      <c r="F304" s="700"/>
      <c r="G304" s="700"/>
      <c r="H304" s="700"/>
      <c r="I304" s="700"/>
      <c r="J304" s="700"/>
      <c r="K304" s="700"/>
      <c r="L304" s="700"/>
      <c r="M304" s="700"/>
      <c r="N304" s="700"/>
      <c r="O304" s="700"/>
    </row>
    <row r="305" spans="1:15" ht="20.25">
      <c r="A305" s="559" t="s">
        <v>7710</v>
      </c>
      <c r="B305" s="559"/>
      <c r="C305" s="559"/>
      <c r="D305" s="559"/>
      <c r="E305" s="559"/>
      <c r="F305" s="559"/>
      <c r="G305" s="559"/>
      <c r="H305" s="559"/>
      <c r="I305" s="559"/>
      <c r="J305" s="559"/>
      <c r="K305" s="559"/>
      <c r="L305" s="559"/>
      <c r="M305" s="559"/>
      <c r="N305" s="559"/>
      <c r="O305" s="559"/>
    </row>
    <row r="306" spans="1:15" ht="99.75">
      <c r="A306" s="18" t="s">
        <v>0</v>
      </c>
      <c r="B306" s="18" t="s">
        <v>2631</v>
      </c>
      <c r="C306" s="18" t="s">
        <v>2632</v>
      </c>
      <c r="D306" s="18" t="s">
        <v>1617</v>
      </c>
      <c r="E306" s="18" t="s">
        <v>1618</v>
      </c>
      <c r="F306" s="18" t="s">
        <v>2623</v>
      </c>
      <c r="G306" s="18" t="s">
        <v>1619</v>
      </c>
      <c r="H306" s="19" t="s">
        <v>2624</v>
      </c>
      <c r="I306" s="18" t="s">
        <v>2625</v>
      </c>
      <c r="J306" s="18" t="s">
        <v>1620</v>
      </c>
      <c r="K306" s="19" t="s">
        <v>2633</v>
      </c>
      <c r="L306" s="20" t="s">
        <v>1621</v>
      </c>
      <c r="M306" s="20" t="s">
        <v>1622</v>
      </c>
      <c r="N306" s="19" t="s">
        <v>2634</v>
      </c>
      <c r="O306" s="18" t="s">
        <v>1623</v>
      </c>
    </row>
    <row r="307" spans="1:15">
      <c r="A307" s="530">
        <v>1</v>
      </c>
      <c r="B307" s="530">
        <v>2</v>
      </c>
      <c r="C307" s="530">
        <v>3</v>
      </c>
      <c r="D307" s="530">
        <v>4</v>
      </c>
      <c r="E307" s="530">
        <v>5</v>
      </c>
      <c r="F307" s="530">
        <v>6</v>
      </c>
      <c r="G307" s="530">
        <v>7</v>
      </c>
      <c r="H307" s="530">
        <v>8</v>
      </c>
      <c r="I307" s="19">
        <v>9</v>
      </c>
      <c r="J307" s="530">
        <v>10</v>
      </c>
      <c r="K307" s="530">
        <v>11</v>
      </c>
      <c r="L307" s="530">
        <v>12</v>
      </c>
      <c r="M307" s="530">
        <v>13</v>
      </c>
      <c r="N307" s="530">
        <v>14</v>
      </c>
      <c r="O307" s="530">
        <v>15</v>
      </c>
    </row>
    <row r="308" spans="1:15" ht="45">
      <c r="A308" s="517">
        <v>1</v>
      </c>
      <c r="B308" s="710" t="s">
        <v>2621</v>
      </c>
      <c r="C308" s="519" t="s">
        <v>2259</v>
      </c>
      <c r="D308" s="519" t="s">
        <v>2260</v>
      </c>
      <c r="E308" s="519" t="s">
        <v>2260</v>
      </c>
      <c r="F308" s="544">
        <v>2388</v>
      </c>
      <c r="G308" s="544" t="s">
        <v>2261</v>
      </c>
      <c r="H308" s="517" t="s">
        <v>389</v>
      </c>
      <c r="I308" s="544" t="s">
        <v>2262</v>
      </c>
      <c r="J308" s="517" t="s">
        <v>389</v>
      </c>
      <c r="K308" s="517" t="s">
        <v>389</v>
      </c>
      <c r="L308" s="517" t="s">
        <v>389</v>
      </c>
      <c r="M308" s="517" t="s">
        <v>389</v>
      </c>
      <c r="N308" s="517" t="s">
        <v>389</v>
      </c>
      <c r="O308" s="517" t="s">
        <v>389</v>
      </c>
    </row>
    <row r="309" spans="1:15" ht="30">
      <c r="A309" s="517">
        <v>2</v>
      </c>
      <c r="B309" s="710"/>
      <c r="C309" s="519" t="s">
        <v>2263</v>
      </c>
      <c r="D309" s="34" t="s">
        <v>1366</v>
      </c>
      <c r="E309" s="519" t="s">
        <v>1386</v>
      </c>
      <c r="F309" s="517">
        <v>227</v>
      </c>
      <c r="G309" s="544" t="s">
        <v>352</v>
      </c>
      <c r="H309" s="517" t="s">
        <v>87</v>
      </c>
      <c r="I309" s="544" t="s">
        <v>306</v>
      </c>
      <c r="J309" s="544" t="s">
        <v>306</v>
      </c>
      <c r="K309" s="517" t="s">
        <v>87</v>
      </c>
      <c r="L309" s="517"/>
      <c r="M309" s="517"/>
      <c r="N309" s="544" t="s">
        <v>2653</v>
      </c>
      <c r="O309" s="517"/>
    </row>
    <row r="310" spans="1:15" ht="90">
      <c r="A310" s="517">
        <v>3</v>
      </c>
      <c r="B310" s="710"/>
      <c r="C310" s="519" t="s">
        <v>2263</v>
      </c>
      <c r="D310" s="519" t="s">
        <v>1418</v>
      </c>
      <c r="E310" s="519" t="s">
        <v>2652</v>
      </c>
      <c r="F310" s="544">
        <v>2782.08</v>
      </c>
      <c r="G310" s="517">
        <v>1996</v>
      </c>
      <c r="H310" s="517" t="s">
        <v>17</v>
      </c>
      <c r="I310" s="544" t="s">
        <v>2264</v>
      </c>
      <c r="J310" s="544" t="s">
        <v>306</v>
      </c>
      <c r="K310" s="544" t="s">
        <v>2068</v>
      </c>
      <c r="L310" s="544" t="s">
        <v>2068</v>
      </c>
      <c r="M310" s="517">
        <v>1</v>
      </c>
      <c r="N310" s="544" t="s">
        <v>2068</v>
      </c>
      <c r="O310" s="517"/>
    </row>
    <row r="311" spans="1:15" ht="30">
      <c r="A311" s="517">
        <v>4</v>
      </c>
      <c r="B311" s="710"/>
      <c r="C311" s="519" t="s">
        <v>2263</v>
      </c>
      <c r="D311" s="34" t="s">
        <v>2265</v>
      </c>
      <c r="E311" s="519" t="s">
        <v>2266</v>
      </c>
      <c r="F311" s="517">
        <v>347.36</v>
      </c>
      <c r="G311" s="544" t="s">
        <v>2267</v>
      </c>
      <c r="H311" s="517"/>
      <c r="I311" s="517"/>
      <c r="J311" s="517"/>
      <c r="K311" s="517"/>
      <c r="L311" s="517"/>
      <c r="M311" s="517"/>
      <c r="N311" s="544"/>
      <c r="O311" s="517"/>
    </row>
    <row r="312" spans="1:15" ht="30">
      <c r="A312" s="517">
        <v>5</v>
      </c>
      <c r="B312" s="710"/>
      <c r="C312" s="519" t="s">
        <v>2263</v>
      </c>
      <c r="D312" s="34" t="s">
        <v>2268</v>
      </c>
      <c r="E312" s="519" t="s">
        <v>2269</v>
      </c>
      <c r="F312" s="517">
        <v>156.07</v>
      </c>
      <c r="G312" s="544" t="s">
        <v>2270</v>
      </c>
      <c r="H312" s="517"/>
      <c r="I312" s="517"/>
      <c r="J312" s="517"/>
      <c r="K312" s="517"/>
      <c r="L312" s="517"/>
      <c r="M312" s="517"/>
      <c r="N312" s="544"/>
      <c r="O312" s="517"/>
    </row>
    <row r="313" spans="1:15" ht="45">
      <c r="A313" s="517">
        <v>6</v>
      </c>
      <c r="B313" s="710"/>
      <c r="C313" s="519" t="s">
        <v>2271</v>
      </c>
      <c r="D313" s="34" t="s">
        <v>2272</v>
      </c>
      <c r="E313" s="519" t="s">
        <v>2273</v>
      </c>
      <c r="F313" s="517"/>
      <c r="G313" s="544"/>
      <c r="H313" s="517"/>
      <c r="I313" s="517"/>
      <c r="J313" s="517"/>
      <c r="K313" s="517"/>
      <c r="L313" s="517"/>
      <c r="M313" s="517"/>
      <c r="N313" s="544" t="s">
        <v>17</v>
      </c>
      <c r="O313" s="517" t="s">
        <v>17</v>
      </c>
    </row>
    <row r="314" spans="1:15" ht="45">
      <c r="A314" s="517">
        <v>7</v>
      </c>
      <c r="B314" s="710"/>
      <c r="C314" s="519" t="s">
        <v>2274</v>
      </c>
      <c r="D314" s="34" t="s">
        <v>2275</v>
      </c>
      <c r="E314" s="519" t="s">
        <v>2276</v>
      </c>
      <c r="F314" s="517"/>
      <c r="G314" s="544"/>
      <c r="H314" s="517" t="s">
        <v>17</v>
      </c>
      <c r="I314" s="517"/>
      <c r="J314" s="517"/>
      <c r="K314" s="517"/>
      <c r="L314" s="517"/>
      <c r="M314" s="517"/>
      <c r="N314" s="544" t="s">
        <v>17</v>
      </c>
      <c r="O314" s="517" t="s">
        <v>17</v>
      </c>
    </row>
    <row r="315" spans="1:15" ht="45">
      <c r="A315" s="517">
        <v>8</v>
      </c>
      <c r="B315" s="710"/>
      <c r="C315" s="519" t="s">
        <v>2277</v>
      </c>
      <c r="D315" s="519" t="s">
        <v>2278</v>
      </c>
      <c r="E315" s="519" t="s">
        <v>2279</v>
      </c>
      <c r="F315" s="517">
        <v>719</v>
      </c>
      <c r="G315" s="517" t="s">
        <v>17</v>
      </c>
      <c r="H315" s="517" t="s">
        <v>17</v>
      </c>
      <c r="I315" s="517" t="s">
        <v>17</v>
      </c>
      <c r="J315" s="517" t="s">
        <v>17</v>
      </c>
      <c r="K315" s="517" t="s">
        <v>17</v>
      </c>
      <c r="L315" s="517" t="s">
        <v>17</v>
      </c>
      <c r="M315" s="517" t="s">
        <v>17</v>
      </c>
      <c r="N315" s="544" t="s">
        <v>2280</v>
      </c>
      <c r="O315" s="517"/>
    </row>
    <row r="316" spans="1:15" ht="75">
      <c r="A316" s="517">
        <v>9</v>
      </c>
      <c r="B316" s="710"/>
      <c r="C316" s="519" t="s">
        <v>2277</v>
      </c>
      <c r="D316" s="519" t="s">
        <v>1388</v>
      </c>
      <c r="E316" s="519" t="s">
        <v>2281</v>
      </c>
      <c r="F316" s="517">
        <v>1150</v>
      </c>
      <c r="G316" s="112">
        <v>34989</v>
      </c>
      <c r="H316" s="517" t="s">
        <v>17</v>
      </c>
      <c r="I316" s="517">
        <v>0.32</v>
      </c>
      <c r="J316" s="517" t="s">
        <v>17</v>
      </c>
      <c r="K316" s="517" t="s">
        <v>17</v>
      </c>
      <c r="L316" s="517" t="s">
        <v>17</v>
      </c>
      <c r="M316" s="517" t="s">
        <v>17</v>
      </c>
      <c r="N316" s="517" t="s">
        <v>17</v>
      </c>
      <c r="O316" s="544" t="s">
        <v>2282</v>
      </c>
    </row>
    <row r="317" spans="1:15" ht="30">
      <c r="A317" s="517">
        <v>10</v>
      </c>
      <c r="B317" s="710"/>
      <c r="C317" s="519" t="s">
        <v>2277</v>
      </c>
      <c r="D317" s="519" t="s">
        <v>2283</v>
      </c>
      <c r="E317" s="519" t="s">
        <v>2654</v>
      </c>
      <c r="F317" s="517">
        <v>1120.7</v>
      </c>
      <c r="G317" s="517" t="s">
        <v>2284</v>
      </c>
      <c r="H317" s="517" t="s">
        <v>151</v>
      </c>
      <c r="I317" s="517">
        <v>1.71</v>
      </c>
      <c r="J317" s="517" t="s">
        <v>2285</v>
      </c>
      <c r="K317" s="517" t="s">
        <v>2285</v>
      </c>
      <c r="L317" s="517" t="s">
        <v>151</v>
      </c>
      <c r="M317" s="517" t="s">
        <v>151</v>
      </c>
      <c r="N317" s="517" t="s">
        <v>17</v>
      </c>
      <c r="O317" s="517" t="s">
        <v>2286</v>
      </c>
    </row>
    <row r="318" spans="1:15" ht="90">
      <c r="A318" s="517">
        <v>11</v>
      </c>
      <c r="B318" s="710"/>
      <c r="C318" s="519" t="s">
        <v>2287</v>
      </c>
      <c r="D318" s="34" t="s">
        <v>1401</v>
      </c>
      <c r="E318" s="519" t="s">
        <v>1401</v>
      </c>
      <c r="F318" s="544" t="s">
        <v>2655</v>
      </c>
      <c r="G318" s="517" t="s">
        <v>2288</v>
      </c>
      <c r="H318" s="544" t="s">
        <v>2068</v>
      </c>
      <c r="I318" s="544" t="s">
        <v>2289</v>
      </c>
      <c r="J318" s="517" t="s">
        <v>17</v>
      </c>
      <c r="K318" s="517" t="s">
        <v>87</v>
      </c>
      <c r="L318" s="517">
        <v>1</v>
      </c>
      <c r="M318" s="517" t="s">
        <v>17</v>
      </c>
      <c r="N318" s="517" t="s">
        <v>17</v>
      </c>
      <c r="O318" s="517" t="s">
        <v>17</v>
      </c>
    </row>
    <row r="319" spans="1:15" ht="30">
      <c r="A319" s="517">
        <v>12</v>
      </c>
      <c r="B319" s="710"/>
      <c r="C319" s="519" t="s">
        <v>2290</v>
      </c>
      <c r="D319" s="519" t="s">
        <v>2291</v>
      </c>
      <c r="E319" s="519" t="s">
        <v>2292</v>
      </c>
      <c r="F319" s="517">
        <v>558</v>
      </c>
      <c r="G319" s="517" t="s">
        <v>2293</v>
      </c>
      <c r="H319" s="517"/>
      <c r="I319" s="517"/>
      <c r="J319" s="517"/>
      <c r="K319" s="517"/>
      <c r="L319" s="517"/>
      <c r="M319" s="517"/>
      <c r="N319" s="517"/>
      <c r="O319" s="517"/>
    </row>
    <row r="320" spans="1:15">
      <c r="A320" s="693"/>
      <c r="B320" s="693"/>
      <c r="C320" s="693"/>
      <c r="D320" s="693"/>
      <c r="E320" s="693"/>
      <c r="F320" s="693"/>
      <c r="G320" s="693"/>
      <c r="H320" s="693"/>
      <c r="I320" s="693"/>
      <c r="J320" s="693"/>
      <c r="K320" s="693"/>
      <c r="L320" s="693"/>
      <c r="M320" s="693"/>
      <c r="N320" s="693"/>
      <c r="O320" s="693"/>
    </row>
    <row r="321" spans="1:15" ht="22.5">
      <c r="A321" s="700" t="s">
        <v>672</v>
      </c>
      <c r="B321" s="700"/>
      <c r="C321" s="700"/>
      <c r="D321" s="700"/>
      <c r="E321" s="700"/>
      <c r="F321" s="700"/>
      <c r="G321" s="700"/>
      <c r="H321" s="700"/>
      <c r="I321" s="700"/>
      <c r="J321" s="700"/>
      <c r="K321" s="700"/>
      <c r="L321" s="700"/>
      <c r="M321" s="700"/>
      <c r="N321" s="700"/>
      <c r="O321" s="700"/>
    </row>
    <row r="322" spans="1:15" ht="20.25">
      <c r="A322" s="559" t="s">
        <v>7710</v>
      </c>
      <c r="B322" s="559"/>
      <c r="C322" s="559"/>
      <c r="D322" s="559"/>
      <c r="E322" s="559"/>
      <c r="F322" s="559"/>
      <c r="G322" s="559"/>
      <c r="H322" s="559"/>
      <c r="I322" s="559"/>
      <c r="J322" s="559"/>
      <c r="K322" s="559"/>
      <c r="L322" s="559"/>
      <c r="M322" s="559"/>
      <c r="N322" s="559"/>
      <c r="O322" s="559"/>
    </row>
    <row r="323" spans="1:15" ht="99.75">
      <c r="A323" s="18" t="s">
        <v>0</v>
      </c>
      <c r="B323" s="18" t="s">
        <v>2631</v>
      </c>
      <c r="C323" s="18" t="s">
        <v>2632</v>
      </c>
      <c r="D323" s="18" t="s">
        <v>1617</v>
      </c>
      <c r="E323" s="18" t="s">
        <v>1618</v>
      </c>
      <c r="F323" s="18" t="s">
        <v>2623</v>
      </c>
      <c r="G323" s="18" t="s">
        <v>1619</v>
      </c>
      <c r="H323" s="19" t="s">
        <v>2624</v>
      </c>
      <c r="I323" s="18" t="s">
        <v>2625</v>
      </c>
      <c r="J323" s="18" t="s">
        <v>1620</v>
      </c>
      <c r="K323" s="19" t="s">
        <v>2633</v>
      </c>
      <c r="L323" s="20" t="s">
        <v>1621</v>
      </c>
      <c r="M323" s="20" t="s">
        <v>1622</v>
      </c>
      <c r="N323" s="19" t="s">
        <v>2634</v>
      </c>
      <c r="O323" s="18" t="s">
        <v>1623</v>
      </c>
    </row>
    <row r="324" spans="1:15">
      <c r="A324" s="530">
        <v>1</v>
      </c>
      <c r="B324" s="530">
        <v>2</v>
      </c>
      <c r="C324" s="530">
        <v>3</v>
      </c>
      <c r="D324" s="530">
        <v>4</v>
      </c>
      <c r="E324" s="530">
        <v>5</v>
      </c>
      <c r="F324" s="530">
        <v>6</v>
      </c>
      <c r="G324" s="530">
        <v>7</v>
      </c>
      <c r="H324" s="530">
        <v>8</v>
      </c>
      <c r="I324" s="19">
        <v>9</v>
      </c>
      <c r="J324" s="530">
        <v>10</v>
      </c>
      <c r="K324" s="530">
        <v>11</v>
      </c>
      <c r="L324" s="530">
        <v>12</v>
      </c>
      <c r="M324" s="530">
        <v>13</v>
      </c>
      <c r="N324" s="530">
        <v>14</v>
      </c>
      <c r="O324" s="530">
        <v>15</v>
      </c>
    </row>
    <row r="325" spans="1:15" ht="30">
      <c r="A325" s="513">
        <v>1</v>
      </c>
      <c r="B325" s="696" t="s">
        <v>2600</v>
      </c>
      <c r="C325" s="511" t="s">
        <v>2294</v>
      </c>
      <c r="D325" s="696" t="s">
        <v>2295</v>
      </c>
      <c r="E325" s="511" t="s">
        <v>2296</v>
      </c>
      <c r="F325" s="694">
        <v>6336</v>
      </c>
      <c r="G325" s="694" t="s">
        <v>2297</v>
      </c>
      <c r="H325" s="714" t="s">
        <v>35</v>
      </c>
      <c r="I325" s="714" t="s">
        <v>35</v>
      </c>
      <c r="J325" s="694"/>
      <c r="K325" s="694" t="s">
        <v>2298</v>
      </c>
      <c r="L325" s="694"/>
      <c r="M325" s="694"/>
      <c r="N325" s="694" t="s">
        <v>2299</v>
      </c>
      <c r="O325" s="516"/>
    </row>
    <row r="326" spans="1:15" ht="45">
      <c r="A326" s="513">
        <v>2</v>
      </c>
      <c r="B326" s="696"/>
      <c r="C326" s="511" t="s">
        <v>2300</v>
      </c>
      <c r="D326" s="696"/>
      <c r="E326" s="511" t="s">
        <v>2301</v>
      </c>
      <c r="F326" s="694"/>
      <c r="G326" s="694"/>
      <c r="H326" s="714"/>
      <c r="I326" s="714"/>
      <c r="J326" s="694"/>
      <c r="K326" s="694"/>
      <c r="L326" s="694"/>
      <c r="M326" s="694"/>
      <c r="N326" s="694"/>
      <c r="O326" s="513"/>
    </row>
    <row r="327" spans="1:15" ht="45">
      <c r="A327" s="513">
        <v>3</v>
      </c>
      <c r="B327" s="696"/>
      <c r="C327" s="511" t="s">
        <v>2302</v>
      </c>
      <c r="D327" s="696"/>
      <c r="E327" s="511" t="s">
        <v>2303</v>
      </c>
      <c r="F327" s="694"/>
      <c r="G327" s="694"/>
      <c r="H327" s="714"/>
      <c r="I327" s="714"/>
      <c r="J327" s="694"/>
      <c r="K327" s="694"/>
      <c r="L327" s="694"/>
      <c r="M327" s="694"/>
      <c r="N327" s="694"/>
      <c r="O327" s="512"/>
    </row>
    <row r="328" spans="1:15" ht="45">
      <c r="A328" s="513">
        <v>4</v>
      </c>
      <c r="B328" s="696"/>
      <c r="C328" s="696" t="s">
        <v>2300</v>
      </c>
      <c r="D328" s="696" t="s">
        <v>2304</v>
      </c>
      <c r="E328" s="511" t="s">
        <v>2305</v>
      </c>
      <c r="F328" s="513">
        <v>1000</v>
      </c>
      <c r="G328" s="694">
        <v>2002</v>
      </c>
      <c r="H328" s="513"/>
      <c r="I328" s="513"/>
      <c r="J328" s="513"/>
      <c r="K328" s="694" t="s">
        <v>2306</v>
      </c>
      <c r="L328" s="513"/>
      <c r="M328" s="513"/>
      <c r="N328" s="516"/>
      <c r="O328" s="694" t="s">
        <v>2307</v>
      </c>
    </row>
    <row r="329" spans="1:15" ht="45">
      <c r="A329" s="513">
        <v>5</v>
      </c>
      <c r="B329" s="696"/>
      <c r="C329" s="696"/>
      <c r="D329" s="696"/>
      <c r="E329" s="511" t="s">
        <v>2308</v>
      </c>
      <c r="F329" s="513">
        <v>700</v>
      </c>
      <c r="G329" s="694"/>
      <c r="H329" s="512"/>
      <c r="I329" s="512"/>
      <c r="J329" s="512"/>
      <c r="K329" s="694"/>
      <c r="L329" s="512"/>
      <c r="M329" s="512"/>
      <c r="N329" s="516"/>
      <c r="O329" s="694"/>
    </row>
    <row r="330" spans="1:15" ht="75">
      <c r="A330" s="513">
        <v>6</v>
      </c>
      <c r="B330" s="696"/>
      <c r="C330" s="696"/>
      <c r="D330" s="511" t="s">
        <v>1457</v>
      </c>
      <c r="E330" s="511" t="s">
        <v>2309</v>
      </c>
      <c r="F330" s="512">
        <v>1452.08</v>
      </c>
      <c r="G330" s="513"/>
      <c r="H330" s="513"/>
      <c r="I330" s="513">
        <v>0.72419999999999995</v>
      </c>
      <c r="J330" s="513"/>
      <c r="K330" s="513"/>
      <c r="L330" s="513"/>
      <c r="M330" s="513">
        <v>1</v>
      </c>
      <c r="N330" s="516"/>
      <c r="O330" s="516"/>
    </row>
    <row r="331" spans="1:15" ht="60">
      <c r="A331" s="513">
        <v>7</v>
      </c>
      <c r="B331" s="696"/>
      <c r="C331" s="696"/>
      <c r="D331" s="511" t="s">
        <v>1459</v>
      </c>
      <c r="E331" s="511" t="s">
        <v>2310</v>
      </c>
      <c r="F331" s="512">
        <v>1025</v>
      </c>
      <c r="G331" s="513" t="s">
        <v>2311</v>
      </c>
      <c r="H331" s="513"/>
      <c r="I331" s="513">
        <v>0.49730000000000002</v>
      </c>
      <c r="J331" s="513"/>
      <c r="K331" s="513"/>
      <c r="L331" s="513"/>
      <c r="M331" s="513">
        <v>2</v>
      </c>
      <c r="N331" s="516"/>
      <c r="O331" s="516"/>
    </row>
    <row r="332" spans="1:15" ht="105">
      <c r="A332" s="513">
        <v>8</v>
      </c>
      <c r="B332" s="696"/>
      <c r="C332" s="515" t="s">
        <v>1462</v>
      </c>
      <c r="D332" s="515" t="s">
        <v>2312</v>
      </c>
      <c r="E332" s="511" t="s">
        <v>2313</v>
      </c>
      <c r="F332" s="512" t="s">
        <v>2314</v>
      </c>
      <c r="G332" s="512">
        <v>1999</v>
      </c>
      <c r="H332" s="512" t="s">
        <v>17</v>
      </c>
      <c r="I332" s="512" t="s">
        <v>2315</v>
      </c>
      <c r="J332" s="512"/>
      <c r="K332" s="512"/>
      <c r="L332" s="512">
        <v>1</v>
      </c>
      <c r="M332" s="512" t="s">
        <v>17</v>
      </c>
      <c r="N332" s="512"/>
      <c r="O332" s="512"/>
    </row>
    <row r="333" spans="1:15" ht="45">
      <c r="A333" s="513">
        <v>9</v>
      </c>
      <c r="B333" s="696"/>
      <c r="C333" s="511" t="s">
        <v>1444</v>
      </c>
      <c r="D333" s="511" t="s">
        <v>1474</v>
      </c>
      <c r="E333" s="511" t="s">
        <v>7057</v>
      </c>
      <c r="F333" s="512">
        <v>1176</v>
      </c>
      <c r="G333" s="512" t="s">
        <v>2316</v>
      </c>
      <c r="H333" s="512"/>
      <c r="I333" s="512">
        <v>0.31900000000000001</v>
      </c>
      <c r="J333" s="512"/>
      <c r="K333" s="512"/>
      <c r="L333" s="512">
        <v>1</v>
      </c>
      <c r="M333" s="512"/>
      <c r="N333" s="512"/>
      <c r="O333" s="512"/>
    </row>
    <row r="334" spans="1:15" ht="60">
      <c r="A334" s="513">
        <v>10</v>
      </c>
      <c r="B334" s="696"/>
      <c r="C334" s="511" t="s">
        <v>1444</v>
      </c>
      <c r="D334" s="511" t="s">
        <v>1474</v>
      </c>
      <c r="E334" s="511" t="s">
        <v>2317</v>
      </c>
      <c r="F334" s="512">
        <v>4216</v>
      </c>
      <c r="G334" s="512" t="s">
        <v>2318</v>
      </c>
      <c r="H334" s="512"/>
      <c r="I334" s="512">
        <v>6.26</v>
      </c>
      <c r="J334" s="512"/>
      <c r="K334" s="512"/>
      <c r="L334" s="512">
        <v>1</v>
      </c>
      <c r="M334" s="512"/>
      <c r="N334" s="512"/>
      <c r="O334" s="512"/>
    </row>
    <row r="335" spans="1:15" ht="60">
      <c r="A335" s="513">
        <v>11</v>
      </c>
      <c r="B335" s="696"/>
      <c r="C335" s="511" t="s">
        <v>1444</v>
      </c>
      <c r="D335" s="511" t="s">
        <v>1478</v>
      </c>
      <c r="E335" s="523"/>
      <c r="F335" s="512">
        <v>2200</v>
      </c>
      <c r="G335" s="512" t="s">
        <v>2319</v>
      </c>
      <c r="H335" s="512"/>
      <c r="I335" s="512">
        <v>1.17</v>
      </c>
      <c r="J335" s="512"/>
      <c r="K335" s="512"/>
      <c r="L335" s="512"/>
      <c r="M335" s="512">
        <v>1</v>
      </c>
      <c r="N335" s="512"/>
      <c r="O335" s="512"/>
    </row>
    <row r="336" spans="1:15" ht="60">
      <c r="A336" s="513">
        <v>12</v>
      </c>
      <c r="B336" s="696"/>
      <c r="C336" s="511" t="s">
        <v>1444</v>
      </c>
      <c r="D336" s="511" t="s">
        <v>1480</v>
      </c>
      <c r="E336" s="523"/>
      <c r="F336" s="512">
        <v>1308</v>
      </c>
      <c r="G336" s="512" t="s">
        <v>2320</v>
      </c>
      <c r="H336" s="512"/>
      <c r="I336" s="512">
        <v>1.61</v>
      </c>
      <c r="J336" s="512"/>
      <c r="K336" s="512"/>
      <c r="L336" s="512"/>
      <c r="M336" s="512">
        <v>2</v>
      </c>
      <c r="N336" s="512"/>
      <c r="O336" s="512"/>
    </row>
    <row r="337" spans="1:15" ht="60">
      <c r="A337" s="513">
        <v>13</v>
      </c>
      <c r="B337" s="696"/>
      <c r="C337" s="511" t="s">
        <v>1424</v>
      </c>
      <c r="D337" s="515" t="s">
        <v>1482</v>
      </c>
      <c r="E337" s="515" t="s">
        <v>1482</v>
      </c>
      <c r="F337" s="513">
        <v>748.67</v>
      </c>
      <c r="G337" s="513" t="s">
        <v>2321</v>
      </c>
      <c r="H337" s="513"/>
      <c r="I337" s="513"/>
      <c r="J337" s="513"/>
      <c r="K337" s="513" t="s">
        <v>17</v>
      </c>
      <c r="L337" s="513">
        <v>1</v>
      </c>
      <c r="M337" s="513" t="s">
        <v>17</v>
      </c>
      <c r="N337" s="513" t="s">
        <v>17</v>
      </c>
      <c r="O337" s="513"/>
    </row>
    <row r="338" spans="1:15" ht="75">
      <c r="A338" s="513">
        <v>14</v>
      </c>
      <c r="B338" s="696"/>
      <c r="C338" s="511" t="s">
        <v>1424</v>
      </c>
      <c r="D338" s="511" t="s">
        <v>2322</v>
      </c>
      <c r="E338" s="511" t="s">
        <v>2656</v>
      </c>
      <c r="F338" s="513" t="s">
        <v>2323</v>
      </c>
      <c r="G338" s="513">
        <v>2001</v>
      </c>
      <c r="H338" s="513" t="s">
        <v>17</v>
      </c>
      <c r="I338" s="513">
        <v>0.35478189999999998</v>
      </c>
      <c r="J338" s="513" t="s">
        <v>35</v>
      </c>
      <c r="K338" s="513">
        <v>5.2400000000000002E-2</v>
      </c>
      <c r="L338" s="513">
        <v>1</v>
      </c>
      <c r="M338" s="513"/>
      <c r="N338" s="513"/>
      <c r="O338" s="513"/>
    </row>
    <row r="339" spans="1:15" ht="45">
      <c r="A339" s="513">
        <v>15</v>
      </c>
      <c r="B339" s="696"/>
      <c r="C339" s="511" t="s">
        <v>1424</v>
      </c>
      <c r="D339" s="511" t="s">
        <v>2324</v>
      </c>
      <c r="E339" s="511" t="s">
        <v>2657</v>
      </c>
      <c r="F339" s="513" t="s">
        <v>2325</v>
      </c>
      <c r="G339" s="513" t="s">
        <v>2326</v>
      </c>
      <c r="H339" s="513" t="s">
        <v>1282</v>
      </c>
      <c r="I339" s="513" t="s">
        <v>2327</v>
      </c>
      <c r="J339" s="513"/>
      <c r="K339" s="513"/>
      <c r="L339" s="513"/>
      <c r="M339" s="513">
        <v>1</v>
      </c>
      <c r="N339" s="513"/>
      <c r="O339" s="513"/>
    </row>
    <row r="340" spans="1:15" ht="60">
      <c r="A340" s="513">
        <v>16</v>
      </c>
      <c r="B340" s="516" t="s">
        <v>1433</v>
      </c>
      <c r="C340" s="511" t="s">
        <v>1434</v>
      </c>
      <c r="D340" s="511" t="s">
        <v>2328</v>
      </c>
      <c r="E340" s="511" t="s">
        <v>2329</v>
      </c>
      <c r="F340" s="694" t="s">
        <v>2330</v>
      </c>
      <c r="G340" s="512">
        <v>1956</v>
      </c>
      <c r="H340" s="512" t="s">
        <v>17</v>
      </c>
      <c r="I340" s="512">
        <v>6.0100000000000001E-2</v>
      </c>
      <c r="J340" s="716">
        <v>3.01</v>
      </c>
      <c r="K340" s="517" t="s">
        <v>17</v>
      </c>
      <c r="L340" s="512">
        <v>1</v>
      </c>
      <c r="M340" s="512" t="s">
        <v>17</v>
      </c>
      <c r="N340" s="517" t="s">
        <v>17</v>
      </c>
      <c r="O340" s="517"/>
    </row>
    <row r="341" spans="1:15" ht="60">
      <c r="A341" s="513">
        <v>17</v>
      </c>
      <c r="B341" s="516" t="s">
        <v>1433</v>
      </c>
      <c r="C341" s="511" t="s">
        <v>1434</v>
      </c>
      <c r="D341" s="511" t="s">
        <v>2328</v>
      </c>
      <c r="E341" s="511" t="s">
        <v>2331</v>
      </c>
      <c r="F341" s="694"/>
      <c r="G341" s="512">
        <v>1962</v>
      </c>
      <c r="H341" s="512" t="s">
        <v>17</v>
      </c>
      <c r="I341" s="512">
        <v>4.2900000000000001E-2</v>
      </c>
      <c r="J341" s="716"/>
      <c r="K341" s="517" t="s">
        <v>17</v>
      </c>
      <c r="L341" s="512">
        <v>1</v>
      </c>
      <c r="M341" s="512" t="s">
        <v>17</v>
      </c>
      <c r="N341" s="517" t="s">
        <v>17</v>
      </c>
      <c r="O341" s="517"/>
    </row>
    <row r="342" spans="1:15">
      <c r="A342" s="693"/>
      <c r="B342" s="693"/>
      <c r="C342" s="693"/>
      <c r="D342" s="693"/>
      <c r="E342" s="693"/>
      <c r="F342" s="693"/>
      <c r="G342" s="693"/>
      <c r="H342" s="693"/>
      <c r="I342" s="693"/>
      <c r="J342" s="693"/>
      <c r="K342" s="693"/>
      <c r="L342" s="693"/>
      <c r="M342" s="693"/>
      <c r="N342" s="693"/>
      <c r="O342" s="693"/>
    </row>
    <row r="343" spans="1:15" ht="22.5">
      <c r="A343" s="700" t="s">
        <v>673</v>
      </c>
      <c r="B343" s="700"/>
      <c r="C343" s="700"/>
      <c r="D343" s="700"/>
      <c r="E343" s="700"/>
      <c r="F343" s="700"/>
      <c r="G343" s="700"/>
      <c r="H343" s="700"/>
      <c r="I343" s="700"/>
      <c r="J343" s="700"/>
      <c r="K343" s="700"/>
      <c r="L343" s="700"/>
      <c r="M343" s="700"/>
      <c r="N343" s="700"/>
      <c r="O343" s="700"/>
    </row>
    <row r="344" spans="1:15" ht="20.25">
      <c r="A344" s="559" t="s">
        <v>7710</v>
      </c>
      <c r="B344" s="559"/>
      <c r="C344" s="559"/>
      <c r="D344" s="559"/>
      <c r="E344" s="559"/>
      <c r="F344" s="559"/>
      <c r="G344" s="559"/>
      <c r="H344" s="559"/>
      <c r="I344" s="559"/>
      <c r="J344" s="559"/>
      <c r="K344" s="559"/>
      <c r="L344" s="559"/>
      <c r="M344" s="559"/>
      <c r="N344" s="559"/>
      <c r="O344" s="559"/>
    </row>
    <row r="345" spans="1:15" ht="99.75">
      <c r="A345" s="18" t="s">
        <v>0</v>
      </c>
      <c r="B345" s="18" t="s">
        <v>2631</v>
      </c>
      <c r="C345" s="18" t="s">
        <v>2632</v>
      </c>
      <c r="D345" s="18" t="s">
        <v>1617</v>
      </c>
      <c r="E345" s="18" t="s">
        <v>1618</v>
      </c>
      <c r="F345" s="18" t="s">
        <v>2623</v>
      </c>
      <c r="G345" s="18" t="s">
        <v>1619</v>
      </c>
      <c r="H345" s="19" t="s">
        <v>2624</v>
      </c>
      <c r="I345" s="18" t="s">
        <v>2625</v>
      </c>
      <c r="J345" s="18" t="s">
        <v>1620</v>
      </c>
      <c r="K345" s="19" t="s">
        <v>2633</v>
      </c>
      <c r="L345" s="20" t="s">
        <v>1621</v>
      </c>
      <c r="M345" s="20" t="s">
        <v>1622</v>
      </c>
      <c r="N345" s="19" t="s">
        <v>2634</v>
      </c>
      <c r="O345" s="18" t="s">
        <v>1623</v>
      </c>
    </row>
    <row r="346" spans="1:15">
      <c r="A346" s="530">
        <v>1</v>
      </c>
      <c r="B346" s="530">
        <v>2</v>
      </c>
      <c r="C346" s="530">
        <v>3</v>
      </c>
      <c r="D346" s="530">
        <v>4</v>
      </c>
      <c r="E346" s="530">
        <v>5</v>
      </c>
      <c r="F346" s="530">
        <v>6</v>
      </c>
      <c r="G346" s="530">
        <v>7</v>
      </c>
      <c r="H346" s="530">
        <v>8</v>
      </c>
      <c r="I346" s="19">
        <v>9</v>
      </c>
      <c r="J346" s="530">
        <v>10</v>
      </c>
      <c r="K346" s="530">
        <v>11</v>
      </c>
      <c r="L346" s="530">
        <v>12</v>
      </c>
      <c r="M346" s="530">
        <v>13</v>
      </c>
      <c r="N346" s="530">
        <v>14</v>
      </c>
      <c r="O346" s="530">
        <v>15</v>
      </c>
    </row>
    <row r="347" spans="1:15" ht="60">
      <c r="A347" s="512">
        <v>1</v>
      </c>
      <c r="B347" s="696" t="s">
        <v>2598</v>
      </c>
      <c r="C347" s="511" t="s">
        <v>1519</v>
      </c>
      <c r="D347" s="511" t="s">
        <v>1521</v>
      </c>
      <c r="E347" s="511" t="s">
        <v>2332</v>
      </c>
      <c r="F347" s="512">
        <v>6499.86</v>
      </c>
      <c r="G347" s="512"/>
      <c r="H347" s="512"/>
      <c r="I347" s="512"/>
      <c r="J347" s="512"/>
      <c r="K347" s="512"/>
      <c r="L347" s="512"/>
      <c r="M347" s="512"/>
      <c r="N347" s="512"/>
      <c r="O347" s="512"/>
    </row>
    <row r="348" spans="1:15" ht="60">
      <c r="A348" s="512">
        <v>2</v>
      </c>
      <c r="B348" s="696"/>
      <c r="C348" s="511" t="s">
        <v>1519</v>
      </c>
      <c r="D348" s="511" t="s">
        <v>1523</v>
      </c>
      <c r="E348" s="511" t="s">
        <v>1523</v>
      </c>
      <c r="F348" s="512">
        <v>833</v>
      </c>
      <c r="G348" s="512"/>
      <c r="H348" s="512"/>
      <c r="I348" s="512"/>
      <c r="J348" s="512"/>
      <c r="K348" s="512"/>
      <c r="L348" s="512"/>
      <c r="M348" s="512"/>
      <c r="N348" s="512"/>
      <c r="O348" s="512"/>
    </row>
    <row r="349" spans="1:15" ht="60">
      <c r="A349" s="512">
        <v>3</v>
      </c>
      <c r="B349" s="696"/>
      <c r="C349" s="511" t="s">
        <v>1519</v>
      </c>
      <c r="D349" s="511" t="s">
        <v>2333</v>
      </c>
      <c r="E349" s="511" t="s">
        <v>2333</v>
      </c>
      <c r="F349" s="512">
        <v>2279</v>
      </c>
      <c r="G349" s="512"/>
      <c r="H349" s="512"/>
      <c r="I349" s="512"/>
      <c r="J349" s="512"/>
      <c r="K349" s="512"/>
      <c r="L349" s="512"/>
      <c r="M349" s="512"/>
      <c r="N349" s="512"/>
      <c r="O349" s="512"/>
    </row>
    <row r="350" spans="1:15" ht="30">
      <c r="A350" s="512">
        <v>4</v>
      </c>
      <c r="B350" s="696"/>
      <c r="C350" s="511" t="s">
        <v>1505</v>
      </c>
      <c r="D350" s="511" t="s">
        <v>1506</v>
      </c>
      <c r="E350" s="511" t="s">
        <v>2334</v>
      </c>
      <c r="F350" s="513">
        <v>7291</v>
      </c>
      <c r="G350" s="513">
        <v>2005</v>
      </c>
      <c r="H350" s="518" t="s">
        <v>454</v>
      </c>
      <c r="I350" s="513">
        <v>7.28</v>
      </c>
      <c r="J350" s="518" t="s">
        <v>454</v>
      </c>
      <c r="K350" s="518" t="s">
        <v>454</v>
      </c>
      <c r="L350" s="518">
        <v>1</v>
      </c>
      <c r="M350" s="518" t="s">
        <v>454</v>
      </c>
      <c r="N350" s="518" t="s">
        <v>454</v>
      </c>
      <c r="O350" s="518" t="s">
        <v>454</v>
      </c>
    </row>
    <row r="351" spans="1:15" ht="60">
      <c r="A351" s="512">
        <v>5</v>
      </c>
      <c r="B351" s="696"/>
      <c r="C351" s="511" t="s">
        <v>1505</v>
      </c>
      <c r="D351" s="511" t="s">
        <v>1508</v>
      </c>
      <c r="E351" s="511" t="s">
        <v>2335</v>
      </c>
      <c r="F351" s="512">
        <v>1004</v>
      </c>
      <c r="G351" s="512">
        <v>2004</v>
      </c>
      <c r="H351" s="512"/>
      <c r="I351" s="512">
        <v>1.7749999999999999</v>
      </c>
      <c r="J351" s="518" t="s">
        <v>454</v>
      </c>
      <c r="K351" s="518" t="s">
        <v>454</v>
      </c>
      <c r="L351" s="518">
        <v>2</v>
      </c>
      <c r="M351" s="518" t="s">
        <v>454</v>
      </c>
      <c r="N351" s="518" t="s">
        <v>454</v>
      </c>
      <c r="O351" s="518" t="s">
        <v>454</v>
      </c>
    </row>
    <row r="352" spans="1:15" ht="45">
      <c r="A352" s="512">
        <v>6</v>
      </c>
      <c r="B352" s="696"/>
      <c r="C352" s="511" t="s">
        <v>1505</v>
      </c>
      <c r="D352" s="511" t="s">
        <v>1509</v>
      </c>
      <c r="E352" s="511" t="s">
        <v>2336</v>
      </c>
      <c r="F352" s="512">
        <v>926</v>
      </c>
      <c r="G352" s="512">
        <v>2001</v>
      </c>
      <c r="H352" s="518" t="s">
        <v>454</v>
      </c>
      <c r="I352" s="512">
        <v>1.3969</v>
      </c>
      <c r="J352" s="518" t="s">
        <v>454</v>
      </c>
      <c r="K352" s="518" t="s">
        <v>454</v>
      </c>
      <c r="L352" s="518">
        <v>3</v>
      </c>
      <c r="M352" s="518" t="s">
        <v>454</v>
      </c>
      <c r="N352" s="518" t="s">
        <v>454</v>
      </c>
      <c r="O352" s="518" t="s">
        <v>454</v>
      </c>
    </row>
    <row r="353" spans="1:15" ht="45">
      <c r="A353" s="512">
        <v>7</v>
      </c>
      <c r="B353" s="696"/>
      <c r="C353" s="511" t="s">
        <v>1505</v>
      </c>
      <c r="D353" s="511" t="s">
        <v>1510</v>
      </c>
      <c r="E353" s="511" t="s">
        <v>2337</v>
      </c>
      <c r="F353" s="512">
        <v>2754</v>
      </c>
      <c r="G353" s="512">
        <v>1982</v>
      </c>
      <c r="H353" s="518" t="s">
        <v>454</v>
      </c>
      <c r="I353" s="512">
        <v>0.62</v>
      </c>
      <c r="J353" s="518" t="s">
        <v>454</v>
      </c>
      <c r="K353" s="518" t="s">
        <v>454</v>
      </c>
      <c r="L353" s="518">
        <v>4</v>
      </c>
      <c r="M353" s="518" t="s">
        <v>454</v>
      </c>
      <c r="N353" s="518" t="s">
        <v>454</v>
      </c>
      <c r="O353" s="518" t="s">
        <v>454</v>
      </c>
    </row>
    <row r="354" spans="1:15" ht="60">
      <c r="A354" s="512">
        <v>8</v>
      </c>
      <c r="B354" s="696"/>
      <c r="C354" s="511" t="s">
        <v>1505</v>
      </c>
      <c r="D354" s="511" t="s">
        <v>1512</v>
      </c>
      <c r="E354" s="511" t="s">
        <v>2338</v>
      </c>
      <c r="F354" s="512">
        <v>784</v>
      </c>
      <c r="G354" s="512"/>
      <c r="H354" s="518" t="s">
        <v>454</v>
      </c>
      <c r="I354" s="512"/>
      <c r="J354" s="518" t="s">
        <v>454</v>
      </c>
      <c r="K354" s="518" t="s">
        <v>454</v>
      </c>
      <c r="L354" s="518">
        <v>5</v>
      </c>
      <c r="M354" s="518" t="s">
        <v>454</v>
      </c>
      <c r="N354" s="518" t="s">
        <v>454</v>
      </c>
      <c r="O354" s="531" t="s">
        <v>1516</v>
      </c>
    </row>
    <row r="355" spans="1:15" ht="165">
      <c r="A355" s="512">
        <v>9</v>
      </c>
      <c r="B355" s="696"/>
      <c r="C355" s="696" t="s">
        <v>2662</v>
      </c>
      <c r="D355" s="511" t="s">
        <v>2663</v>
      </c>
      <c r="E355" s="511" t="s">
        <v>2340</v>
      </c>
      <c r="F355" s="513">
        <v>2976</v>
      </c>
      <c r="G355" s="694" t="s">
        <v>352</v>
      </c>
      <c r="H355" s="513" t="s">
        <v>389</v>
      </c>
      <c r="I355" s="694">
        <v>15.43</v>
      </c>
      <c r="J355" s="513" t="s">
        <v>389</v>
      </c>
      <c r="K355" s="513" t="s">
        <v>389</v>
      </c>
      <c r="L355" s="513" t="s">
        <v>389</v>
      </c>
      <c r="M355" s="513" t="s">
        <v>389</v>
      </c>
      <c r="N355" s="513" t="s">
        <v>389</v>
      </c>
      <c r="O355" s="314" t="s">
        <v>2658</v>
      </c>
    </row>
    <row r="356" spans="1:15" ht="165">
      <c r="A356" s="512">
        <v>10</v>
      </c>
      <c r="B356" s="696"/>
      <c r="C356" s="696"/>
      <c r="D356" s="511" t="s">
        <v>2659</v>
      </c>
      <c r="E356" s="511" t="s">
        <v>2340</v>
      </c>
      <c r="F356" s="513">
        <v>1488.2</v>
      </c>
      <c r="G356" s="694"/>
      <c r="H356" s="513" t="s">
        <v>389</v>
      </c>
      <c r="I356" s="694"/>
      <c r="J356" s="513" t="s">
        <v>389</v>
      </c>
      <c r="K356" s="513" t="s">
        <v>389</v>
      </c>
      <c r="L356" s="513" t="s">
        <v>389</v>
      </c>
      <c r="M356" s="513" t="s">
        <v>389</v>
      </c>
      <c r="N356" s="513" t="s">
        <v>389</v>
      </c>
      <c r="O356" s="314" t="s">
        <v>2658</v>
      </c>
    </row>
    <row r="357" spans="1:15" ht="90">
      <c r="A357" s="512">
        <v>11</v>
      </c>
      <c r="B357" s="696"/>
      <c r="C357" s="696"/>
      <c r="D357" s="511" t="s">
        <v>2660</v>
      </c>
      <c r="E357" s="511" t="s">
        <v>2341</v>
      </c>
      <c r="F357" s="513">
        <v>2664.33</v>
      </c>
      <c r="G357" s="513" t="s">
        <v>2342</v>
      </c>
      <c r="H357" s="513" t="s">
        <v>389</v>
      </c>
      <c r="I357" s="513" t="s">
        <v>2343</v>
      </c>
      <c r="J357" s="513" t="s">
        <v>389</v>
      </c>
      <c r="K357" s="513" t="s">
        <v>389</v>
      </c>
      <c r="L357" s="513" t="s">
        <v>389</v>
      </c>
      <c r="M357" s="513" t="s">
        <v>389</v>
      </c>
      <c r="N357" s="513" t="s">
        <v>389</v>
      </c>
      <c r="O357" s="531" t="s">
        <v>2344</v>
      </c>
    </row>
    <row r="358" spans="1:15" ht="30">
      <c r="A358" s="512">
        <v>12</v>
      </c>
      <c r="B358" s="696"/>
      <c r="C358" s="696"/>
      <c r="D358" s="511" t="s">
        <v>2661</v>
      </c>
      <c r="E358" s="511" t="s">
        <v>2345</v>
      </c>
      <c r="F358" s="513">
        <v>474</v>
      </c>
      <c r="G358" s="513" t="s">
        <v>2346</v>
      </c>
      <c r="H358" s="513" t="s">
        <v>389</v>
      </c>
      <c r="I358" s="513">
        <v>5.3E-3</v>
      </c>
      <c r="J358" s="513" t="s">
        <v>389</v>
      </c>
      <c r="K358" s="513" t="s">
        <v>389</v>
      </c>
      <c r="L358" s="513" t="s">
        <v>389</v>
      </c>
      <c r="M358" s="513" t="s">
        <v>389</v>
      </c>
      <c r="N358" s="513" t="s">
        <v>389</v>
      </c>
      <c r="O358" s="513" t="s">
        <v>389</v>
      </c>
    </row>
    <row r="359" spans="1:15" ht="90">
      <c r="A359" s="512">
        <v>13</v>
      </c>
      <c r="B359" s="696"/>
      <c r="C359" s="696"/>
      <c r="D359" s="511" t="s">
        <v>2347</v>
      </c>
      <c r="E359" s="511" t="s">
        <v>2348</v>
      </c>
      <c r="F359" s="513" t="s">
        <v>389</v>
      </c>
      <c r="G359" s="513" t="s">
        <v>389</v>
      </c>
      <c r="H359" s="513" t="s">
        <v>389</v>
      </c>
      <c r="I359" s="513" t="s">
        <v>389</v>
      </c>
      <c r="J359" s="513" t="s">
        <v>389</v>
      </c>
      <c r="K359" s="513" t="s">
        <v>389</v>
      </c>
      <c r="L359" s="513" t="s">
        <v>389</v>
      </c>
      <c r="M359" s="513" t="s">
        <v>389</v>
      </c>
      <c r="N359" s="513" t="s">
        <v>389</v>
      </c>
      <c r="O359" s="531" t="s">
        <v>2349</v>
      </c>
    </row>
    <row r="360" spans="1:15" ht="75">
      <c r="A360" s="512">
        <v>14</v>
      </c>
      <c r="B360" s="696"/>
      <c r="C360" s="511" t="s">
        <v>2350</v>
      </c>
      <c r="D360" s="511" t="s">
        <v>2351</v>
      </c>
      <c r="E360" s="511" t="s">
        <v>2352</v>
      </c>
      <c r="F360" s="513" t="s">
        <v>2353</v>
      </c>
      <c r="G360" s="513" t="s">
        <v>2354</v>
      </c>
      <c r="H360" s="512" t="s">
        <v>35</v>
      </c>
      <c r="I360" s="512">
        <v>39.85</v>
      </c>
      <c r="J360" s="512" t="s">
        <v>35</v>
      </c>
      <c r="K360" s="513" t="s">
        <v>2355</v>
      </c>
      <c r="L360" s="512" t="s">
        <v>35</v>
      </c>
      <c r="M360" s="512" t="s">
        <v>35</v>
      </c>
      <c r="N360" s="512" t="s">
        <v>35</v>
      </c>
      <c r="O360" s="512" t="s">
        <v>35</v>
      </c>
    </row>
    <row r="361" spans="1:15">
      <c r="A361" s="15"/>
      <c r="B361" s="312"/>
      <c r="C361" s="15"/>
      <c r="D361" s="15"/>
      <c r="E361" s="15"/>
      <c r="F361" s="537"/>
      <c r="G361" s="15"/>
      <c r="H361" s="15"/>
      <c r="I361" s="14"/>
      <c r="J361" s="15"/>
      <c r="K361" s="15"/>
      <c r="L361" s="15"/>
      <c r="M361" s="15"/>
      <c r="N361" s="15"/>
      <c r="O361" s="15"/>
    </row>
    <row r="362" spans="1:15" ht="22.5">
      <c r="A362" s="701" t="s">
        <v>674</v>
      </c>
      <c r="B362" s="701"/>
      <c r="C362" s="701"/>
      <c r="D362" s="701"/>
      <c r="E362" s="701"/>
      <c r="F362" s="701"/>
      <c r="G362" s="701"/>
      <c r="H362" s="701"/>
      <c r="I362" s="701"/>
      <c r="J362" s="701"/>
      <c r="K362" s="701"/>
      <c r="L362" s="701"/>
      <c r="M362" s="701"/>
      <c r="N362" s="701"/>
      <c r="O362" s="701"/>
    </row>
    <row r="363" spans="1:15" ht="20.25">
      <c r="A363" s="559" t="s">
        <v>7710</v>
      </c>
      <c r="B363" s="559"/>
      <c r="C363" s="559"/>
      <c r="D363" s="559"/>
      <c r="E363" s="559"/>
      <c r="F363" s="559"/>
      <c r="G363" s="559"/>
      <c r="H363" s="559"/>
      <c r="I363" s="559"/>
      <c r="J363" s="559"/>
      <c r="K363" s="559"/>
      <c r="L363" s="559"/>
      <c r="M363" s="559"/>
      <c r="N363" s="559"/>
      <c r="O363" s="559"/>
    </row>
    <row r="364" spans="1:15" ht="99.75">
      <c r="A364" s="18" t="s">
        <v>0</v>
      </c>
      <c r="B364" s="18" t="s">
        <v>2631</v>
      </c>
      <c r="C364" s="18" t="s">
        <v>2632</v>
      </c>
      <c r="D364" s="18" t="s">
        <v>1617</v>
      </c>
      <c r="E364" s="18" t="s">
        <v>1618</v>
      </c>
      <c r="F364" s="18" t="s">
        <v>2623</v>
      </c>
      <c r="G364" s="18" t="s">
        <v>1619</v>
      </c>
      <c r="H364" s="19" t="s">
        <v>2624</v>
      </c>
      <c r="I364" s="18" t="s">
        <v>2625</v>
      </c>
      <c r="J364" s="18" t="s">
        <v>1620</v>
      </c>
      <c r="K364" s="19" t="s">
        <v>2633</v>
      </c>
      <c r="L364" s="20" t="s">
        <v>1621</v>
      </c>
      <c r="M364" s="20" t="s">
        <v>1622</v>
      </c>
      <c r="N364" s="19" t="s">
        <v>2634</v>
      </c>
      <c r="O364" s="18" t="s">
        <v>1623</v>
      </c>
    </row>
    <row r="365" spans="1:15">
      <c r="A365" s="530">
        <v>1</v>
      </c>
      <c r="B365" s="530">
        <v>2</v>
      </c>
      <c r="C365" s="530">
        <v>3</v>
      </c>
      <c r="D365" s="530">
        <v>4</v>
      </c>
      <c r="E365" s="530">
        <v>5</v>
      </c>
      <c r="F365" s="530">
        <v>6</v>
      </c>
      <c r="G365" s="530">
        <v>7</v>
      </c>
      <c r="H365" s="530">
        <v>8</v>
      </c>
      <c r="I365" s="19">
        <v>9</v>
      </c>
      <c r="J365" s="530">
        <v>10</v>
      </c>
      <c r="K365" s="530">
        <v>11</v>
      </c>
      <c r="L365" s="530">
        <v>12</v>
      </c>
      <c r="M365" s="530">
        <v>13</v>
      </c>
      <c r="N365" s="530">
        <v>14</v>
      </c>
      <c r="O365" s="530">
        <v>15</v>
      </c>
    </row>
    <row r="366" spans="1:15" ht="120">
      <c r="A366" s="514">
        <v>1</v>
      </c>
      <c r="B366" s="614" t="s">
        <v>2664</v>
      </c>
      <c r="C366" s="614" t="s">
        <v>1528</v>
      </c>
      <c r="D366" s="498" t="s">
        <v>1566</v>
      </c>
      <c r="E366" s="498" t="s">
        <v>2665</v>
      </c>
      <c r="F366" s="508" t="s">
        <v>2356</v>
      </c>
      <c r="G366" s="508" t="s">
        <v>1567</v>
      </c>
      <c r="H366" s="501" t="s">
        <v>17</v>
      </c>
      <c r="I366" s="501" t="s">
        <v>17</v>
      </c>
      <c r="J366" s="501" t="s">
        <v>1569</v>
      </c>
      <c r="K366" s="501" t="s">
        <v>17</v>
      </c>
      <c r="L366" s="501">
        <v>1</v>
      </c>
      <c r="M366" s="501" t="s">
        <v>35</v>
      </c>
      <c r="N366" s="501" t="s">
        <v>35</v>
      </c>
      <c r="O366" s="77" t="s">
        <v>1570</v>
      </c>
    </row>
    <row r="367" spans="1:15" ht="120">
      <c r="A367" s="539">
        <v>2</v>
      </c>
      <c r="B367" s="614"/>
      <c r="C367" s="614"/>
      <c r="D367" s="498" t="s">
        <v>2666</v>
      </c>
      <c r="E367" s="498" t="s">
        <v>2667</v>
      </c>
      <c r="F367" s="508" t="s">
        <v>2357</v>
      </c>
      <c r="G367" s="508" t="s">
        <v>2358</v>
      </c>
      <c r="H367" s="508" t="s">
        <v>2359</v>
      </c>
      <c r="I367" s="508" t="s">
        <v>2360</v>
      </c>
      <c r="J367" s="508">
        <v>39204000</v>
      </c>
      <c r="K367" s="508" t="s">
        <v>736</v>
      </c>
      <c r="L367" s="508" t="s">
        <v>2361</v>
      </c>
      <c r="M367" s="508">
        <v>1</v>
      </c>
      <c r="N367" s="508" t="s">
        <v>2362</v>
      </c>
      <c r="O367" s="508" t="s">
        <v>736</v>
      </c>
    </row>
    <row r="368" spans="1:15" ht="135">
      <c r="A368" s="514">
        <v>3</v>
      </c>
      <c r="B368" s="614"/>
      <c r="C368" s="614"/>
      <c r="D368" s="498" t="s">
        <v>1571</v>
      </c>
      <c r="E368" s="498" t="s">
        <v>2668</v>
      </c>
      <c r="F368" s="508">
        <v>849.34</v>
      </c>
      <c r="G368" s="501" t="s">
        <v>2363</v>
      </c>
      <c r="H368" s="508" t="s">
        <v>17</v>
      </c>
      <c r="I368" s="508">
        <v>0.95792999999999995</v>
      </c>
      <c r="J368" s="501">
        <f>9142*1900</f>
        <v>17369800</v>
      </c>
      <c r="K368" s="501" t="s">
        <v>160</v>
      </c>
      <c r="L368" s="501">
        <v>2</v>
      </c>
      <c r="M368" s="501" t="s">
        <v>35</v>
      </c>
      <c r="N368" s="501" t="s">
        <v>17</v>
      </c>
      <c r="O368" s="77" t="s">
        <v>2364</v>
      </c>
    </row>
    <row r="369" spans="1:15" ht="195">
      <c r="A369" s="539">
        <v>4</v>
      </c>
      <c r="B369" s="614"/>
      <c r="C369" s="498" t="s">
        <v>1528</v>
      </c>
      <c r="D369" s="498" t="s">
        <v>1574</v>
      </c>
      <c r="E369" s="498" t="s">
        <v>2365</v>
      </c>
      <c r="F369" s="508" t="s">
        <v>2366</v>
      </c>
      <c r="G369" s="501" t="s">
        <v>17</v>
      </c>
      <c r="H369" s="508" t="s">
        <v>17</v>
      </c>
      <c r="I369" s="508" t="s">
        <v>17</v>
      </c>
      <c r="J369" s="508" t="s">
        <v>1575</v>
      </c>
      <c r="K369" s="134" t="s">
        <v>1576</v>
      </c>
      <c r="L369" s="508">
        <v>3</v>
      </c>
      <c r="M369" s="135"/>
      <c r="N369" s="135"/>
      <c r="O369" s="135"/>
    </row>
    <row r="370" spans="1:15" ht="45">
      <c r="A370" s="514">
        <v>5</v>
      </c>
      <c r="B370" s="614"/>
      <c r="C370" s="498" t="s">
        <v>1539</v>
      </c>
      <c r="D370" s="498" t="s">
        <v>1577</v>
      </c>
      <c r="E370" s="498" t="s">
        <v>2367</v>
      </c>
      <c r="F370" s="501">
        <v>3019</v>
      </c>
      <c r="G370" s="501"/>
      <c r="H370" s="501"/>
      <c r="I370" s="508"/>
      <c r="J370" s="501" t="s">
        <v>2368</v>
      </c>
      <c r="K370" s="501" t="s">
        <v>17</v>
      </c>
      <c r="L370" s="501">
        <v>4</v>
      </c>
      <c r="M370" s="501" t="s">
        <v>35</v>
      </c>
      <c r="N370" s="501" t="s">
        <v>17</v>
      </c>
      <c r="O370" s="501" t="s">
        <v>35</v>
      </c>
    </row>
    <row r="371" spans="1:15" ht="90">
      <c r="A371" s="539">
        <v>6</v>
      </c>
      <c r="B371" s="614"/>
      <c r="C371" s="498" t="s">
        <v>1613</v>
      </c>
      <c r="D371" s="498" t="s">
        <v>2369</v>
      </c>
      <c r="E371" s="498" t="s">
        <v>2370</v>
      </c>
      <c r="F371" s="501">
        <v>1260</v>
      </c>
      <c r="G371" s="501">
        <v>1997</v>
      </c>
      <c r="H371" s="501" t="s">
        <v>1597</v>
      </c>
      <c r="I371" s="501">
        <v>0.77</v>
      </c>
      <c r="J371" s="501">
        <v>0.95</v>
      </c>
      <c r="K371" s="508" t="s">
        <v>2371</v>
      </c>
      <c r="L371" s="501" t="s">
        <v>1597</v>
      </c>
      <c r="M371" s="501">
        <v>2</v>
      </c>
      <c r="N371" s="501" t="s">
        <v>1597</v>
      </c>
      <c r="O371" s="501" t="s">
        <v>1597</v>
      </c>
    </row>
    <row r="372" spans="1:15" ht="90">
      <c r="A372" s="514">
        <v>7</v>
      </c>
      <c r="B372" s="614"/>
      <c r="C372" s="498" t="s">
        <v>1579</v>
      </c>
      <c r="D372" s="498" t="s">
        <v>1580</v>
      </c>
      <c r="E372" s="498" t="s">
        <v>2372</v>
      </c>
      <c r="F372" s="501">
        <v>1723.6</v>
      </c>
      <c r="G372" s="136" t="s">
        <v>2373</v>
      </c>
      <c r="H372" s="508" t="s">
        <v>17</v>
      </c>
      <c r="I372" s="501" t="s">
        <v>748</v>
      </c>
      <c r="J372" s="508" t="s">
        <v>2374</v>
      </c>
      <c r="K372" s="501" t="s">
        <v>748</v>
      </c>
      <c r="L372" s="501">
        <v>5</v>
      </c>
      <c r="M372" s="501" t="s">
        <v>35</v>
      </c>
      <c r="N372" s="501">
        <v>1</v>
      </c>
      <c r="O372" s="77" t="s">
        <v>1583</v>
      </c>
    </row>
    <row r="373" spans="1:15" ht="45">
      <c r="A373" s="539">
        <v>8</v>
      </c>
      <c r="B373" s="614"/>
      <c r="C373" s="498" t="s">
        <v>2375</v>
      </c>
      <c r="D373" s="498" t="s">
        <v>1585</v>
      </c>
      <c r="E373" s="498" t="s">
        <v>2376</v>
      </c>
      <c r="F373" s="501">
        <v>5201</v>
      </c>
      <c r="G373" s="501" t="s">
        <v>2377</v>
      </c>
      <c r="H373" s="501" t="s">
        <v>296</v>
      </c>
      <c r="I373" s="501" t="s">
        <v>87</v>
      </c>
      <c r="J373" s="501"/>
      <c r="K373" s="501"/>
      <c r="L373" s="501">
        <v>6</v>
      </c>
      <c r="M373" s="501" t="s">
        <v>296</v>
      </c>
      <c r="N373" s="501" t="s">
        <v>296</v>
      </c>
      <c r="O373" s="501"/>
    </row>
    <row r="374" spans="1:15" ht="45">
      <c r="A374" s="514">
        <v>9</v>
      </c>
      <c r="B374" s="614"/>
      <c r="C374" s="498" t="s">
        <v>1560</v>
      </c>
      <c r="D374" s="504" t="s">
        <v>1607</v>
      </c>
      <c r="E374" s="504" t="s">
        <v>2378</v>
      </c>
      <c r="F374" s="501">
        <v>2770</v>
      </c>
      <c r="G374" s="113" t="s">
        <v>1590</v>
      </c>
      <c r="H374" s="501"/>
      <c r="I374" s="113" t="s">
        <v>1591</v>
      </c>
      <c r="J374" s="501">
        <v>2.3199999999999998</v>
      </c>
      <c r="K374" s="501"/>
      <c r="L374" s="501">
        <v>7</v>
      </c>
      <c r="M374" s="501" t="s">
        <v>2379</v>
      </c>
      <c r="N374" s="501"/>
      <c r="O374" s="501"/>
    </row>
    <row r="375" spans="1:15" ht="15">
      <c r="A375" s="715"/>
      <c r="B375" s="715"/>
      <c r="C375" s="715"/>
      <c r="D375" s="715"/>
      <c r="E375" s="715"/>
      <c r="F375" s="715"/>
      <c r="G375" s="715"/>
      <c r="H375" s="715"/>
      <c r="I375" s="715"/>
      <c r="J375" s="715"/>
      <c r="K375" s="715"/>
      <c r="L375" s="715"/>
      <c r="M375" s="715"/>
      <c r="N375" s="715"/>
      <c r="O375" s="715"/>
    </row>
    <row r="381" spans="1:15">
      <c r="E381" s="15"/>
    </row>
  </sheetData>
  <mergeCells count="169">
    <mergeCell ref="A375:O375"/>
    <mergeCell ref="A258:O258"/>
    <mergeCell ref="A305:O305"/>
    <mergeCell ref="A322:O322"/>
    <mergeCell ref="A344:O344"/>
    <mergeCell ref="A363:O363"/>
    <mergeCell ref="A3:O3"/>
    <mergeCell ref="A14:O14"/>
    <mergeCell ref="A26:O26"/>
    <mergeCell ref="A51:O51"/>
    <mergeCell ref="A61:O61"/>
    <mergeCell ref="A73:O73"/>
    <mergeCell ref="A105:O105"/>
    <mergeCell ref="A118:O118"/>
    <mergeCell ref="B347:B360"/>
    <mergeCell ref="C355:C359"/>
    <mergeCell ref="A304:O304"/>
    <mergeCell ref="A321:O321"/>
    <mergeCell ref="B296:B302"/>
    <mergeCell ref="A264:A265"/>
    <mergeCell ref="A267:A268"/>
    <mergeCell ref="A282:A283"/>
    <mergeCell ref="I355:I356"/>
    <mergeCell ref="M325:M327"/>
    <mergeCell ref="N325:N327"/>
    <mergeCell ref="B366:B374"/>
    <mergeCell ref="C20:C23"/>
    <mergeCell ref="C17:C19"/>
    <mergeCell ref="C29:C32"/>
    <mergeCell ref="C54:C56"/>
    <mergeCell ref="B215:B228"/>
    <mergeCell ref="B244:B249"/>
    <mergeCell ref="C366:C368"/>
    <mergeCell ref="C175:C180"/>
    <mergeCell ref="C181:C182"/>
    <mergeCell ref="B64:B68"/>
    <mergeCell ref="B70:O70"/>
    <mergeCell ref="G78:O79"/>
    <mergeCell ref="C80:C81"/>
    <mergeCell ref="C84:C94"/>
    <mergeCell ref="C95:C98"/>
    <mergeCell ref="A343:O343"/>
    <mergeCell ref="B29:B48"/>
    <mergeCell ref="D29:D30"/>
    <mergeCell ref="O328:O329"/>
    <mergeCell ref="F340:F341"/>
    <mergeCell ref="J340:J341"/>
    <mergeCell ref="A362:O362"/>
    <mergeCell ref="G355:G356"/>
    <mergeCell ref="C328:C331"/>
    <mergeCell ref="D328:D329"/>
    <mergeCell ref="G328:G329"/>
    <mergeCell ref="K328:K329"/>
    <mergeCell ref="G325:G327"/>
    <mergeCell ref="H325:H327"/>
    <mergeCell ref="I325:I327"/>
    <mergeCell ref="J325:J327"/>
    <mergeCell ref="K325:K327"/>
    <mergeCell ref="L325:L327"/>
    <mergeCell ref="D325:D327"/>
    <mergeCell ref="F325:F327"/>
    <mergeCell ref="B261:B295"/>
    <mergeCell ref="A13:O13"/>
    <mergeCell ref="B325:B339"/>
    <mergeCell ref="B76:B102"/>
    <mergeCell ref="B308:B319"/>
    <mergeCell ref="K167:K174"/>
    <mergeCell ref="C296:C302"/>
    <mergeCell ref="E296:E302"/>
    <mergeCell ref="D113:O113"/>
    <mergeCell ref="D114:O114"/>
    <mergeCell ref="D115:O115"/>
    <mergeCell ref="D112:O112"/>
    <mergeCell ref="A261:A262"/>
    <mergeCell ref="C261:C262"/>
    <mergeCell ref="C263:C264"/>
    <mergeCell ref="C269:C272"/>
    <mergeCell ref="F29:F30"/>
    <mergeCell ref="A198:O198"/>
    <mergeCell ref="C165:C166"/>
    <mergeCell ref="C167:C174"/>
    <mergeCell ref="A210:O210"/>
    <mergeCell ref="B202:B209"/>
    <mergeCell ref="K29:K30"/>
    <mergeCell ref="L29:L30"/>
    <mergeCell ref="M29:M30"/>
    <mergeCell ref="A203:A204"/>
    <mergeCell ref="A206:A207"/>
    <mergeCell ref="A208:A209"/>
    <mergeCell ref="B234:B238"/>
    <mergeCell ref="A229:O229"/>
    <mergeCell ref="B121:B153"/>
    <mergeCell ref="D121:O121"/>
    <mergeCell ref="D127:O127"/>
    <mergeCell ref="D128:O128"/>
    <mergeCell ref="C131:C153"/>
    <mergeCell ref="A29:A30"/>
    <mergeCell ref="A239:O239"/>
    <mergeCell ref="A256:O256"/>
    <mergeCell ref="N29:N30"/>
    <mergeCell ref="O29:O30"/>
    <mergeCell ref="C34:C37"/>
    <mergeCell ref="B190:B196"/>
    <mergeCell ref="A211:O211"/>
    <mergeCell ref="A185:O185"/>
    <mergeCell ref="A197:O197"/>
    <mergeCell ref="A230:O230"/>
    <mergeCell ref="A240:O240"/>
    <mergeCell ref="A156:O156"/>
    <mergeCell ref="A162:O162"/>
    <mergeCell ref="A187:O187"/>
    <mergeCell ref="A199:O199"/>
    <mergeCell ref="A212:O212"/>
    <mergeCell ref="A231:O231"/>
    <mergeCell ref="A241:O241"/>
    <mergeCell ref="A252:O252"/>
    <mergeCell ref="O34:O37"/>
    <mergeCell ref="C38:C39"/>
    <mergeCell ref="C40:C44"/>
    <mergeCell ref="C45:C48"/>
    <mergeCell ref="B54:B58"/>
    <mergeCell ref="A2:O2"/>
    <mergeCell ref="A117:O117"/>
    <mergeCell ref="A155:O155"/>
    <mergeCell ref="A161:O161"/>
    <mergeCell ref="A186:O186"/>
    <mergeCell ref="A1:O1"/>
    <mergeCell ref="A25:O25"/>
    <mergeCell ref="A50:O50"/>
    <mergeCell ref="A60:O60"/>
    <mergeCell ref="A72:O72"/>
    <mergeCell ref="A104:O104"/>
    <mergeCell ref="G29:G30"/>
    <mergeCell ref="H29:H30"/>
    <mergeCell ref="I29:I30"/>
    <mergeCell ref="J29:J30"/>
    <mergeCell ref="H34:H37"/>
    <mergeCell ref="J34:J37"/>
    <mergeCell ref="K34:K37"/>
    <mergeCell ref="M34:M37"/>
    <mergeCell ref="B108:B115"/>
    <mergeCell ref="D109:O109"/>
    <mergeCell ref="D110:O110"/>
    <mergeCell ref="B6:B11"/>
    <mergeCell ref="B17:B23"/>
    <mergeCell ref="A303:O303"/>
    <mergeCell ref="A320:O320"/>
    <mergeCell ref="A342:O342"/>
    <mergeCell ref="A12:O12"/>
    <mergeCell ref="A24:O24"/>
    <mergeCell ref="A49:O49"/>
    <mergeCell ref="A59:O59"/>
    <mergeCell ref="A71:O71"/>
    <mergeCell ref="A103:O103"/>
    <mergeCell ref="A116:O116"/>
    <mergeCell ref="A154:O154"/>
    <mergeCell ref="A160:O160"/>
    <mergeCell ref="C203:C204"/>
    <mergeCell ref="C206:C207"/>
    <mergeCell ref="C208:C209"/>
    <mergeCell ref="C216:C217"/>
    <mergeCell ref="B165:B184"/>
    <mergeCell ref="D184:N184"/>
    <mergeCell ref="C191:C192"/>
    <mergeCell ref="C193:C195"/>
    <mergeCell ref="D196:O196"/>
    <mergeCell ref="A251:O251"/>
    <mergeCell ref="A257:O257"/>
    <mergeCell ref="N34:N37"/>
  </mergeCells>
  <pageMargins left="0.7" right="0.7" top="0.75" bottom="0.75" header="0.3" footer="0.3"/>
  <pageSetup paperSize="5" scale="60" orientation="landscape" r:id="rId1"/>
</worksheet>
</file>

<file path=xl/worksheets/sheet3.xml><?xml version="1.0" encoding="utf-8"?>
<worksheet xmlns="http://schemas.openxmlformats.org/spreadsheetml/2006/main" xmlns:r="http://schemas.openxmlformats.org/officeDocument/2006/relationships">
  <dimension ref="A1:AV789"/>
  <sheetViews>
    <sheetView view="pageBreakPreview" zoomScale="60" zoomScaleNormal="70" workbookViewId="0">
      <selection activeCell="F790" sqref="F790"/>
    </sheetView>
  </sheetViews>
  <sheetFormatPr defaultRowHeight="14.25"/>
  <cols>
    <col min="1" max="1" width="10" style="13" customWidth="1"/>
    <col min="2" max="2" width="18.7109375" style="13" customWidth="1"/>
    <col min="3" max="3" width="30.28515625" style="13" customWidth="1"/>
    <col min="4" max="4" width="33.28515625" style="13" customWidth="1"/>
    <col min="5" max="5" width="19.7109375" style="13" customWidth="1"/>
    <col min="6" max="6" width="13.7109375" style="13" customWidth="1"/>
    <col min="7" max="7" width="18.5703125" style="13" customWidth="1"/>
    <col min="8" max="8" width="19.85546875" style="13" customWidth="1"/>
    <col min="9" max="9" width="17.7109375" style="16" customWidth="1"/>
    <col min="10" max="10" width="15.140625" style="13" customWidth="1"/>
    <col min="11" max="11" width="14.7109375" style="13" customWidth="1"/>
    <col min="12" max="12" width="11.5703125" style="13" customWidth="1"/>
    <col min="13" max="13" width="11.7109375" style="13" customWidth="1"/>
    <col min="14" max="14" width="10.7109375" style="13" customWidth="1"/>
    <col min="15" max="15" width="12" style="13" customWidth="1"/>
    <col min="16" max="16" width="14.140625" style="13" customWidth="1"/>
    <col min="17" max="17" width="12.28515625" style="13" customWidth="1"/>
    <col min="18" max="16384" width="9.140625" style="13"/>
  </cols>
  <sheetData>
    <row r="1" spans="1:17" s="11" customFormat="1" ht="25.5" customHeight="1">
      <c r="A1" s="740" t="s">
        <v>7721</v>
      </c>
      <c r="B1" s="741"/>
      <c r="C1" s="741"/>
      <c r="D1" s="741"/>
      <c r="E1" s="741"/>
      <c r="F1" s="741"/>
      <c r="G1" s="741"/>
      <c r="H1" s="741"/>
      <c r="I1" s="741"/>
      <c r="J1" s="741"/>
      <c r="K1" s="741"/>
      <c r="L1" s="741"/>
      <c r="M1" s="741"/>
      <c r="N1" s="741"/>
      <c r="O1" s="741"/>
      <c r="P1" s="742"/>
    </row>
    <row r="2" spans="1:17" ht="22.5">
      <c r="A2" s="718" t="s">
        <v>113</v>
      </c>
      <c r="B2" s="718"/>
      <c r="C2" s="718"/>
      <c r="D2" s="718"/>
      <c r="E2" s="718"/>
      <c r="F2" s="718"/>
      <c r="G2" s="718"/>
      <c r="H2" s="718"/>
      <c r="I2" s="718"/>
      <c r="J2" s="718"/>
      <c r="K2" s="718"/>
      <c r="L2" s="718"/>
      <c r="M2" s="718"/>
      <c r="N2" s="718"/>
      <c r="O2" s="718"/>
      <c r="P2" s="718"/>
      <c r="Q2" s="12"/>
    </row>
    <row r="3" spans="1:17" ht="20.25">
      <c r="A3" s="725" t="s">
        <v>6280</v>
      </c>
      <c r="B3" s="725"/>
      <c r="C3" s="725"/>
      <c r="D3" s="725"/>
      <c r="E3" s="725"/>
      <c r="F3" s="725"/>
      <c r="G3" s="725"/>
      <c r="H3" s="725"/>
      <c r="I3" s="725"/>
      <c r="J3" s="725"/>
      <c r="K3" s="725"/>
      <c r="L3" s="725"/>
      <c r="M3" s="722"/>
      <c r="N3" s="722"/>
      <c r="O3" s="722"/>
      <c r="P3" s="722"/>
      <c r="Q3" s="12"/>
    </row>
    <row r="4" spans="1:17" ht="114" customHeight="1">
      <c r="A4" s="18" t="s">
        <v>0</v>
      </c>
      <c r="B4" s="18" t="s">
        <v>2582</v>
      </c>
      <c r="C4" s="18" t="s">
        <v>1647</v>
      </c>
      <c r="D4" s="18" t="s">
        <v>1648</v>
      </c>
      <c r="E4" s="18" t="s">
        <v>6277</v>
      </c>
      <c r="F4" s="18" t="s">
        <v>1619</v>
      </c>
      <c r="G4" s="19" t="s">
        <v>1649</v>
      </c>
      <c r="H4" s="18" t="s">
        <v>6281</v>
      </c>
      <c r="I4" s="18" t="s">
        <v>1620</v>
      </c>
      <c r="J4" s="19" t="s">
        <v>1650</v>
      </c>
      <c r="K4" s="20" t="s">
        <v>1651</v>
      </c>
      <c r="L4" s="20" t="s">
        <v>1622</v>
      </c>
      <c r="M4" s="722"/>
      <c r="N4" s="722"/>
      <c r="O4" s="722"/>
      <c r="P4" s="722"/>
      <c r="Q4" s="12"/>
    </row>
    <row r="5" spans="1:17">
      <c r="A5" s="530">
        <v>1</v>
      </c>
      <c r="B5" s="530">
        <v>2</v>
      </c>
      <c r="C5" s="530">
        <v>3</v>
      </c>
      <c r="D5" s="530">
        <v>4</v>
      </c>
      <c r="E5" s="530">
        <v>5</v>
      </c>
      <c r="F5" s="530">
        <v>6</v>
      </c>
      <c r="G5" s="530">
        <v>7</v>
      </c>
      <c r="H5" s="530">
        <v>8</v>
      </c>
      <c r="I5" s="19">
        <v>9</v>
      </c>
      <c r="J5" s="530">
        <v>10</v>
      </c>
      <c r="K5" s="530">
        <v>11</v>
      </c>
      <c r="L5" s="530">
        <v>12</v>
      </c>
      <c r="M5" s="722"/>
      <c r="N5" s="722"/>
      <c r="O5" s="722"/>
      <c r="P5" s="722"/>
      <c r="Q5" s="12"/>
    </row>
    <row r="6" spans="1:17" ht="30">
      <c r="A6" s="117">
        <v>1</v>
      </c>
      <c r="B6" s="528" t="s">
        <v>18</v>
      </c>
      <c r="C6" s="528" t="s">
        <v>70</v>
      </c>
      <c r="D6" s="519" t="s">
        <v>93</v>
      </c>
      <c r="E6" s="544" t="s">
        <v>1652</v>
      </c>
      <c r="F6" s="544">
        <v>1973</v>
      </c>
      <c r="G6" s="517"/>
      <c r="H6" s="544" t="s">
        <v>94</v>
      </c>
      <c r="I6" s="544"/>
      <c r="J6" s="517"/>
      <c r="K6" s="517">
        <v>1</v>
      </c>
      <c r="L6" s="517"/>
      <c r="M6" s="722"/>
      <c r="N6" s="722"/>
      <c r="O6" s="722"/>
      <c r="P6" s="722"/>
      <c r="Q6" s="12"/>
    </row>
    <row r="7" spans="1:17" ht="30">
      <c r="A7" s="117">
        <v>2</v>
      </c>
      <c r="B7" s="528" t="s">
        <v>18</v>
      </c>
      <c r="C7" s="528" t="s">
        <v>70</v>
      </c>
      <c r="D7" s="519" t="s">
        <v>96</v>
      </c>
      <c r="E7" s="544" t="s">
        <v>1653</v>
      </c>
      <c r="F7" s="544">
        <v>1974</v>
      </c>
      <c r="G7" s="517"/>
      <c r="H7" s="544" t="s">
        <v>98</v>
      </c>
      <c r="I7" s="544"/>
      <c r="J7" s="517"/>
      <c r="K7" s="517">
        <v>2</v>
      </c>
      <c r="L7" s="517"/>
      <c r="M7" s="722"/>
      <c r="N7" s="722"/>
      <c r="O7" s="722"/>
      <c r="P7" s="722"/>
      <c r="Q7" s="12"/>
    </row>
    <row r="8" spans="1:17" ht="30">
      <c r="A8" s="117">
        <v>3</v>
      </c>
      <c r="B8" s="528" t="s">
        <v>18</v>
      </c>
      <c r="C8" s="528" t="s">
        <v>70</v>
      </c>
      <c r="D8" s="519" t="s">
        <v>99</v>
      </c>
      <c r="E8" s="544" t="s">
        <v>1654</v>
      </c>
      <c r="F8" s="544">
        <v>1974</v>
      </c>
      <c r="G8" s="517"/>
      <c r="H8" s="544" t="s">
        <v>100</v>
      </c>
      <c r="I8" s="544"/>
      <c r="J8" s="517"/>
      <c r="K8" s="517">
        <v>3</v>
      </c>
      <c r="L8" s="517"/>
      <c r="M8" s="722"/>
      <c r="N8" s="722"/>
      <c r="O8" s="722"/>
      <c r="P8" s="722"/>
      <c r="Q8" s="12"/>
    </row>
    <row r="9" spans="1:17" ht="30">
      <c r="A9" s="117">
        <v>4</v>
      </c>
      <c r="B9" s="528" t="s">
        <v>18</v>
      </c>
      <c r="C9" s="528" t="s">
        <v>70</v>
      </c>
      <c r="D9" s="519" t="s">
        <v>101</v>
      </c>
      <c r="E9" s="544" t="s">
        <v>1655</v>
      </c>
      <c r="F9" s="544" t="s">
        <v>97</v>
      </c>
      <c r="G9" s="517"/>
      <c r="H9" s="544" t="s">
        <v>102</v>
      </c>
      <c r="I9" s="544"/>
      <c r="J9" s="517"/>
      <c r="K9" s="517">
        <v>4</v>
      </c>
      <c r="L9" s="517"/>
      <c r="M9" s="722"/>
      <c r="N9" s="722"/>
      <c r="O9" s="722"/>
      <c r="P9" s="722"/>
      <c r="Q9" s="12"/>
    </row>
    <row r="10" spans="1:17" ht="30">
      <c r="A10" s="117">
        <v>5</v>
      </c>
      <c r="B10" s="528" t="s">
        <v>18</v>
      </c>
      <c r="C10" s="528" t="s">
        <v>70</v>
      </c>
      <c r="D10" s="519" t="s">
        <v>103</v>
      </c>
      <c r="E10" s="544" t="s">
        <v>1656</v>
      </c>
      <c r="F10" s="544" t="s">
        <v>104</v>
      </c>
      <c r="G10" s="517"/>
      <c r="H10" s="544" t="s">
        <v>1657</v>
      </c>
      <c r="I10" s="544"/>
      <c r="J10" s="517"/>
      <c r="K10" s="517">
        <v>5</v>
      </c>
      <c r="L10" s="517"/>
      <c r="M10" s="722"/>
      <c r="N10" s="722"/>
      <c r="O10" s="722"/>
      <c r="P10" s="722"/>
      <c r="Q10" s="12"/>
    </row>
    <row r="11" spans="1:17" ht="45">
      <c r="A11" s="117">
        <v>6</v>
      </c>
      <c r="B11" s="528" t="s">
        <v>18</v>
      </c>
      <c r="C11" s="528" t="s">
        <v>70</v>
      </c>
      <c r="D11" s="519" t="s">
        <v>105</v>
      </c>
      <c r="E11" s="544" t="s">
        <v>1658</v>
      </c>
      <c r="F11" s="544">
        <v>1998</v>
      </c>
      <c r="G11" s="517"/>
      <c r="H11" s="44">
        <v>1.7</v>
      </c>
      <c r="I11" s="544"/>
      <c r="J11" s="517"/>
      <c r="K11" s="517">
        <v>6</v>
      </c>
      <c r="L11" s="517"/>
      <c r="M11" s="722"/>
      <c r="N11" s="722"/>
      <c r="O11" s="722"/>
      <c r="P11" s="722"/>
      <c r="Q11" s="12"/>
    </row>
    <row r="12" spans="1:17" ht="30">
      <c r="A12" s="117">
        <v>7</v>
      </c>
      <c r="B12" s="519" t="s">
        <v>18</v>
      </c>
      <c r="C12" s="310" t="s">
        <v>83</v>
      </c>
      <c r="D12" s="519" t="s">
        <v>106</v>
      </c>
      <c r="E12" s="517">
        <v>4871.68</v>
      </c>
      <c r="F12" s="517">
        <v>1992</v>
      </c>
      <c r="G12" s="517" t="s">
        <v>24</v>
      </c>
      <c r="H12" s="238">
        <v>1.44</v>
      </c>
      <c r="I12" s="517" t="s">
        <v>22</v>
      </c>
      <c r="J12" s="517" t="s">
        <v>22</v>
      </c>
      <c r="K12" s="517">
        <v>7</v>
      </c>
      <c r="L12" s="517"/>
      <c r="M12" s="722"/>
      <c r="N12" s="722"/>
      <c r="O12" s="722"/>
      <c r="P12" s="722"/>
      <c r="Q12" s="12"/>
    </row>
    <row r="13" spans="1:17" ht="30">
      <c r="A13" s="117">
        <v>8</v>
      </c>
      <c r="B13" s="519" t="s">
        <v>18</v>
      </c>
      <c r="C13" s="310" t="s">
        <v>83</v>
      </c>
      <c r="D13" s="519" t="s">
        <v>108</v>
      </c>
      <c r="E13" s="517">
        <v>2299.67</v>
      </c>
      <c r="F13" s="517" t="s">
        <v>1659</v>
      </c>
      <c r="G13" s="517" t="s">
        <v>24</v>
      </c>
      <c r="H13" s="517">
        <v>1.1599999999999999</v>
      </c>
      <c r="I13" s="517" t="s">
        <v>22</v>
      </c>
      <c r="J13" s="517" t="s">
        <v>22</v>
      </c>
      <c r="K13" s="517">
        <v>8</v>
      </c>
      <c r="L13" s="517"/>
      <c r="M13" s="722"/>
      <c r="N13" s="722"/>
      <c r="O13" s="722"/>
      <c r="P13" s="722"/>
      <c r="Q13" s="12"/>
    </row>
    <row r="14" spans="1:17" ht="30">
      <c r="A14" s="117">
        <v>9</v>
      </c>
      <c r="B14" s="519" t="s">
        <v>18</v>
      </c>
      <c r="C14" s="310" t="s">
        <v>83</v>
      </c>
      <c r="D14" s="519" t="s">
        <v>109</v>
      </c>
      <c r="E14" s="517">
        <v>2338.6</v>
      </c>
      <c r="F14" s="517" t="s">
        <v>1660</v>
      </c>
      <c r="G14" s="517" t="s">
        <v>24</v>
      </c>
      <c r="H14" s="517">
        <v>0.84099999999999997</v>
      </c>
      <c r="I14" s="517" t="s">
        <v>22</v>
      </c>
      <c r="J14" s="517" t="s">
        <v>22</v>
      </c>
      <c r="K14" s="517">
        <v>9</v>
      </c>
      <c r="L14" s="517"/>
      <c r="M14" s="722"/>
      <c r="N14" s="722"/>
      <c r="O14" s="722"/>
      <c r="P14" s="722"/>
      <c r="Q14" s="12"/>
    </row>
    <row r="15" spans="1:17" ht="15">
      <c r="A15" s="716"/>
      <c r="B15" s="716"/>
      <c r="C15" s="716"/>
      <c r="D15" s="716"/>
      <c r="E15" s="716"/>
      <c r="F15" s="716"/>
      <c r="G15" s="716"/>
      <c r="H15" s="716"/>
      <c r="I15" s="716"/>
      <c r="J15" s="716"/>
      <c r="K15" s="716"/>
      <c r="L15" s="716"/>
      <c r="M15" s="722"/>
      <c r="N15" s="722"/>
      <c r="O15" s="722"/>
      <c r="P15" s="722"/>
      <c r="Q15" s="12"/>
    </row>
    <row r="16" spans="1:17" ht="57">
      <c r="A16" s="720" t="s">
        <v>1661</v>
      </c>
      <c r="B16" s="720"/>
      <c r="C16" s="720"/>
      <c r="D16" s="720"/>
      <c r="E16" s="720"/>
      <c r="F16" s="720"/>
      <c r="G16" s="720"/>
      <c r="H16" s="720"/>
      <c r="I16" s="720"/>
      <c r="J16" s="720"/>
      <c r="K16" s="720"/>
      <c r="L16" s="720"/>
      <c r="M16" s="720"/>
      <c r="N16" s="720"/>
      <c r="O16" s="720"/>
      <c r="P16" s="143" t="s">
        <v>1623</v>
      </c>
      <c r="Q16" s="12"/>
    </row>
    <row r="17" spans="1:48">
      <c r="A17" s="720">
        <v>13</v>
      </c>
      <c r="B17" s="720"/>
      <c r="C17" s="720"/>
      <c r="D17" s="720"/>
      <c r="E17" s="720"/>
      <c r="F17" s="720"/>
      <c r="G17" s="720"/>
      <c r="H17" s="720"/>
      <c r="I17" s="720"/>
      <c r="J17" s="720"/>
      <c r="K17" s="720"/>
      <c r="L17" s="720"/>
      <c r="M17" s="720"/>
      <c r="N17" s="720"/>
      <c r="O17" s="720"/>
      <c r="P17" s="18">
        <v>14</v>
      </c>
      <c r="Q17" s="12"/>
    </row>
    <row r="18" spans="1:48" ht="15">
      <c r="A18" s="720" t="s">
        <v>1662</v>
      </c>
      <c r="B18" s="720"/>
      <c r="C18" s="720"/>
      <c r="D18" s="720" t="s">
        <v>1663</v>
      </c>
      <c r="E18" s="720"/>
      <c r="F18" s="720"/>
      <c r="G18" s="720" t="s">
        <v>1664</v>
      </c>
      <c r="H18" s="720"/>
      <c r="I18" s="720"/>
      <c r="J18" s="720" t="s">
        <v>1665</v>
      </c>
      <c r="K18" s="720"/>
      <c r="L18" s="720"/>
      <c r="M18" s="720" t="s">
        <v>1666</v>
      </c>
      <c r="N18" s="720"/>
      <c r="O18" s="720"/>
      <c r="P18" s="310"/>
      <c r="Q18" s="12"/>
    </row>
    <row r="19" spans="1:48" ht="15">
      <c r="A19" s="517" t="s">
        <v>1667</v>
      </c>
      <c r="B19" s="517" t="s">
        <v>1668</v>
      </c>
      <c r="C19" s="544" t="s">
        <v>418</v>
      </c>
      <c r="D19" s="517" t="s">
        <v>1667</v>
      </c>
      <c r="E19" s="517" t="s">
        <v>1668</v>
      </c>
      <c r="F19" s="544" t="s">
        <v>418</v>
      </c>
      <c r="G19" s="517" t="s">
        <v>1667</v>
      </c>
      <c r="H19" s="517" t="s">
        <v>1668</v>
      </c>
      <c r="I19" s="544" t="s">
        <v>418</v>
      </c>
      <c r="J19" s="517" t="s">
        <v>1667</v>
      </c>
      <c r="K19" s="517" t="s">
        <v>1668</v>
      </c>
      <c r="L19" s="544" t="s">
        <v>418</v>
      </c>
      <c r="M19" s="517" t="s">
        <v>1667</v>
      </c>
      <c r="N19" s="517" t="s">
        <v>1668</v>
      </c>
      <c r="O19" s="544" t="s">
        <v>418</v>
      </c>
      <c r="P19" s="517"/>
      <c r="Q19" s="12"/>
    </row>
    <row r="20" spans="1:48" ht="60">
      <c r="A20" s="307">
        <v>51</v>
      </c>
      <c r="B20" s="307">
        <v>8</v>
      </c>
      <c r="C20" s="307">
        <v>6</v>
      </c>
      <c r="D20" s="307">
        <v>137</v>
      </c>
      <c r="E20" s="307">
        <v>55</v>
      </c>
      <c r="F20" s="307">
        <v>13</v>
      </c>
      <c r="G20" s="307">
        <v>63</v>
      </c>
      <c r="H20" s="307">
        <v>38</v>
      </c>
      <c r="I20" s="307">
        <v>22</v>
      </c>
      <c r="J20" s="307">
        <v>88</v>
      </c>
      <c r="K20" s="307">
        <v>24</v>
      </c>
      <c r="L20" s="307">
        <v>17</v>
      </c>
      <c r="M20" s="307">
        <v>11</v>
      </c>
      <c r="N20" s="307">
        <v>11</v>
      </c>
      <c r="O20" s="307">
        <v>8</v>
      </c>
      <c r="P20" s="239" t="s">
        <v>1669</v>
      </c>
      <c r="Q20" s="12"/>
    </row>
    <row r="21" spans="1:48" ht="15" customHeight="1">
      <c r="A21" s="720" t="s">
        <v>1670</v>
      </c>
      <c r="B21" s="720"/>
      <c r="C21" s="720"/>
      <c r="D21" s="720" t="s">
        <v>1671</v>
      </c>
      <c r="E21" s="720"/>
      <c r="F21" s="720"/>
      <c r="G21" s="720" t="s">
        <v>1672</v>
      </c>
      <c r="H21" s="720"/>
      <c r="I21" s="720"/>
      <c r="J21" s="716"/>
      <c r="K21" s="716"/>
      <c r="L21" s="716"/>
      <c r="M21" s="716"/>
      <c r="N21" s="716"/>
      <c r="O21" s="716"/>
      <c r="P21" s="310"/>
      <c r="Q21" s="12"/>
      <c r="R21" s="12"/>
      <c r="S21" s="12"/>
      <c r="T21" s="12"/>
      <c r="U21" s="12"/>
    </row>
    <row r="22" spans="1:48" ht="15">
      <c r="A22" s="517" t="s">
        <v>1667</v>
      </c>
      <c r="B22" s="517" t="s">
        <v>1668</v>
      </c>
      <c r="C22" s="544" t="s">
        <v>418</v>
      </c>
      <c r="D22" s="517" t="s">
        <v>1667</v>
      </c>
      <c r="E22" s="517" t="s">
        <v>1668</v>
      </c>
      <c r="F22" s="544" t="s">
        <v>418</v>
      </c>
      <c r="G22" s="517" t="s">
        <v>1667</v>
      </c>
      <c r="H22" s="517" t="s">
        <v>1668</v>
      </c>
      <c r="I22" s="544" t="s">
        <v>418</v>
      </c>
      <c r="J22" s="716"/>
      <c r="K22" s="716"/>
      <c r="L22" s="716"/>
      <c r="M22" s="716"/>
      <c r="N22" s="716"/>
      <c r="O22" s="716"/>
      <c r="P22" s="310"/>
      <c r="Q22" s="12"/>
      <c r="R22" s="12"/>
      <c r="S22" s="12"/>
      <c r="T22" s="12"/>
      <c r="U22" s="12"/>
    </row>
    <row r="23" spans="1:48" ht="15">
      <c r="A23" s="517">
        <f>4+1</f>
        <v>5</v>
      </c>
      <c r="B23" s="517">
        <v>5</v>
      </c>
      <c r="C23" s="522">
        <v>4</v>
      </c>
      <c r="D23" s="522"/>
      <c r="E23" s="522"/>
      <c r="F23" s="522"/>
      <c r="G23" s="522"/>
      <c r="H23" s="522"/>
      <c r="I23" s="237"/>
      <c r="J23" s="716"/>
      <c r="K23" s="716"/>
      <c r="L23" s="716"/>
      <c r="M23" s="716"/>
      <c r="N23" s="716"/>
      <c r="O23" s="716"/>
      <c r="P23" s="310"/>
      <c r="Q23" s="12"/>
    </row>
    <row r="24" spans="1:48" ht="15">
      <c r="A24" s="310" t="s">
        <v>60</v>
      </c>
      <c r="B24" s="724" t="s">
        <v>1673</v>
      </c>
      <c r="C24" s="724"/>
      <c r="D24" s="724"/>
      <c r="E24" s="724"/>
      <c r="F24" s="724"/>
      <c r="G24" s="724"/>
      <c r="H24" s="724"/>
      <c r="I24" s="724"/>
      <c r="J24" s="724"/>
      <c r="K24" s="724"/>
      <c r="L24" s="724"/>
      <c r="M24" s="724"/>
      <c r="N24" s="724"/>
      <c r="O24" s="724"/>
      <c r="P24" s="724"/>
      <c r="Q24" s="12"/>
    </row>
    <row r="25" spans="1:48" ht="15">
      <c r="A25" s="15"/>
      <c r="B25" s="710" t="s">
        <v>1674</v>
      </c>
      <c r="C25" s="710"/>
      <c r="D25" s="710"/>
      <c r="E25" s="710"/>
      <c r="F25" s="710"/>
      <c r="G25" s="710"/>
      <c r="H25" s="710"/>
      <c r="I25" s="710"/>
      <c r="J25" s="710"/>
      <c r="K25" s="710"/>
      <c r="L25" s="710"/>
      <c r="M25" s="710"/>
      <c r="N25" s="710"/>
      <c r="O25" s="710"/>
      <c r="P25" s="710"/>
      <c r="Q25" s="12"/>
    </row>
    <row r="26" spans="1:48" ht="15">
      <c r="A26" s="15"/>
      <c r="B26" s="724" t="s">
        <v>6580</v>
      </c>
      <c r="C26" s="724"/>
      <c r="D26" s="724"/>
      <c r="E26" s="724"/>
      <c r="F26" s="724"/>
      <c r="G26" s="724"/>
      <c r="H26" s="724"/>
      <c r="I26" s="724"/>
      <c r="J26" s="724"/>
      <c r="K26" s="724"/>
      <c r="L26" s="724"/>
      <c r="M26" s="724"/>
      <c r="N26" s="724"/>
      <c r="O26" s="724"/>
      <c r="P26" s="724"/>
      <c r="Q26" s="12"/>
    </row>
    <row r="27" spans="1:48" s="15" customFormat="1" ht="15">
      <c r="B27" s="724" t="s">
        <v>1675</v>
      </c>
      <c r="C27" s="724"/>
      <c r="D27" s="724"/>
      <c r="E27" s="724"/>
      <c r="F27" s="724"/>
      <c r="G27" s="724"/>
      <c r="H27" s="724"/>
      <c r="I27" s="724"/>
      <c r="J27" s="724"/>
      <c r="K27" s="724"/>
      <c r="L27" s="724"/>
      <c r="M27" s="724"/>
      <c r="N27" s="724"/>
      <c r="O27" s="724"/>
      <c r="P27" s="724"/>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row r="28" spans="1:48" ht="15">
      <c r="A28" s="15"/>
      <c r="B28" s="724" t="s">
        <v>6581</v>
      </c>
      <c r="C28" s="724"/>
      <c r="D28" s="724"/>
      <c r="E28" s="724"/>
      <c r="F28" s="724"/>
      <c r="G28" s="724"/>
      <c r="H28" s="724"/>
      <c r="I28" s="724"/>
      <c r="J28" s="724"/>
      <c r="K28" s="724"/>
      <c r="L28" s="724"/>
      <c r="M28" s="724"/>
      <c r="N28" s="724"/>
      <c r="O28" s="724"/>
      <c r="P28" s="724"/>
      <c r="Q28" s="12"/>
    </row>
    <row r="29" spans="1:48">
      <c r="A29" s="693"/>
      <c r="B29" s="693"/>
      <c r="C29" s="693"/>
      <c r="D29" s="693"/>
      <c r="E29" s="693"/>
      <c r="F29" s="693"/>
      <c r="G29" s="693"/>
      <c r="H29" s="693"/>
      <c r="I29" s="693"/>
      <c r="J29" s="693"/>
      <c r="K29" s="693"/>
      <c r="L29" s="693"/>
      <c r="M29" s="693"/>
      <c r="N29" s="693"/>
      <c r="O29" s="693"/>
      <c r="P29" s="693"/>
    </row>
    <row r="30" spans="1:48" ht="22.5">
      <c r="A30" s="718" t="s">
        <v>116</v>
      </c>
      <c r="B30" s="718"/>
      <c r="C30" s="718"/>
      <c r="D30" s="718"/>
      <c r="E30" s="718"/>
      <c r="F30" s="718"/>
      <c r="G30" s="718"/>
      <c r="H30" s="718"/>
      <c r="I30" s="718"/>
      <c r="J30" s="718"/>
      <c r="K30" s="718"/>
      <c r="L30" s="718"/>
      <c r="M30" s="718"/>
      <c r="N30" s="718"/>
      <c r="O30" s="718"/>
      <c r="P30" s="718"/>
    </row>
    <row r="31" spans="1:48" ht="20.25">
      <c r="A31" s="725" t="s">
        <v>6280</v>
      </c>
      <c r="B31" s="725"/>
      <c r="C31" s="725"/>
      <c r="D31" s="725"/>
      <c r="E31" s="725"/>
      <c r="F31" s="725"/>
      <c r="G31" s="725"/>
      <c r="H31" s="725"/>
      <c r="I31" s="725"/>
      <c r="J31" s="725"/>
      <c r="K31" s="725"/>
      <c r="L31" s="725"/>
      <c r="M31" s="722"/>
      <c r="N31" s="722"/>
      <c r="O31" s="722"/>
      <c r="P31" s="722"/>
    </row>
    <row r="32" spans="1:48" ht="99" customHeight="1">
      <c r="A32" s="18" t="s">
        <v>0</v>
      </c>
      <c r="B32" s="18" t="s">
        <v>2582</v>
      </c>
      <c r="C32" s="18" t="s">
        <v>6590</v>
      </c>
      <c r="D32" s="18" t="s">
        <v>1648</v>
      </c>
      <c r="E32" s="18" t="s">
        <v>6277</v>
      </c>
      <c r="F32" s="18" t="s">
        <v>1619</v>
      </c>
      <c r="G32" s="19" t="s">
        <v>1649</v>
      </c>
      <c r="H32" s="18" t="s">
        <v>6281</v>
      </c>
      <c r="I32" s="18" t="s">
        <v>1620</v>
      </c>
      <c r="J32" s="19" t="s">
        <v>1650</v>
      </c>
      <c r="K32" s="20" t="s">
        <v>1651</v>
      </c>
      <c r="L32" s="20" t="s">
        <v>1622</v>
      </c>
      <c r="M32" s="722"/>
      <c r="N32" s="722"/>
      <c r="O32" s="722"/>
      <c r="P32" s="722"/>
    </row>
    <row r="33" spans="1:16">
      <c r="A33" s="530">
        <v>1</v>
      </c>
      <c r="B33" s="530">
        <v>2</v>
      </c>
      <c r="C33" s="530">
        <v>3</v>
      </c>
      <c r="D33" s="530">
        <v>4</v>
      </c>
      <c r="E33" s="530">
        <v>5</v>
      </c>
      <c r="F33" s="530">
        <v>6</v>
      </c>
      <c r="G33" s="530">
        <v>7</v>
      </c>
      <c r="H33" s="530">
        <v>8</v>
      </c>
      <c r="I33" s="19">
        <v>9</v>
      </c>
      <c r="J33" s="530">
        <v>10</v>
      </c>
      <c r="K33" s="530">
        <v>11</v>
      </c>
      <c r="L33" s="530">
        <v>12</v>
      </c>
      <c r="M33" s="722"/>
      <c r="N33" s="722"/>
      <c r="O33" s="722"/>
      <c r="P33" s="722"/>
    </row>
    <row r="34" spans="1:16" ht="75">
      <c r="A34" s="513">
        <v>1</v>
      </c>
      <c r="B34" s="696" t="s">
        <v>2612</v>
      </c>
      <c r="C34" s="696" t="s">
        <v>135</v>
      </c>
      <c r="D34" s="511" t="s">
        <v>6282</v>
      </c>
      <c r="E34" s="513">
        <v>5731.8</v>
      </c>
      <c r="F34" s="513" t="s">
        <v>6283</v>
      </c>
      <c r="G34" s="513"/>
      <c r="H34" s="513">
        <v>5.47</v>
      </c>
      <c r="I34" s="513"/>
      <c r="J34" s="513"/>
      <c r="K34" s="513"/>
      <c r="L34" s="513"/>
      <c r="M34" s="722"/>
      <c r="N34" s="722"/>
      <c r="O34" s="722"/>
      <c r="P34" s="722"/>
    </row>
    <row r="35" spans="1:16" ht="30">
      <c r="A35" s="513">
        <v>2</v>
      </c>
      <c r="B35" s="696"/>
      <c r="C35" s="696"/>
      <c r="D35" s="511" t="s">
        <v>6284</v>
      </c>
      <c r="E35" s="513">
        <v>500</v>
      </c>
      <c r="F35" s="513"/>
      <c r="G35" s="513"/>
      <c r="H35" s="513">
        <v>0.38600000000000001</v>
      </c>
      <c r="I35" s="513"/>
      <c r="J35" s="513"/>
      <c r="K35" s="513"/>
      <c r="L35" s="513"/>
      <c r="M35" s="722"/>
      <c r="N35" s="722"/>
      <c r="O35" s="722"/>
      <c r="P35" s="722"/>
    </row>
    <row r="36" spans="1:16" ht="30">
      <c r="A36" s="513">
        <v>3</v>
      </c>
      <c r="B36" s="696"/>
      <c r="C36" s="696"/>
      <c r="D36" s="511" t="s">
        <v>156</v>
      </c>
      <c r="E36" s="513">
        <v>6649</v>
      </c>
      <c r="F36" s="513">
        <v>2003</v>
      </c>
      <c r="G36" s="513" t="s">
        <v>17</v>
      </c>
      <c r="H36" s="513">
        <v>6.54</v>
      </c>
      <c r="I36" s="513">
        <v>10.4</v>
      </c>
      <c r="J36" s="513" t="s">
        <v>17</v>
      </c>
      <c r="K36" s="513">
        <v>1</v>
      </c>
      <c r="L36" s="513" t="s">
        <v>17</v>
      </c>
      <c r="M36" s="722"/>
      <c r="N36" s="722"/>
      <c r="O36" s="722"/>
      <c r="P36" s="722"/>
    </row>
    <row r="37" spans="1:16" ht="30">
      <c r="A37" s="513">
        <v>4</v>
      </c>
      <c r="B37" s="696"/>
      <c r="C37" s="696"/>
      <c r="D37" s="511" t="s">
        <v>7058</v>
      </c>
      <c r="E37" s="513">
        <v>1382</v>
      </c>
      <c r="F37" s="513">
        <v>2000</v>
      </c>
      <c r="G37" s="513" t="s">
        <v>17</v>
      </c>
      <c r="H37" s="513">
        <v>1.96</v>
      </c>
      <c r="I37" s="545">
        <v>5</v>
      </c>
      <c r="J37" s="513" t="s">
        <v>17</v>
      </c>
      <c r="K37" s="513" t="s">
        <v>17</v>
      </c>
      <c r="L37" s="513">
        <v>1</v>
      </c>
      <c r="M37" s="722"/>
      <c r="N37" s="722"/>
      <c r="O37" s="722"/>
      <c r="P37" s="722"/>
    </row>
    <row r="38" spans="1:16" ht="15">
      <c r="A38" s="513">
        <v>5</v>
      </c>
      <c r="B38" s="696"/>
      <c r="C38" s="696"/>
      <c r="D38" s="511" t="s">
        <v>174</v>
      </c>
      <c r="E38" s="513">
        <v>1160</v>
      </c>
      <c r="F38" s="513">
        <v>1994</v>
      </c>
      <c r="G38" s="513" t="s">
        <v>17</v>
      </c>
      <c r="H38" s="513">
        <v>0.12</v>
      </c>
      <c r="I38" s="513">
        <v>3.16</v>
      </c>
      <c r="J38" s="513" t="s">
        <v>17</v>
      </c>
      <c r="K38" s="513" t="s">
        <v>17</v>
      </c>
      <c r="L38" s="513">
        <v>2</v>
      </c>
      <c r="M38" s="722"/>
      <c r="N38" s="722"/>
      <c r="O38" s="722"/>
      <c r="P38" s="722"/>
    </row>
    <row r="39" spans="1:16" ht="30">
      <c r="A39" s="513">
        <v>6</v>
      </c>
      <c r="B39" s="696"/>
      <c r="C39" s="696"/>
      <c r="D39" s="511" t="s">
        <v>176</v>
      </c>
      <c r="E39" s="513">
        <v>487</v>
      </c>
      <c r="F39" s="513">
        <v>2003</v>
      </c>
      <c r="G39" s="513" t="s">
        <v>17</v>
      </c>
      <c r="H39" s="513">
        <v>0.25</v>
      </c>
      <c r="I39" s="513">
        <v>3.31</v>
      </c>
      <c r="J39" s="513" t="s">
        <v>17</v>
      </c>
      <c r="K39" s="513" t="s">
        <v>17</v>
      </c>
      <c r="L39" s="513">
        <v>3</v>
      </c>
      <c r="M39" s="722"/>
      <c r="N39" s="722"/>
      <c r="O39" s="722"/>
      <c r="P39" s="722"/>
    </row>
    <row r="40" spans="1:16" ht="75">
      <c r="A40" s="513">
        <v>7</v>
      </c>
      <c r="B40" s="696"/>
      <c r="C40" s="696" t="s">
        <v>139</v>
      </c>
      <c r="D40" s="511" t="s">
        <v>166</v>
      </c>
      <c r="E40" s="513" t="s">
        <v>6285</v>
      </c>
      <c r="F40" s="542">
        <v>31728</v>
      </c>
      <c r="G40" s="542"/>
      <c r="H40" s="513">
        <f>---J40--J40-J40</f>
        <v>0</v>
      </c>
      <c r="I40" s="513"/>
      <c r="J40" s="513"/>
      <c r="K40" s="513"/>
      <c r="L40" s="513" t="s">
        <v>179</v>
      </c>
      <c r="M40" s="722"/>
      <c r="N40" s="722"/>
      <c r="O40" s="722"/>
      <c r="P40" s="722"/>
    </row>
    <row r="41" spans="1:16" ht="30">
      <c r="A41" s="513">
        <v>8</v>
      </c>
      <c r="B41" s="696"/>
      <c r="C41" s="696"/>
      <c r="D41" s="511" t="s">
        <v>6286</v>
      </c>
      <c r="E41" s="23" t="s">
        <v>6287</v>
      </c>
      <c r="F41" s="739" t="s">
        <v>6288</v>
      </c>
      <c r="G41" s="739"/>
      <c r="H41" s="739"/>
      <c r="I41" s="739"/>
      <c r="J41" s="739"/>
      <c r="K41" s="739"/>
      <c r="L41" s="739"/>
      <c r="M41" s="722"/>
      <c r="N41" s="722"/>
      <c r="O41" s="722"/>
      <c r="P41" s="722"/>
    </row>
    <row r="42" spans="1:16" ht="30">
      <c r="A42" s="513">
        <v>9</v>
      </c>
      <c r="B42" s="696"/>
      <c r="C42" s="696"/>
      <c r="D42" s="505" t="s">
        <v>6289</v>
      </c>
      <c r="E42" s="126">
        <v>986.92</v>
      </c>
      <c r="F42" s="500" t="s">
        <v>6290</v>
      </c>
      <c r="G42" s="500" t="s">
        <v>17</v>
      </c>
      <c r="H42" s="500" t="s">
        <v>17</v>
      </c>
      <c r="I42" s="500" t="s">
        <v>17</v>
      </c>
      <c r="J42" s="500" t="s">
        <v>17</v>
      </c>
      <c r="K42" s="500" t="s">
        <v>17</v>
      </c>
      <c r="L42" s="500">
        <v>1</v>
      </c>
      <c r="M42" s="722"/>
      <c r="N42" s="722"/>
      <c r="O42" s="722"/>
      <c r="P42" s="722"/>
    </row>
    <row r="43" spans="1:16" ht="15">
      <c r="A43" s="721"/>
      <c r="B43" s="721"/>
      <c r="C43" s="721"/>
      <c r="D43" s="721"/>
      <c r="E43" s="721"/>
      <c r="F43" s="721"/>
      <c r="G43" s="721"/>
      <c r="H43" s="721"/>
      <c r="I43" s="721"/>
      <c r="J43" s="721"/>
      <c r="K43" s="721"/>
      <c r="L43" s="721"/>
      <c r="M43" s="722"/>
      <c r="N43" s="722"/>
      <c r="O43" s="722"/>
      <c r="P43" s="722"/>
    </row>
    <row r="44" spans="1:16" ht="57">
      <c r="A44" s="720" t="s">
        <v>1661</v>
      </c>
      <c r="B44" s="720"/>
      <c r="C44" s="720"/>
      <c r="D44" s="720"/>
      <c r="E44" s="720"/>
      <c r="F44" s="720"/>
      <c r="G44" s="720"/>
      <c r="H44" s="720"/>
      <c r="I44" s="720"/>
      <c r="J44" s="720"/>
      <c r="K44" s="720"/>
      <c r="L44" s="720"/>
      <c r="M44" s="720"/>
      <c r="N44" s="720"/>
      <c r="O44" s="720"/>
      <c r="P44" s="143" t="s">
        <v>1623</v>
      </c>
    </row>
    <row r="45" spans="1:16">
      <c r="A45" s="720">
        <v>13</v>
      </c>
      <c r="B45" s="720"/>
      <c r="C45" s="720"/>
      <c r="D45" s="720"/>
      <c r="E45" s="720"/>
      <c r="F45" s="720"/>
      <c r="G45" s="720"/>
      <c r="H45" s="720"/>
      <c r="I45" s="720"/>
      <c r="J45" s="720"/>
      <c r="K45" s="720"/>
      <c r="L45" s="720"/>
      <c r="M45" s="720"/>
      <c r="N45" s="720"/>
      <c r="O45" s="720"/>
      <c r="P45" s="18">
        <v>14</v>
      </c>
    </row>
    <row r="46" spans="1:16" ht="15">
      <c r="A46" s="737" t="s">
        <v>1662</v>
      </c>
      <c r="B46" s="737"/>
      <c r="C46" s="737"/>
      <c r="D46" s="737" t="s">
        <v>1663</v>
      </c>
      <c r="E46" s="737"/>
      <c r="F46" s="737"/>
      <c r="G46" s="737" t="s">
        <v>1664</v>
      </c>
      <c r="H46" s="737"/>
      <c r="I46" s="737"/>
      <c r="J46" s="737" t="s">
        <v>1665</v>
      </c>
      <c r="K46" s="737"/>
      <c r="L46" s="737"/>
      <c r="M46" s="737" t="s">
        <v>1666</v>
      </c>
      <c r="N46" s="737"/>
      <c r="O46" s="737"/>
      <c r="P46" s="310"/>
    </row>
    <row r="47" spans="1:16" ht="15">
      <c r="A47" s="532" t="s">
        <v>1667</v>
      </c>
      <c r="B47" s="532" t="s">
        <v>1668</v>
      </c>
      <c r="C47" s="142" t="s">
        <v>418</v>
      </c>
      <c r="D47" s="532" t="s">
        <v>1667</v>
      </c>
      <c r="E47" s="532" t="s">
        <v>1668</v>
      </c>
      <c r="F47" s="142" t="s">
        <v>418</v>
      </c>
      <c r="G47" s="532" t="s">
        <v>1667</v>
      </c>
      <c r="H47" s="532" t="s">
        <v>1668</v>
      </c>
      <c r="I47" s="142" t="s">
        <v>418</v>
      </c>
      <c r="J47" s="532" t="s">
        <v>1667</v>
      </c>
      <c r="K47" s="532" t="s">
        <v>1668</v>
      </c>
      <c r="L47" s="142" t="s">
        <v>418</v>
      </c>
      <c r="M47" s="532" t="s">
        <v>1667</v>
      </c>
      <c r="N47" s="532" t="s">
        <v>1668</v>
      </c>
      <c r="O47" s="142" t="s">
        <v>418</v>
      </c>
      <c r="P47" s="517"/>
    </row>
    <row r="48" spans="1:16" ht="15">
      <c r="A48" s="512">
        <v>15</v>
      </c>
      <c r="B48" s="512">
        <v>15</v>
      </c>
      <c r="C48" s="512">
        <v>15</v>
      </c>
      <c r="D48" s="512">
        <v>15</v>
      </c>
      <c r="E48" s="512">
        <v>15</v>
      </c>
      <c r="F48" s="512">
        <v>5</v>
      </c>
      <c r="G48" s="512">
        <v>30</v>
      </c>
      <c r="H48" s="512">
        <v>30</v>
      </c>
      <c r="I48" s="512">
        <v>7</v>
      </c>
      <c r="J48" s="512">
        <v>8</v>
      </c>
      <c r="K48" s="512">
        <v>8</v>
      </c>
      <c r="L48" s="512">
        <v>7</v>
      </c>
      <c r="M48" s="512">
        <v>4</v>
      </c>
      <c r="N48" s="512">
        <v>4</v>
      </c>
      <c r="O48" s="512">
        <v>2</v>
      </c>
      <c r="P48" s="544" t="s">
        <v>6584</v>
      </c>
    </row>
    <row r="49" spans="1:16" ht="15">
      <c r="A49" s="512">
        <v>2</v>
      </c>
      <c r="B49" s="512">
        <v>2</v>
      </c>
      <c r="C49" s="512">
        <v>2</v>
      </c>
      <c r="D49" s="512">
        <v>15</v>
      </c>
      <c r="E49" s="512">
        <v>15</v>
      </c>
      <c r="F49" s="512">
        <v>5</v>
      </c>
      <c r="G49" s="512">
        <v>30</v>
      </c>
      <c r="H49" s="512">
        <v>30</v>
      </c>
      <c r="I49" s="512">
        <v>7</v>
      </c>
      <c r="J49" s="512"/>
      <c r="K49" s="512"/>
      <c r="L49" s="512"/>
      <c r="M49" s="512">
        <v>4</v>
      </c>
      <c r="N49" s="512">
        <v>4</v>
      </c>
      <c r="O49" s="512">
        <v>2</v>
      </c>
      <c r="P49" s="544" t="s">
        <v>6585</v>
      </c>
    </row>
    <row r="50" spans="1:16" ht="15">
      <c r="A50" s="512">
        <v>56</v>
      </c>
      <c r="B50" s="512">
        <v>56</v>
      </c>
      <c r="C50" s="512">
        <v>9</v>
      </c>
      <c r="D50" s="512">
        <v>68</v>
      </c>
      <c r="E50" s="512">
        <v>68</v>
      </c>
      <c r="F50" s="512">
        <v>32</v>
      </c>
      <c r="G50" s="512">
        <v>28</v>
      </c>
      <c r="H50" s="512">
        <v>28</v>
      </c>
      <c r="I50" s="512">
        <v>4</v>
      </c>
      <c r="J50" s="512">
        <v>6</v>
      </c>
      <c r="K50" s="512">
        <v>6</v>
      </c>
      <c r="L50" s="512">
        <v>6</v>
      </c>
      <c r="M50" s="512">
        <v>6</v>
      </c>
      <c r="N50" s="512">
        <v>6</v>
      </c>
      <c r="O50" s="512">
        <v>1</v>
      </c>
      <c r="P50" s="544" t="s">
        <v>6586</v>
      </c>
    </row>
    <row r="51" spans="1:16" ht="30">
      <c r="A51" s="512">
        <v>4</v>
      </c>
      <c r="B51" s="512">
        <v>4</v>
      </c>
      <c r="C51" s="512">
        <v>0</v>
      </c>
      <c r="D51" s="512">
        <v>4</v>
      </c>
      <c r="E51" s="512">
        <v>4</v>
      </c>
      <c r="F51" s="512">
        <v>0</v>
      </c>
      <c r="G51" s="512">
        <v>8</v>
      </c>
      <c r="H51" s="512">
        <v>8</v>
      </c>
      <c r="I51" s="512">
        <v>1</v>
      </c>
      <c r="J51" s="512">
        <v>0</v>
      </c>
      <c r="K51" s="512">
        <v>0</v>
      </c>
      <c r="L51" s="512">
        <v>0</v>
      </c>
      <c r="M51" s="512">
        <v>0</v>
      </c>
      <c r="N51" s="512">
        <v>0</v>
      </c>
      <c r="O51" s="512">
        <v>0</v>
      </c>
      <c r="P51" s="544" t="s">
        <v>6587</v>
      </c>
    </row>
    <row r="52" spans="1:16" ht="30">
      <c r="A52" s="512">
        <v>4</v>
      </c>
      <c r="B52" s="512">
        <v>4</v>
      </c>
      <c r="C52" s="512">
        <v>0</v>
      </c>
      <c r="D52" s="512">
        <v>8</v>
      </c>
      <c r="E52" s="512">
        <v>8</v>
      </c>
      <c r="F52" s="512">
        <v>0</v>
      </c>
      <c r="G52" s="512">
        <v>12</v>
      </c>
      <c r="H52" s="512">
        <v>12</v>
      </c>
      <c r="I52" s="512">
        <v>3</v>
      </c>
      <c r="J52" s="512">
        <v>5</v>
      </c>
      <c r="K52" s="512">
        <v>5</v>
      </c>
      <c r="L52" s="512">
        <v>1</v>
      </c>
      <c r="M52" s="512">
        <v>0</v>
      </c>
      <c r="N52" s="512">
        <v>0</v>
      </c>
      <c r="O52" s="512">
        <v>0</v>
      </c>
      <c r="P52" s="544" t="s">
        <v>6588</v>
      </c>
    </row>
    <row r="53" spans="1:16" ht="30">
      <c r="A53" s="512">
        <v>8</v>
      </c>
      <c r="B53" s="512">
        <v>1</v>
      </c>
      <c r="C53" s="512">
        <v>0</v>
      </c>
      <c r="D53" s="512">
        <v>16</v>
      </c>
      <c r="E53" s="512">
        <v>1</v>
      </c>
      <c r="F53" s="512">
        <v>1</v>
      </c>
      <c r="G53" s="512">
        <v>0</v>
      </c>
      <c r="H53" s="512">
        <v>0</v>
      </c>
      <c r="I53" s="512">
        <v>0</v>
      </c>
      <c r="J53" s="512">
        <v>5</v>
      </c>
      <c r="K53" s="512">
        <v>0</v>
      </c>
      <c r="L53" s="512">
        <v>0</v>
      </c>
      <c r="M53" s="512">
        <v>0</v>
      </c>
      <c r="N53" s="512">
        <v>0</v>
      </c>
      <c r="O53" s="512">
        <v>0</v>
      </c>
      <c r="P53" s="544" t="s">
        <v>6589</v>
      </c>
    </row>
    <row r="54" spans="1:16" ht="15">
      <c r="A54" s="512">
        <v>112</v>
      </c>
      <c r="B54" s="512">
        <v>35</v>
      </c>
      <c r="C54" s="512">
        <v>29</v>
      </c>
      <c r="D54" s="512">
        <v>173</v>
      </c>
      <c r="E54" s="512">
        <v>125</v>
      </c>
      <c r="F54" s="512">
        <v>104</v>
      </c>
      <c r="G54" s="512">
        <v>169</v>
      </c>
      <c r="H54" s="512">
        <v>154</v>
      </c>
      <c r="I54" s="512">
        <v>148</v>
      </c>
      <c r="J54" s="512">
        <v>66</v>
      </c>
      <c r="K54" s="512">
        <v>61</v>
      </c>
      <c r="L54" s="512">
        <v>61</v>
      </c>
      <c r="M54" s="512">
        <v>29</v>
      </c>
      <c r="N54" s="512">
        <v>29</v>
      </c>
      <c r="O54" s="512">
        <v>25</v>
      </c>
      <c r="P54" s="544" t="s">
        <v>2748</v>
      </c>
    </row>
    <row r="55" spans="1:16" ht="15">
      <c r="A55" s="737" t="s">
        <v>1670</v>
      </c>
      <c r="B55" s="737"/>
      <c r="C55" s="737"/>
      <c r="D55" s="737" t="s">
        <v>1671</v>
      </c>
      <c r="E55" s="737"/>
      <c r="F55" s="737"/>
      <c r="G55" s="737" t="s">
        <v>1672</v>
      </c>
      <c r="H55" s="737"/>
      <c r="I55" s="737"/>
      <c r="J55" s="532"/>
      <c r="K55" s="532"/>
      <c r="L55" s="532"/>
      <c r="M55" s="532"/>
      <c r="N55" s="532"/>
      <c r="O55" s="532"/>
      <c r="P55" s="15"/>
    </row>
    <row r="56" spans="1:16" ht="15">
      <c r="A56" s="532" t="s">
        <v>1667</v>
      </c>
      <c r="B56" s="532" t="s">
        <v>1668</v>
      </c>
      <c r="C56" s="142" t="s">
        <v>418</v>
      </c>
      <c r="D56" s="532" t="s">
        <v>1667</v>
      </c>
      <c r="E56" s="532" t="s">
        <v>1668</v>
      </c>
      <c r="F56" s="142" t="s">
        <v>418</v>
      </c>
      <c r="G56" s="532" t="s">
        <v>1667</v>
      </c>
      <c r="H56" s="532" t="s">
        <v>1668</v>
      </c>
      <c r="I56" s="142" t="s">
        <v>418</v>
      </c>
      <c r="J56" s="738"/>
      <c r="K56" s="738"/>
      <c r="L56" s="738"/>
      <c r="M56" s="738"/>
      <c r="N56" s="738"/>
      <c r="O56" s="738"/>
      <c r="P56" s="310"/>
    </row>
    <row r="57" spans="1:16" ht="15">
      <c r="A57" s="517">
        <v>0</v>
      </c>
      <c r="B57" s="517">
        <v>0</v>
      </c>
      <c r="C57" s="517">
        <v>0</v>
      </c>
      <c r="D57" s="517">
        <v>0</v>
      </c>
      <c r="E57" s="517">
        <v>0</v>
      </c>
      <c r="F57" s="517">
        <v>0</v>
      </c>
      <c r="G57" s="517">
        <v>0</v>
      </c>
      <c r="H57" s="517">
        <v>0</v>
      </c>
      <c r="I57" s="517">
        <v>0</v>
      </c>
      <c r="J57" s="738"/>
      <c r="K57" s="738"/>
      <c r="L57" s="738"/>
      <c r="M57" s="738"/>
      <c r="N57" s="738"/>
      <c r="O57" s="738"/>
      <c r="P57" s="544" t="s">
        <v>6584</v>
      </c>
    </row>
    <row r="58" spans="1:16" ht="15">
      <c r="A58" s="517">
        <v>0</v>
      </c>
      <c r="B58" s="517">
        <v>0</v>
      </c>
      <c r="C58" s="517">
        <v>0</v>
      </c>
      <c r="D58" s="517">
        <v>0</v>
      </c>
      <c r="E58" s="517">
        <v>0</v>
      </c>
      <c r="F58" s="517">
        <v>0</v>
      </c>
      <c r="G58" s="517">
        <v>0</v>
      </c>
      <c r="H58" s="517">
        <v>0</v>
      </c>
      <c r="I58" s="517">
        <v>0</v>
      </c>
      <c r="J58" s="738"/>
      <c r="K58" s="738"/>
      <c r="L58" s="738"/>
      <c r="M58" s="738"/>
      <c r="N58" s="738"/>
      <c r="O58" s="738"/>
      <c r="P58" s="544" t="s">
        <v>6585</v>
      </c>
    </row>
    <row r="59" spans="1:16" ht="15">
      <c r="A59" s="517">
        <v>0</v>
      </c>
      <c r="B59" s="517">
        <v>0</v>
      </c>
      <c r="C59" s="517">
        <v>0</v>
      </c>
      <c r="D59" s="517">
        <v>0</v>
      </c>
      <c r="E59" s="517">
        <v>0</v>
      </c>
      <c r="F59" s="517">
        <v>0</v>
      </c>
      <c r="G59" s="517">
        <v>0</v>
      </c>
      <c r="H59" s="517">
        <v>0</v>
      </c>
      <c r="I59" s="517">
        <v>0</v>
      </c>
      <c r="J59" s="738"/>
      <c r="K59" s="738"/>
      <c r="L59" s="738"/>
      <c r="M59" s="738"/>
      <c r="N59" s="738"/>
      <c r="O59" s="738"/>
      <c r="P59" s="544" t="s">
        <v>6586</v>
      </c>
    </row>
    <row r="60" spans="1:16" ht="30">
      <c r="A60" s="517">
        <v>0</v>
      </c>
      <c r="B60" s="517">
        <v>0</v>
      </c>
      <c r="C60" s="517">
        <v>0</v>
      </c>
      <c r="D60" s="517">
        <v>0</v>
      </c>
      <c r="E60" s="517">
        <v>0</v>
      </c>
      <c r="F60" s="517">
        <v>0</v>
      </c>
      <c r="G60" s="517">
        <v>0</v>
      </c>
      <c r="H60" s="517">
        <v>0</v>
      </c>
      <c r="I60" s="517">
        <v>0</v>
      </c>
      <c r="J60" s="738"/>
      <c r="K60" s="738"/>
      <c r="L60" s="738"/>
      <c r="M60" s="738"/>
      <c r="N60" s="738"/>
      <c r="O60" s="738"/>
      <c r="P60" s="544" t="s">
        <v>6587</v>
      </c>
    </row>
    <row r="61" spans="1:16" ht="30">
      <c r="A61" s="517">
        <v>0</v>
      </c>
      <c r="B61" s="517">
        <v>0</v>
      </c>
      <c r="C61" s="517">
        <v>0</v>
      </c>
      <c r="D61" s="517">
        <v>0</v>
      </c>
      <c r="E61" s="517">
        <v>0</v>
      </c>
      <c r="F61" s="517">
        <v>0</v>
      </c>
      <c r="G61" s="517">
        <v>0</v>
      </c>
      <c r="H61" s="517">
        <v>0</v>
      </c>
      <c r="I61" s="517">
        <v>0</v>
      </c>
      <c r="J61" s="738"/>
      <c r="K61" s="738"/>
      <c r="L61" s="738"/>
      <c r="M61" s="738"/>
      <c r="N61" s="738"/>
      <c r="O61" s="738"/>
      <c r="P61" s="544" t="s">
        <v>6588</v>
      </c>
    </row>
    <row r="62" spans="1:16" ht="30">
      <c r="A62" s="517">
        <v>0</v>
      </c>
      <c r="B62" s="517">
        <v>0</v>
      </c>
      <c r="C62" s="517">
        <v>0</v>
      </c>
      <c r="D62" s="517">
        <v>0</v>
      </c>
      <c r="E62" s="517">
        <v>0</v>
      </c>
      <c r="F62" s="517">
        <v>0</v>
      </c>
      <c r="G62" s="517">
        <v>0</v>
      </c>
      <c r="H62" s="517">
        <v>0</v>
      </c>
      <c r="I62" s="517">
        <v>0</v>
      </c>
      <c r="J62" s="738"/>
      <c r="K62" s="738"/>
      <c r="L62" s="738"/>
      <c r="M62" s="738"/>
      <c r="N62" s="738"/>
      <c r="O62" s="738"/>
      <c r="P62" s="544" t="s">
        <v>6589</v>
      </c>
    </row>
    <row r="63" spans="1:16" ht="15">
      <c r="A63" s="512">
        <v>4</v>
      </c>
      <c r="B63" s="512">
        <v>4</v>
      </c>
      <c r="C63" s="512">
        <v>2</v>
      </c>
      <c r="D63" s="517">
        <v>0</v>
      </c>
      <c r="E63" s="517">
        <v>0</v>
      </c>
      <c r="F63" s="517">
        <v>0</v>
      </c>
      <c r="G63" s="517">
        <v>0</v>
      </c>
      <c r="H63" s="517">
        <v>0</v>
      </c>
      <c r="I63" s="544">
        <v>0</v>
      </c>
      <c r="J63" s="738"/>
      <c r="K63" s="738"/>
      <c r="L63" s="738"/>
      <c r="M63" s="738"/>
      <c r="N63" s="738"/>
      <c r="O63" s="738"/>
      <c r="P63" s="544" t="s">
        <v>2748</v>
      </c>
    </row>
    <row r="64" spans="1:16" ht="15">
      <c r="A64" s="738"/>
      <c r="B64" s="738"/>
      <c r="C64" s="738"/>
      <c r="D64" s="738"/>
      <c r="E64" s="738"/>
      <c r="F64" s="738"/>
      <c r="G64" s="738"/>
      <c r="H64" s="738"/>
      <c r="I64" s="738"/>
      <c r="J64" s="738"/>
      <c r="K64" s="738"/>
      <c r="L64" s="738"/>
      <c r="M64" s="738"/>
      <c r="N64" s="738"/>
      <c r="O64" s="738"/>
      <c r="P64" s="738"/>
    </row>
    <row r="65" spans="1:16" ht="22.5">
      <c r="A65" s="718" t="s">
        <v>268</v>
      </c>
      <c r="B65" s="718"/>
      <c r="C65" s="718"/>
      <c r="D65" s="718"/>
      <c r="E65" s="718"/>
      <c r="F65" s="718"/>
      <c r="G65" s="718"/>
      <c r="H65" s="718"/>
      <c r="I65" s="718"/>
      <c r="J65" s="718"/>
      <c r="K65" s="718"/>
      <c r="L65" s="718"/>
      <c r="M65" s="718"/>
      <c r="N65" s="718"/>
      <c r="O65" s="718"/>
      <c r="P65" s="718"/>
    </row>
    <row r="66" spans="1:16" ht="20.25">
      <c r="A66" s="725" t="s">
        <v>6280</v>
      </c>
      <c r="B66" s="725"/>
      <c r="C66" s="725"/>
      <c r="D66" s="725"/>
      <c r="E66" s="725"/>
      <c r="F66" s="725"/>
      <c r="G66" s="725"/>
      <c r="H66" s="725"/>
      <c r="I66" s="725"/>
      <c r="J66" s="725"/>
      <c r="K66" s="725"/>
      <c r="L66" s="725"/>
      <c r="M66" s="548"/>
      <c r="N66" s="548"/>
      <c r="O66" s="15"/>
      <c r="P66" s="15"/>
    </row>
    <row r="67" spans="1:16" ht="114">
      <c r="A67" s="18" t="s">
        <v>0</v>
      </c>
      <c r="B67" s="18" t="s">
        <v>2582</v>
      </c>
      <c r="C67" s="18" t="s">
        <v>6590</v>
      </c>
      <c r="D67" s="18" t="s">
        <v>1648</v>
      </c>
      <c r="E67" s="18" t="s">
        <v>6277</v>
      </c>
      <c r="F67" s="18" t="s">
        <v>1619</v>
      </c>
      <c r="G67" s="19" t="s">
        <v>1649</v>
      </c>
      <c r="H67" s="18" t="s">
        <v>6281</v>
      </c>
      <c r="I67" s="18" t="s">
        <v>1620</v>
      </c>
      <c r="J67" s="19" t="s">
        <v>1650</v>
      </c>
      <c r="K67" s="20" t="s">
        <v>1651</v>
      </c>
      <c r="L67" s="20" t="s">
        <v>1622</v>
      </c>
      <c r="M67" s="15"/>
      <c r="N67" s="15"/>
      <c r="O67" s="15"/>
      <c r="P67" s="15"/>
    </row>
    <row r="68" spans="1:16">
      <c r="A68" s="530">
        <v>1</v>
      </c>
      <c r="B68" s="530">
        <v>2</v>
      </c>
      <c r="C68" s="530">
        <v>3</v>
      </c>
      <c r="D68" s="530">
        <v>4</v>
      </c>
      <c r="E68" s="530">
        <v>5</v>
      </c>
      <c r="F68" s="530">
        <v>6</v>
      </c>
      <c r="G68" s="530">
        <v>7</v>
      </c>
      <c r="H68" s="530">
        <v>8</v>
      </c>
      <c r="I68" s="19">
        <v>9</v>
      </c>
      <c r="J68" s="530">
        <v>10</v>
      </c>
      <c r="K68" s="530">
        <v>11</v>
      </c>
      <c r="L68" s="530">
        <v>12</v>
      </c>
      <c r="M68" s="15"/>
      <c r="N68" s="15"/>
      <c r="O68" s="15"/>
      <c r="P68" s="15"/>
    </row>
    <row r="69" spans="1:16" ht="30">
      <c r="A69" s="513">
        <v>1</v>
      </c>
      <c r="B69" s="696" t="s">
        <v>2894</v>
      </c>
      <c r="C69" s="696" t="s">
        <v>205</v>
      </c>
      <c r="D69" s="696" t="s">
        <v>6291</v>
      </c>
      <c r="E69" s="513">
        <v>200</v>
      </c>
      <c r="F69" s="518" t="s">
        <v>454</v>
      </c>
      <c r="G69" s="513">
        <v>1996</v>
      </c>
      <c r="H69" s="733">
        <v>4.8</v>
      </c>
      <c r="I69" s="694" t="s">
        <v>6292</v>
      </c>
      <c r="J69" s="513" t="s">
        <v>87</v>
      </c>
      <c r="K69" s="513" t="s">
        <v>2068</v>
      </c>
      <c r="L69" s="513" t="s">
        <v>2068</v>
      </c>
      <c r="M69" s="15"/>
      <c r="N69" s="15"/>
      <c r="O69" s="15"/>
      <c r="P69" s="15"/>
    </row>
    <row r="70" spans="1:16" ht="30">
      <c r="A70" s="513">
        <v>2</v>
      </c>
      <c r="B70" s="696"/>
      <c r="C70" s="696"/>
      <c r="D70" s="696"/>
      <c r="E70" s="513">
        <v>636</v>
      </c>
      <c r="F70" s="518" t="s">
        <v>454</v>
      </c>
      <c r="G70" s="513">
        <v>1997</v>
      </c>
      <c r="H70" s="694"/>
      <c r="I70" s="694"/>
      <c r="J70" s="513" t="s">
        <v>87</v>
      </c>
      <c r="K70" s="513" t="s">
        <v>2068</v>
      </c>
      <c r="L70" s="513" t="s">
        <v>2068</v>
      </c>
      <c r="M70" s="15"/>
      <c r="N70" s="15"/>
      <c r="O70" s="15"/>
      <c r="P70" s="15"/>
    </row>
    <row r="71" spans="1:16" ht="30">
      <c r="A71" s="513">
        <v>3</v>
      </c>
      <c r="B71" s="696"/>
      <c r="C71" s="696"/>
      <c r="D71" s="511" t="s">
        <v>6293</v>
      </c>
      <c r="E71" s="513">
        <v>143.12</v>
      </c>
      <c r="F71" s="518" t="s">
        <v>454</v>
      </c>
      <c r="G71" s="513">
        <v>1976</v>
      </c>
      <c r="H71" s="545">
        <v>0.8</v>
      </c>
      <c r="I71" s="513" t="s">
        <v>6294</v>
      </c>
      <c r="J71" s="513" t="s">
        <v>87</v>
      </c>
      <c r="K71" s="513" t="s">
        <v>2068</v>
      </c>
      <c r="L71" s="513" t="s">
        <v>2068</v>
      </c>
      <c r="M71" s="15"/>
      <c r="N71" s="15"/>
      <c r="O71" s="15"/>
      <c r="P71" s="15"/>
    </row>
    <row r="72" spans="1:16" ht="45">
      <c r="A72" s="513">
        <v>4</v>
      </c>
      <c r="B72" s="696"/>
      <c r="C72" s="696"/>
      <c r="D72" s="511" t="s">
        <v>6295</v>
      </c>
      <c r="E72" s="513">
        <v>408.8</v>
      </c>
      <c r="F72" s="518" t="s">
        <v>454</v>
      </c>
      <c r="G72" s="513">
        <v>1991</v>
      </c>
      <c r="H72" s="545">
        <v>4.0179999999999998</v>
      </c>
      <c r="I72" s="513" t="s">
        <v>6296</v>
      </c>
      <c r="J72" s="513" t="s">
        <v>87</v>
      </c>
      <c r="K72" s="513" t="s">
        <v>2068</v>
      </c>
      <c r="L72" s="513" t="s">
        <v>2068</v>
      </c>
      <c r="M72" s="15"/>
      <c r="N72" s="15"/>
      <c r="O72" s="15"/>
      <c r="P72" s="15"/>
    </row>
    <row r="73" spans="1:16" ht="30">
      <c r="A73" s="513">
        <v>5</v>
      </c>
      <c r="B73" s="696"/>
      <c r="C73" s="696"/>
      <c r="D73" s="696" t="s">
        <v>6297</v>
      </c>
      <c r="E73" s="513">
        <v>23.21</v>
      </c>
      <c r="F73" s="518" t="s">
        <v>454</v>
      </c>
      <c r="G73" s="513">
        <v>1976</v>
      </c>
      <c r="H73" s="545">
        <v>0.33019999999999999</v>
      </c>
      <c r="I73" s="694" t="s">
        <v>6298</v>
      </c>
      <c r="J73" s="513" t="s">
        <v>87</v>
      </c>
      <c r="K73" s="513" t="s">
        <v>2068</v>
      </c>
      <c r="L73" s="513" t="s">
        <v>2068</v>
      </c>
      <c r="M73" s="15"/>
      <c r="N73" s="15"/>
      <c r="O73" s="15"/>
      <c r="P73" s="15"/>
    </row>
    <row r="74" spans="1:16" ht="30">
      <c r="A74" s="513">
        <v>6</v>
      </c>
      <c r="B74" s="696"/>
      <c r="C74" s="696"/>
      <c r="D74" s="696"/>
      <c r="E74" s="513">
        <v>37.520000000000003</v>
      </c>
      <c r="F74" s="518" t="s">
        <v>454</v>
      </c>
      <c r="G74" s="513">
        <v>1976</v>
      </c>
      <c r="H74" s="545">
        <v>3.2</v>
      </c>
      <c r="I74" s="694"/>
      <c r="J74" s="513" t="s">
        <v>87</v>
      </c>
      <c r="K74" s="513" t="s">
        <v>2068</v>
      </c>
      <c r="L74" s="513" t="s">
        <v>2068</v>
      </c>
      <c r="M74" s="15"/>
      <c r="N74" s="15"/>
      <c r="O74" s="15"/>
      <c r="P74" s="15"/>
    </row>
    <row r="75" spans="1:16" ht="30">
      <c r="A75" s="513">
        <v>7</v>
      </c>
      <c r="B75" s="696"/>
      <c r="C75" s="696"/>
      <c r="D75" s="696"/>
      <c r="E75" s="513">
        <v>44.48</v>
      </c>
      <c r="F75" s="518" t="s">
        <v>454</v>
      </c>
      <c r="G75" s="513">
        <v>1987</v>
      </c>
      <c r="H75" s="545">
        <v>6.6451000000000002</v>
      </c>
      <c r="I75" s="694"/>
      <c r="J75" s="513" t="s">
        <v>87</v>
      </c>
      <c r="K75" s="513" t="s">
        <v>2068</v>
      </c>
      <c r="L75" s="513" t="s">
        <v>2068</v>
      </c>
      <c r="M75" s="15"/>
      <c r="N75" s="15"/>
      <c r="O75" s="15"/>
      <c r="P75" s="15"/>
    </row>
    <row r="76" spans="1:16" ht="30">
      <c r="A76" s="513">
        <v>8</v>
      </c>
      <c r="B76" s="696"/>
      <c r="C76" s="696"/>
      <c r="D76" s="511" t="s">
        <v>6299</v>
      </c>
      <c r="E76" s="513">
        <v>74.34</v>
      </c>
      <c r="F76" s="518" t="s">
        <v>454</v>
      </c>
      <c r="G76" s="513">
        <v>1976</v>
      </c>
      <c r="H76" s="545">
        <v>1.5</v>
      </c>
      <c r="I76" s="513" t="s">
        <v>6300</v>
      </c>
      <c r="J76" s="513" t="s">
        <v>87</v>
      </c>
      <c r="K76" s="513" t="s">
        <v>2068</v>
      </c>
      <c r="L76" s="513" t="s">
        <v>2068</v>
      </c>
      <c r="M76" s="15"/>
      <c r="N76" s="15"/>
      <c r="O76" s="15"/>
      <c r="P76" s="15"/>
    </row>
    <row r="77" spans="1:16" ht="30">
      <c r="A77" s="513">
        <v>9</v>
      </c>
      <c r="B77" s="696"/>
      <c r="C77" s="696"/>
      <c r="D77" s="511" t="s">
        <v>6301</v>
      </c>
      <c r="E77" s="513">
        <v>37.119999999999997</v>
      </c>
      <c r="F77" s="518" t="s">
        <v>454</v>
      </c>
      <c r="G77" s="513">
        <v>1976</v>
      </c>
      <c r="H77" s="545">
        <v>0.9</v>
      </c>
      <c r="I77" s="513" t="s">
        <v>6300</v>
      </c>
      <c r="J77" s="513" t="s">
        <v>87</v>
      </c>
      <c r="K77" s="513" t="s">
        <v>2068</v>
      </c>
      <c r="L77" s="513" t="s">
        <v>2068</v>
      </c>
      <c r="M77" s="15"/>
      <c r="N77" s="15"/>
      <c r="O77" s="15"/>
      <c r="P77" s="15"/>
    </row>
    <row r="78" spans="1:16" ht="30">
      <c r="A78" s="513">
        <v>10</v>
      </c>
      <c r="B78" s="696"/>
      <c r="C78" s="696"/>
      <c r="D78" s="511" t="s">
        <v>6302</v>
      </c>
      <c r="E78" s="513">
        <v>24.24</v>
      </c>
      <c r="F78" s="518" t="s">
        <v>454</v>
      </c>
      <c r="G78" s="513">
        <v>1976</v>
      </c>
      <c r="H78" s="545">
        <v>7.0000000000000007E-2</v>
      </c>
      <c r="I78" s="513" t="s">
        <v>6300</v>
      </c>
      <c r="J78" s="513" t="s">
        <v>87</v>
      </c>
      <c r="K78" s="513" t="s">
        <v>2068</v>
      </c>
      <c r="L78" s="513" t="s">
        <v>2068</v>
      </c>
      <c r="M78" s="15"/>
      <c r="N78" s="15"/>
      <c r="O78" s="15"/>
      <c r="P78" s="15"/>
    </row>
    <row r="79" spans="1:16" ht="30">
      <c r="A79" s="513">
        <v>11</v>
      </c>
      <c r="B79" s="696"/>
      <c r="C79" s="696"/>
      <c r="D79" s="511" t="s">
        <v>6303</v>
      </c>
      <c r="E79" s="513">
        <v>99.25</v>
      </c>
      <c r="F79" s="518" t="s">
        <v>454</v>
      </c>
      <c r="G79" s="513" t="s">
        <v>6304</v>
      </c>
      <c r="H79" s="545">
        <v>1.35</v>
      </c>
      <c r="I79" s="513" t="s">
        <v>6305</v>
      </c>
      <c r="J79" s="513" t="s">
        <v>87</v>
      </c>
      <c r="K79" s="513" t="s">
        <v>2068</v>
      </c>
      <c r="L79" s="513" t="s">
        <v>2068</v>
      </c>
      <c r="M79" s="15"/>
      <c r="N79" s="15"/>
      <c r="O79" s="15"/>
      <c r="P79" s="15"/>
    </row>
    <row r="80" spans="1:16" ht="30">
      <c r="A80" s="513">
        <v>12</v>
      </c>
      <c r="B80" s="696"/>
      <c r="C80" s="696"/>
      <c r="D80" s="511" t="s">
        <v>6306</v>
      </c>
      <c r="E80" s="513">
        <v>74.36</v>
      </c>
      <c r="F80" s="518" t="s">
        <v>454</v>
      </c>
      <c r="G80" s="513" t="s">
        <v>6307</v>
      </c>
      <c r="H80" s="545">
        <v>5.5</v>
      </c>
      <c r="I80" s="513" t="s">
        <v>6305</v>
      </c>
      <c r="J80" s="513" t="s">
        <v>87</v>
      </c>
      <c r="K80" s="513" t="s">
        <v>2068</v>
      </c>
      <c r="L80" s="513" t="s">
        <v>2068</v>
      </c>
      <c r="M80" s="15"/>
      <c r="N80" s="15"/>
      <c r="O80" s="15"/>
      <c r="P80" s="15"/>
    </row>
    <row r="81" spans="1:16" ht="30">
      <c r="A81" s="513">
        <v>13</v>
      </c>
      <c r="B81" s="696"/>
      <c r="C81" s="696"/>
      <c r="D81" s="511" t="s">
        <v>6308</v>
      </c>
      <c r="E81" s="241">
        <v>46.46</v>
      </c>
      <c r="F81" s="518" t="s">
        <v>454</v>
      </c>
      <c r="G81" s="241" t="s">
        <v>6309</v>
      </c>
      <c r="H81" s="545">
        <v>0.7</v>
      </c>
      <c r="I81" s="513" t="s">
        <v>6310</v>
      </c>
      <c r="J81" s="513" t="s">
        <v>87</v>
      </c>
      <c r="K81" s="513" t="s">
        <v>2068</v>
      </c>
      <c r="L81" s="513" t="s">
        <v>2068</v>
      </c>
      <c r="M81" s="15"/>
      <c r="N81" s="15"/>
      <c r="O81" s="15"/>
      <c r="P81" s="15"/>
    </row>
    <row r="82" spans="1:16" ht="30">
      <c r="A82" s="513">
        <v>14</v>
      </c>
      <c r="B82" s="696"/>
      <c r="C82" s="696"/>
      <c r="D82" s="511" t="s">
        <v>6311</v>
      </c>
      <c r="E82" s="241">
        <v>24.91</v>
      </c>
      <c r="F82" s="518" t="s">
        <v>454</v>
      </c>
      <c r="G82" s="241">
        <v>1976</v>
      </c>
      <c r="H82" s="545">
        <v>0.08</v>
      </c>
      <c r="I82" s="513" t="s">
        <v>6312</v>
      </c>
      <c r="J82" s="513" t="s">
        <v>87</v>
      </c>
      <c r="K82" s="513" t="s">
        <v>2068</v>
      </c>
      <c r="L82" s="513" t="s">
        <v>2068</v>
      </c>
      <c r="M82" s="15"/>
      <c r="N82" s="15"/>
      <c r="O82" s="15"/>
      <c r="P82" s="15"/>
    </row>
    <row r="83" spans="1:16" ht="15">
      <c r="A83" s="513">
        <v>15</v>
      </c>
      <c r="B83" s="696"/>
      <c r="C83" s="696"/>
      <c r="D83" s="553" t="s">
        <v>6313</v>
      </c>
      <c r="E83" s="513">
        <v>1010</v>
      </c>
      <c r="F83" s="518" t="s">
        <v>454</v>
      </c>
      <c r="G83" s="694">
        <v>2002</v>
      </c>
      <c r="H83" s="545">
        <v>4.3499999999999996</v>
      </c>
      <c r="I83" s="694" t="s">
        <v>6314</v>
      </c>
      <c r="J83" s="513" t="s">
        <v>87</v>
      </c>
      <c r="K83" s="513" t="s">
        <v>2068</v>
      </c>
      <c r="L83" s="694">
        <v>1</v>
      </c>
      <c r="M83" s="15"/>
      <c r="N83" s="15"/>
      <c r="O83" s="15"/>
      <c r="P83" s="15"/>
    </row>
    <row r="84" spans="1:16" ht="15">
      <c r="A84" s="513">
        <v>16</v>
      </c>
      <c r="B84" s="696"/>
      <c r="C84" s="696"/>
      <c r="D84" s="696"/>
      <c r="E84" s="513">
        <v>946.08</v>
      </c>
      <c r="F84" s="518" t="s">
        <v>454</v>
      </c>
      <c r="G84" s="694"/>
      <c r="H84" s="172">
        <v>2.08</v>
      </c>
      <c r="I84" s="694"/>
      <c r="J84" s="513" t="s">
        <v>87</v>
      </c>
      <c r="K84" s="513" t="s">
        <v>2068</v>
      </c>
      <c r="L84" s="694"/>
      <c r="M84" s="15"/>
      <c r="N84" s="15"/>
      <c r="O84" s="15"/>
      <c r="P84" s="15"/>
    </row>
    <row r="85" spans="1:16" ht="15">
      <c r="A85" s="513">
        <v>17</v>
      </c>
      <c r="B85" s="696"/>
      <c r="C85" s="696"/>
      <c r="D85" s="696"/>
      <c r="E85" s="513">
        <v>376.08</v>
      </c>
      <c r="F85" s="518" t="s">
        <v>454</v>
      </c>
      <c r="G85" s="694"/>
      <c r="H85" s="172">
        <v>0.83</v>
      </c>
      <c r="I85" s="694"/>
      <c r="J85" s="513" t="s">
        <v>87</v>
      </c>
      <c r="K85" s="513" t="s">
        <v>2068</v>
      </c>
      <c r="L85" s="694"/>
      <c r="M85" s="15"/>
      <c r="N85" s="15"/>
      <c r="O85" s="15"/>
      <c r="P85" s="15"/>
    </row>
    <row r="86" spans="1:16" ht="30">
      <c r="A86" s="513">
        <v>18</v>
      </c>
      <c r="B86" s="696"/>
      <c r="C86" s="511" t="s">
        <v>212</v>
      </c>
      <c r="D86" s="511" t="s">
        <v>1962</v>
      </c>
      <c r="E86" s="513" t="s">
        <v>1962</v>
      </c>
      <c r="F86" s="513" t="s">
        <v>1962</v>
      </c>
      <c r="G86" s="513" t="s">
        <v>1962</v>
      </c>
      <c r="H86" s="513" t="s">
        <v>1962</v>
      </c>
      <c r="I86" s="513" t="s">
        <v>1962</v>
      </c>
      <c r="J86" s="513" t="s">
        <v>1962</v>
      </c>
      <c r="K86" s="513" t="s">
        <v>1962</v>
      </c>
      <c r="L86" s="513"/>
      <c r="M86" s="15"/>
      <c r="N86" s="15"/>
      <c r="O86" s="15"/>
      <c r="P86" s="15"/>
    </row>
    <row r="87" spans="1:16" ht="45">
      <c r="A87" s="513">
        <v>19</v>
      </c>
      <c r="B87" s="696"/>
      <c r="C87" s="696" t="s">
        <v>6315</v>
      </c>
      <c r="D87" s="511" t="s">
        <v>242</v>
      </c>
      <c r="E87" s="513" t="s">
        <v>6583</v>
      </c>
      <c r="F87" s="513" t="s">
        <v>6316</v>
      </c>
      <c r="G87" s="694" t="s">
        <v>17</v>
      </c>
      <c r="H87" s="513">
        <v>1.54</v>
      </c>
      <c r="I87" s="694" t="s">
        <v>17</v>
      </c>
      <c r="J87" s="694" t="s">
        <v>17</v>
      </c>
      <c r="K87" s="513">
        <v>1</v>
      </c>
      <c r="L87" s="694" t="s">
        <v>17</v>
      </c>
      <c r="M87" s="15"/>
      <c r="N87" s="15"/>
      <c r="O87" s="15"/>
      <c r="P87" s="15"/>
    </row>
    <row r="88" spans="1:16" ht="15">
      <c r="A88" s="513">
        <v>20</v>
      </c>
      <c r="B88" s="696"/>
      <c r="C88" s="696"/>
      <c r="D88" s="511" t="s">
        <v>243</v>
      </c>
      <c r="E88" s="513" t="s">
        <v>6317</v>
      </c>
      <c r="F88" s="513" t="s">
        <v>6318</v>
      </c>
      <c r="G88" s="694"/>
      <c r="H88" s="513">
        <v>0.27</v>
      </c>
      <c r="I88" s="694"/>
      <c r="J88" s="694"/>
      <c r="K88" s="513">
        <v>2</v>
      </c>
      <c r="L88" s="694"/>
      <c r="M88" s="15"/>
      <c r="N88" s="15"/>
      <c r="O88" s="15"/>
      <c r="P88" s="15"/>
    </row>
    <row r="89" spans="1:16" ht="60">
      <c r="A89" s="513">
        <v>21</v>
      </c>
      <c r="B89" s="696"/>
      <c r="C89" s="696"/>
      <c r="D89" s="511" t="s">
        <v>244</v>
      </c>
      <c r="E89" s="513" t="s">
        <v>302</v>
      </c>
      <c r="F89" s="513" t="s">
        <v>6582</v>
      </c>
      <c r="G89" s="694"/>
      <c r="H89" s="513">
        <v>1.07</v>
      </c>
      <c r="I89" s="694"/>
      <c r="J89" s="694"/>
      <c r="K89" s="513">
        <v>3</v>
      </c>
      <c r="L89" s="694"/>
      <c r="M89" s="15"/>
      <c r="N89" s="15"/>
      <c r="O89" s="15"/>
      <c r="P89" s="15"/>
    </row>
    <row r="90" spans="1:16" ht="15">
      <c r="A90" s="513">
        <v>22</v>
      </c>
      <c r="B90" s="696"/>
      <c r="C90" s="696" t="s">
        <v>189</v>
      </c>
      <c r="D90" s="511" t="s">
        <v>246</v>
      </c>
      <c r="E90" s="513">
        <v>5834</v>
      </c>
      <c r="F90" s="513" t="s">
        <v>17</v>
      </c>
      <c r="G90" s="513" t="s">
        <v>247</v>
      </c>
      <c r="H90" s="513">
        <v>3.27</v>
      </c>
      <c r="I90" s="513" t="s">
        <v>193</v>
      </c>
      <c r="J90" s="513" t="s">
        <v>193</v>
      </c>
      <c r="K90" s="513">
        <v>4</v>
      </c>
      <c r="L90" s="513" t="s">
        <v>193</v>
      </c>
      <c r="M90" s="15"/>
      <c r="N90" s="15"/>
      <c r="O90" s="15"/>
      <c r="P90" s="15"/>
    </row>
    <row r="91" spans="1:16" ht="15">
      <c r="A91" s="513">
        <v>23</v>
      </c>
      <c r="B91" s="696"/>
      <c r="C91" s="696"/>
      <c r="D91" s="511" t="s">
        <v>248</v>
      </c>
      <c r="E91" s="513">
        <v>5865</v>
      </c>
      <c r="F91" s="513" t="s">
        <v>249</v>
      </c>
      <c r="G91" s="513" t="s">
        <v>17</v>
      </c>
      <c r="H91" s="513">
        <v>2.02</v>
      </c>
      <c r="I91" s="513" t="s">
        <v>193</v>
      </c>
      <c r="J91" s="513" t="s">
        <v>193</v>
      </c>
      <c r="K91" s="513">
        <v>5</v>
      </c>
      <c r="L91" s="513" t="s">
        <v>193</v>
      </c>
      <c r="M91" s="15"/>
      <c r="N91" s="15"/>
      <c r="O91" s="15"/>
      <c r="P91" s="15"/>
    </row>
    <row r="92" spans="1:16" ht="30">
      <c r="A92" s="513">
        <v>24</v>
      </c>
      <c r="B92" s="696"/>
      <c r="C92" s="696"/>
      <c r="D92" s="511" t="s">
        <v>250</v>
      </c>
      <c r="E92" s="513">
        <v>730</v>
      </c>
      <c r="F92" s="513" t="s">
        <v>17</v>
      </c>
      <c r="G92" s="513" t="s">
        <v>6319</v>
      </c>
      <c r="H92" s="513">
        <v>0.09</v>
      </c>
      <c r="I92" s="513" t="s">
        <v>193</v>
      </c>
      <c r="J92" s="513" t="s">
        <v>193</v>
      </c>
      <c r="K92" s="513">
        <v>6</v>
      </c>
      <c r="L92" s="513" t="s">
        <v>193</v>
      </c>
      <c r="M92" s="15"/>
      <c r="N92" s="15"/>
      <c r="O92" s="15"/>
      <c r="P92" s="15"/>
    </row>
    <row r="93" spans="1:16" ht="60">
      <c r="A93" s="513">
        <v>25</v>
      </c>
      <c r="B93" s="696"/>
      <c r="C93" s="696" t="s">
        <v>252</v>
      </c>
      <c r="D93" s="511" t="s">
        <v>253</v>
      </c>
      <c r="E93" s="513">
        <v>13601.0051</v>
      </c>
      <c r="F93" s="513" t="s">
        <v>17</v>
      </c>
      <c r="G93" s="542">
        <v>28615</v>
      </c>
      <c r="H93" s="513">
        <v>3.2207999999999998E-4</v>
      </c>
      <c r="I93" s="513" t="s">
        <v>17</v>
      </c>
      <c r="J93" s="513" t="s">
        <v>17</v>
      </c>
      <c r="K93" s="513">
        <v>7</v>
      </c>
      <c r="L93" s="513" t="s">
        <v>17</v>
      </c>
      <c r="M93" s="15"/>
      <c r="N93" s="15"/>
      <c r="O93" s="15"/>
      <c r="P93" s="15"/>
    </row>
    <row r="94" spans="1:16" ht="90">
      <c r="A94" s="513">
        <v>26</v>
      </c>
      <c r="B94" s="696"/>
      <c r="C94" s="696"/>
      <c r="D94" s="511" t="s">
        <v>6320</v>
      </c>
      <c r="E94" s="513">
        <v>76.180000000000007</v>
      </c>
      <c r="F94" s="513">
        <v>1995</v>
      </c>
      <c r="G94" s="513">
        <v>1995</v>
      </c>
      <c r="H94" s="513" t="s">
        <v>17</v>
      </c>
      <c r="I94" s="513" t="s">
        <v>17</v>
      </c>
      <c r="J94" s="513" t="s">
        <v>17</v>
      </c>
      <c r="K94" s="513" t="s">
        <v>17</v>
      </c>
      <c r="L94" s="513" t="s">
        <v>17</v>
      </c>
      <c r="M94" s="525" t="s">
        <v>6329</v>
      </c>
      <c r="N94" s="15"/>
      <c r="O94" s="15"/>
      <c r="P94" s="15"/>
    </row>
    <row r="95" spans="1:16" ht="180" customHeight="1">
      <c r="A95" s="513">
        <v>27</v>
      </c>
      <c r="B95" s="696"/>
      <c r="C95" s="696"/>
      <c r="D95" s="511" t="s">
        <v>6321</v>
      </c>
      <c r="E95" s="513">
        <v>59.18</v>
      </c>
      <c r="F95" s="513">
        <v>1995</v>
      </c>
      <c r="G95" s="513">
        <v>1995</v>
      </c>
      <c r="H95" s="513" t="s">
        <v>17</v>
      </c>
      <c r="I95" s="513" t="s">
        <v>17</v>
      </c>
      <c r="J95" s="513" t="s">
        <v>17</v>
      </c>
      <c r="K95" s="513" t="s">
        <v>17</v>
      </c>
      <c r="L95" s="513" t="s">
        <v>17</v>
      </c>
      <c r="M95" s="525" t="s">
        <v>6330</v>
      </c>
      <c r="N95" s="15"/>
      <c r="O95" s="15"/>
      <c r="P95" s="15"/>
    </row>
    <row r="96" spans="1:16" ht="180" customHeight="1">
      <c r="A96" s="513">
        <v>28</v>
      </c>
      <c r="B96" s="696"/>
      <c r="C96" s="696"/>
      <c r="D96" s="511" t="s">
        <v>6322</v>
      </c>
      <c r="E96" s="513">
        <v>59.18</v>
      </c>
      <c r="F96" s="513">
        <v>1995</v>
      </c>
      <c r="G96" s="513">
        <v>1995</v>
      </c>
      <c r="H96" s="513" t="s">
        <v>17</v>
      </c>
      <c r="I96" s="513" t="s">
        <v>17</v>
      </c>
      <c r="J96" s="513" t="s">
        <v>17</v>
      </c>
      <c r="K96" s="513" t="s">
        <v>17</v>
      </c>
      <c r="L96" s="513" t="s">
        <v>17</v>
      </c>
      <c r="M96" s="525" t="s">
        <v>6330</v>
      </c>
      <c r="N96" s="15"/>
      <c r="O96" s="15"/>
      <c r="P96" s="15"/>
    </row>
    <row r="97" spans="1:25" ht="180" customHeight="1">
      <c r="A97" s="513">
        <v>29</v>
      </c>
      <c r="B97" s="696"/>
      <c r="C97" s="696"/>
      <c r="D97" s="511" t="s">
        <v>6323</v>
      </c>
      <c r="E97" s="513">
        <v>59.18</v>
      </c>
      <c r="F97" s="513">
        <v>1995</v>
      </c>
      <c r="G97" s="513">
        <v>1995</v>
      </c>
      <c r="H97" s="513" t="s">
        <v>17</v>
      </c>
      <c r="I97" s="513" t="s">
        <v>17</v>
      </c>
      <c r="J97" s="513" t="s">
        <v>17</v>
      </c>
      <c r="K97" s="513" t="s">
        <v>17</v>
      </c>
      <c r="L97" s="513" t="s">
        <v>17</v>
      </c>
      <c r="M97" s="525" t="s">
        <v>6330</v>
      </c>
      <c r="N97" s="15"/>
      <c r="O97" s="15"/>
      <c r="P97" s="15"/>
    </row>
    <row r="98" spans="1:25" ht="180" customHeight="1">
      <c r="A98" s="513">
        <v>30</v>
      </c>
      <c r="B98" s="696"/>
      <c r="C98" s="696"/>
      <c r="D98" s="511" t="s">
        <v>6324</v>
      </c>
      <c r="E98" s="513">
        <v>59.18</v>
      </c>
      <c r="F98" s="513">
        <v>1995</v>
      </c>
      <c r="G98" s="513">
        <v>1995</v>
      </c>
      <c r="H98" s="513" t="s">
        <v>17</v>
      </c>
      <c r="I98" s="513" t="s">
        <v>17</v>
      </c>
      <c r="J98" s="513" t="s">
        <v>17</v>
      </c>
      <c r="K98" s="513" t="s">
        <v>17</v>
      </c>
      <c r="L98" s="513" t="s">
        <v>17</v>
      </c>
      <c r="M98" s="525" t="s">
        <v>6330</v>
      </c>
      <c r="N98" s="15"/>
      <c r="O98" s="15"/>
      <c r="P98" s="15"/>
    </row>
    <row r="99" spans="1:25" ht="180" customHeight="1">
      <c r="A99" s="513">
        <v>31</v>
      </c>
      <c r="B99" s="696"/>
      <c r="C99" s="696"/>
      <c r="D99" s="511" t="s">
        <v>6325</v>
      </c>
      <c r="E99" s="513">
        <v>25.12</v>
      </c>
      <c r="F99" s="513">
        <v>1995</v>
      </c>
      <c r="G99" s="513">
        <v>1995</v>
      </c>
      <c r="H99" s="513" t="s">
        <v>17</v>
      </c>
      <c r="I99" s="513" t="s">
        <v>17</v>
      </c>
      <c r="J99" s="513" t="s">
        <v>17</v>
      </c>
      <c r="K99" s="513" t="s">
        <v>17</v>
      </c>
      <c r="L99" s="513" t="s">
        <v>17</v>
      </c>
      <c r="M99" s="525" t="s">
        <v>6331</v>
      </c>
      <c r="N99" s="15"/>
      <c r="O99" s="15"/>
      <c r="P99" s="15"/>
    </row>
    <row r="100" spans="1:25" ht="45">
      <c r="A100" s="513">
        <v>32</v>
      </c>
      <c r="B100" s="696"/>
      <c r="C100" s="696" t="s">
        <v>197</v>
      </c>
      <c r="D100" s="208" t="s">
        <v>255</v>
      </c>
      <c r="E100" s="45">
        <v>14736</v>
      </c>
      <c r="F100" s="242" t="s">
        <v>6326</v>
      </c>
      <c r="G100" s="518" t="s">
        <v>35</v>
      </c>
      <c r="H100" s="45">
        <v>2.44</v>
      </c>
      <c r="I100" s="45" t="s">
        <v>82</v>
      </c>
      <c r="J100" s="45" t="s">
        <v>17</v>
      </c>
      <c r="K100" s="518">
        <v>9</v>
      </c>
      <c r="L100" s="518">
        <v>4</v>
      </c>
      <c r="M100" s="15"/>
      <c r="N100" s="15"/>
      <c r="O100" s="15"/>
      <c r="P100" s="15"/>
    </row>
    <row r="101" spans="1:25" ht="60">
      <c r="A101" s="513">
        <v>33</v>
      </c>
      <c r="B101" s="696"/>
      <c r="C101" s="696"/>
      <c r="D101" s="208" t="s">
        <v>256</v>
      </c>
      <c r="E101" s="45">
        <v>1482</v>
      </c>
      <c r="F101" s="243">
        <v>1992</v>
      </c>
      <c r="G101" s="518" t="s">
        <v>35</v>
      </c>
      <c r="H101" s="45">
        <v>0.49</v>
      </c>
      <c r="I101" s="45" t="s">
        <v>82</v>
      </c>
      <c r="J101" s="45" t="s">
        <v>17</v>
      </c>
      <c r="K101" s="518">
        <v>10</v>
      </c>
      <c r="L101" s="518" t="s">
        <v>35</v>
      </c>
      <c r="M101" s="15"/>
      <c r="N101" s="15"/>
      <c r="O101" s="15"/>
      <c r="P101" s="15"/>
    </row>
    <row r="102" spans="1:25" ht="30">
      <c r="A102" s="513">
        <v>34</v>
      </c>
      <c r="B102" s="696"/>
      <c r="C102" s="696"/>
      <c r="D102" s="208" t="s">
        <v>6327</v>
      </c>
      <c r="E102" s="45">
        <v>1030.03</v>
      </c>
      <c r="F102" s="242" t="s">
        <v>6328</v>
      </c>
      <c r="G102" s="518" t="s">
        <v>35</v>
      </c>
      <c r="H102" s="45">
        <v>0.65</v>
      </c>
      <c r="I102" s="45" t="s">
        <v>82</v>
      </c>
      <c r="J102" s="45" t="s">
        <v>17</v>
      </c>
      <c r="K102" s="518" t="s">
        <v>35</v>
      </c>
      <c r="L102" s="518" t="s">
        <v>35</v>
      </c>
      <c r="M102" s="15"/>
      <c r="N102" s="15"/>
      <c r="O102" s="15"/>
      <c r="P102" s="15"/>
    </row>
    <row r="103" spans="1:25">
      <c r="A103" s="693"/>
      <c r="B103" s="693"/>
      <c r="C103" s="693"/>
      <c r="D103" s="693"/>
      <c r="E103" s="693"/>
      <c r="F103" s="693"/>
      <c r="G103" s="693"/>
      <c r="H103" s="693"/>
      <c r="I103" s="693"/>
      <c r="J103" s="693"/>
      <c r="K103" s="693"/>
      <c r="L103" s="693"/>
      <c r="M103" s="15"/>
      <c r="N103" s="15"/>
      <c r="O103" s="15"/>
      <c r="P103" s="15"/>
    </row>
    <row r="104" spans="1:25" ht="57">
      <c r="A104" s="720" t="s">
        <v>1661</v>
      </c>
      <c r="B104" s="720"/>
      <c r="C104" s="720"/>
      <c r="D104" s="720"/>
      <c r="E104" s="720"/>
      <c r="F104" s="720"/>
      <c r="G104" s="720"/>
      <c r="H104" s="720"/>
      <c r="I104" s="720"/>
      <c r="J104" s="720"/>
      <c r="K104" s="720"/>
      <c r="L104" s="720"/>
      <c r="M104" s="720"/>
      <c r="N104" s="720"/>
      <c r="O104" s="720"/>
      <c r="P104" s="143" t="s">
        <v>1623</v>
      </c>
    </row>
    <row r="105" spans="1:25">
      <c r="A105" s="720">
        <v>13</v>
      </c>
      <c r="B105" s="720"/>
      <c r="C105" s="720"/>
      <c r="D105" s="720"/>
      <c r="E105" s="720"/>
      <c r="F105" s="720"/>
      <c r="G105" s="720"/>
      <c r="H105" s="720"/>
      <c r="I105" s="720"/>
      <c r="J105" s="720"/>
      <c r="K105" s="720"/>
      <c r="L105" s="720"/>
      <c r="M105" s="720"/>
      <c r="N105" s="720"/>
      <c r="O105" s="720"/>
      <c r="P105" s="18">
        <v>14</v>
      </c>
    </row>
    <row r="106" spans="1:25" ht="15">
      <c r="A106" s="720" t="s">
        <v>1662</v>
      </c>
      <c r="B106" s="720"/>
      <c r="C106" s="720"/>
      <c r="D106" s="720" t="s">
        <v>1663</v>
      </c>
      <c r="E106" s="720"/>
      <c r="F106" s="720"/>
      <c r="G106" s="720" t="s">
        <v>1664</v>
      </c>
      <c r="H106" s="720"/>
      <c r="I106" s="720"/>
      <c r="J106" s="720" t="s">
        <v>1665</v>
      </c>
      <c r="K106" s="720"/>
      <c r="L106" s="720"/>
      <c r="M106" s="720" t="s">
        <v>1666</v>
      </c>
      <c r="N106" s="720"/>
      <c r="O106" s="720"/>
      <c r="P106" s="310"/>
      <c r="R106" s="12"/>
      <c r="S106" s="12"/>
      <c r="T106" s="12"/>
      <c r="U106" s="12"/>
      <c r="V106" s="12"/>
      <c r="W106" s="12"/>
      <c r="X106" s="12"/>
      <c r="Y106" s="12"/>
    </row>
    <row r="107" spans="1:25" ht="15">
      <c r="A107" s="517" t="s">
        <v>1667</v>
      </c>
      <c r="B107" s="517" t="s">
        <v>1668</v>
      </c>
      <c r="C107" s="544" t="s">
        <v>418</v>
      </c>
      <c r="D107" s="517" t="s">
        <v>1667</v>
      </c>
      <c r="E107" s="517" t="s">
        <v>1668</v>
      </c>
      <c r="F107" s="544" t="s">
        <v>418</v>
      </c>
      <c r="G107" s="517" t="s">
        <v>1667</v>
      </c>
      <c r="H107" s="517" t="s">
        <v>1668</v>
      </c>
      <c r="I107" s="544" t="s">
        <v>418</v>
      </c>
      <c r="J107" s="517" t="s">
        <v>1667</v>
      </c>
      <c r="K107" s="517" t="s">
        <v>1668</v>
      </c>
      <c r="L107" s="544" t="s">
        <v>418</v>
      </c>
      <c r="M107" s="517" t="s">
        <v>1667</v>
      </c>
      <c r="N107" s="517" t="s">
        <v>1668</v>
      </c>
      <c r="O107" s="544" t="s">
        <v>418</v>
      </c>
      <c r="P107" s="517"/>
      <c r="R107" s="12"/>
      <c r="S107" s="12"/>
      <c r="T107" s="12"/>
      <c r="U107" s="12"/>
      <c r="V107" s="12"/>
      <c r="W107" s="12"/>
      <c r="X107" s="12"/>
      <c r="Y107" s="12"/>
    </row>
    <row r="108" spans="1:25" ht="15">
      <c r="A108" s="513">
        <v>12</v>
      </c>
      <c r="B108" s="513">
        <v>8</v>
      </c>
      <c r="C108" s="513">
        <v>0</v>
      </c>
      <c r="D108" s="513">
        <v>22</v>
      </c>
      <c r="E108" s="513">
        <v>12</v>
      </c>
      <c r="F108" s="513">
        <v>4</v>
      </c>
      <c r="G108" s="513">
        <f>48+30</f>
        <v>78</v>
      </c>
      <c r="H108" s="513">
        <v>48</v>
      </c>
      <c r="I108" s="513">
        <v>44</v>
      </c>
      <c r="J108" s="513">
        <f>12+2</f>
        <v>14</v>
      </c>
      <c r="K108" s="513">
        <v>12</v>
      </c>
      <c r="L108" s="513">
        <v>7</v>
      </c>
      <c r="M108" s="513">
        <v>4</v>
      </c>
      <c r="N108" s="513">
        <v>4</v>
      </c>
      <c r="O108" s="513">
        <v>3</v>
      </c>
      <c r="P108" s="519"/>
      <c r="R108" s="12"/>
      <c r="S108" s="12"/>
      <c r="T108" s="12"/>
      <c r="U108" s="12"/>
      <c r="V108" s="12"/>
      <c r="W108" s="12"/>
      <c r="X108" s="12"/>
      <c r="Y108" s="12"/>
    </row>
    <row r="109" spans="1:25" ht="15">
      <c r="A109" s="513">
        <v>0</v>
      </c>
      <c r="B109" s="513">
        <v>0</v>
      </c>
      <c r="C109" s="513">
        <v>0</v>
      </c>
      <c r="D109" s="513">
        <v>1</v>
      </c>
      <c r="E109" s="513">
        <v>0</v>
      </c>
      <c r="F109" s="513">
        <v>0</v>
      </c>
      <c r="G109" s="513">
        <v>4</v>
      </c>
      <c r="H109" s="513">
        <v>0</v>
      </c>
      <c r="I109" s="513">
        <v>0</v>
      </c>
      <c r="J109" s="513">
        <v>1</v>
      </c>
      <c r="K109" s="513">
        <v>1</v>
      </c>
      <c r="L109" s="513">
        <v>1</v>
      </c>
      <c r="M109" s="513">
        <v>0</v>
      </c>
      <c r="N109" s="513">
        <v>0</v>
      </c>
      <c r="O109" s="513">
        <v>0</v>
      </c>
      <c r="P109" s="310"/>
      <c r="R109" s="12"/>
      <c r="S109" s="12"/>
      <c r="T109" s="12"/>
      <c r="U109" s="12"/>
      <c r="V109" s="12"/>
      <c r="W109" s="12"/>
      <c r="X109" s="12"/>
      <c r="Y109" s="12"/>
    </row>
    <row r="110" spans="1:25" ht="15">
      <c r="A110" s="720" t="s">
        <v>1670</v>
      </c>
      <c r="B110" s="720"/>
      <c r="C110" s="720"/>
      <c r="D110" s="720" t="s">
        <v>1671</v>
      </c>
      <c r="E110" s="720"/>
      <c r="F110" s="720"/>
      <c r="G110" s="720" t="s">
        <v>1672</v>
      </c>
      <c r="H110" s="720"/>
      <c r="I110" s="720"/>
      <c r="J110" s="712"/>
      <c r="K110" s="712"/>
      <c r="L110" s="712"/>
      <c r="M110" s="712"/>
      <c r="N110" s="712"/>
      <c r="O110" s="712"/>
      <c r="P110" s="310"/>
      <c r="R110" s="12"/>
      <c r="S110" s="12"/>
      <c r="T110" s="12"/>
      <c r="U110" s="12"/>
      <c r="V110" s="12"/>
      <c r="W110" s="12"/>
      <c r="X110" s="12"/>
      <c r="Y110" s="12"/>
    </row>
    <row r="111" spans="1:25" ht="15">
      <c r="A111" s="517" t="s">
        <v>1667</v>
      </c>
      <c r="B111" s="517" t="s">
        <v>1668</v>
      </c>
      <c r="C111" s="544" t="s">
        <v>418</v>
      </c>
      <c r="D111" s="517" t="s">
        <v>1667</v>
      </c>
      <c r="E111" s="517" t="s">
        <v>1668</v>
      </c>
      <c r="F111" s="544" t="s">
        <v>418</v>
      </c>
      <c r="G111" s="517" t="s">
        <v>1667</v>
      </c>
      <c r="H111" s="517" t="s">
        <v>1668</v>
      </c>
      <c r="I111" s="544" t="s">
        <v>418</v>
      </c>
      <c r="J111" s="716"/>
      <c r="K111" s="716"/>
      <c r="L111" s="716"/>
      <c r="M111" s="716"/>
      <c r="N111" s="716"/>
      <c r="O111" s="716"/>
      <c r="P111" s="310"/>
      <c r="Q111" s="265"/>
      <c r="R111" s="265"/>
      <c r="S111" s="265"/>
      <c r="T111" s="265"/>
      <c r="U111" s="265"/>
      <c r="V111" s="12"/>
      <c r="W111" s="12"/>
      <c r="X111" s="12"/>
      <c r="Y111" s="12"/>
    </row>
    <row r="112" spans="1:25" ht="15">
      <c r="A112" s="513">
        <v>1</v>
      </c>
      <c r="B112" s="513">
        <v>1</v>
      </c>
      <c r="C112" s="513">
        <v>1</v>
      </c>
      <c r="D112" s="513">
        <v>11</v>
      </c>
      <c r="E112" s="513">
        <v>0</v>
      </c>
      <c r="F112" s="513">
        <v>0</v>
      </c>
      <c r="G112" s="513">
        <v>40</v>
      </c>
      <c r="H112" s="513">
        <v>0</v>
      </c>
      <c r="I112" s="513">
        <v>0</v>
      </c>
      <c r="J112" s="716"/>
      <c r="K112" s="716"/>
      <c r="L112" s="716"/>
      <c r="M112" s="716"/>
      <c r="N112" s="716"/>
      <c r="O112" s="716"/>
      <c r="P112" s="310"/>
      <c r="R112" s="12"/>
      <c r="S112" s="12"/>
      <c r="T112" s="12"/>
      <c r="U112" s="12"/>
      <c r="V112" s="12"/>
      <c r="W112" s="12"/>
      <c r="X112" s="12"/>
      <c r="Y112" s="12"/>
    </row>
    <row r="113" spans="1:25" ht="15">
      <c r="A113" s="513">
        <v>0</v>
      </c>
      <c r="B113" s="513">
        <v>0</v>
      </c>
      <c r="C113" s="513">
        <v>0</v>
      </c>
      <c r="D113" s="513">
        <v>0</v>
      </c>
      <c r="E113" s="513">
        <v>0</v>
      </c>
      <c r="F113" s="513">
        <v>0</v>
      </c>
      <c r="G113" s="513">
        <v>0</v>
      </c>
      <c r="H113" s="513">
        <v>0</v>
      </c>
      <c r="I113" s="513">
        <v>0</v>
      </c>
      <c r="J113" s="716"/>
      <c r="K113" s="716"/>
      <c r="L113" s="716"/>
      <c r="M113" s="716"/>
      <c r="N113" s="716"/>
      <c r="O113" s="716"/>
      <c r="P113" s="15"/>
      <c r="R113" s="12"/>
      <c r="S113" s="12"/>
      <c r="T113" s="12"/>
      <c r="U113" s="12"/>
      <c r="V113" s="12"/>
      <c r="W113" s="12"/>
      <c r="X113" s="12"/>
      <c r="Y113" s="12"/>
    </row>
    <row r="114" spans="1:25">
      <c r="A114" s="549"/>
      <c r="B114" s="549"/>
      <c r="C114" s="549"/>
      <c r="D114" s="549"/>
      <c r="E114" s="549"/>
      <c r="F114" s="549"/>
      <c r="G114" s="549"/>
      <c r="H114" s="549"/>
      <c r="I114" s="549"/>
      <c r="J114" s="14"/>
      <c r="K114" s="14"/>
      <c r="L114" s="14"/>
      <c r="M114" s="14"/>
      <c r="N114" s="14"/>
      <c r="O114" s="15"/>
      <c r="P114" s="15"/>
      <c r="R114" s="12"/>
      <c r="S114" s="12"/>
      <c r="T114" s="12"/>
      <c r="U114" s="12"/>
      <c r="V114" s="12"/>
      <c r="W114" s="12"/>
      <c r="X114" s="12"/>
      <c r="Y114" s="12"/>
    </row>
    <row r="115" spans="1:25" ht="22.5">
      <c r="A115" s="718" t="s">
        <v>6278</v>
      </c>
      <c r="B115" s="718"/>
      <c r="C115" s="718"/>
      <c r="D115" s="718"/>
      <c r="E115" s="718"/>
      <c r="F115" s="718"/>
      <c r="G115" s="718"/>
      <c r="H115" s="718"/>
      <c r="I115" s="718"/>
      <c r="J115" s="718"/>
      <c r="K115" s="718"/>
      <c r="L115" s="718"/>
      <c r="M115" s="718"/>
      <c r="N115" s="718"/>
      <c r="O115" s="718"/>
      <c r="P115" s="718"/>
      <c r="R115" s="12"/>
      <c r="S115" s="12"/>
      <c r="T115" s="12"/>
      <c r="U115" s="12"/>
      <c r="V115" s="12"/>
      <c r="W115" s="12"/>
      <c r="X115" s="12"/>
      <c r="Y115" s="12"/>
    </row>
    <row r="116" spans="1:25" ht="20.25">
      <c r="A116" s="725" t="s">
        <v>6280</v>
      </c>
      <c r="B116" s="725"/>
      <c r="C116" s="725"/>
      <c r="D116" s="725"/>
      <c r="E116" s="725"/>
      <c r="F116" s="725"/>
      <c r="G116" s="725"/>
      <c r="H116" s="725"/>
      <c r="I116" s="725"/>
      <c r="J116" s="725"/>
      <c r="K116" s="725"/>
      <c r="L116" s="725"/>
      <c r="M116" s="548"/>
      <c r="N116" s="548"/>
      <c r="O116" s="15"/>
      <c r="P116" s="15"/>
      <c r="R116" s="12"/>
      <c r="S116" s="12"/>
      <c r="T116" s="12"/>
      <c r="U116" s="12"/>
      <c r="V116" s="12"/>
      <c r="W116" s="12"/>
      <c r="X116" s="12"/>
      <c r="Y116" s="12"/>
    </row>
    <row r="117" spans="1:25" ht="114">
      <c r="A117" s="18" t="s">
        <v>0</v>
      </c>
      <c r="B117" s="18" t="s">
        <v>2582</v>
      </c>
      <c r="C117" s="18" t="s">
        <v>6590</v>
      </c>
      <c r="D117" s="18" t="s">
        <v>1648</v>
      </c>
      <c r="E117" s="18" t="s">
        <v>6277</v>
      </c>
      <c r="F117" s="18" t="s">
        <v>1619</v>
      </c>
      <c r="G117" s="19" t="s">
        <v>1649</v>
      </c>
      <c r="H117" s="18" t="s">
        <v>6281</v>
      </c>
      <c r="I117" s="18" t="s">
        <v>1620</v>
      </c>
      <c r="J117" s="19" t="s">
        <v>1650</v>
      </c>
      <c r="K117" s="20" t="s">
        <v>1651</v>
      </c>
      <c r="L117" s="20" t="s">
        <v>1622</v>
      </c>
      <c r="M117" s="15"/>
      <c r="N117" s="15"/>
      <c r="O117" s="15"/>
      <c r="P117" s="15"/>
    </row>
    <row r="118" spans="1:25">
      <c r="A118" s="530">
        <v>1</v>
      </c>
      <c r="B118" s="530">
        <v>2</v>
      </c>
      <c r="C118" s="530">
        <v>3</v>
      </c>
      <c r="D118" s="530">
        <v>4</v>
      </c>
      <c r="E118" s="530">
        <v>5</v>
      </c>
      <c r="F118" s="530">
        <v>6</v>
      </c>
      <c r="G118" s="530">
        <v>7</v>
      </c>
      <c r="H118" s="530">
        <v>8</v>
      </c>
      <c r="I118" s="19">
        <v>9</v>
      </c>
      <c r="J118" s="530">
        <v>10</v>
      </c>
      <c r="K118" s="530">
        <v>11</v>
      </c>
      <c r="L118" s="530">
        <v>12</v>
      </c>
      <c r="M118" s="15"/>
      <c r="N118" s="15"/>
      <c r="O118" s="15"/>
      <c r="P118" s="15"/>
    </row>
    <row r="119" spans="1:25" ht="30" customHeight="1">
      <c r="A119" s="513">
        <v>1</v>
      </c>
      <c r="B119" s="696" t="s">
        <v>2610</v>
      </c>
      <c r="C119" s="696" t="s">
        <v>270</v>
      </c>
      <c r="D119" s="511" t="s">
        <v>6332</v>
      </c>
      <c r="E119" s="513">
        <v>8867</v>
      </c>
      <c r="F119" s="513" t="s">
        <v>336</v>
      </c>
      <c r="G119" s="513" t="s">
        <v>17</v>
      </c>
      <c r="H119" s="513">
        <v>3.8</v>
      </c>
      <c r="I119" s="513" t="s">
        <v>301</v>
      </c>
      <c r="J119" s="513" t="s">
        <v>301</v>
      </c>
      <c r="K119" s="513">
        <v>1</v>
      </c>
      <c r="L119" s="513">
        <v>1</v>
      </c>
      <c r="M119" s="15"/>
      <c r="N119" s="15"/>
      <c r="O119" s="15"/>
      <c r="P119" s="15"/>
    </row>
    <row r="120" spans="1:25" ht="15">
      <c r="A120" s="513">
        <v>2</v>
      </c>
      <c r="B120" s="696"/>
      <c r="C120" s="696"/>
      <c r="D120" s="511" t="s">
        <v>319</v>
      </c>
      <c r="E120" s="513">
        <v>445</v>
      </c>
      <c r="F120" s="513" t="s">
        <v>320</v>
      </c>
      <c r="G120" s="513" t="s">
        <v>17</v>
      </c>
      <c r="H120" s="513">
        <v>0.37</v>
      </c>
      <c r="I120" s="513" t="s">
        <v>301</v>
      </c>
      <c r="J120" s="513" t="s">
        <v>301</v>
      </c>
      <c r="K120" s="513">
        <v>2</v>
      </c>
      <c r="L120" s="513" t="s">
        <v>17</v>
      </c>
      <c r="M120" s="15"/>
      <c r="N120" s="15"/>
      <c r="O120" s="15"/>
      <c r="P120" s="15"/>
    </row>
    <row r="121" spans="1:25" ht="15">
      <c r="A121" s="513">
        <v>3</v>
      </c>
      <c r="B121" s="696"/>
      <c r="C121" s="696"/>
      <c r="D121" s="511" t="s">
        <v>6333</v>
      </c>
      <c r="E121" s="513">
        <v>110</v>
      </c>
      <c r="F121" s="513" t="s">
        <v>17</v>
      </c>
      <c r="G121" s="513">
        <v>1994</v>
      </c>
      <c r="H121" s="513">
        <v>0.15</v>
      </c>
      <c r="I121" s="513" t="s">
        <v>301</v>
      </c>
      <c r="J121" s="513" t="s">
        <v>301</v>
      </c>
      <c r="K121" s="513">
        <v>3</v>
      </c>
      <c r="L121" s="513" t="s">
        <v>17</v>
      </c>
      <c r="M121" s="15"/>
      <c r="N121" s="15"/>
      <c r="O121" s="15"/>
      <c r="P121" s="15"/>
    </row>
    <row r="122" spans="1:25" ht="30">
      <c r="A122" s="513">
        <v>4</v>
      </c>
      <c r="B122" s="696"/>
      <c r="C122" s="696"/>
      <c r="D122" s="511" t="s">
        <v>324</v>
      </c>
      <c r="E122" s="513" t="s">
        <v>325</v>
      </c>
      <c r="F122" s="513" t="s">
        <v>6334</v>
      </c>
      <c r="G122" s="513" t="s">
        <v>17</v>
      </c>
      <c r="H122" s="513" t="s">
        <v>6335</v>
      </c>
      <c r="I122" s="513" t="s">
        <v>301</v>
      </c>
      <c r="J122" s="513" t="s">
        <v>301</v>
      </c>
      <c r="K122" s="513">
        <v>4</v>
      </c>
      <c r="L122" s="513" t="s">
        <v>17</v>
      </c>
      <c r="M122" s="15"/>
      <c r="N122" s="15"/>
      <c r="O122" s="15"/>
      <c r="P122" s="15"/>
    </row>
    <row r="123" spans="1:25" ht="30">
      <c r="A123" s="513">
        <v>5</v>
      </c>
      <c r="B123" s="696"/>
      <c r="C123" s="696"/>
      <c r="D123" s="511" t="s">
        <v>6336</v>
      </c>
      <c r="E123" s="513" t="s">
        <v>325</v>
      </c>
      <c r="F123" s="542" t="s">
        <v>304</v>
      </c>
      <c r="G123" s="513" t="s">
        <v>17</v>
      </c>
      <c r="H123" s="513">
        <v>1.0536000000000001</v>
      </c>
      <c r="I123" s="513" t="s">
        <v>301</v>
      </c>
      <c r="J123" s="513" t="s">
        <v>301</v>
      </c>
      <c r="K123" s="513">
        <v>5</v>
      </c>
      <c r="L123" s="513">
        <v>2</v>
      </c>
      <c r="M123" s="15"/>
      <c r="N123" s="15"/>
      <c r="O123" s="15"/>
      <c r="P123" s="15"/>
    </row>
    <row r="124" spans="1:25" ht="47.25" customHeight="1">
      <c r="A124" s="694">
        <v>6</v>
      </c>
      <c r="B124" s="696"/>
      <c r="C124" s="696" t="s">
        <v>6592</v>
      </c>
      <c r="D124" s="506" t="s">
        <v>330</v>
      </c>
      <c r="E124" s="513">
        <v>1357.33</v>
      </c>
      <c r="F124" s="542"/>
      <c r="G124" s="513" t="s">
        <v>17</v>
      </c>
      <c r="H124" s="513">
        <v>2.5</v>
      </c>
      <c r="I124" s="513"/>
      <c r="J124" s="513" t="s">
        <v>87</v>
      </c>
      <c r="K124" s="513">
        <v>1</v>
      </c>
      <c r="L124" s="513" t="s">
        <v>17</v>
      </c>
      <c r="M124" s="15"/>
      <c r="N124" s="15"/>
      <c r="O124" s="15"/>
      <c r="P124" s="15"/>
    </row>
    <row r="125" spans="1:25" ht="45">
      <c r="A125" s="694"/>
      <c r="B125" s="696"/>
      <c r="C125" s="696"/>
      <c r="D125" s="506" t="s">
        <v>333</v>
      </c>
      <c r="E125" s="513">
        <v>1075.623</v>
      </c>
      <c r="F125" s="542" t="s">
        <v>6337</v>
      </c>
      <c r="G125" s="513" t="s">
        <v>17</v>
      </c>
      <c r="H125" s="513">
        <v>2.5</v>
      </c>
      <c r="I125" s="513"/>
      <c r="J125" s="513" t="s">
        <v>87</v>
      </c>
      <c r="K125" s="513">
        <v>2</v>
      </c>
      <c r="L125" s="513" t="s">
        <v>17</v>
      </c>
      <c r="M125" s="15"/>
      <c r="N125" s="15"/>
      <c r="O125" s="15"/>
      <c r="P125" s="15"/>
    </row>
    <row r="126" spans="1:25" ht="45">
      <c r="A126" s="694"/>
      <c r="B126" s="696"/>
      <c r="C126" s="696"/>
      <c r="D126" s="506" t="s">
        <v>335</v>
      </c>
      <c r="E126" s="513">
        <v>1185.79</v>
      </c>
      <c r="F126" s="542" t="s">
        <v>6338</v>
      </c>
      <c r="G126" s="513" t="s">
        <v>17</v>
      </c>
      <c r="H126" s="513">
        <v>2.5</v>
      </c>
      <c r="I126" s="513"/>
      <c r="J126" s="513" t="s">
        <v>87</v>
      </c>
      <c r="K126" s="513">
        <v>3</v>
      </c>
      <c r="L126" s="513" t="s">
        <v>17</v>
      </c>
      <c r="M126" s="15"/>
      <c r="N126" s="15"/>
      <c r="O126" s="15"/>
      <c r="P126" s="15"/>
    </row>
    <row r="127" spans="1:25" ht="75">
      <c r="A127" s="513">
        <v>7</v>
      </c>
      <c r="B127" s="696"/>
      <c r="C127" s="511" t="s">
        <v>6591</v>
      </c>
      <c r="D127" s="511" t="s">
        <v>293</v>
      </c>
      <c r="E127" s="513">
        <v>3318</v>
      </c>
      <c r="F127" s="70" t="s">
        <v>1995</v>
      </c>
      <c r="G127" s="70" t="s">
        <v>1996</v>
      </c>
      <c r="H127" s="70" t="s">
        <v>1995</v>
      </c>
      <c r="I127" s="70" t="s">
        <v>2572</v>
      </c>
      <c r="J127" s="70" t="s">
        <v>2572</v>
      </c>
      <c r="K127" s="513"/>
      <c r="L127" s="513"/>
      <c r="M127" s="15"/>
      <c r="N127" s="15"/>
      <c r="O127" s="15"/>
      <c r="P127" s="15"/>
    </row>
    <row r="128" spans="1:25" ht="15">
      <c r="A128" s="716"/>
      <c r="B128" s="716"/>
      <c r="C128" s="716"/>
      <c r="D128" s="716"/>
      <c r="E128" s="716"/>
      <c r="F128" s="716"/>
      <c r="G128" s="716"/>
      <c r="H128" s="716"/>
      <c r="I128" s="716"/>
      <c r="J128" s="716"/>
      <c r="K128" s="716"/>
      <c r="L128" s="716"/>
      <c r="M128" s="716"/>
      <c r="N128" s="716"/>
      <c r="O128" s="716"/>
      <c r="P128" s="716"/>
    </row>
    <row r="129" spans="1:16" ht="57">
      <c r="A129" s="720" t="s">
        <v>1661</v>
      </c>
      <c r="B129" s="720"/>
      <c r="C129" s="720"/>
      <c r="D129" s="720"/>
      <c r="E129" s="720"/>
      <c r="F129" s="720"/>
      <c r="G129" s="720"/>
      <c r="H129" s="720"/>
      <c r="I129" s="720"/>
      <c r="J129" s="720"/>
      <c r="K129" s="720"/>
      <c r="L129" s="720"/>
      <c r="M129" s="720"/>
      <c r="N129" s="720"/>
      <c r="O129" s="720"/>
      <c r="P129" s="143" t="s">
        <v>1623</v>
      </c>
    </row>
    <row r="130" spans="1:16">
      <c r="A130" s="720">
        <v>13</v>
      </c>
      <c r="B130" s="720"/>
      <c r="C130" s="720"/>
      <c r="D130" s="720"/>
      <c r="E130" s="720"/>
      <c r="F130" s="720"/>
      <c r="G130" s="720"/>
      <c r="H130" s="720"/>
      <c r="I130" s="720"/>
      <c r="J130" s="720"/>
      <c r="K130" s="720"/>
      <c r="L130" s="720"/>
      <c r="M130" s="720"/>
      <c r="N130" s="720"/>
      <c r="O130" s="720"/>
      <c r="P130" s="18">
        <v>14</v>
      </c>
    </row>
    <row r="131" spans="1:16" ht="15">
      <c r="A131" s="720" t="s">
        <v>1662</v>
      </c>
      <c r="B131" s="720"/>
      <c r="C131" s="720"/>
      <c r="D131" s="720" t="s">
        <v>1663</v>
      </c>
      <c r="E131" s="720"/>
      <c r="F131" s="720"/>
      <c r="G131" s="720" t="s">
        <v>1664</v>
      </c>
      <c r="H131" s="720"/>
      <c r="I131" s="720"/>
      <c r="J131" s="720" t="s">
        <v>1665</v>
      </c>
      <c r="K131" s="720"/>
      <c r="L131" s="720"/>
      <c r="M131" s="720" t="s">
        <v>1666</v>
      </c>
      <c r="N131" s="720"/>
      <c r="O131" s="720"/>
      <c r="P131" s="310"/>
    </row>
    <row r="132" spans="1:16" ht="15">
      <c r="A132" s="517" t="s">
        <v>1667</v>
      </c>
      <c r="B132" s="517" t="s">
        <v>1668</v>
      </c>
      <c r="C132" s="544" t="s">
        <v>418</v>
      </c>
      <c r="D132" s="517" t="s">
        <v>1667</v>
      </c>
      <c r="E132" s="517" t="s">
        <v>1668</v>
      </c>
      <c r="F132" s="544" t="s">
        <v>418</v>
      </c>
      <c r="G132" s="517" t="s">
        <v>1667</v>
      </c>
      <c r="H132" s="517" t="s">
        <v>1668</v>
      </c>
      <c r="I132" s="544" t="s">
        <v>418</v>
      </c>
      <c r="J132" s="517" t="s">
        <v>1667</v>
      </c>
      <c r="K132" s="517" t="s">
        <v>1668</v>
      </c>
      <c r="L132" s="544" t="s">
        <v>418</v>
      </c>
      <c r="M132" s="517" t="s">
        <v>1667</v>
      </c>
      <c r="N132" s="517" t="s">
        <v>1668</v>
      </c>
      <c r="O132" s="544" t="s">
        <v>418</v>
      </c>
      <c r="P132" s="517"/>
    </row>
    <row r="133" spans="1:16" ht="15">
      <c r="A133" s="521">
        <f>44+8+11</f>
        <v>63</v>
      </c>
      <c r="B133" s="521">
        <f>35+2+8</f>
        <v>45</v>
      </c>
      <c r="C133" s="521">
        <f>35+0+2</f>
        <v>37</v>
      </c>
      <c r="D133" s="521">
        <f>40+22+16</f>
        <v>78</v>
      </c>
      <c r="E133" s="521">
        <f>30+3+16</f>
        <v>49</v>
      </c>
      <c r="F133" s="521">
        <f>30+11+4</f>
        <v>45</v>
      </c>
      <c r="G133" s="521">
        <f>69+21+16</f>
        <v>106</v>
      </c>
      <c r="H133" s="521">
        <f>69+20+16</f>
        <v>105</v>
      </c>
      <c r="I133" s="521">
        <f>67+16+16</f>
        <v>99</v>
      </c>
      <c r="J133" s="521">
        <f>14+2+1</f>
        <v>17</v>
      </c>
      <c r="K133" s="521">
        <f>13+1+1</f>
        <v>15</v>
      </c>
      <c r="L133" s="521">
        <f>13+0+0</f>
        <v>13</v>
      </c>
      <c r="M133" s="527">
        <v>7</v>
      </c>
      <c r="N133" s="527">
        <v>7</v>
      </c>
      <c r="O133" s="527">
        <v>6</v>
      </c>
      <c r="P133" s="519"/>
    </row>
    <row r="134" spans="1:16" ht="15">
      <c r="A134" s="720" t="s">
        <v>1670</v>
      </c>
      <c r="B134" s="720"/>
      <c r="C134" s="720"/>
      <c r="D134" s="720" t="s">
        <v>1671</v>
      </c>
      <c r="E134" s="720"/>
      <c r="F134" s="720"/>
      <c r="G134" s="720" t="s">
        <v>1672</v>
      </c>
      <c r="H134" s="720"/>
      <c r="I134" s="720"/>
      <c r="J134" s="716"/>
      <c r="K134" s="716"/>
      <c r="L134" s="716"/>
      <c r="M134" s="716"/>
      <c r="N134" s="716"/>
      <c r="O134" s="716"/>
      <c r="P134" s="310"/>
    </row>
    <row r="135" spans="1:16" ht="15">
      <c r="A135" s="517" t="s">
        <v>1667</v>
      </c>
      <c r="B135" s="517" t="s">
        <v>1668</v>
      </c>
      <c r="C135" s="544" t="s">
        <v>418</v>
      </c>
      <c r="D135" s="517" t="s">
        <v>1667</v>
      </c>
      <c r="E135" s="517" t="s">
        <v>1668</v>
      </c>
      <c r="F135" s="544" t="s">
        <v>418</v>
      </c>
      <c r="G135" s="517" t="s">
        <v>1667</v>
      </c>
      <c r="H135" s="517" t="s">
        <v>1668</v>
      </c>
      <c r="I135" s="544" t="s">
        <v>418</v>
      </c>
      <c r="J135" s="716"/>
      <c r="K135" s="716"/>
      <c r="L135" s="716"/>
      <c r="M135" s="716"/>
      <c r="N135" s="716"/>
      <c r="O135" s="716"/>
      <c r="P135" s="310"/>
    </row>
    <row r="136" spans="1:16" ht="15">
      <c r="A136" s="521">
        <v>1</v>
      </c>
      <c r="B136" s="521">
        <v>1</v>
      </c>
      <c r="C136" s="521">
        <v>1</v>
      </c>
      <c r="D136" s="521">
        <v>0</v>
      </c>
      <c r="E136" s="521">
        <v>0</v>
      </c>
      <c r="F136" s="521">
        <v>0</v>
      </c>
      <c r="G136" s="521">
        <v>0</v>
      </c>
      <c r="H136" s="521">
        <v>0</v>
      </c>
      <c r="I136" s="521">
        <v>0</v>
      </c>
      <c r="J136" s="716"/>
      <c r="K136" s="716"/>
      <c r="L136" s="716"/>
      <c r="M136" s="716"/>
      <c r="N136" s="716"/>
      <c r="O136" s="716"/>
      <c r="P136" s="310"/>
    </row>
    <row r="137" spans="1:16">
      <c r="A137" s="723"/>
      <c r="B137" s="723"/>
      <c r="C137" s="723"/>
      <c r="D137" s="723"/>
      <c r="E137" s="723"/>
      <c r="F137" s="723"/>
      <c r="G137" s="723"/>
      <c r="H137" s="723"/>
      <c r="I137" s="723"/>
      <c r="J137" s="723"/>
      <c r="K137" s="723"/>
      <c r="L137" s="723"/>
      <c r="M137" s="723"/>
      <c r="N137" s="723"/>
      <c r="O137" s="723"/>
      <c r="P137" s="723"/>
    </row>
    <row r="138" spans="1:16" ht="22.5">
      <c r="A138" s="718" t="s">
        <v>339</v>
      </c>
      <c r="B138" s="718"/>
      <c r="C138" s="718"/>
      <c r="D138" s="718"/>
      <c r="E138" s="718"/>
      <c r="F138" s="718"/>
      <c r="G138" s="718"/>
      <c r="H138" s="718"/>
      <c r="I138" s="718"/>
      <c r="J138" s="718"/>
      <c r="K138" s="718"/>
      <c r="L138" s="718"/>
      <c r="M138" s="718"/>
      <c r="N138" s="718"/>
      <c r="O138" s="718"/>
      <c r="P138" s="718"/>
    </row>
    <row r="139" spans="1:16" ht="20.25">
      <c r="A139" s="725" t="s">
        <v>6280</v>
      </c>
      <c r="B139" s="725"/>
      <c r="C139" s="725"/>
      <c r="D139" s="725"/>
      <c r="E139" s="725"/>
      <c r="F139" s="725"/>
      <c r="G139" s="725"/>
      <c r="H139" s="725"/>
      <c r="I139" s="725"/>
      <c r="J139" s="725"/>
      <c r="K139" s="725"/>
      <c r="L139" s="725"/>
      <c r="M139" s="548"/>
      <c r="N139" s="548"/>
      <c r="O139" s="15"/>
      <c r="P139" s="15"/>
    </row>
    <row r="140" spans="1:16" ht="114">
      <c r="A140" s="18" t="s">
        <v>0</v>
      </c>
      <c r="B140" s="18" t="s">
        <v>2582</v>
      </c>
      <c r="C140" s="18" t="s">
        <v>6590</v>
      </c>
      <c r="D140" s="18" t="s">
        <v>1648</v>
      </c>
      <c r="E140" s="18" t="s">
        <v>6277</v>
      </c>
      <c r="F140" s="18" t="s">
        <v>1619</v>
      </c>
      <c r="G140" s="19" t="s">
        <v>1649</v>
      </c>
      <c r="H140" s="18" t="s">
        <v>6281</v>
      </c>
      <c r="I140" s="18" t="s">
        <v>1620</v>
      </c>
      <c r="J140" s="19" t="s">
        <v>1650</v>
      </c>
      <c r="K140" s="20" t="s">
        <v>1651</v>
      </c>
      <c r="L140" s="20" t="s">
        <v>1622</v>
      </c>
      <c r="M140" s="15"/>
      <c r="N140" s="15"/>
      <c r="O140" s="15"/>
      <c r="P140" s="15"/>
    </row>
    <row r="141" spans="1:16">
      <c r="A141" s="530">
        <v>1</v>
      </c>
      <c r="B141" s="530">
        <v>2</v>
      </c>
      <c r="C141" s="530">
        <v>3</v>
      </c>
      <c r="D141" s="530">
        <v>4</v>
      </c>
      <c r="E141" s="530">
        <v>5</v>
      </c>
      <c r="F141" s="530">
        <v>6</v>
      </c>
      <c r="G141" s="530">
        <v>7</v>
      </c>
      <c r="H141" s="530">
        <v>8</v>
      </c>
      <c r="I141" s="19">
        <v>9</v>
      </c>
      <c r="J141" s="530">
        <v>10</v>
      </c>
      <c r="K141" s="530">
        <v>11</v>
      </c>
      <c r="L141" s="530">
        <v>12</v>
      </c>
      <c r="M141" s="15"/>
      <c r="N141" s="15"/>
      <c r="O141" s="15"/>
      <c r="P141" s="15"/>
    </row>
    <row r="142" spans="1:16" ht="75">
      <c r="A142" s="513">
        <v>1</v>
      </c>
      <c r="B142" s="696" t="s">
        <v>3171</v>
      </c>
      <c r="C142" s="696" t="s">
        <v>6339</v>
      </c>
      <c r="D142" s="208" t="s">
        <v>6340</v>
      </c>
      <c r="E142" s="45">
        <v>14384.69</v>
      </c>
      <c r="F142" s="45" t="s">
        <v>6341</v>
      </c>
      <c r="G142" s="513" t="s">
        <v>193</v>
      </c>
      <c r="H142" s="45" t="s">
        <v>6342</v>
      </c>
      <c r="I142" s="513" t="s">
        <v>6343</v>
      </c>
      <c r="J142" s="513" t="s">
        <v>6344</v>
      </c>
      <c r="K142" s="513"/>
      <c r="L142" s="513"/>
      <c r="M142" s="15"/>
      <c r="N142" s="15"/>
      <c r="O142" s="15"/>
      <c r="P142" s="15"/>
    </row>
    <row r="143" spans="1:16" ht="75">
      <c r="A143" s="513">
        <v>2</v>
      </c>
      <c r="B143" s="696"/>
      <c r="C143" s="696"/>
      <c r="D143" s="208" t="s">
        <v>401</v>
      </c>
      <c r="E143" s="45">
        <v>1114.83</v>
      </c>
      <c r="F143" s="513">
        <v>1993</v>
      </c>
      <c r="G143" s="513" t="s">
        <v>193</v>
      </c>
      <c r="H143" s="45">
        <v>0.23599999999999999</v>
      </c>
      <c r="I143" s="513" t="s">
        <v>402</v>
      </c>
      <c r="J143" s="513" t="s">
        <v>404</v>
      </c>
      <c r="K143" s="513"/>
      <c r="L143" s="513"/>
      <c r="M143" s="15"/>
      <c r="N143" s="15"/>
      <c r="O143" s="15"/>
      <c r="P143" s="15"/>
    </row>
    <row r="144" spans="1:16" ht="30">
      <c r="A144" s="513">
        <v>3</v>
      </c>
      <c r="B144" s="696"/>
      <c r="C144" s="696"/>
      <c r="D144" s="208" t="s">
        <v>405</v>
      </c>
      <c r="E144" s="45">
        <v>1257.674</v>
      </c>
      <c r="F144" s="513" t="s">
        <v>406</v>
      </c>
      <c r="G144" s="513" t="s">
        <v>193</v>
      </c>
      <c r="H144" s="45">
        <v>3.9870000000000001</v>
      </c>
      <c r="I144" s="513" t="s">
        <v>407</v>
      </c>
      <c r="J144" s="513" t="s">
        <v>408</v>
      </c>
      <c r="K144" s="513"/>
      <c r="L144" s="513"/>
      <c r="M144" s="15"/>
      <c r="N144" s="15"/>
      <c r="O144" s="15"/>
      <c r="P144" s="15"/>
    </row>
    <row r="145" spans="1:16" ht="30" customHeight="1">
      <c r="A145" s="513">
        <v>4</v>
      </c>
      <c r="B145" s="696"/>
      <c r="C145" s="511" t="s">
        <v>6345</v>
      </c>
      <c r="D145" s="511" t="s">
        <v>6346</v>
      </c>
      <c r="E145" s="513">
        <v>521.07000000000005</v>
      </c>
      <c r="F145" s="2">
        <v>37561</v>
      </c>
      <c r="G145" s="513" t="s">
        <v>24</v>
      </c>
      <c r="H145" s="513">
        <v>0.81900490000000004</v>
      </c>
      <c r="I145" s="244" t="s">
        <v>363</v>
      </c>
      <c r="J145" s="513" t="s">
        <v>3219</v>
      </c>
      <c r="K145" s="210" t="s">
        <v>6347</v>
      </c>
      <c r="L145" s="513">
        <v>1</v>
      </c>
      <c r="M145" s="15"/>
      <c r="N145" s="15"/>
      <c r="O145" s="15"/>
      <c r="P145" s="15"/>
    </row>
    <row r="146" spans="1:16" ht="45">
      <c r="A146" s="513">
        <v>5</v>
      </c>
      <c r="B146" s="696"/>
      <c r="C146" s="696" t="s">
        <v>409</v>
      </c>
      <c r="D146" s="511" t="s">
        <v>6348</v>
      </c>
      <c r="E146" s="513" t="s">
        <v>6349</v>
      </c>
      <c r="F146" s="513" t="s">
        <v>6349</v>
      </c>
      <c r="G146" s="513" t="s">
        <v>6349</v>
      </c>
      <c r="H146" s="513" t="s">
        <v>6349</v>
      </c>
      <c r="I146" s="513" t="s">
        <v>6349</v>
      </c>
      <c r="J146" s="513" t="s">
        <v>6349</v>
      </c>
      <c r="K146" s="513" t="s">
        <v>383</v>
      </c>
      <c r="L146" s="513" t="s">
        <v>383</v>
      </c>
      <c r="M146" s="15"/>
      <c r="N146" s="15"/>
      <c r="O146" s="15"/>
      <c r="P146" s="15"/>
    </row>
    <row r="147" spans="1:16" ht="30">
      <c r="A147" s="513">
        <v>6</v>
      </c>
      <c r="B147" s="696"/>
      <c r="C147" s="696"/>
      <c r="D147" s="511" t="s">
        <v>386</v>
      </c>
      <c r="E147" s="513"/>
      <c r="F147" s="513" t="s">
        <v>2002</v>
      </c>
      <c r="G147" s="513" t="s">
        <v>35</v>
      </c>
      <c r="H147" s="513" t="s">
        <v>6350</v>
      </c>
      <c r="I147" s="513" t="s">
        <v>388</v>
      </c>
      <c r="J147" s="513" t="s">
        <v>26</v>
      </c>
      <c r="K147" s="70" t="s">
        <v>35</v>
      </c>
      <c r="L147" s="70" t="s">
        <v>35</v>
      </c>
      <c r="M147" s="15"/>
      <c r="N147" s="15"/>
      <c r="O147" s="15"/>
      <c r="P147" s="15"/>
    </row>
    <row r="148" spans="1:16" ht="30">
      <c r="A148" s="513">
        <v>7</v>
      </c>
      <c r="B148" s="696"/>
      <c r="C148" s="696"/>
      <c r="D148" s="515" t="s">
        <v>6593</v>
      </c>
      <c r="E148" s="513">
        <v>3319</v>
      </c>
      <c r="F148" s="513" t="s">
        <v>6351</v>
      </c>
      <c r="G148" s="513" t="s">
        <v>35</v>
      </c>
      <c r="H148" s="513" t="s">
        <v>6352</v>
      </c>
      <c r="I148" s="513" t="s">
        <v>35</v>
      </c>
      <c r="J148" s="513" t="s">
        <v>35</v>
      </c>
      <c r="K148" s="513" t="s">
        <v>35</v>
      </c>
      <c r="L148" s="513" t="s">
        <v>35</v>
      </c>
      <c r="M148" s="15"/>
      <c r="N148" s="15"/>
      <c r="O148" s="15"/>
      <c r="P148" s="15"/>
    </row>
    <row r="149" spans="1:16" ht="30">
      <c r="A149" s="513">
        <v>8</v>
      </c>
      <c r="B149" s="696"/>
      <c r="C149" s="696" t="s">
        <v>6353</v>
      </c>
      <c r="D149" s="515" t="s">
        <v>6354</v>
      </c>
      <c r="E149" s="539" t="s">
        <v>6355</v>
      </c>
      <c r="F149" s="513" t="s">
        <v>6356</v>
      </c>
      <c r="G149" s="694" t="s">
        <v>6357</v>
      </c>
      <c r="H149" s="694" t="s">
        <v>6358</v>
      </c>
      <c r="I149" s="513"/>
      <c r="J149" s="513"/>
      <c r="K149" s="513"/>
      <c r="L149" s="513"/>
      <c r="M149" s="15"/>
      <c r="N149" s="15"/>
      <c r="O149" s="15"/>
      <c r="P149" s="15"/>
    </row>
    <row r="150" spans="1:16" ht="15">
      <c r="A150" s="513">
        <v>9</v>
      </c>
      <c r="B150" s="696"/>
      <c r="C150" s="696"/>
      <c r="D150" s="515" t="s">
        <v>6359</v>
      </c>
      <c r="E150" s="539" t="s">
        <v>6360</v>
      </c>
      <c r="F150" s="513" t="s">
        <v>6356</v>
      </c>
      <c r="G150" s="694"/>
      <c r="H150" s="694"/>
      <c r="I150" s="513"/>
      <c r="J150" s="513"/>
      <c r="K150" s="513"/>
      <c r="L150" s="513"/>
      <c r="M150" s="15"/>
      <c r="N150" s="15"/>
      <c r="O150" s="15"/>
      <c r="P150" s="15"/>
    </row>
    <row r="151" spans="1:16" ht="30">
      <c r="A151" s="513">
        <v>10</v>
      </c>
      <c r="B151" s="696"/>
      <c r="C151" s="696"/>
      <c r="D151" s="515" t="s">
        <v>6361</v>
      </c>
      <c r="E151" s="539" t="s">
        <v>6362</v>
      </c>
      <c r="F151" s="513" t="s">
        <v>6356</v>
      </c>
      <c r="G151" s="694"/>
      <c r="H151" s="694"/>
      <c r="I151" s="513"/>
      <c r="J151" s="513"/>
      <c r="K151" s="513"/>
      <c r="L151" s="513"/>
      <c r="M151" s="15"/>
      <c r="N151" s="15"/>
      <c r="O151" s="15"/>
      <c r="P151" s="15"/>
    </row>
    <row r="152" spans="1:16" ht="30">
      <c r="A152" s="513">
        <v>11</v>
      </c>
      <c r="B152" s="696"/>
      <c r="C152" s="696"/>
      <c r="D152" s="515" t="s">
        <v>6363</v>
      </c>
      <c r="E152" s="539" t="s">
        <v>6362</v>
      </c>
      <c r="F152" s="513" t="s">
        <v>6356</v>
      </c>
      <c r="G152" s="694"/>
      <c r="H152" s="694"/>
      <c r="I152" s="513"/>
      <c r="J152" s="513"/>
      <c r="K152" s="513"/>
      <c r="L152" s="513"/>
      <c r="M152" s="15"/>
      <c r="N152" s="15"/>
      <c r="O152" s="15"/>
      <c r="P152" s="15"/>
    </row>
    <row r="153" spans="1:16" ht="30">
      <c r="A153" s="513">
        <v>12</v>
      </c>
      <c r="B153" s="696"/>
      <c r="C153" s="696"/>
      <c r="D153" s="515" t="s">
        <v>6364</v>
      </c>
      <c r="E153" s="539">
        <v>73.11</v>
      </c>
      <c r="F153" s="513" t="s">
        <v>6356</v>
      </c>
      <c r="G153" s="694"/>
      <c r="H153" s="694"/>
      <c r="I153" s="513"/>
      <c r="J153" s="513"/>
      <c r="K153" s="513"/>
      <c r="L153" s="513"/>
      <c r="M153" s="15"/>
      <c r="N153" s="15"/>
      <c r="O153" s="15"/>
      <c r="P153" s="15"/>
    </row>
    <row r="154" spans="1:16" ht="30">
      <c r="A154" s="513">
        <v>13</v>
      </c>
      <c r="B154" s="696"/>
      <c r="C154" s="696"/>
      <c r="D154" s="515" t="s">
        <v>6365</v>
      </c>
      <c r="E154" s="539">
        <v>73.11</v>
      </c>
      <c r="F154" s="513" t="s">
        <v>6356</v>
      </c>
      <c r="G154" s="694"/>
      <c r="H154" s="694"/>
      <c r="I154" s="513"/>
      <c r="J154" s="513"/>
      <c r="K154" s="513"/>
      <c r="L154" s="513"/>
      <c r="M154" s="15"/>
      <c r="N154" s="15"/>
      <c r="O154" s="15"/>
      <c r="P154" s="15"/>
    </row>
    <row r="155" spans="1:16" ht="30">
      <c r="A155" s="513">
        <v>14</v>
      </c>
      <c r="B155" s="696"/>
      <c r="C155" s="696"/>
      <c r="D155" s="515" t="s">
        <v>6366</v>
      </c>
      <c r="E155" s="539">
        <v>93.13</v>
      </c>
      <c r="F155" s="513" t="s">
        <v>6356</v>
      </c>
      <c r="G155" s="694"/>
      <c r="H155" s="694"/>
      <c r="I155" s="513"/>
      <c r="J155" s="513"/>
      <c r="K155" s="513"/>
      <c r="L155" s="513"/>
      <c r="M155" s="15"/>
      <c r="N155" s="15"/>
      <c r="O155" s="15"/>
      <c r="P155" s="15"/>
    </row>
    <row r="156" spans="1:16" ht="30">
      <c r="A156" s="513">
        <v>15</v>
      </c>
      <c r="B156" s="696"/>
      <c r="C156" s="696"/>
      <c r="D156" s="515" t="s">
        <v>6367</v>
      </c>
      <c r="E156" s="539" t="s">
        <v>6368</v>
      </c>
      <c r="F156" s="513" t="s">
        <v>6369</v>
      </c>
      <c r="G156" s="694" t="s">
        <v>6370</v>
      </c>
      <c r="H156" s="694" t="s">
        <v>6371</v>
      </c>
      <c r="I156" s="513"/>
      <c r="J156" s="513"/>
      <c r="K156" s="513"/>
      <c r="L156" s="513"/>
      <c r="M156" s="15"/>
      <c r="N156" s="15"/>
      <c r="O156" s="15"/>
      <c r="P156" s="15"/>
    </row>
    <row r="157" spans="1:16" ht="30">
      <c r="A157" s="513">
        <v>16</v>
      </c>
      <c r="B157" s="696"/>
      <c r="C157" s="696"/>
      <c r="D157" s="515" t="s">
        <v>6372</v>
      </c>
      <c r="E157" s="539" t="s">
        <v>6373</v>
      </c>
      <c r="F157" s="513" t="s">
        <v>6369</v>
      </c>
      <c r="G157" s="694"/>
      <c r="H157" s="694"/>
      <c r="I157" s="513"/>
      <c r="J157" s="513"/>
      <c r="K157" s="513"/>
      <c r="L157" s="513"/>
      <c r="M157" s="15"/>
      <c r="N157" s="15"/>
      <c r="O157" s="15"/>
      <c r="P157" s="15"/>
    </row>
    <row r="158" spans="1:16">
      <c r="A158" s="140"/>
      <c r="B158" s="144"/>
      <c r="C158" s="140"/>
      <c r="D158" s="140"/>
      <c r="E158" s="140"/>
      <c r="F158" s="140"/>
      <c r="G158" s="140"/>
      <c r="H158" s="140"/>
      <c r="I158" s="140"/>
      <c r="J158" s="140"/>
      <c r="K158" s="140"/>
      <c r="L158" s="140"/>
      <c r="M158" s="15"/>
      <c r="N158" s="15"/>
      <c r="O158" s="15"/>
      <c r="P158" s="15"/>
    </row>
    <row r="159" spans="1:16" ht="31.5" customHeight="1">
      <c r="A159" s="140"/>
      <c r="B159" s="529" t="s">
        <v>363</v>
      </c>
      <c r="C159" s="696" t="s">
        <v>6374</v>
      </c>
      <c r="D159" s="696"/>
      <c r="E159" s="696"/>
      <c r="F159" s="696"/>
      <c r="G159" s="696"/>
      <c r="H159" s="696"/>
      <c r="I159" s="696"/>
      <c r="J159" s="696"/>
      <c r="K159" s="696"/>
      <c r="L159" s="696"/>
      <c r="M159" s="15"/>
      <c r="N159" s="15"/>
      <c r="O159" s="15"/>
      <c r="P159" s="15"/>
    </row>
    <row r="160" spans="1:16" ht="15">
      <c r="A160" s="140"/>
      <c r="B160" s="529" t="s">
        <v>370</v>
      </c>
      <c r="C160" s="729" t="s">
        <v>6375</v>
      </c>
      <c r="D160" s="729"/>
      <c r="E160" s="729"/>
      <c r="F160" s="729"/>
      <c r="G160" s="729"/>
      <c r="H160" s="729"/>
      <c r="I160" s="729"/>
      <c r="J160" s="729"/>
      <c r="K160" s="729"/>
      <c r="L160" s="729"/>
      <c r="M160" s="15"/>
      <c r="N160" s="15"/>
      <c r="O160" s="15"/>
      <c r="P160" s="15"/>
    </row>
    <row r="161" spans="1:16" ht="15">
      <c r="A161" s="140"/>
      <c r="B161" s="529"/>
      <c r="C161" s="536"/>
      <c r="D161" s="536"/>
      <c r="E161" s="536"/>
      <c r="F161" s="536"/>
      <c r="G161" s="536"/>
      <c r="H161" s="536"/>
      <c r="I161" s="536"/>
      <c r="J161" s="536"/>
      <c r="K161" s="536"/>
      <c r="L161" s="536"/>
      <c r="M161" s="15"/>
      <c r="N161" s="15"/>
      <c r="O161" s="15"/>
      <c r="P161" s="15"/>
    </row>
    <row r="162" spans="1:16" ht="57">
      <c r="A162" s="720" t="s">
        <v>1661</v>
      </c>
      <c r="B162" s="720"/>
      <c r="C162" s="720"/>
      <c r="D162" s="720"/>
      <c r="E162" s="720"/>
      <c r="F162" s="720"/>
      <c r="G162" s="720"/>
      <c r="H162" s="720"/>
      <c r="I162" s="720"/>
      <c r="J162" s="720"/>
      <c r="K162" s="720"/>
      <c r="L162" s="720"/>
      <c r="M162" s="720"/>
      <c r="N162" s="720"/>
      <c r="O162" s="720"/>
      <c r="P162" s="143" t="s">
        <v>1623</v>
      </c>
    </row>
    <row r="163" spans="1:16">
      <c r="A163" s="720">
        <v>13</v>
      </c>
      <c r="B163" s="720"/>
      <c r="C163" s="720"/>
      <c r="D163" s="720"/>
      <c r="E163" s="720"/>
      <c r="F163" s="720"/>
      <c r="G163" s="720"/>
      <c r="H163" s="720"/>
      <c r="I163" s="720"/>
      <c r="J163" s="720"/>
      <c r="K163" s="720"/>
      <c r="L163" s="720"/>
      <c r="M163" s="720"/>
      <c r="N163" s="720"/>
      <c r="O163" s="720"/>
      <c r="P163" s="18">
        <v>14</v>
      </c>
    </row>
    <row r="164" spans="1:16" ht="15">
      <c r="A164" s="720" t="s">
        <v>1662</v>
      </c>
      <c r="B164" s="720"/>
      <c r="C164" s="720"/>
      <c r="D164" s="720" t="s">
        <v>1663</v>
      </c>
      <c r="E164" s="720"/>
      <c r="F164" s="720"/>
      <c r="G164" s="720" t="s">
        <v>1664</v>
      </c>
      <c r="H164" s="720"/>
      <c r="I164" s="720"/>
      <c r="J164" s="720" t="s">
        <v>1665</v>
      </c>
      <c r="K164" s="720"/>
      <c r="L164" s="720"/>
      <c r="M164" s="720" t="s">
        <v>1666</v>
      </c>
      <c r="N164" s="720"/>
      <c r="O164" s="720"/>
      <c r="P164" s="310"/>
    </row>
    <row r="165" spans="1:16" ht="15">
      <c r="A165" s="517" t="s">
        <v>1667</v>
      </c>
      <c r="B165" s="517" t="s">
        <v>1668</v>
      </c>
      <c r="C165" s="544" t="s">
        <v>418</v>
      </c>
      <c r="D165" s="517" t="s">
        <v>1667</v>
      </c>
      <c r="E165" s="517" t="s">
        <v>1668</v>
      </c>
      <c r="F165" s="544" t="s">
        <v>418</v>
      </c>
      <c r="G165" s="517" t="s">
        <v>1667</v>
      </c>
      <c r="H165" s="517" t="s">
        <v>1668</v>
      </c>
      <c r="I165" s="544" t="s">
        <v>418</v>
      </c>
      <c r="J165" s="517" t="s">
        <v>1667</v>
      </c>
      <c r="K165" s="517" t="s">
        <v>1668</v>
      </c>
      <c r="L165" s="544" t="s">
        <v>418</v>
      </c>
      <c r="M165" s="517" t="s">
        <v>1667</v>
      </c>
      <c r="N165" s="517" t="s">
        <v>1668</v>
      </c>
      <c r="O165" s="544" t="s">
        <v>418</v>
      </c>
      <c r="P165" s="517"/>
    </row>
    <row r="166" spans="1:16" ht="15">
      <c r="A166" s="527">
        <v>66</v>
      </c>
      <c r="B166" s="527">
        <v>66</v>
      </c>
      <c r="C166" s="527">
        <v>47</v>
      </c>
      <c r="D166" s="527">
        <v>199</v>
      </c>
      <c r="E166" s="527">
        <v>199</v>
      </c>
      <c r="F166" s="527">
        <v>166</v>
      </c>
      <c r="G166" s="527">
        <v>126</v>
      </c>
      <c r="H166" s="527">
        <v>126</v>
      </c>
      <c r="I166" s="527">
        <v>109</v>
      </c>
      <c r="J166" s="527">
        <v>38</v>
      </c>
      <c r="K166" s="527">
        <v>38</v>
      </c>
      <c r="L166" s="527">
        <v>37</v>
      </c>
      <c r="M166" s="521">
        <v>5</v>
      </c>
      <c r="N166" s="521">
        <v>5</v>
      </c>
      <c r="O166" s="521">
        <v>5</v>
      </c>
      <c r="P166" s="521" t="s">
        <v>6376</v>
      </c>
    </row>
    <row r="167" spans="1:16" ht="15">
      <c r="A167" s="521">
        <v>1</v>
      </c>
      <c r="B167" s="521">
        <v>1</v>
      </c>
      <c r="C167" s="521">
        <v>1</v>
      </c>
      <c r="D167" s="521">
        <v>0</v>
      </c>
      <c r="E167" s="521">
        <v>0</v>
      </c>
      <c r="F167" s="521">
        <v>0</v>
      </c>
      <c r="G167" s="521">
        <v>5</v>
      </c>
      <c r="H167" s="521">
        <v>4</v>
      </c>
      <c r="I167" s="521">
        <v>4</v>
      </c>
      <c r="J167" s="521">
        <v>2</v>
      </c>
      <c r="K167" s="521">
        <v>2</v>
      </c>
      <c r="L167" s="521">
        <v>2</v>
      </c>
      <c r="M167" s="527"/>
      <c r="N167" s="527"/>
      <c r="O167" s="527"/>
      <c r="P167" s="521" t="s">
        <v>6345</v>
      </c>
    </row>
    <row r="168" spans="1:16" ht="15">
      <c r="A168" s="527">
        <v>2</v>
      </c>
      <c r="B168" s="527">
        <v>2</v>
      </c>
      <c r="C168" s="527">
        <v>2</v>
      </c>
      <c r="D168" s="527">
        <v>9</v>
      </c>
      <c r="E168" s="527">
        <v>9</v>
      </c>
      <c r="F168" s="527">
        <v>9</v>
      </c>
      <c r="G168" s="527">
        <v>18</v>
      </c>
      <c r="H168" s="527">
        <v>18</v>
      </c>
      <c r="I168" s="527">
        <v>18</v>
      </c>
      <c r="J168" s="527">
        <v>6</v>
      </c>
      <c r="K168" s="527">
        <v>6</v>
      </c>
      <c r="L168" s="527">
        <v>6</v>
      </c>
      <c r="M168" s="527">
        <v>2</v>
      </c>
      <c r="N168" s="527">
        <v>2</v>
      </c>
      <c r="O168" s="527">
        <v>2</v>
      </c>
      <c r="P168" s="521" t="s">
        <v>6377</v>
      </c>
    </row>
    <row r="169" spans="1:16" ht="15">
      <c r="A169" s="527">
        <v>2</v>
      </c>
      <c r="B169" s="527">
        <v>0</v>
      </c>
      <c r="C169" s="527">
        <v>0</v>
      </c>
      <c r="D169" s="527">
        <v>4</v>
      </c>
      <c r="E169" s="527">
        <v>0</v>
      </c>
      <c r="F169" s="527">
        <v>0</v>
      </c>
      <c r="G169" s="527">
        <v>11</v>
      </c>
      <c r="H169" s="527">
        <v>0</v>
      </c>
      <c r="I169" s="527">
        <v>0</v>
      </c>
      <c r="J169" s="527">
        <v>2</v>
      </c>
      <c r="K169" s="527">
        <v>0</v>
      </c>
      <c r="L169" s="527">
        <v>0</v>
      </c>
      <c r="M169" s="527">
        <v>1</v>
      </c>
      <c r="N169" s="527">
        <v>0</v>
      </c>
      <c r="O169" s="527">
        <v>0</v>
      </c>
      <c r="P169" s="521" t="s">
        <v>6378</v>
      </c>
    </row>
    <row r="170" spans="1:16" ht="15">
      <c r="A170" s="527">
        <v>0</v>
      </c>
      <c r="B170" s="527">
        <v>0</v>
      </c>
      <c r="C170" s="527">
        <v>0</v>
      </c>
      <c r="D170" s="527">
        <v>3</v>
      </c>
      <c r="E170" s="527">
        <v>3</v>
      </c>
      <c r="F170" s="527">
        <v>2</v>
      </c>
      <c r="G170" s="527">
        <v>3</v>
      </c>
      <c r="H170" s="527">
        <v>3</v>
      </c>
      <c r="I170" s="527">
        <v>2</v>
      </c>
      <c r="J170" s="527">
        <v>4</v>
      </c>
      <c r="K170" s="527">
        <v>4</v>
      </c>
      <c r="L170" s="527">
        <v>0</v>
      </c>
      <c r="M170" s="527">
        <v>0</v>
      </c>
      <c r="N170" s="527">
        <v>0</v>
      </c>
      <c r="O170" s="527">
        <v>0</v>
      </c>
      <c r="P170" s="521" t="s">
        <v>6379</v>
      </c>
    </row>
    <row r="171" spans="1:16" ht="15">
      <c r="A171" s="527">
        <v>0</v>
      </c>
      <c r="B171" s="527">
        <v>0</v>
      </c>
      <c r="C171" s="527">
        <v>0</v>
      </c>
      <c r="D171" s="527">
        <v>18</v>
      </c>
      <c r="E171" s="527">
        <v>7</v>
      </c>
      <c r="F171" s="527">
        <v>11</v>
      </c>
      <c r="G171" s="527">
        <v>11</v>
      </c>
      <c r="H171" s="527">
        <v>9</v>
      </c>
      <c r="I171" s="527">
        <v>2</v>
      </c>
      <c r="J171" s="527">
        <v>1</v>
      </c>
      <c r="K171" s="527">
        <v>0</v>
      </c>
      <c r="L171" s="527">
        <v>1</v>
      </c>
      <c r="M171" s="527">
        <v>0</v>
      </c>
      <c r="N171" s="527">
        <v>0</v>
      </c>
      <c r="O171" s="527">
        <v>0</v>
      </c>
      <c r="P171" s="521" t="s">
        <v>6380</v>
      </c>
    </row>
    <row r="172" spans="1:16">
      <c r="A172" s="145">
        <f>SUM(A166:A171)</f>
        <v>71</v>
      </c>
      <c r="B172" s="145">
        <f t="shared" ref="B172:O172" si="0">SUM(B166:B171)</f>
        <v>69</v>
      </c>
      <c r="C172" s="145">
        <f t="shared" si="0"/>
        <v>50</v>
      </c>
      <c r="D172" s="145">
        <f t="shared" si="0"/>
        <v>233</v>
      </c>
      <c r="E172" s="145">
        <f t="shared" si="0"/>
        <v>218</v>
      </c>
      <c r="F172" s="145">
        <f t="shared" si="0"/>
        <v>188</v>
      </c>
      <c r="G172" s="145">
        <f t="shared" si="0"/>
        <v>174</v>
      </c>
      <c r="H172" s="145">
        <f t="shared" si="0"/>
        <v>160</v>
      </c>
      <c r="I172" s="145">
        <f t="shared" si="0"/>
        <v>135</v>
      </c>
      <c r="J172" s="145">
        <f t="shared" si="0"/>
        <v>53</v>
      </c>
      <c r="K172" s="145">
        <f t="shared" si="0"/>
        <v>50</v>
      </c>
      <c r="L172" s="145">
        <f t="shared" si="0"/>
        <v>46</v>
      </c>
      <c r="M172" s="145">
        <f t="shared" si="0"/>
        <v>8</v>
      </c>
      <c r="N172" s="145">
        <f t="shared" si="0"/>
        <v>7</v>
      </c>
      <c r="O172" s="145">
        <f t="shared" si="0"/>
        <v>7</v>
      </c>
      <c r="P172" s="245" t="s">
        <v>6381</v>
      </c>
    </row>
    <row r="173" spans="1:16" ht="15">
      <c r="A173" s="720" t="s">
        <v>1670</v>
      </c>
      <c r="B173" s="720"/>
      <c r="C173" s="720"/>
      <c r="D173" s="720" t="s">
        <v>1671</v>
      </c>
      <c r="E173" s="720"/>
      <c r="F173" s="720"/>
      <c r="G173" s="720" t="s">
        <v>1672</v>
      </c>
      <c r="H173" s="720"/>
      <c r="I173" s="720"/>
      <c r="J173" s="716"/>
      <c r="K173" s="716"/>
      <c r="L173" s="716"/>
      <c r="M173" s="716"/>
      <c r="N173" s="716"/>
      <c r="O173" s="716"/>
      <c r="P173" s="310"/>
    </row>
    <row r="174" spans="1:16" ht="15">
      <c r="A174" s="517" t="s">
        <v>1667</v>
      </c>
      <c r="B174" s="517" t="s">
        <v>1668</v>
      </c>
      <c r="C174" s="544" t="s">
        <v>418</v>
      </c>
      <c r="D174" s="517" t="s">
        <v>1667</v>
      </c>
      <c r="E174" s="517" t="s">
        <v>1668</v>
      </c>
      <c r="F174" s="544" t="s">
        <v>418</v>
      </c>
      <c r="G174" s="517" t="s">
        <v>1667</v>
      </c>
      <c r="H174" s="517" t="s">
        <v>1668</v>
      </c>
      <c r="I174" s="544" t="s">
        <v>418</v>
      </c>
      <c r="J174" s="716"/>
      <c r="K174" s="716"/>
      <c r="L174" s="716"/>
      <c r="M174" s="716"/>
      <c r="N174" s="716"/>
      <c r="O174" s="716"/>
      <c r="P174" s="310"/>
    </row>
    <row r="175" spans="1:16" ht="15">
      <c r="A175" s="517">
        <v>0</v>
      </c>
      <c r="B175" s="517">
        <v>0</v>
      </c>
      <c r="C175" s="517">
        <v>0</v>
      </c>
      <c r="D175" s="517">
        <v>0</v>
      </c>
      <c r="E175" s="517">
        <v>0</v>
      </c>
      <c r="F175" s="517">
        <v>0</v>
      </c>
      <c r="G175" s="517">
        <v>0</v>
      </c>
      <c r="H175" s="517">
        <v>0</v>
      </c>
      <c r="I175" s="544">
        <v>0</v>
      </c>
      <c r="J175" s="716"/>
      <c r="K175" s="716"/>
      <c r="L175" s="716"/>
      <c r="M175" s="716"/>
      <c r="N175" s="716"/>
      <c r="O175" s="716"/>
      <c r="P175" s="310"/>
    </row>
    <row r="176" spans="1:16">
      <c r="A176" s="693"/>
      <c r="B176" s="693"/>
      <c r="C176" s="693"/>
      <c r="D176" s="693"/>
      <c r="E176" s="693"/>
      <c r="F176" s="693"/>
      <c r="G176" s="693"/>
      <c r="H176" s="693"/>
      <c r="I176" s="693"/>
      <c r="J176" s="693"/>
      <c r="K176" s="693"/>
      <c r="L176" s="693"/>
      <c r="M176" s="693"/>
      <c r="N176" s="693"/>
      <c r="O176" s="693"/>
      <c r="P176" s="693"/>
    </row>
    <row r="177" spans="1:16" ht="22.5">
      <c r="A177" s="718" t="s">
        <v>6279</v>
      </c>
      <c r="B177" s="718"/>
      <c r="C177" s="718"/>
      <c r="D177" s="718"/>
      <c r="E177" s="718"/>
      <c r="F177" s="718"/>
      <c r="G177" s="718"/>
      <c r="H177" s="718"/>
      <c r="I177" s="718"/>
      <c r="J177" s="718"/>
      <c r="K177" s="718"/>
      <c r="L177" s="718"/>
      <c r="M177" s="718"/>
      <c r="N177" s="718"/>
      <c r="O177" s="718"/>
      <c r="P177" s="718"/>
    </row>
    <row r="178" spans="1:16" ht="20.25">
      <c r="A178" s="725" t="s">
        <v>6280</v>
      </c>
      <c r="B178" s="725"/>
      <c r="C178" s="725"/>
      <c r="D178" s="725"/>
      <c r="E178" s="725"/>
      <c r="F178" s="725"/>
      <c r="G178" s="725"/>
      <c r="H178" s="725"/>
      <c r="I178" s="725"/>
      <c r="J178" s="725"/>
      <c r="K178" s="725"/>
      <c r="L178" s="725"/>
      <c r="M178" s="548"/>
      <c r="N178" s="548"/>
      <c r="O178" s="15"/>
      <c r="P178" s="15"/>
    </row>
    <row r="179" spans="1:16" ht="114">
      <c r="A179" s="18" t="s">
        <v>0</v>
      </c>
      <c r="B179" s="18" t="s">
        <v>2582</v>
      </c>
      <c r="C179" s="18" t="s">
        <v>6590</v>
      </c>
      <c r="D179" s="18" t="s">
        <v>1648</v>
      </c>
      <c r="E179" s="18" t="s">
        <v>6277</v>
      </c>
      <c r="F179" s="18" t="s">
        <v>1619</v>
      </c>
      <c r="G179" s="19" t="s">
        <v>1649</v>
      </c>
      <c r="H179" s="18" t="s">
        <v>6281</v>
      </c>
      <c r="I179" s="18" t="s">
        <v>1620</v>
      </c>
      <c r="J179" s="19" t="s">
        <v>1650</v>
      </c>
      <c r="K179" s="20" t="s">
        <v>1651</v>
      </c>
      <c r="L179" s="20" t="s">
        <v>1622</v>
      </c>
      <c r="M179" s="15"/>
      <c r="N179" s="15"/>
      <c r="O179" s="15"/>
      <c r="P179" s="15"/>
    </row>
    <row r="180" spans="1:16">
      <c r="A180" s="530">
        <v>1</v>
      </c>
      <c r="B180" s="530">
        <v>2</v>
      </c>
      <c r="C180" s="530">
        <v>3</v>
      </c>
      <c r="D180" s="530">
        <v>4</v>
      </c>
      <c r="E180" s="530">
        <v>5</v>
      </c>
      <c r="F180" s="530">
        <v>6</v>
      </c>
      <c r="G180" s="530">
        <v>7</v>
      </c>
      <c r="H180" s="530">
        <v>8</v>
      </c>
      <c r="I180" s="19">
        <v>9</v>
      </c>
      <c r="J180" s="530">
        <v>10</v>
      </c>
      <c r="K180" s="530">
        <v>11</v>
      </c>
      <c r="L180" s="530">
        <v>12</v>
      </c>
      <c r="M180" s="15"/>
      <c r="N180" s="15"/>
      <c r="O180" s="15"/>
      <c r="P180" s="15"/>
    </row>
    <row r="181" spans="1:16" ht="60">
      <c r="A181" s="513">
        <v>1</v>
      </c>
      <c r="B181" s="706" t="s">
        <v>3536</v>
      </c>
      <c r="C181" s="706" t="s">
        <v>6382</v>
      </c>
      <c r="D181" s="511" t="s">
        <v>431</v>
      </c>
      <c r="E181" s="544">
        <v>2418.21</v>
      </c>
      <c r="F181" s="544">
        <v>1963</v>
      </c>
      <c r="G181" s="544" t="s">
        <v>429</v>
      </c>
      <c r="H181" s="544"/>
      <c r="I181" s="544"/>
      <c r="J181" s="247"/>
      <c r="K181" s="544">
        <v>1</v>
      </c>
      <c r="L181" s="544" t="s">
        <v>302</v>
      </c>
      <c r="M181" s="15"/>
      <c r="N181" s="15"/>
      <c r="O181" s="15"/>
      <c r="P181" s="15"/>
    </row>
    <row r="182" spans="1:16" ht="45">
      <c r="A182" s="513">
        <v>2</v>
      </c>
      <c r="B182" s="706"/>
      <c r="C182" s="706"/>
      <c r="D182" s="511" t="s">
        <v>436</v>
      </c>
      <c r="E182" s="544" t="s">
        <v>437</v>
      </c>
      <c r="F182" s="544">
        <v>1983</v>
      </c>
      <c r="G182" s="544" t="s">
        <v>429</v>
      </c>
      <c r="H182" s="544">
        <v>0.23</v>
      </c>
      <c r="I182" s="544">
        <v>797.06</v>
      </c>
      <c r="J182" s="247"/>
      <c r="K182" s="544">
        <v>2</v>
      </c>
      <c r="L182" s="544" t="s">
        <v>302</v>
      </c>
      <c r="M182" s="15"/>
      <c r="N182" s="15"/>
      <c r="O182" s="15"/>
      <c r="P182" s="15"/>
    </row>
    <row r="183" spans="1:16" ht="45">
      <c r="A183" s="513">
        <v>3</v>
      </c>
      <c r="B183" s="706"/>
      <c r="C183" s="706"/>
      <c r="D183" s="511" t="s">
        <v>440</v>
      </c>
      <c r="E183" s="513" t="s">
        <v>6383</v>
      </c>
      <c r="F183" s="513" t="s">
        <v>442</v>
      </c>
      <c r="G183" s="513" t="s">
        <v>2054</v>
      </c>
      <c r="H183" s="513">
        <v>0.79</v>
      </c>
      <c r="I183" s="513">
        <v>1.8</v>
      </c>
      <c r="J183" s="513"/>
      <c r="K183" s="513">
        <v>3</v>
      </c>
      <c r="L183" s="513" t="s">
        <v>302</v>
      </c>
      <c r="M183" s="15"/>
      <c r="N183" s="15"/>
      <c r="O183" s="15"/>
      <c r="P183" s="15"/>
    </row>
    <row r="184" spans="1:16" ht="45">
      <c r="A184" s="513">
        <v>4</v>
      </c>
      <c r="B184" s="706"/>
      <c r="C184" s="706"/>
      <c r="D184" s="511" t="s">
        <v>444</v>
      </c>
      <c r="E184" s="513" t="s">
        <v>6384</v>
      </c>
      <c r="F184" s="513" t="s">
        <v>446</v>
      </c>
      <c r="G184" s="513" t="s">
        <v>2054</v>
      </c>
      <c r="H184" s="513">
        <v>6.43</v>
      </c>
      <c r="I184" s="513">
        <v>28.87</v>
      </c>
      <c r="J184" s="513"/>
      <c r="K184" s="513">
        <v>4</v>
      </c>
      <c r="L184" s="513" t="s">
        <v>302</v>
      </c>
      <c r="M184" s="15"/>
      <c r="N184" s="15"/>
      <c r="O184" s="15"/>
      <c r="P184" s="15"/>
    </row>
    <row r="185" spans="1:16" ht="60">
      <c r="A185" s="513">
        <v>5</v>
      </c>
      <c r="B185" s="706"/>
      <c r="C185" s="706"/>
      <c r="D185" s="511" t="s">
        <v>447</v>
      </c>
      <c r="E185" s="513" t="s">
        <v>6385</v>
      </c>
      <c r="F185" s="513" t="s">
        <v>449</v>
      </c>
      <c r="G185" s="513" t="s">
        <v>2054</v>
      </c>
      <c r="H185" s="513">
        <v>3.89</v>
      </c>
      <c r="I185" s="513">
        <v>17.04</v>
      </c>
      <c r="J185" s="513"/>
      <c r="K185" s="513">
        <v>5</v>
      </c>
      <c r="L185" s="513" t="s">
        <v>302</v>
      </c>
      <c r="M185" s="15"/>
      <c r="N185" s="15"/>
      <c r="O185" s="15"/>
      <c r="P185" s="15"/>
    </row>
    <row r="186" spans="1:16" ht="45">
      <c r="A186" s="513">
        <v>6</v>
      </c>
      <c r="B186" s="706"/>
      <c r="C186" s="706" t="s">
        <v>481</v>
      </c>
      <c r="D186" s="511" t="s">
        <v>545</v>
      </c>
      <c r="E186" s="513" t="s">
        <v>6386</v>
      </c>
      <c r="F186" s="513">
        <v>1984</v>
      </c>
      <c r="G186" s="544" t="s">
        <v>484</v>
      </c>
      <c r="H186" s="513">
        <v>0.64</v>
      </c>
      <c r="I186" s="544" t="s">
        <v>484</v>
      </c>
      <c r="J186" s="247" t="s">
        <v>484</v>
      </c>
      <c r="K186" s="544">
        <v>6</v>
      </c>
      <c r="L186" s="544"/>
      <c r="M186" s="15"/>
      <c r="N186" s="15"/>
      <c r="O186" s="15"/>
      <c r="P186" s="15"/>
    </row>
    <row r="187" spans="1:16" ht="105">
      <c r="A187" s="513">
        <v>7</v>
      </c>
      <c r="B187" s="706"/>
      <c r="C187" s="706"/>
      <c r="D187" s="511" t="s">
        <v>6387</v>
      </c>
      <c r="E187" s="513" t="s">
        <v>6388</v>
      </c>
      <c r="F187" s="513" t="s">
        <v>484</v>
      </c>
      <c r="G187" s="513" t="s">
        <v>6389</v>
      </c>
      <c r="H187" s="513">
        <v>0.94</v>
      </c>
      <c r="I187" s="544" t="s">
        <v>484</v>
      </c>
      <c r="J187" s="247" t="s">
        <v>6390</v>
      </c>
      <c r="K187" s="513"/>
      <c r="L187" s="513"/>
      <c r="M187" s="15"/>
      <c r="N187" s="15"/>
      <c r="O187" s="15"/>
      <c r="P187" s="15"/>
    </row>
    <row r="188" spans="1:16" ht="105">
      <c r="A188" s="513">
        <v>8</v>
      </c>
      <c r="B188" s="706"/>
      <c r="C188" s="706"/>
      <c r="D188" s="511" t="s">
        <v>6596</v>
      </c>
      <c r="E188" s="513" t="s">
        <v>6391</v>
      </c>
      <c r="F188" s="513" t="s">
        <v>484</v>
      </c>
      <c r="G188" s="513" t="s">
        <v>6389</v>
      </c>
      <c r="H188" s="513">
        <v>0.5</v>
      </c>
      <c r="I188" s="544" t="s">
        <v>484</v>
      </c>
      <c r="J188" s="247" t="s">
        <v>6392</v>
      </c>
      <c r="K188" s="513"/>
      <c r="L188" s="513"/>
      <c r="M188" s="15"/>
      <c r="N188" s="15"/>
      <c r="O188" s="15"/>
      <c r="P188" s="15"/>
    </row>
    <row r="189" spans="1:16" ht="105">
      <c r="A189" s="513">
        <v>9</v>
      </c>
      <c r="B189" s="706"/>
      <c r="C189" s="706"/>
      <c r="D189" s="511" t="s">
        <v>6594</v>
      </c>
      <c r="E189" s="513" t="s">
        <v>6393</v>
      </c>
      <c r="F189" s="513" t="s">
        <v>484</v>
      </c>
      <c r="G189" s="513" t="s">
        <v>6389</v>
      </c>
      <c r="H189" s="513">
        <v>0.19</v>
      </c>
      <c r="I189" s="544" t="s">
        <v>484</v>
      </c>
      <c r="J189" s="247" t="s">
        <v>6394</v>
      </c>
      <c r="K189" s="513"/>
      <c r="L189" s="513"/>
      <c r="M189" s="15"/>
      <c r="N189" s="15"/>
      <c r="O189" s="15"/>
      <c r="P189" s="15"/>
    </row>
    <row r="190" spans="1:16" ht="105">
      <c r="A190" s="513">
        <v>10</v>
      </c>
      <c r="B190" s="706"/>
      <c r="C190" s="515" t="s">
        <v>6395</v>
      </c>
      <c r="D190" s="511" t="s">
        <v>6595</v>
      </c>
      <c r="E190" s="513" t="s">
        <v>6396</v>
      </c>
      <c r="F190" s="513" t="s">
        <v>6397</v>
      </c>
      <c r="G190" s="513" t="s">
        <v>6398</v>
      </c>
      <c r="H190" s="513">
        <v>0.43</v>
      </c>
      <c r="I190" s="544" t="s">
        <v>484</v>
      </c>
      <c r="J190" s="247" t="s">
        <v>484</v>
      </c>
      <c r="K190" s="513"/>
      <c r="L190" s="513">
        <v>1</v>
      </c>
      <c r="M190" s="15"/>
      <c r="N190" s="15"/>
      <c r="O190" s="15"/>
      <c r="P190" s="15"/>
    </row>
    <row r="191" spans="1:16" ht="75">
      <c r="A191" s="513">
        <v>11</v>
      </c>
      <c r="B191" s="706"/>
      <c r="C191" s="696" t="s">
        <v>486</v>
      </c>
      <c r="D191" s="515" t="s">
        <v>6399</v>
      </c>
      <c r="E191" s="513" t="s">
        <v>6400</v>
      </c>
      <c r="F191" s="246">
        <v>1995</v>
      </c>
      <c r="G191" s="513" t="s">
        <v>214</v>
      </c>
      <c r="H191" s="513" t="s">
        <v>6401</v>
      </c>
      <c r="I191" s="513" t="s">
        <v>6402</v>
      </c>
      <c r="J191" s="539" t="s">
        <v>6403</v>
      </c>
      <c r="K191" s="513">
        <v>7</v>
      </c>
      <c r="L191" s="513">
        <v>2</v>
      </c>
      <c r="M191" s="15"/>
      <c r="N191" s="15"/>
      <c r="O191" s="15"/>
      <c r="P191" s="15"/>
    </row>
    <row r="192" spans="1:16" ht="75">
      <c r="A192" s="513">
        <v>12</v>
      </c>
      <c r="B192" s="706"/>
      <c r="C192" s="696"/>
      <c r="D192" s="511" t="s">
        <v>6404</v>
      </c>
      <c r="E192" s="513" t="s">
        <v>6405</v>
      </c>
      <c r="F192" s="246">
        <v>2000</v>
      </c>
      <c r="G192" s="513" t="s">
        <v>214</v>
      </c>
      <c r="H192" s="513" t="s">
        <v>6406</v>
      </c>
      <c r="I192" s="513" t="s">
        <v>6407</v>
      </c>
      <c r="J192" s="539" t="s">
        <v>6403</v>
      </c>
      <c r="K192" s="513">
        <v>8</v>
      </c>
      <c r="L192" s="513" t="s">
        <v>6408</v>
      </c>
      <c r="M192" s="15"/>
      <c r="N192" s="15"/>
      <c r="O192" s="15"/>
      <c r="P192" s="15"/>
    </row>
    <row r="193" spans="1:16" ht="75">
      <c r="A193" s="513">
        <v>13</v>
      </c>
      <c r="B193" s="706"/>
      <c r="C193" s="696"/>
      <c r="D193" s="515" t="s">
        <v>6409</v>
      </c>
      <c r="E193" s="513" t="s">
        <v>6410</v>
      </c>
      <c r="F193" s="246">
        <v>2005</v>
      </c>
      <c r="G193" s="513" t="s">
        <v>214</v>
      </c>
      <c r="H193" s="513" t="s">
        <v>6411</v>
      </c>
      <c r="I193" s="513" t="s">
        <v>6412</v>
      </c>
      <c r="J193" s="539" t="s">
        <v>6403</v>
      </c>
      <c r="K193" s="513">
        <v>9</v>
      </c>
      <c r="L193" s="513">
        <v>3</v>
      </c>
      <c r="M193" s="15"/>
      <c r="N193" s="15"/>
      <c r="O193" s="15"/>
      <c r="P193" s="15"/>
    </row>
    <row r="194" spans="1:16" ht="30">
      <c r="A194" s="513">
        <v>14</v>
      </c>
      <c r="B194" s="706"/>
      <c r="C194" s="511" t="s">
        <v>450</v>
      </c>
      <c r="D194" s="511" t="s">
        <v>562</v>
      </c>
      <c r="E194" s="513">
        <v>4856</v>
      </c>
      <c r="F194" s="513" t="s">
        <v>6413</v>
      </c>
      <c r="G194" s="513" t="s">
        <v>6414</v>
      </c>
      <c r="H194" s="513">
        <v>2.5299999999999998</v>
      </c>
      <c r="I194" s="544"/>
      <c r="J194" s="54" t="s">
        <v>454</v>
      </c>
      <c r="K194" s="513">
        <v>10</v>
      </c>
      <c r="L194" s="544"/>
      <c r="M194" s="15"/>
      <c r="N194" s="15"/>
      <c r="O194" s="15"/>
      <c r="P194" s="15"/>
    </row>
    <row r="195" spans="1:16" ht="45">
      <c r="A195" s="513">
        <v>15</v>
      </c>
      <c r="B195" s="706"/>
      <c r="C195" s="706" t="s">
        <v>508</v>
      </c>
      <c r="D195" s="73" t="s">
        <v>6415</v>
      </c>
      <c r="E195" s="539">
        <v>16505</v>
      </c>
      <c r="F195" s="539">
        <v>1987</v>
      </c>
      <c r="G195" s="539" t="s">
        <v>17</v>
      </c>
      <c r="H195" s="539">
        <v>6.7519999999999998</v>
      </c>
      <c r="I195" s="539"/>
      <c r="J195" s="539" t="s">
        <v>87</v>
      </c>
      <c r="K195" s="539">
        <v>11</v>
      </c>
      <c r="L195" s="539"/>
      <c r="M195" s="15"/>
      <c r="N195" s="15"/>
      <c r="O195" s="15"/>
      <c r="P195" s="15"/>
    </row>
    <row r="196" spans="1:16" ht="30">
      <c r="A196" s="513">
        <v>16</v>
      </c>
      <c r="B196" s="706"/>
      <c r="C196" s="706"/>
      <c r="D196" s="73" t="s">
        <v>564</v>
      </c>
      <c r="E196" s="539">
        <v>1561</v>
      </c>
      <c r="F196" s="539">
        <v>1991</v>
      </c>
      <c r="G196" s="539" t="s">
        <v>17</v>
      </c>
      <c r="H196" s="539">
        <v>0.504</v>
      </c>
      <c r="I196" s="539"/>
      <c r="J196" s="539" t="s">
        <v>87</v>
      </c>
      <c r="K196" s="539">
        <v>12</v>
      </c>
      <c r="L196" s="539">
        <v>6</v>
      </c>
      <c r="M196" s="15"/>
      <c r="N196" s="15"/>
      <c r="O196" s="15"/>
      <c r="P196" s="15"/>
    </row>
    <row r="197" spans="1:16" ht="30">
      <c r="A197" s="513">
        <v>17</v>
      </c>
      <c r="B197" s="706"/>
      <c r="C197" s="706"/>
      <c r="D197" s="73" t="s">
        <v>565</v>
      </c>
      <c r="E197" s="539">
        <v>1146</v>
      </c>
      <c r="F197" s="539" t="s">
        <v>6416</v>
      </c>
      <c r="G197" s="539" t="s">
        <v>17</v>
      </c>
      <c r="H197" s="539">
        <v>0.501</v>
      </c>
      <c r="I197" s="539"/>
      <c r="J197" s="539" t="s">
        <v>87</v>
      </c>
      <c r="K197" s="539">
        <v>13</v>
      </c>
      <c r="L197" s="539"/>
      <c r="M197" s="15"/>
      <c r="N197" s="15"/>
      <c r="O197" s="15"/>
      <c r="P197" s="15"/>
    </row>
    <row r="198" spans="1:16" ht="30">
      <c r="A198" s="513">
        <v>18</v>
      </c>
      <c r="B198" s="706"/>
      <c r="C198" s="706"/>
      <c r="D198" s="73" t="s">
        <v>566</v>
      </c>
      <c r="E198" s="539">
        <v>738</v>
      </c>
      <c r="F198" s="539">
        <v>1992</v>
      </c>
      <c r="G198" s="539" t="s">
        <v>17</v>
      </c>
      <c r="H198" s="539">
        <v>0.38300000000000001</v>
      </c>
      <c r="I198" s="539"/>
      <c r="J198" s="539" t="s">
        <v>87</v>
      </c>
      <c r="K198" s="539">
        <v>14</v>
      </c>
      <c r="L198" s="539"/>
      <c r="M198" s="15"/>
      <c r="N198" s="15"/>
      <c r="O198" s="15"/>
      <c r="P198" s="15"/>
    </row>
    <row r="199" spans="1:16" ht="30">
      <c r="A199" s="513">
        <v>19</v>
      </c>
      <c r="B199" s="706"/>
      <c r="C199" s="706"/>
      <c r="D199" s="73" t="s">
        <v>567</v>
      </c>
      <c r="E199" s="539">
        <v>2438</v>
      </c>
      <c r="F199" s="539">
        <v>2002</v>
      </c>
      <c r="G199" s="539" t="s">
        <v>17</v>
      </c>
      <c r="H199" s="539">
        <v>0.35</v>
      </c>
      <c r="I199" s="539">
        <v>2.7290000000000001</v>
      </c>
      <c r="J199" s="539" t="s">
        <v>87</v>
      </c>
      <c r="K199" s="539">
        <v>15</v>
      </c>
      <c r="L199" s="539"/>
      <c r="M199" s="15"/>
      <c r="N199" s="15"/>
      <c r="O199" s="15"/>
      <c r="P199" s="15"/>
    </row>
    <row r="200" spans="1:16" ht="30">
      <c r="A200" s="513">
        <v>20</v>
      </c>
      <c r="B200" s="706"/>
      <c r="C200" s="706"/>
      <c r="D200" s="73" t="s">
        <v>568</v>
      </c>
      <c r="E200" s="539">
        <v>255</v>
      </c>
      <c r="F200" s="539" t="s">
        <v>6417</v>
      </c>
      <c r="G200" s="539" t="s">
        <v>17</v>
      </c>
      <c r="H200" s="539">
        <v>0.16</v>
      </c>
      <c r="I200" s="539"/>
      <c r="J200" s="539" t="s">
        <v>87</v>
      </c>
      <c r="K200" s="539">
        <v>16</v>
      </c>
      <c r="L200" s="539">
        <v>7</v>
      </c>
      <c r="M200" s="15"/>
      <c r="N200" s="15"/>
      <c r="O200" s="15"/>
      <c r="P200" s="15"/>
    </row>
    <row r="201" spans="1:16" ht="30">
      <c r="A201" s="513">
        <v>21</v>
      </c>
      <c r="B201" s="706"/>
      <c r="C201" s="706"/>
      <c r="D201" s="73" t="s">
        <v>570</v>
      </c>
      <c r="E201" s="539">
        <v>825</v>
      </c>
      <c r="F201" s="539" t="s">
        <v>534</v>
      </c>
      <c r="G201" s="539" t="s">
        <v>17</v>
      </c>
      <c r="H201" s="539">
        <v>0.42</v>
      </c>
      <c r="I201" s="539" t="s">
        <v>2033</v>
      </c>
      <c r="J201" s="539" t="s">
        <v>87</v>
      </c>
      <c r="K201" s="539">
        <v>17</v>
      </c>
      <c r="L201" s="539">
        <v>8</v>
      </c>
      <c r="M201" s="15"/>
      <c r="N201" s="15"/>
      <c r="O201" s="15"/>
      <c r="P201" s="15"/>
    </row>
    <row r="202" spans="1:16" ht="60">
      <c r="A202" s="513">
        <v>22</v>
      </c>
      <c r="B202" s="706"/>
      <c r="C202" s="706"/>
      <c r="D202" s="73" t="s">
        <v>571</v>
      </c>
      <c r="E202" s="539">
        <v>2356</v>
      </c>
      <c r="F202" s="539" t="s">
        <v>6418</v>
      </c>
      <c r="G202" s="539" t="s">
        <v>17</v>
      </c>
      <c r="H202" s="539">
        <v>0.91</v>
      </c>
      <c r="I202" s="539"/>
      <c r="J202" s="539" t="s">
        <v>87</v>
      </c>
      <c r="K202" s="539">
        <v>18</v>
      </c>
      <c r="L202" s="539">
        <v>4</v>
      </c>
      <c r="M202" s="15"/>
      <c r="N202" s="15"/>
      <c r="O202" s="15"/>
      <c r="P202" s="15"/>
    </row>
    <row r="203" spans="1:16" ht="60">
      <c r="A203" s="513">
        <v>23</v>
      </c>
      <c r="B203" s="706"/>
      <c r="C203" s="706"/>
      <c r="D203" s="73" t="s">
        <v>572</v>
      </c>
      <c r="E203" s="539">
        <v>1790</v>
      </c>
      <c r="F203" s="539" t="s">
        <v>6419</v>
      </c>
      <c r="G203" s="539" t="s">
        <v>17</v>
      </c>
      <c r="H203" s="539" t="s">
        <v>6420</v>
      </c>
      <c r="I203" s="539" t="s">
        <v>6421</v>
      </c>
      <c r="J203" s="539" t="s">
        <v>87</v>
      </c>
      <c r="K203" s="539">
        <v>19</v>
      </c>
      <c r="L203" s="539">
        <v>5</v>
      </c>
      <c r="M203" s="15"/>
      <c r="N203" s="15"/>
      <c r="O203" s="15"/>
      <c r="P203" s="15"/>
    </row>
    <row r="204" spans="1:16" ht="30">
      <c r="A204" s="544">
        <v>24</v>
      </c>
      <c r="B204" s="706"/>
      <c r="C204" s="696" t="s">
        <v>6597</v>
      </c>
      <c r="D204" s="511" t="s">
        <v>532</v>
      </c>
      <c r="E204" s="513" t="s">
        <v>6422</v>
      </c>
      <c r="F204" s="513"/>
      <c r="G204" s="513" t="s">
        <v>6423</v>
      </c>
      <c r="H204" s="513" t="s">
        <v>6424</v>
      </c>
      <c r="I204" s="513"/>
      <c r="J204" s="513"/>
      <c r="K204" s="513">
        <v>20</v>
      </c>
      <c r="L204" s="513" t="s">
        <v>17</v>
      </c>
      <c r="M204" s="15"/>
      <c r="N204" s="15"/>
      <c r="O204" s="15"/>
      <c r="P204" s="15"/>
    </row>
    <row r="205" spans="1:16" ht="45">
      <c r="A205" s="544">
        <v>25</v>
      </c>
      <c r="B205" s="706"/>
      <c r="C205" s="696"/>
      <c r="D205" s="511" t="s">
        <v>536</v>
      </c>
      <c r="E205" s="513" t="s">
        <v>6425</v>
      </c>
      <c r="F205" s="513">
        <v>1999</v>
      </c>
      <c r="G205" s="513" t="s">
        <v>17</v>
      </c>
      <c r="H205" s="513"/>
      <c r="I205" s="513"/>
      <c r="J205" s="513"/>
      <c r="K205" s="513">
        <v>21</v>
      </c>
      <c r="L205" s="513">
        <v>11</v>
      </c>
      <c r="M205" s="15"/>
      <c r="N205" s="15"/>
      <c r="O205" s="15"/>
      <c r="P205" s="15"/>
    </row>
    <row r="206" spans="1:16" ht="75">
      <c r="A206" s="544">
        <v>26</v>
      </c>
      <c r="B206" s="706"/>
      <c r="C206" s="696"/>
      <c r="D206" s="511" t="s">
        <v>6426</v>
      </c>
      <c r="E206" s="513" t="s">
        <v>583</v>
      </c>
      <c r="F206" s="513">
        <v>1984</v>
      </c>
      <c r="G206" s="518" t="s">
        <v>541</v>
      </c>
      <c r="H206" s="513">
        <v>4.38</v>
      </c>
      <c r="I206" s="513"/>
      <c r="J206" s="513" t="s">
        <v>6427</v>
      </c>
      <c r="K206" s="513">
        <v>22</v>
      </c>
      <c r="L206" s="513">
        <v>10</v>
      </c>
      <c r="M206" s="15"/>
      <c r="N206" s="15"/>
      <c r="O206" s="15"/>
      <c r="P206" s="15"/>
    </row>
    <row r="207" spans="1:16" ht="45">
      <c r="A207" s="544">
        <v>27</v>
      </c>
      <c r="B207" s="706"/>
      <c r="C207" s="696"/>
      <c r="D207" s="511" t="s">
        <v>6428</v>
      </c>
      <c r="E207" s="513">
        <v>3098</v>
      </c>
      <c r="F207" s="513" t="s">
        <v>6598</v>
      </c>
      <c r="G207" s="518"/>
      <c r="H207" s="513" t="s">
        <v>6599</v>
      </c>
      <c r="I207" s="513"/>
      <c r="J207" s="513"/>
      <c r="K207" s="513">
        <v>23</v>
      </c>
      <c r="L207" s="513"/>
      <c r="M207" s="15"/>
      <c r="N207" s="15"/>
      <c r="O207" s="15"/>
      <c r="P207" s="15"/>
    </row>
    <row r="208" spans="1:16" ht="75">
      <c r="A208" s="513">
        <v>28</v>
      </c>
      <c r="B208" s="706"/>
      <c r="C208" s="696" t="s">
        <v>614</v>
      </c>
      <c r="D208" s="511" t="s">
        <v>6429</v>
      </c>
      <c r="E208" s="513">
        <v>1171</v>
      </c>
      <c r="F208" s="513">
        <v>1990</v>
      </c>
      <c r="G208" s="513" t="s">
        <v>6430</v>
      </c>
      <c r="H208" s="513" t="s">
        <v>2059</v>
      </c>
      <c r="I208" s="513" t="s">
        <v>2060</v>
      </c>
      <c r="J208" s="513" t="s">
        <v>2061</v>
      </c>
      <c r="K208" s="513" t="s">
        <v>17</v>
      </c>
      <c r="L208" s="513" t="s">
        <v>17</v>
      </c>
      <c r="M208" s="15"/>
      <c r="N208" s="15"/>
      <c r="O208" s="15"/>
      <c r="P208" s="15"/>
    </row>
    <row r="209" spans="1:16" ht="75">
      <c r="A209" s="513">
        <v>29</v>
      </c>
      <c r="B209" s="706"/>
      <c r="C209" s="696"/>
      <c r="D209" s="511" t="s">
        <v>615</v>
      </c>
      <c r="E209" s="513">
        <v>1432</v>
      </c>
      <c r="F209" s="513" t="s">
        <v>6431</v>
      </c>
      <c r="G209" s="513" t="s">
        <v>620</v>
      </c>
      <c r="H209" s="513">
        <v>0.42</v>
      </c>
      <c r="I209" s="513">
        <v>0.32</v>
      </c>
      <c r="J209" s="513" t="s">
        <v>620</v>
      </c>
      <c r="K209" s="513" t="s">
        <v>1597</v>
      </c>
      <c r="L209" s="513" t="s">
        <v>1597</v>
      </c>
      <c r="M209" s="15"/>
      <c r="N209" s="15"/>
      <c r="O209" s="15"/>
      <c r="P209" s="15"/>
    </row>
    <row r="210" spans="1:16">
      <c r="A210" s="693"/>
      <c r="B210" s="693"/>
      <c r="C210" s="693"/>
      <c r="D210" s="693"/>
      <c r="E210" s="693"/>
      <c r="F210" s="693"/>
      <c r="G210" s="693"/>
      <c r="H210" s="693"/>
      <c r="I210" s="693"/>
      <c r="J210" s="693"/>
      <c r="K210" s="693"/>
      <c r="L210" s="693"/>
      <c r="M210" s="15"/>
      <c r="N210" s="15"/>
      <c r="O210" s="15"/>
      <c r="P210" s="15"/>
    </row>
    <row r="211" spans="1:16" ht="57">
      <c r="A211" s="720" t="s">
        <v>1661</v>
      </c>
      <c r="B211" s="720"/>
      <c r="C211" s="720"/>
      <c r="D211" s="720"/>
      <c r="E211" s="720"/>
      <c r="F211" s="720"/>
      <c r="G211" s="720"/>
      <c r="H211" s="720"/>
      <c r="I211" s="720"/>
      <c r="J211" s="720"/>
      <c r="K211" s="720"/>
      <c r="L211" s="720"/>
      <c r="M211" s="720"/>
      <c r="N211" s="720"/>
      <c r="O211" s="720"/>
      <c r="P211" s="143" t="s">
        <v>1623</v>
      </c>
    </row>
    <row r="212" spans="1:16">
      <c r="A212" s="720">
        <v>13</v>
      </c>
      <c r="B212" s="720"/>
      <c r="C212" s="720"/>
      <c r="D212" s="720"/>
      <c r="E212" s="720"/>
      <c r="F212" s="720"/>
      <c r="G212" s="720"/>
      <c r="H212" s="720"/>
      <c r="I212" s="720"/>
      <c r="J212" s="720"/>
      <c r="K212" s="720"/>
      <c r="L212" s="720"/>
      <c r="M212" s="720"/>
      <c r="N212" s="720"/>
      <c r="O212" s="720"/>
      <c r="P212" s="18">
        <v>14</v>
      </c>
    </row>
    <row r="213" spans="1:16" ht="15">
      <c r="A213" s="720" t="s">
        <v>1662</v>
      </c>
      <c r="B213" s="720"/>
      <c r="C213" s="720"/>
      <c r="D213" s="720" t="s">
        <v>1663</v>
      </c>
      <c r="E213" s="720"/>
      <c r="F213" s="720"/>
      <c r="G213" s="720" t="s">
        <v>1664</v>
      </c>
      <c r="H213" s="720"/>
      <c r="I213" s="720"/>
      <c r="J213" s="720" t="s">
        <v>1665</v>
      </c>
      <c r="K213" s="720"/>
      <c r="L213" s="720"/>
      <c r="M213" s="720" t="s">
        <v>1666</v>
      </c>
      <c r="N213" s="720"/>
      <c r="O213" s="720"/>
      <c r="P213" s="310"/>
    </row>
    <row r="214" spans="1:16" ht="15">
      <c r="A214" s="517" t="s">
        <v>1667</v>
      </c>
      <c r="B214" s="517" t="s">
        <v>1668</v>
      </c>
      <c r="C214" s="544" t="s">
        <v>418</v>
      </c>
      <c r="D214" s="517" t="s">
        <v>1667</v>
      </c>
      <c r="E214" s="517" t="s">
        <v>1668</v>
      </c>
      <c r="F214" s="544" t="s">
        <v>418</v>
      </c>
      <c r="G214" s="517" t="s">
        <v>1667</v>
      </c>
      <c r="H214" s="517" t="s">
        <v>1668</v>
      </c>
      <c r="I214" s="544" t="s">
        <v>418</v>
      </c>
      <c r="J214" s="517" t="s">
        <v>1667</v>
      </c>
      <c r="K214" s="517" t="s">
        <v>1668</v>
      </c>
      <c r="L214" s="544" t="s">
        <v>418</v>
      </c>
      <c r="M214" s="517" t="s">
        <v>1667</v>
      </c>
      <c r="N214" s="517" t="s">
        <v>1668</v>
      </c>
      <c r="O214" s="544" t="s">
        <v>418</v>
      </c>
      <c r="P214" s="517"/>
    </row>
    <row r="215" spans="1:16" ht="15">
      <c r="A215" s="527">
        <v>0</v>
      </c>
      <c r="B215" s="527">
        <v>0</v>
      </c>
      <c r="C215" s="527">
        <v>0</v>
      </c>
      <c r="D215" s="527">
        <v>5</v>
      </c>
      <c r="E215" s="527">
        <v>0</v>
      </c>
      <c r="F215" s="527">
        <f>D215-E215</f>
        <v>5</v>
      </c>
      <c r="G215" s="527">
        <v>0</v>
      </c>
      <c r="H215" s="527">
        <v>0</v>
      </c>
      <c r="I215" s="527">
        <v>0</v>
      </c>
      <c r="J215" s="527">
        <v>12</v>
      </c>
      <c r="K215" s="527">
        <v>6</v>
      </c>
      <c r="L215" s="527">
        <f>J215-K215</f>
        <v>6</v>
      </c>
      <c r="M215" s="527">
        <v>6</v>
      </c>
      <c r="N215" s="527">
        <v>6</v>
      </c>
      <c r="O215" s="527">
        <f>M215-N215</f>
        <v>0</v>
      </c>
      <c r="P215" s="319"/>
    </row>
    <row r="216" spans="1:16" ht="15">
      <c r="A216" s="527">
        <v>113</v>
      </c>
      <c r="B216" s="527">
        <v>73</v>
      </c>
      <c r="C216" s="527">
        <f>A216-B216</f>
        <v>40</v>
      </c>
      <c r="D216" s="527">
        <v>30</v>
      </c>
      <c r="E216" s="527">
        <v>8</v>
      </c>
      <c r="F216" s="527">
        <f>D216-E216</f>
        <v>22</v>
      </c>
      <c r="G216" s="527">
        <v>36</v>
      </c>
      <c r="H216" s="527">
        <v>5</v>
      </c>
      <c r="I216" s="527">
        <f>G216-H216</f>
        <v>31</v>
      </c>
      <c r="J216" s="527">
        <v>5</v>
      </c>
      <c r="K216" s="527">
        <v>0</v>
      </c>
      <c r="L216" s="527">
        <v>5</v>
      </c>
      <c r="M216" s="527">
        <v>4</v>
      </c>
      <c r="N216" s="527">
        <v>0</v>
      </c>
      <c r="O216" s="527">
        <v>4</v>
      </c>
      <c r="P216" s="319"/>
    </row>
    <row r="217" spans="1:16" ht="15">
      <c r="A217" s="527">
        <v>0</v>
      </c>
      <c r="B217" s="527">
        <v>0</v>
      </c>
      <c r="C217" s="527">
        <f t="shared" ref="C217:C219" si="1">A217-B217</f>
        <v>0</v>
      </c>
      <c r="D217" s="527">
        <v>0</v>
      </c>
      <c r="E217" s="527">
        <v>0</v>
      </c>
      <c r="F217" s="527">
        <f t="shared" ref="F217:F219" si="2">D217-E217</f>
        <v>0</v>
      </c>
      <c r="G217" s="527">
        <v>32</v>
      </c>
      <c r="H217" s="527">
        <v>0</v>
      </c>
      <c r="I217" s="527">
        <f t="shared" ref="I217:I218" si="3">G217-H217</f>
        <v>32</v>
      </c>
      <c r="J217" s="527">
        <v>0</v>
      </c>
      <c r="K217" s="527">
        <v>0</v>
      </c>
      <c r="L217" s="527">
        <f>J217-K217</f>
        <v>0</v>
      </c>
      <c r="M217" s="527">
        <v>0</v>
      </c>
      <c r="N217" s="527">
        <v>0</v>
      </c>
      <c r="O217" s="527">
        <v>0</v>
      </c>
      <c r="P217" s="319"/>
    </row>
    <row r="218" spans="1:16" ht="15">
      <c r="A218" s="527">
        <v>0</v>
      </c>
      <c r="B218" s="527">
        <v>0</v>
      </c>
      <c r="C218" s="527">
        <f t="shared" si="1"/>
        <v>0</v>
      </c>
      <c r="D218" s="527">
        <v>0</v>
      </c>
      <c r="E218" s="527">
        <v>0</v>
      </c>
      <c r="F218" s="527">
        <f t="shared" si="2"/>
        <v>0</v>
      </c>
      <c r="G218" s="527">
        <v>90</v>
      </c>
      <c r="H218" s="527">
        <v>0</v>
      </c>
      <c r="I218" s="527">
        <f t="shared" si="3"/>
        <v>90</v>
      </c>
      <c r="J218" s="527">
        <v>0</v>
      </c>
      <c r="K218" s="527">
        <v>0</v>
      </c>
      <c r="L218" s="527">
        <v>0</v>
      </c>
      <c r="M218" s="527">
        <v>0</v>
      </c>
      <c r="N218" s="527">
        <v>0</v>
      </c>
      <c r="O218" s="527">
        <v>0</v>
      </c>
      <c r="P218" s="319"/>
    </row>
    <row r="219" spans="1:16" ht="15">
      <c r="A219" s="527">
        <v>0</v>
      </c>
      <c r="B219" s="527">
        <v>0</v>
      </c>
      <c r="C219" s="527">
        <f t="shared" si="1"/>
        <v>0</v>
      </c>
      <c r="D219" s="527">
        <v>0</v>
      </c>
      <c r="E219" s="527">
        <v>0</v>
      </c>
      <c r="F219" s="527">
        <f t="shared" si="2"/>
        <v>0</v>
      </c>
      <c r="G219" s="527">
        <v>0</v>
      </c>
      <c r="H219" s="527">
        <v>0</v>
      </c>
      <c r="I219" s="527">
        <v>0</v>
      </c>
      <c r="J219" s="527">
        <v>4</v>
      </c>
      <c r="K219" s="527">
        <v>0</v>
      </c>
      <c r="L219" s="527">
        <f>J219-K219</f>
        <v>4</v>
      </c>
      <c r="M219" s="527">
        <v>0</v>
      </c>
      <c r="N219" s="527">
        <v>0</v>
      </c>
      <c r="O219" s="527">
        <v>0</v>
      </c>
      <c r="P219" s="319"/>
    </row>
    <row r="220" spans="1:16" ht="15">
      <c r="A220" s="527">
        <v>24</v>
      </c>
      <c r="B220" s="527">
        <v>24</v>
      </c>
      <c r="C220" s="527">
        <v>16</v>
      </c>
      <c r="D220" s="527">
        <v>38</v>
      </c>
      <c r="E220" s="527">
        <v>38</v>
      </c>
      <c r="F220" s="527">
        <v>35</v>
      </c>
      <c r="G220" s="527">
        <v>38</v>
      </c>
      <c r="H220" s="527">
        <v>38</v>
      </c>
      <c r="I220" s="527">
        <v>34</v>
      </c>
      <c r="J220" s="527">
        <v>16</v>
      </c>
      <c r="K220" s="527">
        <v>16</v>
      </c>
      <c r="L220" s="527">
        <v>14</v>
      </c>
      <c r="M220" s="527">
        <v>8</v>
      </c>
      <c r="N220" s="527">
        <v>8</v>
      </c>
      <c r="O220" s="527">
        <v>8</v>
      </c>
      <c r="P220" s="319"/>
    </row>
    <row r="221" spans="1:16" ht="15">
      <c r="A221" s="527">
        <v>20</v>
      </c>
      <c r="B221" s="527">
        <v>20</v>
      </c>
      <c r="C221" s="527">
        <v>1</v>
      </c>
      <c r="D221" s="527">
        <v>42</v>
      </c>
      <c r="E221" s="527">
        <v>42</v>
      </c>
      <c r="F221" s="527">
        <v>13</v>
      </c>
      <c r="G221" s="527">
        <v>54</v>
      </c>
      <c r="H221" s="527">
        <v>54</v>
      </c>
      <c r="I221" s="527">
        <v>45</v>
      </c>
      <c r="J221" s="527">
        <v>10</v>
      </c>
      <c r="K221" s="527">
        <v>10</v>
      </c>
      <c r="L221" s="527">
        <v>10</v>
      </c>
      <c r="M221" s="527">
        <v>4</v>
      </c>
      <c r="N221" s="527">
        <v>4</v>
      </c>
      <c r="O221" s="527">
        <v>4</v>
      </c>
      <c r="P221" s="319"/>
    </row>
    <row r="222" spans="1:16" ht="60">
      <c r="A222" s="512">
        <v>6</v>
      </c>
      <c r="B222" s="512">
        <v>6</v>
      </c>
      <c r="C222" s="512">
        <v>6</v>
      </c>
      <c r="D222" s="512">
        <v>6</v>
      </c>
      <c r="E222" s="512">
        <v>6</v>
      </c>
      <c r="F222" s="512">
        <v>6</v>
      </c>
      <c r="G222" s="512">
        <v>34</v>
      </c>
      <c r="H222" s="512">
        <v>34</v>
      </c>
      <c r="I222" s="512">
        <v>34</v>
      </c>
      <c r="J222" s="512">
        <v>2</v>
      </c>
      <c r="K222" s="512">
        <v>2</v>
      </c>
      <c r="L222" s="512">
        <v>2</v>
      </c>
      <c r="M222" s="512">
        <v>2</v>
      </c>
      <c r="N222" s="512">
        <v>2</v>
      </c>
      <c r="O222" s="512" t="s">
        <v>6432</v>
      </c>
      <c r="P222" s="516" t="s">
        <v>6433</v>
      </c>
    </row>
    <row r="223" spans="1:16" ht="15">
      <c r="A223" s="514">
        <v>36</v>
      </c>
      <c r="B223" s="514">
        <v>36</v>
      </c>
      <c r="C223" s="514">
        <v>18</v>
      </c>
      <c r="D223" s="514">
        <v>90</v>
      </c>
      <c r="E223" s="514">
        <v>41</v>
      </c>
      <c r="F223" s="514">
        <v>42</v>
      </c>
      <c r="G223" s="514">
        <v>132</v>
      </c>
      <c r="H223" s="514">
        <v>94</v>
      </c>
      <c r="I223" s="514">
        <v>102</v>
      </c>
      <c r="J223" s="514">
        <v>12</v>
      </c>
      <c r="K223" s="514">
        <v>12</v>
      </c>
      <c r="L223" s="514">
        <v>7</v>
      </c>
      <c r="M223" s="514">
        <v>3</v>
      </c>
      <c r="N223" s="514">
        <v>3</v>
      </c>
      <c r="O223" s="514">
        <v>3</v>
      </c>
      <c r="P223" s="26"/>
    </row>
    <row r="224" spans="1:16" ht="15">
      <c r="A224" s="514">
        <v>3</v>
      </c>
      <c r="B224" s="514">
        <v>3</v>
      </c>
      <c r="C224" s="514"/>
      <c r="D224" s="514">
        <v>6</v>
      </c>
      <c r="E224" s="514">
        <v>6</v>
      </c>
      <c r="F224" s="514">
        <v>2</v>
      </c>
      <c r="G224" s="514">
        <v>11</v>
      </c>
      <c r="H224" s="514">
        <v>11</v>
      </c>
      <c r="I224" s="514">
        <v>1</v>
      </c>
      <c r="J224" s="514">
        <v>1</v>
      </c>
      <c r="K224" s="514">
        <v>1</v>
      </c>
      <c r="L224" s="514">
        <v>1</v>
      </c>
      <c r="M224" s="514">
        <v>1</v>
      </c>
      <c r="N224" s="514">
        <v>0</v>
      </c>
      <c r="O224" s="514">
        <v>0</v>
      </c>
      <c r="P224" s="26"/>
    </row>
    <row r="225" spans="1:16" ht="15">
      <c r="A225" s="514">
        <v>3</v>
      </c>
      <c r="B225" s="514">
        <v>0</v>
      </c>
      <c r="C225" s="514">
        <v>0</v>
      </c>
      <c r="D225" s="514">
        <v>10</v>
      </c>
      <c r="E225" s="514">
        <v>0</v>
      </c>
      <c r="F225" s="514">
        <v>0</v>
      </c>
      <c r="G225" s="514">
        <v>13</v>
      </c>
      <c r="H225" s="514">
        <v>2</v>
      </c>
      <c r="I225" s="514">
        <v>2</v>
      </c>
      <c r="J225" s="514">
        <v>1</v>
      </c>
      <c r="K225" s="514">
        <v>0</v>
      </c>
      <c r="L225" s="514">
        <v>0</v>
      </c>
      <c r="M225" s="514">
        <v>0</v>
      </c>
      <c r="N225" s="514">
        <v>0</v>
      </c>
      <c r="O225" s="514">
        <v>0</v>
      </c>
      <c r="P225" s="26"/>
    </row>
    <row r="226" spans="1:16" ht="15">
      <c r="A226" s="514">
        <v>1</v>
      </c>
      <c r="B226" s="514">
        <v>0</v>
      </c>
      <c r="C226" s="514">
        <v>0</v>
      </c>
      <c r="D226" s="514">
        <v>0</v>
      </c>
      <c r="E226" s="514">
        <v>0</v>
      </c>
      <c r="F226" s="514">
        <v>0</v>
      </c>
      <c r="G226" s="514">
        <v>15</v>
      </c>
      <c r="H226" s="514">
        <v>0</v>
      </c>
      <c r="I226" s="514">
        <v>0</v>
      </c>
      <c r="J226" s="514">
        <v>0</v>
      </c>
      <c r="K226" s="514">
        <v>0</v>
      </c>
      <c r="L226" s="514">
        <v>0</v>
      </c>
      <c r="M226" s="514">
        <v>0</v>
      </c>
      <c r="N226" s="514">
        <v>0</v>
      </c>
      <c r="O226" s="514">
        <v>0</v>
      </c>
      <c r="P226" s="26"/>
    </row>
    <row r="227" spans="1:16" ht="15">
      <c r="A227" s="514">
        <v>4</v>
      </c>
      <c r="B227" s="514">
        <v>1</v>
      </c>
      <c r="C227" s="514"/>
      <c r="D227" s="514">
        <v>10</v>
      </c>
      <c r="E227" s="514">
        <v>10</v>
      </c>
      <c r="F227" s="514">
        <v>7</v>
      </c>
      <c r="G227" s="514">
        <v>24</v>
      </c>
      <c r="H227" s="514">
        <v>24</v>
      </c>
      <c r="I227" s="514">
        <v>24</v>
      </c>
      <c r="J227" s="514">
        <v>1</v>
      </c>
      <c r="K227" s="514">
        <v>1</v>
      </c>
      <c r="L227" s="514">
        <v>1</v>
      </c>
      <c r="M227" s="514">
        <v>1</v>
      </c>
      <c r="N227" s="514">
        <v>1</v>
      </c>
      <c r="O227" s="514">
        <v>0</v>
      </c>
      <c r="P227" s="526"/>
    </row>
    <row r="228" spans="1:16" ht="60">
      <c r="A228" s="539">
        <v>0</v>
      </c>
      <c r="B228" s="539">
        <v>0</v>
      </c>
      <c r="C228" s="539">
        <v>0</v>
      </c>
      <c r="D228" s="539">
        <v>0</v>
      </c>
      <c r="E228" s="539">
        <v>0</v>
      </c>
      <c r="F228" s="539">
        <v>0</v>
      </c>
      <c r="G228" s="539">
        <v>2</v>
      </c>
      <c r="H228" s="539">
        <v>0</v>
      </c>
      <c r="I228" s="539">
        <v>0</v>
      </c>
      <c r="J228" s="539">
        <v>0</v>
      </c>
      <c r="K228" s="539">
        <v>0</v>
      </c>
      <c r="L228" s="539">
        <v>0</v>
      </c>
      <c r="M228" s="539">
        <v>0</v>
      </c>
      <c r="N228" s="539">
        <v>0</v>
      </c>
      <c r="O228" s="539">
        <v>0</v>
      </c>
      <c r="P228" s="534" t="s">
        <v>6434</v>
      </c>
    </row>
    <row r="229" spans="1:16" ht="15">
      <c r="A229" s="535">
        <v>2</v>
      </c>
      <c r="B229" s="535">
        <v>0</v>
      </c>
      <c r="C229" s="535">
        <v>0</v>
      </c>
      <c r="D229" s="535">
        <v>8</v>
      </c>
      <c r="E229" s="535">
        <v>0</v>
      </c>
      <c r="F229" s="535">
        <v>0</v>
      </c>
      <c r="G229" s="535">
        <v>12</v>
      </c>
      <c r="H229" s="535">
        <v>0</v>
      </c>
      <c r="I229" s="535">
        <v>0</v>
      </c>
      <c r="J229" s="535">
        <v>1</v>
      </c>
      <c r="K229" s="535">
        <v>0</v>
      </c>
      <c r="L229" s="535">
        <v>0</v>
      </c>
      <c r="M229" s="535">
        <v>0</v>
      </c>
      <c r="N229" s="535">
        <v>0</v>
      </c>
      <c r="O229" s="535">
        <v>0</v>
      </c>
      <c r="P229" s="4"/>
    </row>
    <row r="230" spans="1:16" ht="15">
      <c r="A230" s="535">
        <v>2</v>
      </c>
      <c r="B230" s="535">
        <v>2</v>
      </c>
      <c r="C230" s="535">
        <v>0</v>
      </c>
      <c r="D230" s="535">
        <v>8</v>
      </c>
      <c r="E230" s="535">
        <v>8</v>
      </c>
      <c r="F230" s="535">
        <v>1</v>
      </c>
      <c r="G230" s="535">
        <v>24</v>
      </c>
      <c r="H230" s="535">
        <v>24</v>
      </c>
      <c r="I230" s="535">
        <v>0</v>
      </c>
      <c r="J230" s="535">
        <v>2</v>
      </c>
      <c r="K230" s="535">
        <v>2</v>
      </c>
      <c r="L230" s="535">
        <v>1</v>
      </c>
      <c r="M230" s="535">
        <v>0</v>
      </c>
      <c r="N230" s="535">
        <v>0</v>
      </c>
      <c r="O230" s="535">
        <v>0</v>
      </c>
      <c r="P230" s="146"/>
    </row>
    <row r="231" spans="1:16" ht="15">
      <c r="A231" s="535">
        <v>2</v>
      </c>
      <c r="B231" s="535">
        <v>2</v>
      </c>
      <c r="C231" s="535">
        <v>0</v>
      </c>
      <c r="D231" s="535">
        <v>4</v>
      </c>
      <c r="E231" s="535">
        <v>4</v>
      </c>
      <c r="F231" s="535">
        <v>1</v>
      </c>
      <c r="G231" s="535">
        <v>19</v>
      </c>
      <c r="H231" s="535">
        <v>19</v>
      </c>
      <c r="I231" s="535">
        <v>5</v>
      </c>
      <c r="J231" s="535">
        <v>1</v>
      </c>
      <c r="K231" s="535">
        <v>1</v>
      </c>
      <c r="L231" s="535">
        <v>0</v>
      </c>
      <c r="M231" s="535">
        <v>0</v>
      </c>
      <c r="N231" s="535">
        <v>0</v>
      </c>
      <c r="O231" s="535">
        <v>0</v>
      </c>
      <c r="P231" s="319"/>
    </row>
    <row r="232" spans="1:16" ht="15">
      <c r="A232" s="535">
        <v>5</v>
      </c>
      <c r="B232" s="535">
        <v>5</v>
      </c>
      <c r="C232" s="535">
        <v>5</v>
      </c>
      <c r="D232" s="535">
        <v>12</v>
      </c>
      <c r="E232" s="535">
        <v>12</v>
      </c>
      <c r="F232" s="535">
        <v>12</v>
      </c>
      <c r="G232" s="535">
        <v>28</v>
      </c>
      <c r="H232" s="535">
        <v>28</v>
      </c>
      <c r="I232" s="535">
        <v>28</v>
      </c>
      <c r="J232" s="535">
        <v>4</v>
      </c>
      <c r="K232" s="535">
        <v>4</v>
      </c>
      <c r="L232" s="535">
        <v>4</v>
      </c>
      <c r="M232" s="535">
        <v>1</v>
      </c>
      <c r="N232" s="535">
        <v>1</v>
      </c>
      <c r="O232" s="535">
        <v>0</v>
      </c>
      <c r="P232" s="319"/>
    </row>
    <row r="233" spans="1:16" ht="15">
      <c r="A233" s="535">
        <v>3</v>
      </c>
      <c r="B233" s="535">
        <v>0</v>
      </c>
      <c r="C233" s="535">
        <v>0</v>
      </c>
      <c r="D233" s="535">
        <v>9</v>
      </c>
      <c r="E233" s="535">
        <v>0</v>
      </c>
      <c r="F233" s="535">
        <v>2</v>
      </c>
      <c r="G233" s="535">
        <v>12</v>
      </c>
      <c r="H233" s="535">
        <v>0</v>
      </c>
      <c r="I233" s="535">
        <v>6</v>
      </c>
      <c r="J233" s="535">
        <v>1</v>
      </c>
      <c r="K233" s="535">
        <v>0</v>
      </c>
      <c r="L233" s="535">
        <v>0</v>
      </c>
      <c r="M233" s="535">
        <v>0</v>
      </c>
      <c r="N233" s="535">
        <v>0</v>
      </c>
      <c r="O233" s="535">
        <v>0</v>
      </c>
      <c r="P233" s="319"/>
    </row>
    <row r="234" spans="1:16" ht="15">
      <c r="A234" s="535">
        <v>4</v>
      </c>
      <c r="B234" s="535">
        <v>0</v>
      </c>
      <c r="C234" s="535">
        <v>0</v>
      </c>
      <c r="D234" s="535">
        <v>16</v>
      </c>
      <c r="E234" s="535">
        <v>4</v>
      </c>
      <c r="F234" s="535">
        <v>4</v>
      </c>
      <c r="G234" s="535">
        <v>16</v>
      </c>
      <c r="H234" s="535">
        <v>13</v>
      </c>
      <c r="I234" s="535">
        <v>13</v>
      </c>
      <c r="J234" s="535">
        <v>4</v>
      </c>
      <c r="K234" s="535">
        <v>4</v>
      </c>
      <c r="L234" s="535">
        <v>3</v>
      </c>
      <c r="M234" s="535">
        <v>0</v>
      </c>
      <c r="N234" s="535">
        <v>0</v>
      </c>
      <c r="O234" s="535">
        <v>0</v>
      </c>
      <c r="P234" s="319"/>
    </row>
    <row r="235" spans="1:16" ht="15">
      <c r="A235" s="535">
        <v>2</v>
      </c>
      <c r="B235" s="535">
        <v>2</v>
      </c>
      <c r="C235" s="535">
        <v>0</v>
      </c>
      <c r="D235" s="535">
        <v>4</v>
      </c>
      <c r="E235" s="535">
        <v>4</v>
      </c>
      <c r="F235" s="535">
        <v>1</v>
      </c>
      <c r="G235" s="535">
        <v>36</v>
      </c>
      <c r="H235" s="535">
        <v>36</v>
      </c>
      <c r="I235" s="535">
        <v>20</v>
      </c>
      <c r="J235" s="535">
        <v>1</v>
      </c>
      <c r="K235" s="535">
        <v>1</v>
      </c>
      <c r="L235" s="535">
        <v>1</v>
      </c>
      <c r="M235" s="535">
        <v>1</v>
      </c>
      <c r="N235" s="535">
        <v>1</v>
      </c>
      <c r="O235" s="535">
        <v>0</v>
      </c>
      <c r="P235" s="319"/>
    </row>
    <row r="236" spans="1:16" ht="15">
      <c r="A236" s="521">
        <v>5</v>
      </c>
      <c r="B236" s="521">
        <v>5</v>
      </c>
      <c r="C236" s="521">
        <v>0</v>
      </c>
      <c r="D236" s="521">
        <v>8</v>
      </c>
      <c r="E236" s="521">
        <v>8</v>
      </c>
      <c r="F236" s="521">
        <v>0</v>
      </c>
      <c r="G236" s="521">
        <v>6</v>
      </c>
      <c r="H236" s="521">
        <v>6</v>
      </c>
      <c r="I236" s="521">
        <v>4</v>
      </c>
      <c r="J236" s="521">
        <v>0</v>
      </c>
      <c r="K236" s="521">
        <v>0</v>
      </c>
      <c r="L236" s="521">
        <v>0</v>
      </c>
      <c r="M236" s="521">
        <v>0</v>
      </c>
      <c r="N236" s="521">
        <v>0</v>
      </c>
      <c r="O236" s="521">
        <v>0</v>
      </c>
      <c r="P236" s="24"/>
    </row>
    <row r="237" spans="1:16" ht="15">
      <c r="A237" s="521">
        <v>2</v>
      </c>
      <c r="B237" s="521">
        <v>2</v>
      </c>
      <c r="C237" s="521">
        <v>0</v>
      </c>
      <c r="D237" s="521">
        <v>6</v>
      </c>
      <c r="E237" s="521">
        <v>6</v>
      </c>
      <c r="F237" s="521">
        <v>0</v>
      </c>
      <c r="G237" s="521">
        <v>16</v>
      </c>
      <c r="H237" s="521">
        <v>7</v>
      </c>
      <c r="I237" s="521">
        <v>9</v>
      </c>
      <c r="J237" s="521">
        <v>1</v>
      </c>
      <c r="K237" s="521">
        <v>1</v>
      </c>
      <c r="L237" s="521">
        <v>0</v>
      </c>
      <c r="M237" s="521">
        <v>0</v>
      </c>
      <c r="N237" s="521">
        <v>0</v>
      </c>
      <c r="O237" s="521">
        <v>0</v>
      </c>
      <c r="P237" s="147"/>
    </row>
    <row r="238" spans="1:16" ht="15">
      <c r="A238" s="27"/>
      <c r="B238" s="27"/>
      <c r="C238" s="27"/>
      <c r="D238" s="27"/>
      <c r="E238" s="27"/>
      <c r="F238" s="27"/>
      <c r="G238" s="27"/>
      <c r="H238" s="27"/>
      <c r="I238" s="27"/>
      <c r="J238" s="27"/>
      <c r="K238" s="27"/>
      <c r="L238" s="27"/>
      <c r="M238" s="27"/>
      <c r="N238" s="27"/>
      <c r="O238" s="27"/>
      <c r="P238" s="519"/>
    </row>
    <row r="239" spans="1:16">
      <c r="A239" s="720" t="s">
        <v>1670</v>
      </c>
      <c r="B239" s="720"/>
      <c r="C239" s="720"/>
      <c r="D239" s="720" t="s">
        <v>1671</v>
      </c>
      <c r="E239" s="720"/>
      <c r="F239" s="720"/>
      <c r="G239" s="720" t="s">
        <v>1672</v>
      </c>
      <c r="H239" s="720"/>
      <c r="I239" s="720"/>
      <c r="J239" s="716"/>
      <c r="K239" s="716"/>
      <c r="L239" s="716"/>
      <c r="M239" s="716"/>
      <c r="N239" s="716"/>
      <c r="O239" s="716"/>
      <c r="P239" s="721" t="s">
        <v>6435</v>
      </c>
    </row>
    <row r="240" spans="1:16" ht="15">
      <c r="A240" s="517" t="s">
        <v>1667</v>
      </c>
      <c r="B240" s="517" t="s">
        <v>1668</v>
      </c>
      <c r="C240" s="544" t="s">
        <v>418</v>
      </c>
      <c r="D240" s="517" t="s">
        <v>1667</v>
      </c>
      <c r="E240" s="517" t="s">
        <v>1668</v>
      </c>
      <c r="F240" s="544" t="s">
        <v>418</v>
      </c>
      <c r="G240" s="517" t="s">
        <v>1667</v>
      </c>
      <c r="H240" s="517" t="s">
        <v>1668</v>
      </c>
      <c r="I240" s="544" t="s">
        <v>418</v>
      </c>
      <c r="J240" s="716"/>
      <c r="K240" s="716"/>
      <c r="L240" s="716"/>
      <c r="M240" s="716"/>
      <c r="N240" s="716"/>
      <c r="O240" s="716"/>
      <c r="P240" s="721"/>
    </row>
    <row r="241" spans="1:16" ht="15">
      <c r="A241" s="517">
        <v>0</v>
      </c>
      <c r="B241" s="517">
        <v>0</v>
      </c>
      <c r="C241" s="544">
        <v>0</v>
      </c>
      <c r="D241" s="517">
        <v>0</v>
      </c>
      <c r="E241" s="517">
        <v>0</v>
      </c>
      <c r="F241" s="544">
        <v>0</v>
      </c>
      <c r="G241" s="517">
        <v>0</v>
      </c>
      <c r="H241" s="517">
        <v>0</v>
      </c>
      <c r="I241" s="544">
        <v>0</v>
      </c>
      <c r="J241" s="716"/>
      <c r="K241" s="716"/>
      <c r="L241" s="716"/>
      <c r="M241" s="716"/>
      <c r="N241" s="716"/>
      <c r="O241" s="716"/>
      <c r="P241" s="721"/>
    </row>
    <row r="242" spans="1:16" ht="15">
      <c r="A242" s="517">
        <v>0</v>
      </c>
      <c r="B242" s="517">
        <v>0</v>
      </c>
      <c r="C242" s="544">
        <v>0</v>
      </c>
      <c r="D242" s="517">
        <v>0</v>
      </c>
      <c r="E242" s="517">
        <v>0</v>
      </c>
      <c r="F242" s="544">
        <v>0</v>
      </c>
      <c r="G242" s="517">
        <v>0</v>
      </c>
      <c r="H242" s="517">
        <v>0</v>
      </c>
      <c r="I242" s="544">
        <v>0</v>
      </c>
      <c r="J242" s="716"/>
      <c r="K242" s="716"/>
      <c r="L242" s="716"/>
      <c r="M242" s="716"/>
      <c r="N242" s="716"/>
      <c r="O242" s="716"/>
      <c r="P242" s="721"/>
    </row>
    <row r="243" spans="1:16" ht="15">
      <c r="A243" s="517">
        <v>2</v>
      </c>
      <c r="B243" s="517">
        <v>2</v>
      </c>
      <c r="C243" s="544">
        <v>0</v>
      </c>
      <c r="D243" s="517">
        <v>0</v>
      </c>
      <c r="E243" s="517">
        <v>0</v>
      </c>
      <c r="F243" s="544">
        <v>0</v>
      </c>
      <c r="G243" s="517">
        <v>0</v>
      </c>
      <c r="H243" s="517">
        <v>0</v>
      </c>
      <c r="I243" s="544">
        <v>0</v>
      </c>
      <c r="J243" s="716"/>
      <c r="K243" s="716"/>
      <c r="L243" s="716"/>
      <c r="M243" s="716"/>
      <c r="N243" s="716"/>
      <c r="O243" s="716"/>
      <c r="P243" s="721"/>
    </row>
    <row r="244" spans="1:16" ht="15">
      <c r="A244" s="517">
        <v>0</v>
      </c>
      <c r="B244" s="517">
        <v>0</v>
      </c>
      <c r="C244" s="544">
        <v>0</v>
      </c>
      <c r="D244" s="517">
        <v>0</v>
      </c>
      <c r="E244" s="517">
        <v>0</v>
      </c>
      <c r="F244" s="544">
        <v>0</v>
      </c>
      <c r="G244" s="517">
        <v>0</v>
      </c>
      <c r="H244" s="517">
        <v>0</v>
      </c>
      <c r="I244" s="544">
        <v>0</v>
      </c>
      <c r="J244" s="716"/>
      <c r="K244" s="716"/>
      <c r="L244" s="716"/>
      <c r="M244" s="716"/>
      <c r="N244" s="716"/>
      <c r="O244" s="716"/>
      <c r="P244" s="721"/>
    </row>
    <row r="245" spans="1:16" ht="15">
      <c r="A245" s="517">
        <v>2</v>
      </c>
      <c r="B245" s="517">
        <v>2</v>
      </c>
      <c r="C245" s="544">
        <v>0</v>
      </c>
      <c r="D245" s="517">
        <v>0</v>
      </c>
      <c r="E245" s="517">
        <v>0</v>
      </c>
      <c r="F245" s="544">
        <v>0</v>
      </c>
      <c r="G245" s="517">
        <v>0</v>
      </c>
      <c r="H245" s="517">
        <v>0</v>
      </c>
      <c r="I245" s="544">
        <v>0</v>
      </c>
      <c r="J245" s="716"/>
      <c r="K245" s="716"/>
      <c r="L245" s="716"/>
      <c r="M245" s="716"/>
      <c r="N245" s="716"/>
      <c r="O245" s="716"/>
      <c r="P245" s="721"/>
    </row>
    <row r="246" spans="1:16" ht="15">
      <c r="A246" s="517">
        <v>0</v>
      </c>
      <c r="B246" s="517">
        <v>0</v>
      </c>
      <c r="C246" s="517">
        <v>0</v>
      </c>
      <c r="D246" s="517">
        <v>0</v>
      </c>
      <c r="E246" s="517">
        <v>0</v>
      </c>
      <c r="F246" s="517">
        <v>0</v>
      </c>
      <c r="G246" s="517">
        <v>0</v>
      </c>
      <c r="H246" s="517">
        <v>0</v>
      </c>
      <c r="I246" s="517">
        <v>0</v>
      </c>
      <c r="J246" s="716"/>
      <c r="K246" s="716"/>
      <c r="L246" s="716"/>
      <c r="M246" s="716"/>
      <c r="N246" s="716"/>
      <c r="O246" s="716"/>
      <c r="P246" s="721"/>
    </row>
    <row r="247" spans="1:16" ht="15">
      <c r="A247" s="517">
        <v>0</v>
      </c>
      <c r="B247" s="517">
        <v>0</v>
      </c>
      <c r="C247" s="517">
        <v>0</v>
      </c>
      <c r="D247" s="517">
        <v>0</v>
      </c>
      <c r="E247" s="517">
        <v>0</v>
      </c>
      <c r="F247" s="517">
        <v>0</v>
      </c>
      <c r="G247" s="517">
        <v>0</v>
      </c>
      <c r="H247" s="517">
        <v>0</v>
      </c>
      <c r="I247" s="517">
        <v>0</v>
      </c>
      <c r="J247" s="716"/>
      <c r="K247" s="716"/>
      <c r="L247" s="716"/>
      <c r="M247" s="716"/>
      <c r="N247" s="716"/>
      <c r="O247" s="716"/>
      <c r="P247" s="721"/>
    </row>
    <row r="248" spans="1:16" ht="15">
      <c r="A248" s="517">
        <v>0</v>
      </c>
      <c r="B248" s="517">
        <v>0</v>
      </c>
      <c r="C248" s="517">
        <v>0</v>
      </c>
      <c r="D248" s="517">
        <v>0</v>
      </c>
      <c r="E248" s="517">
        <v>0</v>
      </c>
      <c r="F248" s="517">
        <v>0</v>
      </c>
      <c r="G248" s="517">
        <v>0</v>
      </c>
      <c r="H248" s="517">
        <v>0</v>
      </c>
      <c r="I248" s="517">
        <v>0</v>
      </c>
      <c r="J248" s="716"/>
      <c r="K248" s="716"/>
      <c r="L248" s="716"/>
      <c r="M248" s="716"/>
      <c r="N248" s="716"/>
      <c r="O248" s="716"/>
      <c r="P248" s="721"/>
    </row>
    <row r="249" spans="1:16" ht="15">
      <c r="A249" s="517">
        <v>0</v>
      </c>
      <c r="B249" s="517">
        <v>0</v>
      </c>
      <c r="C249" s="517">
        <v>0</v>
      </c>
      <c r="D249" s="517">
        <v>0</v>
      </c>
      <c r="E249" s="517">
        <v>0</v>
      </c>
      <c r="F249" s="517">
        <v>0</v>
      </c>
      <c r="G249" s="517">
        <v>0</v>
      </c>
      <c r="H249" s="517">
        <v>0</v>
      </c>
      <c r="I249" s="517">
        <v>0</v>
      </c>
      <c r="J249" s="716"/>
      <c r="K249" s="716"/>
      <c r="L249" s="716"/>
      <c r="M249" s="716"/>
      <c r="N249" s="716"/>
      <c r="O249" s="716"/>
      <c r="P249" s="721"/>
    </row>
    <row r="250" spans="1:16" ht="15">
      <c r="A250" s="517">
        <v>0</v>
      </c>
      <c r="B250" s="517">
        <v>0</v>
      </c>
      <c r="C250" s="517">
        <v>0</v>
      </c>
      <c r="D250" s="517">
        <v>0</v>
      </c>
      <c r="E250" s="517">
        <v>0</v>
      </c>
      <c r="F250" s="517">
        <v>0</v>
      </c>
      <c r="G250" s="517">
        <v>0</v>
      </c>
      <c r="H250" s="517">
        <v>0</v>
      </c>
      <c r="I250" s="517">
        <v>0</v>
      </c>
      <c r="J250" s="716"/>
      <c r="K250" s="716"/>
      <c r="L250" s="716"/>
      <c r="M250" s="716"/>
      <c r="N250" s="716"/>
      <c r="O250" s="716"/>
      <c r="P250" s="721"/>
    </row>
    <row r="251" spans="1:16" ht="15">
      <c r="A251" s="517">
        <v>0</v>
      </c>
      <c r="B251" s="517">
        <v>0</v>
      </c>
      <c r="C251" s="517">
        <v>0</v>
      </c>
      <c r="D251" s="517">
        <v>0</v>
      </c>
      <c r="E251" s="517">
        <v>0</v>
      </c>
      <c r="F251" s="517">
        <v>0</v>
      </c>
      <c r="G251" s="517">
        <v>0</v>
      </c>
      <c r="H251" s="517">
        <v>0</v>
      </c>
      <c r="I251" s="517">
        <v>0</v>
      </c>
      <c r="J251" s="716"/>
      <c r="K251" s="716"/>
      <c r="L251" s="716"/>
      <c r="M251" s="716"/>
      <c r="N251" s="716"/>
      <c r="O251" s="716"/>
      <c r="P251" s="721"/>
    </row>
    <row r="252" spans="1:16" ht="15">
      <c r="A252" s="517"/>
      <c r="B252" s="517"/>
      <c r="C252" s="517"/>
      <c r="D252" s="517"/>
      <c r="E252" s="517"/>
      <c r="F252" s="517"/>
      <c r="G252" s="517"/>
      <c r="H252" s="517"/>
      <c r="I252" s="517"/>
      <c r="J252" s="517"/>
      <c r="K252" s="517"/>
      <c r="L252" s="517"/>
      <c r="M252" s="517"/>
      <c r="N252" s="517"/>
      <c r="O252" s="517"/>
      <c r="P252" s="310"/>
    </row>
    <row r="253" spans="1:16" ht="22.5">
      <c r="A253" s="718" t="s">
        <v>638</v>
      </c>
      <c r="B253" s="718"/>
      <c r="C253" s="718"/>
      <c r="D253" s="718"/>
      <c r="E253" s="718"/>
      <c r="F253" s="718"/>
      <c r="G253" s="718"/>
      <c r="H253" s="718"/>
      <c r="I253" s="718"/>
      <c r="J253" s="718"/>
      <c r="K253" s="718"/>
      <c r="L253" s="718"/>
      <c r="M253" s="718"/>
      <c r="N253" s="718"/>
      <c r="O253" s="718"/>
      <c r="P253" s="718"/>
    </row>
    <row r="254" spans="1:16" ht="20.25">
      <c r="A254" s="725" t="s">
        <v>6280</v>
      </c>
      <c r="B254" s="725"/>
      <c r="C254" s="725"/>
      <c r="D254" s="725"/>
      <c r="E254" s="725"/>
      <c r="F254" s="725"/>
      <c r="G254" s="725"/>
      <c r="H254" s="725"/>
      <c r="I254" s="725"/>
      <c r="J254" s="725"/>
      <c r="K254" s="725"/>
      <c r="L254" s="725"/>
      <c r="M254" s="548"/>
      <c r="N254" s="548"/>
      <c r="O254" s="15"/>
      <c r="P254" s="15"/>
    </row>
    <row r="255" spans="1:16" ht="114">
      <c r="A255" s="18" t="s">
        <v>0</v>
      </c>
      <c r="B255" s="18" t="s">
        <v>2582</v>
      </c>
      <c r="C255" s="18" t="s">
        <v>6590</v>
      </c>
      <c r="D255" s="18" t="s">
        <v>1648</v>
      </c>
      <c r="E255" s="18" t="s">
        <v>6277</v>
      </c>
      <c r="F255" s="18" t="s">
        <v>1619</v>
      </c>
      <c r="G255" s="19" t="s">
        <v>1649</v>
      </c>
      <c r="H255" s="18" t="s">
        <v>6281</v>
      </c>
      <c r="I255" s="18" t="s">
        <v>1620</v>
      </c>
      <c r="J255" s="19" t="s">
        <v>1650</v>
      </c>
      <c r="K255" s="20" t="s">
        <v>1651</v>
      </c>
      <c r="L255" s="20" t="s">
        <v>1622</v>
      </c>
      <c r="M255" s="15"/>
      <c r="N255" s="15"/>
      <c r="O255" s="15"/>
      <c r="P255" s="15"/>
    </row>
    <row r="256" spans="1:16">
      <c r="A256" s="530">
        <v>1</v>
      </c>
      <c r="B256" s="530">
        <v>2</v>
      </c>
      <c r="C256" s="530">
        <v>3</v>
      </c>
      <c r="D256" s="530">
        <v>4</v>
      </c>
      <c r="E256" s="530">
        <v>5</v>
      </c>
      <c r="F256" s="530">
        <v>6</v>
      </c>
      <c r="G256" s="530">
        <v>7</v>
      </c>
      <c r="H256" s="530">
        <v>8</v>
      </c>
      <c r="I256" s="19">
        <v>9</v>
      </c>
      <c r="J256" s="530">
        <v>10</v>
      </c>
      <c r="K256" s="530">
        <v>11</v>
      </c>
      <c r="L256" s="530">
        <v>12</v>
      </c>
      <c r="M256" s="15"/>
      <c r="N256" s="15"/>
      <c r="O256" s="15"/>
      <c r="P256" s="15"/>
    </row>
    <row r="257" spans="1:16" ht="15">
      <c r="A257" s="728">
        <v>1</v>
      </c>
      <c r="B257" s="730" t="s">
        <v>621</v>
      </c>
      <c r="C257" s="731" t="s">
        <v>622</v>
      </c>
      <c r="D257" s="56" t="s">
        <v>6436</v>
      </c>
      <c r="E257" s="55" t="s">
        <v>6437</v>
      </c>
      <c r="F257" s="55" t="s">
        <v>17</v>
      </c>
      <c r="G257" s="55" t="s">
        <v>6438</v>
      </c>
      <c r="H257" s="55" t="s">
        <v>6439</v>
      </c>
      <c r="I257" s="248" t="s">
        <v>17</v>
      </c>
      <c r="J257" s="55" t="s">
        <v>6440</v>
      </c>
      <c r="K257" s="248" t="s">
        <v>17</v>
      </c>
      <c r="L257" s="248" t="s">
        <v>17</v>
      </c>
      <c r="M257" s="15"/>
      <c r="N257" s="15"/>
      <c r="O257" s="15"/>
      <c r="P257" s="15"/>
    </row>
    <row r="258" spans="1:16" ht="45">
      <c r="A258" s="728"/>
      <c r="B258" s="730"/>
      <c r="C258" s="731"/>
      <c r="D258" s="56" t="s">
        <v>6441</v>
      </c>
      <c r="E258" s="55" t="s">
        <v>6442</v>
      </c>
      <c r="F258" s="55" t="s">
        <v>17</v>
      </c>
      <c r="G258" s="55" t="s">
        <v>6443</v>
      </c>
      <c r="H258" s="55" t="s">
        <v>6444</v>
      </c>
      <c r="I258" s="248" t="s">
        <v>17</v>
      </c>
      <c r="J258" s="55" t="s">
        <v>6445</v>
      </c>
      <c r="K258" s="248" t="s">
        <v>17</v>
      </c>
      <c r="L258" s="248" t="s">
        <v>17</v>
      </c>
      <c r="M258" s="15"/>
      <c r="N258" s="15"/>
      <c r="O258" s="15"/>
      <c r="P258" s="15"/>
    </row>
    <row r="259" spans="1:16" ht="15">
      <c r="A259" s="728"/>
      <c r="B259" s="730"/>
      <c r="C259" s="731"/>
      <c r="D259" s="56" t="s">
        <v>6446</v>
      </c>
      <c r="E259" s="55" t="s">
        <v>6447</v>
      </c>
      <c r="F259" s="55" t="s">
        <v>17</v>
      </c>
      <c r="G259" s="55" t="s">
        <v>6448</v>
      </c>
      <c r="H259" s="55" t="s">
        <v>6449</v>
      </c>
      <c r="I259" s="248" t="s">
        <v>17</v>
      </c>
      <c r="J259" s="248" t="s">
        <v>17</v>
      </c>
      <c r="K259" s="248" t="s">
        <v>17</v>
      </c>
      <c r="L259" s="248" t="s">
        <v>17</v>
      </c>
      <c r="M259" s="15"/>
      <c r="N259" s="15"/>
      <c r="O259" s="15"/>
      <c r="P259" s="15"/>
    </row>
    <row r="260" spans="1:16" ht="15">
      <c r="A260" s="728"/>
      <c r="B260" s="730"/>
      <c r="C260" s="731"/>
      <c r="D260" s="56" t="s">
        <v>6450</v>
      </c>
      <c r="E260" s="55" t="s">
        <v>6451</v>
      </c>
      <c r="F260" s="55" t="s">
        <v>17</v>
      </c>
      <c r="G260" s="55" t="s">
        <v>6448</v>
      </c>
      <c r="H260" s="55" t="s">
        <v>6452</v>
      </c>
      <c r="I260" s="248" t="s">
        <v>17</v>
      </c>
      <c r="J260" s="248" t="s">
        <v>17</v>
      </c>
      <c r="K260" s="248" t="s">
        <v>17</v>
      </c>
      <c r="L260" s="248" t="s">
        <v>17</v>
      </c>
      <c r="M260" s="15"/>
      <c r="N260" s="15"/>
      <c r="O260" s="15"/>
      <c r="P260" s="15"/>
    </row>
    <row r="261" spans="1:16" ht="30">
      <c r="A261" s="728"/>
      <c r="B261" s="730"/>
      <c r="C261" s="731"/>
      <c r="D261" s="56" t="s">
        <v>6453</v>
      </c>
      <c r="E261" s="55" t="s">
        <v>6454</v>
      </c>
      <c r="F261" s="55" t="s">
        <v>17</v>
      </c>
      <c r="G261" s="55" t="s">
        <v>6448</v>
      </c>
      <c r="H261" s="55" t="s">
        <v>6455</v>
      </c>
      <c r="I261" s="248" t="s">
        <v>17</v>
      </c>
      <c r="J261" s="248" t="s">
        <v>17</v>
      </c>
      <c r="K261" s="248" t="s">
        <v>17</v>
      </c>
      <c r="L261" s="248" t="s">
        <v>17</v>
      </c>
      <c r="M261" s="15"/>
      <c r="N261" s="15"/>
      <c r="O261" s="15"/>
      <c r="P261" s="15"/>
    </row>
    <row r="262" spans="1:16" ht="30">
      <c r="A262" s="728"/>
      <c r="B262" s="730"/>
      <c r="C262" s="731"/>
      <c r="D262" s="56" t="s">
        <v>6456</v>
      </c>
      <c r="E262" s="55">
        <v>127</v>
      </c>
      <c r="F262" s="55" t="s">
        <v>17</v>
      </c>
      <c r="G262" s="55" t="s">
        <v>6457</v>
      </c>
      <c r="H262" s="55" t="s">
        <v>6458</v>
      </c>
      <c r="I262" s="248" t="s">
        <v>17</v>
      </c>
      <c r="J262" s="248" t="s">
        <v>17</v>
      </c>
      <c r="K262" s="248" t="s">
        <v>17</v>
      </c>
      <c r="L262" s="248" t="s">
        <v>17</v>
      </c>
      <c r="M262" s="15"/>
      <c r="N262" s="15"/>
      <c r="O262" s="15"/>
      <c r="P262" s="15"/>
    </row>
    <row r="263" spans="1:16" ht="15">
      <c r="A263" s="728"/>
      <c r="B263" s="730"/>
      <c r="C263" s="731"/>
      <c r="D263" s="56" t="s">
        <v>6459</v>
      </c>
      <c r="E263" s="55" t="s">
        <v>6460</v>
      </c>
      <c r="F263" s="55" t="s">
        <v>17</v>
      </c>
      <c r="G263" s="55" t="s">
        <v>6461</v>
      </c>
      <c r="H263" s="55" t="s">
        <v>6462</v>
      </c>
      <c r="I263" s="248" t="s">
        <v>17</v>
      </c>
      <c r="J263" s="248" t="s">
        <v>17</v>
      </c>
      <c r="K263" s="248" t="s">
        <v>17</v>
      </c>
      <c r="L263" s="248" t="s">
        <v>17</v>
      </c>
      <c r="M263" s="15"/>
      <c r="N263" s="15"/>
      <c r="O263" s="15"/>
      <c r="P263" s="15"/>
    </row>
    <row r="264" spans="1:16" ht="15">
      <c r="A264" s="728"/>
      <c r="B264" s="730"/>
      <c r="C264" s="731"/>
      <c r="D264" s="56" t="s">
        <v>6463</v>
      </c>
      <c r="E264" s="55" t="s">
        <v>6464</v>
      </c>
      <c r="F264" s="55" t="s">
        <v>17</v>
      </c>
      <c r="G264" s="55" t="s">
        <v>6461</v>
      </c>
      <c r="H264" s="55" t="s">
        <v>6465</v>
      </c>
      <c r="I264" s="248" t="s">
        <v>17</v>
      </c>
      <c r="J264" s="248" t="s">
        <v>17</v>
      </c>
      <c r="K264" s="248" t="s">
        <v>17</v>
      </c>
      <c r="L264" s="248" t="s">
        <v>17</v>
      </c>
      <c r="M264" s="15"/>
      <c r="N264" s="15"/>
      <c r="O264" s="15"/>
      <c r="P264" s="15"/>
    </row>
    <row r="265" spans="1:16" ht="30">
      <c r="A265" s="728"/>
      <c r="B265" s="730"/>
      <c r="C265" s="731"/>
      <c r="D265" s="56" t="s">
        <v>6466</v>
      </c>
      <c r="E265" s="55">
        <v>90.63</v>
      </c>
      <c r="F265" s="55" t="s">
        <v>17</v>
      </c>
      <c r="G265" s="55" t="s">
        <v>6461</v>
      </c>
      <c r="H265" s="55" t="s">
        <v>6467</v>
      </c>
      <c r="I265" s="55" t="s">
        <v>17</v>
      </c>
      <c r="J265" s="248" t="s">
        <v>17</v>
      </c>
      <c r="K265" s="517" t="s">
        <v>17</v>
      </c>
      <c r="L265" s="517" t="s">
        <v>17</v>
      </c>
      <c r="M265" s="15"/>
      <c r="N265" s="15"/>
      <c r="O265" s="15"/>
      <c r="P265" s="15"/>
    </row>
    <row r="266" spans="1:16" ht="15">
      <c r="A266" s="306">
        <v>2</v>
      </c>
      <c r="B266" s="730"/>
      <c r="C266" s="209" t="s">
        <v>627</v>
      </c>
      <c r="D266" s="732" t="s">
        <v>87</v>
      </c>
      <c r="E266" s="732"/>
      <c r="F266" s="732"/>
      <c r="G266" s="732"/>
      <c r="H266" s="732"/>
      <c r="I266" s="732"/>
      <c r="J266" s="732"/>
      <c r="K266" s="732"/>
      <c r="L266" s="732"/>
      <c r="M266" s="15"/>
      <c r="N266" s="15"/>
      <c r="O266" s="15"/>
      <c r="P266" s="15"/>
    </row>
    <row r="267" spans="1:16" ht="15">
      <c r="A267" s="306">
        <v>3</v>
      </c>
      <c r="B267" s="730"/>
      <c r="C267" s="209" t="s">
        <v>628</v>
      </c>
      <c r="D267" s="732" t="s">
        <v>87</v>
      </c>
      <c r="E267" s="732"/>
      <c r="F267" s="732"/>
      <c r="G267" s="732"/>
      <c r="H267" s="732"/>
      <c r="I267" s="732"/>
      <c r="J267" s="732"/>
      <c r="K267" s="732"/>
      <c r="L267" s="732"/>
      <c r="M267" s="15"/>
      <c r="N267" s="15"/>
      <c r="O267" s="15"/>
      <c r="P267" s="15"/>
    </row>
    <row r="268" spans="1:16" ht="15">
      <c r="A268" s="306">
        <v>4</v>
      </c>
      <c r="B268" s="730"/>
      <c r="C268" s="209" t="s">
        <v>629</v>
      </c>
      <c r="D268" s="732" t="s">
        <v>87</v>
      </c>
      <c r="E268" s="732"/>
      <c r="F268" s="732"/>
      <c r="G268" s="732"/>
      <c r="H268" s="732"/>
      <c r="I268" s="732"/>
      <c r="J268" s="732"/>
      <c r="K268" s="732"/>
      <c r="L268" s="732"/>
      <c r="M268" s="15"/>
      <c r="N268" s="15"/>
      <c r="O268" s="15"/>
      <c r="P268" s="15"/>
    </row>
    <row r="269" spans="1:16" ht="15">
      <c r="A269" s="306">
        <v>5</v>
      </c>
      <c r="B269" s="730"/>
      <c r="C269" s="209" t="s">
        <v>630</v>
      </c>
      <c r="D269" s="732" t="s">
        <v>87</v>
      </c>
      <c r="E269" s="732"/>
      <c r="F269" s="732"/>
      <c r="G269" s="732"/>
      <c r="H269" s="732"/>
      <c r="I269" s="732"/>
      <c r="J269" s="732"/>
      <c r="K269" s="732"/>
      <c r="L269" s="732"/>
      <c r="M269" s="15"/>
      <c r="N269" s="15"/>
      <c r="O269" s="15"/>
      <c r="P269" s="15"/>
    </row>
    <row r="270" spans="1:16" ht="15">
      <c r="A270" s="306">
        <v>6</v>
      </c>
      <c r="B270" s="730"/>
      <c r="C270" s="209" t="s">
        <v>631</v>
      </c>
      <c r="D270" s="728" t="s">
        <v>87</v>
      </c>
      <c r="E270" s="728"/>
      <c r="F270" s="728"/>
      <c r="G270" s="728"/>
      <c r="H270" s="728"/>
      <c r="I270" s="728"/>
      <c r="J270" s="728"/>
      <c r="K270" s="728"/>
      <c r="L270" s="728"/>
      <c r="M270" s="15"/>
      <c r="N270" s="15"/>
      <c r="O270" s="15"/>
      <c r="P270" s="15"/>
    </row>
    <row r="271" spans="1:16" ht="15">
      <c r="A271" s="306">
        <v>7</v>
      </c>
      <c r="B271" s="730"/>
      <c r="C271" s="209" t="s">
        <v>632</v>
      </c>
      <c r="D271" s="728" t="s">
        <v>87</v>
      </c>
      <c r="E271" s="728"/>
      <c r="F271" s="728"/>
      <c r="G271" s="728"/>
      <c r="H271" s="728"/>
      <c r="I271" s="728"/>
      <c r="J271" s="728"/>
      <c r="K271" s="728"/>
      <c r="L271" s="728"/>
      <c r="M271" s="15"/>
      <c r="N271" s="15"/>
      <c r="O271" s="15"/>
      <c r="P271" s="15"/>
    </row>
    <row r="272" spans="1:16" ht="15">
      <c r="A272" s="306">
        <v>8</v>
      </c>
      <c r="B272" s="730"/>
      <c r="C272" s="209" t="s">
        <v>633</v>
      </c>
      <c r="D272" s="728" t="s">
        <v>87</v>
      </c>
      <c r="E272" s="728"/>
      <c r="F272" s="728"/>
      <c r="G272" s="728"/>
      <c r="H272" s="728"/>
      <c r="I272" s="728"/>
      <c r="J272" s="728"/>
      <c r="K272" s="728"/>
      <c r="L272" s="728"/>
      <c r="M272" s="15"/>
      <c r="N272" s="15"/>
      <c r="O272" s="15"/>
      <c r="P272" s="15"/>
    </row>
    <row r="273" spans="1:16" ht="57">
      <c r="A273" s="720" t="s">
        <v>1661</v>
      </c>
      <c r="B273" s="720"/>
      <c r="C273" s="720"/>
      <c r="D273" s="720"/>
      <c r="E273" s="720"/>
      <c r="F273" s="720"/>
      <c r="G273" s="720"/>
      <c r="H273" s="720"/>
      <c r="I273" s="720"/>
      <c r="J273" s="720"/>
      <c r="K273" s="720"/>
      <c r="L273" s="720"/>
      <c r="M273" s="720"/>
      <c r="N273" s="720"/>
      <c r="O273" s="720"/>
      <c r="P273" s="143" t="s">
        <v>1623</v>
      </c>
    </row>
    <row r="274" spans="1:16">
      <c r="A274" s="720">
        <v>13</v>
      </c>
      <c r="B274" s="720"/>
      <c r="C274" s="720"/>
      <c r="D274" s="720"/>
      <c r="E274" s="720"/>
      <c r="F274" s="720"/>
      <c r="G274" s="720"/>
      <c r="H274" s="720"/>
      <c r="I274" s="720"/>
      <c r="J274" s="720"/>
      <c r="K274" s="720"/>
      <c r="L274" s="720"/>
      <c r="M274" s="720"/>
      <c r="N274" s="720"/>
      <c r="O274" s="720"/>
      <c r="P274" s="18">
        <v>14</v>
      </c>
    </row>
    <row r="275" spans="1:16" ht="15">
      <c r="A275" s="720" t="s">
        <v>1662</v>
      </c>
      <c r="B275" s="720"/>
      <c r="C275" s="720"/>
      <c r="D275" s="720" t="s">
        <v>1663</v>
      </c>
      <c r="E275" s="720"/>
      <c r="F275" s="720"/>
      <c r="G275" s="720" t="s">
        <v>1664</v>
      </c>
      <c r="H275" s="720"/>
      <c r="I275" s="720"/>
      <c r="J275" s="720" t="s">
        <v>1665</v>
      </c>
      <c r="K275" s="720"/>
      <c r="L275" s="720"/>
      <c r="M275" s="720" t="s">
        <v>1666</v>
      </c>
      <c r="N275" s="720"/>
      <c r="O275" s="720"/>
      <c r="P275" s="310"/>
    </row>
    <row r="276" spans="1:16" ht="15">
      <c r="A276" s="517" t="s">
        <v>1667</v>
      </c>
      <c r="B276" s="517" t="s">
        <v>1668</v>
      </c>
      <c r="C276" s="544" t="s">
        <v>418</v>
      </c>
      <c r="D276" s="517" t="s">
        <v>1667</v>
      </c>
      <c r="E276" s="517" t="s">
        <v>1668</v>
      </c>
      <c r="F276" s="544" t="s">
        <v>418</v>
      </c>
      <c r="G276" s="517" t="s">
        <v>1667</v>
      </c>
      <c r="H276" s="517" t="s">
        <v>1668</v>
      </c>
      <c r="I276" s="544" t="s">
        <v>418</v>
      </c>
      <c r="J276" s="517" t="s">
        <v>1667</v>
      </c>
      <c r="K276" s="517" t="s">
        <v>1668</v>
      </c>
      <c r="L276" s="544" t="s">
        <v>418</v>
      </c>
      <c r="M276" s="517" t="s">
        <v>1667</v>
      </c>
      <c r="N276" s="517" t="s">
        <v>1668</v>
      </c>
      <c r="O276" s="544" t="s">
        <v>418</v>
      </c>
      <c r="P276" s="517"/>
    </row>
    <row r="277" spans="1:16" ht="15">
      <c r="A277" s="521" t="s">
        <v>87</v>
      </c>
      <c r="B277" s="521" t="s">
        <v>87</v>
      </c>
      <c r="C277" s="521" t="s">
        <v>87</v>
      </c>
      <c r="D277" s="521">
        <v>83</v>
      </c>
      <c r="E277" s="521">
        <v>83</v>
      </c>
      <c r="F277" s="521">
        <v>71</v>
      </c>
      <c r="G277" s="521">
        <v>140</v>
      </c>
      <c r="H277" s="521">
        <v>94</v>
      </c>
      <c r="I277" s="521">
        <v>87</v>
      </c>
      <c r="J277" s="521">
        <v>78</v>
      </c>
      <c r="K277" s="521">
        <v>78</v>
      </c>
      <c r="L277" s="521">
        <v>64</v>
      </c>
      <c r="M277" s="521">
        <v>24</v>
      </c>
      <c r="N277" s="521">
        <v>24</v>
      </c>
      <c r="O277" s="521">
        <v>24</v>
      </c>
      <c r="P277" s="519"/>
    </row>
    <row r="278" spans="1:16" ht="15">
      <c r="A278" s="720" t="s">
        <v>1670</v>
      </c>
      <c r="B278" s="720"/>
      <c r="C278" s="720"/>
      <c r="D278" s="720" t="s">
        <v>1671</v>
      </c>
      <c r="E278" s="720"/>
      <c r="F278" s="720"/>
      <c r="G278" s="720" t="s">
        <v>1672</v>
      </c>
      <c r="H278" s="720"/>
      <c r="I278" s="720"/>
      <c r="J278" s="716"/>
      <c r="K278" s="716"/>
      <c r="L278" s="716"/>
      <c r="M278" s="716"/>
      <c r="N278" s="716"/>
      <c r="O278" s="716"/>
      <c r="P278" s="310"/>
    </row>
    <row r="279" spans="1:16" ht="15">
      <c r="A279" s="517" t="s">
        <v>1667</v>
      </c>
      <c r="B279" s="517" t="s">
        <v>1668</v>
      </c>
      <c r="C279" s="544" t="s">
        <v>418</v>
      </c>
      <c r="D279" s="517" t="s">
        <v>1667</v>
      </c>
      <c r="E279" s="517" t="s">
        <v>1668</v>
      </c>
      <c r="F279" s="544" t="s">
        <v>418</v>
      </c>
      <c r="G279" s="517" t="s">
        <v>1667</v>
      </c>
      <c r="H279" s="517" t="s">
        <v>1668</v>
      </c>
      <c r="I279" s="544" t="s">
        <v>418</v>
      </c>
      <c r="J279" s="716"/>
      <c r="K279" s="716"/>
      <c r="L279" s="716"/>
      <c r="M279" s="716"/>
      <c r="N279" s="716"/>
      <c r="O279" s="716"/>
      <c r="P279" s="310"/>
    </row>
    <row r="280" spans="1:16" ht="15">
      <c r="A280" s="517"/>
      <c r="B280" s="517"/>
      <c r="C280" s="517"/>
      <c r="D280" s="310"/>
      <c r="E280" s="310"/>
      <c r="F280" s="310"/>
      <c r="G280" s="310"/>
      <c r="H280" s="310"/>
      <c r="I280" s="519"/>
      <c r="J280" s="716"/>
      <c r="K280" s="716"/>
      <c r="L280" s="716"/>
      <c r="M280" s="716"/>
      <c r="N280" s="716"/>
      <c r="O280" s="716"/>
      <c r="P280" s="310"/>
    </row>
    <row r="281" spans="1:16">
      <c r="A281" s="15"/>
      <c r="B281" s="15"/>
      <c r="C281" s="15"/>
      <c r="D281" s="15"/>
      <c r="E281" s="15"/>
      <c r="F281" s="15"/>
      <c r="G281" s="15"/>
      <c r="H281" s="15"/>
      <c r="I281" s="14"/>
      <c r="J281" s="15"/>
      <c r="K281" s="15"/>
      <c r="L281" s="15"/>
      <c r="M281" s="15"/>
      <c r="N281" s="15"/>
      <c r="O281" s="15"/>
      <c r="P281" s="15"/>
    </row>
    <row r="282" spans="1:16" ht="22.5">
      <c r="A282" s="718" t="s">
        <v>639</v>
      </c>
      <c r="B282" s="718"/>
      <c r="C282" s="718"/>
      <c r="D282" s="718"/>
      <c r="E282" s="718"/>
      <c r="F282" s="718"/>
      <c r="G282" s="718"/>
      <c r="H282" s="718"/>
      <c r="I282" s="718"/>
      <c r="J282" s="718"/>
      <c r="K282" s="718"/>
      <c r="L282" s="718"/>
      <c r="M282" s="718"/>
      <c r="N282" s="718"/>
      <c r="O282" s="718"/>
      <c r="P282" s="718"/>
    </row>
    <row r="283" spans="1:16" ht="20.25">
      <c r="A283" s="725" t="s">
        <v>6280</v>
      </c>
      <c r="B283" s="725"/>
      <c r="C283" s="725"/>
      <c r="D283" s="725"/>
      <c r="E283" s="725"/>
      <c r="F283" s="725"/>
      <c r="G283" s="725"/>
      <c r="H283" s="725"/>
      <c r="I283" s="725"/>
      <c r="J283" s="725"/>
      <c r="K283" s="725"/>
      <c r="L283" s="725"/>
      <c r="M283" s="548"/>
      <c r="N283" s="548"/>
      <c r="O283" s="15"/>
      <c r="P283" s="15"/>
    </row>
    <row r="284" spans="1:16" ht="114">
      <c r="A284" s="18" t="s">
        <v>0</v>
      </c>
      <c r="B284" s="18" t="s">
        <v>2582</v>
      </c>
      <c r="C284" s="18" t="s">
        <v>6590</v>
      </c>
      <c r="D284" s="18" t="s">
        <v>1648</v>
      </c>
      <c r="E284" s="18" t="s">
        <v>6277</v>
      </c>
      <c r="F284" s="18" t="s">
        <v>1619</v>
      </c>
      <c r="G284" s="19" t="s">
        <v>1649</v>
      </c>
      <c r="H284" s="18" t="s">
        <v>6281</v>
      </c>
      <c r="I284" s="18" t="s">
        <v>1620</v>
      </c>
      <c r="J284" s="19" t="s">
        <v>1650</v>
      </c>
      <c r="K284" s="20" t="s">
        <v>1651</v>
      </c>
      <c r="L284" s="20" t="s">
        <v>1622</v>
      </c>
      <c r="M284" s="15"/>
      <c r="N284" s="15"/>
      <c r="O284" s="15"/>
      <c r="P284" s="15"/>
    </row>
    <row r="285" spans="1:16">
      <c r="A285" s="530">
        <v>1</v>
      </c>
      <c r="B285" s="530">
        <v>2</v>
      </c>
      <c r="C285" s="530">
        <v>3</v>
      </c>
      <c r="D285" s="530">
        <v>4</v>
      </c>
      <c r="E285" s="530">
        <v>5</v>
      </c>
      <c r="F285" s="530">
        <v>6</v>
      </c>
      <c r="G285" s="530">
        <v>7</v>
      </c>
      <c r="H285" s="530">
        <v>8</v>
      </c>
      <c r="I285" s="19">
        <v>9</v>
      </c>
      <c r="J285" s="530">
        <v>10</v>
      </c>
      <c r="K285" s="530">
        <v>11</v>
      </c>
      <c r="L285" s="530">
        <v>12</v>
      </c>
      <c r="M285" s="15"/>
      <c r="N285" s="15"/>
      <c r="O285" s="15"/>
      <c r="P285" s="15"/>
    </row>
    <row r="286" spans="1:16" ht="15" customHeight="1">
      <c r="A286" s="530"/>
      <c r="B286" s="530"/>
      <c r="C286" s="25" t="s">
        <v>6856</v>
      </c>
      <c r="D286" s="530" t="s">
        <v>6958</v>
      </c>
      <c r="E286" s="530"/>
      <c r="F286" s="530"/>
      <c r="G286" s="530"/>
      <c r="H286" s="530"/>
      <c r="I286" s="19"/>
      <c r="J286" s="530"/>
      <c r="K286" s="530"/>
      <c r="L286" s="530"/>
      <c r="M286" s="15"/>
      <c r="N286" s="15"/>
      <c r="O286" s="15"/>
      <c r="P286" s="15"/>
    </row>
    <row r="287" spans="1:16" ht="14.25" customHeight="1">
      <c r="A287" s="530"/>
      <c r="B287" s="530"/>
      <c r="C287" s="696" t="s">
        <v>6862</v>
      </c>
      <c r="D287" s="511" t="s">
        <v>6923</v>
      </c>
      <c r="E287" s="513" t="s">
        <v>6924</v>
      </c>
      <c r="F287" s="513" t="s">
        <v>6925</v>
      </c>
      <c r="G287" s="530"/>
      <c r="H287" s="530"/>
      <c r="I287" s="19"/>
      <c r="J287" s="530"/>
      <c r="K287" s="530"/>
      <c r="L287" s="530"/>
      <c r="M287" s="15"/>
      <c r="N287" s="15"/>
      <c r="O287" s="15"/>
      <c r="P287" s="15"/>
    </row>
    <row r="288" spans="1:16" ht="14.25" customHeight="1">
      <c r="A288" s="530"/>
      <c r="B288" s="530"/>
      <c r="C288" s="696"/>
      <c r="D288" s="511" t="s">
        <v>6881</v>
      </c>
      <c r="E288" s="513" t="s">
        <v>6882</v>
      </c>
      <c r="F288" s="512" t="s">
        <v>6883</v>
      </c>
      <c r="G288" s="530"/>
      <c r="H288" s="530"/>
      <c r="I288" s="19"/>
      <c r="J288" s="530"/>
      <c r="K288" s="530"/>
      <c r="L288" s="530"/>
      <c r="M288" s="15"/>
      <c r="N288" s="15"/>
      <c r="O288" s="15"/>
      <c r="P288" s="15"/>
    </row>
    <row r="289" spans="1:16" ht="15">
      <c r="A289" s="530"/>
      <c r="B289" s="530"/>
      <c r="C289" s="511" t="s">
        <v>6863</v>
      </c>
      <c r="D289" s="268"/>
      <c r="E289" s="530"/>
      <c r="F289" s="530"/>
      <c r="G289" s="530"/>
      <c r="H289" s="530"/>
      <c r="I289" s="19"/>
      <c r="J289" s="530"/>
      <c r="K289" s="530"/>
      <c r="L289" s="530"/>
      <c r="M289" s="15"/>
      <c r="N289" s="15"/>
      <c r="O289" s="15"/>
      <c r="P289" s="15"/>
    </row>
    <row r="290" spans="1:16" ht="15">
      <c r="A290" s="530"/>
      <c r="B290" s="530"/>
      <c r="C290" s="511" t="s">
        <v>6864</v>
      </c>
      <c r="D290" s="268"/>
      <c r="E290" s="530"/>
      <c r="F290" s="530"/>
      <c r="G290" s="530"/>
      <c r="H290" s="530"/>
      <c r="I290" s="19"/>
      <c r="J290" s="530"/>
      <c r="K290" s="530"/>
      <c r="L290" s="530"/>
      <c r="M290" s="15"/>
      <c r="N290" s="15"/>
      <c r="O290" s="15"/>
      <c r="P290" s="15"/>
    </row>
    <row r="291" spans="1:16" ht="15">
      <c r="A291" s="530"/>
      <c r="B291" s="530"/>
      <c r="C291" s="511" t="s">
        <v>6865</v>
      </c>
      <c r="D291" s="268"/>
      <c r="E291" s="530"/>
      <c r="F291" s="530"/>
      <c r="G291" s="530"/>
      <c r="H291" s="530"/>
      <c r="I291" s="19"/>
      <c r="J291" s="530"/>
      <c r="K291" s="530"/>
      <c r="L291" s="530"/>
      <c r="M291" s="15"/>
      <c r="N291" s="15"/>
      <c r="O291" s="15"/>
      <c r="P291" s="15"/>
    </row>
    <row r="292" spans="1:16" ht="15">
      <c r="A292" s="530"/>
      <c r="B292" s="530"/>
      <c r="C292" s="511" t="s">
        <v>6866</v>
      </c>
      <c r="D292" s="268"/>
      <c r="E292" s="530"/>
      <c r="F292" s="530"/>
      <c r="G292" s="530"/>
      <c r="H292" s="530"/>
      <c r="I292" s="19"/>
      <c r="J292" s="530"/>
      <c r="K292" s="530"/>
      <c r="L292" s="530"/>
      <c r="M292" s="15"/>
      <c r="N292" s="15"/>
      <c r="O292" s="15"/>
      <c r="P292" s="15"/>
    </row>
    <row r="293" spans="1:16" ht="15">
      <c r="A293" s="530"/>
      <c r="B293" s="530"/>
      <c r="C293" s="511" t="s">
        <v>6867</v>
      </c>
      <c r="D293" s="268"/>
      <c r="E293" s="530"/>
      <c r="F293" s="530"/>
      <c r="G293" s="530"/>
      <c r="H293" s="530"/>
      <c r="I293" s="19"/>
      <c r="J293" s="530"/>
      <c r="K293" s="530"/>
      <c r="L293" s="530"/>
      <c r="M293" s="15"/>
      <c r="N293" s="15"/>
      <c r="O293" s="15"/>
      <c r="P293" s="15"/>
    </row>
    <row r="294" spans="1:16" ht="15">
      <c r="A294" s="530"/>
      <c r="B294" s="530"/>
      <c r="C294" s="511" t="s">
        <v>6868</v>
      </c>
      <c r="D294" s="268"/>
      <c r="E294" s="530"/>
      <c r="F294" s="530"/>
      <c r="G294" s="530"/>
      <c r="H294" s="530"/>
      <c r="I294" s="19"/>
      <c r="J294" s="530"/>
      <c r="K294" s="530"/>
      <c r="L294" s="530"/>
      <c r="M294" s="15"/>
      <c r="N294" s="15"/>
      <c r="O294" s="15"/>
      <c r="P294" s="15"/>
    </row>
    <row r="295" spans="1:16" ht="15">
      <c r="A295" s="530"/>
      <c r="B295" s="530"/>
      <c r="C295" s="511" t="s">
        <v>6869</v>
      </c>
      <c r="D295" s="268"/>
      <c r="E295" s="530"/>
      <c r="F295" s="530"/>
      <c r="G295" s="530"/>
      <c r="H295" s="530"/>
      <c r="I295" s="19"/>
      <c r="J295" s="530"/>
      <c r="K295" s="530"/>
      <c r="L295" s="530"/>
      <c r="M295" s="15"/>
      <c r="N295" s="15"/>
      <c r="O295" s="15"/>
      <c r="P295" s="15"/>
    </row>
    <row r="296" spans="1:16" ht="15">
      <c r="A296" s="530"/>
      <c r="B296" s="530"/>
      <c r="C296" s="511" t="s">
        <v>6870</v>
      </c>
      <c r="D296" s="268"/>
      <c r="E296" s="530"/>
      <c r="F296" s="530"/>
      <c r="G296" s="530"/>
      <c r="H296" s="530"/>
      <c r="I296" s="19"/>
      <c r="J296" s="530"/>
      <c r="K296" s="530"/>
      <c r="L296" s="530"/>
      <c r="M296" s="15"/>
      <c r="N296" s="15"/>
      <c r="O296" s="15"/>
      <c r="P296" s="15"/>
    </row>
    <row r="297" spans="1:16" ht="30">
      <c r="A297" s="530"/>
      <c r="B297" s="530"/>
      <c r="C297" s="511" t="s">
        <v>6871</v>
      </c>
      <c r="D297" s="511" t="s">
        <v>6957</v>
      </c>
      <c r="E297" s="530"/>
      <c r="F297" s="512" t="s">
        <v>6890</v>
      </c>
      <c r="G297" s="530"/>
      <c r="H297" s="530"/>
      <c r="I297" s="19"/>
      <c r="J297" s="530"/>
      <c r="K297" s="530"/>
      <c r="L297" s="530"/>
      <c r="M297" s="15"/>
      <c r="N297" s="15"/>
      <c r="O297" s="15"/>
      <c r="P297" s="15"/>
    </row>
    <row r="298" spans="1:16">
      <c r="A298" s="15"/>
      <c r="B298" s="15"/>
      <c r="C298" s="15"/>
      <c r="D298" s="15"/>
      <c r="E298" s="537"/>
      <c r="F298" s="537"/>
      <c r="G298" s="537"/>
      <c r="H298" s="537"/>
      <c r="I298" s="17"/>
      <c r="J298" s="537"/>
      <c r="K298" s="537"/>
      <c r="L298" s="537"/>
      <c r="M298" s="15"/>
      <c r="N298" s="15"/>
      <c r="O298" s="15"/>
      <c r="P298" s="15"/>
    </row>
    <row r="299" spans="1:16" ht="57">
      <c r="A299" s="720" t="s">
        <v>1661</v>
      </c>
      <c r="B299" s="720"/>
      <c r="C299" s="720"/>
      <c r="D299" s="720"/>
      <c r="E299" s="720"/>
      <c r="F299" s="720"/>
      <c r="G299" s="720"/>
      <c r="H299" s="720"/>
      <c r="I299" s="720"/>
      <c r="J299" s="720"/>
      <c r="K299" s="720"/>
      <c r="L299" s="720"/>
      <c r="M299" s="720"/>
      <c r="N299" s="720"/>
      <c r="O299" s="720"/>
      <c r="P299" s="143" t="s">
        <v>1623</v>
      </c>
    </row>
    <row r="300" spans="1:16">
      <c r="A300" s="720">
        <v>13</v>
      </c>
      <c r="B300" s="720"/>
      <c r="C300" s="720"/>
      <c r="D300" s="720"/>
      <c r="E300" s="720"/>
      <c r="F300" s="720"/>
      <c r="G300" s="720"/>
      <c r="H300" s="720"/>
      <c r="I300" s="720"/>
      <c r="J300" s="720"/>
      <c r="K300" s="720"/>
      <c r="L300" s="720"/>
      <c r="M300" s="720"/>
      <c r="N300" s="720"/>
      <c r="O300" s="720"/>
      <c r="P300" s="18">
        <v>14</v>
      </c>
    </row>
    <row r="301" spans="1:16" ht="15">
      <c r="A301" s="720" t="s">
        <v>1662</v>
      </c>
      <c r="B301" s="720"/>
      <c r="C301" s="720"/>
      <c r="D301" s="720" t="s">
        <v>1663</v>
      </c>
      <c r="E301" s="720"/>
      <c r="F301" s="720"/>
      <c r="G301" s="720" t="s">
        <v>1664</v>
      </c>
      <c r="H301" s="720"/>
      <c r="I301" s="720"/>
      <c r="J301" s="720" t="s">
        <v>1665</v>
      </c>
      <c r="K301" s="720"/>
      <c r="L301" s="720"/>
      <c r="M301" s="720" t="s">
        <v>1666</v>
      </c>
      <c r="N301" s="720"/>
      <c r="O301" s="720"/>
      <c r="P301" s="310"/>
    </row>
    <row r="302" spans="1:16" ht="15">
      <c r="A302" s="517" t="s">
        <v>1667</v>
      </c>
      <c r="B302" s="517" t="s">
        <v>1668</v>
      </c>
      <c r="C302" s="544" t="s">
        <v>418</v>
      </c>
      <c r="D302" s="517" t="s">
        <v>1667</v>
      </c>
      <c r="E302" s="517" t="s">
        <v>1668</v>
      </c>
      <c r="F302" s="544" t="s">
        <v>418</v>
      </c>
      <c r="G302" s="517" t="s">
        <v>1667</v>
      </c>
      <c r="H302" s="517" t="s">
        <v>1668</v>
      </c>
      <c r="I302" s="544" t="s">
        <v>418</v>
      </c>
      <c r="J302" s="517" t="s">
        <v>1667</v>
      </c>
      <c r="K302" s="517" t="s">
        <v>1668</v>
      </c>
      <c r="L302" s="544" t="s">
        <v>418</v>
      </c>
      <c r="M302" s="517" t="s">
        <v>1667</v>
      </c>
      <c r="N302" s="517" t="s">
        <v>1668</v>
      </c>
      <c r="O302" s="544" t="s">
        <v>418</v>
      </c>
      <c r="P302" s="517"/>
    </row>
    <row r="303" spans="1:16" ht="15">
      <c r="A303" s="27"/>
      <c r="B303" s="27"/>
      <c r="C303" s="27"/>
      <c r="D303" s="27"/>
      <c r="E303" s="27"/>
      <c r="F303" s="27"/>
      <c r="G303" s="27"/>
      <c r="H303" s="27"/>
      <c r="I303" s="27"/>
      <c r="J303" s="27"/>
      <c r="K303" s="27"/>
      <c r="L303" s="27"/>
      <c r="M303" s="27"/>
      <c r="N303" s="27"/>
      <c r="O303" s="27"/>
      <c r="P303" s="519"/>
    </row>
    <row r="304" spans="1:16" ht="15">
      <c r="A304" s="720" t="s">
        <v>1670</v>
      </c>
      <c r="B304" s="720"/>
      <c r="C304" s="720"/>
      <c r="D304" s="720" t="s">
        <v>1671</v>
      </c>
      <c r="E304" s="720"/>
      <c r="F304" s="720"/>
      <c r="G304" s="720" t="s">
        <v>1672</v>
      </c>
      <c r="H304" s="720"/>
      <c r="I304" s="720"/>
      <c r="J304" s="716"/>
      <c r="K304" s="716"/>
      <c r="L304" s="716"/>
      <c r="M304" s="716"/>
      <c r="N304" s="716"/>
      <c r="O304" s="716"/>
      <c r="P304" s="310"/>
    </row>
    <row r="305" spans="1:16" ht="15">
      <c r="A305" s="517" t="s">
        <v>1667</v>
      </c>
      <c r="B305" s="517" t="s">
        <v>1668</v>
      </c>
      <c r="C305" s="544" t="s">
        <v>418</v>
      </c>
      <c r="D305" s="517" t="s">
        <v>1667</v>
      </c>
      <c r="E305" s="517" t="s">
        <v>1668</v>
      </c>
      <c r="F305" s="544" t="s">
        <v>418</v>
      </c>
      <c r="G305" s="517" t="s">
        <v>1667</v>
      </c>
      <c r="H305" s="517" t="s">
        <v>1668</v>
      </c>
      <c r="I305" s="544" t="s">
        <v>418</v>
      </c>
      <c r="J305" s="716"/>
      <c r="K305" s="716"/>
      <c r="L305" s="716"/>
      <c r="M305" s="716"/>
      <c r="N305" s="716"/>
      <c r="O305" s="716"/>
      <c r="P305" s="310"/>
    </row>
    <row r="306" spans="1:16" ht="15">
      <c r="A306" s="517"/>
      <c r="B306" s="517"/>
      <c r="C306" s="517"/>
      <c r="D306" s="310"/>
      <c r="E306" s="310"/>
      <c r="F306" s="310"/>
      <c r="G306" s="310"/>
      <c r="H306" s="310"/>
      <c r="I306" s="519"/>
      <c r="J306" s="716"/>
      <c r="K306" s="716"/>
      <c r="L306" s="716"/>
      <c r="M306" s="716"/>
      <c r="N306" s="716"/>
      <c r="O306" s="716"/>
      <c r="P306" s="310"/>
    </row>
    <row r="307" spans="1:16">
      <c r="A307" s="15"/>
      <c r="B307" s="15"/>
      <c r="C307" s="15"/>
      <c r="D307" s="15"/>
      <c r="E307" s="15"/>
      <c r="F307" s="15"/>
      <c r="G307" s="15"/>
      <c r="H307" s="15"/>
      <c r="I307" s="14"/>
      <c r="J307" s="15"/>
      <c r="K307" s="15"/>
      <c r="L307" s="15"/>
      <c r="M307" s="15"/>
      <c r="N307" s="15"/>
      <c r="O307" s="15"/>
      <c r="P307" s="15"/>
    </row>
    <row r="308" spans="1:16" ht="22.5">
      <c r="A308" s="718" t="s">
        <v>640</v>
      </c>
      <c r="B308" s="718"/>
      <c r="C308" s="718"/>
      <c r="D308" s="718"/>
      <c r="E308" s="718"/>
      <c r="F308" s="718"/>
      <c r="G308" s="718"/>
      <c r="H308" s="718"/>
      <c r="I308" s="718"/>
      <c r="J308" s="718"/>
      <c r="K308" s="718"/>
      <c r="L308" s="718"/>
      <c r="M308" s="718"/>
      <c r="N308" s="718"/>
      <c r="O308" s="718"/>
      <c r="P308" s="718"/>
    </row>
    <row r="309" spans="1:16" ht="20.25">
      <c r="A309" s="725" t="s">
        <v>6280</v>
      </c>
      <c r="B309" s="725"/>
      <c r="C309" s="725"/>
      <c r="D309" s="725"/>
      <c r="E309" s="725"/>
      <c r="F309" s="725"/>
      <c r="G309" s="725"/>
      <c r="H309" s="725"/>
      <c r="I309" s="725"/>
      <c r="J309" s="725"/>
      <c r="K309" s="725"/>
      <c r="L309" s="725"/>
      <c r="M309" s="548"/>
      <c r="N309" s="548"/>
      <c r="O309" s="15"/>
      <c r="P309" s="15"/>
    </row>
    <row r="310" spans="1:16" ht="114">
      <c r="A310" s="18" t="s">
        <v>0</v>
      </c>
      <c r="B310" s="18" t="s">
        <v>1616</v>
      </c>
      <c r="C310" s="18" t="s">
        <v>1647</v>
      </c>
      <c r="D310" s="18" t="s">
        <v>1648</v>
      </c>
      <c r="E310" s="18" t="s">
        <v>6277</v>
      </c>
      <c r="F310" s="18" t="s">
        <v>1619</v>
      </c>
      <c r="G310" s="19" t="s">
        <v>1649</v>
      </c>
      <c r="H310" s="18" t="s">
        <v>6281</v>
      </c>
      <c r="I310" s="18" t="s">
        <v>1620</v>
      </c>
      <c r="J310" s="19" t="s">
        <v>1650</v>
      </c>
      <c r="K310" s="20" t="s">
        <v>1651</v>
      </c>
      <c r="L310" s="20" t="s">
        <v>1622</v>
      </c>
      <c r="M310" s="15"/>
      <c r="N310" s="15"/>
      <c r="O310" s="15"/>
      <c r="P310" s="15"/>
    </row>
    <row r="311" spans="1:16">
      <c r="A311" s="530">
        <v>1</v>
      </c>
      <c r="B311" s="530">
        <v>2</v>
      </c>
      <c r="C311" s="530">
        <v>3</v>
      </c>
      <c r="D311" s="530">
        <v>4</v>
      </c>
      <c r="E311" s="530">
        <v>5</v>
      </c>
      <c r="F311" s="530">
        <v>6</v>
      </c>
      <c r="G311" s="530">
        <v>7</v>
      </c>
      <c r="H311" s="530">
        <v>8</v>
      </c>
      <c r="I311" s="19">
        <v>9</v>
      </c>
      <c r="J311" s="530">
        <v>10</v>
      </c>
      <c r="K311" s="530">
        <v>11</v>
      </c>
      <c r="L311" s="530">
        <v>12</v>
      </c>
      <c r="M311" s="15"/>
      <c r="N311" s="15"/>
      <c r="O311" s="15"/>
      <c r="P311" s="15"/>
    </row>
    <row r="312" spans="1:16" ht="360">
      <c r="A312" s="512">
        <v>1</v>
      </c>
      <c r="B312" s="706" t="s">
        <v>2604</v>
      </c>
      <c r="C312" s="43" t="s">
        <v>2492</v>
      </c>
      <c r="D312" s="78" t="s">
        <v>656</v>
      </c>
      <c r="E312" s="512">
        <v>4353</v>
      </c>
      <c r="F312" s="512" t="s">
        <v>657</v>
      </c>
      <c r="G312" s="512" t="s">
        <v>657</v>
      </c>
      <c r="H312" s="513" t="s">
        <v>6498</v>
      </c>
      <c r="I312" s="513" t="s">
        <v>6499</v>
      </c>
      <c r="J312" s="513" t="s">
        <v>6500</v>
      </c>
      <c r="K312" s="512">
        <v>1</v>
      </c>
      <c r="L312" s="513" t="s">
        <v>658</v>
      </c>
      <c r="M312" s="15"/>
      <c r="N312" s="15"/>
      <c r="O312" s="15"/>
      <c r="P312" s="15"/>
    </row>
    <row r="313" spans="1:16" ht="90">
      <c r="A313" s="512">
        <v>2</v>
      </c>
      <c r="B313" s="706"/>
      <c r="C313" s="523" t="s">
        <v>6600</v>
      </c>
      <c r="D313" s="511" t="s">
        <v>659</v>
      </c>
      <c r="E313" s="513" t="s">
        <v>6501</v>
      </c>
      <c r="F313" s="517" t="s">
        <v>660</v>
      </c>
      <c r="G313" s="68" t="s">
        <v>541</v>
      </c>
      <c r="H313" s="513" t="s">
        <v>6502</v>
      </c>
      <c r="I313" s="513" t="s">
        <v>6503</v>
      </c>
      <c r="J313" s="518" t="s">
        <v>6504</v>
      </c>
      <c r="K313" s="513">
        <v>2</v>
      </c>
      <c r="L313" s="518" t="s">
        <v>454</v>
      </c>
      <c r="M313" s="15"/>
      <c r="N313" s="15"/>
      <c r="O313" s="15"/>
      <c r="P313" s="15"/>
    </row>
    <row r="314" spans="1:16" ht="15">
      <c r="A314" s="512"/>
      <c r="B314" s="515"/>
      <c r="C314" s="523"/>
      <c r="D314" s="511"/>
      <c r="E314" s="513"/>
      <c r="F314" s="517"/>
      <c r="G314" s="68"/>
      <c r="H314" s="513"/>
      <c r="I314" s="513"/>
      <c r="J314" s="518"/>
      <c r="K314" s="513"/>
      <c r="L314" s="518"/>
      <c r="M314" s="15"/>
      <c r="N314" s="15"/>
      <c r="O314" s="15"/>
      <c r="P314" s="15"/>
    </row>
    <row r="315" spans="1:16" ht="57">
      <c r="A315" s="720" t="s">
        <v>1661</v>
      </c>
      <c r="B315" s="720"/>
      <c r="C315" s="720"/>
      <c r="D315" s="720"/>
      <c r="E315" s="720"/>
      <c r="F315" s="720"/>
      <c r="G315" s="720"/>
      <c r="H315" s="720"/>
      <c r="I315" s="720"/>
      <c r="J315" s="720"/>
      <c r="K315" s="720"/>
      <c r="L315" s="720"/>
      <c r="M315" s="720"/>
      <c r="N315" s="720"/>
      <c r="O315" s="720"/>
      <c r="P315" s="143" t="s">
        <v>1623</v>
      </c>
    </row>
    <row r="316" spans="1:16">
      <c r="A316" s="720">
        <v>13</v>
      </c>
      <c r="B316" s="720"/>
      <c r="C316" s="720"/>
      <c r="D316" s="720"/>
      <c r="E316" s="720"/>
      <c r="F316" s="720"/>
      <c r="G316" s="720"/>
      <c r="H316" s="720"/>
      <c r="I316" s="720"/>
      <c r="J316" s="720"/>
      <c r="K316" s="720"/>
      <c r="L316" s="720"/>
      <c r="M316" s="720"/>
      <c r="N316" s="720"/>
      <c r="O316" s="720"/>
      <c r="P316" s="18">
        <v>14</v>
      </c>
    </row>
    <row r="317" spans="1:16" ht="15">
      <c r="A317" s="720" t="s">
        <v>1662</v>
      </c>
      <c r="B317" s="720"/>
      <c r="C317" s="720"/>
      <c r="D317" s="720" t="s">
        <v>1663</v>
      </c>
      <c r="E317" s="720"/>
      <c r="F317" s="720"/>
      <c r="G317" s="720" t="s">
        <v>1664</v>
      </c>
      <c r="H317" s="720"/>
      <c r="I317" s="720"/>
      <c r="J317" s="720" t="s">
        <v>1665</v>
      </c>
      <c r="K317" s="720"/>
      <c r="L317" s="720"/>
      <c r="M317" s="720" t="s">
        <v>1666</v>
      </c>
      <c r="N317" s="720"/>
      <c r="O317" s="720"/>
      <c r="P317" s="310"/>
    </row>
    <row r="318" spans="1:16" ht="15">
      <c r="A318" s="517" t="s">
        <v>1667</v>
      </c>
      <c r="B318" s="517" t="s">
        <v>1668</v>
      </c>
      <c r="C318" s="544" t="s">
        <v>418</v>
      </c>
      <c r="D318" s="517" t="s">
        <v>1667</v>
      </c>
      <c r="E318" s="517" t="s">
        <v>1668</v>
      </c>
      <c r="F318" s="544" t="s">
        <v>418</v>
      </c>
      <c r="G318" s="517" t="s">
        <v>1667</v>
      </c>
      <c r="H318" s="517" t="s">
        <v>1668</v>
      </c>
      <c r="I318" s="544" t="s">
        <v>418</v>
      </c>
      <c r="J318" s="517" t="s">
        <v>1667</v>
      </c>
      <c r="K318" s="517" t="s">
        <v>1668</v>
      </c>
      <c r="L318" s="544" t="s">
        <v>418</v>
      </c>
      <c r="M318" s="517" t="s">
        <v>1667</v>
      </c>
      <c r="N318" s="517" t="s">
        <v>1668</v>
      </c>
      <c r="O318" s="544" t="s">
        <v>418</v>
      </c>
      <c r="P318" s="517"/>
    </row>
    <row r="319" spans="1:16" ht="15">
      <c r="A319" s="512" t="s">
        <v>87</v>
      </c>
      <c r="B319" s="513" t="s">
        <v>87</v>
      </c>
      <c r="C319" s="512" t="s">
        <v>87</v>
      </c>
      <c r="D319" s="512" t="s">
        <v>87</v>
      </c>
      <c r="E319" s="512" t="s">
        <v>87</v>
      </c>
      <c r="F319" s="512" t="s">
        <v>87</v>
      </c>
      <c r="G319" s="512" t="s">
        <v>87</v>
      </c>
      <c r="H319" s="512" t="s">
        <v>87</v>
      </c>
      <c r="I319" s="512" t="s">
        <v>87</v>
      </c>
      <c r="J319" s="512">
        <v>22</v>
      </c>
      <c r="K319" s="512">
        <v>22</v>
      </c>
      <c r="L319" s="512">
        <v>15</v>
      </c>
      <c r="M319" s="512">
        <v>7</v>
      </c>
      <c r="N319" s="512">
        <v>7</v>
      </c>
      <c r="O319" s="512">
        <v>4</v>
      </c>
      <c r="P319" s="519"/>
    </row>
    <row r="320" spans="1:16" ht="15">
      <c r="A320" s="720" t="s">
        <v>1670</v>
      </c>
      <c r="B320" s="720"/>
      <c r="C320" s="720"/>
      <c r="D320" s="720" t="s">
        <v>1671</v>
      </c>
      <c r="E320" s="720"/>
      <c r="F320" s="720"/>
      <c r="G320" s="720" t="s">
        <v>1672</v>
      </c>
      <c r="H320" s="720"/>
      <c r="I320" s="720"/>
      <c r="J320" s="716"/>
      <c r="K320" s="716"/>
      <c r="L320" s="716"/>
      <c r="M320" s="716"/>
      <c r="N320" s="716"/>
      <c r="O320" s="716"/>
      <c r="P320" s="310"/>
    </row>
    <row r="321" spans="1:16" ht="15">
      <c r="A321" s="517" t="s">
        <v>1667</v>
      </c>
      <c r="B321" s="517" t="s">
        <v>1668</v>
      </c>
      <c r="C321" s="544" t="s">
        <v>418</v>
      </c>
      <c r="D321" s="517" t="s">
        <v>1667</v>
      </c>
      <c r="E321" s="517" t="s">
        <v>1668</v>
      </c>
      <c r="F321" s="544" t="s">
        <v>418</v>
      </c>
      <c r="G321" s="517" t="s">
        <v>1667</v>
      </c>
      <c r="H321" s="517" t="s">
        <v>1668</v>
      </c>
      <c r="I321" s="544" t="s">
        <v>418</v>
      </c>
      <c r="J321" s="716"/>
      <c r="K321" s="716"/>
      <c r="L321" s="716"/>
      <c r="M321" s="716"/>
      <c r="N321" s="716"/>
      <c r="O321" s="716"/>
      <c r="P321" s="310"/>
    </row>
    <row r="322" spans="1:16" ht="15">
      <c r="A322" s="512">
        <v>1</v>
      </c>
      <c r="B322" s="513">
        <v>1</v>
      </c>
      <c r="C322" s="512">
        <v>1</v>
      </c>
      <c r="D322" s="512" t="s">
        <v>87</v>
      </c>
      <c r="E322" s="512" t="s">
        <v>87</v>
      </c>
      <c r="F322" s="512" t="s">
        <v>87</v>
      </c>
      <c r="G322" s="512" t="s">
        <v>87</v>
      </c>
      <c r="H322" s="512" t="s">
        <v>87</v>
      </c>
      <c r="I322" s="512" t="s">
        <v>87</v>
      </c>
      <c r="J322" s="716"/>
      <c r="K322" s="716"/>
      <c r="L322" s="716"/>
      <c r="M322" s="716"/>
      <c r="N322" s="716"/>
      <c r="O322" s="716"/>
      <c r="P322" s="310"/>
    </row>
    <row r="323" spans="1:16">
      <c r="A323" s="693"/>
      <c r="B323" s="693"/>
      <c r="C323" s="693"/>
      <c r="D323" s="693"/>
      <c r="E323" s="693"/>
      <c r="F323" s="693"/>
      <c r="G323" s="693"/>
      <c r="H323" s="693"/>
      <c r="I323" s="693"/>
      <c r="J323" s="693"/>
      <c r="K323" s="693"/>
      <c r="L323" s="693"/>
      <c r="M323" s="693"/>
      <c r="N323" s="693"/>
      <c r="O323" s="693"/>
      <c r="P323" s="693"/>
    </row>
    <row r="324" spans="1:16" ht="22.5">
      <c r="A324" s="718" t="s">
        <v>663</v>
      </c>
      <c r="B324" s="718"/>
      <c r="C324" s="718"/>
      <c r="D324" s="718"/>
      <c r="E324" s="718"/>
      <c r="F324" s="718"/>
      <c r="G324" s="718"/>
      <c r="H324" s="718"/>
      <c r="I324" s="718"/>
      <c r="J324" s="718"/>
      <c r="K324" s="718"/>
      <c r="L324" s="718"/>
      <c r="M324" s="548"/>
      <c r="N324" s="548"/>
      <c r="O324" s="15"/>
      <c r="P324" s="15"/>
    </row>
    <row r="325" spans="1:16" ht="20.25">
      <c r="A325" s="725" t="s">
        <v>6280</v>
      </c>
      <c r="B325" s="725"/>
      <c r="C325" s="725"/>
      <c r="D325" s="725"/>
      <c r="E325" s="725"/>
      <c r="F325" s="725"/>
      <c r="G325" s="725"/>
      <c r="H325" s="725"/>
      <c r="I325" s="725"/>
      <c r="J325" s="725"/>
      <c r="K325" s="725"/>
      <c r="L325" s="725"/>
      <c r="M325" s="548"/>
      <c r="N325" s="548"/>
      <c r="O325" s="15"/>
      <c r="P325" s="15"/>
    </row>
    <row r="326" spans="1:16" ht="114">
      <c r="A326" s="18" t="s">
        <v>0</v>
      </c>
      <c r="B326" s="18" t="s">
        <v>1616</v>
      </c>
      <c r="C326" s="18" t="s">
        <v>1647</v>
      </c>
      <c r="D326" s="18" t="s">
        <v>1648</v>
      </c>
      <c r="E326" s="18" t="s">
        <v>6277</v>
      </c>
      <c r="F326" s="18" t="s">
        <v>1619</v>
      </c>
      <c r="G326" s="19" t="s">
        <v>1649</v>
      </c>
      <c r="H326" s="18" t="s">
        <v>6281</v>
      </c>
      <c r="I326" s="18" t="s">
        <v>1620</v>
      </c>
      <c r="J326" s="19" t="s">
        <v>1650</v>
      </c>
      <c r="K326" s="20" t="s">
        <v>1651</v>
      </c>
      <c r="L326" s="20" t="s">
        <v>1622</v>
      </c>
      <c r="M326" s="15"/>
      <c r="N326" s="15"/>
      <c r="O326" s="15"/>
      <c r="P326" s="15"/>
    </row>
    <row r="327" spans="1:16">
      <c r="A327" s="530">
        <v>1</v>
      </c>
      <c r="B327" s="530">
        <v>2</v>
      </c>
      <c r="C327" s="530">
        <v>3</v>
      </c>
      <c r="D327" s="530">
        <v>4</v>
      </c>
      <c r="E327" s="530">
        <v>5</v>
      </c>
      <c r="F327" s="530">
        <v>6</v>
      </c>
      <c r="G327" s="530">
        <v>7</v>
      </c>
      <c r="H327" s="530">
        <v>8</v>
      </c>
      <c r="I327" s="19">
        <v>9</v>
      </c>
      <c r="J327" s="530">
        <v>10</v>
      </c>
      <c r="K327" s="530">
        <v>11</v>
      </c>
      <c r="L327" s="530">
        <v>12</v>
      </c>
      <c r="M327" s="15"/>
      <c r="N327" s="15"/>
      <c r="O327" s="15"/>
      <c r="P327" s="15"/>
    </row>
    <row r="328" spans="1:16" ht="45">
      <c r="A328" s="513">
        <v>1</v>
      </c>
      <c r="B328" s="696" t="s">
        <v>4356</v>
      </c>
      <c r="C328" s="696" t="s">
        <v>675</v>
      </c>
      <c r="D328" s="511" t="s">
        <v>680</v>
      </c>
      <c r="E328" s="513">
        <f>ROUND((520+194.7+505.5+6660.8+3357.2+1223.75),0)</f>
        <v>12462</v>
      </c>
      <c r="F328" s="513" t="s">
        <v>6505</v>
      </c>
      <c r="G328" s="513" t="s">
        <v>17</v>
      </c>
      <c r="H328" s="513">
        <v>4.9000000000000004</v>
      </c>
      <c r="I328" s="513" t="s">
        <v>679</v>
      </c>
      <c r="J328" s="513"/>
      <c r="K328" s="513">
        <v>1</v>
      </c>
      <c r="L328" s="513" t="s">
        <v>17</v>
      </c>
      <c r="M328" s="15"/>
      <c r="N328" s="15"/>
      <c r="O328" s="15"/>
      <c r="P328" s="15"/>
    </row>
    <row r="329" spans="1:16" ht="30">
      <c r="A329" s="513">
        <v>2</v>
      </c>
      <c r="B329" s="696"/>
      <c r="C329" s="696"/>
      <c r="D329" s="511" t="s">
        <v>682</v>
      </c>
      <c r="E329" s="513">
        <f>1536+1065</f>
        <v>2601</v>
      </c>
      <c r="F329" s="513" t="s">
        <v>6506</v>
      </c>
      <c r="G329" s="513" t="s">
        <v>17</v>
      </c>
      <c r="H329" s="513">
        <v>4.43</v>
      </c>
      <c r="I329" s="513" t="s">
        <v>684</v>
      </c>
      <c r="J329" s="513"/>
      <c r="K329" s="513">
        <v>2</v>
      </c>
      <c r="L329" s="513" t="s">
        <v>17</v>
      </c>
      <c r="M329" s="15"/>
      <c r="N329" s="15"/>
      <c r="O329" s="15"/>
      <c r="P329" s="15"/>
    </row>
    <row r="330" spans="1:16" ht="45">
      <c r="A330" s="513">
        <v>3</v>
      </c>
      <c r="B330" s="696"/>
      <c r="C330" s="696"/>
      <c r="D330" s="511" t="s">
        <v>685</v>
      </c>
      <c r="E330" s="513">
        <f>160.26+660.7+1254.88+111.44</f>
        <v>2187.2800000000002</v>
      </c>
      <c r="F330" s="513" t="s">
        <v>686</v>
      </c>
      <c r="G330" s="513" t="s">
        <v>17</v>
      </c>
      <c r="H330" s="513">
        <v>1.1299999999999999</v>
      </c>
      <c r="I330" s="513" t="s">
        <v>687</v>
      </c>
      <c r="J330" s="513"/>
      <c r="K330" s="513">
        <v>3</v>
      </c>
      <c r="L330" s="513" t="s">
        <v>17</v>
      </c>
      <c r="M330" s="15"/>
      <c r="N330" s="15"/>
      <c r="O330" s="15"/>
      <c r="P330" s="15"/>
    </row>
    <row r="331" spans="1:16" ht="45">
      <c r="A331" s="513">
        <v>4</v>
      </c>
      <c r="B331" s="696"/>
      <c r="C331" s="696"/>
      <c r="D331" s="511" t="s">
        <v>2081</v>
      </c>
      <c r="E331" s="513">
        <v>1347.2</v>
      </c>
      <c r="F331" s="513" t="s">
        <v>17</v>
      </c>
      <c r="G331" s="513" t="s">
        <v>2083</v>
      </c>
      <c r="H331" s="513">
        <v>0.97</v>
      </c>
      <c r="I331" s="513" t="s">
        <v>691</v>
      </c>
      <c r="J331" s="513"/>
      <c r="K331" s="513" t="s">
        <v>17</v>
      </c>
      <c r="L331" s="513" t="s">
        <v>17</v>
      </c>
      <c r="M331" s="15"/>
      <c r="N331" s="15"/>
      <c r="O331" s="15"/>
      <c r="P331" s="15"/>
    </row>
    <row r="332" spans="1:16" ht="45">
      <c r="A332" s="513">
        <v>5</v>
      </c>
      <c r="B332" s="696"/>
      <c r="C332" s="696" t="s">
        <v>6601</v>
      </c>
      <c r="D332" s="511" t="s">
        <v>718</v>
      </c>
      <c r="E332" s="513">
        <v>725</v>
      </c>
      <c r="F332" s="513" t="s">
        <v>35</v>
      </c>
      <c r="G332" s="513" t="s">
        <v>719</v>
      </c>
      <c r="H332" s="513">
        <v>0.28000000000000003</v>
      </c>
      <c r="I332" s="513">
        <v>5.3</v>
      </c>
      <c r="J332" s="513" t="s">
        <v>17</v>
      </c>
      <c r="K332" s="513">
        <v>1</v>
      </c>
      <c r="L332" s="513" t="s">
        <v>17</v>
      </c>
      <c r="M332" s="15"/>
      <c r="N332" s="15"/>
      <c r="O332" s="15"/>
      <c r="P332" s="15"/>
    </row>
    <row r="333" spans="1:16" ht="45">
      <c r="A333" s="513">
        <v>6</v>
      </c>
      <c r="B333" s="696"/>
      <c r="C333" s="696"/>
      <c r="D333" s="511" t="s">
        <v>720</v>
      </c>
      <c r="E333" s="513">
        <v>3420</v>
      </c>
      <c r="F333" s="513" t="s">
        <v>35</v>
      </c>
      <c r="G333" s="513" t="s">
        <v>721</v>
      </c>
      <c r="H333" s="545">
        <v>0.96</v>
      </c>
      <c r="I333" s="513">
        <v>3.53</v>
      </c>
      <c r="J333" s="513" t="s">
        <v>17</v>
      </c>
      <c r="K333" s="513">
        <v>2</v>
      </c>
      <c r="L333" s="513" t="s">
        <v>17</v>
      </c>
      <c r="M333" s="15"/>
      <c r="N333" s="15"/>
      <c r="O333" s="15"/>
      <c r="P333" s="15"/>
    </row>
    <row r="334" spans="1:16" ht="60">
      <c r="A334" s="513">
        <v>7</v>
      </c>
      <c r="B334" s="696"/>
      <c r="C334" s="696"/>
      <c r="D334" s="511" t="s">
        <v>722</v>
      </c>
      <c r="E334" s="513">
        <v>10725</v>
      </c>
      <c r="F334" s="513" t="s">
        <v>35</v>
      </c>
      <c r="G334" s="513" t="s">
        <v>723</v>
      </c>
      <c r="H334" s="545">
        <v>5</v>
      </c>
      <c r="I334" s="513">
        <v>16.420000000000002</v>
      </c>
      <c r="J334" s="513" t="s">
        <v>17</v>
      </c>
      <c r="K334" s="513">
        <v>3</v>
      </c>
      <c r="L334" s="513" t="s">
        <v>17</v>
      </c>
      <c r="M334" s="15"/>
      <c r="N334" s="15"/>
      <c r="O334" s="15"/>
      <c r="P334" s="15"/>
    </row>
    <row r="335" spans="1:16" ht="45">
      <c r="A335" s="513">
        <v>8</v>
      </c>
      <c r="B335" s="696"/>
      <c r="C335" s="696"/>
      <c r="D335" s="511" t="s">
        <v>712</v>
      </c>
      <c r="E335" s="539">
        <v>1047</v>
      </c>
      <c r="F335" s="513" t="s">
        <v>35</v>
      </c>
      <c r="G335" s="539" t="s">
        <v>724</v>
      </c>
      <c r="H335" s="545">
        <v>0.94</v>
      </c>
      <c r="I335" s="513">
        <v>1.7115</v>
      </c>
      <c r="J335" s="513" t="s">
        <v>17</v>
      </c>
      <c r="K335" s="513">
        <v>4</v>
      </c>
      <c r="L335" s="513" t="s">
        <v>17</v>
      </c>
      <c r="M335" s="15"/>
      <c r="N335" s="15"/>
      <c r="O335" s="15"/>
      <c r="P335" s="15"/>
    </row>
    <row r="336" spans="1:16" ht="15">
      <c r="A336" s="513">
        <v>9</v>
      </c>
      <c r="B336" s="696"/>
      <c r="C336" s="696"/>
      <c r="D336" s="511" t="s">
        <v>707</v>
      </c>
      <c r="E336" s="539">
        <v>460.29</v>
      </c>
      <c r="F336" s="513" t="s">
        <v>35</v>
      </c>
      <c r="G336" s="539" t="s">
        <v>708</v>
      </c>
      <c r="H336" s="545">
        <v>0.31</v>
      </c>
      <c r="I336" s="513">
        <v>0.27</v>
      </c>
      <c r="J336" s="513" t="s">
        <v>17</v>
      </c>
      <c r="K336" s="513">
        <v>5</v>
      </c>
      <c r="L336" s="513">
        <v>3</v>
      </c>
      <c r="M336" s="15"/>
      <c r="N336" s="15"/>
      <c r="O336" s="15"/>
      <c r="P336" s="15"/>
    </row>
    <row r="337" spans="1:16" ht="15">
      <c r="A337" s="513">
        <v>10</v>
      </c>
      <c r="B337" s="696"/>
      <c r="C337" s="696"/>
      <c r="D337" s="511" t="s">
        <v>709</v>
      </c>
      <c r="E337" s="539">
        <v>235.18</v>
      </c>
      <c r="F337" s="513" t="s">
        <v>35</v>
      </c>
      <c r="G337" s="539" t="s">
        <v>710</v>
      </c>
      <c r="H337" s="545">
        <v>0.46</v>
      </c>
      <c r="I337" s="513">
        <v>0.28000000000000003</v>
      </c>
      <c r="J337" s="513" t="s">
        <v>17</v>
      </c>
      <c r="K337" s="513">
        <v>6</v>
      </c>
      <c r="L337" s="513">
        <v>4</v>
      </c>
      <c r="M337" s="15"/>
      <c r="N337" s="15"/>
      <c r="O337" s="15"/>
      <c r="P337" s="15"/>
    </row>
    <row r="338" spans="1:16" ht="30">
      <c r="A338" s="513">
        <v>11</v>
      </c>
      <c r="B338" s="696"/>
      <c r="C338" s="696"/>
      <c r="D338" s="499" t="s">
        <v>725</v>
      </c>
      <c r="E338" s="508">
        <v>180</v>
      </c>
      <c r="F338" s="513" t="s">
        <v>35</v>
      </c>
      <c r="G338" s="508" t="s">
        <v>715</v>
      </c>
      <c r="H338" s="172">
        <v>0.15</v>
      </c>
      <c r="I338" s="500">
        <v>0.47</v>
      </c>
      <c r="J338" s="500" t="s">
        <v>17</v>
      </c>
      <c r="K338" s="500">
        <v>7</v>
      </c>
      <c r="L338" s="500">
        <v>1</v>
      </c>
      <c r="M338" s="15"/>
      <c r="N338" s="15"/>
      <c r="O338" s="15"/>
      <c r="P338" s="15"/>
    </row>
    <row r="339" spans="1:16" ht="30">
      <c r="A339" s="513">
        <v>12</v>
      </c>
      <c r="B339" s="696"/>
      <c r="C339" s="696"/>
      <c r="D339" s="499" t="s">
        <v>726</v>
      </c>
      <c r="E339" s="508">
        <v>180</v>
      </c>
      <c r="F339" s="513" t="s">
        <v>35</v>
      </c>
      <c r="G339" s="508" t="s">
        <v>727</v>
      </c>
      <c r="H339" s="172">
        <v>0.15</v>
      </c>
      <c r="I339" s="500">
        <v>0.48</v>
      </c>
      <c r="J339" s="500" t="s">
        <v>17</v>
      </c>
      <c r="K339" s="500">
        <v>8</v>
      </c>
      <c r="L339" s="500">
        <v>2</v>
      </c>
      <c r="M339" s="15"/>
      <c r="N339" s="15"/>
      <c r="O339" s="15"/>
      <c r="P339" s="15"/>
    </row>
    <row r="340" spans="1:16" ht="45">
      <c r="A340" s="513">
        <v>13</v>
      </c>
      <c r="B340" s="696"/>
      <c r="C340" s="696"/>
      <c r="D340" s="511" t="s">
        <v>728</v>
      </c>
      <c r="E340" s="513">
        <v>2822.4</v>
      </c>
      <c r="F340" s="513" t="s">
        <v>35</v>
      </c>
      <c r="G340" s="513" t="s">
        <v>729</v>
      </c>
      <c r="H340" s="545">
        <v>1.72</v>
      </c>
      <c r="I340" s="513">
        <v>9.58</v>
      </c>
      <c r="J340" s="513" t="s">
        <v>17</v>
      </c>
      <c r="K340" s="513">
        <v>9</v>
      </c>
      <c r="L340" s="513" t="s">
        <v>17</v>
      </c>
      <c r="M340" s="15"/>
      <c r="N340" s="15"/>
      <c r="O340" s="15"/>
      <c r="P340" s="15"/>
    </row>
    <row r="341" spans="1:16" ht="30">
      <c r="A341" s="513">
        <v>14</v>
      </c>
      <c r="B341" s="696"/>
      <c r="C341" s="696" t="s">
        <v>749</v>
      </c>
      <c r="D341" s="511" t="s">
        <v>771</v>
      </c>
      <c r="E341" s="513">
        <v>1720.3</v>
      </c>
      <c r="F341" s="513" t="s">
        <v>6602</v>
      </c>
      <c r="G341" s="513" t="s">
        <v>17</v>
      </c>
      <c r="H341" s="513">
        <v>1.27</v>
      </c>
      <c r="I341" s="513" t="s">
        <v>6603</v>
      </c>
      <c r="J341" s="513" t="s">
        <v>87</v>
      </c>
      <c r="K341" s="513">
        <v>1</v>
      </c>
      <c r="L341" s="513">
        <v>1</v>
      </c>
      <c r="M341" s="15"/>
      <c r="N341" s="15"/>
      <c r="O341" s="15"/>
      <c r="P341" s="15"/>
    </row>
    <row r="342" spans="1:16" ht="45">
      <c r="A342" s="513">
        <v>15</v>
      </c>
      <c r="B342" s="696"/>
      <c r="C342" s="696"/>
      <c r="D342" s="511" t="s">
        <v>732</v>
      </c>
      <c r="E342" s="513">
        <v>523.98</v>
      </c>
      <c r="F342" s="513" t="s">
        <v>2108</v>
      </c>
      <c r="G342" s="513" t="s">
        <v>17</v>
      </c>
      <c r="H342" s="543" t="s">
        <v>734</v>
      </c>
      <c r="I342" s="513">
        <v>16040230.300000001</v>
      </c>
      <c r="J342" s="513" t="s">
        <v>87</v>
      </c>
      <c r="K342" s="513">
        <v>2</v>
      </c>
      <c r="L342" s="513">
        <v>2</v>
      </c>
      <c r="M342" s="15"/>
      <c r="N342" s="15"/>
      <c r="O342" s="15"/>
      <c r="P342" s="15"/>
    </row>
    <row r="343" spans="1:16" ht="45">
      <c r="A343" s="513">
        <v>16</v>
      </c>
      <c r="B343" s="696"/>
      <c r="C343" s="696"/>
      <c r="D343" s="511" t="s">
        <v>737</v>
      </c>
      <c r="E343" s="513">
        <v>72.349999999999994</v>
      </c>
      <c r="F343" s="513" t="s">
        <v>2108</v>
      </c>
      <c r="G343" s="513" t="s">
        <v>17</v>
      </c>
      <c r="H343" s="513" t="s">
        <v>2399</v>
      </c>
      <c r="I343" s="513">
        <v>2214799.54</v>
      </c>
      <c r="J343" s="513" t="s">
        <v>87</v>
      </c>
      <c r="K343" s="513">
        <v>3</v>
      </c>
      <c r="L343" s="513">
        <v>3</v>
      </c>
      <c r="M343" s="15"/>
      <c r="N343" s="15"/>
      <c r="O343" s="15"/>
      <c r="P343" s="15"/>
    </row>
    <row r="344" spans="1:16" ht="105">
      <c r="A344" s="513">
        <v>17</v>
      </c>
      <c r="B344" s="696"/>
      <c r="C344" s="696"/>
      <c r="D344" s="511" t="s">
        <v>6604</v>
      </c>
      <c r="E344" s="513" t="s">
        <v>6605</v>
      </c>
      <c r="F344" s="513" t="s">
        <v>2113</v>
      </c>
      <c r="G344" s="513" t="s">
        <v>748</v>
      </c>
      <c r="H344" s="513" t="s">
        <v>2114</v>
      </c>
      <c r="I344" s="513" t="s">
        <v>6606</v>
      </c>
      <c r="J344" s="513" t="s">
        <v>748</v>
      </c>
      <c r="K344" s="513">
        <v>4</v>
      </c>
      <c r="L344" s="513">
        <v>4</v>
      </c>
      <c r="M344" s="15"/>
      <c r="N344" s="15"/>
      <c r="O344" s="15"/>
      <c r="P344" s="15"/>
    </row>
    <row r="345" spans="1:16" ht="45">
      <c r="A345" s="513">
        <v>18</v>
      </c>
      <c r="B345" s="696"/>
      <c r="C345" s="696"/>
      <c r="D345" s="511" t="s">
        <v>777</v>
      </c>
      <c r="E345" s="513"/>
      <c r="F345" s="513" t="s">
        <v>2119</v>
      </c>
      <c r="G345" s="513" t="s">
        <v>766</v>
      </c>
      <c r="H345" s="513" t="s">
        <v>778</v>
      </c>
      <c r="I345" s="513" t="s">
        <v>779</v>
      </c>
      <c r="J345" s="513" t="s">
        <v>748</v>
      </c>
      <c r="K345" s="513">
        <v>5</v>
      </c>
      <c r="L345" s="513">
        <v>5</v>
      </c>
      <c r="M345" s="15"/>
      <c r="N345" s="15"/>
      <c r="O345" s="15"/>
      <c r="P345" s="15"/>
    </row>
    <row r="346" spans="1:16" ht="30">
      <c r="A346" s="513">
        <v>19</v>
      </c>
      <c r="B346" s="696"/>
      <c r="C346" s="696"/>
      <c r="D346" s="511" t="s">
        <v>743</v>
      </c>
      <c r="E346" s="513"/>
      <c r="F346" s="513" t="s">
        <v>2124</v>
      </c>
      <c r="G346" s="513" t="s">
        <v>748</v>
      </c>
      <c r="H346" s="513">
        <v>2.15</v>
      </c>
      <c r="I346" s="513" t="s">
        <v>746</v>
      </c>
      <c r="J346" s="513" t="s">
        <v>748</v>
      </c>
      <c r="K346" s="513">
        <v>6</v>
      </c>
      <c r="L346" s="513">
        <v>6</v>
      </c>
      <c r="M346" s="15"/>
      <c r="N346" s="15"/>
      <c r="O346" s="15"/>
      <c r="P346" s="15"/>
    </row>
    <row r="347" spans="1:16" ht="60">
      <c r="A347" s="513">
        <v>20</v>
      </c>
      <c r="B347" s="696"/>
      <c r="C347" s="696" t="s">
        <v>781</v>
      </c>
      <c r="D347" s="515" t="s">
        <v>6613</v>
      </c>
      <c r="E347" s="307">
        <v>495</v>
      </c>
      <c r="F347" s="513" t="s">
        <v>6614</v>
      </c>
      <c r="G347" s="513" t="s">
        <v>17</v>
      </c>
      <c r="H347" s="500">
        <v>0.08</v>
      </c>
      <c r="I347" s="513" t="s">
        <v>1975</v>
      </c>
      <c r="J347" s="546" t="s">
        <v>798</v>
      </c>
      <c r="K347" s="539">
        <v>1</v>
      </c>
      <c r="L347" s="539" t="s">
        <v>35</v>
      </c>
      <c r="M347" s="15"/>
      <c r="N347" s="15"/>
      <c r="O347" s="15"/>
      <c r="P347" s="15"/>
    </row>
    <row r="348" spans="1:16" ht="30">
      <c r="A348" s="513">
        <v>21</v>
      </c>
      <c r="B348" s="696"/>
      <c r="C348" s="696"/>
      <c r="D348" s="515" t="s">
        <v>788</v>
      </c>
      <c r="E348" s="307">
        <v>98</v>
      </c>
      <c r="F348" s="513" t="s">
        <v>2128</v>
      </c>
      <c r="G348" s="513" t="s">
        <v>17</v>
      </c>
      <c r="H348" s="500">
        <v>6.6000000000000003E-2</v>
      </c>
      <c r="I348" s="513" t="s">
        <v>1975</v>
      </c>
      <c r="J348" s="546" t="s">
        <v>17</v>
      </c>
      <c r="K348" s="539">
        <v>2</v>
      </c>
      <c r="L348" s="539">
        <v>1</v>
      </c>
      <c r="M348" s="15"/>
      <c r="N348" s="15"/>
      <c r="O348" s="15"/>
      <c r="P348" s="15"/>
    </row>
    <row r="349" spans="1:16" ht="15">
      <c r="A349" s="513">
        <v>22</v>
      </c>
      <c r="B349" s="696"/>
      <c r="C349" s="511" t="s">
        <v>6616</v>
      </c>
      <c r="D349" s="694" t="s">
        <v>87</v>
      </c>
      <c r="E349" s="694"/>
      <c r="F349" s="694"/>
      <c r="G349" s="694"/>
      <c r="H349" s="694"/>
      <c r="I349" s="694"/>
      <c r="J349" s="694"/>
      <c r="K349" s="694"/>
      <c r="L349" s="694"/>
      <c r="M349" s="15"/>
      <c r="N349" s="15"/>
      <c r="O349" s="15"/>
      <c r="P349" s="15"/>
    </row>
    <row r="350" spans="1:16" ht="15">
      <c r="A350" s="694"/>
      <c r="B350" s="694"/>
      <c r="C350" s="694"/>
      <c r="D350" s="694"/>
      <c r="E350" s="694"/>
      <c r="F350" s="694"/>
      <c r="G350" s="694"/>
      <c r="H350" s="694"/>
      <c r="I350" s="694"/>
      <c r="J350" s="694"/>
      <c r="K350" s="694"/>
      <c r="L350" s="694"/>
      <c r="M350" s="694"/>
      <c r="N350" s="694"/>
      <c r="O350" s="694"/>
      <c r="P350" s="694"/>
    </row>
    <row r="351" spans="1:16" ht="57">
      <c r="A351" s="720" t="s">
        <v>1661</v>
      </c>
      <c r="B351" s="720"/>
      <c r="C351" s="720"/>
      <c r="D351" s="720"/>
      <c r="E351" s="720"/>
      <c r="F351" s="720"/>
      <c r="G351" s="720"/>
      <c r="H351" s="720"/>
      <c r="I351" s="720"/>
      <c r="J351" s="720"/>
      <c r="K351" s="720"/>
      <c r="L351" s="720"/>
      <c r="M351" s="720"/>
      <c r="N351" s="720"/>
      <c r="O351" s="720"/>
      <c r="P351" s="143" t="s">
        <v>1623</v>
      </c>
    </row>
    <row r="352" spans="1:16">
      <c r="A352" s="720">
        <v>13</v>
      </c>
      <c r="B352" s="720"/>
      <c r="C352" s="720"/>
      <c r="D352" s="720"/>
      <c r="E352" s="720"/>
      <c r="F352" s="720"/>
      <c r="G352" s="720"/>
      <c r="H352" s="720"/>
      <c r="I352" s="720"/>
      <c r="J352" s="720"/>
      <c r="K352" s="720"/>
      <c r="L352" s="720"/>
      <c r="M352" s="720"/>
      <c r="N352" s="720"/>
      <c r="O352" s="720"/>
      <c r="P352" s="18">
        <v>14</v>
      </c>
    </row>
    <row r="353" spans="1:16" ht="15">
      <c r="A353" s="720" t="s">
        <v>1662</v>
      </c>
      <c r="B353" s="720"/>
      <c r="C353" s="720"/>
      <c r="D353" s="720" t="s">
        <v>1663</v>
      </c>
      <c r="E353" s="720"/>
      <c r="F353" s="720"/>
      <c r="G353" s="720" t="s">
        <v>1664</v>
      </c>
      <c r="H353" s="720"/>
      <c r="I353" s="720"/>
      <c r="J353" s="720" t="s">
        <v>1665</v>
      </c>
      <c r="K353" s="720"/>
      <c r="L353" s="720"/>
      <c r="M353" s="720" t="s">
        <v>1666</v>
      </c>
      <c r="N353" s="720"/>
      <c r="O353" s="720"/>
      <c r="P353" s="310"/>
    </row>
    <row r="354" spans="1:16" ht="15">
      <c r="A354" s="544" t="s">
        <v>1667</v>
      </c>
      <c r="B354" s="544" t="s">
        <v>1668</v>
      </c>
      <c r="C354" s="544" t="s">
        <v>418</v>
      </c>
      <c r="D354" s="544" t="s">
        <v>1667</v>
      </c>
      <c r="E354" s="544" t="s">
        <v>1668</v>
      </c>
      <c r="F354" s="544" t="s">
        <v>418</v>
      </c>
      <c r="G354" s="544" t="s">
        <v>1667</v>
      </c>
      <c r="H354" s="544" t="s">
        <v>1668</v>
      </c>
      <c r="I354" s="544" t="s">
        <v>418</v>
      </c>
      <c r="J354" s="544" t="s">
        <v>1667</v>
      </c>
      <c r="K354" s="544" t="s">
        <v>1668</v>
      </c>
      <c r="L354" s="544" t="s">
        <v>418</v>
      </c>
      <c r="M354" s="544" t="s">
        <v>1667</v>
      </c>
      <c r="N354" s="544" t="s">
        <v>1668</v>
      </c>
      <c r="O354" s="544" t="s">
        <v>418</v>
      </c>
      <c r="P354" s="544"/>
    </row>
    <row r="355" spans="1:16" ht="180">
      <c r="A355" s="513">
        <v>25</v>
      </c>
      <c r="B355" s="513">
        <v>25</v>
      </c>
      <c r="C355" s="513">
        <v>20</v>
      </c>
      <c r="D355" s="513">
        <v>56</v>
      </c>
      <c r="E355" s="513">
        <v>56</v>
      </c>
      <c r="F355" s="513">
        <v>41</v>
      </c>
      <c r="G355" s="513">
        <v>92</v>
      </c>
      <c r="H355" s="513">
        <v>92</v>
      </c>
      <c r="I355" s="513">
        <v>67</v>
      </c>
      <c r="J355" s="513">
        <v>5</v>
      </c>
      <c r="K355" s="513">
        <v>5</v>
      </c>
      <c r="L355" s="513">
        <v>1</v>
      </c>
      <c r="M355" s="513">
        <v>3</v>
      </c>
      <c r="N355" s="513">
        <v>3</v>
      </c>
      <c r="O355" s="513">
        <v>1</v>
      </c>
      <c r="P355" s="519" t="s">
        <v>6507</v>
      </c>
    </row>
    <row r="356" spans="1:16" ht="135">
      <c r="A356" s="513" t="s">
        <v>17</v>
      </c>
      <c r="B356" s="513" t="s">
        <v>17</v>
      </c>
      <c r="C356" s="513" t="s">
        <v>17</v>
      </c>
      <c r="D356" s="513" t="s">
        <v>17</v>
      </c>
      <c r="E356" s="513" t="s">
        <v>17</v>
      </c>
      <c r="F356" s="513" t="s">
        <v>17</v>
      </c>
      <c r="G356" s="513" t="s">
        <v>17</v>
      </c>
      <c r="H356" s="513" t="s">
        <v>17</v>
      </c>
      <c r="I356" s="513" t="s">
        <v>17</v>
      </c>
      <c r="J356" s="513" t="s">
        <v>17</v>
      </c>
      <c r="K356" s="513" t="s">
        <v>17</v>
      </c>
      <c r="L356" s="513" t="s">
        <v>17</v>
      </c>
      <c r="M356" s="513">
        <v>5</v>
      </c>
      <c r="N356" s="513">
        <v>5</v>
      </c>
      <c r="O356" s="513">
        <v>4</v>
      </c>
      <c r="P356" s="519" t="s">
        <v>6508</v>
      </c>
    </row>
    <row r="357" spans="1:16" ht="105">
      <c r="A357" s="513">
        <v>3</v>
      </c>
      <c r="B357" s="513">
        <v>3</v>
      </c>
      <c r="C357" s="513">
        <v>0</v>
      </c>
      <c r="D357" s="513">
        <v>10</v>
      </c>
      <c r="E357" s="513">
        <v>10</v>
      </c>
      <c r="F357" s="513">
        <v>1</v>
      </c>
      <c r="G357" s="513">
        <v>16</v>
      </c>
      <c r="H357" s="513">
        <v>16</v>
      </c>
      <c r="I357" s="513">
        <v>1</v>
      </c>
      <c r="J357" s="513">
        <v>1</v>
      </c>
      <c r="K357" s="513">
        <v>1</v>
      </c>
      <c r="L357" s="513">
        <v>0</v>
      </c>
      <c r="M357" s="513" t="s">
        <v>17</v>
      </c>
      <c r="N357" s="513" t="s">
        <v>17</v>
      </c>
      <c r="O357" s="513" t="s">
        <v>17</v>
      </c>
      <c r="P357" s="519" t="s">
        <v>685</v>
      </c>
    </row>
    <row r="358" spans="1:16" ht="195">
      <c r="A358" s="513" t="s">
        <v>17</v>
      </c>
      <c r="B358" s="513" t="s">
        <v>17</v>
      </c>
      <c r="C358" s="513" t="s">
        <v>17</v>
      </c>
      <c r="D358" s="513" t="s">
        <v>17</v>
      </c>
      <c r="E358" s="513" t="s">
        <v>17</v>
      </c>
      <c r="F358" s="513" t="s">
        <v>17</v>
      </c>
      <c r="G358" s="513" t="s">
        <v>17</v>
      </c>
      <c r="H358" s="513" t="s">
        <v>17</v>
      </c>
      <c r="I358" s="513" t="s">
        <v>17</v>
      </c>
      <c r="J358" s="513">
        <v>12</v>
      </c>
      <c r="K358" s="513">
        <v>12</v>
      </c>
      <c r="L358" s="513">
        <v>7</v>
      </c>
      <c r="M358" s="513" t="s">
        <v>17</v>
      </c>
      <c r="N358" s="513" t="s">
        <v>17</v>
      </c>
      <c r="O358" s="513" t="s">
        <v>17</v>
      </c>
      <c r="P358" s="519" t="s">
        <v>6509</v>
      </c>
    </row>
    <row r="359" spans="1:16" ht="45">
      <c r="A359" s="249">
        <v>14</v>
      </c>
      <c r="B359" s="249">
        <v>8</v>
      </c>
      <c r="C359" s="249">
        <v>6</v>
      </c>
      <c r="D359" s="249">
        <v>54</v>
      </c>
      <c r="E359" s="249">
        <v>19</v>
      </c>
      <c r="F359" s="249">
        <v>14</v>
      </c>
      <c r="G359" s="249">
        <v>88</v>
      </c>
      <c r="H359" s="250">
        <v>56</v>
      </c>
      <c r="I359" s="249">
        <v>42</v>
      </c>
      <c r="J359" s="249">
        <v>3</v>
      </c>
      <c r="K359" s="249">
        <v>3</v>
      </c>
      <c r="L359" s="249">
        <v>2</v>
      </c>
      <c r="M359" s="249"/>
      <c r="N359" s="249"/>
      <c r="O359" s="249"/>
      <c r="P359" s="519" t="s">
        <v>6510</v>
      </c>
    </row>
    <row r="360" spans="1:16" ht="30">
      <c r="A360" s="249">
        <v>4</v>
      </c>
      <c r="B360" s="249">
        <v>4</v>
      </c>
      <c r="C360" s="249">
        <v>1</v>
      </c>
      <c r="D360" s="249">
        <v>5</v>
      </c>
      <c r="E360" s="249">
        <v>5</v>
      </c>
      <c r="F360" s="249">
        <v>3</v>
      </c>
      <c r="G360" s="249">
        <v>14</v>
      </c>
      <c r="H360" s="249">
        <v>14</v>
      </c>
      <c r="I360" s="249">
        <v>1</v>
      </c>
      <c r="J360" s="249">
        <v>2</v>
      </c>
      <c r="K360" s="249">
        <v>2</v>
      </c>
      <c r="L360" s="249">
        <v>1</v>
      </c>
      <c r="M360" s="249">
        <v>0</v>
      </c>
      <c r="N360" s="249">
        <v>0</v>
      </c>
      <c r="O360" s="249">
        <v>0</v>
      </c>
      <c r="P360" s="536" t="s">
        <v>6607</v>
      </c>
    </row>
    <row r="361" spans="1:16" ht="30">
      <c r="A361" s="249">
        <v>4</v>
      </c>
      <c r="B361" s="249">
        <v>4</v>
      </c>
      <c r="C361" s="249">
        <v>0</v>
      </c>
      <c r="D361" s="249">
        <v>9</v>
      </c>
      <c r="E361" s="249">
        <v>9</v>
      </c>
      <c r="F361" s="249">
        <v>5</v>
      </c>
      <c r="G361" s="249">
        <v>18</v>
      </c>
      <c r="H361" s="249">
        <v>18</v>
      </c>
      <c r="I361" s="249">
        <v>10</v>
      </c>
      <c r="J361" s="249">
        <v>1</v>
      </c>
      <c r="K361" s="249">
        <v>1</v>
      </c>
      <c r="L361" s="249">
        <v>1</v>
      </c>
      <c r="M361" s="249">
        <v>0</v>
      </c>
      <c r="N361" s="249">
        <v>0</v>
      </c>
      <c r="O361" s="249">
        <v>0</v>
      </c>
      <c r="P361" s="536" t="s">
        <v>6608</v>
      </c>
    </row>
    <row r="362" spans="1:16" ht="30">
      <c r="A362" s="249">
        <v>0</v>
      </c>
      <c r="B362" s="249">
        <v>0</v>
      </c>
      <c r="C362" s="249">
        <v>0</v>
      </c>
      <c r="D362" s="249">
        <v>1</v>
      </c>
      <c r="E362" s="249">
        <v>1</v>
      </c>
      <c r="F362" s="249">
        <v>0</v>
      </c>
      <c r="G362" s="249">
        <v>3</v>
      </c>
      <c r="H362" s="249">
        <v>3</v>
      </c>
      <c r="I362" s="249">
        <v>3</v>
      </c>
      <c r="J362" s="249">
        <v>0</v>
      </c>
      <c r="K362" s="249">
        <v>0</v>
      </c>
      <c r="L362" s="249">
        <v>0</v>
      </c>
      <c r="M362" s="249">
        <v>0</v>
      </c>
      <c r="N362" s="249">
        <v>0</v>
      </c>
      <c r="O362" s="249">
        <v>0</v>
      </c>
      <c r="P362" s="536" t="s">
        <v>6609</v>
      </c>
    </row>
    <row r="363" spans="1:16" ht="60">
      <c r="A363" s="249">
        <v>1</v>
      </c>
      <c r="B363" s="249">
        <v>0</v>
      </c>
      <c r="C363" s="249">
        <v>0</v>
      </c>
      <c r="D363" s="249">
        <v>0</v>
      </c>
      <c r="E363" s="249">
        <v>0</v>
      </c>
      <c r="F363" s="249">
        <v>0</v>
      </c>
      <c r="G363" s="249">
        <v>3</v>
      </c>
      <c r="H363" s="249">
        <v>0</v>
      </c>
      <c r="I363" s="249">
        <v>0</v>
      </c>
      <c r="J363" s="249">
        <v>0</v>
      </c>
      <c r="K363" s="249">
        <v>0</v>
      </c>
      <c r="L363" s="249">
        <v>0</v>
      </c>
      <c r="M363" s="249">
        <v>0</v>
      </c>
      <c r="N363" s="249">
        <v>0</v>
      </c>
      <c r="O363" s="249">
        <v>0</v>
      </c>
      <c r="P363" s="536" t="s">
        <v>6611</v>
      </c>
    </row>
    <row r="364" spans="1:16" ht="30">
      <c r="A364" s="249">
        <v>1</v>
      </c>
      <c r="B364" s="249">
        <v>1</v>
      </c>
      <c r="C364" s="249">
        <v>0</v>
      </c>
      <c r="D364" s="249">
        <v>3</v>
      </c>
      <c r="E364" s="249">
        <v>3</v>
      </c>
      <c r="F364" s="249">
        <v>1</v>
      </c>
      <c r="G364" s="249">
        <v>10</v>
      </c>
      <c r="H364" s="249">
        <v>10</v>
      </c>
      <c r="I364" s="249">
        <v>8</v>
      </c>
      <c r="J364" s="249">
        <v>1</v>
      </c>
      <c r="K364" s="249">
        <v>1</v>
      </c>
      <c r="L364" s="249">
        <v>0</v>
      </c>
      <c r="M364" s="249">
        <v>0</v>
      </c>
      <c r="N364" s="249">
        <v>0</v>
      </c>
      <c r="O364" s="249">
        <v>0</v>
      </c>
      <c r="P364" s="536" t="s">
        <v>6610</v>
      </c>
    </row>
    <row r="365" spans="1:16" ht="135">
      <c r="A365" s="251">
        <v>1</v>
      </c>
      <c r="B365" s="251">
        <v>1</v>
      </c>
      <c r="C365" s="251">
        <v>0</v>
      </c>
      <c r="D365" s="251">
        <v>0</v>
      </c>
      <c r="E365" s="251">
        <v>0</v>
      </c>
      <c r="F365" s="251">
        <v>0</v>
      </c>
      <c r="G365" s="251">
        <v>4</v>
      </c>
      <c r="H365" s="251">
        <v>4</v>
      </c>
      <c r="I365" s="251">
        <v>1</v>
      </c>
      <c r="J365" s="251">
        <v>0</v>
      </c>
      <c r="K365" s="251">
        <v>0</v>
      </c>
      <c r="L365" s="251">
        <v>0</v>
      </c>
      <c r="M365" s="251">
        <v>0</v>
      </c>
      <c r="N365" s="251">
        <v>0</v>
      </c>
      <c r="O365" s="251">
        <v>0</v>
      </c>
      <c r="P365" s="515" t="s">
        <v>6613</v>
      </c>
    </row>
    <row r="366" spans="1:16" ht="75">
      <c r="A366" s="251">
        <v>1</v>
      </c>
      <c r="B366" s="251">
        <v>1</v>
      </c>
      <c r="C366" s="251">
        <v>0</v>
      </c>
      <c r="D366" s="251">
        <v>1</v>
      </c>
      <c r="E366" s="251">
        <v>1</v>
      </c>
      <c r="F366" s="251">
        <v>0</v>
      </c>
      <c r="G366" s="251">
        <v>0</v>
      </c>
      <c r="H366" s="251">
        <v>0</v>
      </c>
      <c r="I366" s="251">
        <v>0</v>
      </c>
      <c r="J366" s="251">
        <v>0</v>
      </c>
      <c r="K366" s="251">
        <v>0</v>
      </c>
      <c r="L366" s="251">
        <v>0</v>
      </c>
      <c r="M366" s="251">
        <v>0</v>
      </c>
      <c r="N366" s="251">
        <v>0</v>
      </c>
      <c r="O366" s="251">
        <v>0</v>
      </c>
      <c r="P366" s="515" t="s">
        <v>788</v>
      </c>
    </row>
    <row r="367" spans="1:16" ht="15">
      <c r="A367" s="720" t="s">
        <v>1670</v>
      </c>
      <c r="B367" s="720"/>
      <c r="C367" s="720"/>
      <c r="D367" s="720" t="s">
        <v>1671</v>
      </c>
      <c r="E367" s="720"/>
      <c r="F367" s="720"/>
      <c r="G367" s="720" t="s">
        <v>1672</v>
      </c>
      <c r="H367" s="720"/>
      <c r="I367" s="720"/>
      <c r="J367" s="716"/>
      <c r="K367" s="716"/>
      <c r="L367" s="716"/>
      <c r="M367" s="716"/>
      <c r="N367" s="716"/>
      <c r="O367" s="716"/>
      <c r="P367" s="716"/>
    </row>
    <row r="368" spans="1:16" ht="15">
      <c r="A368" s="517" t="s">
        <v>1667</v>
      </c>
      <c r="B368" s="517" t="s">
        <v>1668</v>
      </c>
      <c r="C368" s="544" t="s">
        <v>418</v>
      </c>
      <c r="D368" s="517" t="s">
        <v>1667</v>
      </c>
      <c r="E368" s="517" t="s">
        <v>1668</v>
      </c>
      <c r="F368" s="544" t="s">
        <v>418</v>
      </c>
      <c r="G368" s="517" t="s">
        <v>1667</v>
      </c>
      <c r="H368" s="517" t="s">
        <v>1668</v>
      </c>
      <c r="I368" s="544" t="s">
        <v>418</v>
      </c>
      <c r="J368" s="310"/>
      <c r="K368" s="310"/>
      <c r="L368" s="310"/>
      <c r="M368" s="310"/>
      <c r="N368" s="310"/>
      <c r="O368" s="310"/>
      <c r="P368" s="310"/>
    </row>
    <row r="369" spans="1:16" ht="30">
      <c r="A369" s="512" t="s">
        <v>17</v>
      </c>
      <c r="B369" s="512" t="s">
        <v>17</v>
      </c>
      <c r="C369" s="512" t="s">
        <v>17</v>
      </c>
      <c r="D369" s="512" t="s">
        <v>17</v>
      </c>
      <c r="E369" s="512" t="s">
        <v>17</v>
      </c>
      <c r="F369" s="512" t="s">
        <v>17</v>
      </c>
      <c r="G369" s="512" t="s">
        <v>17</v>
      </c>
      <c r="H369" s="512" t="s">
        <v>17</v>
      </c>
      <c r="I369" s="512" t="s">
        <v>17</v>
      </c>
      <c r="J369" s="519" t="s">
        <v>6617</v>
      </c>
      <c r="K369" s="310"/>
      <c r="L369" s="310"/>
      <c r="M369" s="310"/>
      <c r="N369" s="310"/>
      <c r="O369" s="310"/>
      <c r="P369" s="310"/>
    </row>
    <row r="370" spans="1:16" ht="30">
      <c r="A370" s="512">
        <v>6</v>
      </c>
      <c r="B370" s="512">
        <v>5</v>
      </c>
      <c r="C370" s="512">
        <v>5</v>
      </c>
      <c r="D370" s="512" t="s">
        <v>17</v>
      </c>
      <c r="E370" s="512" t="s">
        <v>17</v>
      </c>
      <c r="F370" s="512" t="s">
        <v>17</v>
      </c>
      <c r="G370" s="512" t="s">
        <v>17</v>
      </c>
      <c r="H370" s="512" t="s">
        <v>17</v>
      </c>
      <c r="I370" s="512" t="s">
        <v>17</v>
      </c>
      <c r="J370" s="519" t="s">
        <v>6618</v>
      </c>
      <c r="K370" s="310"/>
      <c r="L370" s="310"/>
      <c r="M370" s="310"/>
      <c r="N370" s="310"/>
      <c r="O370" s="310"/>
      <c r="P370" s="15"/>
    </row>
    <row r="371" spans="1:16" ht="60">
      <c r="A371" s="512" t="s">
        <v>17</v>
      </c>
      <c r="B371" s="512" t="s">
        <v>17</v>
      </c>
      <c r="C371" s="512" t="s">
        <v>17</v>
      </c>
      <c r="D371" s="512" t="s">
        <v>17</v>
      </c>
      <c r="E371" s="512" t="s">
        <v>17</v>
      </c>
      <c r="F371" s="512" t="s">
        <v>17</v>
      </c>
      <c r="G371" s="512" t="s">
        <v>17</v>
      </c>
      <c r="H371" s="512" t="s">
        <v>17</v>
      </c>
      <c r="I371" s="512" t="s">
        <v>17</v>
      </c>
      <c r="J371" s="519" t="s">
        <v>6619</v>
      </c>
      <c r="K371" s="310"/>
      <c r="L371" s="310"/>
      <c r="M371" s="310"/>
      <c r="N371" s="310"/>
      <c r="O371" s="310"/>
      <c r="P371" s="15"/>
    </row>
    <row r="372" spans="1:16" ht="90">
      <c r="A372" s="512" t="s">
        <v>17</v>
      </c>
      <c r="B372" s="512" t="s">
        <v>17</v>
      </c>
      <c r="C372" s="512" t="s">
        <v>17</v>
      </c>
      <c r="D372" s="512" t="s">
        <v>17</v>
      </c>
      <c r="E372" s="512" t="s">
        <v>17</v>
      </c>
      <c r="F372" s="512" t="s">
        <v>17</v>
      </c>
      <c r="G372" s="512" t="s">
        <v>17</v>
      </c>
      <c r="H372" s="512" t="s">
        <v>17</v>
      </c>
      <c r="I372" s="512" t="s">
        <v>17</v>
      </c>
      <c r="J372" s="519" t="s">
        <v>6620</v>
      </c>
      <c r="K372" s="310"/>
      <c r="L372" s="310"/>
      <c r="M372" s="310"/>
      <c r="N372" s="310"/>
      <c r="O372" s="310"/>
      <c r="P372" s="15"/>
    </row>
    <row r="373" spans="1:16" ht="45">
      <c r="A373" s="512" t="s">
        <v>17</v>
      </c>
      <c r="B373" s="512" t="s">
        <v>17</v>
      </c>
      <c r="C373" s="512" t="s">
        <v>17</v>
      </c>
      <c r="D373" s="512" t="s">
        <v>17</v>
      </c>
      <c r="E373" s="512" t="s">
        <v>17</v>
      </c>
      <c r="F373" s="512" t="s">
        <v>17</v>
      </c>
      <c r="G373" s="512" t="s">
        <v>17</v>
      </c>
      <c r="H373" s="512" t="s">
        <v>17</v>
      </c>
      <c r="I373" s="512" t="s">
        <v>17</v>
      </c>
      <c r="J373" s="519" t="s">
        <v>6510</v>
      </c>
      <c r="K373" s="310"/>
      <c r="L373" s="310"/>
      <c r="M373" s="310"/>
      <c r="N373" s="310"/>
      <c r="O373" s="310"/>
      <c r="P373" s="15"/>
    </row>
    <row r="374" spans="1:16" ht="15">
      <c r="A374" s="521" t="s">
        <v>17</v>
      </c>
      <c r="B374" s="521" t="s">
        <v>17</v>
      </c>
      <c r="C374" s="521" t="s">
        <v>17</v>
      </c>
      <c r="D374" s="521" t="s">
        <v>17</v>
      </c>
      <c r="E374" s="521" t="s">
        <v>17</v>
      </c>
      <c r="F374" s="521" t="s">
        <v>17</v>
      </c>
      <c r="G374" s="521" t="s">
        <v>17</v>
      </c>
      <c r="H374" s="521" t="s">
        <v>17</v>
      </c>
      <c r="I374" s="521" t="s">
        <v>17</v>
      </c>
      <c r="J374" s="716" t="s">
        <v>6612</v>
      </c>
      <c r="K374" s="310"/>
      <c r="L374" s="310"/>
      <c r="M374" s="310"/>
      <c r="N374" s="310"/>
      <c r="O374" s="310"/>
      <c r="P374" s="15"/>
    </row>
    <row r="375" spans="1:16" ht="15">
      <c r="A375" s="521" t="s">
        <v>17</v>
      </c>
      <c r="B375" s="521" t="s">
        <v>17</v>
      </c>
      <c r="C375" s="521" t="s">
        <v>17</v>
      </c>
      <c r="D375" s="521" t="s">
        <v>17</v>
      </c>
      <c r="E375" s="521" t="s">
        <v>17</v>
      </c>
      <c r="F375" s="521" t="s">
        <v>17</v>
      </c>
      <c r="G375" s="521" t="s">
        <v>17</v>
      </c>
      <c r="H375" s="521" t="s">
        <v>17</v>
      </c>
      <c r="I375" s="521" t="s">
        <v>17</v>
      </c>
      <c r="J375" s="716"/>
      <c r="K375" s="310"/>
      <c r="L375" s="310"/>
      <c r="M375" s="310"/>
      <c r="N375" s="310"/>
      <c r="O375" s="310"/>
      <c r="P375" s="15"/>
    </row>
    <row r="376" spans="1:16" ht="15">
      <c r="A376" s="521" t="s">
        <v>17</v>
      </c>
      <c r="B376" s="521" t="s">
        <v>17</v>
      </c>
      <c r="C376" s="521" t="s">
        <v>17</v>
      </c>
      <c r="D376" s="521" t="s">
        <v>17</v>
      </c>
      <c r="E376" s="521" t="s">
        <v>17</v>
      </c>
      <c r="F376" s="521" t="s">
        <v>17</v>
      </c>
      <c r="G376" s="521" t="s">
        <v>17</v>
      </c>
      <c r="H376" s="521" t="s">
        <v>17</v>
      </c>
      <c r="I376" s="521" t="s">
        <v>17</v>
      </c>
      <c r="J376" s="716"/>
      <c r="K376" s="310"/>
      <c r="L376" s="310"/>
      <c r="M376" s="310"/>
      <c r="N376" s="310"/>
      <c r="O376" s="310"/>
      <c r="P376" s="15"/>
    </row>
    <row r="377" spans="1:16" ht="15">
      <c r="A377" s="521" t="s">
        <v>17</v>
      </c>
      <c r="B377" s="521" t="s">
        <v>17</v>
      </c>
      <c r="C377" s="521" t="s">
        <v>17</v>
      </c>
      <c r="D377" s="521" t="s">
        <v>17</v>
      </c>
      <c r="E377" s="521" t="s">
        <v>17</v>
      </c>
      <c r="F377" s="521" t="s">
        <v>17</v>
      </c>
      <c r="G377" s="521" t="s">
        <v>17</v>
      </c>
      <c r="H377" s="521" t="s">
        <v>17</v>
      </c>
      <c r="I377" s="521" t="s">
        <v>17</v>
      </c>
      <c r="J377" s="716"/>
      <c r="K377" s="310"/>
      <c r="L377" s="310"/>
      <c r="M377" s="310"/>
      <c r="N377" s="310"/>
      <c r="O377" s="310"/>
      <c r="P377" s="15"/>
    </row>
    <row r="378" spans="1:16" ht="15">
      <c r="A378" s="521" t="s">
        <v>17</v>
      </c>
      <c r="B378" s="521" t="s">
        <v>17</v>
      </c>
      <c r="C378" s="521" t="s">
        <v>17</v>
      </c>
      <c r="D378" s="521" t="s">
        <v>17</v>
      </c>
      <c r="E378" s="521" t="s">
        <v>17</v>
      </c>
      <c r="F378" s="521" t="s">
        <v>17</v>
      </c>
      <c r="G378" s="521" t="s">
        <v>17</v>
      </c>
      <c r="H378" s="521" t="s">
        <v>17</v>
      </c>
      <c r="I378" s="521" t="s">
        <v>17</v>
      </c>
      <c r="J378" s="716"/>
      <c r="K378" s="310"/>
      <c r="L378" s="310"/>
      <c r="M378" s="310"/>
      <c r="N378" s="310"/>
      <c r="O378" s="310"/>
      <c r="P378" s="15"/>
    </row>
    <row r="379" spans="1:16" ht="15">
      <c r="A379" s="521" t="s">
        <v>17</v>
      </c>
      <c r="B379" s="521" t="s">
        <v>17</v>
      </c>
      <c r="C379" s="521" t="s">
        <v>17</v>
      </c>
      <c r="D379" s="521" t="s">
        <v>17</v>
      </c>
      <c r="E379" s="521" t="s">
        <v>17</v>
      </c>
      <c r="F379" s="521" t="s">
        <v>17</v>
      </c>
      <c r="G379" s="521" t="s">
        <v>17</v>
      </c>
      <c r="H379" s="521" t="s">
        <v>17</v>
      </c>
      <c r="I379" s="521" t="s">
        <v>17</v>
      </c>
      <c r="J379" s="710" t="s">
        <v>6615</v>
      </c>
      <c r="K379" s="310"/>
      <c r="L379" s="310"/>
      <c r="M379" s="310"/>
      <c r="N379" s="310"/>
      <c r="O379" s="310"/>
      <c r="P379" s="15"/>
    </row>
    <row r="380" spans="1:16" ht="15">
      <c r="A380" s="521" t="s">
        <v>17</v>
      </c>
      <c r="B380" s="521" t="s">
        <v>17</v>
      </c>
      <c r="C380" s="521" t="s">
        <v>17</v>
      </c>
      <c r="D380" s="521" t="s">
        <v>17</v>
      </c>
      <c r="E380" s="521" t="s">
        <v>17</v>
      </c>
      <c r="F380" s="521" t="s">
        <v>17</v>
      </c>
      <c r="G380" s="521" t="s">
        <v>17</v>
      </c>
      <c r="H380" s="521" t="s">
        <v>17</v>
      </c>
      <c r="I380" s="521" t="s">
        <v>17</v>
      </c>
      <c r="J380" s="710"/>
      <c r="K380" s="310"/>
      <c r="L380" s="310"/>
      <c r="M380" s="310"/>
      <c r="N380" s="310"/>
      <c r="O380" s="310"/>
      <c r="P380" s="15"/>
    </row>
    <row r="381" spans="1:16" ht="15">
      <c r="A381" s="712" t="s">
        <v>87</v>
      </c>
      <c r="B381" s="712"/>
      <c r="C381" s="712"/>
      <c r="D381" s="712"/>
      <c r="E381" s="712"/>
      <c r="F381" s="712"/>
      <c r="G381" s="712"/>
      <c r="H381" s="712"/>
      <c r="I381" s="712"/>
      <c r="J381" s="310" t="s">
        <v>6621</v>
      </c>
      <c r="K381" s="310"/>
      <c r="L381" s="310"/>
      <c r="M381" s="310"/>
      <c r="N381" s="310"/>
      <c r="O381" s="310"/>
      <c r="P381" s="15"/>
    </row>
    <row r="382" spans="1:16" ht="15">
      <c r="A382" s="521"/>
      <c r="B382" s="521"/>
      <c r="C382" s="521"/>
      <c r="D382" s="521"/>
      <c r="E382" s="521"/>
      <c r="F382" s="521"/>
      <c r="G382" s="521"/>
      <c r="H382" s="521"/>
      <c r="I382" s="521"/>
      <c r="J382" s="310"/>
      <c r="K382" s="310"/>
      <c r="L382" s="310"/>
      <c r="M382" s="310"/>
      <c r="N382" s="310"/>
      <c r="O382" s="310"/>
      <c r="P382" s="15"/>
    </row>
    <row r="383" spans="1:16" ht="22.5">
      <c r="A383" s="718" t="s">
        <v>664</v>
      </c>
      <c r="B383" s="718"/>
      <c r="C383" s="718"/>
      <c r="D383" s="718"/>
      <c r="E383" s="718"/>
      <c r="F383" s="718"/>
      <c r="G383" s="718"/>
      <c r="H383" s="718"/>
      <c r="I383" s="718"/>
      <c r="J383" s="718"/>
      <c r="K383" s="718"/>
      <c r="L383" s="718"/>
      <c r="M383" s="718"/>
      <c r="N383" s="718"/>
      <c r="O383" s="718"/>
      <c r="P383" s="718"/>
    </row>
    <row r="384" spans="1:16" ht="20.25">
      <c r="A384" s="725" t="s">
        <v>6280</v>
      </c>
      <c r="B384" s="725"/>
      <c r="C384" s="725"/>
      <c r="D384" s="725"/>
      <c r="E384" s="725"/>
      <c r="F384" s="725"/>
      <c r="G384" s="725"/>
      <c r="H384" s="725"/>
      <c r="I384" s="725"/>
      <c r="J384" s="725"/>
      <c r="K384" s="725"/>
      <c r="L384" s="725"/>
      <c r="M384" s="548"/>
      <c r="N384" s="548"/>
      <c r="O384" s="15"/>
      <c r="P384" s="15"/>
    </row>
    <row r="385" spans="1:16" ht="114">
      <c r="A385" s="18" t="s">
        <v>0</v>
      </c>
      <c r="B385" s="18" t="s">
        <v>1616</v>
      </c>
      <c r="C385" s="18" t="s">
        <v>1647</v>
      </c>
      <c r="D385" s="18" t="s">
        <v>1648</v>
      </c>
      <c r="E385" s="18" t="s">
        <v>6277</v>
      </c>
      <c r="F385" s="18" t="s">
        <v>1619</v>
      </c>
      <c r="G385" s="19" t="s">
        <v>1649</v>
      </c>
      <c r="H385" s="18" t="s">
        <v>6281</v>
      </c>
      <c r="I385" s="18" t="s">
        <v>1620</v>
      </c>
      <c r="J385" s="19" t="s">
        <v>1650</v>
      </c>
      <c r="K385" s="20" t="s">
        <v>1651</v>
      </c>
      <c r="L385" s="20" t="s">
        <v>1622</v>
      </c>
      <c r="M385" s="15"/>
      <c r="N385" s="15"/>
      <c r="O385" s="15"/>
      <c r="P385" s="143"/>
    </row>
    <row r="386" spans="1:16">
      <c r="A386" s="530">
        <v>1</v>
      </c>
      <c r="B386" s="530">
        <v>2</v>
      </c>
      <c r="C386" s="530">
        <v>3</v>
      </c>
      <c r="D386" s="530">
        <v>4</v>
      </c>
      <c r="E386" s="530">
        <v>5</v>
      </c>
      <c r="F386" s="530">
        <v>6</v>
      </c>
      <c r="G386" s="530">
        <v>7</v>
      </c>
      <c r="H386" s="530">
        <v>8</v>
      </c>
      <c r="I386" s="19">
        <v>9</v>
      </c>
      <c r="J386" s="530">
        <v>10</v>
      </c>
      <c r="K386" s="530">
        <v>11</v>
      </c>
      <c r="L386" s="530">
        <v>12</v>
      </c>
      <c r="M386" s="15"/>
      <c r="N386" s="15"/>
      <c r="O386" s="15"/>
      <c r="P386" s="18"/>
    </row>
    <row r="387" spans="1:16" ht="75">
      <c r="A387" s="513">
        <v>1</v>
      </c>
      <c r="B387" s="696" t="s">
        <v>6468</v>
      </c>
      <c r="C387" s="516" t="s">
        <v>6469</v>
      </c>
      <c r="D387" s="516" t="s">
        <v>6478</v>
      </c>
      <c r="E387" s="512">
        <v>3225.44</v>
      </c>
      <c r="F387" s="512">
        <v>1972</v>
      </c>
      <c r="G387" s="512" t="s">
        <v>17</v>
      </c>
      <c r="H387" s="512" t="s">
        <v>301</v>
      </c>
      <c r="I387" s="513" t="s">
        <v>6473</v>
      </c>
      <c r="J387" s="513" t="s">
        <v>7210</v>
      </c>
      <c r="K387" s="512"/>
      <c r="L387" s="512"/>
      <c r="M387" s="15"/>
      <c r="N387" s="15"/>
      <c r="O387" s="15"/>
      <c r="P387" s="310"/>
    </row>
    <row r="388" spans="1:16" ht="63.75" customHeight="1">
      <c r="A388" s="517">
        <v>2</v>
      </c>
      <c r="B388" s="696"/>
      <c r="C388" s="534" t="s">
        <v>7201</v>
      </c>
      <c r="D388" s="534" t="s">
        <v>7211</v>
      </c>
      <c r="E388" s="517">
        <v>657.56</v>
      </c>
      <c r="F388" s="517"/>
      <c r="G388" s="544" t="s">
        <v>7212</v>
      </c>
      <c r="H388" s="517" t="s">
        <v>17</v>
      </c>
      <c r="I388" s="544" t="s">
        <v>17</v>
      </c>
      <c r="J388" s="517" t="s">
        <v>17</v>
      </c>
      <c r="K388" s="517"/>
      <c r="L388" s="517"/>
      <c r="M388" s="15"/>
      <c r="N388" s="15"/>
      <c r="O388" s="15"/>
      <c r="P388" s="517"/>
    </row>
    <row r="389" spans="1:16" ht="30">
      <c r="A389" s="513">
        <v>3</v>
      </c>
      <c r="B389" s="696"/>
      <c r="C389" s="696" t="s">
        <v>7185</v>
      </c>
      <c r="D389" s="516" t="s">
        <v>7232</v>
      </c>
      <c r="E389" s="513" t="s">
        <v>17</v>
      </c>
      <c r="F389" s="513">
        <v>7.1996000000000002</v>
      </c>
      <c r="G389" s="513" t="s">
        <v>748</v>
      </c>
      <c r="H389" s="513">
        <v>1.61</v>
      </c>
      <c r="I389" s="513" t="s">
        <v>17</v>
      </c>
      <c r="J389" s="513" t="s">
        <v>87</v>
      </c>
      <c r="K389" s="513" t="s">
        <v>35</v>
      </c>
      <c r="L389" s="513">
        <v>1</v>
      </c>
      <c r="M389" s="15"/>
      <c r="N389" s="15"/>
      <c r="O389" s="15"/>
      <c r="P389" s="517"/>
    </row>
    <row r="390" spans="1:16" ht="30">
      <c r="A390" s="517">
        <v>4</v>
      </c>
      <c r="B390" s="696"/>
      <c r="C390" s="696"/>
      <c r="D390" s="516" t="s">
        <v>7233</v>
      </c>
      <c r="E390" s="513">
        <v>4046</v>
      </c>
      <c r="F390" s="513" t="s">
        <v>17</v>
      </c>
      <c r="G390" s="513" t="s">
        <v>748</v>
      </c>
      <c r="H390" s="513" t="s">
        <v>17</v>
      </c>
      <c r="I390" s="513" t="s">
        <v>17</v>
      </c>
      <c r="J390" s="513" t="s">
        <v>87</v>
      </c>
      <c r="K390" s="513">
        <v>1</v>
      </c>
      <c r="L390" s="513" t="s">
        <v>35</v>
      </c>
      <c r="M390" s="15"/>
      <c r="N390" s="15"/>
      <c r="O390" s="15"/>
      <c r="P390" s="517"/>
    </row>
    <row r="391" spans="1:16" ht="30">
      <c r="A391" s="513">
        <v>5</v>
      </c>
      <c r="B391" s="696"/>
      <c r="C391" s="696"/>
      <c r="D391" s="516" t="s">
        <v>6493</v>
      </c>
      <c r="E391" s="513" t="s">
        <v>17</v>
      </c>
      <c r="F391" s="513" t="s">
        <v>17</v>
      </c>
      <c r="G391" s="513" t="s">
        <v>17</v>
      </c>
      <c r="H391" s="513" t="s">
        <v>17</v>
      </c>
      <c r="I391" s="513" t="s">
        <v>17</v>
      </c>
      <c r="J391" s="513" t="s">
        <v>87</v>
      </c>
      <c r="K391" s="513">
        <v>2</v>
      </c>
      <c r="L391" s="513" t="s">
        <v>35</v>
      </c>
      <c r="M391" s="15"/>
      <c r="N391" s="15"/>
      <c r="O391" s="15"/>
      <c r="P391" s="517"/>
    </row>
    <row r="392" spans="1:16" ht="30">
      <c r="A392" s="517">
        <v>6</v>
      </c>
      <c r="B392" s="696"/>
      <c r="C392" s="696"/>
      <c r="D392" s="516" t="s">
        <v>7234</v>
      </c>
      <c r="E392" s="513">
        <v>2233.35</v>
      </c>
      <c r="F392" s="513" t="s">
        <v>7235</v>
      </c>
      <c r="G392" s="513" t="s">
        <v>748</v>
      </c>
      <c r="H392" s="513" t="s">
        <v>7236</v>
      </c>
      <c r="I392" s="513" t="s">
        <v>17</v>
      </c>
      <c r="J392" s="513" t="s">
        <v>87</v>
      </c>
      <c r="K392" s="513" t="s">
        <v>35</v>
      </c>
      <c r="L392" s="513">
        <v>2</v>
      </c>
      <c r="M392" s="15"/>
      <c r="N392" s="15"/>
      <c r="O392" s="15"/>
      <c r="P392" s="517"/>
    </row>
    <row r="393" spans="1:16" ht="15">
      <c r="A393" s="513">
        <v>7</v>
      </c>
      <c r="B393" s="696"/>
      <c r="C393" s="515" t="s">
        <v>7186</v>
      </c>
      <c r="D393" s="726" t="s">
        <v>87</v>
      </c>
      <c r="E393" s="726"/>
      <c r="F393" s="726"/>
      <c r="G393" s="726"/>
      <c r="H393" s="726"/>
      <c r="I393" s="726"/>
      <c r="J393" s="726"/>
      <c r="K393" s="726"/>
      <c r="L393" s="726"/>
      <c r="M393" s="15"/>
      <c r="N393" s="15"/>
      <c r="O393" s="15"/>
      <c r="P393" s="517"/>
    </row>
    <row r="394" spans="1:16" ht="15">
      <c r="A394" s="693"/>
      <c r="B394" s="693"/>
      <c r="C394" s="693"/>
      <c r="D394" s="693"/>
      <c r="E394" s="693"/>
      <c r="F394" s="693"/>
      <c r="G394" s="693"/>
      <c r="H394" s="693"/>
      <c r="I394" s="693"/>
      <c r="J394" s="693"/>
      <c r="K394" s="693"/>
      <c r="L394" s="693"/>
      <c r="M394" s="15"/>
      <c r="N394" s="15"/>
      <c r="O394" s="15"/>
      <c r="P394" s="310"/>
    </row>
    <row r="395" spans="1:16" ht="57">
      <c r="A395" s="720" t="s">
        <v>1661</v>
      </c>
      <c r="B395" s="720"/>
      <c r="C395" s="720"/>
      <c r="D395" s="720"/>
      <c r="E395" s="720"/>
      <c r="F395" s="720"/>
      <c r="G395" s="720"/>
      <c r="H395" s="720"/>
      <c r="I395" s="720"/>
      <c r="J395" s="720"/>
      <c r="K395" s="720"/>
      <c r="L395" s="720"/>
      <c r="M395" s="720"/>
      <c r="N395" s="720"/>
      <c r="O395" s="720"/>
      <c r="P395" s="143" t="s">
        <v>1623</v>
      </c>
    </row>
    <row r="396" spans="1:16">
      <c r="A396" s="720">
        <v>13</v>
      </c>
      <c r="B396" s="720"/>
      <c r="C396" s="720"/>
      <c r="D396" s="720"/>
      <c r="E396" s="720"/>
      <c r="F396" s="720"/>
      <c r="G396" s="720"/>
      <c r="H396" s="720"/>
      <c r="I396" s="720"/>
      <c r="J396" s="720"/>
      <c r="K396" s="720"/>
      <c r="L396" s="720"/>
      <c r="M396" s="720"/>
      <c r="N396" s="720"/>
      <c r="O396" s="720"/>
      <c r="P396" s="18">
        <v>14</v>
      </c>
    </row>
    <row r="397" spans="1:16" ht="15">
      <c r="A397" s="720" t="s">
        <v>1662</v>
      </c>
      <c r="B397" s="720"/>
      <c r="C397" s="720"/>
      <c r="D397" s="720" t="s">
        <v>1663</v>
      </c>
      <c r="E397" s="720"/>
      <c r="F397" s="720"/>
      <c r="G397" s="720" t="s">
        <v>1664</v>
      </c>
      <c r="H397" s="720"/>
      <c r="I397" s="720"/>
      <c r="J397" s="720" t="s">
        <v>1665</v>
      </c>
      <c r="K397" s="720"/>
      <c r="L397" s="720"/>
      <c r="M397" s="720" t="s">
        <v>1666</v>
      </c>
      <c r="N397" s="720"/>
      <c r="O397" s="720"/>
      <c r="P397" s="310"/>
    </row>
    <row r="398" spans="1:16" ht="15">
      <c r="A398" s="517" t="s">
        <v>1667</v>
      </c>
      <c r="B398" s="517" t="s">
        <v>1668</v>
      </c>
      <c r="C398" s="544" t="s">
        <v>418</v>
      </c>
      <c r="D398" s="517" t="s">
        <v>1667</v>
      </c>
      <c r="E398" s="517" t="s">
        <v>1668</v>
      </c>
      <c r="F398" s="544" t="s">
        <v>418</v>
      </c>
      <c r="G398" s="517" t="s">
        <v>1667</v>
      </c>
      <c r="H398" s="517" t="s">
        <v>1668</v>
      </c>
      <c r="I398" s="544" t="s">
        <v>418</v>
      </c>
      <c r="J398" s="517" t="s">
        <v>1667</v>
      </c>
      <c r="K398" s="517" t="s">
        <v>1668</v>
      </c>
      <c r="L398" s="544" t="s">
        <v>418</v>
      </c>
      <c r="M398" s="517" t="s">
        <v>1667</v>
      </c>
      <c r="N398" s="517" t="s">
        <v>1668</v>
      </c>
      <c r="O398" s="544" t="s">
        <v>418</v>
      </c>
      <c r="P398" s="15"/>
    </row>
    <row r="399" spans="1:16" ht="15">
      <c r="A399" s="527">
        <v>104</v>
      </c>
      <c r="B399" s="527">
        <v>60</v>
      </c>
      <c r="C399" s="527">
        <v>60</v>
      </c>
      <c r="D399" s="27"/>
      <c r="E399" s="27"/>
      <c r="F399" s="27"/>
      <c r="G399" s="27">
        <v>4</v>
      </c>
      <c r="H399" s="27"/>
      <c r="I399" s="27"/>
      <c r="J399" s="527">
        <v>8</v>
      </c>
      <c r="K399" s="527">
        <v>8</v>
      </c>
      <c r="L399" s="527">
        <v>8</v>
      </c>
      <c r="M399" s="27"/>
      <c r="N399" s="27"/>
      <c r="O399" s="27"/>
      <c r="P399" s="310" t="s">
        <v>6469</v>
      </c>
    </row>
    <row r="400" spans="1:16" ht="45">
      <c r="A400" s="527"/>
      <c r="B400" s="527"/>
      <c r="C400" s="527"/>
      <c r="D400" s="27">
        <v>4</v>
      </c>
      <c r="E400" s="27"/>
      <c r="F400" s="27"/>
      <c r="G400" s="27">
        <v>4</v>
      </c>
      <c r="H400" s="27"/>
      <c r="I400" s="27"/>
      <c r="J400" s="512">
        <v>1</v>
      </c>
      <c r="K400" s="527"/>
      <c r="L400" s="527"/>
      <c r="M400" s="27"/>
      <c r="N400" s="27"/>
      <c r="O400" s="27"/>
      <c r="P400" s="519" t="s">
        <v>7213</v>
      </c>
    </row>
    <row r="401" spans="1:16" ht="15">
      <c r="A401" s="527">
        <v>16</v>
      </c>
      <c r="B401" s="527">
        <v>16</v>
      </c>
      <c r="C401" s="527">
        <v>2</v>
      </c>
      <c r="D401" s="527">
        <v>24</v>
      </c>
      <c r="E401" s="527">
        <v>24</v>
      </c>
      <c r="F401" s="527">
        <v>22</v>
      </c>
      <c r="G401" s="527">
        <v>32</v>
      </c>
      <c r="H401" s="527">
        <v>32</v>
      </c>
      <c r="I401" s="527">
        <v>32</v>
      </c>
      <c r="J401" s="527">
        <v>7</v>
      </c>
      <c r="K401" s="527">
        <v>7</v>
      </c>
      <c r="L401" s="527">
        <v>7</v>
      </c>
      <c r="M401" s="527">
        <v>1</v>
      </c>
      <c r="N401" s="527">
        <v>1</v>
      </c>
      <c r="O401" s="527">
        <v>0</v>
      </c>
      <c r="P401" s="721" t="s">
        <v>7185</v>
      </c>
    </row>
    <row r="402" spans="1:16" ht="15">
      <c r="A402" s="527">
        <v>16</v>
      </c>
      <c r="B402" s="527">
        <v>16</v>
      </c>
      <c r="C402" s="527">
        <v>1</v>
      </c>
      <c r="D402" s="527">
        <v>16</v>
      </c>
      <c r="E402" s="527">
        <v>16</v>
      </c>
      <c r="F402" s="527">
        <v>1</v>
      </c>
      <c r="G402" s="527">
        <v>32</v>
      </c>
      <c r="H402" s="527">
        <v>32</v>
      </c>
      <c r="I402" s="527">
        <v>12</v>
      </c>
      <c r="J402" s="527" t="s">
        <v>35</v>
      </c>
      <c r="K402" s="527" t="s">
        <v>35</v>
      </c>
      <c r="L402" s="527" t="s">
        <v>35</v>
      </c>
      <c r="M402" s="527" t="s">
        <v>35</v>
      </c>
      <c r="N402" s="527" t="s">
        <v>35</v>
      </c>
      <c r="O402" s="527" t="s">
        <v>35</v>
      </c>
      <c r="P402" s="721"/>
    </row>
    <row r="403" spans="1:16" ht="15">
      <c r="A403" s="527" t="s">
        <v>35</v>
      </c>
      <c r="B403" s="527" t="s">
        <v>35</v>
      </c>
      <c r="C403" s="527" t="s">
        <v>35</v>
      </c>
      <c r="D403" s="527" t="s">
        <v>35</v>
      </c>
      <c r="E403" s="527" t="s">
        <v>35</v>
      </c>
      <c r="F403" s="527" t="s">
        <v>35</v>
      </c>
      <c r="G403" s="527" t="s">
        <v>35</v>
      </c>
      <c r="H403" s="527" t="s">
        <v>35</v>
      </c>
      <c r="I403" s="527" t="s">
        <v>35</v>
      </c>
      <c r="J403" s="527" t="s">
        <v>35</v>
      </c>
      <c r="K403" s="527" t="s">
        <v>35</v>
      </c>
      <c r="L403" s="527" t="s">
        <v>35</v>
      </c>
      <c r="M403" s="527" t="s">
        <v>35</v>
      </c>
      <c r="N403" s="527" t="s">
        <v>35</v>
      </c>
      <c r="O403" s="527" t="s">
        <v>35</v>
      </c>
      <c r="P403" s="721"/>
    </row>
    <row r="404" spans="1:16" ht="15">
      <c r="A404" s="527">
        <v>5</v>
      </c>
      <c r="B404" s="527">
        <v>4</v>
      </c>
      <c r="C404" s="527">
        <v>2</v>
      </c>
      <c r="D404" s="527">
        <v>6</v>
      </c>
      <c r="E404" s="527">
        <v>6</v>
      </c>
      <c r="F404" s="527">
        <v>1</v>
      </c>
      <c r="G404" s="527">
        <v>14</v>
      </c>
      <c r="H404" s="527">
        <v>14</v>
      </c>
      <c r="I404" s="527">
        <v>8</v>
      </c>
      <c r="J404" s="527">
        <v>6</v>
      </c>
      <c r="K404" s="527">
        <v>4</v>
      </c>
      <c r="L404" s="527">
        <v>4</v>
      </c>
      <c r="M404" s="527" t="s">
        <v>35</v>
      </c>
      <c r="N404" s="527" t="s">
        <v>35</v>
      </c>
      <c r="O404" s="527" t="s">
        <v>35</v>
      </c>
      <c r="P404" s="721"/>
    </row>
    <row r="405" spans="1:16" ht="15">
      <c r="A405" s="720" t="s">
        <v>1670</v>
      </c>
      <c r="B405" s="720"/>
      <c r="C405" s="720"/>
      <c r="D405" s="720" t="s">
        <v>1671</v>
      </c>
      <c r="E405" s="720"/>
      <c r="F405" s="720"/>
      <c r="G405" s="720" t="s">
        <v>1672</v>
      </c>
      <c r="H405" s="720"/>
      <c r="I405" s="720"/>
      <c r="J405" s="310"/>
      <c r="K405" s="310"/>
      <c r="L405" s="310"/>
      <c r="M405" s="310"/>
      <c r="N405" s="310"/>
      <c r="O405" s="310"/>
      <c r="P405" s="15"/>
    </row>
    <row r="406" spans="1:16" ht="15">
      <c r="A406" s="517" t="s">
        <v>1667</v>
      </c>
      <c r="B406" s="517" t="s">
        <v>1668</v>
      </c>
      <c r="C406" s="544" t="s">
        <v>418</v>
      </c>
      <c r="D406" s="517" t="s">
        <v>1667</v>
      </c>
      <c r="E406" s="517" t="s">
        <v>1668</v>
      </c>
      <c r="F406" s="544" t="s">
        <v>418</v>
      </c>
      <c r="G406" s="517" t="s">
        <v>1667</v>
      </c>
      <c r="H406" s="517" t="s">
        <v>1668</v>
      </c>
      <c r="I406" s="544" t="s">
        <v>418</v>
      </c>
      <c r="J406" s="310"/>
      <c r="K406" s="310"/>
      <c r="L406" s="310"/>
      <c r="M406" s="310"/>
      <c r="N406" s="310"/>
      <c r="O406" s="310"/>
      <c r="P406" s="15"/>
    </row>
    <row r="407" spans="1:16" ht="15">
      <c r="A407" s="517" t="s">
        <v>35</v>
      </c>
      <c r="B407" s="517" t="s">
        <v>35</v>
      </c>
      <c r="C407" s="517" t="s">
        <v>35</v>
      </c>
      <c r="D407" s="517" t="s">
        <v>35</v>
      </c>
      <c r="E407" s="517" t="s">
        <v>35</v>
      </c>
      <c r="F407" s="517" t="s">
        <v>35</v>
      </c>
      <c r="G407" s="517" t="s">
        <v>35</v>
      </c>
      <c r="H407" s="517" t="s">
        <v>35</v>
      </c>
      <c r="I407" s="517" t="s">
        <v>35</v>
      </c>
      <c r="J407" s="310" t="s">
        <v>6469</v>
      </c>
      <c r="K407" s="310"/>
      <c r="L407" s="310"/>
      <c r="M407" s="310"/>
      <c r="N407" s="310"/>
      <c r="O407" s="310"/>
      <c r="P407" s="15"/>
    </row>
    <row r="408" spans="1:16" ht="45">
      <c r="A408" s="517" t="s">
        <v>35</v>
      </c>
      <c r="B408" s="517" t="s">
        <v>35</v>
      </c>
      <c r="C408" s="517" t="s">
        <v>35</v>
      </c>
      <c r="D408" s="517" t="s">
        <v>35</v>
      </c>
      <c r="E408" s="517" t="s">
        <v>35</v>
      </c>
      <c r="F408" s="517" t="s">
        <v>35</v>
      </c>
      <c r="G408" s="517" t="s">
        <v>35</v>
      </c>
      <c r="H408" s="517" t="s">
        <v>35</v>
      </c>
      <c r="I408" s="517" t="s">
        <v>35</v>
      </c>
      <c r="J408" s="519" t="s">
        <v>7213</v>
      </c>
      <c r="K408" s="310"/>
      <c r="L408" s="310"/>
      <c r="M408" s="310"/>
      <c r="N408" s="310"/>
      <c r="O408" s="310"/>
      <c r="P408" s="15"/>
    </row>
    <row r="409" spans="1:16" ht="15" customHeight="1">
      <c r="A409" s="527"/>
      <c r="B409" s="527"/>
      <c r="C409" s="210"/>
      <c r="D409" s="527"/>
      <c r="E409" s="527"/>
      <c r="F409" s="210"/>
      <c r="G409" s="527" t="s">
        <v>35</v>
      </c>
      <c r="H409" s="527" t="s">
        <v>35</v>
      </c>
      <c r="I409" s="210" t="s">
        <v>35</v>
      </c>
      <c r="J409" s="24" t="s">
        <v>6481</v>
      </c>
      <c r="K409" s="527"/>
      <c r="L409" s="527"/>
      <c r="M409" s="721"/>
      <c r="N409" s="310"/>
      <c r="O409" s="310"/>
      <c r="P409" s="15"/>
    </row>
    <row r="410" spans="1:16" ht="15">
      <c r="A410" s="527" t="s">
        <v>35</v>
      </c>
      <c r="B410" s="527" t="s">
        <v>35</v>
      </c>
      <c r="C410" s="210" t="s">
        <v>35</v>
      </c>
      <c r="D410" s="527" t="s">
        <v>35</v>
      </c>
      <c r="E410" s="527" t="s">
        <v>35</v>
      </c>
      <c r="F410" s="210" t="s">
        <v>35</v>
      </c>
      <c r="G410" s="527" t="s">
        <v>35</v>
      </c>
      <c r="H410" s="527" t="s">
        <v>35</v>
      </c>
      <c r="I410" s="210" t="s">
        <v>35</v>
      </c>
      <c r="J410" s="24" t="s">
        <v>7239</v>
      </c>
      <c r="K410" s="527"/>
      <c r="L410" s="527"/>
      <c r="M410" s="721"/>
      <c r="N410" s="310"/>
      <c r="O410" s="310"/>
      <c r="P410" s="15"/>
    </row>
    <row r="411" spans="1:16" ht="30">
      <c r="A411" s="527" t="s">
        <v>35</v>
      </c>
      <c r="B411" s="527" t="s">
        <v>35</v>
      </c>
      <c r="C411" s="527" t="s">
        <v>35</v>
      </c>
      <c r="D411" s="527" t="s">
        <v>35</v>
      </c>
      <c r="E411" s="527" t="s">
        <v>35</v>
      </c>
      <c r="F411" s="527" t="s">
        <v>35</v>
      </c>
      <c r="G411" s="210" t="s">
        <v>7237</v>
      </c>
      <c r="H411" s="210" t="s">
        <v>7238</v>
      </c>
      <c r="I411" s="210" t="s">
        <v>7238</v>
      </c>
      <c r="J411" s="24" t="s">
        <v>7240</v>
      </c>
      <c r="K411" s="527"/>
      <c r="L411" s="527"/>
      <c r="M411" s="721"/>
      <c r="N411" s="310"/>
      <c r="O411" s="310"/>
      <c r="P411" s="15"/>
    </row>
    <row r="412" spans="1:16" ht="90">
      <c r="A412" s="527" t="s">
        <v>35</v>
      </c>
      <c r="B412" s="527" t="s">
        <v>35</v>
      </c>
      <c r="C412" s="527" t="s">
        <v>35</v>
      </c>
      <c r="D412" s="527" t="s">
        <v>35</v>
      </c>
      <c r="E412" s="527" t="s">
        <v>35</v>
      </c>
      <c r="F412" s="527" t="s">
        <v>35</v>
      </c>
      <c r="G412" s="527" t="s">
        <v>35</v>
      </c>
      <c r="H412" s="527" t="s">
        <v>35</v>
      </c>
      <c r="I412" s="527" t="s">
        <v>35</v>
      </c>
      <c r="J412" s="536" t="s">
        <v>7241</v>
      </c>
      <c r="K412" s="527"/>
      <c r="L412" s="527"/>
      <c r="M412" s="721"/>
      <c r="N412" s="310"/>
      <c r="O412" s="310"/>
      <c r="P412" s="15"/>
    </row>
    <row r="413" spans="1:16">
      <c r="A413" s="15"/>
      <c r="B413" s="15"/>
      <c r="C413" s="15"/>
      <c r="D413" s="15"/>
      <c r="E413" s="15"/>
      <c r="F413" s="15"/>
      <c r="G413" s="15"/>
      <c r="H413" s="15"/>
      <c r="I413" s="14"/>
      <c r="J413" s="15"/>
      <c r="K413" s="15"/>
      <c r="L413" s="15"/>
      <c r="M413" s="15"/>
      <c r="N413" s="15"/>
      <c r="O413" s="15"/>
      <c r="P413" s="15"/>
    </row>
    <row r="414" spans="1:16" ht="22.5">
      <c r="A414" s="718" t="s">
        <v>665</v>
      </c>
      <c r="B414" s="718"/>
      <c r="C414" s="718"/>
      <c r="D414" s="718"/>
      <c r="E414" s="718"/>
      <c r="F414" s="718"/>
      <c r="G414" s="718"/>
      <c r="H414" s="718"/>
      <c r="I414" s="718"/>
      <c r="J414" s="718"/>
      <c r="K414" s="718"/>
      <c r="L414" s="718"/>
      <c r="M414" s="718"/>
      <c r="N414" s="718"/>
      <c r="O414" s="718"/>
      <c r="P414" s="718"/>
    </row>
    <row r="415" spans="1:16" ht="20.25">
      <c r="A415" s="725" t="s">
        <v>6280</v>
      </c>
      <c r="B415" s="725"/>
      <c r="C415" s="725"/>
      <c r="D415" s="725"/>
      <c r="E415" s="725"/>
      <c r="F415" s="725"/>
      <c r="G415" s="725"/>
      <c r="H415" s="725"/>
      <c r="I415" s="725"/>
      <c r="J415" s="725"/>
      <c r="K415" s="725"/>
      <c r="L415" s="725"/>
      <c r="M415" s="548"/>
      <c r="N415" s="548"/>
      <c r="O415" s="15"/>
      <c r="P415" s="15"/>
    </row>
    <row r="416" spans="1:16" ht="114">
      <c r="A416" s="18" t="s">
        <v>0</v>
      </c>
      <c r="B416" s="18" t="s">
        <v>1616</v>
      </c>
      <c r="C416" s="18" t="s">
        <v>1647</v>
      </c>
      <c r="D416" s="18" t="s">
        <v>1648</v>
      </c>
      <c r="E416" s="18" t="s">
        <v>6277</v>
      </c>
      <c r="F416" s="18" t="s">
        <v>1619</v>
      </c>
      <c r="G416" s="19" t="s">
        <v>1649</v>
      </c>
      <c r="H416" s="18" t="s">
        <v>6281</v>
      </c>
      <c r="I416" s="18" t="s">
        <v>1620</v>
      </c>
      <c r="J416" s="19" t="s">
        <v>1650</v>
      </c>
      <c r="K416" s="20" t="s">
        <v>1651</v>
      </c>
      <c r="L416" s="20" t="s">
        <v>1622</v>
      </c>
      <c r="M416" s="15"/>
      <c r="N416" s="15"/>
      <c r="O416" s="15"/>
      <c r="P416" s="310"/>
    </row>
    <row r="417" spans="1:16" ht="15">
      <c r="A417" s="530">
        <v>1</v>
      </c>
      <c r="B417" s="530">
        <v>2</v>
      </c>
      <c r="C417" s="530">
        <v>3</v>
      </c>
      <c r="D417" s="530">
        <v>4</v>
      </c>
      <c r="E417" s="530">
        <v>5</v>
      </c>
      <c r="F417" s="530">
        <v>6</v>
      </c>
      <c r="G417" s="530">
        <v>7</v>
      </c>
      <c r="H417" s="530">
        <v>8</v>
      </c>
      <c r="I417" s="19">
        <v>9</v>
      </c>
      <c r="J417" s="530">
        <v>10</v>
      </c>
      <c r="K417" s="530">
        <v>11</v>
      </c>
      <c r="L417" s="530">
        <v>12</v>
      </c>
      <c r="M417" s="15"/>
      <c r="N417" s="15"/>
      <c r="O417" s="15"/>
      <c r="P417" s="517"/>
    </row>
    <row r="418" spans="1:16" ht="30" customHeight="1">
      <c r="A418" s="497">
        <v>1</v>
      </c>
      <c r="B418" s="553" t="s">
        <v>6622</v>
      </c>
      <c r="C418" s="553" t="s">
        <v>6623</v>
      </c>
      <c r="D418" s="499" t="s">
        <v>2562</v>
      </c>
      <c r="E418" s="497">
        <v>2007.43</v>
      </c>
      <c r="F418" s="497" t="s">
        <v>2563</v>
      </c>
      <c r="G418" s="497" t="s">
        <v>17</v>
      </c>
      <c r="H418" s="497">
        <v>0.14000000000000001</v>
      </c>
      <c r="I418" s="497" t="s">
        <v>17</v>
      </c>
      <c r="J418" s="497" t="s">
        <v>17</v>
      </c>
      <c r="K418" s="497">
        <v>1</v>
      </c>
      <c r="L418" s="497"/>
      <c r="M418" s="15"/>
      <c r="N418" s="15"/>
      <c r="O418" s="15"/>
      <c r="P418" s="517"/>
    </row>
    <row r="419" spans="1:16" ht="30">
      <c r="A419" s="497">
        <v>2</v>
      </c>
      <c r="B419" s="553"/>
      <c r="C419" s="553"/>
      <c r="D419" s="498" t="s">
        <v>6624</v>
      </c>
      <c r="E419" s="497">
        <v>1981.55</v>
      </c>
      <c r="F419" s="497" t="s">
        <v>6625</v>
      </c>
      <c r="G419" s="497" t="s">
        <v>17</v>
      </c>
      <c r="H419" s="497">
        <v>1.97</v>
      </c>
      <c r="I419" s="497" t="s">
        <v>17</v>
      </c>
      <c r="J419" s="497" t="s">
        <v>17</v>
      </c>
      <c r="K419" s="497">
        <v>2</v>
      </c>
      <c r="L419" s="497"/>
      <c r="M419" s="15"/>
      <c r="N419" s="15"/>
      <c r="O419" s="15"/>
      <c r="P419" s="517"/>
    </row>
    <row r="420" spans="1:16" ht="30">
      <c r="A420" s="497">
        <v>3</v>
      </c>
      <c r="B420" s="553"/>
      <c r="C420" s="553"/>
      <c r="D420" s="499" t="s">
        <v>2565</v>
      </c>
      <c r="E420" s="497">
        <v>3259.29</v>
      </c>
      <c r="F420" s="497">
        <v>1998</v>
      </c>
      <c r="G420" s="497" t="s">
        <v>17</v>
      </c>
      <c r="H420" s="497">
        <v>3</v>
      </c>
      <c r="I420" s="497" t="s">
        <v>17</v>
      </c>
      <c r="J420" s="497" t="s">
        <v>17</v>
      </c>
      <c r="K420" s="497">
        <v>3</v>
      </c>
      <c r="L420" s="497"/>
      <c r="M420" s="15"/>
      <c r="N420" s="15"/>
      <c r="O420" s="15"/>
      <c r="P420" s="517"/>
    </row>
    <row r="421" spans="1:16" ht="30">
      <c r="A421" s="497">
        <v>4</v>
      </c>
      <c r="B421" s="553"/>
      <c r="C421" s="553"/>
      <c r="D421" s="499" t="s">
        <v>2566</v>
      </c>
      <c r="E421" s="497">
        <v>7756.3</v>
      </c>
      <c r="F421" s="497" t="s">
        <v>2567</v>
      </c>
      <c r="G421" s="497" t="s">
        <v>17</v>
      </c>
      <c r="H421" s="497">
        <v>37.700000000000003</v>
      </c>
      <c r="I421" s="497" t="s">
        <v>17</v>
      </c>
      <c r="J421" s="497" t="s">
        <v>6626</v>
      </c>
      <c r="K421" s="497">
        <v>4</v>
      </c>
      <c r="L421" s="497"/>
      <c r="M421" s="15"/>
      <c r="N421" s="15"/>
      <c r="O421" s="15"/>
      <c r="P421" s="517"/>
    </row>
    <row r="422" spans="1:16" ht="30">
      <c r="A422" s="497">
        <v>5</v>
      </c>
      <c r="B422" s="553"/>
      <c r="C422" s="553"/>
      <c r="D422" s="499" t="s">
        <v>6627</v>
      </c>
      <c r="E422" s="497">
        <v>1852</v>
      </c>
      <c r="F422" s="497" t="s">
        <v>2563</v>
      </c>
      <c r="G422" s="497" t="s">
        <v>17</v>
      </c>
      <c r="H422" s="497">
        <v>0.14000000000000001</v>
      </c>
      <c r="I422" s="497" t="s">
        <v>17</v>
      </c>
      <c r="J422" s="497" t="s">
        <v>17</v>
      </c>
      <c r="K422" s="497">
        <v>5</v>
      </c>
      <c r="L422" s="497"/>
      <c r="M422" s="15"/>
      <c r="N422" s="15"/>
      <c r="O422" s="15"/>
      <c r="P422" s="517"/>
    </row>
    <row r="423" spans="1:16" ht="30">
      <c r="A423" s="497">
        <v>6</v>
      </c>
      <c r="B423" s="553"/>
      <c r="C423" s="553" t="s">
        <v>6628</v>
      </c>
      <c r="D423" s="499" t="s">
        <v>6629</v>
      </c>
      <c r="E423" s="500">
        <v>2180</v>
      </c>
      <c r="F423" s="500" t="s">
        <v>6630</v>
      </c>
      <c r="G423" s="497"/>
      <c r="H423" s="497"/>
      <c r="I423" s="497"/>
      <c r="J423" s="497"/>
      <c r="K423" s="497"/>
      <c r="L423" s="497"/>
      <c r="M423" s="15"/>
      <c r="N423" s="15"/>
      <c r="O423" s="15"/>
      <c r="P423" s="517"/>
    </row>
    <row r="424" spans="1:16" ht="30">
      <c r="A424" s="497">
        <v>7</v>
      </c>
      <c r="B424" s="553"/>
      <c r="C424" s="553"/>
      <c r="D424" s="499" t="s">
        <v>6631</v>
      </c>
      <c r="E424" s="500">
        <v>6716.82</v>
      </c>
      <c r="F424" s="500" t="s">
        <v>6632</v>
      </c>
      <c r="G424" s="497"/>
      <c r="H424" s="497">
        <v>0.12</v>
      </c>
      <c r="I424" s="497"/>
      <c r="J424" s="497"/>
      <c r="K424" s="497"/>
      <c r="L424" s="497"/>
      <c r="M424" s="15"/>
      <c r="N424" s="15"/>
      <c r="O424" s="15"/>
      <c r="P424" s="517"/>
    </row>
    <row r="425" spans="1:16" ht="30">
      <c r="A425" s="497">
        <v>8</v>
      </c>
      <c r="B425" s="553"/>
      <c r="C425" s="553"/>
      <c r="D425" s="499" t="s">
        <v>6633</v>
      </c>
      <c r="E425" s="500">
        <v>13881.1</v>
      </c>
      <c r="F425" s="497" t="s">
        <v>6634</v>
      </c>
      <c r="G425" s="497"/>
      <c r="H425" s="497">
        <v>6.65</v>
      </c>
      <c r="I425" s="497"/>
      <c r="J425" s="497"/>
      <c r="K425" s="497"/>
      <c r="L425" s="497"/>
      <c r="M425" s="15"/>
      <c r="N425" s="15"/>
      <c r="O425" s="15"/>
      <c r="P425" s="517"/>
    </row>
    <row r="426" spans="1:16" ht="30">
      <c r="A426" s="497">
        <v>9</v>
      </c>
      <c r="B426" s="553"/>
      <c r="C426" s="553"/>
      <c r="D426" s="499" t="s">
        <v>6635</v>
      </c>
      <c r="E426" s="500">
        <v>434</v>
      </c>
      <c r="F426" s="500" t="s">
        <v>7327</v>
      </c>
      <c r="G426" s="497"/>
      <c r="H426" s="497"/>
      <c r="I426" s="497"/>
      <c r="J426" s="497"/>
      <c r="K426" s="497"/>
      <c r="L426" s="497"/>
      <c r="M426" s="15"/>
      <c r="N426" s="15"/>
      <c r="O426" s="15"/>
      <c r="P426" s="517"/>
    </row>
    <row r="427" spans="1:16" ht="75">
      <c r="A427" s="497">
        <v>10</v>
      </c>
      <c r="B427" s="553"/>
      <c r="C427" s="553"/>
      <c r="D427" s="499" t="s">
        <v>6636</v>
      </c>
      <c r="E427" s="497">
        <v>966.62</v>
      </c>
      <c r="F427" s="497" t="s">
        <v>2545</v>
      </c>
      <c r="G427" s="497">
        <v>1987</v>
      </c>
      <c r="H427" s="500" t="s">
        <v>6637</v>
      </c>
      <c r="I427" s="497">
        <v>4750</v>
      </c>
      <c r="J427" s="497" t="s">
        <v>26</v>
      </c>
      <c r="K427" s="497">
        <v>1</v>
      </c>
      <c r="L427" s="497">
        <v>2</v>
      </c>
      <c r="M427" s="15"/>
      <c r="N427" s="15"/>
      <c r="O427" s="15"/>
      <c r="P427" s="517"/>
    </row>
    <row r="428" spans="1:16" ht="30">
      <c r="A428" s="497">
        <v>11</v>
      </c>
      <c r="B428" s="553"/>
      <c r="C428" s="553" t="s">
        <v>6638</v>
      </c>
      <c r="D428" s="499" t="s">
        <v>2570</v>
      </c>
      <c r="E428" s="500">
        <v>3714</v>
      </c>
      <c r="F428" s="500">
        <v>1952</v>
      </c>
      <c r="G428" s="500" t="s">
        <v>87</v>
      </c>
      <c r="H428" s="500">
        <v>5.8000000000000003E-2</v>
      </c>
      <c r="I428" s="500" t="s">
        <v>193</v>
      </c>
      <c r="J428" s="500" t="s">
        <v>26</v>
      </c>
      <c r="K428" s="500">
        <v>1</v>
      </c>
      <c r="L428" s="500">
        <v>1</v>
      </c>
      <c r="M428" s="15"/>
      <c r="N428" s="15"/>
      <c r="O428" s="15"/>
      <c r="P428" s="517"/>
    </row>
    <row r="429" spans="1:16" ht="30">
      <c r="A429" s="497">
        <v>12</v>
      </c>
      <c r="B429" s="553"/>
      <c r="C429" s="553"/>
      <c r="D429" s="499" t="s">
        <v>6639</v>
      </c>
      <c r="E429" s="500" t="s">
        <v>193</v>
      </c>
      <c r="F429" s="500" t="s">
        <v>193</v>
      </c>
      <c r="G429" s="500" t="s">
        <v>193</v>
      </c>
      <c r="H429" s="500" t="s">
        <v>193</v>
      </c>
      <c r="I429" s="500" t="s">
        <v>193</v>
      </c>
      <c r="J429" s="500" t="s">
        <v>193</v>
      </c>
      <c r="K429" s="500">
        <v>1</v>
      </c>
      <c r="L429" s="500">
        <v>1</v>
      </c>
      <c r="M429" s="15"/>
      <c r="N429" s="15"/>
      <c r="O429" s="15"/>
      <c r="P429" s="517"/>
    </row>
    <row r="430" spans="1:16" ht="30">
      <c r="A430" s="497">
        <v>13</v>
      </c>
      <c r="B430" s="553"/>
      <c r="C430" s="499" t="s">
        <v>2550</v>
      </c>
      <c r="D430" s="499" t="s">
        <v>6640</v>
      </c>
      <c r="E430" s="500">
        <v>10120</v>
      </c>
      <c r="F430" s="253">
        <v>35400</v>
      </c>
      <c r="G430" s="500" t="s">
        <v>35</v>
      </c>
      <c r="H430" s="500">
        <v>2.3719000000000001</v>
      </c>
      <c r="I430" s="500"/>
      <c r="J430" s="500"/>
      <c r="K430" s="500">
        <v>1</v>
      </c>
      <c r="L430" s="500"/>
      <c r="M430" s="15"/>
      <c r="N430" s="15"/>
      <c r="O430" s="15"/>
      <c r="P430" s="517"/>
    </row>
    <row r="431" spans="1:16" ht="30">
      <c r="A431" s="497">
        <v>14</v>
      </c>
      <c r="B431" s="553"/>
      <c r="C431" s="499" t="s">
        <v>6641</v>
      </c>
      <c r="D431" s="499" t="s">
        <v>6642</v>
      </c>
      <c r="E431" s="500"/>
      <c r="F431" s="253"/>
      <c r="G431" s="500"/>
      <c r="H431" s="500"/>
      <c r="I431" s="500" t="s">
        <v>2580</v>
      </c>
      <c r="J431" s="512"/>
      <c r="K431" s="500"/>
      <c r="L431" s="500"/>
      <c r="M431" s="15"/>
      <c r="N431" s="15"/>
      <c r="O431" s="15"/>
      <c r="P431" s="517"/>
    </row>
    <row r="432" spans="1:16" ht="15">
      <c r="A432" s="600"/>
      <c r="B432" s="600"/>
      <c r="C432" s="600"/>
      <c r="D432" s="600"/>
      <c r="E432" s="600"/>
      <c r="F432" s="600"/>
      <c r="G432" s="600"/>
      <c r="H432" s="600"/>
      <c r="I432" s="600"/>
      <c r="J432" s="600"/>
      <c r="K432" s="600"/>
      <c r="L432" s="600"/>
      <c r="M432" s="600"/>
      <c r="N432" s="600"/>
      <c r="O432" s="600"/>
      <c r="P432" s="600"/>
    </row>
    <row r="433" spans="1:16" ht="57">
      <c r="A433" s="720" t="s">
        <v>1661</v>
      </c>
      <c r="B433" s="720"/>
      <c r="C433" s="720"/>
      <c r="D433" s="720"/>
      <c r="E433" s="720"/>
      <c r="F433" s="720"/>
      <c r="G433" s="720"/>
      <c r="H433" s="720"/>
      <c r="I433" s="720"/>
      <c r="J433" s="720"/>
      <c r="K433" s="720"/>
      <c r="L433" s="720"/>
      <c r="M433" s="720"/>
      <c r="N433" s="720"/>
      <c r="O433" s="720"/>
      <c r="P433" s="143" t="s">
        <v>1623</v>
      </c>
    </row>
    <row r="434" spans="1:16">
      <c r="A434" s="720">
        <v>13</v>
      </c>
      <c r="B434" s="720"/>
      <c r="C434" s="720"/>
      <c r="D434" s="720"/>
      <c r="E434" s="720"/>
      <c r="F434" s="720"/>
      <c r="G434" s="720"/>
      <c r="H434" s="720"/>
      <c r="I434" s="720"/>
      <c r="J434" s="720"/>
      <c r="K434" s="720"/>
      <c r="L434" s="720"/>
      <c r="M434" s="720"/>
      <c r="N434" s="720"/>
      <c r="O434" s="720"/>
      <c r="P434" s="18">
        <v>14</v>
      </c>
    </row>
    <row r="435" spans="1:16" ht="15">
      <c r="A435" s="720" t="s">
        <v>1662</v>
      </c>
      <c r="B435" s="720"/>
      <c r="C435" s="720"/>
      <c r="D435" s="720" t="s">
        <v>1663</v>
      </c>
      <c r="E435" s="720"/>
      <c r="F435" s="720"/>
      <c r="G435" s="720" t="s">
        <v>1664</v>
      </c>
      <c r="H435" s="720"/>
      <c r="I435" s="720"/>
      <c r="J435" s="720" t="s">
        <v>1665</v>
      </c>
      <c r="K435" s="720"/>
      <c r="L435" s="720"/>
      <c r="M435" s="720" t="s">
        <v>1666</v>
      </c>
      <c r="N435" s="720"/>
      <c r="O435" s="720"/>
      <c r="P435" s="310"/>
    </row>
    <row r="436" spans="1:16" ht="15">
      <c r="A436" s="517" t="s">
        <v>1667</v>
      </c>
      <c r="B436" s="517" t="s">
        <v>1668</v>
      </c>
      <c r="C436" s="544" t="s">
        <v>418</v>
      </c>
      <c r="D436" s="517" t="s">
        <v>1667</v>
      </c>
      <c r="E436" s="517" t="s">
        <v>1668</v>
      </c>
      <c r="F436" s="544" t="s">
        <v>418</v>
      </c>
      <c r="G436" s="517" t="s">
        <v>1667</v>
      </c>
      <c r="H436" s="517" t="s">
        <v>1668</v>
      </c>
      <c r="I436" s="544" t="s">
        <v>418</v>
      </c>
      <c r="J436" s="517" t="s">
        <v>1667</v>
      </c>
      <c r="K436" s="517" t="s">
        <v>1668</v>
      </c>
      <c r="L436" s="544" t="s">
        <v>418</v>
      </c>
      <c r="M436" s="517" t="s">
        <v>1667</v>
      </c>
      <c r="N436" s="517" t="s">
        <v>1668</v>
      </c>
      <c r="O436" s="544" t="s">
        <v>418</v>
      </c>
      <c r="P436" s="15"/>
    </row>
    <row r="437" spans="1:16" ht="30">
      <c r="A437" s="500">
        <v>5</v>
      </c>
      <c r="B437" s="500">
        <v>0</v>
      </c>
      <c r="C437" s="500">
        <v>1</v>
      </c>
      <c r="D437" s="500">
        <v>48</v>
      </c>
      <c r="E437" s="500">
        <v>48</v>
      </c>
      <c r="F437" s="500">
        <v>38</v>
      </c>
      <c r="G437" s="500">
        <v>122</v>
      </c>
      <c r="H437" s="500">
        <v>122</v>
      </c>
      <c r="I437" s="500">
        <v>115</v>
      </c>
      <c r="J437" s="500">
        <v>27</v>
      </c>
      <c r="K437" s="500">
        <v>15</v>
      </c>
      <c r="L437" s="500">
        <v>10</v>
      </c>
      <c r="M437" s="500">
        <v>10</v>
      </c>
      <c r="N437" s="500">
        <v>10</v>
      </c>
      <c r="O437" s="500">
        <v>9</v>
      </c>
      <c r="P437" s="500" t="s">
        <v>6643</v>
      </c>
    </row>
    <row r="438" spans="1:16" ht="15" customHeight="1">
      <c r="A438" s="500">
        <v>42</v>
      </c>
      <c r="B438" s="500">
        <v>11</v>
      </c>
      <c r="C438" s="500">
        <v>0</v>
      </c>
      <c r="D438" s="500">
        <v>86</v>
      </c>
      <c r="E438" s="500">
        <v>86</v>
      </c>
      <c r="F438" s="500">
        <v>25</v>
      </c>
      <c r="G438" s="500">
        <v>124</v>
      </c>
      <c r="H438" s="500">
        <v>124</v>
      </c>
      <c r="I438" s="500">
        <v>52</v>
      </c>
      <c r="J438" s="500">
        <v>55</v>
      </c>
      <c r="K438" s="500">
        <v>55</v>
      </c>
      <c r="L438" s="500">
        <v>15</v>
      </c>
      <c r="M438" s="500">
        <v>9</v>
      </c>
      <c r="N438" s="500">
        <v>9</v>
      </c>
      <c r="O438" s="500">
        <v>6</v>
      </c>
      <c r="P438" s="694" t="s">
        <v>6647</v>
      </c>
    </row>
    <row r="439" spans="1:16" ht="60.75" customHeight="1">
      <c r="A439" s="500">
        <v>8</v>
      </c>
      <c r="B439" s="500">
        <v>8</v>
      </c>
      <c r="C439" s="500">
        <v>2</v>
      </c>
      <c r="D439" s="500">
        <v>9</v>
      </c>
      <c r="E439" s="500">
        <v>9</v>
      </c>
      <c r="F439" s="500">
        <v>1</v>
      </c>
      <c r="G439" s="500">
        <v>14</v>
      </c>
      <c r="H439" s="500">
        <v>14</v>
      </c>
      <c r="I439" s="500">
        <v>5</v>
      </c>
      <c r="J439" s="500">
        <v>3</v>
      </c>
      <c r="K439" s="500">
        <v>3</v>
      </c>
      <c r="L439" s="500">
        <v>1</v>
      </c>
      <c r="M439" s="595" t="s">
        <v>302</v>
      </c>
      <c r="N439" s="595"/>
      <c r="O439" s="595"/>
      <c r="P439" s="694"/>
    </row>
    <row r="440" spans="1:16" ht="15">
      <c r="A440" s="513">
        <v>16</v>
      </c>
      <c r="B440" s="513" t="s">
        <v>2518</v>
      </c>
      <c r="C440" s="513" t="s">
        <v>2518</v>
      </c>
      <c r="D440" s="513">
        <v>28</v>
      </c>
      <c r="E440" s="513">
        <v>28</v>
      </c>
      <c r="F440" s="513">
        <v>28</v>
      </c>
      <c r="G440" s="513">
        <v>20</v>
      </c>
      <c r="H440" s="513">
        <v>19</v>
      </c>
      <c r="I440" s="513">
        <v>19</v>
      </c>
      <c r="J440" s="513">
        <v>4</v>
      </c>
      <c r="K440" s="513">
        <v>4</v>
      </c>
      <c r="L440" s="513">
        <v>4</v>
      </c>
      <c r="M440" s="513" t="s">
        <v>2518</v>
      </c>
      <c r="N440" s="513" t="s">
        <v>2518</v>
      </c>
      <c r="O440" s="513" t="s">
        <v>2518</v>
      </c>
      <c r="P440" s="694" t="s">
        <v>6648</v>
      </c>
    </row>
    <row r="441" spans="1:16" ht="105" customHeight="1">
      <c r="A441" s="513" t="s">
        <v>2518</v>
      </c>
      <c r="B441" s="513" t="s">
        <v>2518</v>
      </c>
      <c r="C441" s="513" t="s">
        <v>2518</v>
      </c>
      <c r="D441" s="513" t="s">
        <v>2518</v>
      </c>
      <c r="E441" s="513" t="s">
        <v>2518</v>
      </c>
      <c r="F441" s="513" t="s">
        <v>2518</v>
      </c>
      <c r="G441" s="513" t="s">
        <v>2518</v>
      </c>
      <c r="H441" s="513" t="s">
        <v>2518</v>
      </c>
      <c r="I441" s="513" t="s">
        <v>2518</v>
      </c>
      <c r="J441" s="513">
        <v>4</v>
      </c>
      <c r="K441" s="513">
        <v>4</v>
      </c>
      <c r="L441" s="513">
        <v>3</v>
      </c>
      <c r="M441" s="513">
        <v>2</v>
      </c>
      <c r="N441" s="513">
        <v>2</v>
      </c>
      <c r="O441" s="513">
        <v>2</v>
      </c>
      <c r="P441" s="694"/>
    </row>
    <row r="442" spans="1:16" ht="15">
      <c r="A442" s="513">
        <v>16</v>
      </c>
      <c r="B442" s="513"/>
      <c r="C442" s="513">
        <v>1</v>
      </c>
      <c r="D442" s="513">
        <v>8</v>
      </c>
      <c r="E442" s="513"/>
      <c r="F442" s="513">
        <v>1</v>
      </c>
      <c r="G442" s="513">
        <v>32</v>
      </c>
      <c r="H442" s="513"/>
      <c r="I442" s="513">
        <v>15</v>
      </c>
      <c r="J442" s="513">
        <v>4</v>
      </c>
      <c r="K442" s="513"/>
      <c r="L442" s="513">
        <v>4</v>
      </c>
      <c r="M442" s="513">
        <v>1</v>
      </c>
      <c r="N442" s="513"/>
      <c r="O442" s="513">
        <v>1</v>
      </c>
      <c r="P442" s="513" t="s">
        <v>6646</v>
      </c>
    </row>
    <row r="443" spans="1:16" ht="15">
      <c r="A443" s="720" t="s">
        <v>1670</v>
      </c>
      <c r="B443" s="720"/>
      <c r="C443" s="720"/>
      <c r="D443" s="720" t="s">
        <v>1671</v>
      </c>
      <c r="E443" s="720"/>
      <c r="F443" s="720"/>
      <c r="G443" s="720" t="s">
        <v>1672</v>
      </c>
      <c r="H443" s="720"/>
      <c r="I443" s="720"/>
      <c r="J443" s="310"/>
      <c r="K443" s="310"/>
      <c r="L443" s="310"/>
      <c r="M443" s="310"/>
      <c r="N443" s="310"/>
      <c r="O443" s="310"/>
      <c r="P443" s="15"/>
    </row>
    <row r="444" spans="1:16" ht="15">
      <c r="A444" s="517" t="s">
        <v>1667</v>
      </c>
      <c r="B444" s="517" t="s">
        <v>1668</v>
      </c>
      <c r="C444" s="544" t="s">
        <v>418</v>
      </c>
      <c r="D444" s="517" t="s">
        <v>1667</v>
      </c>
      <c r="E444" s="517" t="s">
        <v>1668</v>
      </c>
      <c r="F444" s="544" t="s">
        <v>418</v>
      </c>
      <c r="G444" s="517" t="s">
        <v>1667</v>
      </c>
      <c r="H444" s="517" t="s">
        <v>1668</v>
      </c>
      <c r="I444" s="544" t="s">
        <v>418</v>
      </c>
      <c r="J444" s="310"/>
      <c r="K444" s="310"/>
      <c r="L444" s="310"/>
      <c r="M444" s="310"/>
      <c r="N444" s="310"/>
      <c r="O444" s="310"/>
      <c r="P444" s="15"/>
    </row>
    <row r="445" spans="1:16" ht="15">
      <c r="A445" s="497">
        <v>7</v>
      </c>
      <c r="B445" s="497">
        <v>7</v>
      </c>
      <c r="C445" s="497">
        <v>6</v>
      </c>
      <c r="D445" s="497">
        <v>0</v>
      </c>
      <c r="E445" s="497">
        <v>0</v>
      </c>
      <c r="F445" s="497">
        <v>0</v>
      </c>
      <c r="G445" s="497">
        <v>0</v>
      </c>
      <c r="H445" s="497">
        <v>0</v>
      </c>
      <c r="I445" s="497">
        <v>0</v>
      </c>
      <c r="J445" s="500" t="s">
        <v>6643</v>
      </c>
      <c r="K445" s="310"/>
      <c r="L445" s="310"/>
      <c r="M445" s="310"/>
      <c r="N445" s="310"/>
      <c r="O445" s="310"/>
      <c r="P445" s="15"/>
    </row>
    <row r="446" spans="1:16" ht="15">
      <c r="A446" s="497">
        <v>2</v>
      </c>
      <c r="B446" s="497">
        <v>2</v>
      </c>
      <c r="C446" s="497">
        <v>0</v>
      </c>
      <c r="D446" s="497"/>
      <c r="E446" s="497"/>
      <c r="F446" s="497"/>
      <c r="G446" s="497"/>
      <c r="H446" s="497"/>
      <c r="I446" s="497"/>
      <c r="J446" s="595" t="s">
        <v>6644</v>
      </c>
      <c r="K446" s="310"/>
      <c r="L446" s="310"/>
      <c r="M446" s="310"/>
      <c r="N446" s="310"/>
      <c r="O446" s="310"/>
      <c r="P446" s="15"/>
    </row>
    <row r="447" spans="1:16" ht="15">
      <c r="A447" s="600" t="s">
        <v>302</v>
      </c>
      <c r="B447" s="600"/>
      <c r="C447" s="600"/>
      <c r="D447" s="517"/>
      <c r="E447" s="517"/>
      <c r="F447" s="544"/>
      <c r="G447" s="517"/>
      <c r="H447" s="517"/>
      <c r="I447" s="544"/>
      <c r="J447" s="595"/>
      <c r="K447" s="310"/>
      <c r="L447" s="310"/>
      <c r="M447" s="310"/>
      <c r="N447" s="310"/>
      <c r="O447" s="310"/>
      <c r="P447" s="15"/>
    </row>
    <row r="448" spans="1:16" ht="15">
      <c r="A448" s="512" t="s">
        <v>2518</v>
      </c>
      <c r="B448" s="512" t="s">
        <v>2518</v>
      </c>
      <c r="C448" s="512" t="s">
        <v>2518</v>
      </c>
      <c r="D448" s="512" t="s">
        <v>2518</v>
      </c>
      <c r="E448" s="512" t="s">
        <v>2518</v>
      </c>
      <c r="F448" s="512" t="s">
        <v>2518</v>
      </c>
      <c r="G448" s="512" t="s">
        <v>2518</v>
      </c>
      <c r="H448" s="512" t="s">
        <v>2518</v>
      </c>
      <c r="I448" s="512" t="s">
        <v>2518</v>
      </c>
      <c r="J448" s="694" t="s">
        <v>6645</v>
      </c>
      <c r="K448" s="310"/>
      <c r="L448" s="310"/>
      <c r="M448" s="310"/>
      <c r="N448" s="310"/>
      <c r="O448" s="310"/>
      <c r="P448" s="15"/>
    </row>
    <row r="449" spans="1:16" ht="15">
      <c r="A449" s="512" t="s">
        <v>2518</v>
      </c>
      <c r="B449" s="512" t="s">
        <v>2518</v>
      </c>
      <c r="C449" s="512" t="s">
        <v>2518</v>
      </c>
      <c r="D449" s="512" t="s">
        <v>2518</v>
      </c>
      <c r="E449" s="512" t="s">
        <v>2518</v>
      </c>
      <c r="F449" s="512" t="s">
        <v>2518</v>
      </c>
      <c r="G449" s="512" t="s">
        <v>2518</v>
      </c>
      <c r="H449" s="512" t="s">
        <v>2518</v>
      </c>
      <c r="I449" s="512" t="s">
        <v>2518</v>
      </c>
      <c r="J449" s="694"/>
      <c r="K449" s="310"/>
      <c r="L449" s="310"/>
      <c r="M449" s="310"/>
      <c r="N449" s="310"/>
      <c r="O449" s="310"/>
      <c r="P449" s="15"/>
    </row>
    <row r="450" spans="1:16" ht="15">
      <c r="A450" s="512">
        <v>0</v>
      </c>
      <c r="B450" s="512">
        <v>0</v>
      </c>
      <c r="C450" s="512">
        <v>0</v>
      </c>
      <c r="D450" s="512">
        <v>0</v>
      </c>
      <c r="E450" s="512">
        <v>0</v>
      </c>
      <c r="F450" s="512">
        <v>0</v>
      </c>
      <c r="G450" s="512">
        <v>0</v>
      </c>
      <c r="H450" s="512">
        <v>0</v>
      </c>
      <c r="I450" s="512">
        <v>0</v>
      </c>
      <c r="J450" s="512" t="s">
        <v>6646</v>
      </c>
      <c r="K450" s="310"/>
      <c r="L450" s="310"/>
      <c r="M450" s="310"/>
      <c r="N450" s="310"/>
      <c r="O450" s="310"/>
      <c r="P450" s="15"/>
    </row>
    <row r="451" spans="1:16">
      <c r="A451" s="15"/>
      <c r="B451" s="15"/>
      <c r="C451" s="15"/>
      <c r="D451" s="15"/>
      <c r="E451" s="15"/>
      <c r="F451" s="15"/>
      <c r="G451" s="15"/>
      <c r="H451" s="15"/>
      <c r="I451" s="14"/>
      <c r="J451" s="15"/>
      <c r="K451" s="15"/>
      <c r="L451" s="15"/>
      <c r="M451" s="15"/>
      <c r="N451" s="15"/>
      <c r="O451" s="15"/>
      <c r="P451" s="15"/>
    </row>
    <row r="452" spans="1:16" ht="22.5">
      <c r="A452" s="718" t="s">
        <v>666</v>
      </c>
      <c r="B452" s="718"/>
      <c r="C452" s="718"/>
      <c r="D452" s="718"/>
      <c r="E452" s="718"/>
      <c r="F452" s="718"/>
      <c r="G452" s="718"/>
      <c r="H452" s="718"/>
      <c r="I452" s="718"/>
      <c r="J452" s="718"/>
      <c r="K452" s="718"/>
      <c r="L452" s="718"/>
      <c r="M452" s="718"/>
      <c r="N452" s="718"/>
      <c r="O452" s="718"/>
      <c r="P452" s="718"/>
    </row>
    <row r="453" spans="1:16" ht="20.25">
      <c r="A453" s="725" t="s">
        <v>6280</v>
      </c>
      <c r="B453" s="725"/>
      <c r="C453" s="725"/>
      <c r="D453" s="725"/>
      <c r="E453" s="725"/>
      <c r="F453" s="725"/>
      <c r="G453" s="725"/>
      <c r="H453" s="725"/>
      <c r="I453" s="725"/>
      <c r="J453" s="725"/>
      <c r="K453" s="725"/>
      <c r="L453" s="725"/>
      <c r="M453" s="548"/>
      <c r="N453" s="548"/>
      <c r="O453" s="15"/>
      <c r="P453" s="15"/>
    </row>
    <row r="454" spans="1:16" ht="114">
      <c r="A454" s="18" t="s">
        <v>0</v>
      </c>
      <c r="B454" s="18" t="s">
        <v>1616</v>
      </c>
      <c r="C454" s="18" t="s">
        <v>1647</v>
      </c>
      <c r="D454" s="18" t="s">
        <v>1648</v>
      </c>
      <c r="E454" s="18" t="s">
        <v>6277</v>
      </c>
      <c r="F454" s="18" t="s">
        <v>1619</v>
      </c>
      <c r="G454" s="19" t="s">
        <v>1649</v>
      </c>
      <c r="H454" s="18" t="s">
        <v>6281</v>
      </c>
      <c r="I454" s="18" t="s">
        <v>1620</v>
      </c>
      <c r="J454" s="19" t="s">
        <v>1650</v>
      </c>
      <c r="K454" s="20" t="s">
        <v>1651</v>
      </c>
      <c r="L454" s="20" t="s">
        <v>1622</v>
      </c>
      <c r="M454" s="15"/>
      <c r="N454" s="15"/>
      <c r="O454" s="15"/>
      <c r="P454" s="310"/>
    </row>
    <row r="455" spans="1:16" ht="15">
      <c r="A455" s="530">
        <v>1</v>
      </c>
      <c r="B455" s="530">
        <v>2</v>
      </c>
      <c r="C455" s="530">
        <v>3</v>
      </c>
      <c r="D455" s="530">
        <v>4</v>
      </c>
      <c r="E455" s="530">
        <v>5</v>
      </c>
      <c r="F455" s="530">
        <v>6</v>
      </c>
      <c r="G455" s="530">
        <v>7</v>
      </c>
      <c r="H455" s="530">
        <v>8</v>
      </c>
      <c r="I455" s="19">
        <v>9</v>
      </c>
      <c r="J455" s="530">
        <v>10</v>
      </c>
      <c r="K455" s="530">
        <v>11</v>
      </c>
      <c r="L455" s="530">
        <v>12</v>
      </c>
      <c r="M455" s="15"/>
      <c r="N455" s="15"/>
      <c r="O455" s="15"/>
      <c r="P455" s="517"/>
    </row>
    <row r="456" spans="1:16" ht="90">
      <c r="A456" s="513">
        <v>1</v>
      </c>
      <c r="B456" s="696" t="s">
        <v>2603</v>
      </c>
      <c r="C456" s="511" t="s">
        <v>808</v>
      </c>
      <c r="D456" s="511" t="s">
        <v>6649</v>
      </c>
      <c r="E456" s="513">
        <v>2355.34</v>
      </c>
      <c r="F456" s="513" t="s">
        <v>17</v>
      </c>
      <c r="G456" s="513" t="s">
        <v>6650</v>
      </c>
      <c r="H456" s="513">
        <v>1.32</v>
      </c>
      <c r="I456" s="513" t="s">
        <v>17</v>
      </c>
      <c r="J456" s="513" t="s">
        <v>35</v>
      </c>
      <c r="K456" s="513" t="s">
        <v>17</v>
      </c>
      <c r="L456" s="513" t="s">
        <v>17</v>
      </c>
      <c r="M456" s="15"/>
      <c r="N456" s="15"/>
      <c r="O456" s="15"/>
      <c r="P456" s="517"/>
    </row>
    <row r="457" spans="1:16" ht="60">
      <c r="A457" s="513">
        <v>2</v>
      </c>
      <c r="B457" s="696"/>
      <c r="C457" s="511" t="s">
        <v>816</v>
      </c>
      <c r="D457" s="511" t="s">
        <v>6665</v>
      </c>
      <c r="E457" s="513">
        <v>2520</v>
      </c>
      <c r="F457" s="513" t="s">
        <v>35</v>
      </c>
      <c r="G457" s="513">
        <v>1983</v>
      </c>
      <c r="H457" s="513" t="s">
        <v>352</v>
      </c>
      <c r="I457" s="513" t="s">
        <v>6651</v>
      </c>
      <c r="J457" s="513" t="s">
        <v>6652</v>
      </c>
      <c r="K457" s="513">
        <v>1</v>
      </c>
      <c r="L457" s="513" t="s">
        <v>17</v>
      </c>
      <c r="M457" s="15"/>
      <c r="N457" s="15"/>
      <c r="O457" s="15"/>
      <c r="P457" s="517"/>
    </row>
    <row r="458" spans="1:16" ht="30">
      <c r="A458" s="513">
        <v>3</v>
      </c>
      <c r="B458" s="696"/>
      <c r="C458" s="696" t="s">
        <v>2140</v>
      </c>
      <c r="D458" s="511" t="s">
        <v>6653</v>
      </c>
      <c r="E458" s="513">
        <v>1988.58</v>
      </c>
      <c r="F458" s="513" t="s">
        <v>17</v>
      </c>
      <c r="G458" s="513" t="s">
        <v>2143</v>
      </c>
      <c r="H458" s="513">
        <v>4.62</v>
      </c>
      <c r="I458" s="513" t="s">
        <v>2144</v>
      </c>
      <c r="J458" s="513" t="s">
        <v>17</v>
      </c>
      <c r="K458" s="513" t="s">
        <v>17</v>
      </c>
      <c r="L458" s="513" t="s">
        <v>17</v>
      </c>
      <c r="M458" s="15"/>
      <c r="N458" s="15"/>
      <c r="O458" s="15"/>
      <c r="P458" s="517"/>
    </row>
    <row r="459" spans="1:16" ht="30">
      <c r="A459" s="513">
        <v>4</v>
      </c>
      <c r="B459" s="696"/>
      <c r="C459" s="696"/>
      <c r="D459" s="511" t="s">
        <v>6654</v>
      </c>
      <c r="E459" s="513">
        <v>900</v>
      </c>
      <c r="F459" s="513" t="s">
        <v>17</v>
      </c>
      <c r="G459" s="513" t="s">
        <v>2143</v>
      </c>
      <c r="H459" s="694">
        <v>7.6499999999999999E-2</v>
      </c>
      <c r="I459" s="513" t="s">
        <v>2144</v>
      </c>
      <c r="J459" s="513" t="s">
        <v>17</v>
      </c>
      <c r="K459" s="513" t="s">
        <v>17</v>
      </c>
      <c r="L459" s="513" t="s">
        <v>17</v>
      </c>
      <c r="M459" s="15"/>
      <c r="N459" s="15"/>
      <c r="O459" s="15"/>
      <c r="P459" s="517"/>
    </row>
    <row r="460" spans="1:16" ht="30">
      <c r="A460" s="513">
        <v>5</v>
      </c>
      <c r="B460" s="696"/>
      <c r="C460" s="696"/>
      <c r="D460" s="511" t="s">
        <v>6655</v>
      </c>
      <c r="E460" s="513">
        <v>263.32</v>
      </c>
      <c r="F460" s="513" t="s">
        <v>17</v>
      </c>
      <c r="G460" s="513" t="s">
        <v>2143</v>
      </c>
      <c r="H460" s="694"/>
      <c r="I460" s="513" t="s">
        <v>2144</v>
      </c>
      <c r="J460" s="513" t="s">
        <v>17</v>
      </c>
      <c r="K460" s="513" t="s">
        <v>17</v>
      </c>
      <c r="L460" s="513" t="s">
        <v>17</v>
      </c>
      <c r="M460" s="15"/>
      <c r="N460" s="15"/>
      <c r="O460" s="15"/>
      <c r="P460" s="517"/>
    </row>
    <row r="461" spans="1:16" ht="45">
      <c r="A461" s="513">
        <v>6</v>
      </c>
      <c r="B461" s="696"/>
      <c r="C461" s="511" t="s">
        <v>824</v>
      </c>
      <c r="D461" s="511" t="s">
        <v>6656</v>
      </c>
      <c r="E461" s="513">
        <v>706.96</v>
      </c>
      <c r="F461" s="513" t="s">
        <v>2150</v>
      </c>
      <c r="G461" s="513" t="s">
        <v>17</v>
      </c>
      <c r="H461" s="513">
        <v>0.55000000000000004</v>
      </c>
      <c r="I461" s="513" t="s">
        <v>17</v>
      </c>
      <c r="J461" s="513" t="s">
        <v>17</v>
      </c>
      <c r="K461" s="513">
        <v>2</v>
      </c>
      <c r="L461" s="513" t="s">
        <v>17</v>
      </c>
      <c r="M461" s="15"/>
      <c r="N461" s="15"/>
      <c r="O461" s="15"/>
      <c r="P461" s="517"/>
    </row>
    <row r="462" spans="1:16" ht="45">
      <c r="A462" s="513">
        <v>7</v>
      </c>
      <c r="B462" s="696"/>
      <c r="C462" s="511" t="s">
        <v>826</v>
      </c>
      <c r="D462" s="511" t="s">
        <v>6657</v>
      </c>
      <c r="E462" s="513">
        <v>5142.18</v>
      </c>
      <c r="F462" s="513" t="s">
        <v>6658</v>
      </c>
      <c r="G462" s="513" t="s">
        <v>17</v>
      </c>
      <c r="H462" s="545">
        <v>0.1</v>
      </c>
      <c r="I462" s="513" t="s">
        <v>6659</v>
      </c>
      <c r="J462" s="513" t="s">
        <v>17</v>
      </c>
      <c r="K462" s="513">
        <v>3</v>
      </c>
      <c r="L462" s="513" t="s">
        <v>17</v>
      </c>
      <c r="M462" s="15"/>
      <c r="N462" s="15"/>
      <c r="O462" s="15"/>
      <c r="P462" s="517"/>
    </row>
    <row r="463" spans="1:16" ht="30">
      <c r="A463" s="513">
        <v>8</v>
      </c>
      <c r="B463" s="696"/>
      <c r="C463" s="696" t="s">
        <v>840</v>
      </c>
      <c r="D463" s="511" t="s">
        <v>2160</v>
      </c>
      <c r="E463" s="513">
        <v>7500</v>
      </c>
      <c r="F463" s="513" t="s">
        <v>866</v>
      </c>
      <c r="G463" s="513" t="s">
        <v>17</v>
      </c>
      <c r="H463" s="513">
        <v>4.66</v>
      </c>
      <c r="I463" s="513" t="s">
        <v>864</v>
      </c>
      <c r="J463" s="513" t="s">
        <v>17</v>
      </c>
      <c r="K463" s="513" t="s">
        <v>518</v>
      </c>
      <c r="L463" s="513">
        <v>2</v>
      </c>
      <c r="M463" s="15"/>
      <c r="N463" s="15"/>
      <c r="O463" s="15"/>
      <c r="P463" s="517"/>
    </row>
    <row r="464" spans="1:16" ht="45">
      <c r="A464" s="513">
        <v>9</v>
      </c>
      <c r="B464" s="696"/>
      <c r="C464" s="696"/>
      <c r="D464" s="511" t="s">
        <v>6660</v>
      </c>
      <c r="E464" s="513" t="s">
        <v>6661</v>
      </c>
      <c r="F464" s="513" t="s">
        <v>852</v>
      </c>
      <c r="G464" s="513" t="s">
        <v>17</v>
      </c>
      <c r="H464" s="513">
        <v>2.83</v>
      </c>
      <c r="I464" s="513" t="s">
        <v>6662</v>
      </c>
      <c r="J464" s="513" t="s">
        <v>17</v>
      </c>
      <c r="K464" s="513">
        <v>4</v>
      </c>
      <c r="L464" s="513" t="s">
        <v>193</v>
      </c>
      <c r="M464" s="15"/>
      <c r="N464" s="15"/>
      <c r="O464" s="15"/>
      <c r="P464" s="517"/>
    </row>
    <row r="465" spans="1:16" ht="30">
      <c r="A465" s="513">
        <v>10</v>
      </c>
      <c r="B465" s="696"/>
      <c r="C465" s="696"/>
      <c r="D465" s="519" t="s">
        <v>854</v>
      </c>
      <c r="E465" s="513">
        <v>2150</v>
      </c>
      <c r="F465" s="513" t="s">
        <v>855</v>
      </c>
      <c r="G465" s="513" t="s">
        <v>17</v>
      </c>
      <c r="H465" s="513">
        <v>6.3</v>
      </c>
      <c r="I465" s="544" t="s">
        <v>2170</v>
      </c>
      <c r="J465" s="513" t="s">
        <v>17</v>
      </c>
      <c r="K465" s="513">
        <v>5</v>
      </c>
      <c r="L465" s="513" t="s">
        <v>193</v>
      </c>
      <c r="M465" s="15"/>
      <c r="N465" s="15"/>
      <c r="O465" s="15"/>
      <c r="P465" s="517"/>
    </row>
    <row r="466" spans="1:16" ht="30">
      <c r="A466" s="513">
        <v>11</v>
      </c>
      <c r="B466" s="696"/>
      <c r="C466" s="696"/>
      <c r="D466" s="511" t="s">
        <v>856</v>
      </c>
      <c r="E466" s="513">
        <v>2820</v>
      </c>
      <c r="F466" s="513" t="s">
        <v>857</v>
      </c>
      <c r="G466" s="513" t="s">
        <v>17</v>
      </c>
      <c r="H466" s="513">
        <v>0.68</v>
      </c>
      <c r="I466" s="544" t="s">
        <v>6663</v>
      </c>
      <c r="J466" s="513" t="s">
        <v>17</v>
      </c>
      <c r="K466" s="513">
        <v>6</v>
      </c>
      <c r="L466" s="513" t="s">
        <v>193</v>
      </c>
      <c r="M466" s="15"/>
      <c r="N466" s="15"/>
      <c r="O466" s="15"/>
      <c r="P466" s="517"/>
    </row>
    <row r="467" spans="1:16" ht="45">
      <c r="A467" s="513">
        <v>12</v>
      </c>
      <c r="B467" s="696"/>
      <c r="C467" s="696"/>
      <c r="D467" s="511" t="s">
        <v>6664</v>
      </c>
      <c r="E467" s="513">
        <v>3476.76</v>
      </c>
      <c r="F467" s="513" t="s">
        <v>860</v>
      </c>
      <c r="G467" s="513" t="s">
        <v>17</v>
      </c>
      <c r="H467" s="513">
        <v>4.9539</v>
      </c>
      <c r="I467" s="513">
        <v>95000</v>
      </c>
      <c r="J467" s="513" t="s">
        <v>17</v>
      </c>
      <c r="K467" s="513">
        <v>7</v>
      </c>
      <c r="L467" s="513" t="s">
        <v>193</v>
      </c>
      <c r="M467" s="15"/>
      <c r="N467" s="15"/>
      <c r="O467" s="15"/>
      <c r="P467" s="517"/>
    </row>
    <row r="468" spans="1:16" ht="57">
      <c r="A468" s="720" t="s">
        <v>1661</v>
      </c>
      <c r="B468" s="720"/>
      <c r="C468" s="720"/>
      <c r="D468" s="720"/>
      <c r="E468" s="720"/>
      <c r="F468" s="720"/>
      <c r="G468" s="720"/>
      <c r="H468" s="720"/>
      <c r="I468" s="720"/>
      <c r="J468" s="720"/>
      <c r="K468" s="720"/>
      <c r="L468" s="720"/>
      <c r="M468" s="720"/>
      <c r="N468" s="720"/>
      <c r="O468" s="720"/>
      <c r="P468" s="143" t="s">
        <v>1623</v>
      </c>
    </row>
    <row r="469" spans="1:16">
      <c r="A469" s="720">
        <v>13</v>
      </c>
      <c r="B469" s="720"/>
      <c r="C469" s="720"/>
      <c r="D469" s="720"/>
      <c r="E469" s="720"/>
      <c r="F469" s="720"/>
      <c r="G469" s="720"/>
      <c r="H469" s="720"/>
      <c r="I469" s="720"/>
      <c r="J469" s="720"/>
      <c r="K469" s="720"/>
      <c r="L469" s="720"/>
      <c r="M469" s="720"/>
      <c r="N469" s="720"/>
      <c r="O469" s="720"/>
      <c r="P469" s="18">
        <v>14</v>
      </c>
    </row>
    <row r="470" spans="1:16" ht="15">
      <c r="A470" s="720" t="s">
        <v>1662</v>
      </c>
      <c r="B470" s="720"/>
      <c r="C470" s="720"/>
      <c r="D470" s="720" t="s">
        <v>1663</v>
      </c>
      <c r="E470" s="720"/>
      <c r="F470" s="720"/>
      <c r="G470" s="720" t="s">
        <v>1664</v>
      </c>
      <c r="H470" s="720"/>
      <c r="I470" s="720"/>
      <c r="J470" s="720" t="s">
        <v>1665</v>
      </c>
      <c r="K470" s="720"/>
      <c r="L470" s="720"/>
      <c r="M470" s="720" t="s">
        <v>1666</v>
      </c>
      <c r="N470" s="720"/>
      <c r="O470" s="720"/>
      <c r="P470" s="310"/>
    </row>
    <row r="471" spans="1:16" ht="15">
      <c r="A471" s="517" t="s">
        <v>1667</v>
      </c>
      <c r="B471" s="517" t="s">
        <v>1668</v>
      </c>
      <c r="C471" s="544" t="s">
        <v>418</v>
      </c>
      <c r="D471" s="517" t="s">
        <v>1667</v>
      </c>
      <c r="E471" s="517" t="s">
        <v>1668</v>
      </c>
      <c r="F471" s="544" t="s">
        <v>418</v>
      </c>
      <c r="G471" s="517" t="s">
        <v>1667</v>
      </c>
      <c r="H471" s="517" t="s">
        <v>1668</v>
      </c>
      <c r="I471" s="544" t="s">
        <v>418</v>
      </c>
      <c r="J471" s="517" t="s">
        <v>1667</v>
      </c>
      <c r="K471" s="517" t="s">
        <v>1668</v>
      </c>
      <c r="L471" s="544" t="s">
        <v>418</v>
      </c>
      <c r="M471" s="517" t="s">
        <v>1667</v>
      </c>
      <c r="N471" s="517" t="s">
        <v>1668</v>
      </c>
      <c r="O471" s="544" t="s">
        <v>418</v>
      </c>
      <c r="P471" s="15"/>
    </row>
    <row r="472" spans="1:16">
      <c r="A472" s="255">
        <v>20</v>
      </c>
      <c r="B472" s="255">
        <v>20</v>
      </c>
      <c r="C472" s="255">
        <v>10</v>
      </c>
      <c r="D472" s="255">
        <v>14</v>
      </c>
      <c r="E472" s="255">
        <v>14</v>
      </c>
      <c r="F472" s="255">
        <v>14</v>
      </c>
      <c r="G472" s="255">
        <v>17</v>
      </c>
      <c r="H472" s="255">
        <v>17</v>
      </c>
      <c r="I472" s="255">
        <v>16</v>
      </c>
      <c r="J472" s="255" t="s">
        <v>35</v>
      </c>
      <c r="K472" s="255" t="s">
        <v>35</v>
      </c>
      <c r="L472" s="255" t="s">
        <v>35</v>
      </c>
      <c r="M472" s="255" t="s">
        <v>35</v>
      </c>
      <c r="N472" s="255" t="s">
        <v>35</v>
      </c>
      <c r="O472" s="255" t="s">
        <v>35</v>
      </c>
      <c r="P472" s="15"/>
    </row>
    <row r="473" spans="1:16">
      <c r="A473" s="255" t="s">
        <v>35</v>
      </c>
      <c r="B473" s="255" t="s">
        <v>35</v>
      </c>
      <c r="C473" s="255" t="s">
        <v>35</v>
      </c>
      <c r="D473" s="255">
        <v>7</v>
      </c>
      <c r="E473" s="255" t="s">
        <v>35</v>
      </c>
      <c r="F473" s="255" t="s">
        <v>35</v>
      </c>
      <c r="G473" s="255">
        <v>12</v>
      </c>
      <c r="H473" s="255" t="s">
        <v>35</v>
      </c>
      <c r="I473" s="255" t="s">
        <v>35</v>
      </c>
      <c r="J473" s="255">
        <v>3</v>
      </c>
      <c r="K473" s="255" t="s">
        <v>35</v>
      </c>
      <c r="L473" s="255" t="s">
        <v>35</v>
      </c>
      <c r="M473" s="255">
        <v>1</v>
      </c>
      <c r="N473" s="255" t="s">
        <v>35</v>
      </c>
      <c r="O473" s="255" t="s">
        <v>35</v>
      </c>
      <c r="P473" s="15"/>
    </row>
    <row r="474" spans="1:16">
      <c r="A474" s="256">
        <v>3</v>
      </c>
      <c r="B474" s="256">
        <v>3</v>
      </c>
      <c r="C474" s="256">
        <v>3</v>
      </c>
      <c r="D474" s="256">
        <v>9</v>
      </c>
      <c r="E474" s="256">
        <v>9</v>
      </c>
      <c r="F474" s="256">
        <v>9</v>
      </c>
      <c r="G474" s="256">
        <v>19</v>
      </c>
      <c r="H474" s="256">
        <v>19</v>
      </c>
      <c r="I474" s="256">
        <v>19</v>
      </c>
      <c r="J474" s="256">
        <v>2</v>
      </c>
      <c r="K474" s="256">
        <v>2</v>
      </c>
      <c r="L474" s="256">
        <v>2</v>
      </c>
      <c r="M474" s="256">
        <v>1</v>
      </c>
      <c r="N474" s="256">
        <v>1</v>
      </c>
      <c r="O474" s="256">
        <v>1</v>
      </c>
      <c r="P474" s="15"/>
    </row>
    <row r="475" spans="1:16">
      <c r="A475" s="256">
        <v>0</v>
      </c>
      <c r="B475" s="256">
        <v>0</v>
      </c>
      <c r="C475" s="256">
        <v>0</v>
      </c>
      <c r="D475" s="256">
        <v>6</v>
      </c>
      <c r="E475" s="256">
        <v>0</v>
      </c>
      <c r="F475" s="256">
        <v>0</v>
      </c>
      <c r="G475" s="256">
        <v>0</v>
      </c>
      <c r="H475" s="256">
        <v>0</v>
      </c>
      <c r="I475" s="256">
        <v>0</v>
      </c>
      <c r="J475" s="256">
        <v>0</v>
      </c>
      <c r="K475" s="256">
        <v>0</v>
      </c>
      <c r="L475" s="256">
        <v>0</v>
      </c>
      <c r="M475" s="256">
        <v>0</v>
      </c>
      <c r="N475" s="256">
        <v>0</v>
      </c>
      <c r="O475" s="256">
        <v>0</v>
      </c>
      <c r="P475" s="15"/>
    </row>
    <row r="476" spans="1:16">
      <c r="A476" s="256">
        <v>0</v>
      </c>
      <c r="B476" s="256">
        <v>0</v>
      </c>
      <c r="C476" s="256">
        <v>0</v>
      </c>
      <c r="D476" s="256">
        <v>0</v>
      </c>
      <c r="E476" s="256">
        <v>0</v>
      </c>
      <c r="F476" s="256">
        <v>0</v>
      </c>
      <c r="G476" s="256">
        <v>1</v>
      </c>
      <c r="H476" s="256">
        <v>0</v>
      </c>
      <c r="I476" s="256">
        <v>0</v>
      </c>
      <c r="J476" s="256">
        <v>0</v>
      </c>
      <c r="K476" s="256">
        <v>0</v>
      </c>
      <c r="L476" s="256">
        <v>0</v>
      </c>
      <c r="M476" s="256">
        <v>0</v>
      </c>
      <c r="N476" s="256">
        <v>0</v>
      </c>
      <c r="O476" s="256">
        <v>0</v>
      </c>
      <c r="P476" s="15"/>
    </row>
    <row r="477" spans="1:16">
      <c r="A477" s="256">
        <v>1</v>
      </c>
      <c r="B477" s="256">
        <v>1</v>
      </c>
      <c r="C477" s="256">
        <v>0</v>
      </c>
      <c r="D477" s="256">
        <v>0</v>
      </c>
      <c r="E477" s="256">
        <v>0</v>
      </c>
      <c r="F477" s="256">
        <v>0</v>
      </c>
      <c r="G477" s="256">
        <v>3</v>
      </c>
      <c r="H477" s="256">
        <v>1</v>
      </c>
      <c r="I477" s="256">
        <v>1</v>
      </c>
      <c r="J477" s="256">
        <v>0</v>
      </c>
      <c r="K477" s="256">
        <v>0</v>
      </c>
      <c r="L477" s="256">
        <v>0</v>
      </c>
      <c r="M477" s="256">
        <v>0</v>
      </c>
      <c r="N477" s="256">
        <v>0</v>
      </c>
      <c r="O477" s="256">
        <v>0</v>
      </c>
      <c r="P477" s="15"/>
    </row>
    <row r="478" spans="1:16">
      <c r="A478" s="256">
        <v>4</v>
      </c>
      <c r="B478" s="256">
        <v>4</v>
      </c>
      <c r="C478" s="256">
        <v>1</v>
      </c>
      <c r="D478" s="256">
        <v>8</v>
      </c>
      <c r="E478" s="256">
        <v>8</v>
      </c>
      <c r="F478" s="256">
        <v>1</v>
      </c>
      <c r="G478" s="256">
        <v>12</v>
      </c>
      <c r="H478" s="256">
        <v>12</v>
      </c>
      <c r="I478" s="256">
        <v>1</v>
      </c>
      <c r="J478" s="256">
        <v>1</v>
      </c>
      <c r="K478" s="256">
        <v>1</v>
      </c>
      <c r="L478" s="256">
        <v>0</v>
      </c>
      <c r="M478" s="256">
        <v>0</v>
      </c>
      <c r="N478" s="256">
        <v>0</v>
      </c>
      <c r="O478" s="256">
        <v>0</v>
      </c>
      <c r="P478" s="15"/>
    </row>
    <row r="479" spans="1:16">
      <c r="A479" s="255">
        <v>3</v>
      </c>
      <c r="B479" s="255" t="s">
        <v>26</v>
      </c>
      <c r="C479" s="255" t="s">
        <v>26</v>
      </c>
      <c r="D479" s="255">
        <v>10</v>
      </c>
      <c r="E479" s="255" t="s">
        <v>26</v>
      </c>
      <c r="F479" s="255" t="s">
        <v>26</v>
      </c>
      <c r="G479" s="255">
        <v>25</v>
      </c>
      <c r="H479" s="255">
        <v>25</v>
      </c>
      <c r="I479" s="255">
        <v>6</v>
      </c>
      <c r="J479" s="255" t="s">
        <v>26</v>
      </c>
      <c r="K479" s="255" t="s">
        <v>26</v>
      </c>
      <c r="L479" s="255" t="s">
        <v>26</v>
      </c>
      <c r="M479" s="255">
        <v>1</v>
      </c>
      <c r="N479" s="255">
        <v>1</v>
      </c>
      <c r="O479" s="255">
        <v>1</v>
      </c>
      <c r="P479" s="15"/>
    </row>
    <row r="480" spans="1:16">
      <c r="A480" s="255">
        <v>4</v>
      </c>
      <c r="B480" s="255">
        <v>3</v>
      </c>
      <c r="C480" s="255">
        <v>1</v>
      </c>
      <c r="D480" s="255">
        <v>6</v>
      </c>
      <c r="E480" s="255">
        <v>4</v>
      </c>
      <c r="F480" s="255">
        <v>2</v>
      </c>
      <c r="G480" s="255">
        <v>20</v>
      </c>
      <c r="H480" s="255">
        <v>18</v>
      </c>
      <c r="I480" s="255">
        <v>2</v>
      </c>
      <c r="J480" s="255">
        <v>1</v>
      </c>
      <c r="K480" s="257">
        <v>1</v>
      </c>
      <c r="L480" s="255">
        <v>1</v>
      </c>
      <c r="M480" s="255">
        <v>0</v>
      </c>
      <c r="N480" s="255">
        <v>0</v>
      </c>
      <c r="O480" s="255">
        <v>0</v>
      </c>
      <c r="P480" s="15"/>
    </row>
    <row r="481" spans="1:16">
      <c r="A481" s="255">
        <v>0</v>
      </c>
      <c r="B481" s="255">
        <v>0</v>
      </c>
      <c r="C481" s="255">
        <v>0</v>
      </c>
      <c r="D481" s="255">
        <v>32</v>
      </c>
      <c r="E481" s="255">
        <v>32</v>
      </c>
      <c r="F481" s="255">
        <v>14</v>
      </c>
      <c r="G481" s="255">
        <v>72</v>
      </c>
      <c r="H481" s="255">
        <v>72</v>
      </c>
      <c r="I481" s="255">
        <v>32</v>
      </c>
      <c r="J481" s="255">
        <v>0</v>
      </c>
      <c r="K481" s="255">
        <v>0</v>
      </c>
      <c r="L481" s="255">
        <v>0</v>
      </c>
      <c r="M481" s="255">
        <v>4</v>
      </c>
      <c r="N481" s="255">
        <v>4</v>
      </c>
      <c r="O481" s="255">
        <v>4</v>
      </c>
      <c r="P481" s="15"/>
    </row>
    <row r="482" spans="1:16">
      <c r="A482" s="255">
        <v>32</v>
      </c>
      <c r="B482" s="255">
        <v>10</v>
      </c>
      <c r="C482" s="255">
        <v>10</v>
      </c>
      <c r="D482" s="255">
        <v>8</v>
      </c>
      <c r="E482" s="255">
        <v>1</v>
      </c>
      <c r="F482" s="255">
        <v>1</v>
      </c>
      <c r="G482" s="255">
        <v>10</v>
      </c>
      <c r="H482" s="255">
        <v>4</v>
      </c>
      <c r="I482" s="255">
        <v>4</v>
      </c>
      <c r="J482" s="255">
        <v>0</v>
      </c>
      <c r="K482" s="255">
        <v>0</v>
      </c>
      <c r="L482" s="255">
        <v>0</v>
      </c>
      <c r="M482" s="255">
        <v>9</v>
      </c>
      <c r="N482" s="255">
        <v>0</v>
      </c>
      <c r="O482" s="255">
        <v>0</v>
      </c>
      <c r="P482" s="15"/>
    </row>
    <row r="483" spans="1:16">
      <c r="A483" s="256">
        <v>7</v>
      </c>
      <c r="B483" s="256">
        <v>7</v>
      </c>
      <c r="C483" s="256">
        <v>0</v>
      </c>
      <c r="D483" s="256">
        <v>13</v>
      </c>
      <c r="E483" s="256">
        <v>6</v>
      </c>
      <c r="F483" s="256">
        <v>4</v>
      </c>
      <c r="G483" s="256">
        <v>12</v>
      </c>
      <c r="H483" s="256">
        <v>10</v>
      </c>
      <c r="I483" s="256">
        <v>2</v>
      </c>
      <c r="J483" s="256">
        <v>6</v>
      </c>
      <c r="K483" s="256">
        <v>3</v>
      </c>
      <c r="L483" s="256">
        <v>3</v>
      </c>
      <c r="M483" s="256">
        <v>2</v>
      </c>
      <c r="N483" s="256">
        <v>1</v>
      </c>
      <c r="O483" s="256">
        <v>1</v>
      </c>
      <c r="P483" s="15"/>
    </row>
    <row r="484" spans="1:16" ht="15" customHeight="1">
      <c r="A484" s="720" t="s">
        <v>1670</v>
      </c>
      <c r="B484" s="720"/>
      <c r="C484" s="720"/>
      <c r="D484" s="720" t="s">
        <v>1671</v>
      </c>
      <c r="E484" s="720"/>
      <c r="F484" s="720"/>
      <c r="G484" s="720" t="s">
        <v>1672</v>
      </c>
      <c r="H484" s="720"/>
      <c r="I484" s="720"/>
      <c r="J484" s="716"/>
      <c r="K484" s="716"/>
      <c r="L484" s="716"/>
      <c r="M484" s="716"/>
      <c r="N484" s="716"/>
      <c r="O484" s="716"/>
      <c r="P484" s="15"/>
    </row>
    <row r="485" spans="1:16" ht="15">
      <c r="A485" s="517" t="s">
        <v>1667</v>
      </c>
      <c r="B485" s="517" t="s">
        <v>1668</v>
      </c>
      <c r="C485" s="544" t="s">
        <v>418</v>
      </c>
      <c r="D485" s="517" t="s">
        <v>1667</v>
      </c>
      <c r="E485" s="517" t="s">
        <v>1668</v>
      </c>
      <c r="F485" s="544" t="s">
        <v>418</v>
      </c>
      <c r="G485" s="517" t="s">
        <v>1667</v>
      </c>
      <c r="H485" s="517" t="s">
        <v>1668</v>
      </c>
      <c r="I485" s="544" t="s">
        <v>418</v>
      </c>
      <c r="J485" s="716"/>
      <c r="K485" s="716"/>
      <c r="L485" s="716"/>
      <c r="M485" s="716"/>
      <c r="N485" s="716"/>
      <c r="O485" s="716"/>
      <c r="P485" s="15"/>
    </row>
    <row r="486" spans="1:16" ht="15" customHeight="1">
      <c r="A486" s="256">
        <v>0</v>
      </c>
      <c r="B486" s="256">
        <v>0</v>
      </c>
      <c r="C486" s="256">
        <v>0</v>
      </c>
      <c r="D486" s="256">
        <v>0</v>
      </c>
      <c r="E486" s="256">
        <v>0</v>
      </c>
      <c r="F486" s="256">
        <v>0</v>
      </c>
      <c r="G486" s="256">
        <v>0</v>
      </c>
      <c r="H486" s="256">
        <v>0</v>
      </c>
      <c r="I486" s="256">
        <v>0</v>
      </c>
      <c r="J486" s="716"/>
      <c r="K486" s="716"/>
      <c r="L486" s="716"/>
      <c r="M486" s="716"/>
      <c r="N486" s="716"/>
      <c r="O486" s="716"/>
      <c r="P486" s="15"/>
    </row>
    <row r="487" spans="1:16" ht="15" customHeight="1">
      <c r="A487" s="256">
        <v>0</v>
      </c>
      <c r="B487" s="256">
        <v>0</v>
      </c>
      <c r="C487" s="256">
        <v>0</v>
      </c>
      <c r="D487" s="256">
        <v>0</v>
      </c>
      <c r="E487" s="256">
        <v>0</v>
      </c>
      <c r="F487" s="256">
        <v>0</v>
      </c>
      <c r="G487" s="256">
        <v>0</v>
      </c>
      <c r="H487" s="256">
        <v>0</v>
      </c>
      <c r="I487" s="256">
        <v>0</v>
      </c>
      <c r="J487" s="716"/>
      <c r="K487" s="716"/>
      <c r="L487" s="716"/>
      <c r="M487" s="716"/>
      <c r="N487" s="716"/>
      <c r="O487" s="716"/>
      <c r="P487" s="15"/>
    </row>
    <row r="488" spans="1:16" ht="15" customHeight="1">
      <c r="A488" s="256">
        <v>0</v>
      </c>
      <c r="B488" s="256">
        <v>0</v>
      </c>
      <c r="C488" s="256">
        <v>0</v>
      </c>
      <c r="D488" s="256">
        <v>0</v>
      </c>
      <c r="E488" s="256">
        <v>0</v>
      </c>
      <c r="F488" s="256">
        <v>0</v>
      </c>
      <c r="G488" s="256">
        <v>0</v>
      </c>
      <c r="H488" s="256">
        <v>0</v>
      </c>
      <c r="I488" s="256">
        <v>0</v>
      </c>
      <c r="J488" s="716"/>
      <c r="K488" s="716"/>
      <c r="L488" s="716"/>
      <c r="M488" s="716"/>
      <c r="N488" s="716"/>
      <c r="O488" s="716"/>
      <c r="P488" s="15"/>
    </row>
    <row r="489" spans="1:16" ht="15" customHeight="1">
      <c r="A489" s="256">
        <v>0</v>
      </c>
      <c r="B489" s="256">
        <v>0</v>
      </c>
      <c r="C489" s="256">
        <v>0</v>
      </c>
      <c r="D489" s="256">
        <v>0</v>
      </c>
      <c r="E489" s="256">
        <v>0</v>
      </c>
      <c r="F489" s="256">
        <v>0</v>
      </c>
      <c r="G489" s="256">
        <v>0</v>
      </c>
      <c r="H489" s="256">
        <v>0</v>
      </c>
      <c r="I489" s="256">
        <v>0</v>
      </c>
      <c r="J489" s="716"/>
      <c r="K489" s="716"/>
      <c r="L489" s="716"/>
      <c r="M489" s="716"/>
      <c r="N489" s="716"/>
      <c r="O489" s="716"/>
      <c r="P489" s="15"/>
    </row>
    <row r="490" spans="1:16" ht="15" customHeight="1">
      <c r="A490" s="256">
        <v>0</v>
      </c>
      <c r="B490" s="256">
        <v>0</v>
      </c>
      <c r="C490" s="256">
        <v>0</v>
      </c>
      <c r="D490" s="256">
        <v>0</v>
      </c>
      <c r="E490" s="256">
        <v>0</v>
      </c>
      <c r="F490" s="256">
        <v>0</v>
      </c>
      <c r="G490" s="256">
        <v>0</v>
      </c>
      <c r="H490" s="256">
        <v>0</v>
      </c>
      <c r="I490" s="256">
        <v>0</v>
      </c>
      <c r="J490" s="716"/>
      <c r="K490" s="716"/>
      <c r="L490" s="716"/>
      <c r="M490" s="716"/>
      <c r="N490" s="716"/>
      <c r="O490" s="716"/>
      <c r="P490" s="15"/>
    </row>
    <row r="491" spans="1:16" ht="15" customHeight="1">
      <c r="A491" s="256">
        <v>0</v>
      </c>
      <c r="B491" s="256">
        <v>0</v>
      </c>
      <c r="C491" s="256">
        <v>0</v>
      </c>
      <c r="D491" s="256">
        <v>0</v>
      </c>
      <c r="E491" s="256">
        <v>0</v>
      </c>
      <c r="F491" s="256">
        <v>0</v>
      </c>
      <c r="G491" s="256">
        <v>0</v>
      </c>
      <c r="H491" s="256">
        <v>0</v>
      </c>
      <c r="I491" s="256">
        <v>0</v>
      </c>
      <c r="J491" s="716"/>
      <c r="K491" s="716"/>
      <c r="L491" s="716"/>
      <c r="M491" s="716"/>
      <c r="N491" s="716"/>
      <c r="O491" s="716"/>
      <c r="P491" s="15"/>
    </row>
    <row r="492" spans="1:16" ht="15" customHeight="1">
      <c r="A492" s="256">
        <v>0</v>
      </c>
      <c r="B492" s="256">
        <v>0</v>
      </c>
      <c r="C492" s="256">
        <v>0</v>
      </c>
      <c r="D492" s="256">
        <v>0</v>
      </c>
      <c r="E492" s="256">
        <v>0</v>
      </c>
      <c r="F492" s="256">
        <v>0</v>
      </c>
      <c r="G492" s="256">
        <v>0</v>
      </c>
      <c r="H492" s="256">
        <v>0</v>
      </c>
      <c r="I492" s="256">
        <v>0</v>
      </c>
      <c r="J492" s="716"/>
      <c r="K492" s="716"/>
      <c r="L492" s="716"/>
      <c r="M492" s="716"/>
      <c r="N492" s="716"/>
      <c r="O492" s="716"/>
      <c r="P492" s="15"/>
    </row>
    <row r="493" spans="1:16" ht="15" customHeight="1">
      <c r="A493" s="256">
        <v>0</v>
      </c>
      <c r="B493" s="256">
        <v>0</v>
      </c>
      <c r="C493" s="256">
        <v>0</v>
      </c>
      <c r="D493" s="256">
        <v>0</v>
      </c>
      <c r="E493" s="256">
        <v>0</v>
      </c>
      <c r="F493" s="256">
        <v>0</v>
      </c>
      <c r="G493" s="256">
        <v>0</v>
      </c>
      <c r="H493" s="256">
        <v>0</v>
      </c>
      <c r="I493" s="256">
        <v>0</v>
      </c>
      <c r="J493" s="716"/>
      <c r="K493" s="716"/>
      <c r="L493" s="716"/>
      <c r="M493" s="716"/>
      <c r="N493" s="716"/>
      <c r="O493" s="716"/>
      <c r="P493" s="15"/>
    </row>
    <row r="494" spans="1:16" ht="15" customHeight="1">
      <c r="A494" s="256">
        <v>0</v>
      </c>
      <c r="B494" s="256">
        <v>0</v>
      </c>
      <c r="C494" s="256">
        <v>0</v>
      </c>
      <c r="D494" s="256">
        <v>0</v>
      </c>
      <c r="E494" s="256">
        <v>0</v>
      </c>
      <c r="F494" s="256">
        <v>0</v>
      </c>
      <c r="G494" s="256">
        <v>0</v>
      </c>
      <c r="H494" s="256">
        <v>0</v>
      </c>
      <c r="I494" s="256">
        <v>0</v>
      </c>
      <c r="J494" s="716"/>
      <c r="K494" s="716"/>
      <c r="L494" s="716"/>
      <c r="M494" s="716"/>
      <c r="N494" s="716"/>
      <c r="O494" s="716"/>
      <c r="P494" s="15"/>
    </row>
    <row r="495" spans="1:16" ht="15" customHeight="1">
      <c r="A495" s="256">
        <v>2</v>
      </c>
      <c r="B495" s="256">
        <v>2</v>
      </c>
      <c r="C495" s="256">
        <v>2</v>
      </c>
      <c r="D495" s="256">
        <v>0</v>
      </c>
      <c r="E495" s="256">
        <v>0</v>
      </c>
      <c r="F495" s="256">
        <v>0</v>
      </c>
      <c r="G495" s="256">
        <v>0</v>
      </c>
      <c r="H495" s="256">
        <v>0</v>
      </c>
      <c r="I495" s="256">
        <v>0</v>
      </c>
      <c r="J495" s="716"/>
      <c r="K495" s="716"/>
      <c r="L495" s="716"/>
      <c r="M495" s="716"/>
      <c r="N495" s="716"/>
      <c r="O495" s="716"/>
      <c r="P495" s="15"/>
    </row>
    <row r="496" spans="1:16" ht="15" customHeight="1">
      <c r="A496" s="256">
        <v>0</v>
      </c>
      <c r="B496" s="256">
        <v>0</v>
      </c>
      <c r="C496" s="256">
        <v>0</v>
      </c>
      <c r="D496" s="256">
        <v>0</v>
      </c>
      <c r="E496" s="256">
        <v>0</v>
      </c>
      <c r="F496" s="256">
        <v>0</v>
      </c>
      <c r="G496" s="256">
        <v>0</v>
      </c>
      <c r="H496" s="256">
        <v>0</v>
      </c>
      <c r="I496" s="256">
        <v>0</v>
      </c>
      <c r="J496" s="716"/>
      <c r="K496" s="716"/>
      <c r="L496" s="716"/>
      <c r="M496" s="716"/>
      <c r="N496" s="716"/>
      <c r="O496" s="716"/>
      <c r="P496" s="15"/>
    </row>
    <row r="497" spans="1:16" ht="15" customHeight="1">
      <c r="A497" s="256">
        <v>0</v>
      </c>
      <c r="B497" s="256">
        <v>0</v>
      </c>
      <c r="C497" s="256">
        <v>0</v>
      </c>
      <c r="D497" s="256">
        <v>0</v>
      </c>
      <c r="E497" s="256">
        <v>0</v>
      </c>
      <c r="F497" s="256">
        <v>0</v>
      </c>
      <c r="G497" s="256">
        <v>0</v>
      </c>
      <c r="H497" s="256">
        <v>0</v>
      </c>
      <c r="I497" s="256">
        <v>0</v>
      </c>
      <c r="J497" s="716"/>
      <c r="K497" s="716"/>
      <c r="L497" s="716"/>
      <c r="M497" s="716"/>
      <c r="N497" s="716"/>
      <c r="O497" s="716"/>
      <c r="P497" s="15"/>
    </row>
    <row r="498" spans="1:16" ht="22.5">
      <c r="A498" s="718" t="s">
        <v>667</v>
      </c>
      <c r="B498" s="718"/>
      <c r="C498" s="718"/>
      <c r="D498" s="718"/>
      <c r="E498" s="718"/>
      <c r="F498" s="718"/>
      <c r="G498" s="718"/>
      <c r="H498" s="718"/>
      <c r="I498" s="718"/>
      <c r="J498" s="718"/>
      <c r="K498" s="718"/>
      <c r="L498" s="718"/>
      <c r="M498" s="718"/>
      <c r="N498" s="718"/>
      <c r="O498" s="718"/>
      <c r="P498" s="718"/>
    </row>
    <row r="499" spans="1:16" ht="20.25">
      <c r="A499" s="725" t="s">
        <v>6280</v>
      </c>
      <c r="B499" s="725"/>
      <c r="C499" s="725"/>
      <c r="D499" s="725"/>
      <c r="E499" s="725"/>
      <c r="F499" s="725"/>
      <c r="G499" s="725"/>
      <c r="H499" s="725"/>
      <c r="I499" s="725"/>
      <c r="J499" s="725"/>
      <c r="K499" s="725"/>
      <c r="L499" s="725"/>
      <c r="M499" s="548"/>
      <c r="N499" s="548"/>
      <c r="O499" s="15"/>
      <c r="P499" s="15"/>
    </row>
    <row r="500" spans="1:16" ht="114">
      <c r="A500" s="18" t="s">
        <v>0</v>
      </c>
      <c r="B500" s="18" t="s">
        <v>1616</v>
      </c>
      <c r="C500" s="18" t="s">
        <v>1647</v>
      </c>
      <c r="D500" s="18" t="s">
        <v>1648</v>
      </c>
      <c r="E500" s="18" t="s">
        <v>6277</v>
      </c>
      <c r="F500" s="18" t="s">
        <v>1619</v>
      </c>
      <c r="G500" s="19" t="s">
        <v>1649</v>
      </c>
      <c r="H500" s="18" t="s">
        <v>6281</v>
      </c>
      <c r="I500" s="18" t="s">
        <v>1620</v>
      </c>
      <c r="J500" s="19" t="s">
        <v>1650</v>
      </c>
      <c r="K500" s="20" t="s">
        <v>1651</v>
      </c>
      <c r="L500" s="20" t="s">
        <v>1622</v>
      </c>
      <c r="M500" s="15"/>
      <c r="N500" s="15"/>
      <c r="O500" s="15"/>
      <c r="P500" s="310"/>
    </row>
    <row r="501" spans="1:16">
      <c r="A501" s="530">
        <v>1</v>
      </c>
      <c r="B501" s="530">
        <v>2</v>
      </c>
      <c r="C501" s="530">
        <v>3</v>
      </c>
      <c r="D501" s="530">
        <v>4</v>
      </c>
      <c r="E501" s="530">
        <v>5</v>
      </c>
      <c r="F501" s="530">
        <v>6</v>
      </c>
      <c r="G501" s="530">
        <v>7</v>
      </c>
      <c r="H501" s="530">
        <v>8</v>
      </c>
      <c r="I501" s="19">
        <v>9</v>
      </c>
      <c r="J501" s="530">
        <v>10</v>
      </c>
      <c r="K501" s="530">
        <v>11</v>
      </c>
      <c r="L501" s="530">
        <v>12</v>
      </c>
      <c r="M501" s="15"/>
      <c r="N501" s="15"/>
      <c r="O501" s="15"/>
      <c r="P501" s="15"/>
    </row>
    <row r="502" spans="1:16" ht="60">
      <c r="A502" s="513">
        <v>1</v>
      </c>
      <c r="B502" s="696" t="s">
        <v>4735</v>
      </c>
      <c r="C502" s="511" t="s">
        <v>1006</v>
      </c>
      <c r="D502" s="511" t="s">
        <v>6666</v>
      </c>
      <c r="E502" s="533">
        <v>901.98</v>
      </c>
      <c r="F502" s="513" t="s">
        <v>17</v>
      </c>
      <c r="G502" s="513">
        <v>1986</v>
      </c>
      <c r="H502" s="533">
        <v>8.5500000000000007E-2</v>
      </c>
      <c r="I502" s="730">
        <v>3.86</v>
      </c>
      <c r="J502" s="513" t="s">
        <v>6667</v>
      </c>
      <c r="K502" s="513" t="s">
        <v>17</v>
      </c>
      <c r="L502" s="513" t="s">
        <v>17</v>
      </c>
      <c r="M502" s="15"/>
      <c r="N502" s="15"/>
      <c r="O502" s="15"/>
      <c r="P502" s="15"/>
    </row>
    <row r="503" spans="1:16" ht="60">
      <c r="A503" s="513">
        <v>2</v>
      </c>
      <c r="B503" s="696"/>
      <c r="C503" s="511" t="s">
        <v>1006</v>
      </c>
      <c r="D503" s="511" t="s">
        <v>6668</v>
      </c>
      <c r="E503" s="533">
        <v>469.74</v>
      </c>
      <c r="F503" s="513" t="s">
        <v>17</v>
      </c>
      <c r="G503" s="513">
        <v>1986</v>
      </c>
      <c r="H503" s="533">
        <v>9.2399999999999996E-2</v>
      </c>
      <c r="I503" s="730"/>
      <c r="J503" s="513" t="s">
        <v>6667</v>
      </c>
      <c r="K503" s="513" t="s">
        <v>17</v>
      </c>
      <c r="L503" s="513" t="s">
        <v>17</v>
      </c>
      <c r="M503" s="15"/>
      <c r="N503" s="15"/>
      <c r="O503" s="15"/>
      <c r="P503" s="15"/>
    </row>
    <row r="504" spans="1:16" ht="60">
      <c r="A504" s="513">
        <v>3</v>
      </c>
      <c r="B504" s="696"/>
      <c r="C504" s="511" t="s">
        <v>1006</v>
      </c>
      <c r="D504" s="511" t="s">
        <v>6669</v>
      </c>
      <c r="E504" s="533">
        <v>299.64</v>
      </c>
      <c r="F504" s="513" t="s">
        <v>17</v>
      </c>
      <c r="G504" s="513">
        <v>1986</v>
      </c>
      <c r="H504" s="533">
        <v>4.7800000000000002E-2</v>
      </c>
      <c r="I504" s="730">
        <v>6.63</v>
      </c>
      <c r="J504" s="513" t="s">
        <v>6667</v>
      </c>
      <c r="K504" s="513" t="s">
        <v>17</v>
      </c>
      <c r="L504" s="513" t="s">
        <v>17</v>
      </c>
      <c r="M504" s="15"/>
      <c r="N504" s="15"/>
      <c r="O504" s="15"/>
      <c r="P504" s="15"/>
    </row>
    <row r="505" spans="1:16" ht="60">
      <c r="A505" s="513">
        <v>4</v>
      </c>
      <c r="B505" s="696"/>
      <c r="C505" s="511" t="s">
        <v>1006</v>
      </c>
      <c r="D505" s="511" t="s">
        <v>6670</v>
      </c>
      <c r="E505" s="533">
        <v>864.47</v>
      </c>
      <c r="F505" s="513" t="s">
        <v>17</v>
      </c>
      <c r="G505" s="513">
        <v>1986</v>
      </c>
      <c r="H505" s="533">
        <v>0.1762</v>
      </c>
      <c r="I505" s="730"/>
      <c r="J505" s="513" t="s">
        <v>6667</v>
      </c>
      <c r="K505" s="513" t="s">
        <v>17</v>
      </c>
      <c r="L505" s="513" t="s">
        <v>17</v>
      </c>
      <c r="M505" s="15"/>
      <c r="N505" s="15"/>
      <c r="O505" s="15"/>
      <c r="P505" s="15"/>
    </row>
    <row r="506" spans="1:16" ht="60">
      <c r="A506" s="513">
        <v>5</v>
      </c>
      <c r="B506" s="696"/>
      <c r="C506" s="511" t="s">
        <v>1006</v>
      </c>
      <c r="D506" s="511" t="s">
        <v>6671</v>
      </c>
      <c r="E506" s="533">
        <v>375.79</v>
      </c>
      <c r="F506" s="513" t="s">
        <v>17</v>
      </c>
      <c r="G506" s="513">
        <v>1986</v>
      </c>
      <c r="H506" s="533">
        <v>7.3499999999999996E-2</v>
      </c>
      <c r="I506" s="730"/>
      <c r="J506" s="513" t="s">
        <v>6667</v>
      </c>
      <c r="K506" s="513" t="s">
        <v>17</v>
      </c>
      <c r="L506" s="513" t="s">
        <v>17</v>
      </c>
      <c r="M506" s="15"/>
      <c r="N506" s="15"/>
      <c r="O506" s="15"/>
      <c r="P506" s="15"/>
    </row>
    <row r="507" spans="1:16" ht="60">
      <c r="A507" s="513">
        <v>6</v>
      </c>
      <c r="B507" s="696"/>
      <c r="C507" s="511" t="s">
        <v>1006</v>
      </c>
      <c r="D507" s="511" t="s">
        <v>6672</v>
      </c>
      <c r="E507" s="533">
        <v>1403.99</v>
      </c>
      <c r="F507" s="513" t="s">
        <v>17</v>
      </c>
      <c r="G507" s="513">
        <v>1986</v>
      </c>
      <c r="H507" s="533">
        <v>0.26400000000000001</v>
      </c>
      <c r="I507" s="730">
        <v>7.63</v>
      </c>
      <c r="J507" s="513" t="s">
        <v>6667</v>
      </c>
      <c r="K507" s="513" t="s">
        <v>17</v>
      </c>
      <c r="L507" s="513" t="s">
        <v>17</v>
      </c>
      <c r="M507" s="15"/>
      <c r="N507" s="15"/>
      <c r="O507" s="15"/>
      <c r="P507" s="15"/>
    </row>
    <row r="508" spans="1:16" ht="60">
      <c r="A508" s="513">
        <v>7</v>
      </c>
      <c r="B508" s="696"/>
      <c r="C508" s="511" t="s">
        <v>1006</v>
      </c>
      <c r="D508" s="511" t="s">
        <v>6673</v>
      </c>
      <c r="E508" s="533">
        <v>864.47</v>
      </c>
      <c r="F508" s="513" t="s">
        <v>17</v>
      </c>
      <c r="G508" s="513">
        <v>1986</v>
      </c>
      <c r="H508" s="533">
        <v>7.4200000000000002E-2</v>
      </c>
      <c r="I508" s="730"/>
      <c r="J508" s="513" t="s">
        <v>6667</v>
      </c>
      <c r="K508" s="513" t="s">
        <v>17</v>
      </c>
      <c r="L508" s="513" t="s">
        <v>17</v>
      </c>
      <c r="M508" s="15"/>
      <c r="N508" s="15"/>
      <c r="O508" s="15"/>
      <c r="P508" s="15"/>
    </row>
    <row r="509" spans="1:16" ht="45">
      <c r="A509" s="533">
        <v>8</v>
      </c>
      <c r="B509" s="696"/>
      <c r="C509" s="713" t="s">
        <v>6675</v>
      </c>
      <c r="D509" s="511" t="s">
        <v>2403</v>
      </c>
      <c r="E509" s="513" t="s">
        <v>923</v>
      </c>
      <c r="F509" s="542">
        <v>35263</v>
      </c>
      <c r="G509" s="513">
        <v>0.15561720000000001</v>
      </c>
      <c r="H509" s="71">
        <v>1.4530000000000001</v>
      </c>
      <c r="I509" s="513" t="s">
        <v>389</v>
      </c>
      <c r="J509" s="513" t="s">
        <v>389</v>
      </c>
      <c r="K509" s="513" t="s">
        <v>6676</v>
      </c>
      <c r="L509" s="539" t="s">
        <v>6677</v>
      </c>
      <c r="M509" s="15"/>
      <c r="N509" s="15"/>
      <c r="O509" s="15"/>
      <c r="P509" s="15"/>
    </row>
    <row r="510" spans="1:16" ht="120">
      <c r="A510" s="533">
        <v>9</v>
      </c>
      <c r="B510" s="696"/>
      <c r="C510" s="713"/>
      <c r="D510" s="511" t="s">
        <v>2404</v>
      </c>
      <c r="E510" s="513" t="s">
        <v>927</v>
      </c>
      <c r="F510" s="542">
        <v>36955</v>
      </c>
      <c r="G510" s="71" t="s">
        <v>928</v>
      </c>
      <c r="H510" s="71">
        <v>12.1334432</v>
      </c>
      <c r="I510" s="513" t="s">
        <v>389</v>
      </c>
      <c r="J510" s="513" t="s">
        <v>389</v>
      </c>
      <c r="K510" s="513" t="s">
        <v>6678</v>
      </c>
      <c r="L510" s="539" t="s">
        <v>6679</v>
      </c>
      <c r="M510" s="15"/>
      <c r="N510" s="15"/>
      <c r="O510" s="15"/>
      <c r="P510" s="15"/>
    </row>
    <row r="511" spans="1:16" ht="60">
      <c r="A511" s="533">
        <v>10</v>
      </c>
      <c r="B511" s="696"/>
      <c r="C511" s="713"/>
      <c r="D511" s="511" t="s">
        <v>2405</v>
      </c>
      <c r="E511" s="513" t="s">
        <v>931</v>
      </c>
      <c r="F511" s="542">
        <v>31901</v>
      </c>
      <c r="G511" s="513" t="s">
        <v>932</v>
      </c>
      <c r="H511" s="71">
        <v>0.8881</v>
      </c>
      <c r="I511" s="513" t="s">
        <v>389</v>
      </c>
      <c r="J511" s="513" t="s">
        <v>389</v>
      </c>
      <c r="K511" s="513" t="s">
        <v>6680</v>
      </c>
      <c r="L511" s="539" t="s">
        <v>6681</v>
      </c>
      <c r="M511" s="15"/>
      <c r="N511" s="15"/>
      <c r="O511" s="15"/>
      <c r="P511" s="15"/>
    </row>
    <row r="512" spans="1:16" ht="47.25" customHeight="1">
      <c r="A512" s="533">
        <v>11</v>
      </c>
      <c r="B512" s="696"/>
      <c r="C512" s="713"/>
      <c r="D512" s="511" t="s">
        <v>2406</v>
      </c>
      <c r="E512" s="696" t="s">
        <v>936</v>
      </c>
      <c r="F512" s="696"/>
      <c r="G512" s="696"/>
      <c r="H512" s="696"/>
      <c r="I512" s="696"/>
      <c r="J512" s="696"/>
      <c r="K512" s="513" t="s">
        <v>6682</v>
      </c>
      <c r="L512" s="539" t="s">
        <v>6683</v>
      </c>
      <c r="M512" s="15"/>
      <c r="N512" s="15"/>
      <c r="O512" s="15"/>
      <c r="P512" s="15"/>
    </row>
    <row r="513" spans="1:16" ht="47.25" customHeight="1">
      <c r="A513" s="533">
        <v>12</v>
      </c>
      <c r="B513" s="696"/>
      <c r="C513" s="713"/>
      <c r="D513" s="511" t="s">
        <v>2407</v>
      </c>
      <c r="E513" s="696" t="s">
        <v>938</v>
      </c>
      <c r="F513" s="696"/>
      <c r="G513" s="696"/>
      <c r="H513" s="696"/>
      <c r="I513" s="696"/>
      <c r="J513" s="696"/>
      <c r="K513" s="513" t="s">
        <v>6684</v>
      </c>
      <c r="L513" s="539" t="s">
        <v>6685</v>
      </c>
      <c r="M513" s="15"/>
      <c r="N513" s="15"/>
      <c r="O513" s="15"/>
      <c r="P513" s="15"/>
    </row>
    <row r="514" spans="1:16" ht="63" customHeight="1">
      <c r="A514" s="533">
        <v>13</v>
      </c>
      <c r="B514" s="696"/>
      <c r="C514" s="713"/>
      <c r="D514" s="511" t="s">
        <v>2408</v>
      </c>
      <c r="E514" s="696" t="s">
        <v>1016</v>
      </c>
      <c r="F514" s="696"/>
      <c r="G514" s="696"/>
      <c r="H514" s="696"/>
      <c r="I514" s="696"/>
      <c r="J514" s="696"/>
      <c r="K514" s="513" t="s">
        <v>6686</v>
      </c>
      <c r="L514" s="539" t="s">
        <v>6687</v>
      </c>
      <c r="M514" s="15"/>
      <c r="N514" s="15"/>
      <c r="O514" s="15"/>
      <c r="P514" s="15"/>
    </row>
    <row r="515" spans="1:16" ht="47.25" customHeight="1">
      <c r="A515" s="533">
        <v>14</v>
      </c>
      <c r="B515" s="696"/>
      <c r="C515" s="713"/>
      <c r="D515" s="511" t="s">
        <v>2409</v>
      </c>
      <c r="E515" s="696" t="s">
        <v>942</v>
      </c>
      <c r="F515" s="696"/>
      <c r="G515" s="696"/>
      <c r="H515" s="696"/>
      <c r="I515" s="696"/>
      <c r="J515" s="696"/>
      <c r="K515" s="513" t="s">
        <v>6688</v>
      </c>
      <c r="L515" s="539" t="s">
        <v>6689</v>
      </c>
      <c r="M515" s="15"/>
      <c r="N515" s="15"/>
      <c r="O515" s="15"/>
      <c r="P515" s="15"/>
    </row>
    <row r="516" spans="1:16" ht="47.25" customHeight="1">
      <c r="A516" s="533">
        <v>15</v>
      </c>
      <c r="B516" s="696"/>
      <c r="C516" s="713"/>
      <c r="D516" s="511" t="s">
        <v>2410</v>
      </c>
      <c r="E516" s="696" t="s">
        <v>944</v>
      </c>
      <c r="F516" s="696"/>
      <c r="G516" s="696"/>
      <c r="H516" s="696"/>
      <c r="I516" s="696"/>
      <c r="J516" s="696"/>
      <c r="K516" s="513" t="s">
        <v>6690</v>
      </c>
      <c r="L516" s="539" t="s">
        <v>6691</v>
      </c>
      <c r="M516" s="15"/>
      <c r="N516" s="15"/>
      <c r="O516" s="15"/>
      <c r="P516" s="15"/>
    </row>
    <row r="517" spans="1:16" ht="47.25" customHeight="1">
      <c r="A517" s="533">
        <v>16</v>
      </c>
      <c r="B517" s="696"/>
      <c r="C517" s="713"/>
      <c r="D517" s="519" t="s">
        <v>2411</v>
      </c>
      <c r="E517" s="696" t="s">
        <v>946</v>
      </c>
      <c r="F517" s="696"/>
      <c r="G517" s="696"/>
      <c r="H517" s="696"/>
      <c r="I517" s="696"/>
      <c r="J517" s="696"/>
      <c r="K517" s="513" t="s">
        <v>6692</v>
      </c>
      <c r="L517" s="539" t="s">
        <v>6693</v>
      </c>
      <c r="M517" s="15"/>
      <c r="N517" s="15"/>
      <c r="O517" s="15"/>
      <c r="P517" s="15"/>
    </row>
    <row r="518" spans="1:16" ht="63" customHeight="1">
      <c r="A518" s="533">
        <v>17</v>
      </c>
      <c r="B518" s="696"/>
      <c r="C518" s="713"/>
      <c r="D518" s="519" t="s">
        <v>2412</v>
      </c>
      <c r="E518" s="696" t="s">
        <v>948</v>
      </c>
      <c r="F518" s="696"/>
      <c r="G518" s="696"/>
      <c r="H518" s="696"/>
      <c r="I518" s="696"/>
      <c r="J518" s="696"/>
      <c r="K518" s="513" t="s">
        <v>6694</v>
      </c>
      <c r="L518" s="539" t="s">
        <v>6695</v>
      </c>
      <c r="M518" s="15"/>
      <c r="N518" s="15"/>
      <c r="O518" s="15"/>
      <c r="P518" s="15"/>
    </row>
    <row r="519" spans="1:16" ht="47.25" customHeight="1">
      <c r="A519" s="533">
        <v>18</v>
      </c>
      <c r="B519" s="696"/>
      <c r="C519" s="713"/>
      <c r="D519" s="519" t="s">
        <v>2413</v>
      </c>
      <c r="E519" s="696" t="s">
        <v>950</v>
      </c>
      <c r="F519" s="696"/>
      <c r="G519" s="696"/>
      <c r="H519" s="696"/>
      <c r="I519" s="696"/>
      <c r="J519" s="696"/>
      <c r="K519" s="513" t="s">
        <v>6696</v>
      </c>
      <c r="L519" s="539" t="s">
        <v>6697</v>
      </c>
      <c r="M519" s="15"/>
      <c r="N519" s="15"/>
      <c r="O519" s="15"/>
      <c r="P519" s="15"/>
    </row>
    <row r="520" spans="1:16" ht="47.25" customHeight="1">
      <c r="A520" s="533">
        <v>19</v>
      </c>
      <c r="B520" s="696"/>
      <c r="C520" s="713"/>
      <c r="D520" s="519" t="s">
        <v>2414</v>
      </c>
      <c r="E520" s="696" t="s">
        <v>952</v>
      </c>
      <c r="F520" s="696"/>
      <c r="G520" s="696"/>
      <c r="H520" s="696"/>
      <c r="I520" s="696"/>
      <c r="J520" s="696"/>
      <c r="K520" s="513" t="s">
        <v>6698</v>
      </c>
      <c r="L520" s="539" t="s">
        <v>6699</v>
      </c>
      <c r="M520" s="15"/>
      <c r="N520" s="15"/>
      <c r="O520" s="15"/>
      <c r="P520" s="15"/>
    </row>
    <row r="521" spans="1:16" ht="150">
      <c r="A521" s="533">
        <v>20</v>
      </c>
      <c r="B521" s="696"/>
      <c r="C521" s="713"/>
      <c r="D521" s="511" t="s">
        <v>954</v>
      </c>
      <c r="E521" s="513" t="s">
        <v>955</v>
      </c>
      <c r="F521" s="542" t="s">
        <v>956</v>
      </c>
      <c r="G521" s="513" t="s">
        <v>1032</v>
      </c>
      <c r="H521" s="513"/>
      <c r="I521" s="513" t="s">
        <v>389</v>
      </c>
      <c r="J521" s="513" t="s">
        <v>389</v>
      </c>
      <c r="K521" s="513" t="s">
        <v>6700</v>
      </c>
      <c r="L521" s="539" t="s">
        <v>6701</v>
      </c>
      <c r="M521" s="15"/>
      <c r="N521" s="15"/>
      <c r="O521" s="15"/>
      <c r="P521" s="15"/>
    </row>
    <row r="522" spans="1:16" ht="120">
      <c r="A522" s="533">
        <v>21</v>
      </c>
      <c r="B522" s="696"/>
      <c r="C522" s="713"/>
      <c r="D522" s="511" t="s">
        <v>961</v>
      </c>
      <c r="E522" s="513" t="s">
        <v>962</v>
      </c>
      <c r="F522" s="542">
        <v>34404</v>
      </c>
      <c r="G522" s="513" t="s">
        <v>963</v>
      </c>
      <c r="H522" s="513"/>
      <c r="I522" s="513" t="s">
        <v>389</v>
      </c>
      <c r="J522" s="513" t="s">
        <v>389</v>
      </c>
      <c r="K522" s="513" t="s">
        <v>6702</v>
      </c>
      <c r="L522" s="539" t="s">
        <v>6703</v>
      </c>
      <c r="M522" s="15"/>
      <c r="N522" s="15"/>
      <c r="O522" s="15"/>
      <c r="P522" s="15"/>
    </row>
    <row r="523" spans="1:16" ht="47.25" customHeight="1">
      <c r="A523" s="533">
        <v>22</v>
      </c>
      <c r="B523" s="696"/>
      <c r="C523" s="713"/>
      <c r="D523" s="511" t="s">
        <v>967</v>
      </c>
      <c r="E523" s="696" t="s">
        <v>6674</v>
      </c>
      <c r="F523" s="696"/>
      <c r="G523" s="696"/>
      <c r="H523" s="696"/>
      <c r="I523" s="696"/>
      <c r="J523" s="696"/>
      <c r="K523" s="513" t="s">
        <v>6704</v>
      </c>
      <c r="L523" s="539" t="s">
        <v>6705</v>
      </c>
      <c r="M523" s="15"/>
      <c r="N523" s="15"/>
      <c r="O523" s="15"/>
      <c r="P523" s="15"/>
    </row>
    <row r="524" spans="1:16" ht="45">
      <c r="A524" s="533">
        <v>23</v>
      </c>
      <c r="B524" s="696"/>
      <c r="C524" s="713"/>
      <c r="D524" s="511" t="s">
        <v>970</v>
      </c>
      <c r="E524" s="513" t="s">
        <v>971</v>
      </c>
      <c r="F524" s="542">
        <v>25070</v>
      </c>
      <c r="G524" s="513" t="s">
        <v>972</v>
      </c>
      <c r="H524" s="513"/>
      <c r="I524" s="513" t="s">
        <v>389</v>
      </c>
      <c r="J524" s="513" t="s">
        <v>389</v>
      </c>
      <c r="K524" s="513" t="s">
        <v>6706</v>
      </c>
      <c r="L524" s="539" t="s">
        <v>6707</v>
      </c>
      <c r="M524" s="15"/>
      <c r="N524" s="15"/>
      <c r="O524" s="15"/>
      <c r="P524" s="15"/>
    </row>
    <row r="525" spans="1:16" ht="45">
      <c r="A525" s="533">
        <v>24</v>
      </c>
      <c r="B525" s="696"/>
      <c r="C525" s="713"/>
      <c r="D525" s="511" t="s">
        <v>974</v>
      </c>
      <c r="E525" s="513" t="s">
        <v>971</v>
      </c>
      <c r="F525" s="542">
        <v>24731</v>
      </c>
      <c r="G525" s="513" t="s">
        <v>972</v>
      </c>
      <c r="H525" s="513"/>
      <c r="I525" s="513" t="s">
        <v>389</v>
      </c>
      <c r="J525" s="513" t="s">
        <v>389</v>
      </c>
      <c r="K525" s="513" t="s">
        <v>6708</v>
      </c>
      <c r="L525" s="539" t="s">
        <v>6709</v>
      </c>
      <c r="M525" s="15"/>
      <c r="N525" s="15"/>
      <c r="O525" s="15"/>
      <c r="P525" s="15"/>
    </row>
    <row r="526" spans="1:16" ht="45">
      <c r="A526" s="533">
        <v>25</v>
      </c>
      <c r="B526" s="696"/>
      <c r="C526" s="713"/>
      <c r="D526" s="511" t="s">
        <v>977</v>
      </c>
      <c r="E526" s="513">
        <v>5490</v>
      </c>
      <c r="F526" s="542">
        <v>24622</v>
      </c>
      <c r="G526" s="513" t="s">
        <v>972</v>
      </c>
      <c r="H526" s="513"/>
      <c r="I526" s="513" t="s">
        <v>389</v>
      </c>
      <c r="J526" s="513" t="s">
        <v>389</v>
      </c>
      <c r="K526" s="513" t="s">
        <v>6710</v>
      </c>
      <c r="L526" s="539" t="s">
        <v>6711</v>
      </c>
      <c r="M526" s="15"/>
      <c r="N526" s="15"/>
      <c r="O526" s="15"/>
      <c r="P526" s="15"/>
    </row>
    <row r="527" spans="1:16" ht="45">
      <c r="A527" s="533">
        <v>26</v>
      </c>
      <c r="B527" s="696"/>
      <c r="C527" s="713"/>
      <c r="D527" s="511" t="s">
        <v>980</v>
      </c>
      <c r="E527" s="513" t="s">
        <v>971</v>
      </c>
      <c r="F527" s="542">
        <v>24731</v>
      </c>
      <c r="G527" s="513" t="s">
        <v>972</v>
      </c>
      <c r="H527" s="513"/>
      <c r="I527" s="513" t="s">
        <v>389</v>
      </c>
      <c r="J527" s="513" t="s">
        <v>389</v>
      </c>
      <c r="K527" s="513" t="s">
        <v>6712</v>
      </c>
      <c r="L527" s="539" t="s">
        <v>6713</v>
      </c>
      <c r="M527" s="15"/>
      <c r="N527" s="15"/>
      <c r="O527" s="15"/>
      <c r="P527" s="15"/>
    </row>
    <row r="528" spans="1:16" ht="57">
      <c r="A528" s="720" t="s">
        <v>1661</v>
      </c>
      <c r="B528" s="720"/>
      <c r="C528" s="720"/>
      <c r="D528" s="720"/>
      <c r="E528" s="720"/>
      <c r="F528" s="720"/>
      <c r="G528" s="720"/>
      <c r="H528" s="720"/>
      <c r="I528" s="720"/>
      <c r="J528" s="720"/>
      <c r="K528" s="720"/>
      <c r="L528" s="720"/>
      <c r="M528" s="720"/>
      <c r="N528" s="720"/>
      <c r="O528" s="720"/>
      <c r="P528" s="143" t="s">
        <v>1623</v>
      </c>
    </row>
    <row r="529" spans="1:16">
      <c r="A529" s="720">
        <v>13</v>
      </c>
      <c r="B529" s="720"/>
      <c r="C529" s="720"/>
      <c r="D529" s="720"/>
      <c r="E529" s="720"/>
      <c r="F529" s="720"/>
      <c r="G529" s="720"/>
      <c r="H529" s="720"/>
      <c r="I529" s="720"/>
      <c r="J529" s="720"/>
      <c r="K529" s="720"/>
      <c r="L529" s="720"/>
      <c r="M529" s="720"/>
      <c r="N529" s="720"/>
      <c r="O529" s="720"/>
      <c r="P529" s="18">
        <v>14</v>
      </c>
    </row>
    <row r="530" spans="1:16" ht="15">
      <c r="A530" s="720" t="s">
        <v>1662</v>
      </c>
      <c r="B530" s="720"/>
      <c r="C530" s="720"/>
      <c r="D530" s="720" t="s">
        <v>1663</v>
      </c>
      <c r="E530" s="720"/>
      <c r="F530" s="720"/>
      <c r="G530" s="720" t="s">
        <v>1664</v>
      </c>
      <c r="H530" s="720"/>
      <c r="I530" s="720"/>
      <c r="J530" s="720" t="s">
        <v>1665</v>
      </c>
      <c r="K530" s="720"/>
      <c r="L530" s="720"/>
      <c r="M530" s="720" t="s">
        <v>1666</v>
      </c>
      <c r="N530" s="720"/>
      <c r="O530" s="720"/>
      <c r="P530" s="310"/>
    </row>
    <row r="531" spans="1:16" ht="15">
      <c r="A531" s="517" t="s">
        <v>1667</v>
      </c>
      <c r="B531" s="517" t="s">
        <v>1668</v>
      </c>
      <c r="C531" s="544" t="s">
        <v>418</v>
      </c>
      <c r="D531" s="517" t="s">
        <v>1667</v>
      </c>
      <c r="E531" s="517" t="s">
        <v>1668</v>
      </c>
      <c r="F531" s="544" t="s">
        <v>418</v>
      </c>
      <c r="G531" s="517" t="s">
        <v>1667</v>
      </c>
      <c r="H531" s="517" t="s">
        <v>1668</v>
      </c>
      <c r="I531" s="544" t="s">
        <v>418</v>
      </c>
      <c r="J531" s="517" t="s">
        <v>1667</v>
      </c>
      <c r="K531" s="517" t="s">
        <v>1668</v>
      </c>
      <c r="L531" s="544" t="s">
        <v>418</v>
      </c>
      <c r="M531" s="517" t="s">
        <v>1667</v>
      </c>
      <c r="N531" s="517" t="s">
        <v>1668</v>
      </c>
      <c r="O531" s="544" t="s">
        <v>418</v>
      </c>
      <c r="P531" s="15"/>
    </row>
    <row r="532" spans="1:16" ht="15.75" customHeight="1">
      <c r="A532" s="258">
        <v>13</v>
      </c>
      <c r="B532" s="254">
        <v>0</v>
      </c>
      <c r="C532" s="254">
        <v>0</v>
      </c>
      <c r="D532" s="254">
        <v>0</v>
      </c>
      <c r="E532" s="254">
        <v>0</v>
      </c>
      <c r="F532" s="254">
        <v>0</v>
      </c>
      <c r="G532" s="254">
        <v>48</v>
      </c>
      <c r="H532" s="254">
        <v>7</v>
      </c>
      <c r="I532" s="254">
        <v>7</v>
      </c>
      <c r="J532" s="254">
        <v>13</v>
      </c>
      <c r="K532" s="254">
        <v>5</v>
      </c>
      <c r="L532" s="254">
        <v>5</v>
      </c>
      <c r="M532" s="254">
        <v>0</v>
      </c>
      <c r="N532" s="254">
        <v>0</v>
      </c>
      <c r="O532" s="254">
        <v>0</v>
      </c>
      <c r="P532" s="727" t="s">
        <v>6714</v>
      </c>
    </row>
    <row r="533" spans="1:16" ht="15" customHeight="1">
      <c r="A533" s="720" t="s">
        <v>1670</v>
      </c>
      <c r="B533" s="720"/>
      <c r="C533" s="720"/>
      <c r="D533" s="720" t="s">
        <v>1671</v>
      </c>
      <c r="E533" s="720"/>
      <c r="F533" s="720"/>
      <c r="G533" s="720" t="s">
        <v>1672</v>
      </c>
      <c r="H533" s="720"/>
      <c r="I533" s="720"/>
      <c r="J533" s="310"/>
      <c r="K533" s="310"/>
      <c r="L533" s="310"/>
      <c r="M533" s="310"/>
      <c r="N533" s="310"/>
      <c r="O533" s="310"/>
      <c r="P533" s="727"/>
    </row>
    <row r="534" spans="1:16" ht="15" customHeight="1">
      <c r="A534" s="517" t="s">
        <v>1667</v>
      </c>
      <c r="B534" s="517" t="s">
        <v>1668</v>
      </c>
      <c r="C534" s="544" t="s">
        <v>418</v>
      </c>
      <c r="D534" s="517" t="s">
        <v>1667</v>
      </c>
      <c r="E534" s="517" t="s">
        <v>1668</v>
      </c>
      <c r="F534" s="544" t="s">
        <v>418</v>
      </c>
      <c r="G534" s="517" t="s">
        <v>1667</v>
      </c>
      <c r="H534" s="517" t="s">
        <v>1668</v>
      </c>
      <c r="I534" s="544" t="s">
        <v>418</v>
      </c>
      <c r="J534" s="310"/>
      <c r="K534" s="310"/>
      <c r="L534" s="310"/>
      <c r="M534" s="310"/>
      <c r="N534" s="310"/>
      <c r="O534" s="310"/>
      <c r="P534" s="727"/>
    </row>
    <row r="535" spans="1:16" ht="84.75" customHeight="1">
      <c r="A535" s="517"/>
      <c r="B535" s="517"/>
      <c r="C535" s="517"/>
      <c r="D535" s="310"/>
      <c r="E535" s="310"/>
      <c r="F535" s="310"/>
      <c r="G535" s="310"/>
      <c r="H535" s="310"/>
      <c r="I535" s="519"/>
      <c r="J535" s="310"/>
      <c r="K535" s="310"/>
      <c r="L535" s="310"/>
      <c r="M535" s="310"/>
      <c r="N535" s="310"/>
      <c r="O535" s="310"/>
      <c r="P535" s="727"/>
    </row>
    <row r="536" spans="1:16">
      <c r="A536" s="15"/>
      <c r="B536" s="15"/>
      <c r="C536" s="15"/>
      <c r="D536" s="15"/>
      <c r="E536" s="15"/>
      <c r="F536" s="15"/>
      <c r="G536" s="15"/>
      <c r="H536" s="15"/>
      <c r="I536" s="14"/>
      <c r="J536" s="15"/>
      <c r="K536" s="15"/>
      <c r="L536" s="15"/>
      <c r="M536" s="15"/>
      <c r="N536" s="15"/>
      <c r="O536" s="15"/>
      <c r="P536" s="15"/>
    </row>
    <row r="537" spans="1:16" ht="22.5">
      <c r="A537" s="718" t="s">
        <v>668</v>
      </c>
      <c r="B537" s="718"/>
      <c r="C537" s="718"/>
      <c r="D537" s="718"/>
      <c r="E537" s="718"/>
      <c r="F537" s="718"/>
      <c r="G537" s="718"/>
      <c r="H537" s="718"/>
      <c r="I537" s="718"/>
      <c r="J537" s="718"/>
      <c r="K537" s="718"/>
      <c r="L537" s="718"/>
      <c r="M537" s="718"/>
      <c r="N537" s="718"/>
      <c r="O537" s="718"/>
      <c r="P537" s="718"/>
    </row>
    <row r="538" spans="1:16" ht="20.25">
      <c r="A538" s="725" t="s">
        <v>6280</v>
      </c>
      <c r="B538" s="725"/>
      <c r="C538" s="725"/>
      <c r="D538" s="725"/>
      <c r="E538" s="725"/>
      <c r="F538" s="725"/>
      <c r="G538" s="725"/>
      <c r="H538" s="725"/>
      <c r="I538" s="725"/>
      <c r="J538" s="725"/>
      <c r="K538" s="725"/>
      <c r="L538" s="725"/>
      <c r="M538" s="548"/>
      <c r="N538" s="548"/>
      <c r="O538" s="15"/>
      <c r="P538" s="15"/>
    </row>
    <row r="539" spans="1:16" ht="114">
      <c r="A539" s="18" t="s">
        <v>0</v>
      </c>
      <c r="B539" s="18" t="s">
        <v>1616</v>
      </c>
      <c r="C539" s="18" t="s">
        <v>1647</v>
      </c>
      <c r="D539" s="18" t="s">
        <v>1648</v>
      </c>
      <c r="E539" s="18" t="s">
        <v>6277</v>
      </c>
      <c r="F539" s="18" t="s">
        <v>1619</v>
      </c>
      <c r="G539" s="19" t="s">
        <v>1649</v>
      </c>
      <c r="H539" s="18" t="s">
        <v>6281</v>
      </c>
      <c r="I539" s="18" t="s">
        <v>1620</v>
      </c>
      <c r="J539" s="19" t="s">
        <v>1650</v>
      </c>
      <c r="K539" s="20" t="s">
        <v>1651</v>
      </c>
      <c r="L539" s="20" t="s">
        <v>1622</v>
      </c>
      <c r="M539" s="15"/>
      <c r="N539" s="15"/>
      <c r="O539" s="15"/>
      <c r="P539" s="310"/>
    </row>
    <row r="540" spans="1:16" ht="15">
      <c r="A540" s="530">
        <v>1</v>
      </c>
      <c r="B540" s="530">
        <v>2</v>
      </c>
      <c r="C540" s="530">
        <v>3</v>
      </c>
      <c r="D540" s="530">
        <v>4</v>
      </c>
      <c r="E540" s="530">
        <v>5</v>
      </c>
      <c r="F540" s="530">
        <v>6</v>
      </c>
      <c r="G540" s="530">
        <v>7</v>
      </c>
      <c r="H540" s="530">
        <v>8</v>
      </c>
      <c r="I540" s="19">
        <v>9</v>
      </c>
      <c r="J540" s="530">
        <v>10</v>
      </c>
      <c r="K540" s="530">
        <v>11</v>
      </c>
      <c r="L540" s="530">
        <v>12</v>
      </c>
      <c r="M540" s="15"/>
      <c r="N540" s="15"/>
      <c r="O540" s="15"/>
      <c r="P540" s="517"/>
    </row>
    <row r="541" spans="1:16" ht="90">
      <c r="A541" s="512">
        <v>1</v>
      </c>
      <c r="B541" s="511" t="s">
        <v>6715</v>
      </c>
      <c r="C541" s="523" t="s">
        <v>1036</v>
      </c>
      <c r="D541" s="511" t="s">
        <v>1082</v>
      </c>
      <c r="E541" s="513">
        <v>11957.83</v>
      </c>
      <c r="F541" s="513" t="s">
        <v>6716</v>
      </c>
      <c r="G541" s="512" t="s">
        <v>17</v>
      </c>
      <c r="H541" s="513" t="s">
        <v>1084</v>
      </c>
      <c r="I541" s="513" t="s">
        <v>1085</v>
      </c>
      <c r="J541" s="512" t="s">
        <v>17</v>
      </c>
      <c r="K541" s="512">
        <v>1</v>
      </c>
      <c r="L541" s="512" t="s">
        <v>35</v>
      </c>
      <c r="M541" s="15"/>
      <c r="N541" s="15"/>
      <c r="O541" s="15"/>
      <c r="P541" s="517"/>
    </row>
    <row r="542" spans="1:16" ht="75">
      <c r="A542" s="512">
        <v>2</v>
      </c>
      <c r="B542" s="511" t="s">
        <v>6715</v>
      </c>
      <c r="C542" s="523" t="s">
        <v>1036</v>
      </c>
      <c r="D542" s="511" t="s">
        <v>6717</v>
      </c>
      <c r="E542" s="513">
        <v>295.27999999999997</v>
      </c>
      <c r="F542" s="513" t="s">
        <v>6718</v>
      </c>
      <c r="G542" s="513" t="s">
        <v>17</v>
      </c>
      <c r="H542" s="513" t="s">
        <v>6719</v>
      </c>
      <c r="I542" s="513" t="s">
        <v>6720</v>
      </c>
      <c r="J542" s="513" t="s">
        <v>17</v>
      </c>
      <c r="K542" s="513"/>
      <c r="L542" s="513">
        <v>1</v>
      </c>
      <c r="M542" s="15"/>
      <c r="N542" s="15"/>
      <c r="O542" s="15"/>
      <c r="P542" s="517"/>
    </row>
    <row r="543" spans="1:16" ht="15">
      <c r="A543" s="513">
        <v>3</v>
      </c>
      <c r="B543" s="511" t="s">
        <v>6715</v>
      </c>
      <c r="C543" s="511" t="s">
        <v>1129</v>
      </c>
      <c r="D543" s="511" t="s">
        <v>6721</v>
      </c>
      <c r="E543" s="513" t="s">
        <v>6722</v>
      </c>
      <c r="F543" s="513" t="s">
        <v>6723</v>
      </c>
      <c r="G543" s="513" t="s">
        <v>35</v>
      </c>
      <c r="H543" s="513" t="s">
        <v>6724</v>
      </c>
      <c r="I543" s="513" t="s">
        <v>35</v>
      </c>
      <c r="J543" s="513" t="s">
        <v>35</v>
      </c>
      <c r="K543" s="513" t="s">
        <v>807</v>
      </c>
      <c r="L543" s="513" t="s">
        <v>807</v>
      </c>
      <c r="M543" s="15"/>
      <c r="N543" s="15"/>
      <c r="O543" s="15"/>
      <c r="P543" s="517"/>
    </row>
    <row r="544" spans="1:16" ht="120">
      <c r="A544" s="513">
        <v>4</v>
      </c>
      <c r="B544" s="511" t="s">
        <v>6715</v>
      </c>
      <c r="C544" s="511" t="s">
        <v>1054</v>
      </c>
      <c r="D544" s="511" t="s">
        <v>6725</v>
      </c>
      <c r="E544" s="513" t="s">
        <v>6726</v>
      </c>
      <c r="F544" s="2" t="s">
        <v>6727</v>
      </c>
      <c r="G544" s="513" t="s">
        <v>193</v>
      </c>
      <c r="H544" s="513">
        <v>0.62</v>
      </c>
      <c r="I544" s="513" t="s">
        <v>6728</v>
      </c>
      <c r="J544" s="511" t="s">
        <v>6729</v>
      </c>
      <c r="K544" s="513" t="s">
        <v>1094</v>
      </c>
      <c r="L544" s="513" t="s">
        <v>193</v>
      </c>
      <c r="M544" s="15"/>
      <c r="N544" s="15"/>
      <c r="O544" s="15"/>
      <c r="P544" s="517"/>
    </row>
    <row r="545" spans="1:16" ht="75">
      <c r="A545" s="513">
        <v>5</v>
      </c>
      <c r="B545" s="511" t="s">
        <v>6715</v>
      </c>
      <c r="C545" s="511" t="s">
        <v>6730</v>
      </c>
      <c r="D545" s="511" t="s">
        <v>6731</v>
      </c>
      <c r="E545" s="544" t="s">
        <v>1098</v>
      </c>
      <c r="F545" s="513" t="s">
        <v>193</v>
      </c>
      <c r="G545" s="544" t="s">
        <v>216</v>
      </c>
      <c r="H545" s="513">
        <v>0.49</v>
      </c>
      <c r="I545" s="513" t="s">
        <v>6732</v>
      </c>
      <c r="J545" s="511" t="s">
        <v>6733</v>
      </c>
      <c r="K545" s="513" t="s">
        <v>6734</v>
      </c>
      <c r="L545" s="513" t="s">
        <v>193</v>
      </c>
      <c r="M545" s="15"/>
      <c r="N545" s="15"/>
      <c r="O545" s="15"/>
      <c r="P545" s="517"/>
    </row>
    <row r="546" spans="1:16" ht="60">
      <c r="A546" s="513">
        <v>6</v>
      </c>
      <c r="B546" s="511" t="s">
        <v>6715</v>
      </c>
      <c r="C546" s="511" t="s">
        <v>6730</v>
      </c>
      <c r="D546" s="519" t="s">
        <v>6735</v>
      </c>
      <c r="E546" s="513" t="s">
        <v>1106</v>
      </c>
      <c r="F546" s="513" t="s">
        <v>193</v>
      </c>
      <c r="G546" s="513" t="s">
        <v>1107</v>
      </c>
      <c r="H546" s="513">
        <v>0.04</v>
      </c>
      <c r="I546" s="513" t="s">
        <v>6736</v>
      </c>
      <c r="J546" s="511" t="s">
        <v>6737</v>
      </c>
      <c r="K546" s="513" t="s">
        <v>6738</v>
      </c>
      <c r="L546" s="513" t="s">
        <v>193</v>
      </c>
      <c r="M546" s="15"/>
      <c r="N546" s="15"/>
      <c r="O546" s="15"/>
      <c r="P546" s="517"/>
    </row>
    <row r="547" spans="1:16" ht="31.5">
      <c r="A547" s="539">
        <v>7</v>
      </c>
      <c r="B547" s="281" t="s">
        <v>6715</v>
      </c>
      <c r="C547" s="282" t="s">
        <v>1046</v>
      </c>
      <c r="D547" s="281" t="s">
        <v>1110</v>
      </c>
      <c r="E547" s="48" t="s">
        <v>1111</v>
      </c>
      <c r="F547" s="279" t="s">
        <v>1112</v>
      </c>
      <c r="G547" s="279" t="s">
        <v>35</v>
      </c>
      <c r="H547" s="279">
        <v>0.01</v>
      </c>
      <c r="I547" s="279" t="s">
        <v>35</v>
      </c>
      <c r="J547" s="279" t="s">
        <v>193</v>
      </c>
      <c r="K547" s="279">
        <v>1</v>
      </c>
      <c r="L547" s="279"/>
      <c r="M547" s="15"/>
      <c r="N547" s="15"/>
      <c r="O547" s="15"/>
      <c r="P547" s="517"/>
    </row>
    <row r="548" spans="1:16" ht="47.25">
      <c r="A548" s="539">
        <v>8</v>
      </c>
      <c r="B548" s="281" t="s">
        <v>6715</v>
      </c>
      <c r="C548" s="282" t="s">
        <v>1046</v>
      </c>
      <c r="D548" s="281" t="s">
        <v>1116</v>
      </c>
      <c r="E548" s="48" t="s">
        <v>1117</v>
      </c>
      <c r="F548" s="279">
        <v>1988</v>
      </c>
      <c r="G548" s="279" t="s">
        <v>35</v>
      </c>
      <c r="H548" s="280">
        <v>0.11</v>
      </c>
      <c r="I548" s="279" t="s">
        <v>35</v>
      </c>
      <c r="J548" s="279" t="s">
        <v>193</v>
      </c>
      <c r="K548" s="279">
        <v>2</v>
      </c>
      <c r="L548" s="279"/>
      <c r="M548" s="15"/>
      <c r="N548" s="15"/>
      <c r="O548" s="15"/>
      <c r="P548" s="517"/>
    </row>
    <row r="549" spans="1:16" ht="15.75">
      <c r="A549" s="539">
        <v>9</v>
      </c>
      <c r="B549" s="281" t="s">
        <v>6715</v>
      </c>
      <c r="C549" s="282" t="s">
        <v>1046</v>
      </c>
      <c r="D549" s="283" t="s">
        <v>6739</v>
      </c>
      <c r="E549" s="48" t="s">
        <v>1119</v>
      </c>
      <c r="F549" s="279">
        <v>1983</v>
      </c>
      <c r="G549" s="279" t="s">
        <v>35</v>
      </c>
      <c r="H549" s="279">
        <v>0.02</v>
      </c>
      <c r="I549" s="279" t="s">
        <v>35</v>
      </c>
      <c r="J549" s="279" t="s">
        <v>193</v>
      </c>
      <c r="K549" s="279">
        <v>3</v>
      </c>
      <c r="L549" s="279"/>
      <c r="M549" s="15"/>
      <c r="N549" s="15"/>
      <c r="O549" s="15"/>
      <c r="P549" s="517"/>
    </row>
    <row r="550" spans="1:16" ht="31.5">
      <c r="A550" s="539">
        <v>10</v>
      </c>
      <c r="B550" s="281" t="s">
        <v>6715</v>
      </c>
      <c r="C550" s="282" t="s">
        <v>1046</v>
      </c>
      <c r="D550" s="281" t="s">
        <v>2479</v>
      </c>
      <c r="E550" s="48" t="s">
        <v>6740</v>
      </c>
      <c r="F550" s="279" t="s">
        <v>17</v>
      </c>
      <c r="G550" s="279">
        <v>1979</v>
      </c>
      <c r="H550" s="279">
        <v>0.13</v>
      </c>
      <c r="I550" s="279" t="s">
        <v>35</v>
      </c>
      <c r="J550" s="279" t="s">
        <v>193</v>
      </c>
      <c r="K550" s="279">
        <v>4</v>
      </c>
      <c r="L550" s="279"/>
      <c r="M550" s="15"/>
      <c r="N550" s="15"/>
      <c r="O550" s="15"/>
      <c r="P550" s="517"/>
    </row>
    <row r="551" spans="1:16" ht="15.75">
      <c r="A551" s="539">
        <v>11</v>
      </c>
      <c r="B551" s="281" t="s">
        <v>6715</v>
      </c>
      <c r="C551" s="282" t="s">
        <v>1046</v>
      </c>
      <c r="D551" s="283" t="s">
        <v>6741</v>
      </c>
      <c r="E551" s="48" t="s">
        <v>6742</v>
      </c>
      <c r="F551" s="279" t="s">
        <v>17</v>
      </c>
      <c r="G551" s="279">
        <v>1987</v>
      </c>
      <c r="H551" s="279">
        <v>0.24</v>
      </c>
      <c r="I551" s="279" t="s">
        <v>35</v>
      </c>
      <c r="J551" s="279" t="s">
        <v>193</v>
      </c>
      <c r="K551" s="279">
        <v>5</v>
      </c>
      <c r="L551" s="279"/>
      <c r="M551" s="15"/>
      <c r="N551" s="15"/>
      <c r="O551" s="15"/>
      <c r="P551" s="517"/>
    </row>
    <row r="552" spans="1:16" ht="31.5">
      <c r="A552" s="539">
        <v>12</v>
      </c>
      <c r="B552" s="281" t="s">
        <v>6715</v>
      </c>
      <c r="C552" s="282" t="s">
        <v>1046</v>
      </c>
      <c r="D552" s="281" t="s">
        <v>1134</v>
      </c>
      <c r="E552" s="48" t="s">
        <v>1135</v>
      </c>
      <c r="F552" s="279">
        <v>1988</v>
      </c>
      <c r="G552" s="279" t="s">
        <v>193</v>
      </c>
      <c r="H552" s="279">
        <v>0.12</v>
      </c>
      <c r="I552" s="279" t="s">
        <v>35</v>
      </c>
      <c r="J552" s="279" t="s">
        <v>193</v>
      </c>
      <c r="K552" s="279" t="s">
        <v>193</v>
      </c>
      <c r="L552" s="279">
        <v>1</v>
      </c>
      <c r="M552" s="15"/>
      <c r="N552" s="15"/>
      <c r="O552" s="15"/>
      <c r="P552" s="517"/>
    </row>
    <row r="553" spans="1:16" ht="57">
      <c r="A553" s="720" t="s">
        <v>1661</v>
      </c>
      <c r="B553" s="720"/>
      <c r="C553" s="720"/>
      <c r="D553" s="720"/>
      <c r="E553" s="720"/>
      <c r="F553" s="720"/>
      <c r="G553" s="720"/>
      <c r="H553" s="720"/>
      <c r="I553" s="720"/>
      <c r="J553" s="720"/>
      <c r="K553" s="720"/>
      <c r="L553" s="720"/>
      <c r="M553" s="720"/>
      <c r="N553" s="720"/>
      <c r="O553" s="720"/>
      <c r="P553" s="143" t="s">
        <v>1623</v>
      </c>
    </row>
    <row r="554" spans="1:16">
      <c r="A554" s="720">
        <v>13</v>
      </c>
      <c r="B554" s="720"/>
      <c r="C554" s="720"/>
      <c r="D554" s="720"/>
      <c r="E554" s="720"/>
      <c r="F554" s="720"/>
      <c r="G554" s="720"/>
      <c r="H554" s="720"/>
      <c r="I554" s="720"/>
      <c r="J554" s="720"/>
      <c r="K554" s="720"/>
      <c r="L554" s="720"/>
      <c r="M554" s="720"/>
      <c r="N554" s="720"/>
      <c r="O554" s="720"/>
      <c r="P554" s="18">
        <v>14</v>
      </c>
    </row>
    <row r="555" spans="1:16" ht="15">
      <c r="A555" s="720" t="s">
        <v>1662</v>
      </c>
      <c r="B555" s="720"/>
      <c r="C555" s="720"/>
      <c r="D555" s="720" t="s">
        <v>1663</v>
      </c>
      <c r="E555" s="720"/>
      <c r="F555" s="720"/>
      <c r="G555" s="720" t="s">
        <v>1664</v>
      </c>
      <c r="H555" s="720"/>
      <c r="I555" s="720"/>
      <c r="J555" s="720" t="s">
        <v>1665</v>
      </c>
      <c r="K555" s="720"/>
      <c r="L555" s="720"/>
      <c r="M555" s="720" t="s">
        <v>1666</v>
      </c>
      <c r="N555" s="720"/>
      <c r="O555" s="720"/>
      <c r="P555" s="310"/>
    </row>
    <row r="556" spans="1:16" ht="15">
      <c r="A556" s="517" t="s">
        <v>1667</v>
      </c>
      <c r="B556" s="517" t="s">
        <v>1668</v>
      </c>
      <c r="C556" s="544" t="s">
        <v>418</v>
      </c>
      <c r="D556" s="517" t="s">
        <v>1667</v>
      </c>
      <c r="E556" s="517" t="s">
        <v>1668</v>
      </c>
      <c r="F556" s="544" t="s">
        <v>418</v>
      </c>
      <c r="G556" s="517" t="s">
        <v>1667</v>
      </c>
      <c r="H556" s="517" t="s">
        <v>1668</v>
      </c>
      <c r="I556" s="544" t="s">
        <v>418</v>
      </c>
      <c r="J556" s="517" t="s">
        <v>1667</v>
      </c>
      <c r="K556" s="517" t="s">
        <v>1668</v>
      </c>
      <c r="L556" s="544" t="s">
        <v>418</v>
      </c>
      <c r="M556" s="517" t="s">
        <v>1667</v>
      </c>
      <c r="N556" s="517" t="s">
        <v>1668</v>
      </c>
      <c r="O556" s="544" t="s">
        <v>418</v>
      </c>
      <c r="P556" s="15"/>
    </row>
    <row r="557" spans="1:16" ht="60">
      <c r="A557" s="512">
        <v>12</v>
      </c>
      <c r="B557" s="512">
        <v>11</v>
      </c>
      <c r="C557" s="512">
        <v>8</v>
      </c>
      <c r="D557" s="512">
        <v>51</v>
      </c>
      <c r="E557" s="512">
        <v>51</v>
      </c>
      <c r="F557" s="512">
        <v>42</v>
      </c>
      <c r="G557" s="512">
        <v>82</v>
      </c>
      <c r="H557" s="512">
        <v>83</v>
      </c>
      <c r="I557" s="512">
        <v>58</v>
      </c>
      <c r="J557" s="512">
        <v>24</v>
      </c>
      <c r="K557" s="512">
        <v>21</v>
      </c>
      <c r="L557" s="512">
        <v>15</v>
      </c>
      <c r="M557" s="512">
        <v>10</v>
      </c>
      <c r="N557" s="512">
        <v>9</v>
      </c>
      <c r="O557" s="512">
        <v>7</v>
      </c>
      <c r="P557" s="516" t="s">
        <v>6743</v>
      </c>
    </row>
    <row r="558" spans="1:16" ht="15">
      <c r="A558" s="512">
        <v>2</v>
      </c>
      <c r="B558" s="512">
        <v>2</v>
      </c>
      <c r="C558" s="512">
        <v>0</v>
      </c>
      <c r="D558" s="512">
        <v>6</v>
      </c>
      <c r="E558" s="512">
        <v>6</v>
      </c>
      <c r="F558" s="512">
        <v>0</v>
      </c>
      <c r="G558" s="512">
        <v>10</v>
      </c>
      <c r="H558" s="512">
        <v>10</v>
      </c>
      <c r="I558" s="512">
        <v>1</v>
      </c>
      <c r="J558" s="512">
        <v>3</v>
      </c>
      <c r="K558" s="512">
        <v>3</v>
      </c>
      <c r="L558" s="512">
        <v>0</v>
      </c>
      <c r="M558" s="512">
        <v>1</v>
      </c>
      <c r="N558" s="512">
        <v>1</v>
      </c>
      <c r="O558" s="512">
        <v>0</v>
      </c>
      <c r="P558" s="526" t="s">
        <v>1129</v>
      </c>
    </row>
    <row r="559" spans="1:16" ht="45">
      <c r="A559" s="512">
        <v>8</v>
      </c>
      <c r="B559" s="512">
        <v>5</v>
      </c>
      <c r="C559" s="513">
        <v>0</v>
      </c>
      <c r="D559" s="512">
        <v>12</v>
      </c>
      <c r="E559" s="512">
        <v>12</v>
      </c>
      <c r="F559" s="513">
        <v>8</v>
      </c>
      <c r="G559" s="512">
        <v>18</v>
      </c>
      <c r="H559" s="512">
        <v>18</v>
      </c>
      <c r="I559" s="513">
        <v>15</v>
      </c>
      <c r="J559" s="512">
        <v>6</v>
      </c>
      <c r="K559" s="512">
        <v>6</v>
      </c>
      <c r="L559" s="513">
        <v>5</v>
      </c>
      <c r="M559" s="512">
        <v>1</v>
      </c>
      <c r="N559" s="512">
        <v>1</v>
      </c>
      <c r="O559" s="513">
        <v>0</v>
      </c>
      <c r="P559" s="511" t="s">
        <v>6745</v>
      </c>
    </row>
    <row r="560" spans="1:16" ht="15">
      <c r="A560" s="512">
        <v>6</v>
      </c>
      <c r="B560" s="512">
        <v>0</v>
      </c>
      <c r="C560" s="513">
        <v>0</v>
      </c>
      <c r="D560" s="512">
        <v>24</v>
      </c>
      <c r="E560" s="512">
        <v>0</v>
      </c>
      <c r="F560" s="513">
        <v>0</v>
      </c>
      <c r="G560" s="512">
        <v>0</v>
      </c>
      <c r="H560" s="512">
        <v>0</v>
      </c>
      <c r="I560" s="513">
        <v>0</v>
      </c>
      <c r="J560" s="512">
        <v>0</v>
      </c>
      <c r="K560" s="512">
        <v>0</v>
      </c>
      <c r="L560" s="513">
        <v>0</v>
      </c>
      <c r="M560" s="512">
        <v>0</v>
      </c>
      <c r="N560" s="512">
        <v>0</v>
      </c>
      <c r="O560" s="513">
        <v>0</v>
      </c>
      <c r="P560" s="516" t="s">
        <v>6744</v>
      </c>
    </row>
    <row r="561" spans="1:16" ht="15">
      <c r="A561" s="512">
        <v>40</v>
      </c>
      <c r="B561" s="512">
        <v>36</v>
      </c>
      <c r="C561" s="513">
        <v>7</v>
      </c>
      <c r="D561" s="512">
        <v>64</v>
      </c>
      <c r="E561" s="512">
        <v>29</v>
      </c>
      <c r="F561" s="513">
        <v>5</v>
      </c>
      <c r="G561" s="512">
        <v>105</v>
      </c>
      <c r="H561" s="512">
        <v>91</v>
      </c>
      <c r="I561" s="513">
        <v>63</v>
      </c>
      <c r="J561" s="512">
        <v>10</v>
      </c>
      <c r="K561" s="512">
        <v>10</v>
      </c>
      <c r="L561" s="513">
        <v>10</v>
      </c>
      <c r="M561" s="512">
        <v>5</v>
      </c>
      <c r="N561" s="512">
        <v>5</v>
      </c>
      <c r="O561" s="513">
        <v>4</v>
      </c>
      <c r="P561" s="526" t="s">
        <v>1046</v>
      </c>
    </row>
    <row r="562" spans="1:16" ht="15">
      <c r="A562" s="720" t="s">
        <v>1670</v>
      </c>
      <c r="B562" s="720"/>
      <c r="C562" s="720"/>
      <c r="D562" s="720" t="s">
        <v>1671</v>
      </c>
      <c r="E562" s="720"/>
      <c r="F562" s="720"/>
      <c r="G562" s="720" t="s">
        <v>1672</v>
      </c>
      <c r="H562" s="720"/>
      <c r="I562" s="720"/>
      <c r="J562" s="310"/>
      <c r="K562" s="310"/>
      <c r="L562" s="310"/>
      <c r="M562" s="310"/>
      <c r="N562" s="310"/>
      <c r="O562" s="310"/>
      <c r="P562" s="15"/>
    </row>
    <row r="563" spans="1:16" ht="15">
      <c r="A563" s="517" t="s">
        <v>1667</v>
      </c>
      <c r="B563" s="517" t="s">
        <v>1668</v>
      </c>
      <c r="C563" s="544" t="s">
        <v>418</v>
      </c>
      <c r="D563" s="517" t="s">
        <v>1667</v>
      </c>
      <c r="E563" s="517" t="s">
        <v>1668</v>
      </c>
      <c r="F563" s="544" t="s">
        <v>418</v>
      </c>
      <c r="G563" s="517" t="s">
        <v>1667</v>
      </c>
      <c r="H563" s="517" t="s">
        <v>1668</v>
      </c>
      <c r="I563" s="544" t="s">
        <v>418</v>
      </c>
      <c r="J563" s="310"/>
      <c r="K563" s="310"/>
      <c r="L563" s="310"/>
      <c r="M563" s="310"/>
      <c r="N563" s="310"/>
      <c r="O563" s="310"/>
      <c r="P563" s="143"/>
    </row>
    <row r="564" spans="1:16" ht="45">
      <c r="A564" s="517" t="s">
        <v>35</v>
      </c>
      <c r="B564" s="517" t="s">
        <v>35</v>
      </c>
      <c r="C564" s="517" t="s">
        <v>35</v>
      </c>
      <c r="D564" s="517" t="s">
        <v>35</v>
      </c>
      <c r="E564" s="517" t="s">
        <v>35</v>
      </c>
      <c r="F564" s="517" t="s">
        <v>35</v>
      </c>
      <c r="G564" s="517" t="s">
        <v>35</v>
      </c>
      <c r="H564" s="517" t="s">
        <v>35</v>
      </c>
      <c r="I564" s="517" t="s">
        <v>35</v>
      </c>
      <c r="J564" s="25" t="s">
        <v>6743</v>
      </c>
      <c r="K564" s="310"/>
      <c r="L564" s="310"/>
      <c r="M564" s="310"/>
      <c r="N564" s="310"/>
      <c r="O564" s="310"/>
      <c r="P564" s="143"/>
    </row>
    <row r="565" spans="1:16" ht="15">
      <c r="A565" s="517" t="s">
        <v>35</v>
      </c>
      <c r="B565" s="517" t="s">
        <v>35</v>
      </c>
      <c r="C565" s="517" t="s">
        <v>35</v>
      </c>
      <c r="D565" s="517" t="s">
        <v>35</v>
      </c>
      <c r="E565" s="517" t="s">
        <v>35</v>
      </c>
      <c r="F565" s="517" t="s">
        <v>35</v>
      </c>
      <c r="G565" s="517" t="s">
        <v>35</v>
      </c>
      <c r="H565" s="517" t="s">
        <v>35</v>
      </c>
      <c r="I565" s="517" t="s">
        <v>35</v>
      </c>
      <c r="J565" s="24" t="s">
        <v>1129</v>
      </c>
      <c r="K565" s="310"/>
      <c r="L565" s="310"/>
      <c r="M565" s="310"/>
      <c r="N565" s="310"/>
      <c r="O565" s="310"/>
      <c r="P565" s="143"/>
    </row>
    <row r="566" spans="1:16" ht="45">
      <c r="A566" s="517" t="s">
        <v>35</v>
      </c>
      <c r="B566" s="517" t="s">
        <v>35</v>
      </c>
      <c r="C566" s="517" t="s">
        <v>35</v>
      </c>
      <c r="D566" s="517" t="s">
        <v>35</v>
      </c>
      <c r="E566" s="517" t="s">
        <v>35</v>
      </c>
      <c r="F566" s="517" t="s">
        <v>35</v>
      </c>
      <c r="G566" s="517" t="s">
        <v>35</v>
      </c>
      <c r="H566" s="517" t="s">
        <v>35</v>
      </c>
      <c r="I566" s="517" t="s">
        <v>35</v>
      </c>
      <c r="J566" s="536" t="s">
        <v>6745</v>
      </c>
      <c r="K566" s="310"/>
      <c r="L566" s="310"/>
      <c r="M566" s="310"/>
      <c r="N566" s="310"/>
      <c r="O566" s="310"/>
      <c r="P566" s="143"/>
    </row>
    <row r="567" spans="1:16" ht="15">
      <c r="A567" s="517" t="s">
        <v>35</v>
      </c>
      <c r="B567" s="517" t="s">
        <v>35</v>
      </c>
      <c r="C567" s="517" t="s">
        <v>35</v>
      </c>
      <c r="D567" s="517" t="s">
        <v>35</v>
      </c>
      <c r="E567" s="517" t="s">
        <v>35</v>
      </c>
      <c r="F567" s="517" t="s">
        <v>35</v>
      </c>
      <c r="G567" s="517" t="s">
        <v>35</v>
      </c>
      <c r="H567" s="517" t="s">
        <v>35</v>
      </c>
      <c r="I567" s="517" t="s">
        <v>35</v>
      </c>
      <c r="J567" s="25" t="s">
        <v>6744</v>
      </c>
      <c r="K567" s="310"/>
      <c r="L567" s="310"/>
      <c r="M567" s="310"/>
      <c r="N567" s="310"/>
      <c r="O567" s="310"/>
      <c r="P567" s="143"/>
    </row>
    <row r="568" spans="1:16" ht="15">
      <c r="A568" s="512">
        <v>1</v>
      </c>
      <c r="B568" s="512">
        <v>1</v>
      </c>
      <c r="C568" s="512">
        <v>1</v>
      </c>
      <c r="D568" s="517" t="s">
        <v>35</v>
      </c>
      <c r="E568" s="517" t="s">
        <v>35</v>
      </c>
      <c r="F568" s="517" t="s">
        <v>35</v>
      </c>
      <c r="G568" s="517" t="s">
        <v>35</v>
      </c>
      <c r="H568" s="517" t="s">
        <v>35</v>
      </c>
      <c r="I568" s="517" t="s">
        <v>35</v>
      </c>
      <c r="J568" s="24" t="s">
        <v>1046</v>
      </c>
      <c r="K568" s="310"/>
      <c r="L568" s="310"/>
      <c r="M568" s="310"/>
      <c r="N568" s="310"/>
      <c r="O568" s="310"/>
      <c r="P568" s="18"/>
    </row>
    <row r="569" spans="1:16" ht="15">
      <c r="A569" s="15"/>
      <c r="B569" s="15"/>
      <c r="C569" s="15"/>
      <c r="D569" s="15"/>
      <c r="E569" s="15"/>
      <c r="F569" s="15"/>
      <c r="G569" s="15"/>
      <c r="H569" s="15"/>
      <c r="I569" s="14"/>
      <c r="J569" s="15"/>
      <c r="K569" s="15"/>
      <c r="L569" s="15"/>
      <c r="M569" s="15"/>
      <c r="N569" s="15"/>
      <c r="O569" s="15"/>
      <c r="P569" s="519"/>
    </row>
    <row r="570" spans="1:16" ht="22.5">
      <c r="A570" s="718" t="s">
        <v>669</v>
      </c>
      <c r="B570" s="718"/>
      <c r="C570" s="718"/>
      <c r="D570" s="718"/>
      <c r="E570" s="718"/>
      <c r="F570" s="718"/>
      <c r="G570" s="718"/>
      <c r="H570" s="718"/>
      <c r="I570" s="718"/>
      <c r="J570" s="718"/>
      <c r="K570" s="718"/>
      <c r="L570" s="718"/>
      <c r="M570" s="718"/>
      <c r="N570" s="718"/>
      <c r="O570" s="718"/>
      <c r="P570" s="718"/>
    </row>
    <row r="571" spans="1:16" ht="20.25">
      <c r="A571" s="725" t="s">
        <v>6280</v>
      </c>
      <c r="B571" s="725"/>
      <c r="C571" s="725"/>
      <c r="D571" s="725"/>
      <c r="E571" s="725"/>
      <c r="F571" s="725"/>
      <c r="G571" s="725"/>
      <c r="H571" s="725"/>
      <c r="I571" s="725"/>
      <c r="J571" s="725"/>
      <c r="K571" s="725"/>
      <c r="L571" s="725"/>
      <c r="M571" s="548"/>
      <c r="N571" s="548"/>
      <c r="O571" s="15"/>
      <c r="P571" s="310"/>
    </row>
    <row r="572" spans="1:16" ht="114">
      <c r="A572" s="18" t="s">
        <v>0</v>
      </c>
      <c r="B572" s="18" t="s">
        <v>1616</v>
      </c>
      <c r="C572" s="18" t="s">
        <v>1647</v>
      </c>
      <c r="D572" s="18" t="s">
        <v>1648</v>
      </c>
      <c r="E572" s="18" t="s">
        <v>6277</v>
      </c>
      <c r="F572" s="18" t="s">
        <v>1619</v>
      </c>
      <c r="G572" s="19" t="s">
        <v>1649</v>
      </c>
      <c r="H572" s="18" t="s">
        <v>6281</v>
      </c>
      <c r="I572" s="18" t="s">
        <v>1620</v>
      </c>
      <c r="J572" s="19" t="s">
        <v>1650</v>
      </c>
      <c r="K572" s="20" t="s">
        <v>1651</v>
      </c>
      <c r="L572" s="20" t="s">
        <v>1622</v>
      </c>
      <c r="M572" s="15"/>
      <c r="N572" s="15"/>
      <c r="O572" s="15"/>
      <c r="P572" s="310"/>
    </row>
    <row r="573" spans="1:16" ht="15">
      <c r="A573" s="530">
        <v>1</v>
      </c>
      <c r="B573" s="530">
        <v>2</v>
      </c>
      <c r="C573" s="530">
        <v>3</v>
      </c>
      <c r="D573" s="530">
        <v>4</v>
      </c>
      <c r="E573" s="530">
        <v>5</v>
      </c>
      <c r="F573" s="530">
        <v>6</v>
      </c>
      <c r="G573" s="530">
        <v>7</v>
      </c>
      <c r="H573" s="530">
        <v>8</v>
      </c>
      <c r="I573" s="19">
        <v>9</v>
      </c>
      <c r="J573" s="530">
        <v>10</v>
      </c>
      <c r="K573" s="530">
        <v>11</v>
      </c>
      <c r="L573" s="530">
        <v>12</v>
      </c>
      <c r="M573" s="15"/>
      <c r="N573" s="15"/>
      <c r="O573" s="15"/>
      <c r="P573" s="310"/>
    </row>
    <row r="574" spans="1:16">
      <c r="A574" s="538"/>
      <c r="B574" s="550"/>
      <c r="C574" s="550"/>
      <c r="D574" s="14"/>
      <c r="E574" s="17"/>
      <c r="F574" s="17"/>
      <c r="G574" s="537"/>
      <c r="H574" s="17"/>
      <c r="I574" s="17"/>
      <c r="J574" s="537"/>
      <c r="K574" s="537"/>
      <c r="L574" s="537"/>
      <c r="M574" s="15"/>
      <c r="N574" s="15"/>
      <c r="O574" s="15"/>
      <c r="P574" s="15"/>
    </row>
    <row r="575" spans="1:16">
      <c r="A575" s="15"/>
      <c r="B575" s="15"/>
      <c r="C575" s="15"/>
      <c r="D575" s="15"/>
      <c r="E575" s="537"/>
      <c r="F575" s="537"/>
      <c r="G575" s="537"/>
      <c r="H575" s="537"/>
      <c r="I575" s="17"/>
      <c r="J575" s="537"/>
      <c r="K575" s="537"/>
      <c r="L575" s="537"/>
      <c r="M575" s="15"/>
      <c r="N575" s="15"/>
      <c r="O575" s="15"/>
      <c r="P575" s="15"/>
    </row>
    <row r="576" spans="1:16" ht="57">
      <c r="A576" s="720" t="s">
        <v>1661</v>
      </c>
      <c r="B576" s="720"/>
      <c r="C576" s="720"/>
      <c r="D576" s="720"/>
      <c r="E576" s="720"/>
      <c r="F576" s="720"/>
      <c r="G576" s="720"/>
      <c r="H576" s="720"/>
      <c r="I576" s="720"/>
      <c r="J576" s="720"/>
      <c r="K576" s="720"/>
      <c r="L576" s="720"/>
      <c r="M576" s="720"/>
      <c r="N576" s="720"/>
      <c r="O576" s="720"/>
      <c r="P576" s="143" t="s">
        <v>1623</v>
      </c>
    </row>
    <row r="577" spans="1:16">
      <c r="A577" s="720">
        <v>13</v>
      </c>
      <c r="B577" s="720"/>
      <c r="C577" s="720"/>
      <c r="D577" s="720"/>
      <c r="E577" s="720"/>
      <c r="F577" s="720"/>
      <c r="G577" s="720"/>
      <c r="H577" s="720"/>
      <c r="I577" s="720"/>
      <c r="J577" s="720"/>
      <c r="K577" s="720"/>
      <c r="L577" s="720"/>
      <c r="M577" s="720"/>
      <c r="N577" s="720"/>
      <c r="O577" s="720"/>
      <c r="P577" s="18">
        <v>14</v>
      </c>
    </row>
    <row r="578" spans="1:16">
      <c r="A578" s="720" t="s">
        <v>1662</v>
      </c>
      <c r="B578" s="720"/>
      <c r="C578" s="720"/>
      <c r="D578" s="720" t="s">
        <v>1663</v>
      </c>
      <c r="E578" s="720"/>
      <c r="F578" s="720"/>
      <c r="G578" s="720" t="s">
        <v>1664</v>
      </c>
      <c r="H578" s="720"/>
      <c r="I578" s="720"/>
      <c r="J578" s="720" t="s">
        <v>1665</v>
      </c>
      <c r="K578" s="720"/>
      <c r="L578" s="720"/>
      <c r="M578" s="720" t="s">
        <v>1666</v>
      </c>
      <c r="N578" s="720"/>
      <c r="O578" s="720"/>
      <c r="P578" s="15"/>
    </row>
    <row r="579" spans="1:16" ht="15">
      <c r="A579" s="517" t="s">
        <v>1667</v>
      </c>
      <c r="B579" s="517" t="s">
        <v>1668</v>
      </c>
      <c r="C579" s="544" t="s">
        <v>418</v>
      </c>
      <c r="D579" s="517" t="s">
        <v>1667</v>
      </c>
      <c r="E579" s="517" t="s">
        <v>1668</v>
      </c>
      <c r="F579" s="544" t="s">
        <v>418</v>
      </c>
      <c r="G579" s="517" t="s">
        <v>1667</v>
      </c>
      <c r="H579" s="517" t="s">
        <v>1668</v>
      </c>
      <c r="I579" s="544" t="s">
        <v>418</v>
      </c>
      <c r="J579" s="517" t="s">
        <v>1667</v>
      </c>
      <c r="K579" s="517" t="s">
        <v>1668</v>
      </c>
      <c r="L579" s="544" t="s">
        <v>418</v>
      </c>
      <c r="M579" s="517" t="s">
        <v>1667</v>
      </c>
      <c r="N579" s="517" t="s">
        <v>1668</v>
      </c>
      <c r="O579" s="544" t="s">
        <v>418</v>
      </c>
      <c r="P579" s="15"/>
    </row>
    <row r="580" spans="1:16" ht="15">
      <c r="A580" s="27"/>
      <c r="B580" s="27"/>
      <c r="C580" s="27"/>
      <c r="D580" s="27"/>
      <c r="E580" s="27"/>
      <c r="F580" s="27"/>
      <c r="G580" s="27"/>
      <c r="H580" s="27"/>
      <c r="I580" s="27"/>
      <c r="J580" s="27"/>
      <c r="K580" s="27"/>
      <c r="L580" s="27"/>
      <c r="M580" s="27"/>
      <c r="N580" s="27"/>
      <c r="O580" s="27"/>
      <c r="P580" s="15"/>
    </row>
    <row r="581" spans="1:16" ht="15" customHeight="1">
      <c r="A581" s="720" t="s">
        <v>1670</v>
      </c>
      <c r="B581" s="720"/>
      <c r="C581" s="720"/>
      <c r="D581" s="720" t="s">
        <v>1671</v>
      </c>
      <c r="E581" s="720"/>
      <c r="F581" s="720"/>
      <c r="G581" s="720" t="s">
        <v>1672</v>
      </c>
      <c r="H581" s="720"/>
      <c r="I581" s="720"/>
      <c r="J581" s="716"/>
      <c r="K581" s="716"/>
      <c r="L581" s="716"/>
      <c r="M581" s="716"/>
      <c r="N581" s="716"/>
      <c r="O581" s="716"/>
      <c r="P581" s="15"/>
    </row>
    <row r="582" spans="1:16" ht="15">
      <c r="A582" s="517" t="s">
        <v>1667</v>
      </c>
      <c r="B582" s="517" t="s">
        <v>1668</v>
      </c>
      <c r="C582" s="544" t="s">
        <v>418</v>
      </c>
      <c r="D582" s="517" t="s">
        <v>1667</v>
      </c>
      <c r="E582" s="517" t="s">
        <v>1668</v>
      </c>
      <c r="F582" s="544" t="s">
        <v>418</v>
      </c>
      <c r="G582" s="517" t="s">
        <v>1667</v>
      </c>
      <c r="H582" s="517" t="s">
        <v>1668</v>
      </c>
      <c r="I582" s="544" t="s">
        <v>418</v>
      </c>
      <c r="J582" s="716"/>
      <c r="K582" s="716"/>
      <c r="L582" s="716"/>
      <c r="M582" s="716"/>
      <c r="N582" s="716"/>
      <c r="O582" s="716"/>
      <c r="P582" s="15"/>
    </row>
    <row r="583" spans="1:16" ht="15">
      <c r="A583" s="517"/>
      <c r="B583" s="517"/>
      <c r="C583" s="517"/>
      <c r="D583" s="310"/>
      <c r="E583" s="310"/>
      <c r="F583" s="310"/>
      <c r="G583" s="310"/>
      <c r="H583" s="310"/>
      <c r="I583" s="519"/>
      <c r="J583" s="716"/>
      <c r="K583" s="716"/>
      <c r="L583" s="716"/>
      <c r="M583" s="716"/>
      <c r="N583" s="716"/>
      <c r="O583" s="716"/>
      <c r="P583" s="15"/>
    </row>
    <row r="584" spans="1:16" ht="15">
      <c r="A584" s="310"/>
      <c r="B584" s="310"/>
      <c r="C584" s="310"/>
      <c r="D584" s="310"/>
      <c r="E584" s="310"/>
      <c r="F584" s="310"/>
      <c r="G584" s="310"/>
      <c r="H584" s="310"/>
      <c r="I584" s="519"/>
      <c r="J584" s="716"/>
      <c r="K584" s="716"/>
      <c r="L584" s="716"/>
      <c r="M584" s="716"/>
      <c r="N584" s="716"/>
      <c r="O584" s="716"/>
      <c r="P584" s="310"/>
    </row>
    <row r="585" spans="1:16" ht="15">
      <c r="A585" s="15"/>
      <c r="B585" s="15"/>
      <c r="C585" s="15"/>
      <c r="D585" s="15"/>
      <c r="E585" s="15"/>
      <c r="F585" s="15"/>
      <c r="G585" s="15"/>
      <c r="H585" s="15"/>
      <c r="I585" s="14"/>
      <c r="J585" s="15"/>
      <c r="K585" s="15"/>
      <c r="L585" s="15"/>
      <c r="M585" s="15"/>
      <c r="N585" s="15"/>
      <c r="O585" s="15"/>
      <c r="P585" s="517"/>
    </row>
    <row r="586" spans="1:16" ht="15">
      <c r="A586" s="15"/>
      <c r="B586" s="15"/>
      <c r="C586" s="15"/>
      <c r="D586" s="15"/>
      <c r="E586" s="15"/>
      <c r="F586" s="15"/>
      <c r="G586" s="15"/>
      <c r="H586" s="15"/>
      <c r="I586" s="14"/>
      <c r="J586" s="15"/>
      <c r="K586" s="15"/>
      <c r="L586" s="15"/>
      <c r="M586" s="15"/>
      <c r="N586" s="15"/>
      <c r="O586" s="15"/>
      <c r="P586" s="519"/>
    </row>
    <row r="587" spans="1:16" ht="22.5">
      <c r="A587" s="718" t="s">
        <v>670</v>
      </c>
      <c r="B587" s="718"/>
      <c r="C587" s="718"/>
      <c r="D587" s="718"/>
      <c r="E587" s="718"/>
      <c r="F587" s="718"/>
      <c r="G587" s="718"/>
      <c r="H587" s="718"/>
      <c r="I587" s="718"/>
      <c r="J587" s="718"/>
      <c r="K587" s="718"/>
      <c r="L587" s="718"/>
      <c r="M587" s="718"/>
      <c r="N587" s="718"/>
      <c r="O587" s="718"/>
      <c r="P587" s="718"/>
    </row>
    <row r="588" spans="1:16" ht="20.25">
      <c r="A588" s="725" t="s">
        <v>6280</v>
      </c>
      <c r="B588" s="725"/>
      <c r="C588" s="725"/>
      <c r="D588" s="725"/>
      <c r="E588" s="725"/>
      <c r="F588" s="725"/>
      <c r="G588" s="725"/>
      <c r="H588" s="725"/>
      <c r="I588" s="725"/>
      <c r="J588" s="725"/>
      <c r="K588" s="725"/>
      <c r="L588" s="725"/>
      <c r="M588" s="548"/>
      <c r="N588" s="548"/>
      <c r="O588" s="15"/>
      <c r="P588" s="310"/>
    </row>
    <row r="589" spans="1:16" ht="114">
      <c r="A589" s="18" t="s">
        <v>0</v>
      </c>
      <c r="B589" s="18" t="s">
        <v>1616</v>
      </c>
      <c r="C589" s="18" t="s">
        <v>1647</v>
      </c>
      <c r="D589" s="18" t="s">
        <v>1648</v>
      </c>
      <c r="E589" s="18" t="s">
        <v>6277</v>
      </c>
      <c r="F589" s="18" t="s">
        <v>1619</v>
      </c>
      <c r="G589" s="19" t="s">
        <v>1649</v>
      </c>
      <c r="H589" s="18" t="s">
        <v>6281</v>
      </c>
      <c r="I589" s="18" t="s">
        <v>1620</v>
      </c>
      <c r="J589" s="19" t="s">
        <v>1650</v>
      </c>
      <c r="K589" s="20" t="s">
        <v>1651</v>
      </c>
      <c r="L589" s="20" t="s">
        <v>1622</v>
      </c>
      <c r="M589" s="15"/>
      <c r="N589" s="15"/>
      <c r="O589" s="15"/>
      <c r="P589" s="310"/>
    </row>
    <row r="590" spans="1:16" ht="15">
      <c r="A590" s="530">
        <v>1</v>
      </c>
      <c r="B590" s="530">
        <v>2</v>
      </c>
      <c r="C590" s="530">
        <v>3</v>
      </c>
      <c r="D590" s="530">
        <v>4</v>
      </c>
      <c r="E590" s="530">
        <v>5</v>
      </c>
      <c r="F590" s="530">
        <v>6</v>
      </c>
      <c r="G590" s="530">
        <v>7</v>
      </c>
      <c r="H590" s="530">
        <v>8</v>
      </c>
      <c r="I590" s="19">
        <v>9</v>
      </c>
      <c r="J590" s="530">
        <v>10</v>
      </c>
      <c r="K590" s="530">
        <v>11</v>
      </c>
      <c r="L590" s="530">
        <v>12</v>
      </c>
      <c r="M590" s="15"/>
      <c r="N590" s="15"/>
      <c r="O590" s="15"/>
      <c r="P590" s="310"/>
    </row>
    <row r="591" spans="1:16" ht="45">
      <c r="A591" s="513">
        <v>1</v>
      </c>
      <c r="B591" s="696" t="s">
        <v>2619</v>
      </c>
      <c r="C591" s="511" t="s">
        <v>1234</v>
      </c>
      <c r="D591" s="511" t="s">
        <v>7059</v>
      </c>
      <c r="E591" s="513">
        <v>9761</v>
      </c>
      <c r="F591" s="513" t="s">
        <v>1235</v>
      </c>
      <c r="G591" s="513" t="s">
        <v>17</v>
      </c>
      <c r="H591" s="513" t="s">
        <v>17</v>
      </c>
      <c r="I591" s="513" t="s">
        <v>17</v>
      </c>
      <c r="J591" s="513" t="s">
        <v>17</v>
      </c>
      <c r="K591" s="513">
        <v>1</v>
      </c>
      <c r="L591" s="513">
        <v>1</v>
      </c>
      <c r="M591" s="517"/>
      <c r="N591" s="517"/>
      <c r="O591" s="517"/>
      <c r="P591" s="310"/>
    </row>
    <row r="592" spans="1:16" ht="45">
      <c r="A592" s="306">
        <v>2</v>
      </c>
      <c r="B592" s="696"/>
      <c r="C592" s="713" t="s">
        <v>1303</v>
      </c>
      <c r="D592" s="511" t="s">
        <v>6746</v>
      </c>
      <c r="E592" s="533" t="s">
        <v>1304</v>
      </c>
      <c r="F592" s="533" t="s">
        <v>17</v>
      </c>
      <c r="G592" s="533" t="s">
        <v>17</v>
      </c>
      <c r="H592" s="533" t="s">
        <v>1305</v>
      </c>
      <c r="I592" s="533" t="s">
        <v>465</v>
      </c>
      <c r="J592" s="533" t="s">
        <v>17</v>
      </c>
      <c r="K592" s="533">
        <v>1</v>
      </c>
      <c r="L592" s="533" t="s">
        <v>17</v>
      </c>
      <c r="M592" s="517"/>
      <c r="N592" s="517"/>
      <c r="O592" s="517"/>
      <c r="P592" s="310"/>
    </row>
    <row r="593" spans="1:16" ht="60">
      <c r="A593" s="513">
        <v>3</v>
      </c>
      <c r="B593" s="696"/>
      <c r="C593" s="713"/>
      <c r="D593" s="524" t="s">
        <v>6747</v>
      </c>
      <c r="E593" s="533" t="s">
        <v>1306</v>
      </c>
      <c r="F593" s="533" t="s">
        <v>17</v>
      </c>
      <c r="G593" s="533" t="s">
        <v>17</v>
      </c>
      <c r="H593" s="533" t="s">
        <v>1307</v>
      </c>
      <c r="I593" s="533" t="s">
        <v>465</v>
      </c>
      <c r="J593" s="533" t="s">
        <v>17</v>
      </c>
      <c r="K593" s="533">
        <v>2</v>
      </c>
      <c r="L593" s="533" t="s">
        <v>17</v>
      </c>
      <c r="M593" s="517"/>
      <c r="N593" s="517"/>
      <c r="O593" s="517"/>
      <c r="P593" s="310"/>
    </row>
    <row r="594" spans="1:16" ht="15">
      <c r="A594" s="306">
        <v>4</v>
      </c>
      <c r="B594" s="696"/>
      <c r="C594" s="699" t="s">
        <v>1137</v>
      </c>
      <c r="D594" s="511" t="s">
        <v>6748</v>
      </c>
      <c r="E594" s="512">
        <v>3758.67</v>
      </c>
      <c r="F594" s="512" t="s">
        <v>6749</v>
      </c>
      <c r="G594" s="512" t="s">
        <v>17</v>
      </c>
      <c r="H594" s="512">
        <v>1.05</v>
      </c>
      <c r="I594" s="512">
        <v>1.88</v>
      </c>
      <c r="J594" s="512" t="s">
        <v>302</v>
      </c>
      <c r="K594" s="512" t="s">
        <v>17</v>
      </c>
      <c r="L594" s="512">
        <v>1</v>
      </c>
      <c r="M594" s="517"/>
      <c r="N594" s="517"/>
      <c r="O594" s="517"/>
      <c r="P594" s="310"/>
    </row>
    <row r="595" spans="1:16" ht="30">
      <c r="A595" s="513">
        <v>5</v>
      </c>
      <c r="B595" s="696"/>
      <c r="C595" s="699"/>
      <c r="D595" s="511" t="s">
        <v>6750</v>
      </c>
      <c r="E595" s="512">
        <v>3365.732</v>
      </c>
      <c r="F595" s="512" t="s">
        <v>6751</v>
      </c>
      <c r="G595" s="512" t="s">
        <v>17</v>
      </c>
      <c r="H595" s="512">
        <v>0.19</v>
      </c>
      <c r="I595" s="512">
        <v>5.43</v>
      </c>
      <c r="J595" s="512" t="s">
        <v>302</v>
      </c>
      <c r="K595" s="512">
        <v>1</v>
      </c>
      <c r="L595" s="512" t="s">
        <v>17</v>
      </c>
      <c r="M595" s="517"/>
      <c r="N595" s="517"/>
      <c r="O595" s="517"/>
      <c r="P595" s="310"/>
    </row>
    <row r="596" spans="1:16" ht="30">
      <c r="A596" s="306">
        <v>6</v>
      </c>
      <c r="B596" s="696"/>
      <c r="C596" s="699"/>
      <c r="D596" s="511" t="s">
        <v>6752</v>
      </c>
      <c r="E596" s="512">
        <v>106.46</v>
      </c>
      <c r="F596" s="512">
        <v>1993</v>
      </c>
      <c r="G596" s="512" t="s">
        <v>17</v>
      </c>
      <c r="H596" s="512">
        <v>4.7300000000000002E-2</v>
      </c>
      <c r="I596" s="512">
        <v>0.11</v>
      </c>
      <c r="J596" s="512" t="s">
        <v>302</v>
      </c>
      <c r="K596" s="512" t="s">
        <v>17</v>
      </c>
      <c r="L596" s="512">
        <v>2</v>
      </c>
      <c r="M596" s="517"/>
      <c r="N596" s="517"/>
      <c r="O596" s="517"/>
      <c r="P596" s="310"/>
    </row>
    <row r="597" spans="1:16" ht="30">
      <c r="A597" s="513">
        <v>7</v>
      </c>
      <c r="B597" s="696"/>
      <c r="C597" s="699"/>
      <c r="D597" s="511" t="s">
        <v>6753</v>
      </c>
      <c r="E597" s="512">
        <v>3393</v>
      </c>
      <c r="F597" s="512">
        <v>1992</v>
      </c>
      <c r="G597" s="512" t="s">
        <v>17</v>
      </c>
      <c r="H597" s="512">
        <v>0.33339999999999997</v>
      </c>
      <c r="I597" s="512">
        <v>5.43</v>
      </c>
      <c r="J597" s="512" t="s">
        <v>302</v>
      </c>
      <c r="K597" s="512" t="s">
        <v>17</v>
      </c>
      <c r="L597" s="512">
        <v>3</v>
      </c>
      <c r="M597" s="517"/>
      <c r="N597" s="517"/>
      <c r="O597" s="517"/>
      <c r="P597" s="310"/>
    </row>
    <row r="598" spans="1:16" ht="45">
      <c r="A598" s="306">
        <v>8</v>
      </c>
      <c r="B598" s="696"/>
      <c r="C598" s="713" t="s">
        <v>1147</v>
      </c>
      <c r="D598" s="524" t="s">
        <v>1311</v>
      </c>
      <c r="E598" s="533">
        <v>4335</v>
      </c>
      <c r="F598" s="513" t="s">
        <v>6754</v>
      </c>
      <c r="G598" s="512" t="s">
        <v>17</v>
      </c>
      <c r="H598" s="513" t="s">
        <v>274</v>
      </c>
      <c r="I598" s="513" t="s">
        <v>2238</v>
      </c>
      <c r="J598" s="512"/>
      <c r="K598" s="512" t="s">
        <v>430</v>
      </c>
      <c r="L598" s="512" t="s">
        <v>6755</v>
      </c>
      <c r="M598" s="512"/>
      <c r="N598" s="517"/>
      <c r="O598" s="517"/>
      <c r="P598" s="310"/>
    </row>
    <row r="599" spans="1:16" ht="60">
      <c r="A599" s="513">
        <v>9</v>
      </c>
      <c r="B599" s="696"/>
      <c r="C599" s="713"/>
      <c r="D599" s="524" t="s">
        <v>1315</v>
      </c>
      <c r="E599" s="533">
        <v>456</v>
      </c>
      <c r="F599" s="513" t="s">
        <v>17</v>
      </c>
      <c r="G599" s="513">
        <v>1998</v>
      </c>
      <c r="H599" s="513">
        <v>1.0900000000000001</v>
      </c>
      <c r="I599" s="513" t="s">
        <v>2238</v>
      </c>
      <c r="J599" s="512"/>
      <c r="K599" s="512">
        <v>2</v>
      </c>
      <c r="L599" s="512" t="s">
        <v>6755</v>
      </c>
      <c r="M599" s="513" t="s">
        <v>6756</v>
      </c>
      <c r="N599" s="517"/>
      <c r="O599" s="517"/>
      <c r="P599" s="310"/>
    </row>
    <row r="600" spans="1:16" ht="60">
      <c r="A600" s="306">
        <v>10</v>
      </c>
      <c r="B600" s="696"/>
      <c r="C600" s="713"/>
      <c r="D600" s="524" t="s">
        <v>1318</v>
      </c>
      <c r="E600" s="533">
        <v>880</v>
      </c>
      <c r="F600" s="513" t="s">
        <v>17</v>
      </c>
      <c r="G600" s="512">
        <v>1997</v>
      </c>
      <c r="H600" s="513">
        <v>1.1399999999999999</v>
      </c>
      <c r="I600" s="513" t="s">
        <v>2238</v>
      </c>
      <c r="J600" s="512"/>
      <c r="K600" s="512">
        <v>3</v>
      </c>
      <c r="L600" s="512" t="s">
        <v>6755</v>
      </c>
      <c r="M600" s="513" t="s">
        <v>6756</v>
      </c>
      <c r="N600" s="517"/>
      <c r="O600" s="517"/>
      <c r="P600" s="310"/>
    </row>
    <row r="601" spans="1:16" ht="60">
      <c r="A601" s="513">
        <v>11</v>
      </c>
      <c r="B601" s="696"/>
      <c r="C601" s="713"/>
      <c r="D601" s="524" t="s">
        <v>1321</v>
      </c>
      <c r="E601" s="533">
        <v>838</v>
      </c>
      <c r="F601" s="512" t="s">
        <v>17</v>
      </c>
      <c r="G601" s="513">
        <v>1995</v>
      </c>
      <c r="H601" s="513">
        <v>0.41</v>
      </c>
      <c r="I601" s="513" t="s">
        <v>2238</v>
      </c>
      <c r="J601" s="512"/>
      <c r="K601" s="512">
        <v>4</v>
      </c>
      <c r="L601" s="512" t="s">
        <v>6755</v>
      </c>
      <c r="M601" s="513" t="s">
        <v>6756</v>
      </c>
      <c r="N601" s="517"/>
      <c r="O601" s="517"/>
      <c r="P601" s="310"/>
    </row>
    <row r="602" spans="1:16" ht="60">
      <c r="A602" s="306">
        <v>12</v>
      </c>
      <c r="B602" s="696"/>
      <c r="C602" s="713"/>
      <c r="D602" s="524" t="s">
        <v>1323</v>
      </c>
      <c r="E602" s="533">
        <v>695</v>
      </c>
      <c r="F602" s="512" t="s">
        <v>17</v>
      </c>
      <c r="G602" s="513">
        <v>1995</v>
      </c>
      <c r="H602" s="500">
        <v>0.72</v>
      </c>
      <c r="I602" s="513" t="s">
        <v>2238</v>
      </c>
      <c r="J602" s="512"/>
      <c r="K602" s="497">
        <v>5</v>
      </c>
      <c r="L602" s="497" t="s">
        <v>6755</v>
      </c>
      <c r="M602" s="513" t="s">
        <v>6756</v>
      </c>
      <c r="N602" s="517"/>
      <c r="O602" s="517"/>
      <c r="P602" s="310"/>
    </row>
    <row r="603" spans="1:16" ht="60">
      <c r="A603" s="513">
        <v>13</v>
      </c>
      <c r="B603" s="696"/>
      <c r="C603" s="713"/>
      <c r="D603" s="524" t="s">
        <v>1326</v>
      </c>
      <c r="E603" s="533">
        <v>70</v>
      </c>
      <c r="F603" s="512" t="s">
        <v>17</v>
      </c>
      <c r="G603" s="513">
        <v>2002</v>
      </c>
      <c r="H603" s="500">
        <v>0.11</v>
      </c>
      <c r="I603" s="513" t="s">
        <v>2238</v>
      </c>
      <c r="J603" s="512"/>
      <c r="K603" s="497">
        <v>6</v>
      </c>
      <c r="L603" s="497" t="s">
        <v>6755</v>
      </c>
      <c r="M603" s="513" t="s">
        <v>6756</v>
      </c>
      <c r="N603" s="517"/>
      <c r="O603" s="517"/>
      <c r="P603" s="310"/>
    </row>
    <row r="604" spans="1:16" ht="60">
      <c r="A604" s="306">
        <v>14</v>
      </c>
      <c r="B604" s="696"/>
      <c r="C604" s="713"/>
      <c r="D604" s="524" t="s">
        <v>1330</v>
      </c>
      <c r="E604" s="533">
        <v>264</v>
      </c>
      <c r="F604" s="513" t="s">
        <v>1322</v>
      </c>
      <c r="G604" s="512"/>
      <c r="H604" s="512"/>
      <c r="I604" s="513" t="s">
        <v>2238</v>
      </c>
      <c r="J604" s="512"/>
      <c r="K604" s="512"/>
      <c r="L604" s="512"/>
      <c r="M604" s="513" t="s">
        <v>6757</v>
      </c>
      <c r="N604" s="517"/>
      <c r="O604" s="517"/>
      <c r="P604" s="310"/>
    </row>
    <row r="605" spans="1:16" ht="60">
      <c r="A605" s="513">
        <v>15</v>
      </c>
      <c r="B605" s="696"/>
      <c r="C605" s="713"/>
      <c r="D605" s="524" t="s">
        <v>1332</v>
      </c>
      <c r="E605" s="533">
        <v>480</v>
      </c>
      <c r="F605" s="513" t="s">
        <v>1322</v>
      </c>
      <c r="G605" s="512"/>
      <c r="H605" s="512"/>
      <c r="I605" s="513" t="s">
        <v>2238</v>
      </c>
      <c r="J605" s="512"/>
      <c r="K605" s="512"/>
      <c r="L605" s="512"/>
      <c r="M605" s="513" t="s">
        <v>6757</v>
      </c>
      <c r="N605" s="517"/>
      <c r="O605" s="517"/>
      <c r="P605" s="310"/>
    </row>
    <row r="606" spans="1:16" ht="15">
      <c r="A606" s="306">
        <v>16</v>
      </c>
      <c r="B606" s="696"/>
      <c r="C606" s="523" t="s">
        <v>1153</v>
      </c>
      <c r="D606" s="511" t="s">
        <v>1359</v>
      </c>
      <c r="E606" s="513">
        <v>2300</v>
      </c>
      <c r="F606" s="512">
        <v>1996</v>
      </c>
      <c r="G606" s="514" t="s">
        <v>17</v>
      </c>
      <c r="H606" s="512" t="s">
        <v>17</v>
      </c>
      <c r="I606" s="512" t="s">
        <v>1282</v>
      </c>
      <c r="J606" s="514" t="s">
        <v>17</v>
      </c>
      <c r="K606" s="514" t="s">
        <v>620</v>
      </c>
      <c r="L606" s="514">
        <v>1</v>
      </c>
      <c r="M606" s="517"/>
      <c r="N606" s="517"/>
      <c r="O606" s="517"/>
      <c r="P606" s="310"/>
    </row>
    <row r="607" spans="1:16" ht="15">
      <c r="A607" s="513">
        <v>17</v>
      </c>
      <c r="B607" s="696"/>
      <c r="C607" s="523" t="s">
        <v>1153</v>
      </c>
      <c r="D607" s="511" t="s">
        <v>1360</v>
      </c>
      <c r="E607" s="513">
        <v>195</v>
      </c>
      <c r="F607" s="512">
        <v>1994</v>
      </c>
      <c r="G607" s="514" t="s">
        <v>17</v>
      </c>
      <c r="H607" s="512" t="s">
        <v>17</v>
      </c>
      <c r="I607" s="512" t="s">
        <v>1282</v>
      </c>
      <c r="J607" s="514" t="s">
        <v>17</v>
      </c>
      <c r="K607" s="514" t="s">
        <v>620</v>
      </c>
      <c r="L607" s="514">
        <v>2</v>
      </c>
      <c r="M607" s="517"/>
      <c r="N607" s="517"/>
      <c r="O607" s="517"/>
      <c r="P607" s="310"/>
    </row>
    <row r="608" spans="1:16" ht="30">
      <c r="A608" s="306">
        <v>18</v>
      </c>
      <c r="B608" s="696"/>
      <c r="C608" s="523" t="s">
        <v>1153</v>
      </c>
      <c r="D608" s="511" t="s">
        <v>1361</v>
      </c>
      <c r="E608" s="513">
        <v>318.64</v>
      </c>
      <c r="F608" s="512">
        <v>1997</v>
      </c>
      <c r="G608" s="514" t="s">
        <v>17</v>
      </c>
      <c r="H608" s="512" t="s">
        <v>17</v>
      </c>
      <c r="I608" s="512" t="s">
        <v>1282</v>
      </c>
      <c r="J608" s="514" t="s">
        <v>17</v>
      </c>
      <c r="K608" s="514" t="s">
        <v>620</v>
      </c>
      <c r="L608" s="514">
        <v>3</v>
      </c>
      <c r="M608" s="517"/>
      <c r="N608" s="517"/>
      <c r="O608" s="517"/>
      <c r="P608" s="310"/>
    </row>
    <row r="609" spans="1:16" ht="15">
      <c r="A609" s="513">
        <v>19</v>
      </c>
      <c r="B609" s="696"/>
      <c r="C609" s="523" t="s">
        <v>1153</v>
      </c>
      <c r="D609" s="511" t="s">
        <v>1362</v>
      </c>
      <c r="E609" s="513">
        <v>61.43</v>
      </c>
      <c r="F609" s="512">
        <v>1933</v>
      </c>
      <c r="G609" s="514" t="s">
        <v>17</v>
      </c>
      <c r="H609" s="512" t="s">
        <v>17</v>
      </c>
      <c r="I609" s="512" t="s">
        <v>1282</v>
      </c>
      <c r="J609" s="514" t="s">
        <v>17</v>
      </c>
      <c r="K609" s="514" t="s">
        <v>620</v>
      </c>
      <c r="L609" s="514">
        <v>4</v>
      </c>
      <c r="M609" s="517"/>
      <c r="N609" s="517"/>
      <c r="O609" s="517"/>
      <c r="P609" s="310"/>
    </row>
    <row r="610" spans="1:16" ht="30">
      <c r="A610" s="306">
        <v>20</v>
      </c>
      <c r="B610" s="696"/>
      <c r="C610" s="523" t="s">
        <v>1153</v>
      </c>
      <c r="D610" s="511" t="s">
        <v>1344</v>
      </c>
      <c r="E610" s="513">
        <v>92.38</v>
      </c>
      <c r="F610" s="512">
        <v>1929</v>
      </c>
      <c r="G610" s="514" t="s">
        <v>17</v>
      </c>
      <c r="H610" s="512" t="s">
        <v>17</v>
      </c>
      <c r="I610" s="512"/>
      <c r="J610" s="514" t="s">
        <v>17</v>
      </c>
      <c r="K610" s="514">
        <v>1</v>
      </c>
      <c r="L610" s="514" t="s">
        <v>620</v>
      </c>
      <c r="M610" s="517"/>
      <c r="N610" s="517"/>
      <c r="O610" s="517"/>
      <c r="P610" s="310"/>
    </row>
    <row r="611" spans="1:16" ht="30">
      <c r="A611" s="513">
        <v>21</v>
      </c>
      <c r="B611" s="696"/>
      <c r="C611" s="523" t="s">
        <v>1153</v>
      </c>
      <c r="D611" s="511" t="s">
        <v>1345</v>
      </c>
      <c r="E611" s="513">
        <v>380.02</v>
      </c>
      <c r="F611" s="512">
        <v>1984</v>
      </c>
      <c r="G611" s="514" t="s">
        <v>17</v>
      </c>
      <c r="H611" s="512" t="s">
        <v>17</v>
      </c>
      <c r="I611" s="512"/>
      <c r="J611" s="514" t="s">
        <v>17</v>
      </c>
      <c r="K611" s="514">
        <v>2</v>
      </c>
      <c r="L611" s="514" t="s">
        <v>620</v>
      </c>
      <c r="M611" s="517"/>
      <c r="N611" s="517"/>
      <c r="O611" s="517"/>
      <c r="P611" s="310"/>
    </row>
    <row r="612" spans="1:16" ht="30">
      <c r="A612" s="306">
        <v>22</v>
      </c>
      <c r="B612" s="696"/>
      <c r="C612" s="523" t="s">
        <v>1153</v>
      </c>
      <c r="D612" s="511" t="s">
        <v>1346</v>
      </c>
      <c r="E612" s="513">
        <v>172.85</v>
      </c>
      <c r="F612" s="512">
        <v>1920</v>
      </c>
      <c r="G612" s="514" t="s">
        <v>17</v>
      </c>
      <c r="H612" s="512" t="s">
        <v>17</v>
      </c>
      <c r="I612" s="512"/>
      <c r="J612" s="514" t="s">
        <v>17</v>
      </c>
      <c r="K612" s="514">
        <v>3</v>
      </c>
      <c r="L612" s="514" t="s">
        <v>620</v>
      </c>
      <c r="M612" s="517"/>
      <c r="N612" s="517"/>
      <c r="O612" s="517"/>
      <c r="P612" s="310"/>
    </row>
    <row r="613" spans="1:16" ht="30">
      <c r="A613" s="513">
        <v>23</v>
      </c>
      <c r="B613" s="696"/>
      <c r="C613" s="523" t="s">
        <v>1153</v>
      </c>
      <c r="D613" s="511" t="s">
        <v>1347</v>
      </c>
      <c r="E613" s="513">
        <v>357.9</v>
      </c>
      <c r="F613" s="512">
        <v>1914</v>
      </c>
      <c r="G613" s="514" t="s">
        <v>17</v>
      </c>
      <c r="H613" s="512" t="s">
        <v>17</v>
      </c>
      <c r="I613" s="512"/>
      <c r="J613" s="514" t="s">
        <v>17</v>
      </c>
      <c r="K613" s="514">
        <v>4</v>
      </c>
      <c r="L613" s="514" t="s">
        <v>620</v>
      </c>
      <c r="M613" s="517"/>
      <c r="N613" s="517"/>
      <c r="O613" s="517"/>
      <c r="P613" s="310"/>
    </row>
    <row r="614" spans="1:16" ht="30">
      <c r="A614" s="306">
        <v>24</v>
      </c>
      <c r="B614" s="696"/>
      <c r="C614" s="523" t="s">
        <v>1153</v>
      </c>
      <c r="D614" s="511" t="s">
        <v>1348</v>
      </c>
      <c r="E614" s="513">
        <v>1454.8</v>
      </c>
      <c r="F614" s="512">
        <v>1914</v>
      </c>
      <c r="G614" s="514" t="s">
        <v>17</v>
      </c>
      <c r="H614" s="512" t="s">
        <v>17</v>
      </c>
      <c r="I614" s="512"/>
      <c r="J614" s="514" t="s">
        <v>17</v>
      </c>
      <c r="K614" s="514">
        <v>5</v>
      </c>
      <c r="L614" s="514" t="s">
        <v>620</v>
      </c>
      <c r="M614" s="517"/>
      <c r="N614" s="517"/>
      <c r="O614" s="517"/>
      <c r="P614" s="310"/>
    </row>
    <row r="615" spans="1:16" ht="30">
      <c r="A615" s="513">
        <v>25</v>
      </c>
      <c r="B615" s="696"/>
      <c r="C615" s="523" t="s">
        <v>1153</v>
      </c>
      <c r="D615" s="511" t="s">
        <v>1348</v>
      </c>
      <c r="E615" s="513"/>
      <c r="F615" s="512"/>
      <c r="G615" s="514" t="s">
        <v>17</v>
      </c>
      <c r="H615" s="512" t="s">
        <v>17</v>
      </c>
      <c r="I615" s="512"/>
      <c r="J615" s="514" t="s">
        <v>17</v>
      </c>
      <c r="K615" s="514">
        <v>6</v>
      </c>
      <c r="L615" s="514" t="s">
        <v>620</v>
      </c>
      <c r="M615" s="517"/>
      <c r="N615" s="517"/>
      <c r="O615" s="517"/>
      <c r="P615" s="310"/>
    </row>
    <row r="616" spans="1:16" ht="30">
      <c r="A616" s="306">
        <v>26</v>
      </c>
      <c r="B616" s="696"/>
      <c r="C616" s="523" t="s">
        <v>1153</v>
      </c>
      <c r="D616" s="511" t="s">
        <v>1350</v>
      </c>
      <c r="E616" s="513">
        <v>252.5</v>
      </c>
      <c r="F616" s="512">
        <v>1914</v>
      </c>
      <c r="G616" s="514" t="s">
        <v>17</v>
      </c>
      <c r="H616" s="512" t="s">
        <v>17</v>
      </c>
      <c r="I616" s="512"/>
      <c r="J616" s="514" t="s">
        <v>17</v>
      </c>
      <c r="K616" s="514">
        <v>7</v>
      </c>
      <c r="L616" s="514" t="s">
        <v>620</v>
      </c>
      <c r="M616" s="517"/>
      <c r="N616" s="517"/>
      <c r="O616" s="517"/>
      <c r="P616" s="310"/>
    </row>
    <row r="617" spans="1:16" ht="30">
      <c r="A617" s="513">
        <v>27</v>
      </c>
      <c r="B617" s="696"/>
      <c r="C617" s="523" t="s">
        <v>1153</v>
      </c>
      <c r="D617" s="511" t="s">
        <v>1351</v>
      </c>
      <c r="E617" s="513">
        <v>539.11</v>
      </c>
      <c r="F617" s="512">
        <v>1914</v>
      </c>
      <c r="G617" s="514" t="s">
        <v>17</v>
      </c>
      <c r="H617" s="512" t="s">
        <v>17</v>
      </c>
      <c r="I617" s="512"/>
      <c r="J617" s="514" t="s">
        <v>17</v>
      </c>
      <c r="K617" s="514">
        <v>8</v>
      </c>
      <c r="L617" s="514" t="s">
        <v>620</v>
      </c>
      <c r="M617" s="517"/>
      <c r="N617" s="517"/>
      <c r="O617" s="517"/>
      <c r="P617" s="310"/>
    </row>
    <row r="618" spans="1:16" ht="30">
      <c r="A618" s="306">
        <v>28</v>
      </c>
      <c r="B618" s="696"/>
      <c r="C618" s="523" t="s">
        <v>1153</v>
      </c>
      <c r="D618" s="511" t="s">
        <v>1352</v>
      </c>
      <c r="E618" s="513">
        <v>1934.01</v>
      </c>
      <c r="F618" s="512">
        <v>1934</v>
      </c>
      <c r="G618" s="514" t="s">
        <v>17</v>
      </c>
      <c r="H618" s="512" t="s">
        <v>17</v>
      </c>
      <c r="I618" s="512"/>
      <c r="J618" s="514" t="s">
        <v>17</v>
      </c>
      <c r="K618" s="514">
        <v>9</v>
      </c>
      <c r="L618" s="514" t="s">
        <v>620</v>
      </c>
      <c r="M618" s="517"/>
      <c r="N618" s="517"/>
      <c r="O618" s="517"/>
      <c r="P618" s="310"/>
    </row>
    <row r="619" spans="1:16" ht="45">
      <c r="A619" s="513">
        <v>29</v>
      </c>
      <c r="B619" s="736" t="s">
        <v>1232</v>
      </c>
      <c r="C619" s="131" t="s">
        <v>1153</v>
      </c>
      <c r="D619" s="131" t="s">
        <v>1334</v>
      </c>
      <c r="E619" s="97" t="s">
        <v>1335</v>
      </c>
      <c r="F619" s="97" t="s">
        <v>1336</v>
      </c>
      <c r="G619" s="229" t="s">
        <v>2518</v>
      </c>
      <c r="H619" s="23" t="s">
        <v>1337</v>
      </c>
      <c r="I619" s="229" t="s">
        <v>1338</v>
      </c>
      <c r="J619" s="229" t="s">
        <v>2518</v>
      </c>
      <c r="K619" s="229">
        <v>1</v>
      </c>
      <c r="L619" s="229" t="s">
        <v>6758</v>
      </c>
      <c r="M619" s="517"/>
      <c r="N619" s="517"/>
      <c r="O619" s="517"/>
      <c r="P619" s="310"/>
    </row>
    <row r="620" spans="1:16" ht="90">
      <c r="A620" s="306">
        <v>30</v>
      </c>
      <c r="B620" s="736"/>
      <c r="C620" s="131" t="s">
        <v>1153</v>
      </c>
      <c r="D620" s="131" t="s">
        <v>1340</v>
      </c>
      <c r="E620" s="97" t="s">
        <v>1341</v>
      </c>
      <c r="F620" s="97" t="s">
        <v>1342</v>
      </c>
      <c r="G620" s="229" t="s">
        <v>2518</v>
      </c>
      <c r="H620" s="23" t="s">
        <v>1343</v>
      </c>
      <c r="I620" s="229" t="s">
        <v>1338</v>
      </c>
      <c r="J620" s="229" t="s">
        <v>2518</v>
      </c>
      <c r="K620" s="229">
        <v>2</v>
      </c>
      <c r="L620" s="229" t="s">
        <v>6758</v>
      </c>
      <c r="M620" s="517"/>
      <c r="N620" s="517"/>
      <c r="O620" s="517"/>
      <c r="P620" s="310"/>
    </row>
    <row r="621" spans="1:16" ht="45">
      <c r="A621" s="513">
        <v>31</v>
      </c>
      <c r="B621" s="736"/>
      <c r="C621" s="696" t="s">
        <v>1233</v>
      </c>
      <c r="D621" s="511" t="s">
        <v>6759</v>
      </c>
      <c r="E621" s="513">
        <v>20230</v>
      </c>
      <c r="F621" s="513" t="s">
        <v>6760</v>
      </c>
      <c r="G621" s="513" t="s">
        <v>302</v>
      </c>
      <c r="H621" s="513" t="s">
        <v>6764</v>
      </c>
      <c r="I621" s="513" t="s">
        <v>302</v>
      </c>
      <c r="J621" s="513" t="s">
        <v>302</v>
      </c>
      <c r="K621" s="513" t="s">
        <v>302</v>
      </c>
      <c r="L621" s="513" t="s">
        <v>302</v>
      </c>
      <c r="M621" s="517"/>
      <c r="N621" s="517"/>
      <c r="O621" s="517"/>
      <c r="P621" s="310"/>
    </row>
    <row r="622" spans="1:16" ht="43.5" customHeight="1">
      <c r="A622" s="513">
        <v>2</v>
      </c>
      <c r="B622" s="736"/>
      <c r="C622" s="696"/>
      <c r="D622" s="511" t="s">
        <v>6761</v>
      </c>
      <c r="E622" s="513" t="s">
        <v>17</v>
      </c>
      <c r="F622" s="513" t="s">
        <v>6762</v>
      </c>
      <c r="G622" s="513">
        <v>1997</v>
      </c>
      <c r="H622" s="513" t="s">
        <v>6763</v>
      </c>
      <c r="I622" s="513" t="s">
        <v>1293</v>
      </c>
      <c r="J622" s="513" t="s">
        <v>302</v>
      </c>
      <c r="K622" s="513" t="s">
        <v>302</v>
      </c>
      <c r="L622" s="513" t="s">
        <v>302</v>
      </c>
      <c r="M622" s="517"/>
      <c r="N622" s="517"/>
      <c r="O622" s="517"/>
      <c r="P622" s="310"/>
    </row>
    <row r="623" spans="1:16" ht="57">
      <c r="A623" s="720" t="s">
        <v>1661</v>
      </c>
      <c r="B623" s="720"/>
      <c r="C623" s="720"/>
      <c r="D623" s="720"/>
      <c r="E623" s="720"/>
      <c r="F623" s="720"/>
      <c r="G623" s="720"/>
      <c r="H623" s="720"/>
      <c r="I623" s="720"/>
      <c r="J623" s="720"/>
      <c r="K623" s="720"/>
      <c r="L623" s="720"/>
      <c r="M623" s="720"/>
      <c r="N623" s="720"/>
      <c r="O623" s="720"/>
      <c r="P623" s="143" t="s">
        <v>1623</v>
      </c>
    </row>
    <row r="624" spans="1:16">
      <c r="A624" s="720">
        <v>13</v>
      </c>
      <c r="B624" s="720"/>
      <c r="C624" s="720"/>
      <c r="D624" s="720"/>
      <c r="E624" s="720"/>
      <c r="F624" s="720"/>
      <c r="G624" s="720"/>
      <c r="H624" s="720"/>
      <c r="I624" s="720"/>
      <c r="J624" s="720"/>
      <c r="K624" s="720"/>
      <c r="L624" s="720"/>
      <c r="M624" s="720"/>
      <c r="N624" s="720"/>
      <c r="O624" s="720"/>
      <c r="P624" s="18">
        <v>14</v>
      </c>
    </row>
    <row r="625" spans="1:16">
      <c r="A625" s="720" t="s">
        <v>1662</v>
      </c>
      <c r="B625" s="720"/>
      <c r="C625" s="720"/>
      <c r="D625" s="720" t="s">
        <v>1663</v>
      </c>
      <c r="E625" s="720"/>
      <c r="F625" s="720"/>
      <c r="G625" s="720" t="s">
        <v>1664</v>
      </c>
      <c r="H625" s="720"/>
      <c r="I625" s="720"/>
      <c r="J625" s="720" t="s">
        <v>1665</v>
      </c>
      <c r="K625" s="720"/>
      <c r="L625" s="720"/>
      <c r="M625" s="720" t="s">
        <v>1666</v>
      </c>
      <c r="N625" s="720"/>
      <c r="O625" s="720"/>
      <c r="P625" s="15"/>
    </row>
    <row r="626" spans="1:16" ht="15">
      <c r="A626" s="517" t="s">
        <v>1667</v>
      </c>
      <c r="B626" s="517" t="s">
        <v>1668</v>
      </c>
      <c r="C626" s="544" t="s">
        <v>418</v>
      </c>
      <c r="D626" s="517" t="s">
        <v>1667</v>
      </c>
      <c r="E626" s="517" t="s">
        <v>1668</v>
      </c>
      <c r="F626" s="544" t="s">
        <v>418</v>
      </c>
      <c r="G626" s="517" t="s">
        <v>1667</v>
      </c>
      <c r="H626" s="517" t="s">
        <v>1668</v>
      </c>
      <c r="I626" s="544" t="s">
        <v>418</v>
      </c>
      <c r="J626" s="517" t="s">
        <v>1667</v>
      </c>
      <c r="K626" s="517" t="s">
        <v>1668</v>
      </c>
      <c r="L626" s="544" t="s">
        <v>418</v>
      </c>
      <c r="M626" s="517" t="s">
        <v>1667</v>
      </c>
      <c r="N626" s="517" t="s">
        <v>1668</v>
      </c>
      <c r="O626" s="544" t="s">
        <v>418</v>
      </c>
      <c r="P626" s="15"/>
    </row>
    <row r="627" spans="1:16" ht="42.75">
      <c r="A627" s="512">
        <v>20</v>
      </c>
      <c r="B627" s="512">
        <v>20</v>
      </c>
      <c r="C627" s="512">
        <v>20</v>
      </c>
      <c r="D627" s="512">
        <v>20</v>
      </c>
      <c r="E627" s="512">
        <v>20</v>
      </c>
      <c r="F627" s="512">
        <v>20</v>
      </c>
      <c r="G627" s="512">
        <v>80</v>
      </c>
      <c r="H627" s="512">
        <v>80</v>
      </c>
      <c r="I627" s="512">
        <v>80</v>
      </c>
      <c r="J627" s="512">
        <v>14</v>
      </c>
      <c r="K627" s="512">
        <v>14</v>
      </c>
      <c r="L627" s="512">
        <v>14</v>
      </c>
      <c r="M627" s="512">
        <v>7</v>
      </c>
      <c r="N627" s="512">
        <v>7</v>
      </c>
      <c r="O627" s="512">
        <v>7</v>
      </c>
      <c r="P627" s="14" t="s">
        <v>1234</v>
      </c>
    </row>
    <row r="628" spans="1:16" ht="285">
      <c r="A628" s="512">
        <v>10</v>
      </c>
      <c r="B628" s="512">
        <v>2</v>
      </c>
      <c r="C628" s="512">
        <v>2</v>
      </c>
      <c r="D628" s="512">
        <v>12</v>
      </c>
      <c r="E628" s="512">
        <v>4</v>
      </c>
      <c r="F628" s="512">
        <v>3</v>
      </c>
      <c r="G628" s="512">
        <v>18</v>
      </c>
      <c r="H628" s="512">
        <v>5</v>
      </c>
      <c r="I628" s="512">
        <v>4</v>
      </c>
      <c r="J628" s="497">
        <v>2</v>
      </c>
      <c r="K628" s="497">
        <v>0</v>
      </c>
      <c r="L628" s="497">
        <v>0</v>
      </c>
      <c r="M628" s="497">
        <v>4</v>
      </c>
      <c r="N628" s="497">
        <v>0</v>
      </c>
      <c r="O628" s="497">
        <v>0</v>
      </c>
      <c r="P628" s="14" t="s">
        <v>6765</v>
      </c>
    </row>
    <row r="629" spans="1:16" ht="30">
      <c r="A629" s="512">
        <v>12</v>
      </c>
      <c r="B629" s="512">
        <v>12</v>
      </c>
      <c r="C629" s="513"/>
      <c r="D629" s="512">
        <v>10</v>
      </c>
      <c r="E629" s="512">
        <v>10</v>
      </c>
      <c r="F629" s="513"/>
      <c r="G629" s="512">
        <v>24</v>
      </c>
      <c r="H629" s="512">
        <v>24</v>
      </c>
      <c r="I629" s="513"/>
      <c r="J629" s="512">
        <v>6</v>
      </c>
      <c r="K629" s="512">
        <v>6</v>
      </c>
      <c r="L629" s="513">
        <v>3</v>
      </c>
      <c r="M629" s="512">
        <v>1</v>
      </c>
      <c r="N629" s="512">
        <v>1</v>
      </c>
      <c r="O629" s="513">
        <v>1</v>
      </c>
      <c r="P629" s="511" t="s">
        <v>6766</v>
      </c>
    </row>
    <row r="630" spans="1:16" ht="45">
      <c r="A630" s="512">
        <v>4</v>
      </c>
      <c r="B630" s="512">
        <v>4</v>
      </c>
      <c r="C630" s="513"/>
      <c r="D630" s="512">
        <v>7</v>
      </c>
      <c r="E630" s="512">
        <v>7</v>
      </c>
      <c r="F630" s="513"/>
      <c r="G630" s="512">
        <v>30</v>
      </c>
      <c r="H630" s="512">
        <v>30</v>
      </c>
      <c r="I630" s="513"/>
      <c r="J630" s="512">
        <v>4</v>
      </c>
      <c r="K630" s="512">
        <v>4</v>
      </c>
      <c r="L630" s="513">
        <v>0</v>
      </c>
      <c r="M630" s="512">
        <v>1</v>
      </c>
      <c r="N630" s="512">
        <v>1</v>
      </c>
      <c r="O630" s="513">
        <v>1</v>
      </c>
      <c r="P630" s="511" t="s">
        <v>6750</v>
      </c>
    </row>
    <row r="631" spans="1:16" ht="45">
      <c r="A631" s="512">
        <v>0</v>
      </c>
      <c r="B631" s="512">
        <v>0</v>
      </c>
      <c r="C631" s="513">
        <v>0</v>
      </c>
      <c r="D631" s="512">
        <v>0</v>
      </c>
      <c r="E631" s="512">
        <v>0</v>
      </c>
      <c r="F631" s="513">
        <v>0</v>
      </c>
      <c r="G631" s="512">
        <v>0</v>
      </c>
      <c r="H631" s="512">
        <v>0</v>
      </c>
      <c r="I631" s="513">
        <v>0</v>
      </c>
      <c r="J631" s="512">
        <v>2</v>
      </c>
      <c r="K631" s="512">
        <v>2</v>
      </c>
      <c r="L631" s="513">
        <v>0</v>
      </c>
      <c r="M631" s="512">
        <v>0</v>
      </c>
      <c r="N631" s="512">
        <v>0</v>
      </c>
      <c r="O631" s="513">
        <v>0</v>
      </c>
      <c r="P631" s="511" t="s">
        <v>6752</v>
      </c>
    </row>
    <row r="632" spans="1:16" ht="45">
      <c r="A632" s="512">
        <v>4</v>
      </c>
      <c r="B632" s="512">
        <v>4</v>
      </c>
      <c r="C632" s="512">
        <v>0</v>
      </c>
      <c r="D632" s="512">
        <v>4</v>
      </c>
      <c r="E632" s="512">
        <v>4</v>
      </c>
      <c r="F632" s="512">
        <v>1</v>
      </c>
      <c r="G632" s="512">
        <v>18</v>
      </c>
      <c r="H632" s="512">
        <v>18</v>
      </c>
      <c r="I632" s="512">
        <v>0</v>
      </c>
      <c r="J632" s="512">
        <v>0</v>
      </c>
      <c r="K632" s="512">
        <v>0</v>
      </c>
      <c r="L632" s="512">
        <v>0</v>
      </c>
      <c r="M632" s="512">
        <v>0</v>
      </c>
      <c r="N632" s="512">
        <v>0</v>
      </c>
      <c r="O632" s="512">
        <v>0</v>
      </c>
      <c r="P632" s="511" t="s">
        <v>6767</v>
      </c>
    </row>
    <row r="633" spans="1:16" ht="42.75">
      <c r="A633" s="512">
        <v>29</v>
      </c>
      <c r="B633" s="512">
        <v>0</v>
      </c>
      <c r="C633" s="512">
        <v>0</v>
      </c>
      <c r="D633" s="512">
        <v>62</v>
      </c>
      <c r="E633" s="512">
        <v>7</v>
      </c>
      <c r="F633" s="512">
        <v>7</v>
      </c>
      <c r="G633" s="512">
        <v>34</v>
      </c>
      <c r="H633" s="513">
        <v>9</v>
      </c>
      <c r="I633" s="512">
        <v>9</v>
      </c>
      <c r="J633" s="512">
        <v>15</v>
      </c>
      <c r="K633" s="512">
        <v>10</v>
      </c>
      <c r="L633" s="512">
        <v>10</v>
      </c>
      <c r="M633" s="512">
        <v>1</v>
      </c>
      <c r="N633" s="512">
        <v>1</v>
      </c>
      <c r="O633" s="512">
        <v>1</v>
      </c>
      <c r="P633" s="14" t="s">
        <v>6769</v>
      </c>
    </row>
    <row r="634" spans="1:16" ht="242.25">
      <c r="A634" s="517">
        <v>0</v>
      </c>
      <c r="B634" s="517">
        <v>0</v>
      </c>
      <c r="C634" s="544">
        <v>0</v>
      </c>
      <c r="D634" s="544" t="s">
        <v>6770</v>
      </c>
      <c r="E634" s="517">
        <v>40</v>
      </c>
      <c r="F634" s="544">
        <v>39</v>
      </c>
      <c r="G634" s="544" t="s">
        <v>6771</v>
      </c>
      <c r="H634" s="517">
        <v>32</v>
      </c>
      <c r="I634" s="544">
        <v>32</v>
      </c>
      <c r="J634" s="517"/>
      <c r="K634" s="517"/>
      <c r="L634" s="544"/>
      <c r="M634" s="517"/>
      <c r="N634" s="517"/>
      <c r="O634" s="544"/>
      <c r="P634" s="14" t="s">
        <v>6772</v>
      </c>
    </row>
    <row r="635" spans="1:16" ht="15">
      <c r="A635" s="720" t="s">
        <v>1670</v>
      </c>
      <c r="B635" s="720"/>
      <c r="C635" s="720"/>
      <c r="D635" s="720" t="s">
        <v>1671</v>
      </c>
      <c r="E635" s="720"/>
      <c r="F635" s="720"/>
      <c r="G635" s="720" t="s">
        <v>1672</v>
      </c>
      <c r="H635" s="720"/>
      <c r="I635" s="720"/>
      <c r="J635" s="310"/>
      <c r="K635" s="310"/>
      <c r="L635" s="310"/>
      <c r="M635" s="310"/>
      <c r="N635" s="310"/>
      <c r="O635" s="310"/>
      <c r="P635" s="15"/>
    </row>
    <row r="636" spans="1:16" ht="15">
      <c r="A636" s="517" t="s">
        <v>1667</v>
      </c>
      <c r="B636" s="517" t="s">
        <v>1668</v>
      </c>
      <c r="C636" s="544" t="s">
        <v>418</v>
      </c>
      <c r="D636" s="517" t="s">
        <v>1667</v>
      </c>
      <c r="E636" s="517" t="s">
        <v>1668</v>
      </c>
      <c r="F636" s="544" t="s">
        <v>418</v>
      </c>
      <c r="G636" s="517" t="s">
        <v>1667</v>
      </c>
      <c r="H636" s="517" t="s">
        <v>1668</v>
      </c>
      <c r="I636" s="544" t="s">
        <v>418</v>
      </c>
      <c r="J636" s="310"/>
      <c r="K636" s="310"/>
      <c r="L636" s="310"/>
      <c r="M636" s="310"/>
      <c r="N636" s="310"/>
      <c r="O636" s="310"/>
      <c r="P636" s="15"/>
    </row>
    <row r="637" spans="1:16" ht="29.25" customHeight="1">
      <c r="A637" s="521">
        <v>3</v>
      </c>
      <c r="B637" s="521">
        <v>3</v>
      </c>
      <c r="C637" s="521">
        <v>3</v>
      </c>
      <c r="D637" s="521">
        <v>0</v>
      </c>
      <c r="E637" s="512">
        <v>0</v>
      </c>
      <c r="F637" s="512">
        <v>0</v>
      </c>
      <c r="G637" s="517">
        <v>0</v>
      </c>
      <c r="H637" s="517">
        <v>0</v>
      </c>
      <c r="I637" s="544">
        <v>0</v>
      </c>
      <c r="J637" s="544" t="s">
        <v>1234</v>
      </c>
      <c r="K637" s="310"/>
      <c r="L637" s="310"/>
      <c r="M637" s="310"/>
      <c r="N637" s="310"/>
      <c r="O637" s="310"/>
      <c r="P637" s="15"/>
    </row>
    <row r="638" spans="1:16" ht="29.25" customHeight="1">
      <c r="A638" s="521"/>
      <c r="B638" s="521"/>
      <c r="C638" s="521"/>
      <c r="D638" s="521"/>
      <c r="E638" s="512">
        <v>0</v>
      </c>
      <c r="F638" s="512">
        <v>0</v>
      </c>
      <c r="G638" s="517">
        <v>0</v>
      </c>
      <c r="H638" s="517">
        <v>0</v>
      </c>
      <c r="I638" s="544">
        <v>0</v>
      </c>
      <c r="J638" s="544" t="s">
        <v>6768</v>
      </c>
      <c r="K638" s="310"/>
      <c r="L638" s="310"/>
      <c r="M638" s="310"/>
      <c r="N638" s="310"/>
      <c r="O638" s="310"/>
      <c r="P638" s="15"/>
    </row>
    <row r="639" spans="1:16" ht="30">
      <c r="A639" s="512" t="s">
        <v>302</v>
      </c>
      <c r="B639" s="512" t="s">
        <v>302</v>
      </c>
      <c r="C639" s="513" t="s">
        <v>302</v>
      </c>
      <c r="D639" s="512" t="s">
        <v>302</v>
      </c>
      <c r="E639" s="512" t="s">
        <v>302</v>
      </c>
      <c r="F639" s="513" t="s">
        <v>302</v>
      </c>
      <c r="G639" s="512" t="s">
        <v>302</v>
      </c>
      <c r="H639" s="512" t="s">
        <v>302</v>
      </c>
      <c r="I639" s="513" t="s">
        <v>302</v>
      </c>
      <c r="J639" s="513" t="s">
        <v>6766</v>
      </c>
      <c r="K639" s="310"/>
      <c r="L639" s="310"/>
      <c r="M639" s="310"/>
      <c r="N639" s="310"/>
      <c r="O639" s="310"/>
      <c r="P639" s="15"/>
    </row>
    <row r="640" spans="1:16" ht="45">
      <c r="A640" s="512" t="s">
        <v>302</v>
      </c>
      <c r="B640" s="512" t="s">
        <v>302</v>
      </c>
      <c r="C640" s="513" t="s">
        <v>302</v>
      </c>
      <c r="D640" s="512" t="s">
        <v>302</v>
      </c>
      <c r="E640" s="512" t="s">
        <v>302</v>
      </c>
      <c r="F640" s="513" t="s">
        <v>302</v>
      </c>
      <c r="G640" s="512" t="s">
        <v>302</v>
      </c>
      <c r="H640" s="512" t="s">
        <v>302</v>
      </c>
      <c r="I640" s="513" t="s">
        <v>302</v>
      </c>
      <c r="J640" s="513" t="s">
        <v>6750</v>
      </c>
      <c r="K640" s="310"/>
      <c r="L640" s="310"/>
      <c r="M640" s="310"/>
      <c r="N640" s="310"/>
      <c r="O640" s="310"/>
      <c r="P640" s="15"/>
    </row>
    <row r="641" spans="1:16" ht="45">
      <c r="A641" s="512" t="s">
        <v>302</v>
      </c>
      <c r="B641" s="512" t="s">
        <v>302</v>
      </c>
      <c r="C641" s="513" t="s">
        <v>302</v>
      </c>
      <c r="D641" s="512" t="s">
        <v>302</v>
      </c>
      <c r="E641" s="512" t="s">
        <v>302</v>
      </c>
      <c r="F641" s="513" t="s">
        <v>302</v>
      </c>
      <c r="G641" s="512" t="s">
        <v>302</v>
      </c>
      <c r="H641" s="512" t="s">
        <v>302</v>
      </c>
      <c r="I641" s="513" t="s">
        <v>302</v>
      </c>
      <c r="J641" s="513" t="s">
        <v>6752</v>
      </c>
      <c r="K641" s="310"/>
      <c r="L641" s="310"/>
      <c r="M641" s="310"/>
      <c r="N641" s="310"/>
      <c r="O641" s="310"/>
      <c r="P641" s="15"/>
    </row>
    <row r="642" spans="1:16" ht="45">
      <c r="A642" s="512" t="s">
        <v>302</v>
      </c>
      <c r="B642" s="512" t="s">
        <v>302</v>
      </c>
      <c r="C642" s="513" t="s">
        <v>302</v>
      </c>
      <c r="D642" s="512" t="s">
        <v>302</v>
      </c>
      <c r="E642" s="512" t="s">
        <v>302</v>
      </c>
      <c r="F642" s="513" t="s">
        <v>302</v>
      </c>
      <c r="G642" s="512">
        <v>6</v>
      </c>
      <c r="H642" s="512">
        <v>6</v>
      </c>
      <c r="I642" s="513" t="s">
        <v>302</v>
      </c>
      <c r="J642" s="513" t="s">
        <v>6767</v>
      </c>
      <c r="K642" s="310"/>
      <c r="L642" s="310"/>
      <c r="M642" s="310"/>
      <c r="N642" s="310"/>
      <c r="O642" s="310"/>
      <c r="P642" s="15"/>
    </row>
    <row r="643" spans="1:16" ht="15">
      <c r="A643" s="310"/>
      <c r="B643" s="310"/>
      <c r="C643" s="310"/>
      <c r="D643" s="310"/>
      <c r="E643" s="310"/>
      <c r="F643" s="310"/>
      <c r="G643" s="259">
        <v>76</v>
      </c>
      <c r="H643" s="259">
        <v>26</v>
      </c>
      <c r="I643" s="260">
        <v>25</v>
      </c>
      <c r="J643" s="261" t="s">
        <v>1153</v>
      </c>
      <c r="K643" s="310"/>
      <c r="L643" s="310"/>
      <c r="M643" s="310"/>
      <c r="N643" s="310"/>
      <c r="O643" s="310"/>
      <c r="P643" s="310"/>
    </row>
    <row r="644" spans="1:16" ht="15">
      <c r="A644" s="310"/>
      <c r="B644" s="310"/>
      <c r="C644" s="310"/>
      <c r="D644" s="310"/>
      <c r="E644" s="310"/>
      <c r="F644" s="310"/>
      <c r="G644" s="497"/>
      <c r="H644" s="497"/>
      <c r="I644" s="500"/>
      <c r="J644" s="503"/>
      <c r="K644" s="310"/>
      <c r="L644" s="310"/>
      <c r="M644" s="310"/>
      <c r="N644" s="310"/>
      <c r="O644" s="310"/>
      <c r="P644" s="310"/>
    </row>
    <row r="645" spans="1:16" ht="22.5">
      <c r="A645" s="718" t="s">
        <v>671</v>
      </c>
      <c r="B645" s="718"/>
      <c r="C645" s="718"/>
      <c r="D645" s="718"/>
      <c r="E645" s="718"/>
      <c r="F645" s="718"/>
      <c r="G645" s="718"/>
      <c r="H645" s="718"/>
      <c r="I645" s="718"/>
      <c r="J645" s="718"/>
      <c r="K645" s="718"/>
      <c r="L645" s="718"/>
      <c r="M645" s="718"/>
      <c r="N645" s="718"/>
      <c r="O645" s="718"/>
      <c r="P645" s="718"/>
    </row>
    <row r="646" spans="1:16" ht="20.25">
      <c r="A646" s="725" t="s">
        <v>6276</v>
      </c>
      <c r="B646" s="725"/>
      <c r="C646" s="725"/>
      <c r="D646" s="725"/>
      <c r="E646" s="725"/>
      <c r="F646" s="725"/>
      <c r="G646" s="725"/>
      <c r="H646" s="725"/>
      <c r="I646" s="725"/>
      <c r="J646" s="725"/>
      <c r="K646" s="725"/>
      <c r="L646" s="725"/>
      <c r="M646" s="548"/>
      <c r="N646" s="548"/>
      <c r="O646" s="15"/>
      <c r="P646" s="310"/>
    </row>
    <row r="647" spans="1:16" ht="114">
      <c r="A647" s="18" t="s">
        <v>0</v>
      </c>
      <c r="B647" s="18" t="s">
        <v>1616</v>
      </c>
      <c r="C647" s="18" t="s">
        <v>1647</v>
      </c>
      <c r="D647" s="18" t="s">
        <v>1648</v>
      </c>
      <c r="E647" s="18" t="s">
        <v>6277</v>
      </c>
      <c r="F647" s="18" t="s">
        <v>1619</v>
      </c>
      <c r="G647" s="19" t="s">
        <v>1649</v>
      </c>
      <c r="H647" s="18" t="s">
        <v>6281</v>
      </c>
      <c r="I647" s="18" t="s">
        <v>1620</v>
      </c>
      <c r="J647" s="19" t="s">
        <v>1650</v>
      </c>
      <c r="K647" s="20" t="s">
        <v>1651</v>
      </c>
      <c r="L647" s="20" t="s">
        <v>1622</v>
      </c>
      <c r="M647" s="15"/>
      <c r="N647" s="15"/>
      <c r="O647" s="15"/>
      <c r="P647" s="310"/>
    </row>
    <row r="648" spans="1:16" ht="15">
      <c r="A648" s="530">
        <v>1</v>
      </c>
      <c r="B648" s="530">
        <v>2</v>
      </c>
      <c r="C648" s="530">
        <v>3</v>
      </c>
      <c r="D648" s="530">
        <v>4</v>
      </c>
      <c r="E648" s="530">
        <v>5</v>
      </c>
      <c r="F648" s="530">
        <v>6</v>
      </c>
      <c r="G648" s="530">
        <v>7</v>
      </c>
      <c r="H648" s="530">
        <v>8</v>
      </c>
      <c r="I648" s="19">
        <v>9</v>
      </c>
      <c r="J648" s="530">
        <v>10</v>
      </c>
      <c r="K648" s="530">
        <v>11</v>
      </c>
      <c r="L648" s="530">
        <v>12</v>
      </c>
      <c r="M648" s="15"/>
      <c r="N648" s="15"/>
      <c r="O648" s="15"/>
      <c r="P648" s="310"/>
    </row>
    <row r="649" spans="1:16" ht="90">
      <c r="A649" s="517">
        <v>1</v>
      </c>
      <c r="B649" s="710" t="s">
        <v>6773</v>
      </c>
      <c r="C649" s="710" t="s">
        <v>6774</v>
      </c>
      <c r="D649" s="519" t="s">
        <v>6775</v>
      </c>
      <c r="E649" s="544">
        <v>68011.89</v>
      </c>
      <c r="F649" s="517" t="s">
        <v>6776</v>
      </c>
      <c r="G649" s="517" t="s">
        <v>389</v>
      </c>
      <c r="H649" s="517" t="s">
        <v>389</v>
      </c>
      <c r="I649" s="517" t="s">
        <v>389</v>
      </c>
      <c r="J649" s="544" t="s">
        <v>6777</v>
      </c>
      <c r="K649" s="517" t="s">
        <v>1662</v>
      </c>
      <c r="L649" s="517" t="s">
        <v>389</v>
      </c>
      <c r="M649" s="15"/>
      <c r="N649" s="15"/>
      <c r="O649" s="15"/>
      <c r="P649" s="310"/>
    </row>
    <row r="650" spans="1:16" ht="30">
      <c r="A650" s="517">
        <v>2</v>
      </c>
      <c r="B650" s="710"/>
      <c r="C650" s="710"/>
      <c r="D650" s="519" t="s">
        <v>6778</v>
      </c>
      <c r="E650" s="517">
        <v>793.2</v>
      </c>
      <c r="F650" s="517">
        <v>1995</v>
      </c>
      <c r="G650" s="517" t="s">
        <v>389</v>
      </c>
      <c r="H650" s="517" t="s">
        <v>389</v>
      </c>
      <c r="I650" s="517" t="s">
        <v>389</v>
      </c>
      <c r="J650" s="517" t="s">
        <v>389</v>
      </c>
      <c r="K650" s="517" t="s">
        <v>389</v>
      </c>
      <c r="L650" s="517" t="s">
        <v>389</v>
      </c>
      <c r="M650" s="15"/>
      <c r="N650" s="15"/>
      <c r="O650" s="15"/>
      <c r="P650" s="310"/>
    </row>
    <row r="651" spans="1:16" ht="60">
      <c r="A651" s="517">
        <v>3</v>
      </c>
      <c r="B651" s="710"/>
      <c r="C651" s="519" t="s">
        <v>5425</v>
      </c>
      <c r="D651" s="519" t="s">
        <v>1368</v>
      </c>
      <c r="E651" s="517">
        <v>630.53</v>
      </c>
      <c r="F651" s="517" t="s">
        <v>6779</v>
      </c>
      <c r="G651" s="517" t="s">
        <v>87</v>
      </c>
      <c r="H651" s="544" t="s">
        <v>6780</v>
      </c>
      <c r="I651" s="544" t="s">
        <v>306</v>
      </c>
      <c r="J651" s="517" t="s">
        <v>87</v>
      </c>
      <c r="K651" s="517"/>
      <c r="L651" s="517"/>
      <c r="M651" s="15"/>
      <c r="N651" s="15"/>
      <c r="O651" s="15"/>
      <c r="P651" s="310"/>
    </row>
    <row r="652" spans="1:16" ht="45">
      <c r="A652" s="517">
        <v>4</v>
      </c>
      <c r="B652" s="710"/>
      <c r="C652" s="519" t="s">
        <v>5425</v>
      </c>
      <c r="D652" s="519" t="s">
        <v>6781</v>
      </c>
      <c r="E652" s="544" t="s">
        <v>6782</v>
      </c>
      <c r="F652" s="517">
        <v>3105.02</v>
      </c>
      <c r="G652" s="517">
        <v>1992</v>
      </c>
      <c r="H652" s="544" t="s">
        <v>2068</v>
      </c>
      <c r="I652" s="544" t="s">
        <v>6783</v>
      </c>
      <c r="J652" s="517"/>
      <c r="K652" s="517"/>
      <c r="L652" s="517">
        <v>2</v>
      </c>
      <c r="M652" s="15"/>
      <c r="N652" s="15"/>
      <c r="O652" s="15"/>
      <c r="P652" s="310"/>
    </row>
    <row r="653" spans="1:16" ht="30">
      <c r="A653" s="517">
        <v>5</v>
      </c>
      <c r="B653" s="710"/>
      <c r="C653" s="519" t="s">
        <v>5425</v>
      </c>
      <c r="D653" s="519" t="s">
        <v>6784</v>
      </c>
      <c r="E653" s="517" t="s">
        <v>6785</v>
      </c>
      <c r="F653" s="517">
        <v>259.55</v>
      </c>
      <c r="G653" s="517">
        <v>2002</v>
      </c>
      <c r="H653" s="517"/>
      <c r="I653" s="544"/>
      <c r="J653" s="517"/>
      <c r="K653" s="517"/>
      <c r="L653" s="517"/>
      <c r="M653" s="15"/>
      <c r="N653" s="15"/>
      <c r="O653" s="15"/>
      <c r="P653" s="310"/>
    </row>
    <row r="654" spans="1:16" ht="30">
      <c r="A654" s="517">
        <v>6</v>
      </c>
      <c r="B654" s="710"/>
      <c r="C654" s="519" t="s">
        <v>5425</v>
      </c>
      <c r="D654" s="519" t="s">
        <v>6786</v>
      </c>
      <c r="E654" s="544" t="s">
        <v>6787</v>
      </c>
      <c r="F654" s="517">
        <v>651.70000000000005</v>
      </c>
      <c r="G654" s="517" t="s">
        <v>6788</v>
      </c>
      <c r="H654" s="517"/>
      <c r="I654" s="544"/>
      <c r="J654" s="517"/>
      <c r="K654" s="517"/>
      <c r="L654" s="517">
        <v>3</v>
      </c>
      <c r="M654" s="15"/>
      <c r="N654" s="15"/>
      <c r="O654" s="15"/>
      <c r="P654" s="310"/>
    </row>
    <row r="655" spans="1:16" ht="15" customHeight="1">
      <c r="A655" s="517">
        <v>7</v>
      </c>
      <c r="B655" s="710"/>
      <c r="C655" s="310" t="s">
        <v>6789</v>
      </c>
      <c r="D655" s="310" t="s">
        <v>1414</v>
      </c>
      <c r="E655" s="517">
        <v>770</v>
      </c>
      <c r="F655" s="517" t="s">
        <v>17</v>
      </c>
      <c r="G655" s="517" t="s">
        <v>17</v>
      </c>
      <c r="H655" s="517" t="s">
        <v>17</v>
      </c>
      <c r="I655" s="517" t="s">
        <v>17</v>
      </c>
      <c r="J655" s="517" t="s">
        <v>17</v>
      </c>
      <c r="K655" s="517" t="s">
        <v>17</v>
      </c>
      <c r="L655" s="517" t="s">
        <v>17</v>
      </c>
      <c r="M655" s="15"/>
      <c r="N655" s="15"/>
      <c r="O655" s="15"/>
      <c r="P655" s="310"/>
    </row>
    <row r="656" spans="1:16" ht="15">
      <c r="A656" s="517">
        <v>8</v>
      </c>
      <c r="B656" s="710"/>
      <c r="C656" s="310" t="s">
        <v>6789</v>
      </c>
      <c r="D656" s="310" t="s">
        <v>1415</v>
      </c>
      <c r="E656" s="517">
        <v>7439</v>
      </c>
      <c r="F656" s="517" t="s">
        <v>17</v>
      </c>
      <c r="G656" s="112">
        <v>41729</v>
      </c>
      <c r="H656" s="517">
        <v>13.2049</v>
      </c>
      <c r="I656" s="517" t="s">
        <v>17</v>
      </c>
      <c r="J656" s="517">
        <v>87100</v>
      </c>
      <c r="K656" s="517" t="s">
        <v>17</v>
      </c>
      <c r="L656" s="517" t="s">
        <v>17</v>
      </c>
      <c r="M656" s="15"/>
      <c r="N656" s="15"/>
      <c r="O656" s="15"/>
      <c r="P656" s="310"/>
    </row>
    <row r="657" spans="1:16" ht="15">
      <c r="A657" s="517">
        <v>9</v>
      </c>
      <c r="B657" s="710"/>
      <c r="C657" s="310" t="s">
        <v>6789</v>
      </c>
      <c r="D657" s="310" t="s">
        <v>6790</v>
      </c>
      <c r="E657" s="517">
        <v>1497.26</v>
      </c>
      <c r="F657" s="517" t="s">
        <v>6791</v>
      </c>
      <c r="G657" s="517" t="s">
        <v>133</v>
      </c>
      <c r="H657" s="517">
        <v>2.42</v>
      </c>
      <c r="I657" s="517" t="s">
        <v>296</v>
      </c>
      <c r="J657" s="517" t="s">
        <v>6792</v>
      </c>
      <c r="K657" s="517" t="s">
        <v>6792</v>
      </c>
      <c r="L657" s="517" t="s">
        <v>6792</v>
      </c>
      <c r="M657" s="15"/>
      <c r="N657" s="15"/>
      <c r="O657" s="15"/>
      <c r="P657" s="310"/>
    </row>
    <row r="658" spans="1:16" ht="60">
      <c r="A658" s="517">
        <v>10</v>
      </c>
      <c r="B658" s="710"/>
      <c r="C658" s="519" t="s">
        <v>5599</v>
      </c>
      <c r="D658" s="519" t="s">
        <v>6793</v>
      </c>
      <c r="E658" s="517">
        <v>10117.14</v>
      </c>
      <c r="F658" s="517" t="s">
        <v>6794</v>
      </c>
      <c r="G658" s="517" t="s">
        <v>17</v>
      </c>
      <c r="H658" s="517" t="s">
        <v>6795</v>
      </c>
      <c r="I658" s="517" t="s">
        <v>87</v>
      </c>
      <c r="J658" s="517" t="s">
        <v>87</v>
      </c>
      <c r="K658" s="517">
        <v>1</v>
      </c>
      <c r="L658" s="517" t="s">
        <v>17</v>
      </c>
      <c r="M658" s="15"/>
      <c r="N658" s="15"/>
      <c r="O658" s="15"/>
      <c r="P658" s="310"/>
    </row>
    <row r="659" spans="1:16" ht="57">
      <c r="A659" s="720" t="s">
        <v>1661</v>
      </c>
      <c r="B659" s="720"/>
      <c r="C659" s="720"/>
      <c r="D659" s="720"/>
      <c r="E659" s="720"/>
      <c r="F659" s="720"/>
      <c r="G659" s="720"/>
      <c r="H659" s="720"/>
      <c r="I659" s="720"/>
      <c r="J659" s="720"/>
      <c r="K659" s="720"/>
      <c r="L659" s="720"/>
      <c r="M659" s="720"/>
      <c r="N659" s="720"/>
      <c r="O659" s="720"/>
      <c r="P659" s="143" t="s">
        <v>1623</v>
      </c>
    </row>
    <row r="660" spans="1:16">
      <c r="A660" s="720">
        <v>13</v>
      </c>
      <c r="B660" s="720"/>
      <c r="C660" s="720"/>
      <c r="D660" s="720"/>
      <c r="E660" s="720"/>
      <c r="F660" s="720"/>
      <c r="G660" s="720"/>
      <c r="H660" s="720"/>
      <c r="I660" s="720"/>
      <c r="J660" s="720"/>
      <c r="K660" s="720"/>
      <c r="L660" s="720"/>
      <c r="M660" s="720"/>
      <c r="N660" s="720"/>
      <c r="O660" s="720"/>
      <c r="P660" s="18">
        <v>14</v>
      </c>
    </row>
    <row r="661" spans="1:16">
      <c r="A661" s="720" t="s">
        <v>1662</v>
      </c>
      <c r="B661" s="720"/>
      <c r="C661" s="720"/>
      <c r="D661" s="720" t="s">
        <v>1663</v>
      </c>
      <c r="E661" s="720"/>
      <c r="F661" s="720"/>
      <c r="G661" s="720" t="s">
        <v>1664</v>
      </c>
      <c r="H661" s="720"/>
      <c r="I661" s="720"/>
      <c r="J661" s="720" t="s">
        <v>1665</v>
      </c>
      <c r="K661" s="720"/>
      <c r="L661" s="720"/>
      <c r="M661" s="720" t="s">
        <v>1666</v>
      </c>
      <c r="N661" s="720"/>
      <c r="O661" s="720"/>
      <c r="P661" s="15"/>
    </row>
    <row r="662" spans="1:16" ht="15">
      <c r="A662" s="517" t="s">
        <v>1667</v>
      </c>
      <c r="B662" s="517" t="s">
        <v>1668</v>
      </c>
      <c r="C662" s="544" t="s">
        <v>418</v>
      </c>
      <c r="D662" s="517" t="s">
        <v>1667</v>
      </c>
      <c r="E662" s="517" t="s">
        <v>1668</v>
      </c>
      <c r="F662" s="544" t="s">
        <v>418</v>
      </c>
      <c r="G662" s="517" t="s">
        <v>1667</v>
      </c>
      <c r="H662" s="517" t="s">
        <v>1668</v>
      </c>
      <c r="I662" s="544" t="s">
        <v>418</v>
      </c>
      <c r="J662" s="517" t="s">
        <v>1667</v>
      </c>
      <c r="K662" s="517" t="s">
        <v>1668</v>
      </c>
      <c r="L662" s="544" t="s">
        <v>418</v>
      </c>
      <c r="M662" s="517" t="s">
        <v>1667</v>
      </c>
      <c r="N662" s="517" t="s">
        <v>1668</v>
      </c>
      <c r="O662" s="544" t="s">
        <v>418</v>
      </c>
      <c r="P662" s="15"/>
    </row>
    <row r="663" spans="1:16" ht="75">
      <c r="A663" s="517">
        <v>72</v>
      </c>
      <c r="B663" s="517">
        <v>0</v>
      </c>
      <c r="C663" s="517">
        <v>2</v>
      </c>
      <c r="D663" s="517">
        <v>194</v>
      </c>
      <c r="E663" s="517">
        <v>187</v>
      </c>
      <c r="F663" s="517">
        <v>173</v>
      </c>
      <c r="G663" s="517">
        <v>179</v>
      </c>
      <c r="H663" s="517">
        <v>165</v>
      </c>
      <c r="I663" s="517">
        <v>165</v>
      </c>
      <c r="J663" s="517">
        <v>20</v>
      </c>
      <c r="K663" s="517">
        <v>20</v>
      </c>
      <c r="L663" s="517">
        <v>14</v>
      </c>
      <c r="M663" s="517">
        <v>5</v>
      </c>
      <c r="N663" s="517">
        <v>5</v>
      </c>
      <c r="O663" s="517">
        <v>5</v>
      </c>
      <c r="P663" s="519" t="s">
        <v>6775</v>
      </c>
    </row>
    <row r="664" spans="1:16" ht="90">
      <c r="A664" s="517"/>
      <c r="B664" s="517">
        <v>12</v>
      </c>
      <c r="C664" s="517">
        <v>0</v>
      </c>
      <c r="D664" s="517">
        <v>12</v>
      </c>
      <c r="E664" s="517">
        <v>4</v>
      </c>
      <c r="F664" s="517">
        <v>0</v>
      </c>
      <c r="G664" s="517">
        <v>4</v>
      </c>
      <c r="H664" s="517" t="s">
        <v>35</v>
      </c>
      <c r="I664" s="517" t="s">
        <v>35</v>
      </c>
      <c r="J664" s="517" t="s">
        <v>35</v>
      </c>
      <c r="K664" s="517" t="s">
        <v>35</v>
      </c>
      <c r="L664" s="517" t="s">
        <v>35</v>
      </c>
      <c r="M664" s="517" t="s">
        <v>35</v>
      </c>
      <c r="N664" s="517" t="s">
        <v>35</v>
      </c>
      <c r="O664" s="517" t="s">
        <v>35</v>
      </c>
      <c r="P664" s="519" t="s">
        <v>6796</v>
      </c>
    </row>
    <row r="665" spans="1:16" ht="15">
      <c r="A665" s="517">
        <v>6</v>
      </c>
      <c r="B665" s="517">
        <v>6</v>
      </c>
      <c r="C665" s="517">
        <v>0</v>
      </c>
      <c r="D665" s="517">
        <v>6</v>
      </c>
      <c r="E665" s="517">
        <v>6</v>
      </c>
      <c r="F665" s="517">
        <v>3</v>
      </c>
      <c r="G665" s="517">
        <v>6</v>
      </c>
      <c r="H665" s="517">
        <v>6</v>
      </c>
      <c r="I665" s="517">
        <v>4</v>
      </c>
      <c r="J665" s="517" t="s">
        <v>35</v>
      </c>
      <c r="K665" s="517" t="s">
        <v>35</v>
      </c>
      <c r="L665" s="517" t="s">
        <v>35</v>
      </c>
      <c r="M665" s="517" t="s">
        <v>35</v>
      </c>
      <c r="N665" s="517" t="s">
        <v>35</v>
      </c>
      <c r="O665" s="517" t="s">
        <v>35</v>
      </c>
      <c r="P665" s="310" t="s">
        <v>6798</v>
      </c>
    </row>
    <row r="666" spans="1:16" ht="15">
      <c r="A666" s="517">
        <v>12</v>
      </c>
      <c r="B666" s="517">
        <v>0</v>
      </c>
      <c r="C666" s="517">
        <v>0</v>
      </c>
      <c r="D666" s="517">
        <v>12</v>
      </c>
      <c r="E666" s="517">
        <v>12</v>
      </c>
      <c r="F666" s="517">
        <v>11</v>
      </c>
      <c r="G666" s="517">
        <v>12</v>
      </c>
      <c r="H666" s="517">
        <v>12</v>
      </c>
      <c r="I666" s="517">
        <v>9</v>
      </c>
      <c r="J666" s="517">
        <v>4</v>
      </c>
      <c r="K666" s="517">
        <v>4</v>
      </c>
      <c r="L666" s="517">
        <v>4</v>
      </c>
      <c r="M666" s="517">
        <v>2</v>
      </c>
      <c r="N666" s="517">
        <v>2</v>
      </c>
      <c r="O666" s="517">
        <v>2</v>
      </c>
      <c r="P666" s="310" t="s">
        <v>6799</v>
      </c>
    </row>
    <row r="667" spans="1:16" ht="15">
      <c r="A667" s="517">
        <v>4</v>
      </c>
      <c r="B667" s="517">
        <v>0</v>
      </c>
      <c r="C667" s="517">
        <v>0</v>
      </c>
      <c r="D667" s="517">
        <v>2</v>
      </c>
      <c r="E667" s="517">
        <v>1</v>
      </c>
      <c r="F667" s="517">
        <v>0</v>
      </c>
      <c r="G667" s="517">
        <v>1</v>
      </c>
      <c r="H667" s="517">
        <v>1</v>
      </c>
      <c r="I667" s="517">
        <v>0</v>
      </c>
      <c r="J667" s="517">
        <v>1</v>
      </c>
      <c r="K667" s="517">
        <v>0</v>
      </c>
      <c r="L667" s="517">
        <v>0</v>
      </c>
      <c r="M667" s="517"/>
      <c r="N667" s="517"/>
      <c r="O667" s="517"/>
      <c r="P667" s="310" t="s">
        <v>6800</v>
      </c>
    </row>
    <row r="668" spans="1:16" ht="15">
      <c r="A668" s="517">
        <v>1</v>
      </c>
      <c r="B668" s="517">
        <v>0</v>
      </c>
      <c r="C668" s="517"/>
      <c r="D668" s="517"/>
      <c r="E668" s="517"/>
      <c r="F668" s="517"/>
      <c r="G668" s="517">
        <v>2</v>
      </c>
      <c r="H668" s="517">
        <v>0</v>
      </c>
      <c r="I668" s="517">
        <v>0</v>
      </c>
      <c r="J668" s="517">
        <v>1</v>
      </c>
      <c r="K668" s="517">
        <v>0</v>
      </c>
      <c r="L668" s="517">
        <v>0</v>
      </c>
      <c r="M668" s="517"/>
      <c r="N668" s="517"/>
      <c r="O668" s="517"/>
      <c r="P668" s="310" t="s">
        <v>6801</v>
      </c>
    </row>
    <row r="669" spans="1:16" ht="15">
      <c r="A669" s="517">
        <v>12</v>
      </c>
      <c r="B669" s="517">
        <v>12</v>
      </c>
      <c r="C669" s="517">
        <v>1</v>
      </c>
      <c r="D669" s="517">
        <v>12</v>
      </c>
      <c r="E669" s="517">
        <v>12</v>
      </c>
      <c r="F669" s="517">
        <v>2</v>
      </c>
      <c r="G669" s="517">
        <v>29</v>
      </c>
      <c r="H669" s="517">
        <v>29</v>
      </c>
      <c r="I669" s="517">
        <v>15</v>
      </c>
      <c r="J669" s="517">
        <v>6</v>
      </c>
      <c r="K669" s="517">
        <v>6</v>
      </c>
      <c r="L669" s="517">
        <v>6</v>
      </c>
      <c r="M669" s="517">
        <v>2</v>
      </c>
      <c r="N669" s="517">
        <v>2</v>
      </c>
      <c r="O669" s="517">
        <v>2</v>
      </c>
      <c r="P669" s="710" t="s">
        <v>6797</v>
      </c>
    </row>
    <row r="670" spans="1:16" ht="15">
      <c r="A670" s="517">
        <v>2</v>
      </c>
      <c r="B670" s="517">
        <v>2</v>
      </c>
      <c r="C670" s="517"/>
      <c r="D670" s="517">
        <v>6</v>
      </c>
      <c r="E670" s="517">
        <v>6</v>
      </c>
      <c r="F670" s="517"/>
      <c r="G670" s="517">
        <v>8</v>
      </c>
      <c r="H670" s="517">
        <v>8</v>
      </c>
      <c r="I670" s="517">
        <v>8</v>
      </c>
      <c r="J670" s="517">
        <v>1</v>
      </c>
      <c r="K670" s="517">
        <v>1</v>
      </c>
      <c r="L670" s="517">
        <v>0</v>
      </c>
      <c r="M670" s="517" t="s">
        <v>17</v>
      </c>
      <c r="N670" s="517" t="s">
        <v>17</v>
      </c>
      <c r="O670" s="517" t="s">
        <v>17</v>
      </c>
      <c r="P670" s="710"/>
    </row>
    <row r="671" spans="1:16" ht="30">
      <c r="A671" s="517">
        <v>12</v>
      </c>
      <c r="B671" s="517">
        <v>12</v>
      </c>
      <c r="C671" s="517">
        <v>1</v>
      </c>
      <c r="D671" s="517">
        <v>12</v>
      </c>
      <c r="E671" s="517">
        <v>12</v>
      </c>
      <c r="F671" s="517">
        <v>2</v>
      </c>
      <c r="G671" s="517">
        <v>29</v>
      </c>
      <c r="H671" s="517">
        <v>29</v>
      </c>
      <c r="I671" s="517">
        <v>15</v>
      </c>
      <c r="J671" s="517">
        <v>6</v>
      </c>
      <c r="K671" s="517">
        <v>6</v>
      </c>
      <c r="L671" s="517">
        <v>6</v>
      </c>
      <c r="M671" s="517">
        <v>2</v>
      </c>
      <c r="N671" s="517">
        <v>2</v>
      </c>
      <c r="O671" s="517">
        <v>2</v>
      </c>
      <c r="P671" s="519" t="s">
        <v>6802</v>
      </c>
    </row>
    <row r="672" spans="1:16" ht="60">
      <c r="A672" s="530">
        <v>16</v>
      </c>
      <c r="B672" s="530">
        <v>16</v>
      </c>
      <c r="C672" s="530">
        <v>0</v>
      </c>
      <c r="D672" s="530">
        <v>22</v>
      </c>
      <c r="E672" s="530">
        <v>22</v>
      </c>
      <c r="F672" s="530">
        <v>14</v>
      </c>
      <c r="G672" s="530">
        <v>38</v>
      </c>
      <c r="H672" s="530">
        <v>38</v>
      </c>
      <c r="I672" s="530">
        <v>35</v>
      </c>
      <c r="J672" s="530">
        <v>8</v>
      </c>
      <c r="K672" s="530">
        <v>8</v>
      </c>
      <c r="L672" s="530">
        <v>6</v>
      </c>
      <c r="M672" s="530">
        <v>0</v>
      </c>
      <c r="N672" s="530">
        <v>0</v>
      </c>
      <c r="O672" s="530">
        <v>0</v>
      </c>
      <c r="P672" s="519" t="s">
        <v>6803</v>
      </c>
    </row>
    <row r="673" spans="1:16" ht="15">
      <c r="A673" s="720" t="s">
        <v>1670</v>
      </c>
      <c r="B673" s="720"/>
      <c r="C673" s="720"/>
      <c r="D673" s="720" t="s">
        <v>1671</v>
      </c>
      <c r="E673" s="720"/>
      <c r="F673" s="720"/>
      <c r="G673" s="720" t="s">
        <v>1672</v>
      </c>
      <c r="H673" s="720"/>
      <c r="I673" s="720"/>
      <c r="J673" s="310"/>
      <c r="K673" s="310"/>
      <c r="L673" s="310"/>
      <c r="M673" s="310"/>
      <c r="N673" s="310"/>
      <c r="O673" s="310"/>
      <c r="P673" s="15"/>
    </row>
    <row r="674" spans="1:16" ht="15">
      <c r="A674" s="517" t="s">
        <v>1667</v>
      </c>
      <c r="B674" s="517" t="s">
        <v>1668</v>
      </c>
      <c r="C674" s="544" t="s">
        <v>418</v>
      </c>
      <c r="D674" s="517" t="s">
        <v>1667</v>
      </c>
      <c r="E674" s="517" t="s">
        <v>1668</v>
      </c>
      <c r="F674" s="544" t="s">
        <v>418</v>
      </c>
      <c r="G674" s="517" t="s">
        <v>1667</v>
      </c>
      <c r="H674" s="517" t="s">
        <v>1668</v>
      </c>
      <c r="I674" s="544" t="s">
        <v>418</v>
      </c>
      <c r="J674" s="310"/>
      <c r="K674" s="716"/>
      <c r="L674" s="716"/>
      <c r="M674" s="716"/>
      <c r="N674" s="716"/>
      <c r="O674" s="716"/>
      <c r="P674" s="716"/>
    </row>
    <row r="675" spans="1:16" ht="75">
      <c r="A675" s="517">
        <v>3</v>
      </c>
      <c r="B675" s="517">
        <v>3</v>
      </c>
      <c r="C675" s="517">
        <v>2</v>
      </c>
      <c r="D675" s="517" t="s">
        <v>35</v>
      </c>
      <c r="E675" s="517" t="s">
        <v>35</v>
      </c>
      <c r="F675" s="517" t="s">
        <v>35</v>
      </c>
      <c r="G675" s="517" t="s">
        <v>35</v>
      </c>
      <c r="H675" s="517" t="s">
        <v>35</v>
      </c>
      <c r="I675" s="517" t="s">
        <v>35</v>
      </c>
      <c r="J675" s="30" t="s">
        <v>6775</v>
      </c>
      <c r="K675" s="716"/>
      <c r="L675" s="716"/>
      <c r="M675" s="716"/>
      <c r="N675" s="716"/>
      <c r="O675" s="716"/>
      <c r="P675" s="716"/>
    </row>
    <row r="676" spans="1:16" ht="90">
      <c r="A676" s="517" t="s">
        <v>35</v>
      </c>
      <c r="B676" s="517" t="s">
        <v>35</v>
      </c>
      <c r="C676" s="517" t="s">
        <v>35</v>
      </c>
      <c r="D676" s="517" t="s">
        <v>35</v>
      </c>
      <c r="E676" s="517" t="s">
        <v>35</v>
      </c>
      <c r="F676" s="517" t="s">
        <v>35</v>
      </c>
      <c r="G676" s="517" t="s">
        <v>35</v>
      </c>
      <c r="H676" s="517" t="s">
        <v>35</v>
      </c>
      <c r="I676" s="517" t="s">
        <v>35</v>
      </c>
      <c r="J676" s="30" t="s">
        <v>6796</v>
      </c>
      <c r="K676" s="716"/>
      <c r="L676" s="716"/>
      <c r="M676" s="716"/>
      <c r="N676" s="716"/>
      <c r="O676" s="716"/>
      <c r="P676" s="716"/>
    </row>
    <row r="677" spans="1:16" ht="15">
      <c r="A677" s="517" t="s">
        <v>35</v>
      </c>
      <c r="B677" s="517" t="s">
        <v>35</v>
      </c>
      <c r="C677" s="517" t="s">
        <v>35</v>
      </c>
      <c r="D677" s="517" t="s">
        <v>35</v>
      </c>
      <c r="E677" s="517" t="s">
        <v>35</v>
      </c>
      <c r="F677" s="517" t="s">
        <v>35</v>
      </c>
      <c r="G677" s="517" t="s">
        <v>35</v>
      </c>
      <c r="H677" s="517" t="s">
        <v>35</v>
      </c>
      <c r="I677" s="517" t="s">
        <v>35</v>
      </c>
      <c r="J677" s="264" t="s">
        <v>6798</v>
      </c>
      <c r="K677" s="716"/>
      <c r="L677" s="716"/>
      <c r="M677" s="716"/>
      <c r="N677" s="716"/>
      <c r="O677" s="716"/>
      <c r="P677" s="716"/>
    </row>
    <row r="678" spans="1:16" ht="15">
      <c r="A678" s="517" t="s">
        <v>35</v>
      </c>
      <c r="B678" s="517" t="s">
        <v>35</v>
      </c>
      <c r="C678" s="517" t="s">
        <v>35</v>
      </c>
      <c r="D678" s="517" t="s">
        <v>35</v>
      </c>
      <c r="E678" s="517" t="s">
        <v>35</v>
      </c>
      <c r="F678" s="517" t="s">
        <v>35</v>
      </c>
      <c r="G678" s="517" t="s">
        <v>35</v>
      </c>
      <c r="H678" s="517" t="s">
        <v>35</v>
      </c>
      <c r="I678" s="517" t="s">
        <v>35</v>
      </c>
      <c r="J678" s="264" t="s">
        <v>6799</v>
      </c>
      <c r="K678" s="716"/>
      <c r="L678" s="716"/>
      <c r="M678" s="716"/>
      <c r="N678" s="716"/>
      <c r="O678" s="716"/>
      <c r="P678" s="716"/>
    </row>
    <row r="679" spans="1:16" ht="15">
      <c r="A679" s="517" t="s">
        <v>35</v>
      </c>
      <c r="B679" s="517" t="s">
        <v>35</v>
      </c>
      <c r="C679" s="517" t="s">
        <v>35</v>
      </c>
      <c r="D679" s="517" t="s">
        <v>35</v>
      </c>
      <c r="E679" s="517" t="s">
        <v>35</v>
      </c>
      <c r="F679" s="517" t="s">
        <v>35</v>
      </c>
      <c r="G679" s="517" t="s">
        <v>35</v>
      </c>
      <c r="H679" s="517" t="s">
        <v>35</v>
      </c>
      <c r="I679" s="517" t="s">
        <v>35</v>
      </c>
      <c r="J679" s="264" t="s">
        <v>6800</v>
      </c>
      <c r="K679" s="716"/>
      <c r="L679" s="716"/>
      <c r="M679" s="716"/>
      <c r="N679" s="716"/>
      <c r="O679" s="716"/>
      <c r="P679" s="716"/>
    </row>
    <row r="680" spans="1:16" ht="15">
      <c r="A680" s="517" t="s">
        <v>35</v>
      </c>
      <c r="B680" s="517" t="s">
        <v>35</v>
      </c>
      <c r="C680" s="517" t="s">
        <v>35</v>
      </c>
      <c r="D680" s="517" t="s">
        <v>35</v>
      </c>
      <c r="E680" s="517" t="s">
        <v>35</v>
      </c>
      <c r="F680" s="517" t="s">
        <v>35</v>
      </c>
      <c r="G680" s="517" t="s">
        <v>35</v>
      </c>
      <c r="H680" s="517" t="s">
        <v>35</v>
      </c>
      <c r="I680" s="517" t="s">
        <v>35</v>
      </c>
      <c r="J680" s="264" t="s">
        <v>6801</v>
      </c>
      <c r="K680" s="716"/>
      <c r="L680" s="716"/>
      <c r="M680" s="716"/>
      <c r="N680" s="716"/>
      <c r="O680" s="716"/>
      <c r="P680" s="716"/>
    </row>
    <row r="681" spans="1:16" ht="45">
      <c r="A681" s="517" t="s">
        <v>35</v>
      </c>
      <c r="B681" s="517" t="s">
        <v>35</v>
      </c>
      <c r="C681" s="517" t="s">
        <v>35</v>
      </c>
      <c r="D681" s="517" t="s">
        <v>35</v>
      </c>
      <c r="E681" s="517" t="s">
        <v>35</v>
      </c>
      <c r="F681" s="517" t="s">
        <v>35</v>
      </c>
      <c r="G681" s="517" t="s">
        <v>35</v>
      </c>
      <c r="H681" s="517" t="s">
        <v>35</v>
      </c>
      <c r="I681" s="517" t="s">
        <v>35</v>
      </c>
      <c r="J681" s="30" t="s">
        <v>6797</v>
      </c>
      <c r="K681" s="716"/>
      <c r="L681" s="716"/>
      <c r="M681" s="716"/>
      <c r="N681" s="716"/>
      <c r="O681" s="716"/>
      <c r="P681" s="716"/>
    </row>
    <row r="682" spans="1:16" ht="30">
      <c r="A682" s="517" t="s">
        <v>35</v>
      </c>
      <c r="B682" s="517" t="s">
        <v>35</v>
      </c>
      <c r="C682" s="517" t="s">
        <v>35</v>
      </c>
      <c r="D682" s="517" t="s">
        <v>35</v>
      </c>
      <c r="E682" s="517" t="s">
        <v>35</v>
      </c>
      <c r="F682" s="517" t="s">
        <v>35</v>
      </c>
      <c r="G682" s="517" t="s">
        <v>35</v>
      </c>
      <c r="H682" s="517" t="s">
        <v>35</v>
      </c>
      <c r="I682" s="517" t="s">
        <v>35</v>
      </c>
      <c r="J682" s="30" t="s">
        <v>6802</v>
      </c>
      <c r="K682" s="716"/>
      <c r="L682" s="716"/>
      <c r="M682" s="716"/>
      <c r="N682" s="716"/>
      <c r="O682" s="716"/>
      <c r="P682" s="716"/>
    </row>
    <row r="683" spans="1:16" ht="60">
      <c r="A683" s="517">
        <v>0</v>
      </c>
      <c r="B683" s="517">
        <v>0</v>
      </c>
      <c r="C683" s="517">
        <v>0</v>
      </c>
      <c r="D683" s="517">
        <v>0</v>
      </c>
      <c r="E683" s="517">
        <v>0</v>
      </c>
      <c r="F683" s="517">
        <v>0</v>
      </c>
      <c r="G683" s="517">
        <v>0</v>
      </c>
      <c r="H683" s="517">
        <v>0</v>
      </c>
      <c r="I683" s="517">
        <v>0</v>
      </c>
      <c r="J683" s="30" t="s">
        <v>6804</v>
      </c>
      <c r="K683" s="716"/>
      <c r="L683" s="716"/>
      <c r="M683" s="716"/>
      <c r="N683" s="716"/>
      <c r="O683" s="716"/>
      <c r="P683" s="716"/>
    </row>
    <row r="684" spans="1:16" ht="15">
      <c r="A684" s="15"/>
      <c r="B684" s="15"/>
      <c r="C684" s="15"/>
      <c r="D684" s="15"/>
      <c r="E684" s="15"/>
      <c r="F684" s="15"/>
      <c r="G684" s="15"/>
      <c r="H684" s="15"/>
      <c r="I684" s="14"/>
      <c r="J684" s="15"/>
      <c r="K684" s="15"/>
      <c r="L684" s="15"/>
      <c r="M684" s="15"/>
      <c r="N684" s="15"/>
      <c r="O684" s="15"/>
      <c r="P684" s="517"/>
    </row>
    <row r="685" spans="1:16" ht="15">
      <c r="A685" s="15"/>
      <c r="B685" s="15"/>
      <c r="C685" s="15"/>
      <c r="D685" s="15"/>
      <c r="E685" s="15"/>
      <c r="F685" s="15"/>
      <c r="G685" s="15"/>
      <c r="H685" s="15"/>
      <c r="I685" s="14"/>
      <c r="J685" s="15"/>
      <c r="K685" s="15"/>
      <c r="L685" s="15"/>
      <c r="M685" s="15"/>
      <c r="N685" s="15"/>
      <c r="O685" s="15"/>
      <c r="P685" s="519"/>
    </row>
    <row r="686" spans="1:16" ht="22.5">
      <c r="A686" s="718" t="s">
        <v>672</v>
      </c>
      <c r="B686" s="718"/>
      <c r="C686" s="718"/>
      <c r="D686" s="718"/>
      <c r="E686" s="718"/>
      <c r="F686" s="718"/>
      <c r="G686" s="718"/>
      <c r="H686" s="718"/>
      <c r="I686" s="718"/>
      <c r="J686" s="718"/>
      <c r="K686" s="718"/>
      <c r="L686" s="718"/>
      <c r="M686" s="718"/>
      <c r="N686" s="718"/>
      <c r="O686" s="718"/>
      <c r="P686" s="718"/>
    </row>
    <row r="687" spans="1:16" ht="20.25">
      <c r="A687" s="725" t="s">
        <v>6276</v>
      </c>
      <c r="B687" s="725"/>
      <c r="C687" s="725"/>
      <c r="D687" s="725"/>
      <c r="E687" s="725"/>
      <c r="F687" s="725"/>
      <c r="G687" s="725"/>
      <c r="H687" s="725"/>
      <c r="I687" s="725"/>
      <c r="J687" s="725"/>
      <c r="K687" s="725"/>
      <c r="L687" s="725"/>
      <c r="M687" s="548"/>
      <c r="N687" s="548"/>
      <c r="O687" s="15"/>
      <c r="P687" s="310"/>
    </row>
    <row r="688" spans="1:16" ht="114">
      <c r="A688" s="18" t="s">
        <v>0</v>
      </c>
      <c r="B688" s="18" t="s">
        <v>1616</v>
      </c>
      <c r="C688" s="18" t="s">
        <v>1647</v>
      </c>
      <c r="D688" s="18" t="s">
        <v>1648</v>
      </c>
      <c r="E688" s="18" t="s">
        <v>6277</v>
      </c>
      <c r="F688" s="18" t="s">
        <v>1619</v>
      </c>
      <c r="G688" s="19" t="s">
        <v>1649</v>
      </c>
      <c r="H688" s="18" t="s">
        <v>6281</v>
      </c>
      <c r="I688" s="18" t="s">
        <v>1620</v>
      </c>
      <c r="J688" s="19" t="s">
        <v>1650</v>
      </c>
      <c r="K688" s="20" t="s">
        <v>1651</v>
      </c>
      <c r="L688" s="20" t="s">
        <v>1622</v>
      </c>
      <c r="M688" s="15"/>
      <c r="N688" s="15"/>
      <c r="O688" s="15"/>
      <c r="P688" s="310"/>
    </row>
    <row r="689" spans="1:16" ht="15">
      <c r="A689" s="530">
        <v>1</v>
      </c>
      <c r="B689" s="530">
        <v>2</v>
      </c>
      <c r="C689" s="530">
        <v>3</v>
      </c>
      <c r="D689" s="530">
        <v>4</v>
      </c>
      <c r="E689" s="530">
        <v>5</v>
      </c>
      <c r="F689" s="530">
        <v>6</v>
      </c>
      <c r="G689" s="530">
        <v>7</v>
      </c>
      <c r="H689" s="530">
        <v>8</v>
      </c>
      <c r="I689" s="19">
        <v>9</v>
      </c>
      <c r="J689" s="530">
        <v>10</v>
      </c>
      <c r="K689" s="530">
        <v>11</v>
      </c>
      <c r="L689" s="530">
        <v>12</v>
      </c>
      <c r="M689" s="15"/>
      <c r="N689" s="15"/>
      <c r="O689" s="15"/>
      <c r="P689" s="310"/>
    </row>
    <row r="690" spans="1:16" ht="60">
      <c r="A690" s="513">
        <v>1</v>
      </c>
      <c r="B690" s="696" t="s">
        <v>6558</v>
      </c>
      <c r="C690" s="696" t="s">
        <v>5627</v>
      </c>
      <c r="D690" s="511" t="s">
        <v>6805</v>
      </c>
      <c r="E690" s="513">
        <v>5012</v>
      </c>
      <c r="F690" s="513">
        <v>1986</v>
      </c>
      <c r="G690" s="518" t="s">
        <v>35</v>
      </c>
      <c r="H690" s="513"/>
      <c r="I690" s="513" t="s">
        <v>6806</v>
      </c>
      <c r="J690" s="513"/>
      <c r="K690" s="513"/>
      <c r="L690" s="513"/>
      <c r="M690" s="15"/>
      <c r="N690" s="15"/>
      <c r="O690" s="15"/>
      <c r="P690" s="310"/>
    </row>
    <row r="691" spans="1:16" ht="60">
      <c r="A691" s="513">
        <v>2</v>
      </c>
      <c r="B691" s="696"/>
      <c r="C691" s="696"/>
      <c r="D691" s="511" t="s">
        <v>1457</v>
      </c>
      <c r="E691" s="513">
        <v>693.4</v>
      </c>
      <c r="F691" s="513"/>
      <c r="G691" s="513"/>
      <c r="H691" s="513" t="s">
        <v>352</v>
      </c>
      <c r="I691" s="513"/>
      <c r="J691" s="513"/>
      <c r="K691" s="513"/>
      <c r="L691" s="513">
        <v>1</v>
      </c>
      <c r="M691" s="15"/>
      <c r="N691" s="15"/>
      <c r="O691" s="15"/>
      <c r="P691" s="310"/>
    </row>
    <row r="692" spans="1:16" ht="45">
      <c r="A692" s="513">
        <v>3</v>
      </c>
      <c r="B692" s="696"/>
      <c r="C692" s="696"/>
      <c r="D692" s="511" t="s">
        <v>1459</v>
      </c>
      <c r="E692" s="513">
        <v>323.35000000000002</v>
      </c>
      <c r="F692" s="513">
        <v>2002</v>
      </c>
      <c r="G692" s="513"/>
      <c r="H692" s="513" t="s">
        <v>6807</v>
      </c>
      <c r="I692" s="513"/>
      <c r="J692" s="513"/>
      <c r="K692" s="513"/>
      <c r="L692" s="513">
        <v>2</v>
      </c>
      <c r="M692" s="15"/>
      <c r="N692" s="15"/>
      <c r="O692" s="15"/>
      <c r="P692" s="310"/>
    </row>
    <row r="693" spans="1:16" ht="30">
      <c r="A693" s="513">
        <v>4</v>
      </c>
      <c r="B693" s="696"/>
      <c r="C693" s="696"/>
      <c r="D693" s="511" t="s">
        <v>1454</v>
      </c>
      <c r="E693" s="513">
        <v>1491.55</v>
      </c>
      <c r="F693" s="513">
        <v>1998</v>
      </c>
      <c r="G693" s="513"/>
      <c r="H693" s="513" t="s">
        <v>6808</v>
      </c>
      <c r="I693" s="513"/>
      <c r="J693" s="513"/>
      <c r="K693" s="513">
        <v>1</v>
      </c>
      <c r="L693" s="513"/>
      <c r="M693" s="15"/>
      <c r="N693" s="15"/>
      <c r="O693" s="15"/>
      <c r="P693" s="310"/>
    </row>
    <row r="694" spans="1:16" ht="45">
      <c r="A694" s="539">
        <v>1</v>
      </c>
      <c r="B694" s="696"/>
      <c r="C694" s="515" t="s">
        <v>1462</v>
      </c>
      <c r="D694" s="511" t="s">
        <v>6810</v>
      </c>
      <c r="E694" s="512">
        <v>722</v>
      </c>
      <c r="F694" s="512">
        <v>1985</v>
      </c>
      <c r="G694" s="512" t="s">
        <v>17</v>
      </c>
      <c r="H694" s="512" t="s">
        <v>6811</v>
      </c>
      <c r="I694" s="512"/>
      <c r="J694" s="512"/>
      <c r="K694" s="512">
        <v>1</v>
      </c>
      <c r="L694" s="512" t="s">
        <v>17</v>
      </c>
      <c r="M694" s="15"/>
      <c r="N694" s="15"/>
      <c r="O694" s="15"/>
      <c r="P694" s="310"/>
    </row>
    <row r="695" spans="1:16" ht="31.5">
      <c r="A695" s="512">
        <v>1</v>
      </c>
      <c r="B695" s="696"/>
      <c r="C695" s="511" t="s">
        <v>1444</v>
      </c>
      <c r="D695" s="285" t="s">
        <v>1477</v>
      </c>
      <c r="E695" s="254">
        <v>3611</v>
      </c>
      <c r="F695" s="512" t="s">
        <v>6812</v>
      </c>
      <c r="G695" s="512"/>
      <c r="H695" s="512">
        <v>3.63</v>
      </c>
      <c r="I695" s="512"/>
      <c r="J695" s="512"/>
      <c r="K695" s="512">
        <v>1</v>
      </c>
      <c r="L695" s="512"/>
      <c r="M695" s="15"/>
      <c r="N695" s="15"/>
      <c r="O695" s="15"/>
      <c r="P695" s="310"/>
    </row>
    <row r="696" spans="1:16" ht="45">
      <c r="A696" s="512">
        <v>2</v>
      </c>
      <c r="B696" s="696"/>
      <c r="C696" s="511" t="s">
        <v>1444</v>
      </c>
      <c r="D696" s="511" t="s">
        <v>1478</v>
      </c>
      <c r="E696" s="512">
        <v>448.76</v>
      </c>
      <c r="F696" s="512" t="s">
        <v>6813</v>
      </c>
      <c r="G696" s="512"/>
      <c r="H696" s="512">
        <v>0.29959999999999998</v>
      </c>
      <c r="I696" s="512"/>
      <c r="J696" s="512"/>
      <c r="K696" s="512"/>
      <c r="L696" s="512">
        <v>1</v>
      </c>
      <c r="M696" s="15"/>
      <c r="N696" s="15"/>
      <c r="O696" s="15"/>
      <c r="P696" s="310"/>
    </row>
    <row r="697" spans="1:16" ht="47.25">
      <c r="A697" s="512">
        <v>3</v>
      </c>
      <c r="B697" s="696"/>
      <c r="C697" s="511" t="s">
        <v>1444</v>
      </c>
      <c r="D697" s="285" t="s">
        <v>1480</v>
      </c>
      <c r="E697" s="512">
        <v>2076</v>
      </c>
      <c r="F697" s="512" t="s">
        <v>6814</v>
      </c>
      <c r="G697" s="512"/>
      <c r="H697" s="512">
        <v>1.61</v>
      </c>
      <c r="I697" s="512"/>
      <c r="J697" s="512"/>
      <c r="K697" s="512"/>
      <c r="L697" s="512">
        <v>2</v>
      </c>
      <c r="M697" s="15"/>
      <c r="N697" s="15"/>
      <c r="O697" s="15"/>
      <c r="P697" s="310"/>
    </row>
    <row r="698" spans="1:16" ht="105">
      <c r="A698" s="284">
        <v>1</v>
      </c>
      <c r="B698" s="696"/>
      <c r="C698" s="286" t="s">
        <v>1424</v>
      </c>
      <c r="D698" s="286" t="s">
        <v>2324</v>
      </c>
      <c r="E698" s="284" t="s">
        <v>6815</v>
      </c>
      <c r="F698" s="284" t="s">
        <v>2326</v>
      </c>
      <c r="G698" s="284" t="s">
        <v>1280</v>
      </c>
      <c r="H698" s="284" t="s">
        <v>1282</v>
      </c>
      <c r="I698" s="284" t="s">
        <v>6816</v>
      </c>
      <c r="J698" s="284"/>
      <c r="K698" s="284"/>
      <c r="L698" s="284"/>
      <c r="M698" s="15"/>
      <c r="N698" s="15"/>
      <c r="O698" s="15"/>
      <c r="P698" s="310"/>
    </row>
    <row r="699" spans="1:16" ht="60">
      <c r="A699" s="512">
        <v>1</v>
      </c>
      <c r="B699" s="511" t="s">
        <v>1433</v>
      </c>
      <c r="C699" s="511" t="s">
        <v>1434</v>
      </c>
      <c r="D699" s="511" t="s">
        <v>6817</v>
      </c>
      <c r="E699" s="513">
        <v>2533</v>
      </c>
      <c r="F699" s="512" t="s">
        <v>17</v>
      </c>
      <c r="G699" s="512" t="s">
        <v>6818</v>
      </c>
      <c r="H699" s="512">
        <v>4.65E-2</v>
      </c>
      <c r="I699" s="65" t="s">
        <v>454</v>
      </c>
      <c r="J699" s="512" t="s">
        <v>302</v>
      </c>
      <c r="K699" s="512">
        <v>1</v>
      </c>
      <c r="L699" s="512" t="s">
        <v>17</v>
      </c>
      <c r="M699" s="544" t="s">
        <v>6819</v>
      </c>
      <c r="N699" s="15"/>
      <c r="O699" s="15"/>
      <c r="P699" s="310"/>
    </row>
    <row r="700" spans="1:16" ht="45">
      <c r="A700" s="512">
        <v>2</v>
      </c>
      <c r="B700" s="511" t="s">
        <v>1433</v>
      </c>
      <c r="C700" s="511" t="s">
        <v>1434</v>
      </c>
      <c r="D700" s="511" t="s">
        <v>6820</v>
      </c>
      <c r="E700" s="512">
        <v>227</v>
      </c>
      <c r="F700" s="512" t="s">
        <v>17</v>
      </c>
      <c r="G700" s="512">
        <v>1960</v>
      </c>
      <c r="H700" s="512">
        <v>1.71</v>
      </c>
      <c r="I700" s="517">
        <v>1.95</v>
      </c>
      <c r="J700" s="512" t="s">
        <v>302</v>
      </c>
      <c r="K700" s="512">
        <v>2</v>
      </c>
      <c r="L700" s="512" t="s">
        <v>17</v>
      </c>
      <c r="M700" s="517"/>
      <c r="N700" s="15"/>
      <c r="O700" s="15"/>
      <c r="P700" s="310"/>
    </row>
    <row r="701" spans="1:16" ht="57">
      <c r="A701" s="720" t="s">
        <v>1661</v>
      </c>
      <c r="B701" s="720"/>
      <c r="C701" s="720"/>
      <c r="D701" s="720"/>
      <c r="E701" s="720"/>
      <c r="F701" s="720"/>
      <c r="G701" s="720"/>
      <c r="H701" s="720"/>
      <c r="I701" s="720"/>
      <c r="J701" s="720"/>
      <c r="K701" s="720"/>
      <c r="L701" s="720"/>
      <c r="M701" s="720"/>
      <c r="N701" s="720"/>
      <c r="O701" s="720"/>
      <c r="P701" s="143" t="s">
        <v>1623</v>
      </c>
    </row>
    <row r="702" spans="1:16">
      <c r="A702" s="720">
        <v>13</v>
      </c>
      <c r="B702" s="720"/>
      <c r="C702" s="720"/>
      <c r="D702" s="720"/>
      <c r="E702" s="720"/>
      <c r="F702" s="720"/>
      <c r="G702" s="720"/>
      <c r="H702" s="720"/>
      <c r="I702" s="720"/>
      <c r="J702" s="720"/>
      <c r="K702" s="720"/>
      <c r="L702" s="720"/>
      <c r="M702" s="720"/>
      <c r="N702" s="720"/>
      <c r="O702" s="720"/>
      <c r="P702" s="18">
        <v>14</v>
      </c>
    </row>
    <row r="703" spans="1:16">
      <c r="A703" s="720" t="s">
        <v>1662</v>
      </c>
      <c r="B703" s="720"/>
      <c r="C703" s="720"/>
      <c r="D703" s="720" t="s">
        <v>1663</v>
      </c>
      <c r="E703" s="720"/>
      <c r="F703" s="720"/>
      <c r="G703" s="720" t="s">
        <v>1664</v>
      </c>
      <c r="H703" s="720"/>
      <c r="I703" s="720"/>
      <c r="J703" s="720" t="s">
        <v>1665</v>
      </c>
      <c r="K703" s="720"/>
      <c r="L703" s="720"/>
      <c r="M703" s="720" t="s">
        <v>1666</v>
      </c>
      <c r="N703" s="720"/>
      <c r="O703" s="720"/>
      <c r="P703" s="15"/>
    </row>
    <row r="704" spans="1:16" ht="15">
      <c r="A704" s="517" t="s">
        <v>1667</v>
      </c>
      <c r="B704" s="517" t="s">
        <v>1668</v>
      </c>
      <c r="C704" s="544" t="s">
        <v>418</v>
      </c>
      <c r="D704" s="517" t="s">
        <v>1667</v>
      </c>
      <c r="E704" s="517" t="s">
        <v>1668</v>
      </c>
      <c r="F704" s="544" t="s">
        <v>418</v>
      </c>
      <c r="G704" s="517" t="s">
        <v>1667</v>
      </c>
      <c r="H704" s="517" t="s">
        <v>1668</v>
      </c>
      <c r="I704" s="544" t="s">
        <v>418</v>
      </c>
      <c r="J704" s="517" t="s">
        <v>1667</v>
      </c>
      <c r="K704" s="517" t="s">
        <v>1668</v>
      </c>
      <c r="L704" s="544" t="s">
        <v>418</v>
      </c>
      <c r="M704" s="517" t="s">
        <v>1667</v>
      </c>
      <c r="N704" s="517" t="s">
        <v>1668</v>
      </c>
      <c r="O704" s="544" t="s">
        <v>418</v>
      </c>
      <c r="P704" s="15"/>
    </row>
    <row r="705" spans="1:16" ht="299.25" customHeight="1">
      <c r="A705" s="5" t="s">
        <v>35</v>
      </c>
      <c r="B705" s="5" t="s">
        <v>35</v>
      </c>
      <c r="C705" s="5" t="s">
        <v>35</v>
      </c>
      <c r="D705" s="512">
        <v>48</v>
      </c>
      <c r="E705" s="512">
        <v>48</v>
      </c>
      <c r="F705" s="512">
        <v>28</v>
      </c>
      <c r="G705" s="512">
        <v>32</v>
      </c>
      <c r="H705" s="512">
        <v>32</v>
      </c>
      <c r="I705" s="512">
        <v>20</v>
      </c>
      <c r="J705" s="512">
        <v>8</v>
      </c>
      <c r="K705" s="512">
        <v>8</v>
      </c>
      <c r="L705" s="512">
        <v>7</v>
      </c>
      <c r="M705" s="512">
        <v>2</v>
      </c>
      <c r="N705" s="512">
        <v>2</v>
      </c>
      <c r="O705" s="512">
        <v>2</v>
      </c>
      <c r="P705" s="719" t="s">
        <v>6809</v>
      </c>
    </row>
    <row r="706" spans="1:16" ht="15">
      <c r="A706" s="513">
        <v>6</v>
      </c>
      <c r="B706" s="513">
        <v>6</v>
      </c>
      <c r="C706" s="513">
        <v>0</v>
      </c>
      <c r="D706" s="513">
        <v>18</v>
      </c>
      <c r="E706" s="513">
        <v>18</v>
      </c>
      <c r="F706" s="513">
        <v>8</v>
      </c>
      <c r="G706" s="513">
        <v>33</v>
      </c>
      <c r="H706" s="513">
        <v>33</v>
      </c>
      <c r="I706" s="513">
        <v>28</v>
      </c>
      <c r="J706" s="513">
        <v>5</v>
      </c>
      <c r="K706" s="513">
        <v>5</v>
      </c>
      <c r="L706" s="513">
        <v>3</v>
      </c>
      <c r="M706" s="513">
        <v>1</v>
      </c>
      <c r="N706" s="513">
        <v>1</v>
      </c>
      <c r="O706" s="513">
        <v>1</v>
      </c>
      <c r="P706" s="719"/>
    </row>
    <row r="707" spans="1:16" ht="15">
      <c r="A707" s="527">
        <v>6</v>
      </c>
      <c r="B707" s="527">
        <v>0</v>
      </c>
      <c r="C707" s="527">
        <v>0</v>
      </c>
      <c r="D707" s="527">
        <v>1</v>
      </c>
      <c r="E707" s="527">
        <v>0</v>
      </c>
      <c r="F707" s="527">
        <v>0</v>
      </c>
      <c r="G707" s="527">
        <v>8</v>
      </c>
      <c r="H707" s="527">
        <v>8</v>
      </c>
      <c r="I707" s="527">
        <v>7</v>
      </c>
      <c r="J707" s="527">
        <v>1</v>
      </c>
      <c r="K707" s="527">
        <v>0</v>
      </c>
      <c r="L707" s="527">
        <v>0</v>
      </c>
      <c r="M707" s="527">
        <v>1</v>
      </c>
      <c r="N707" s="527">
        <v>0</v>
      </c>
      <c r="O707" s="527">
        <v>0</v>
      </c>
      <c r="P707" s="15"/>
    </row>
    <row r="708" spans="1:16" ht="15">
      <c r="A708" s="521">
        <v>18</v>
      </c>
      <c r="B708" s="521">
        <v>18</v>
      </c>
      <c r="C708" s="521">
        <v>15</v>
      </c>
      <c r="D708" s="521">
        <v>23</v>
      </c>
      <c r="E708" s="521">
        <v>23</v>
      </c>
      <c r="F708" s="521"/>
      <c r="G708" s="521">
        <v>46</v>
      </c>
      <c r="H708" s="521">
        <v>46</v>
      </c>
      <c r="I708" s="521"/>
      <c r="J708" s="521">
        <v>6</v>
      </c>
      <c r="K708" s="521">
        <v>6</v>
      </c>
      <c r="L708" s="521"/>
      <c r="M708" s="521">
        <v>2</v>
      </c>
      <c r="N708" s="521">
        <v>2</v>
      </c>
      <c r="O708" s="521"/>
      <c r="P708" s="15"/>
    </row>
    <row r="709" spans="1:16" ht="15">
      <c r="A709" s="262">
        <v>2</v>
      </c>
      <c r="B709" s="262" t="s">
        <v>87</v>
      </c>
      <c r="C709" s="262" t="s">
        <v>87</v>
      </c>
      <c r="D709" s="262">
        <v>2</v>
      </c>
      <c r="E709" s="262" t="s">
        <v>87</v>
      </c>
      <c r="F709" s="262" t="s">
        <v>87</v>
      </c>
      <c r="G709" s="262">
        <v>4</v>
      </c>
      <c r="H709" s="262" t="s">
        <v>87</v>
      </c>
      <c r="I709" s="262" t="s">
        <v>87</v>
      </c>
      <c r="J709" s="521"/>
      <c r="K709" s="521"/>
      <c r="L709" s="521"/>
      <c r="M709" s="521"/>
      <c r="N709" s="521"/>
      <c r="O709" s="521"/>
      <c r="P709" s="310"/>
    </row>
    <row r="710" spans="1:16" ht="15">
      <c r="A710" s="27"/>
      <c r="B710" s="27"/>
      <c r="C710" s="27"/>
      <c r="D710" s="27"/>
      <c r="E710" s="27"/>
      <c r="F710" s="27"/>
      <c r="G710" s="27"/>
      <c r="H710" s="27"/>
      <c r="I710" s="27"/>
      <c r="J710" s="27"/>
      <c r="K710" s="27"/>
      <c r="L710" s="27"/>
      <c r="M710" s="27"/>
      <c r="N710" s="27"/>
      <c r="O710" s="27"/>
      <c r="P710" s="517"/>
    </row>
    <row r="711" spans="1:16" ht="15">
      <c r="A711" s="720" t="s">
        <v>1670</v>
      </c>
      <c r="B711" s="720"/>
      <c r="C711" s="720"/>
      <c r="D711" s="720" t="s">
        <v>1671</v>
      </c>
      <c r="E711" s="720"/>
      <c r="F711" s="720"/>
      <c r="G711" s="720" t="s">
        <v>1672</v>
      </c>
      <c r="H711" s="720"/>
      <c r="I711" s="720"/>
      <c r="J711" s="716"/>
      <c r="K711" s="716"/>
      <c r="L711" s="716"/>
      <c r="M711" s="716"/>
      <c r="N711" s="716"/>
      <c r="O711" s="716"/>
      <c r="P711" s="519"/>
    </row>
    <row r="712" spans="1:16" ht="15">
      <c r="A712" s="517" t="s">
        <v>1667</v>
      </c>
      <c r="B712" s="517" t="s">
        <v>1668</v>
      </c>
      <c r="C712" s="544" t="s">
        <v>418</v>
      </c>
      <c r="D712" s="517" t="s">
        <v>1667</v>
      </c>
      <c r="E712" s="517" t="s">
        <v>1668</v>
      </c>
      <c r="F712" s="544" t="s">
        <v>418</v>
      </c>
      <c r="G712" s="517" t="s">
        <v>1667</v>
      </c>
      <c r="H712" s="517" t="s">
        <v>1668</v>
      </c>
      <c r="I712" s="544" t="s">
        <v>418</v>
      </c>
      <c r="J712" s="716"/>
      <c r="K712" s="716"/>
      <c r="L712" s="716"/>
      <c r="M712" s="716"/>
      <c r="N712" s="716"/>
      <c r="O712" s="716"/>
      <c r="P712" s="310"/>
    </row>
    <row r="713" spans="1:16" ht="15">
      <c r="A713" s="517">
        <v>0</v>
      </c>
      <c r="B713" s="517">
        <v>0</v>
      </c>
      <c r="C713" s="517">
        <v>0</v>
      </c>
      <c r="D713" s="517">
        <v>0</v>
      </c>
      <c r="E713" s="517">
        <v>0</v>
      </c>
      <c r="F713" s="517">
        <v>0</v>
      </c>
      <c r="G713" s="517">
        <v>0</v>
      </c>
      <c r="H713" s="517">
        <v>0</v>
      </c>
      <c r="I713" s="517">
        <v>0</v>
      </c>
      <c r="J713" s="716"/>
      <c r="K713" s="716"/>
      <c r="L713" s="716"/>
      <c r="M713" s="716"/>
      <c r="N713" s="716"/>
      <c r="O713" s="716"/>
      <c r="P713" s="310"/>
    </row>
    <row r="714" spans="1:16" ht="15">
      <c r="A714" s="521">
        <v>0</v>
      </c>
      <c r="B714" s="521">
        <v>0</v>
      </c>
      <c r="C714" s="521">
        <v>0</v>
      </c>
      <c r="D714" s="521">
        <v>0</v>
      </c>
      <c r="E714" s="521">
        <v>0</v>
      </c>
      <c r="F714" s="521">
        <v>0</v>
      </c>
      <c r="G714" s="521">
        <v>0</v>
      </c>
      <c r="H714" s="521">
        <v>0</v>
      </c>
      <c r="I714" s="521">
        <v>0</v>
      </c>
      <c r="J714" s="716"/>
      <c r="K714" s="716"/>
      <c r="L714" s="716"/>
      <c r="M714" s="716"/>
      <c r="N714" s="716"/>
      <c r="O714" s="716"/>
      <c r="P714" s="310"/>
    </row>
    <row r="715" spans="1:16" ht="15">
      <c r="A715" s="521">
        <v>0</v>
      </c>
      <c r="B715" s="521">
        <v>0</v>
      </c>
      <c r="C715" s="521">
        <v>0</v>
      </c>
      <c r="D715" s="521">
        <v>0</v>
      </c>
      <c r="E715" s="521">
        <v>0</v>
      </c>
      <c r="F715" s="521">
        <v>0</v>
      </c>
      <c r="G715" s="521">
        <v>0</v>
      </c>
      <c r="H715" s="521">
        <v>0</v>
      </c>
      <c r="I715" s="521">
        <v>0</v>
      </c>
      <c r="J715" s="716"/>
      <c r="K715" s="716"/>
      <c r="L715" s="716"/>
      <c r="M715" s="716"/>
      <c r="N715" s="716"/>
      <c r="O715" s="716"/>
      <c r="P715" s="310"/>
    </row>
    <row r="716" spans="1:16" ht="15" customHeight="1">
      <c r="A716" s="693"/>
      <c r="B716" s="693"/>
      <c r="C716" s="693"/>
      <c r="D716" s="693"/>
      <c r="E716" s="693"/>
      <c r="F716" s="693"/>
      <c r="G716" s="693"/>
      <c r="H716" s="693"/>
      <c r="I716" s="693"/>
      <c r="J716" s="693"/>
      <c r="K716" s="693"/>
      <c r="L716" s="693"/>
      <c r="M716" s="693"/>
      <c r="N716" s="693"/>
      <c r="O716" s="693"/>
      <c r="P716" s="693"/>
    </row>
    <row r="717" spans="1:16" ht="22.5">
      <c r="A717" s="718" t="s">
        <v>673</v>
      </c>
      <c r="B717" s="718"/>
      <c r="C717" s="718"/>
      <c r="D717" s="718"/>
      <c r="E717" s="718"/>
      <c r="F717" s="718"/>
      <c r="G717" s="718"/>
      <c r="H717" s="718"/>
      <c r="I717" s="718"/>
      <c r="J717" s="718"/>
      <c r="K717" s="718"/>
      <c r="L717" s="718"/>
      <c r="M717" s="718"/>
      <c r="N717" s="718"/>
      <c r="O717" s="718"/>
      <c r="P717" s="718"/>
    </row>
    <row r="718" spans="1:16" ht="20.25">
      <c r="A718" s="725" t="s">
        <v>6276</v>
      </c>
      <c r="B718" s="725"/>
      <c r="C718" s="725"/>
      <c r="D718" s="725"/>
      <c r="E718" s="725"/>
      <c r="F718" s="725"/>
      <c r="G718" s="725"/>
      <c r="H718" s="725"/>
      <c r="I718" s="725"/>
      <c r="J718" s="725"/>
      <c r="K718" s="725"/>
      <c r="L718" s="725"/>
      <c r="M718" s="548"/>
      <c r="N718" s="548"/>
      <c r="O718" s="15"/>
      <c r="P718" s="310"/>
    </row>
    <row r="719" spans="1:16" ht="114">
      <c r="A719" s="18" t="s">
        <v>0</v>
      </c>
      <c r="B719" s="18" t="s">
        <v>1616</v>
      </c>
      <c r="C719" s="18" t="s">
        <v>1647</v>
      </c>
      <c r="D719" s="18" t="s">
        <v>1648</v>
      </c>
      <c r="E719" s="18" t="s">
        <v>6277</v>
      </c>
      <c r="F719" s="18" t="s">
        <v>1619</v>
      </c>
      <c r="G719" s="19" t="s">
        <v>1649</v>
      </c>
      <c r="H719" s="18" t="s">
        <v>6281</v>
      </c>
      <c r="I719" s="18" t="s">
        <v>1620</v>
      </c>
      <c r="J719" s="19" t="s">
        <v>1650</v>
      </c>
      <c r="K719" s="20" t="s">
        <v>1651</v>
      </c>
      <c r="L719" s="20" t="s">
        <v>1622</v>
      </c>
      <c r="M719" s="15"/>
      <c r="N719" s="15"/>
      <c r="O719" s="15"/>
      <c r="P719" s="310"/>
    </row>
    <row r="720" spans="1:16" ht="15">
      <c r="A720" s="530">
        <v>1</v>
      </c>
      <c r="B720" s="530">
        <v>2</v>
      </c>
      <c r="C720" s="530">
        <v>3</v>
      </c>
      <c r="D720" s="530">
        <v>4</v>
      </c>
      <c r="E720" s="530">
        <v>5</v>
      </c>
      <c r="F720" s="530">
        <v>6</v>
      </c>
      <c r="G720" s="530">
        <v>7</v>
      </c>
      <c r="H720" s="530">
        <v>8</v>
      </c>
      <c r="I720" s="19">
        <v>9</v>
      </c>
      <c r="J720" s="530">
        <v>10</v>
      </c>
      <c r="K720" s="530">
        <v>11</v>
      </c>
      <c r="L720" s="530">
        <v>12</v>
      </c>
      <c r="M720" s="15"/>
      <c r="N720" s="15"/>
      <c r="O720" s="15"/>
      <c r="P720" s="310"/>
    </row>
    <row r="721" spans="1:16" ht="60" customHeight="1">
      <c r="A721" s="512">
        <v>1</v>
      </c>
      <c r="B721" s="696" t="s">
        <v>6827</v>
      </c>
      <c r="C721" s="511" t="s">
        <v>1519</v>
      </c>
      <c r="D721" s="511" t="s">
        <v>6821</v>
      </c>
      <c r="E721" s="512">
        <v>26817</v>
      </c>
      <c r="F721" s="512"/>
      <c r="G721" s="512"/>
      <c r="H721" s="512"/>
      <c r="I721" s="512"/>
      <c r="J721" s="512"/>
      <c r="K721" s="512"/>
      <c r="L721" s="512"/>
      <c r="M721" s="15"/>
      <c r="N721" s="15"/>
      <c r="O721" s="15"/>
      <c r="P721" s="310"/>
    </row>
    <row r="722" spans="1:16" ht="45">
      <c r="A722" s="512">
        <v>2</v>
      </c>
      <c r="B722" s="696"/>
      <c r="C722" s="511" t="s">
        <v>1519</v>
      </c>
      <c r="D722" s="511" t="s">
        <v>6822</v>
      </c>
      <c r="E722" s="513">
        <v>1563</v>
      </c>
      <c r="F722" s="512"/>
      <c r="G722" s="512"/>
      <c r="H722" s="512"/>
      <c r="I722" s="512"/>
      <c r="J722" s="512"/>
      <c r="K722" s="512"/>
      <c r="L722" s="512"/>
      <c r="M722" s="15"/>
      <c r="N722" s="15"/>
      <c r="O722" s="15"/>
      <c r="P722" s="310"/>
    </row>
    <row r="723" spans="1:16" ht="45">
      <c r="A723" s="512">
        <v>3</v>
      </c>
      <c r="B723" s="696"/>
      <c r="C723" s="511" t="s">
        <v>1519</v>
      </c>
      <c r="D723" s="511" t="s">
        <v>1525</v>
      </c>
      <c r="E723" s="513">
        <v>1563</v>
      </c>
      <c r="F723" s="512"/>
      <c r="G723" s="512"/>
      <c r="H723" s="512"/>
      <c r="I723" s="512"/>
      <c r="J723" s="512"/>
      <c r="K723" s="512"/>
      <c r="L723" s="512"/>
      <c r="M723" s="15"/>
      <c r="N723" s="15"/>
      <c r="O723" s="15"/>
      <c r="P723" s="310"/>
    </row>
    <row r="724" spans="1:16" ht="30">
      <c r="A724" s="512">
        <v>4</v>
      </c>
      <c r="B724" s="696"/>
      <c r="C724" s="511" t="s">
        <v>1505</v>
      </c>
      <c r="D724" s="511" t="s">
        <v>1517</v>
      </c>
      <c r="E724" s="513">
        <v>2123.87</v>
      </c>
      <c r="F724" s="513" t="s">
        <v>1518</v>
      </c>
      <c r="G724" s="518" t="s">
        <v>454</v>
      </c>
      <c r="H724" s="518" t="s">
        <v>454</v>
      </c>
      <c r="I724" s="518" t="s">
        <v>454</v>
      </c>
      <c r="J724" s="518" t="s">
        <v>454</v>
      </c>
      <c r="K724" s="518" t="s">
        <v>454</v>
      </c>
      <c r="L724" s="518">
        <v>1</v>
      </c>
      <c r="M724" s="15"/>
      <c r="N724" s="15"/>
      <c r="O724" s="15"/>
      <c r="P724" s="310"/>
    </row>
    <row r="725" spans="1:16" ht="45">
      <c r="A725" s="512">
        <v>5</v>
      </c>
      <c r="B725" s="696"/>
      <c r="C725" s="511" t="s">
        <v>2339</v>
      </c>
      <c r="D725" s="511" t="s">
        <v>6828</v>
      </c>
      <c r="E725" s="513">
        <v>8139.43</v>
      </c>
      <c r="F725" s="513">
        <v>1981</v>
      </c>
      <c r="G725" s="512" t="s">
        <v>389</v>
      </c>
      <c r="H725" s="513">
        <v>0.51</v>
      </c>
      <c r="I725" s="512" t="s">
        <v>389</v>
      </c>
      <c r="J725" s="512" t="s">
        <v>389</v>
      </c>
      <c r="K725" s="512" t="s">
        <v>389</v>
      </c>
      <c r="L725" s="512" t="s">
        <v>389</v>
      </c>
      <c r="M725" s="15"/>
      <c r="N725" s="15"/>
      <c r="O725" s="15"/>
      <c r="P725" s="310"/>
    </row>
    <row r="726" spans="1:16" ht="45">
      <c r="A726" s="512">
        <v>6</v>
      </c>
      <c r="B726" s="696"/>
      <c r="C726" s="511" t="s">
        <v>2339</v>
      </c>
      <c r="D726" s="511" t="s">
        <v>6829</v>
      </c>
      <c r="E726" s="513">
        <v>8290</v>
      </c>
      <c r="F726" s="513" t="s">
        <v>6830</v>
      </c>
      <c r="G726" s="512" t="s">
        <v>389</v>
      </c>
      <c r="H726" s="513">
        <v>4.97</v>
      </c>
      <c r="I726" s="512" t="s">
        <v>389</v>
      </c>
      <c r="J726" s="512" t="s">
        <v>389</v>
      </c>
      <c r="K726" s="512" t="s">
        <v>389</v>
      </c>
      <c r="L726" s="512" t="s">
        <v>389</v>
      </c>
      <c r="M726" s="15"/>
      <c r="N726" s="15"/>
      <c r="O726" s="15"/>
      <c r="P726" s="310"/>
    </row>
    <row r="727" spans="1:16" ht="30">
      <c r="A727" s="512">
        <v>7</v>
      </c>
      <c r="B727" s="696"/>
      <c r="C727" s="511" t="s">
        <v>2339</v>
      </c>
      <c r="D727" s="511" t="s">
        <v>6831</v>
      </c>
      <c r="E727" s="513">
        <v>775.09</v>
      </c>
      <c r="F727" s="513" t="s">
        <v>17</v>
      </c>
      <c r="G727" s="512" t="s">
        <v>389</v>
      </c>
      <c r="H727" s="513" t="s">
        <v>17</v>
      </c>
      <c r="I727" s="512" t="s">
        <v>389</v>
      </c>
      <c r="J727" s="512" t="s">
        <v>389</v>
      </c>
      <c r="K727" s="512" t="s">
        <v>389</v>
      </c>
      <c r="L727" s="512" t="s">
        <v>389</v>
      </c>
      <c r="M727" s="15"/>
      <c r="N727" s="15"/>
      <c r="O727" s="15"/>
      <c r="P727" s="310"/>
    </row>
    <row r="728" spans="1:16" ht="30">
      <c r="A728" s="512">
        <v>8</v>
      </c>
      <c r="B728" s="696"/>
      <c r="C728" s="511" t="s">
        <v>2339</v>
      </c>
      <c r="D728" s="511" t="s">
        <v>6832</v>
      </c>
      <c r="E728" s="513">
        <v>828</v>
      </c>
      <c r="F728" s="513" t="s">
        <v>6833</v>
      </c>
      <c r="G728" s="512" t="s">
        <v>389</v>
      </c>
      <c r="H728" s="513">
        <v>5.0000000000000001E-3</v>
      </c>
      <c r="I728" s="512" t="s">
        <v>389</v>
      </c>
      <c r="J728" s="512" t="s">
        <v>389</v>
      </c>
      <c r="K728" s="512" t="s">
        <v>389</v>
      </c>
      <c r="L728" s="512" t="s">
        <v>389</v>
      </c>
      <c r="M728" s="15"/>
      <c r="N728" s="15"/>
      <c r="O728" s="15"/>
      <c r="P728" s="310"/>
    </row>
    <row r="729" spans="1:16" ht="45">
      <c r="A729" s="512">
        <v>9</v>
      </c>
      <c r="B729" s="696"/>
      <c r="C729" s="511" t="s">
        <v>2339</v>
      </c>
      <c r="D729" s="511" t="s">
        <v>6834</v>
      </c>
      <c r="E729" s="513" t="s">
        <v>17</v>
      </c>
      <c r="F729" s="513" t="s">
        <v>6835</v>
      </c>
      <c r="G729" s="512" t="s">
        <v>389</v>
      </c>
      <c r="H729" s="513">
        <v>2.0999999999999999E-3</v>
      </c>
      <c r="I729" s="512" t="s">
        <v>389</v>
      </c>
      <c r="J729" s="512" t="s">
        <v>389</v>
      </c>
      <c r="K729" s="512" t="s">
        <v>389</v>
      </c>
      <c r="L729" s="512" t="s">
        <v>389</v>
      </c>
      <c r="M729" s="15"/>
      <c r="N729" s="15"/>
      <c r="O729" s="15"/>
      <c r="P729" s="310"/>
    </row>
    <row r="730" spans="1:16" ht="30">
      <c r="A730" s="512">
        <v>10</v>
      </c>
      <c r="B730" s="696"/>
      <c r="C730" s="511" t="s">
        <v>2350</v>
      </c>
      <c r="D730" s="511" t="s">
        <v>6836</v>
      </c>
      <c r="E730" s="512" t="s">
        <v>35</v>
      </c>
      <c r="F730" s="512" t="s">
        <v>35</v>
      </c>
      <c r="G730" s="512" t="s">
        <v>35</v>
      </c>
      <c r="H730" s="512" t="s">
        <v>35</v>
      </c>
      <c r="I730" s="512" t="s">
        <v>35</v>
      </c>
      <c r="J730" s="512" t="s">
        <v>35</v>
      </c>
      <c r="K730" s="512" t="s">
        <v>35</v>
      </c>
      <c r="L730" s="512" t="s">
        <v>35</v>
      </c>
      <c r="M730" s="15"/>
      <c r="N730" s="15"/>
      <c r="O730" s="15"/>
      <c r="P730" s="310"/>
    </row>
    <row r="731" spans="1:16" ht="30">
      <c r="A731" s="512">
        <v>11</v>
      </c>
      <c r="B731" s="696"/>
      <c r="C731" s="511" t="s">
        <v>1519</v>
      </c>
      <c r="D731" s="511" t="s">
        <v>6821</v>
      </c>
      <c r="E731" s="512">
        <v>26817</v>
      </c>
      <c r="F731" s="512"/>
      <c r="G731" s="512"/>
      <c r="H731" s="512"/>
      <c r="I731" s="512"/>
      <c r="J731" s="512"/>
      <c r="K731" s="512"/>
      <c r="L731" s="512"/>
      <c r="M731" s="712"/>
      <c r="N731" s="712"/>
      <c r="O731" s="712"/>
      <c r="P731" s="712"/>
    </row>
    <row r="732" spans="1:16" ht="45">
      <c r="A732" s="512">
        <v>12</v>
      </c>
      <c r="B732" s="696"/>
      <c r="C732" s="511" t="s">
        <v>1519</v>
      </c>
      <c r="D732" s="511" t="s">
        <v>6822</v>
      </c>
      <c r="E732" s="513">
        <v>1563</v>
      </c>
      <c r="F732" s="512"/>
      <c r="G732" s="512"/>
      <c r="H732" s="512"/>
      <c r="I732" s="512"/>
      <c r="J732" s="512"/>
      <c r="K732" s="512"/>
      <c r="L732" s="512"/>
      <c r="M732" s="712"/>
      <c r="N732" s="712"/>
      <c r="O732" s="712"/>
      <c r="P732" s="712"/>
    </row>
    <row r="733" spans="1:16" ht="45">
      <c r="A733" s="512">
        <v>13</v>
      </c>
      <c r="B733" s="696"/>
      <c r="C733" s="511" t="s">
        <v>1519</v>
      </c>
      <c r="D733" s="511" t="s">
        <v>1525</v>
      </c>
      <c r="E733" s="513">
        <v>1563</v>
      </c>
      <c r="F733" s="512"/>
      <c r="G733" s="512"/>
      <c r="H733" s="512"/>
      <c r="I733" s="512"/>
      <c r="J733" s="512"/>
      <c r="K733" s="512"/>
      <c r="L733" s="512"/>
      <c r="M733" s="712"/>
      <c r="N733" s="712"/>
      <c r="O733" s="712"/>
      <c r="P733" s="712"/>
    </row>
    <row r="734" spans="1:16">
      <c r="A734" s="15"/>
      <c r="B734" s="15"/>
      <c r="C734" s="15"/>
      <c r="D734" s="15"/>
      <c r="E734" s="537"/>
      <c r="F734" s="537"/>
      <c r="G734" s="537"/>
      <c r="H734" s="537"/>
      <c r="I734" s="17"/>
      <c r="J734" s="537"/>
      <c r="K734" s="537"/>
      <c r="L734" s="537"/>
      <c r="M734" s="15"/>
      <c r="N734" s="15"/>
      <c r="O734" s="15"/>
      <c r="P734" s="15"/>
    </row>
    <row r="735" spans="1:16" ht="57">
      <c r="A735" s="720" t="s">
        <v>1661</v>
      </c>
      <c r="B735" s="720"/>
      <c r="C735" s="720"/>
      <c r="D735" s="720"/>
      <c r="E735" s="720"/>
      <c r="F735" s="720"/>
      <c r="G735" s="720"/>
      <c r="H735" s="720"/>
      <c r="I735" s="720"/>
      <c r="J735" s="720"/>
      <c r="K735" s="720"/>
      <c r="L735" s="720"/>
      <c r="M735" s="720"/>
      <c r="N735" s="720"/>
      <c r="O735" s="720"/>
      <c r="P735" s="143" t="s">
        <v>1623</v>
      </c>
    </row>
    <row r="736" spans="1:16">
      <c r="A736" s="720">
        <v>13</v>
      </c>
      <c r="B736" s="720"/>
      <c r="C736" s="720"/>
      <c r="D736" s="720"/>
      <c r="E736" s="720"/>
      <c r="F736" s="720"/>
      <c r="G736" s="720"/>
      <c r="H736" s="720"/>
      <c r="I736" s="720"/>
      <c r="J736" s="720"/>
      <c r="K736" s="720"/>
      <c r="L736" s="720"/>
      <c r="M736" s="720"/>
      <c r="N736" s="720"/>
      <c r="O736" s="720"/>
      <c r="P736" s="18">
        <v>14</v>
      </c>
    </row>
    <row r="737" spans="1:16">
      <c r="A737" s="720" t="s">
        <v>1662</v>
      </c>
      <c r="B737" s="720"/>
      <c r="C737" s="720"/>
      <c r="D737" s="720" t="s">
        <v>1663</v>
      </c>
      <c r="E737" s="720"/>
      <c r="F737" s="720"/>
      <c r="G737" s="720" t="s">
        <v>1664</v>
      </c>
      <c r="H737" s="720"/>
      <c r="I737" s="720"/>
      <c r="J737" s="720" t="s">
        <v>1665</v>
      </c>
      <c r="K737" s="720"/>
      <c r="L737" s="720"/>
      <c r="M737" s="720" t="s">
        <v>1666</v>
      </c>
      <c r="N737" s="720"/>
      <c r="O737" s="720"/>
      <c r="P737" s="15"/>
    </row>
    <row r="738" spans="1:16" ht="15">
      <c r="A738" s="517" t="s">
        <v>1667</v>
      </c>
      <c r="B738" s="517" t="s">
        <v>1668</v>
      </c>
      <c r="C738" s="544" t="s">
        <v>418</v>
      </c>
      <c r="D738" s="517" t="s">
        <v>1667</v>
      </c>
      <c r="E738" s="517" t="s">
        <v>1668</v>
      </c>
      <c r="F738" s="544" t="s">
        <v>418</v>
      </c>
      <c r="G738" s="517" t="s">
        <v>1667</v>
      </c>
      <c r="H738" s="517" t="s">
        <v>1668</v>
      </c>
      <c r="I738" s="544" t="s">
        <v>418</v>
      </c>
      <c r="J738" s="517" t="s">
        <v>1667</v>
      </c>
      <c r="K738" s="517" t="s">
        <v>1668</v>
      </c>
      <c r="L738" s="544" t="s">
        <v>418</v>
      </c>
      <c r="M738" s="517" t="s">
        <v>1667</v>
      </c>
      <c r="N738" s="517" t="s">
        <v>1668</v>
      </c>
      <c r="O738" s="544" t="s">
        <v>418</v>
      </c>
      <c r="P738" s="310"/>
    </row>
    <row r="739" spans="1:16" ht="75">
      <c r="A739" s="497">
        <v>48</v>
      </c>
      <c r="B739" s="497">
        <v>46</v>
      </c>
      <c r="C739" s="497">
        <v>30</v>
      </c>
      <c r="D739" s="497">
        <v>49</v>
      </c>
      <c r="E739" s="497">
        <v>46</v>
      </c>
      <c r="F739" s="497">
        <v>46</v>
      </c>
      <c r="G739" s="497">
        <v>98</v>
      </c>
      <c r="H739" s="497">
        <v>97</v>
      </c>
      <c r="I739" s="497">
        <v>95</v>
      </c>
      <c r="J739" s="497">
        <v>34</v>
      </c>
      <c r="K739" s="497">
        <v>33</v>
      </c>
      <c r="L739" s="497">
        <v>33</v>
      </c>
      <c r="M739" s="497">
        <v>6</v>
      </c>
      <c r="N739" s="497">
        <v>6</v>
      </c>
      <c r="O739" s="497">
        <v>5</v>
      </c>
      <c r="P739" s="544" t="s">
        <v>6823</v>
      </c>
    </row>
    <row r="740" spans="1:16" ht="75">
      <c r="A740" s="497">
        <v>8</v>
      </c>
      <c r="B740" s="497">
        <v>8</v>
      </c>
      <c r="C740" s="497">
        <v>1</v>
      </c>
      <c r="D740" s="497">
        <v>8</v>
      </c>
      <c r="E740" s="497">
        <v>8</v>
      </c>
      <c r="F740" s="497">
        <v>4</v>
      </c>
      <c r="G740" s="497">
        <v>12</v>
      </c>
      <c r="H740" s="497">
        <v>12</v>
      </c>
      <c r="I740" s="497">
        <v>8</v>
      </c>
      <c r="J740" s="497" t="s">
        <v>17</v>
      </c>
      <c r="K740" s="497" t="s">
        <v>17</v>
      </c>
      <c r="L740" s="497" t="s">
        <v>17</v>
      </c>
      <c r="M740" s="497" t="s">
        <v>17</v>
      </c>
      <c r="N740" s="497" t="s">
        <v>17</v>
      </c>
      <c r="O740" s="497" t="s">
        <v>17</v>
      </c>
      <c r="P740" s="544" t="s">
        <v>6824</v>
      </c>
    </row>
    <row r="741" spans="1:16" ht="75">
      <c r="A741" s="497">
        <v>5</v>
      </c>
      <c r="B741" s="497">
        <v>5</v>
      </c>
      <c r="C741" s="497">
        <v>0</v>
      </c>
      <c r="D741" s="497">
        <v>9</v>
      </c>
      <c r="E741" s="497">
        <v>9</v>
      </c>
      <c r="F741" s="497">
        <v>2</v>
      </c>
      <c r="G741" s="497">
        <v>25</v>
      </c>
      <c r="H741" s="497">
        <v>25</v>
      </c>
      <c r="I741" s="497">
        <v>14</v>
      </c>
      <c r="J741" s="497">
        <v>2</v>
      </c>
      <c r="K741" s="497">
        <v>2</v>
      </c>
      <c r="L741" s="497">
        <v>1</v>
      </c>
      <c r="M741" s="497" t="s">
        <v>17</v>
      </c>
      <c r="N741" s="497" t="s">
        <v>17</v>
      </c>
      <c r="O741" s="497" t="s">
        <v>17</v>
      </c>
      <c r="P741" s="544" t="s">
        <v>6825</v>
      </c>
    </row>
    <row r="742" spans="1:16" ht="30">
      <c r="A742" s="328">
        <v>8</v>
      </c>
      <c r="B742" s="328">
        <v>6</v>
      </c>
      <c r="C742" s="327" t="s">
        <v>6826</v>
      </c>
      <c r="D742" s="328">
        <v>8</v>
      </c>
      <c r="E742" s="328">
        <v>8</v>
      </c>
      <c r="F742" s="328">
        <v>1</v>
      </c>
      <c r="G742" s="328">
        <v>16</v>
      </c>
      <c r="H742" s="328">
        <v>16</v>
      </c>
      <c r="I742" s="328">
        <v>12</v>
      </c>
      <c r="J742" s="328">
        <v>1</v>
      </c>
      <c r="K742" s="328">
        <v>1</v>
      </c>
      <c r="L742" s="328">
        <v>1</v>
      </c>
      <c r="M742" s="497"/>
      <c r="N742" s="497"/>
      <c r="O742" s="497"/>
      <c r="P742" s="544" t="s">
        <v>1505</v>
      </c>
    </row>
    <row r="743" spans="1:16" ht="120">
      <c r="A743" s="512">
        <v>7</v>
      </c>
      <c r="B743" s="512">
        <v>0</v>
      </c>
      <c r="C743" s="512">
        <v>0</v>
      </c>
      <c r="D743" s="512">
        <v>15</v>
      </c>
      <c r="E743" s="513">
        <v>0</v>
      </c>
      <c r="F743" s="512">
        <v>0</v>
      </c>
      <c r="G743" s="512">
        <v>33</v>
      </c>
      <c r="H743" s="513">
        <v>0</v>
      </c>
      <c r="I743" s="512">
        <v>0</v>
      </c>
      <c r="J743" s="512">
        <v>4</v>
      </c>
      <c r="K743" s="513">
        <v>0</v>
      </c>
      <c r="L743" s="512">
        <v>0</v>
      </c>
      <c r="M743" s="512">
        <v>1</v>
      </c>
      <c r="N743" s="512">
        <v>0</v>
      </c>
      <c r="O743" s="512">
        <v>0</v>
      </c>
      <c r="P743" s="544" t="s">
        <v>6839</v>
      </c>
    </row>
    <row r="744" spans="1:16" ht="15">
      <c r="A744" s="512">
        <v>24</v>
      </c>
      <c r="B744" s="512">
        <v>12</v>
      </c>
      <c r="C744" s="512">
        <v>5</v>
      </c>
      <c r="D744" s="512">
        <v>24</v>
      </c>
      <c r="E744" s="512">
        <v>24</v>
      </c>
      <c r="F744" s="512">
        <v>19</v>
      </c>
      <c r="G744" s="512">
        <v>24</v>
      </c>
      <c r="H744" s="512">
        <v>24</v>
      </c>
      <c r="I744" s="512">
        <v>21</v>
      </c>
      <c r="J744" s="512" t="s">
        <v>35</v>
      </c>
      <c r="K744" s="512" t="s">
        <v>35</v>
      </c>
      <c r="L744" s="512" t="s">
        <v>35</v>
      </c>
      <c r="M744" s="512" t="s">
        <v>35</v>
      </c>
      <c r="N744" s="512" t="s">
        <v>35</v>
      </c>
      <c r="O744" s="512" t="s">
        <v>35</v>
      </c>
      <c r="P744" s="544" t="s">
        <v>6837</v>
      </c>
    </row>
    <row r="745" spans="1:16" ht="15">
      <c r="A745" s="679"/>
      <c r="B745" s="679"/>
      <c r="C745" s="679"/>
      <c r="D745" s="679"/>
      <c r="E745" s="679"/>
      <c r="F745" s="679"/>
      <c r="G745" s="679"/>
      <c r="H745" s="679"/>
      <c r="I745" s="679"/>
      <c r="J745" s="679"/>
      <c r="K745" s="679"/>
      <c r="L745" s="679"/>
      <c r="M745" s="679"/>
      <c r="N745" s="679"/>
      <c r="O745" s="679"/>
      <c r="P745" s="679"/>
    </row>
    <row r="746" spans="1:16" ht="15">
      <c r="A746" s="720" t="s">
        <v>1670</v>
      </c>
      <c r="B746" s="720"/>
      <c r="C746" s="720"/>
      <c r="D746" s="720" t="s">
        <v>1671</v>
      </c>
      <c r="E746" s="720"/>
      <c r="F746" s="720"/>
      <c r="G746" s="720" t="s">
        <v>1672</v>
      </c>
      <c r="H746" s="720"/>
      <c r="I746" s="720"/>
      <c r="J746" s="310"/>
      <c r="K746" s="679"/>
      <c r="L746" s="679"/>
      <c r="M746" s="679"/>
      <c r="N746" s="679"/>
      <c r="O746" s="679"/>
      <c r="P746" s="679"/>
    </row>
    <row r="747" spans="1:16" ht="15">
      <c r="A747" s="517" t="s">
        <v>1667</v>
      </c>
      <c r="B747" s="517" t="s">
        <v>1668</v>
      </c>
      <c r="C747" s="544" t="s">
        <v>418</v>
      </c>
      <c r="D747" s="517" t="s">
        <v>1667</v>
      </c>
      <c r="E747" s="517" t="s">
        <v>1668</v>
      </c>
      <c r="F747" s="544" t="s">
        <v>418</v>
      </c>
      <c r="G747" s="517" t="s">
        <v>1667</v>
      </c>
      <c r="H747" s="517" t="s">
        <v>1668</v>
      </c>
      <c r="I747" s="544" t="s">
        <v>418</v>
      </c>
      <c r="J747" s="310"/>
      <c r="K747" s="679"/>
      <c r="L747" s="679"/>
      <c r="M747" s="679"/>
      <c r="N747" s="679"/>
      <c r="O747" s="679"/>
      <c r="P747" s="679"/>
    </row>
    <row r="748" spans="1:16" ht="75">
      <c r="A748" s="497">
        <v>2</v>
      </c>
      <c r="B748" s="497">
        <v>2</v>
      </c>
      <c r="C748" s="500">
        <v>2</v>
      </c>
      <c r="D748" s="497" t="s">
        <v>17</v>
      </c>
      <c r="E748" s="497" t="s">
        <v>17</v>
      </c>
      <c r="F748" s="500" t="s">
        <v>17</v>
      </c>
      <c r="G748" s="497" t="s">
        <v>17</v>
      </c>
      <c r="H748" s="497" t="s">
        <v>17</v>
      </c>
      <c r="I748" s="500" t="s">
        <v>17</v>
      </c>
      <c r="J748" s="544" t="s">
        <v>6823</v>
      </c>
      <c r="K748" s="679"/>
      <c r="L748" s="679"/>
      <c r="M748" s="679"/>
      <c r="N748" s="679"/>
      <c r="O748" s="679"/>
      <c r="P748" s="679"/>
    </row>
    <row r="749" spans="1:16" ht="75">
      <c r="A749" s="497" t="s">
        <v>17</v>
      </c>
      <c r="B749" s="497" t="s">
        <v>17</v>
      </c>
      <c r="C749" s="500" t="s">
        <v>17</v>
      </c>
      <c r="D749" s="497" t="s">
        <v>17</v>
      </c>
      <c r="E749" s="497" t="s">
        <v>17</v>
      </c>
      <c r="F749" s="500" t="s">
        <v>17</v>
      </c>
      <c r="G749" s="503" t="s">
        <v>17</v>
      </c>
      <c r="H749" s="497" t="s">
        <v>17</v>
      </c>
      <c r="I749" s="500" t="s">
        <v>17</v>
      </c>
      <c r="J749" s="544" t="s">
        <v>6824</v>
      </c>
      <c r="K749" s="679"/>
      <c r="L749" s="679"/>
      <c r="M749" s="679"/>
      <c r="N749" s="679"/>
      <c r="O749" s="679"/>
      <c r="P749" s="679"/>
    </row>
    <row r="750" spans="1:16" ht="75">
      <c r="A750" s="497" t="s">
        <v>17</v>
      </c>
      <c r="B750" s="497" t="s">
        <v>17</v>
      </c>
      <c r="C750" s="500" t="s">
        <v>17</v>
      </c>
      <c r="D750" s="497" t="s">
        <v>17</v>
      </c>
      <c r="E750" s="497" t="s">
        <v>17</v>
      </c>
      <c r="F750" s="500" t="s">
        <v>17</v>
      </c>
      <c r="G750" s="497" t="s">
        <v>17</v>
      </c>
      <c r="H750" s="497" t="s">
        <v>17</v>
      </c>
      <c r="I750" s="500" t="s">
        <v>17</v>
      </c>
      <c r="J750" s="30" t="s">
        <v>6825</v>
      </c>
      <c r="K750" s="679"/>
      <c r="L750" s="679"/>
      <c r="M750" s="679"/>
      <c r="N750" s="679"/>
      <c r="O750" s="679"/>
      <c r="P750" s="679"/>
    </row>
    <row r="751" spans="1:16" ht="30">
      <c r="A751" s="497" t="s">
        <v>35</v>
      </c>
      <c r="B751" s="497" t="s">
        <v>35</v>
      </c>
      <c r="C751" s="497" t="s">
        <v>35</v>
      </c>
      <c r="D751" s="497" t="s">
        <v>35</v>
      </c>
      <c r="E751" s="497" t="s">
        <v>35</v>
      </c>
      <c r="F751" s="497" t="s">
        <v>35</v>
      </c>
      <c r="G751" s="497" t="s">
        <v>35</v>
      </c>
      <c r="H751" s="497" t="s">
        <v>35</v>
      </c>
      <c r="I751" s="497" t="s">
        <v>35</v>
      </c>
      <c r="J751" s="30" t="s">
        <v>1505</v>
      </c>
      <c r="K751" s="679"/>
      <c r="L751" s="679"/>
      <c r="M751" s="679"/>
      <c r="N751" s="679"/>
      <c r="O751" s="679"/>
      <c r="P751" s="679"/>
    </row>
    <row r="752" spans="1:16" ht="42.75">
      <c r="A752" s="512">
        <v>3</v>
      </c>
      <c r="B752" s="512">
        <v>3</v>
      </c>
      <c r="C752" s="512">
        <v>3</v>
      </c>
      <c r="D752" s="497" t="s">
        <v>35</v>
      </c>
      <c r="E752" s="497" t="s">
        <v>35</v>
      </c>
      <c r="F752" s="497" t="s">
        <v>35</v>
      </c>
      <c r="G752" s="497" t="s">
        <v>35</v>
      </c>
      <c r="H752" s="497" t="s">
        <v>35</v>
      </c>
      <c r="I752" s="497" t="s">
        <v>35</v>
      </c>
      <c r="J752" s="14" t="s">
        <v>6838</v>
      </c>
      <c r="K752" s="679"/>
      <c r="L752" s="679"/>
      <c r="M752" s="679"/>
      <c r="N752" s="679"/>
      <c r="O752" s="679"/>
      <c r="P752" s="679"/>
    </row>
    <row r="753" spans="1:16" ht="15">
      <c r="A753" s="527" t="s">
        <v>35</v>
      </c>
      <c r="B753" s="521" t="s">
        <v>35</v>
      </c>
      <c r="C753" s="521" t="s">
        <v>35</v>
      </c>
      <c r="D753" s="521" t="s">
        <v>35</v>
      </c>
      <c r="E753" s="521" t="s">
        <v>35</v>
      </c>
      <c r="F753" s="521" t="s">
        <v>35</v>
      </c>
      <c r="G753" s="521" t="s">
        <v>35</v>
      </c>
      <c r="H753" s="521" t="s">
        <v>35</v>
      </c>
      <c r="I753" s="521" t="s">
        <v>35</v>
      </c>
      <c r="J753" s="519" t="s">
        <v>6837</v>
      </c>
      <c r="K753" s="679"/>
      <c r="L753" s="679"/>
      <c r="M753" s="679"/>
      <c r="N753" s="679"/>
      <c r="O753" s="679"/>
      <c r="P753" s="679"/>
    </row>
    <row r="754" spans="1:16" ht="15" customHeight="1">
      <c r="A754" s="693"/>
      <c r="B754" s="693"/>
      <c r="C754" s="693"/>
      <c r="D754" s="693"/>
      <c r="E754" s="693"/>
      <c r="F754" s="693"/>
      <c r="G754" s="693"/>
      <c r="H754" s="693"/>
      <c r="I754" s="693"/>
      <c r="J754" s="693"/>
      <c r="K754" s="693"/>
      <c r="L754" s="693"/>
      <c r="M754" s="693"/>
      <c r="N754" s="693"/>
      <c r="O754" s="693"/>
      <c r="P754" s="693"/>
    </row>
    <row r="755" spans="1:16" ht="22.5">
      <c r="A755" s="718" t="s">
        <v>674</v>
      </c>
      <c r="B755" s="718"/>
      <c r="C755" s="718"/>
      <c r="D755" s="718"/>
      <c r="E755" s="718"/>
      <c r="F755" s="718"/>
      <c r="G755" s="718"/>
      <c r="H755" s="718"/>
      <c r="I755" s="718"/>
      <c r="J755" s="718"/>
      <c r="K755" s="718"/>
      <c r="L755" s="718"/>
      <c r="M755" s="718"/>
      <c r="N755" s="718"/>
      <c r="O755" s="718"/>
      <c r="P755" s="718"/>
    </row>
    <row r="756" spans="1:16" ht="20.25">
      <c r="A756" s="725" t="s">
        <v>6280</v>
      </c>
      <c r="B756" s="725"/>
      <c r="C756" s="725"/>
      <c r="D756" s="725"/>
      <c r="E756" s="725"/>
      <c r="F756" s="725"/>
      <c r="G756" s="725"/>
      <c r="H756" s="725"/>
      <c r="I756" s="725"/>
      <c r="J756" s="725"/>
      <c r="K756" s="725"/>
      <c r="L756" s="725"/>
      <c r="M756" s="548"/>
      <c r="N756" s="548"/>
      <c r="O756" s="15"/>
      <c r="P756" s="310"/>
    </row>
    <row r="757" spans="1:16" ht="114">
      <c r="A757" s="18" t="s">
        <v>0</v>
      </c>
      <c r="B757" s="18" t="s">
        <v>1616</v>
      </c>
      <c r="C757" s="18" t="s">
        <v>1647</v>
      </c>
      <c r="D757" s="18" t="s">
        <v>1648</v>
      </c>
      <c r="E757" s="18" t="s">
        <v>6277</v>
      </c>
      <c r="F757" s="18" t="s">
        <v>1619</v>
      </c>
      <c r="G757" s="19" t="s">
        <v>1649</v>
      </c>
      <c r="H757" s="18" t="s">
        <v>6281</v>
      </c>
      <c r="I757" s="18" t="s">
        <v>1620</v>
      </c>
      <c r="J757" s="19" t="s">
        <v>1650</v>
      </c>
      <c r="K757" s="20" t="s">
        <v>1651</v>
      </c>
      <c r="L757" s="20" t="s">
        <v>1622</v>
      </c>
      <c r="M757" s="15"/>
      <c r="N757" s="15"/>
      <c r="O757" s="15"/>
      <c r="P757" s="310"/>
    </row>
    <row r="758" spans="1:16" ht="15">
      <c r="A758" s="530">
        <v>1</v>
      </c>
      <c r="B758" s="530">
        <v>2</v>
      </c>
      <c r="C758" s="530">
        <v>3</v>
      </c>
      <c r="D758" s="530">
        <v>4</v>
      </c>
      <c r="E758" s="530">
        <v>5</v>
      </c>
      <c r="F758" s="530">
        <v>6</v>
      </c>
      <c r="G758" s="530">
        <v>7</v>
      </c>
      <c r="H758" s="530">
        <v>8</v>
      </c>
      <c r="I758" s="19">
        <v>9</v>
      </c>
      <c r="J758" s="530">
        <v>10</v>
      </c>
      <c r="K758" s="530">
        <v>11</v>
      </c>
      <c r="L758" s="530">
        <v>12</v>
      </c>
      <c r="M758" s="15"/>
      <c r="N758" s="15"/>
      <c r="O758" s="15"/>
      <c r="P758" s="310"/>
    </row>
    <row r="759" spans="1:16" ht="90">
      <c r="A759" s="535">
        <v>1</v>
      </c>
      <c r="B759" s="706" t="s">
        <v>2664</v>
      </c>
      <c r="C759" s="515" t="s">
        <v>6840</v>
      </c>
      <c r="D759" s="539" t="s">
        <v>7060</v>
      </c>
      <c r="E759" s="539" t="s">
        <v>6841</v>
      </c>
      <c r="F759" s="539" t="s">
        <v>2358</v>
      </c>
      <c r="G759" s="539" t="s">
        <v>2359</v>
      </c>
      <c r="H759" s="539" t="s">
        <v>6842</v>
      </c>
      <c r="I759" s="539" t="s">
        <v>6843</v>
      </c>
      <c r="J759" s="539" t="s">
        <v>302</v>
      </c>
      <c r="K759" s="539" t="s">
        <v>302</v>
      </c>
      <c r="L759" s="539">
        <v>1</v>
      </c>
      <c r="M759" s="15"/>
      <c r="N759" s="15"/>
      <c r="O759" s="15"/>
      <c r="P759" s="310"/>
    </row>
    <row r="760" spans="1:16" ht="15">
      <c r="A760" s="535">
        <v>2</v>
      </c>
      <c r="B760" s="706"/>
      <c r="C760" s="515" t="s">
        <v>6844</v>
      </c>
      <c r="D760" s="711" t="s">
        <v>6845</v>
      </c>
      <c r="E760" s="711"/>
      <c r="F760" s="711"/>
      <c r="G760" s="711"/>
      <c r="H760" s="711"/>
      <c r="I760" s="711"/>
      <c r="J760" s="711"/>
      <c r="K760" s="520">
        <v>1</v>
      </c>
      <c r="L760" s="263" t="s">
        <v>454</v>
      </c>
      <c r="M760" s="15"/>
      <c r="N760" s="15"/>
      <c r="O760" s="15"/>
      <c r="P760" s="310"/>
    </row>
    <row r="761" spans="1:16" ht="120">
      <c r="A761" s="535">
        <v>3</v>
      </c>
      <c r="B761" s="706"/>
      <c r="C761" s="26" t="s">
        <v>6844</v>
      </c>
      <c r="D761" s="534" t="s">
        <v>6846</v>
      </c>
      <c r="E761" s="514">
        <v>711.17280000000005</v>
      </c>
      <c r="F761" s="54" t="s">
        <v>454</v>
      </c>
      <c r="G761" s="514" t="s">
        <v>6847</v>
      </c>
      <c r="H761" s="514">
        <v>3.87</v>
      </c>
      <c r="I761" s="514">
        <v>3.87</v>
      </c>
      <c r="J761" s="54" t="s">
        <v>454</v>
      </c>
      <c r="K761" s="38" t="s">
        <v>454</v>
      </c>
      <c r="L761" s="38" t="s">
        <v>454</v>
      </c>
      <c r="M761" s="15"/>
      <c r="N761" s="15"/>
      <c r="O761" s="15"/>
      <c r="P761" s="310"/>
    </row>
    <row r="762" spans="1:16" ht="30">
      <c r="A762" s="535">
        <v>4</v>
      </c>
      <c r="B762" s="706"/>
      <c r="C762" s="534" t="s">
        <v>1613</v>
      </c>
      <c r="D762" s="534" t="s">
        <v>6848</v>
      </c>
      <c r="E762" s="514">
        <v>1363</v>
      </c>
      <c r="F762" s="514">
        <v>2019</v>
      </c>
      <c r="G762" s="514" t="s">
        <v>1597</v>
      </c>
      <c r="H762" s="514">
        <v>3.95</v>
      </c>
      <c r="I762" s="514" t="s">
        <v>1597</v>
      </c>
      <c r="J762" s="514" t="s">
        <v>1597</v>
      </c>
      <c r="K762" s="514">
        <v>2</v>
      </c>
      <c r="L762" s="38" t="s">
        <v>454</v>
      </c>
      <c r="M762" s="15"/>
      <c r="N762" s="15"/>
      <c r="O762" s="15"/>
      <c r="P762" s="310"/>
    </row>
    <row r="763" spans="1:16" ht="30">
      <c r="A763" s="535">
        <v>5</v>
      </c>
      <c r="B763" s="706"/>
      <c r="C763" s="534" t="s">
        <v>1613</v>
      </c>
      <c r="D763" s="534" t="s">
        <v>2369</v>
      </c>
      <c r="E763" s="514">
        <v>442.48</v>
      </c>
      <c r="F763" s="514">
        <v>1997</v>
      </c>
      <c r="G763" s="514" t="s">
        <v>620</v>
      </c>
      <c r="H763" s="514">
        <v>0.27</v>
      </c>
      <c r="I763" s="514">
        <v>0.35</v>
      </c>
      <c r="J763" s="514" t="s">
        <v>35</v>
      </c>
      <c r="K763" s="38" t="s">
        <v>454</v>
      </c>
      <c r="L763" s="514">
        <v>3</v>
      </c>
      <c r="M763" s="15"/>
      <c r="N763" s="15"/>
      <c r="O763" s="15"/>
      <c r="P763" s="310"/>
    </row>
    <row r="764" spans="1:16" ht="30">
      <c r="A764" s="535">
        <v>6</v>
      </c>
      <c r="B764" s="706"/>
      <c r="C764" s="534" t="s">
        <v>1555</v>
      </c>
      <c r="D764" s="534" t="s">
        <v>6849</v>
      </c>
      <c r="E764" s="514">
        <v>3123.02</v>
      </c>
      <c r="F764" s="539" t="s">
        <v>35</v>
      </c>
      <c r="G764" s="539" t="s">
        <v>6850</v>
      </c>
      <c r="H764" s="514">
        <v>2.25</v>
      </c>
      <c r="I764" s="539" t="s">
        <v>6851</v>
      </c>
      <c r="J764" s="514" t="s">
        <v>35</v>
      </c>
      <c r="K764" s="38" t="s">
        <v>454</v>
      </c>
      <c r="L764" s="38" t="s">
        <v>454</v>
      </c>
      <c r="M764" s="15"/>
      <c r="N764" s="15"/>
      <c r="O764" s="15"/>
      <c r="P764" s="310"/>
    </row>
    <row r="765" spans="1:16" ht="30">
      <c r="A765" s="535">
        <v>7</v>
      </c>
      <c r="B765" s="706"/>
      <c r="C765" s="734" t="s">
        <v>6852</v>
      </c>
      <c r="D765" s="534" t="s">
        <v>1600</v>
      </c>
      <c r="E765" s="514">
        <v>5396</v>
      </c>
      <c r="F765" s="514">
        <v>1981</v>
      </c>
      <c r="G765" s="514" t="s">
        <v>296</v>
      </c>
      <c r="H765" s="514">
        <v>0.24</v>
      </c>
      <c r="I765" s="514"/>
      <c r="J765" s="514"/>
      <c r="K765" s="514">
        <v>3</v>
      </c>
      <c r="L765" s="38" t="s">
        <v>454</v>
      </c>
      <c r="M765" s="15"/>
      <c r="N765" s="15"/>
      <c r="O765" s="15"/>
      <c r="P765" s="310"/>
    </row>
    <row r="766" spans="1:16" ht="30">
      <c r="A766" s="535">
        <v>8</v>
      </c>
      <c r="B766" s="706"/>
      <c r="C766" s="734"/>
      <c r="D766" s="534" t="s">
        <v>1603</v>
      </c>
      <c r="E766" s="514">
        <v>20001.29</v>
      </c>
      <c r="F766" s="539" t="s">
        <v>6853</v>
      </c>
      <c r="G766" s="514" t="s">
        <v>296</v>
      </c>
      <c r="H766" s="514">
        <v>1.48</v>
      </c>
      <c r="I766" s="514"/>
      <c r="J766" s="514"/>
      <c r="K766" s="514">
        <v>4</v>
      </c>
      <c r="L766" s="38" t="s">
        <v>454</v>
      </c>
      <c r="M766" s="15"/>
      <c r="N766" s="15"/>
      <c r="O766" s="15"/>
      <c r="P766" s="310"/>
    </row>
    <row r="767" spans="1:16" ht="30">
      <c r="A767" s="535">
        <v>9</v>
      </c>
      <c r="B767" s="706"/>
      <c r="C767" s="734"/>
      <c r="D767" s="534" t="s">
        <v>1605</v>
      </c>
      <c r="E767" s="514">
        <v>696</v>
      </c>
      <c r="F767" s="514" t="s">
        <v>296</v>
      </c>
      <c r="G767" s="514">
        <v>1997</v>
      </c>
      <c r="H767" s="514">
        <v>0.64</v>
      </c>
      <c r="I767" s="514"/>
      <c r="J767" s="514"/>
      <c r="K767" s="514">
        <v>5</v>
      </c>
      <c r="L767" s="38" t="s">
        <v>454</v>
      </c>
      <c r="M767" s="15"/>
      <c r="N767" s="15"/>
      <c r="O767" s="15"/>
      <c r="P767" s="310"/>
    </row>
    <row r="768" spans="1:16" ht="30">
      <c r="A768" s="535">
        <v>10</v>
      </c>
      <c r="B768" s="706"/>
      <c r="C768" s="534" t="s">
        <v>1560</v>
      </c>
      <c r="D768" s="287" t="s">
        <v>7061</v>
      </c>
      <c r="E768" s="113">
        <v>3690</v>
      </c>
      <c r="F768" s="514" t="s">
        <v>6854</v>
      </c>
      <c r="G768" s="514" t="s">
        <v>17</v>
      </c>
      <c r="H768" s="514">
        <v>0.21</v>
      </c>
      <c r="I768" s="514" t="s">
        <v>17</v>
      </c>
      <c r="J768" s="514"/>
      <c r="K768" s="514">
        <v>6</v>
      </c>
      <c r="L768" s="38" t="s">
        <v>454</v>
      </c>
      <c r="M768" s="15"/>
      <c r="N768" s="15"/>
      <c r="O768" s="15"/>
      <c r="P768" s="310"/>
    </row>
    <row r="769" spans="1:16" ht="15">
      <c r="A769" s="735"/>
      <c r="B769" s="735"/>
      <c r="C769" s="735"/>
      <c r="D769" s="735"/>
      <c r="E769" s="735"/>
      <c r="F769" s="735"/>
      <c r="G769" s="735"/>
      <c r="H769" s="735"/>
      <c r="I769" s="735"/>
      <c r="J769" s="735"/>
      <c r="K769" s="735"/>
      <c r="L769" s="735"/>
      <c r="M769" s="15"/>
      <c r="N769" s="15"/>
      <c r="O769" s="15"/>
      <c r="P769" s="310"/>
    </row>
    <row r="770" spans="1:16" ht="57">
      <c r="A770" s="720" t="s">
        <v>1661</v>
      </c>
      <c r="B770" s="720"/>
      <c r="C770" s="720"/>
      <c r="D770" s="720"/>
      <c r="E770" s="720"/>
      <c r="F770" s="720"/>
      <c r="G770" s="720"/>
      <c r="H770" s="720"/>
      <c r="I770" s="720"/>
      <c r="J770" s="720"/>
      <c r="K770" s="720"/>
      <c r="L770" s="720"/>
      <c r="M770" s="720"/>
      <c r="N770" s="720"/>
      <c r="O770" s="720"/>
      <c r="P770" s="143" t="s">
        <v>1623</v>
      </c>
    </row>
    <row r="771" spans="1:16">
      <c r="A771" s="720">
        <v>13</v>
      </c>
      <c r="B771" s="720"/>
      <c r="C771" s="720"/>
      <c r="D771" s="720"/>
      <c r="E771" s="720"/>
      <c r="F771" s="720"/>
      <c r="G771" s="720"/>
      <c r="H771" s="720"/>
      <c r="I771" s="720"/>
      <c r="J771" s="720"/>
      <c r="K771" s="720"/>
      <c r="L771" s="720"/>
      <c r="M771" s="720"/>
      <c r="N771" s="720"/>
      <c r="O771" s="720"/>
      <c r="P771" s="18">
        <v>14</v>
      </c>
    </row>
    <row r="772" spans="1:16">
      <c r="A772" s="720" t="s">
        <v>1662</v>
      </c>
      <c r="B772" s="720"/>
      <c r="C772" s="720"/>
      <c r="D772" s="720" t="s">
        <v>1663</v>
      </c>
      <c r="E772" s="720"/>
      <c r="F772" s="720"/>
      <c r="G772" s="720" t="s">
        <v>1664</v>
      </c>
      <c r="H772" s="720"/>
      <c r="I772" s="720"/>
      <c r="J772" s="720" t="s">
        <v>1665</v>
      </c>
      <c r="K772" s="720"/>
      <c r="L772" s="720"/>
      <c r="M772" s="720" t="s">
        <v>1666</v>
      </c>
      <c r="N772" s="720"/>
      <c r="O772" s="720"/>
      <c r="P772" s="15"/>
    </row>
    <row r="773" spans="1:16" ht="15">
      <c r="A773" s="517" t="s">
        <v>1667</v>
      </c>
      <c r="B773" s="517" t="s">
        <v>1668</v>
      </c>
      <c r="C773" s="544" t="s">
        <v>418</v>
      </c>
      <c r="D773" s="517" t="s">
        <v>1667</v>
      </c>
      <c r="E773" s="517" t="s">
        <v>1668</v>
      </c>
      <c r="F773" s="544" t="s">
        <v>418</v>
      </c>
      <c r="G773" s="517" t="s">
        <v>1667</v>
      </c>
      <c r="H773" s="517" t="s">
        <v>1668</v>
      </c>
      <c r="I773" s="544" t="s">
        <v>418</v>
      </c>
      <c r="J773" s="517" t="s">
        <v>1667</v>
      </c>
      <c r="K773" s="517" t="s">
        <v>1668</v>
      </c>
      <c r="L773" s="544" t="s">
        <v>418</v>
      </c>
      <c r="M773" s="517" t="s">
        <v>1667</v>
      </c>
      <c r="N773" s="517" t="s">
        <v>1668</v>
      </c>
      <c r="O773" s="544" t="s">
        <v>418</v>
      </c>
      <c r="P773" s="15"/>
    </row>
    <row r="774" spans="1:16" ht="15">
      <c r="A774" s="263" t="s">
        <v>302</v>
      </c>
      <c r="B774" s="263" t="s">
        <v>302</v>
      </c>
      <c r="C774" s="263" t="s">
        <v>302</v>
      </c>
      <c r="D774" s="535">
        <v>6</v>
      </c>
      <c r="E774" s="535">
        <v>6</v>
      </c>
      <c r="F774" s="535">
        <v>1</v>
      </c>
      <c r="G774" s="535">
        <v>20</v>
      </c>
      <c r="H774" s="535">
        <v>20</v>
      </c>
      <c r="I774" s="535">
        <v>10</v>
      </c>
      <c r="J774" s="535">
        <v>1</v>
      </c>
      <c r="K774" s="535">
        <v>1</v>
      </c>
      <c r="L774" s="535">
        <v>0</v>
      </c>
      <c r="M774" s="263" t="s">
        <v>302</v>
      </c>
      <c r="N774" s="263" t="s">
        <v>302</v>
      </c>
      <c r="O774" s="263" t="s">
        <v>302</v>
      </c>
      <c r="P774" s="15"/>
    </row>
    <row r="775" spans="1:16" ht="15">
      <c r="A775" s="263" t="s">
        <v>302</v>
      </c>
      <c r="B775" s="263" t="s">
        <v>302</v>
      </c>
      <c r="C775" s="263" t="s">
        <v>302</v>
      </c>
      <c r="D775" s="263" t="s">
        <v>302</v>
      </c>
      <c r="E775" s="263" t="s">
        <v>302</v>
      </c>
      <c r="F775" s="263" t="s">
        <v>302</v>
      </c>
      <c r="G775" s="263" t="s">
        <v>302</v>
      </c>
      <c r="H775" s="263" t="s">
        <v>302</v>
      </c>
      <c r="I775" s="263" t="s">
        <v>302</v>
      </c>
      <c r="J775" s="263" t="s">
        <v>302</v>
      </c>
      <c r="K775" s="263" t="s">
        <v>302</v>
      </c>
      <c r="L775" s="263" t="s">
        <v>302</v>
      </c>
      <c r="M775" s="263" t="s">
        <v>302</v>
      </c>
      <c r="N775" s="263" t="s">
        <v>302</v>
      </c>
      <c r="O775" s="263" t="s">
        <v>302</v>
      </c>
      <c r="P775" s="15"/>
    </row>
    <row r="776" spans="1:16" ht="15">
      <c r="A776" s="263" t="s">
        <v>302</v>
      </c>
      <c r="B776" s="263" t="s">
        <v>302</v>
      </c>
      <c r="C776" s="263" t="s">
        <v>302</v>
      </c>
      <c r="D776" s="263" t="s">
        <v>302</v>
      </c>
      <c r="E776" s="263" t="s">
        <v>302</v>
      </c>
      <c r="F776" s="263" t="s">
        <v>302</v>
      </c>
      <c r="G776" s="263" t="s">
        <v>302</v>
      </c>
      <c r="H776" s="263" t="s">
        <v>302</v>
      </c>
      <c r="I776" s="263" t="s">
        <v>302</v>
      </c>
      <c r="J776" s="263" t="s">
        <v>302</v>
      </c>
      <c r="K776" s="263" t="s">
        <v>302</v>
      </c>
      <c r="L776" s="263" t="s">
        <v>302</v>
      </c>
      <c r="M776" s="263" t="s">
        <v>302</v>
      </c>
      <c r="N776" s="263" t="s">
        <v>302</v>
      </c>
      <c r="O776" s="263" t="s">
        <v>302</v>
      </c>
      <c r="P776" s="15"/>
    </row>
    <row r="777" spans="1:16" ht="15">
      <c r="A777" s="535">
        <f>8+8</f>
        <v>16</v>
      </c>
      <c r="B777" s="535">
        <f>8+8</f>
        <v>16</v>
      </c>
      <c r="C777" s="535">
        <f>4+7</f>
        <v>11</v>
      </c>
      <c r="D777" s="535">
        <f>2+12</f>
        <v>14</v>
      </c>
      <c r="E777" s="535">
        <f>2+12</f>
        <v>14</v>
      </c>
      <c r="F777" s="535">
        <f>1+11</f>
        <v>12</v>
      </c>
      <c r="G777" s="535">
        <f>2+16</f>
        <v>18</v>
      </c>
      <c r="H777" s="535">
        <f>2+16</f>
        <v>18</v>
      </c>
      <c r="I777" s="535">
        <f>1+14</f>
        <v>15</v>
      </c>
      <c r="J777" s="535">
        <v>1</v>
      </c>
      <c r="K777" s="535">
        <v>1</v>
      </c>
      <c r="L777" s="535">
        <v>1</v>
      </c>
      <c r="M777" s="535" t="s">
        <v>748</v>
      </c>
      <c r="N777" s="535" t="s">
        <v>748</v>
      </c>
      <c r="O777" s="535" t="s">
        <v>748</v>
      </c>
      <c r="P777" s="15"/>
    </row>
    <row r="778" spans="1:16" ht="15">
      <c r="A778" s="535">
        <v>58</v>
      </c>
      <c r="B778" s="535">
        <v>38</v>
      </c>
      <c r="C778" s="535">
        <v>16</v>
      </c>
      <c r="D778" s="535">
        <v>68</v>
      </c>
      <c r="E778" s="535">
        <v>68</v>
      </c>
      <c r="F778" s="535">
        <v>58</v>
      </c>
      <c r="G778" s="535">
        <v>44</v>
      </c>
      <c r="H778" s="535">
        <v>44</v>
      </c>
      <c r="I778" s="535">
        <v>38</v>
      </c>
      <c r="J778" s="535">
        <v>18</v>
      </c>
      <c r="K778" s="535">
        <v>16</v>
      </c>
      <c r="L778" s="535">
        <v>13</v>
      </c>
      <c r="M778" s="535">
        <v>7</v>
      </c>
      <c r="N778" s="535">
        <v>7</v>
      </c>
      <c r="O778" s="535">
        <v>5</v>
      </c>
      <c r="P778" s="15"/>
    </row>
    <row r="779" spans="1:16" ht="15">
      <c r="A779" s="535">
        <v>6</v>
      </c>
      <c r="B779" s="535">
        <v>6</v>
      </c>
      <c r="C779" s="535">
        <v>6</v>
      </c>
      <c r="D779" s="535">
        <v>6</v>
      </c>
      <c r="E779" s="535">
        <v>6</v>
      </c>
      <c r="F779" s="535">
        <v>6</v>
      </c>
      <c r="G779" s="535">
        <v>12</v>
      </c>
      <c r="H779" s="535">
        <v>12</v>
      </c>
      <c r="I779" s="535">
        <v>12</v>
      </c>
      <c r="J779" s="535">
        <v>4</v>
      </c>
      <c r="K779" s="535">
        <v>4</v>
      </c>
      <c r="L779" s="535">
        <v>4</v>
      </c>
      <c r="M779" s="535">
        <v>0</v>
      </c>
      <c r="N779" s="535">
        <v>0</v>
      </c>
      <c r="O779" s="535">
        <v>0</v>
      </c>
      <c r="P779" s="15"/>
    </row>
    <row r="780" spans="1:16" ht="15">
      <c r="A780" s="717"/>
      <c r="B780" s="717"/>
      <c r="C780" s="717"/>
      <c r="D780" s="717"/>
      <c r="E780" s="717"/>
      <c r="F780" s="717"/>
      <c r="G780" s="717"/>
      <c r="H780" s="717"/>
      <c r="I780" s="717"/>
      <c r="J780" s="717"/>
      <c r="K780" s="717"/>
      <c r="L780" s="717"/>
      <c r="M780" s="717"/>
      <c r="N780" s="717"/>
      <c r="O780" s="717"/>
      <c r="P780" s="15"/>
    </row>
    <row r="781" spans="1:16" ht="15" customHeight="1">
      <c r="A781" s="720" t="s">
        <v>1670</v>
      </c>
      <c r="B781" s="720"/>
      <c r="C781" s="720"/>
      <c r="D781" s="720" t="s">
        <v>1671</v>
      </c>
      <c r="E781" s="720"/>
      <c r="F781" s="720"/>
      <c r="G781" s="720" t="s">
        <v>1672</v>
      </c>
      <c r="H781" s="720"/>
      <c r="I781" s="720"/>
      <c r="J781" s="716"/>
      <c r="K781" s="716"/>
      <c r="L781" s="716"/>
      <c r="M781" s="716"/>
      <c r="N781" s="716"/>
      <c r="O781" s="716"/>
      <c r="P781" s="15"/>
    </row>
    <row r="782" spans="1:16" ht="15">
      <c r="A782" s="517" t="s">
        <v>1667</v>
      </c>
      <c r="B782" s="517" t="s">
        <v>1668</v>
      </c>
      <c r="C782" s="544" t="s">
        <v>418</v>
      </c>
      <c r="D782" s="517" t="s">
        <v>1667</v>
      </c>
      <c r="E782" s="517" t="s">
        <v>1668</v>
      </c>
      <c r="F782" s="544" t="s">
        <v>418</v>
      </c>
      <c r="G782" s="517" t="s">
        <v>1667</v>
      </c>
      <c r="H782" s="517" t="s">
        <v>1668</v>
      </c>
      <c r="I782" s="544" t="s">
        <v>418</v>
      </c>
      <c r="J782" s="716"/>
      <c r="K782" s="716"/>
      <c r="L782" s="716"/>
      <c r="M782" s="716"/>
      <c r="N782" s="716"/>
      <c r="O782" s="716"/>
      <c r="P782" s="15"/>
    </row>
    <row r="783" spans="1:16" ht="15">
      <c r="A783" s="263" t="s">
        <v>302</v>
      </c>
      <c r="B783" s="263" t="s">
        <v>302</v>
      </c>
      <c r="C783" s="263" t="s">
        <v>302</v>
      </c>
      <c r="D783" s="263" t="s">
        <v>302</v>
      </c>
      <c r="E783" s="263" t="s">
        <v>302</v>
      </c>
      <c r="F783" s="263" t="s">
        <v>302</v>
      </c>
      <c r="G783" s="263" t="s">
        <v>302</v>
      </c>
      <c r="H783" s="263" t="s">
        <v>302</v>
      </c>
      <c r="I783" s="263" t="s">
        <v>302</v>
      </c>
      <c r="J783" s="716"/>
      <c r="K783" s="716"/>
      <c r="L783" s="716"/>
      <c r="M783" s="716"/>
      <c r="N783" s="716"/>
      <c r="O783" s="716"/>
      <c r="P783" s="15"/>
    </row>
    <row r="784" spans="1:16" ht="15">
      <c r="A784" s="263" t="s">
        <v>302</v>
      </c>
      <c r="B784" s="263" t="s">
        <v>302</v>
      </c>
      <c r="C784" s="263" t="s">
        <v>302</v>
      </c>
      <c r="D784" s="263" t="s">
        <v>302</v>
      </c>
      <c r="E784" s="263" t="s">
        <v>302</v>
      </c>
      <c r="F784" s="263" t="s">
        <v>302</v>
      </c>
      <c r="G784" s="263" t="s">
        <v>302</v>
      </c>
      <c r="H784" s="263" t="s">
        <v>302</v>
      </c>
      <c r="I784" s="263" t="s">
        <v>302</v>
      </c>
      <c r="J784" s="716"/>
      <c r="K784" s="716"/>
      <c r="L784" s="716"/>
      <c r="M784" s="716"/>
      <c r="N784" s="716"/>
      <c r="O784" s="716"/>
      <c r="P784" s="15"/>
    </row>
    <row r="785" spans="1:16" ht="15">
      <c r="A785" s="263" t="s">
        <v>302</v>
      </c>
      <c r="B785" s="263" t="s">
        <v>302</v>
      </c>
      <c r="C785" s="263" t="s">
        <v>302</v>
      </c>
      <c r="D785" s="263" t="s">
        <v>302</v>
      </c>
      <c r="E785" s="263" t="s">
        <v>302</v>
      </c>
      <c r="F785" s="263" t="s">
        <v>302</v>
      </c>
      <c r="G785" s="263" t="s">
        <v>302</v>
      </c>
      <c r="H785" s="263" t="s">
        <v>302</v>
      </c>
      <c r="I785" s="263" t="s">
        <v>302</v>
      </c>
      <c r="J785" s="716"/>
      <c r="K785" s="716"/>
      <c r="L785" s="716"/>
      <c r="M785" s="716"/>
      <c r="N785" s="716"/>
      <c r="O785" s="716"/>
      <c r="P785" s="15"/>
    </row>
    <row r="786" spans="1:16" ht="15">
      <c r="A786" s="535" t="s">
        <v>748</v>
      </c>
      <c r="B786" s="535" t="s">
        <v>748</v>
      </c>
      <c r="C786" s="535" t="s">
        <v>748</v>
      </c>
      <c r="D786" s="535" t="s">
        <v>748</v>
      </c>
      <c r="E786" s="535" t="s">
        <v>748</v>
      </c>
      <c r="F786" s="535" t="s">
        <v>748</v>
      </c>
      <c r="G786" s="535" t="s">
        <v>748</v>
      </c>
      <c r="H786" s="535" t="s">
        <v>748</v>
      </c>
      <c r="I786" s="535" t="s">
        <v>748</v>
      </c>
      <c r="J786" s="716"/>
      <c r="K786" s="716"/>
      <c r="L786" s="716"/>
      <c r="M786" s="716"/>
      <c r="N786" s="716"/>
      <c r="O786" s="716"/>
      <c r="P786" s="15"/>
    </row>
    <row r="787" spans="1:16" ht="15">
      <c r="A787" s="535">
        <v>1</v>
      </c>
      <c r="B787" s="535">
        <v>1</v>
      </c>
      <c r="C787" s="535">
        <v>1</v>
      </c>
      <c r="D787" s="535"/>
      <c r="E787" s="535"/>
      <c r="F787" s="535"/>
      <c r="G787" s="535"/>
      <c r="H787" s="535"/>
      <c r="I787" s="535"/>
      <c r="J787" s="716"/>
      <c r="K787" s="716"/>
      <c r="L787" s="716"/>
      <c r="M787" s="716"/>
      <c r="N787" s="716"/>
      <c r="O787" s="716"/>
      <c r="P787" s="15"/>
    </row>
    <row r="788" spans="1:16" ht="15">
      <c r="A788" s="535">
        <v>0</v>
      </c>
      <c r="B788" s="535">
        <v>0</v>
      </c>
      <c r="C788" s="535">
        <v>0</v>
      </c>
      <c r="D788" s="535">
        <v>0</v>
      </c>
      <c r="E788" s="535">
        <v>0</v>
      </c>
      <c r="F788" s="535">
        <v>0</v>
      </c>
      <c r="G788" s="535">
        <v>0</v>
      </c>
      <c r="H788" s="535">
        <v>0</v>
      </c>
      <c r="I788" s="535">
        <v>0</v>
      </c>
      <c r="J788" s="716"/>
      <c r="K788" s="716"/>
      <c r="L788" s="716"/>
      <c r="M788" s="716"/>
      <c r="N788" s="716"/>
      <c r="O788" s="716"/>
      <c r="P788" s="15"/>
    </row>
    <row r="789" spans="1:16">
      <c r="A789" s="693"/>
      <c r="B789" s="693"/>
      <c r="C789" s="693"/>
      <c r="D789" s="693"/>
      <c r="E789" s="693"/>
      <c r="F789" s="693"/>
      <c r="G789" s="693"/>
      <c r="H789" s="693"/>
      <c r="I789" s="693"/>
      <c r="J789" s="693"/>
      <c r="K789" s="693"/>
      <c r="L789" s="693"/>
      <c r="M789" s="693"/>
      <c r="N789" s="693"/>
      <c r="O789" s="693"/>
      <c r="P789" s="693"/>
    </row>
  </sheetData>
  <mergeCells count="415">
    <mergeCell ref="J275:L275"/>
    <mergeCell ref="M275:O275"/>
    <mergeCell ref="A278:C278"/>
    <mergeCell ref="A254:L254"/>
    <mergeCell ref="A405:C405"/>
    <mergeCell ref="D405:F405"/>
    <mergeCell ref="G405:I405"/>
    <mergeCell ref="A415:L415"/>
    <mergeCell ref="C389:C392"/>
    <mergeCell ref="B649:B658"/>
    <mergeCell ref="B690:B698"/>
    <mergeCell ref="B721:B733"/>
    <mergeCell ref="M731:P733"/>
    <mergeCell ref="B759:B768"/>
    <mergeCell ref="C287:C288"/>
    <mergeCell ref="D349:L349"/>
    <mergeCell ref="B328:B349"/>
    <mergeCell ref="A381:I381"/>
    <mergeCell ref="J367:P367"/>
    <mergeCell ref="C332:C340"/>
    <mergeCell ref="C341:C346"/>
    <mergeCell ref="J374:J378"/>
    <mergeCell ref="M439:O439"/>
    <mergeCell ref="A3:L3"/>
    <mergeCell ref="A31:L31"/>
    <mergeCell ref="A16:O16"/>
    <mergeCell ref="A17:O17"/>
    <mergeCell ref="J18:L18"/>
    <mergeCell ref="M18:O18"/>
    <mergeCell ref="A18:C18"/>
    <mergeCell ref="D18:F18"/>
    <mergeCell ref="G18:I18"/>
    <mergeCell ref="G21:I21"/>
    <mergeCell ref="A21:C21"/>
    <mergeCell ref="D21:F21"/>
    <mergeCell ref="J21:O23"/>
    <mergeCell ref="B28:P28"/>
    <mergeCell ref="A1:P1"/>
    <mergeCell ref="G106:I106"/>
    <mergeCell ref="J106:L106"/>
    <mergeCell ref="M106:O106"/>
    <mergeCell ref="M164:O164"/>
    <mergeCell ref="A134:C134"/>
    <mergeCell ref="D134:F134"/>
    <mergeCell ref="G134:I134"/>
    <mergeCell ref="B142:B157"/>
    <mergeCell ref="C146:C148"/>
    <mergeCell ref="C149:C157"/>
    <mergeCell ref="A162:O162"/>
    <mergeCell ref="A163:O163"/>
    <mergeCell ref="A164:C164"/>
    <mergeCell ref="A139:L139"/>
    <mergeCell ref="A129:O129"/>
    <mergeCell ref="A130:O130"/>
    <mergeCell ref="A131:C131"/>
    <mergeCell ref="D131:F131"/>
    <mergeCell ref="G131:I131"/>
    <mergeCell ref="J131:L131"/>
    <mergeCell ref="M131:O131"/>
    <mergeCell ref="C142:C144"/>
    <mergeCell ref="A138:P138"/>
    <mergeCell ref="C40:C42"/>
    <mergeCell ref="F41:L41"/>
    <mergeCell ref="C90:C92"/>
    <mergeCell ref="C93:C99"/>
    <mergeCell ref="J56:O63"/>
    <mergeCell ref="B69:B102"/>
    <mergeCell ref="B34:B42"/>
    <mergeCell ref="A110:C110"/>
    <mergeCell ref="D110:F110"/>
    <mergeCell ref="L83:L85"/>
    <mergeCell ref="C87:C89"/>
    <mergeCell ref="G87:G89"/>
    <mergeCell ref="I87:I89"/>
    <mergeCell ref="J87:J89"/>
    <mergeCell ref="L87:L89"/>
    <mergeCell ref="C69:C85"/>
    <mergeCell ref="D69:D70"/>
    <mergeCell ref="A44:O44"/>
    <mergeCell ref="A45:O45"/>
    <mergeCell ref="A46:C46"/>
    <mergeCell ref="D46:F46"/>
    <mergeCell ref="G46:I46"/>
    <mergeCell ref="J46:L46"/>
    <mergeCell ref="M46:O46"/>
    <mergeCell ref="A213:C213"/>
    <mergeCell ref="D213:F213"/>
    <mergeCell ref="G213:I213"/>
    <mergeCell ref="J213:L213"/>
    <mergeCell ref="M213:O213"/>
    <mergeCell ref="J239:O251"/>
    <mergeCell ref="D164:F164"/>
    <mergeCell ref="A55:C55"/>
    <mergeCell ref="D55:F55"/>
    <mergeCell ref="G55:I55"/>
    <mergeCell ref="A66:L66"/>
    <mergeCell ref="C100:C102"/>
    <mergeCell ref="A64:P64"/>
    <mergeCell ref="P239:P251"/>
    <mergeCell ref="A173:C173"/>
    <mergeCell ref="D173:F173"/>
    <mergeCell ref="G173:I173"/>
    <mergeCell ref="A178:L178"/>
    <mergeCell ref="G164:I164"/>
    <mergeCell ref="J164:L164"/>
    <mergeCell ref="C191:C193"/>
    <mergeCell ref="A211:O211"/>
    <mergeCell ref="A212:O212"/>
    <mergeCell ref="A367:C367"/>
    <mergeCell ref="D367:F367"/>
    <mergeCell ref="G367:I367"/>
    <mergeCell ref="A384:L384"/>
    <mergeCell ref="A351:O351"/>
    <mergeCell ref="A352:O352"/>
    <mergeCell ref="A353:C353"/>
    <mergeCell ref="D353:F353"/>
    <mergeCell ref="G353:I353"/>
    <mergeCell ref="J353:L353"/>
    <mergeCell ref="M353:O353"/>
    <mergeCell ref="A320:C320"/>
    <mergeCell ref="D320:F320"/>
    <mergeCell ref="G320:I320"/>
    <mergeCell ref="A304:C304"/>
    <mergeCell ref="D304:F304"/>
    <mergeCell ref="A315:O315"/>
    <mergeCell ref="G317:I317"/>
    <mergeCell ref="A316:O316"/>
    <mergeCell ref="A317:C317"/>
    <mergeCell ref="D317:F317"/>
    <mergeCell ref="G443:I443"/>
    <mergeCell ref="A453:L453"/>
    <mergeCell ref="H459:H460"/>
    <mergeCell ref="B456:B467"/>
    <mergeCell ref="C458:C460"/>
    <mergeCell ref="C463:C467"/>
    <mergeCell ref="J446:J447"/>
    <mergeCell ref="J448:J449"/>
    <mergeCell ref="C418:C422"/>
    <mergeCell ref="C423:C427"/>
    <mergeCell ref="C428:C429"/>
    <mergeCell ref="A434:O434"/>
    <mergeCell ref="A433:O433"/>
    <mergeCell ref="B418:B431"/>
    <mergeCell ref="A435:C435"/>
    <mergeCell ref="D435:F435"/>
    <mergeCell ref="G435:I435"/>
    <mergeCell ref="J435:L435"/>
    <mergeCell ref="M435:O435"/>
    <mergeCell ref="A538:L538"/>
    <mergeCell ref="A530:C530"/>
    <mergeCell ref="D530:F530"/>
    <mergeCell ref="G530:I530"/>
    <mergeCell ref="J530:L530"/>
    <mergeCell ref="I502:I503"/>
    <mergeCell ref="I504:I506"/>
    <mergeCell ref="I507:I508"/>
    <mergeCell ref="E512:J512"/>
    <mergeCell ref="E513:J513"/>
    <mergeCell ref="E518:J518"/>
    <mergeCell ref="E519:J519"/>
    <mergeCell ref="E520:J520"/>
    <mergeCell ref="E523:J523"/>
    <mergeCell ref="A537:P537"/>
    <mergeCell ref="J555:L555"/>
    <mergeCell ref="M555:O555"/>
    <mergeCell ref="A623:O623"/>
    <mergeCell ref="A577:O577"/>
    <mergeCell ref="A576:O576"/>
    <mergeCell ref="A588:L588"/>
    <mergeCell ref="C592:C593"/>
    <mergeCell ref="C594:C597"/>
    <mergeCell ref="C598:C605"/>
    <mergeCell ref="C621:C622"/>
    <mergeCell ref="B591:B618"/>
    <mergeCell ref="B619:B622"/>
    <mergeCell ref="D581:F581"/>
    <mergeCell ref="G581:I581"/>
    <mergeCell ref="A578:C578"/>
    <mergeCell ref="D578:F578"/>
    <mergeCell ref="A562:C562"/>
    <mergeCell ref="D562:F562"/>
    <mergeCell ref="G562:I562"/>
    <mergeCell ref="A781:C781"/>
    <mergeCell ref="D781:F781"/>
    <mergeCell ref="G781:I781"/>
    <mergeCell ref="A772:C772"/>
    <mergeCell ref="D772:F772"/>
    <mergeCell ref="G772:I772"/>
    <mergeCell ref="J772:L772"/>
    <mergeCell ref="M772:O772"/>
    <mergeCell ref="A711:C711"/>
    <mergeCell ref="D711:F711"/>
    <mergeCell ref="G711:I711"/>
    <mergeCell ref="A718:L718"/>
    <mergeCell ref="A771:O771"/>
    <mergeCell ref="A770:O770"/>
    <mergeCell ref="A736:O736"/>
    <mergeCell ref="A735:O735"/>
    <mergeCell ref="A756:L756"/>
    <mergeCell ref="A746:C746"/>
    <mergeCell ref="D746:F746"/>
    <mergeCell ref="C765:C767"/>
    <mergeCell ref="G746:I746"/>
    <mergeCell ref="A737:C737"/>
    <mergeCell ref="A769:L769"/>
    <mergeCell ref="J781:O788"/>
    <mergeCell ref="D269:L269"/>
    <mergeCell ref="H69:H70"/>
    <mergeCell ref="I69:I70"/>
    <mergeCell ref="D73:D75"/>
    <mergeCell ref="I73:I75"/>
    <mergeCell ref="D83:D85"/>
    <mergeCell ref="G83:G85"/>
    <mergeCell ref="I83:I85"/>
    <mergeCell ref="G110:I110"/>
    <mergeCell ref="J110:L110"/>
    <mergeCell ref="A104:O104"/>
    <mergeCell ref="M110:O110"/>
    <mergeCell ref="A105:O105"/>
    <mergeCell ref="A106:C106"/>
    <mergeCell ref="D106:F106"/>
    <mergeCell ref="A239:C239"/>
    <mergeCell ref="D239:F239"/>
    <mergeCell ref="G239:I239"/>
    <mergeCell ref="C208:C209"/>
    <mergeCell ref="G149:G155"/>
    <mergeCell ref="H149:H155"/>
    <mergeCell ref="G156:G157"/>
    <mergeCell ref="H156:H157"/>
    <mergeCell ref="C159:L159"/>
    <mergeCell ref="D555:F555"/>
    <mergeCell ref="G555:I555"/>
    <mergeCell ref="A116:L116"/>
    <mergeCell ref="C160:L160"/>
    <mergeCell ref="B181:B209"/>
    <mergeCell ref="C181:C185"/>
    <mergeCell ref="C186:C189"/>
    <mergeCell ref="C328:C331"/>
    <mergeCell ref="A257:A265"/>
    <mergeCell ref="B257:B272"/>
    <mergeCell ref="G304:I304"/>
    <mergeCell ref="A309:L309"/>
    <mergeCell ref="A299:O299"/>
    <mergeCell ref="A300:O300"/>
    <mergeCell ref="A301:C301"/>
    <mergeCell ref="D301:F301"/>
    <mergeCell ref="G301:I301"/>
    <mergeCell ref="A324:L324"/>
    <mergeCell ref="A325:L325"/>
    <mergeCell ref="J317:L317"/>
    <mergeCell ref="M317:O317"/>
    <mergeCell ref="C257:C265"/>
    <mergeCell ref="D266:L266"/>
    <mergeCell ref="D267:L267"/>
    <mergeCell ref="M625:O625"/>
    <mergeCell ref="A635:C635"/>
    <mergeCell ref="A624:O624"/>
    <mergeCell ref="A581:C581"/>
    <mergeCell ref="C649:C650"/>
    <mergeCell ref="A571:L571"/>
    <mergeCell ref="D625:F625"/>
    <mergeCell ref="C124:C126"/>
    <mergeCell ref="M530:O530"/>
    <mergeCell ref="B502:B527"/>
    <mergeCell ref="C509:C527"/>
    <mergeCell ref="A484:C484"/>
    <mergeCell ref="D270:L270"/>
    <mergeCell ref="D271:L271"/>
    <mergeCell ref="D272:L272"/>
    <mergeCell ref="D278:F278"/>
    <mergeCell ref="G278:I278"/>
    <mergeCell ref="A283:L283"/>
    <mergeCell ref="A273:O273"/>
    <mergeCell ref="A274:O274"/>
    <mergeCell ref="A275:C275"/>
    <mergeCell ref="D275:F275"/>
    <mergeCell ref="G275:I275"/>
    <mergeCell ref="A555:C555"/>
    <mergeCell ref="G703:I703"/>
    <mergeCell ref="J703:L703"/>
    <mergeCell ref="M703:O703"/>
    <mergeCell ref="A702:O702"/>
    <mergeCell ref="A701:O701"/>
    <mergeCell ref="A660:O660"/>
    <mergeCell ref="A659:O659"/>
    <mergeCell ref="M661:O661"/>
    <mergeCell ref="A661:C661"/>
    <mergeCell ref="D661:F661"/>
    <mergeCell ref="G661:I661"/>
    <mergeCell ref="J661:L661"/>
    <mergeCell ref="A673:C673"/>
    <mergeCell ref="D673:F673"/>
    <mergeCell ref="G673:I673"/>
    <mergeCell ref="A687:L687"/>
    <mergeCell ref="C690:C693"/>
    <mergeCell ref="D635:F635"/>
    <mergeCell ref="G635:I635"/>
    <mergeCell ref="A646:L646"/>
    <mergeCell ref="A625:C625"/>
    <mergeCell ref="A432:P432"/>
    <mergeCell ref="P532:P535"/>
    <mergeCell ref="E514:J514"/>
    <mergeCell ref="E515:J515"/>
    <mergeCell ref="A554:O554"/>
    <mergeCell ref="A553:O553"/>
    <mergeCell ref="A529:O529"/>
    <mergeCell ref="G578:I578"/>
    <mergeCell ref="J578:L578"/>
    <mergeCell ref="M578:O578"/>
    <mergeCell ref="D484:F484"/>
    <mergeCell ref="G484:I484"/>
    <mergeCell ref="A533:C533"/>
    <mergeCell ref="D533:F533"/>
    <mergeCell ref="G533:I533"/>
    <mergeCell ref="A528:O528"/>
    <mergeCell ref="E516:J516"/>
    <mergeCell ref="E517:J517"/>
    <mergeCell ref="G625:I625"/>
    <mergeCell ref="J625:L625"/>
    <mergeCell ref="A499:L499"/>
    <mergeCell ref="C34:C39"/>
    <mergeCell ref="B119:B127"/>
    <mergeCell ref="C119:C123"/>
    <mergeCell ref="A124:A126"/>
    <mergeCell ref="J301:L301"/>
    <mergeCell ref="M301:O301"/>
    <mergeCell ref="C195:C203"/>
    <mergeCell ref="C204:C207"/>
    <mergeCell ref="A470:C470"/>
    <mergeCell ref="D470:F470"/>
    <mergeCell ref="G470:I470"/>
    <mergeCell ref="J470:L470"/>
    <mergeCell ref="M409:M412"/>
    <mergeCell ref="D393:L393"/>
    <mergeCell ref="B387:B393"/>
    <mergeCell ref="A447:C447"/>
    <mergeCell ref="A469:O469"/>
    <mergeCell ref="A468:O468"/>
    <mergeCell ref="A395:O395"/>
    <mergeCell ref="A396:O396"/>
    <mergeCell ref="A397:C397"/>
    <mergeCell ref="D397:F397"/>
    <mergeCell ref="D443:F443"/>
    <mergeCell ref="A498:P498"/>
    <mergeCell ref="A29:P29"/>
    <mergeCell ref="A2:P2"/>
    <mergeCell ref="M3:P15"/>
    <mergeCell ref="A30:P30"/>
    <mergeCell ref="M31:P43"/>
    <mergeCell ref="A65:P65"/>
    <mergeCell ref="J111:O113"/>
    <mergeCell ref="A115:P115"/>
    <mergeCell ref="A128:P128"/>
    <mergeCell ref="A15:L15"/>
    <mergeCell ref="A43:L43"/>
    <mergeCell ref="A103:L103"/>
    <mergeCell ref="A350:P350"/>
    <mergeCell ref="C347:C348"/>
    <mergeCell ref="J379:J380"/>
    <mergeCell ref="A137:P137"/>
    <mergeCell ref="B312:B313"/>
    <mergeCell ref="B24:P24"/>
    <mergeCell ref="B25:P25"/>
    <mergeCell ref="B26:P26"/>
    <mergeCell ref="B27:P27"/>
    <mergeCell ref="J134:O136"/>
    <mergeCell ref="G397:I397"/>
    <mergeCell ref="J173:O175"/>
    <mergeCell ref="A210:L210"/>
    <mergeCell ref="J278:O280"/>
    <mergeCell ref="J304:O306"/>
    <mergeCell ref="J320:O322"/>
    <mergeCell ref="A323:P323"/>
    <mergeCell ref="A394:L394"/>
    <mergeCell ref="J484:O497"/>
    <mergeCell ref="A176:P176"/>
    <mergeCell ref="A177:P177"/>
    <mergeCell ref="A253:P253"/>
    <mergeCell ref="A282:P282"/>
    <mergeCell ref="A308:P308"/>
    <mergeCell ref="A383:P383"/>
    <mergeCell ref="A414:P414"/>
    <mergeCell ref="A452:P452"/>
    <mergeCell ref="P401:P404"/>
    <mergeCell ref="P438:P439"/>
    <mergeCell ref="P440:P441"/>
    <mergeCell ref="M397:O397"/>
    <mergeCell ref="M470:O470"/>
    <mergeCell ref="A443:C443"/>
    <mergeCell ref="J397:L397"/>
    <mergeCell ref="D268:L268"/>
    <mergeCell ref="A789:P789"/>
    <mergeCell ref="A780:O780"/>
    <mergeCell ref="A745:J745"/>
    <mergeCell ref="K745:P753"/>
    <mergeCell ref="A716:P716"/>
    <mergeCell ref="J711:O715"/>
    <mergeCell ref="A570:P570"/>
    <mergeCell ref="A587:P587"/>
    <mergeCell ref="A645:P645"/>
    <mergeCell ref="A686:P686"/>
    <mergeCell ref="A717:P717"/>
    <mergeCell ref="A755:P755"/>
    <mergeCell ref="J581:O584"/>
    <mergeCell ref="K674:P683"/>
    <mergeCell ref="A754:P754"/>
    <mergeCell ref="P705:P706"/>
    <mergeCell ref="D760:J760"/>
    <mergeCell ref="D737:F737"/>
    <mergeCell ref="G737:I737"/>
    <mergeCell ref="J737:L737"/>
    <mergeCell ref="M737:O737"/>
    <mergeCell ref="A703:C703"/>
    <mergeCell ref="D703:F703"/>
    <mergeCell ref="P669:P670"/>
  </mergeCells>
  <pageMargins left="0.7" right="0.7" top="0.75" bottom="0.75" header="0.3" footer="0.3"/>
  <pageSetup paperSize="5" scale="59" orientation="landscape" r:id="rId1"/>
  <colBreaks count="1" manualBreakCount="1">
    <brk id="16" max="93" man="1"/>
  </colBreaks>
</worksheet>
</file>

<file path=xl/worksheets/sheet4.xml><?xml version="1.0" encoding="utf-8"?>
<worksheet xmlns="http://schemas.openxmlformats.org/spreadsheetml/2006/main" xmlns:r="http://schemas.openxmlformats.org/officeDocument/2006/relationships">
  <dimension ref="A1:N1082"/>
  <sheetViews>
    <sheetView view="pageBreakPreview" zoomScale="60" workbookViewId="0">
      <selection activeCell="J9" sqref="J9"/>
    </sheetView>
  </sheetViews>
  <sheetFormatPr defaultRowHeight="15"/>
  <cols>
    <col min="1" max="1" width="7.5703125" customWidth="1"/>
    <col min="2" max="2" width="15.7109375" customWidth="1"/>
    <col min="3" max="5" width="20.7109375" customWidth="1"/>
    <col min="6" max="9" width="12.7109375" customWidth="1"/>
    <col min="10" max="10" width="12.5703125" customWidth="1"/>
    <col min="11" max="13" width="12.7109375" customWidth="1"/>
    <col min="14" max="14" width="15.85546875" customWidth="1"/>
  </cols>
  <sheetData>
    <row r="1" spans="1:14" ht="25.5">
      <c r="A1" s="778" t="s">
        <v>7722</v>
      </c>
      <c r="B1" s="778"/>
      <c r="C1" s="778"/>
      <c r="D1" s="778"/>
      <c r="E1" s="778"/>
      <c r="F1" s="778"/>
      <c r="G1" s="778"/>
      <c r="H1" s="778"/>
      <c r="I1" s="778"/>
      <c r="J1" s="778"/>
      <c r="K1" s="778"/>
      <c r="L1" s="778"/>
      <c r="M1" s="778"/>
      <c r="N1" s="778"/>
    </row>
    <row r="2" spans="1:14" ht="22.5">
      <c r="A2" s="700" t="s">
        <v>113</v>
      </c>
      <c r="B2" s="700"/>
      <c r="C2" s="700"/>
      <c r="D2" s="700"/>
      <c r="E2" s="700"/>
      <c r="F2" s="700"/>
      <c r="G2" s="700"/>
      <c r="H2" s="700"/>
      <c r="I2" s="700"/>
      <c r="J2" s="700"/>
      <c r="K2" s="700"/>
      <c r="L2" s="700"/>
      <c r="M2" s="700"/>
      <c r="N2" s="700"/>
    </row>
    <row r="3" spans="1:14" ht="20.25">
      <c r="A3" s="757" t="s">
        <v>2669</v>
      </c>
      <c r="B3" s="757"/>
      <c r="C3" s="757"/>
      <c r="D3" s="757"/>
      <c r="E3" s="757"/>
      <c r="F3" s="757"/>
      <c r="G3" s="757"/>
      <c r="H3" s="757"/>
      <c r="I3" s="757"/>
      <c r="J3" s="757"/>
      <c r="K3" s="757"/>
      <c r="L3" s="757"/>
      <c r="M3" s="757"/>
      <c r="N3" s="757"/>
    </row>
    <row r="4" spans="1:14" ht="71.25">
      <c r="A4" s="530" t="s">
        <v>0</v>
      </c>
      <c r="B4" s="19" t="s">
        <v>1616</v>
      </c>
      <c r="C4" s="530" t="s">
        <v>1676</v>
      </c>
      <c r="D4" s="18" t="s">
        <v>1677</v>
      </c>
      <c r="E4" s="18" t="s">
        <v>1678</v>
      </c>
      <c r="F4" s="19" t="s">
        <v>2670</v>
      </c>
      <c r="G4" s="19" t="s">
        <v>2671</v>
      </c>
      <c r="H4" s="19" t="s">
        <v>1679</v>
      </c>
      <c r="I4" s="19" t="s">
        <v>1680</v>
      </c>
      <c r="J4" s="19" t="s">
        <v>1681</v>
      </c>
      <c r="K4" s="19" t="s">
        <v>1682</v>
      </c>
      <c r="L4" s="19" t="s">
        <v>1683</v>
      </c>
      <c r="M4" s="19" t="s">
        <v>1684</v>
      </c>
      <c r="N4" s="19" t="s">
        <v>1685</v>
      </c>
    </row>
    <row r="5" spans="1:14">
      <c r="A5" s="530">
        <v>1</v>
      </c>
      <c r="B5" s="530">
        <v>2</v>
      </c>
      <c r="C5" s="530">
        <v>3</v>
      </c>
      <c r="D5" s="530">
        <v>4</v>
      </c>
      <c r="E5" s="530">
        <v>5</v>
      </c>
      <c r="F5" s="530">
        <v>6</v>
      </c>
      <c r="G5" s="530">
        <v>7</v>
      </c>
      <c r="H5" s="530">
        <v>8</v>
      </c>
      <c r="I5" s="19">
        <v>9</v>
      </c>
      <c r="J5" s="530">
        <v>10</v>
      </c>
      <c r="K5" s="530">
        <v>11</v>
      </c>
      <c r="L5" s="530">
        <v>12</v>
      </c>
      <c r="M5" s="530">
        <v>13</v>
      </c>
      <c r="N5" s="530">
        <v>14</v>
      </c>
    </row>
    <row r="6" spans="1:14" ht="90">
      <c r="A6" s="117">
        <v>1</v>
      </c>
      <c r="B6" s="705" t="s">
        <v>2613</v>
      </c>
      <c r="C6" s="705" t="s">
        <v>1624</v>
      </c>
      <c r="D6" s="519" t="s">
        <v>1686</v>
      </c>
      <c r="E6" s="138" t="s">
        <v>1687</v>
      </c>
      <c r="F6" s="544">
        <v>541.99</v>
      </c>
      <c r="G6" s="544">
        <v>599.57000000000005</v>
      </c>
      <c r="H6" s="544" t="s">
        <v>1688</v>
      </c>
      <c r="I6" s="544" t="s">
        <v>1689</v>
      </c>
      <c r="J6" s="544" t="s">
        <v>1690</v>
      </c>
      <c r="K6" s="57">
        <v>44378</v>
      </c>
      <c r="L6" s="139">
        <v>199076</v>
      </c>
      <c r="M6" s="544">
        <v>332.03</v>
      </c>
      <c r="N6" s="544"/>
    </row>
    <row r="7" spans="1:14" ht="90">
      <c r="A7" s="117">
        <v>2</v>
      </c>
      <c r="B7" s="705"/>
      <c r="C7" s="705"/>
      <c r="D7" s="519" t="s">
        <v>1691</v>
      </c>
      <c r="E7" s="519" t="s">
        <v>1692</v>
      </c>
      <c r="F7" s="544" t="s">
        <v>1693</v>
      </c>
      <c r="G7" s="544">
        <v>666.48</v>
      </c>
      <c r="H7" s="544" t="s">
        <v>1694</v>
      </c>
      <c r="I7" s="544" t="s">
        <v>1689</v>
      </c>
      <c r="J7" s="544" t="s">
        <v>1690</v>
      </c>
      <c r="K7" s="544">
        <v>44228</v>
      </c>
      <c r="L7" s="544">
        <v>154980</v>
      </c>
      <c r="M7" s="544">
        <v>232.53</v>
      </c>
      <c r="N7" s="544"/>
    </row>
    <row r="8" spans="1:14" ht="75">
      <c r="A8" s="117">
        <v>3</v>
      </c>
      <c r="B8" s="705"/>
      <c r="C8" s="705"/>
      <c r="D8" s="519" t="s">
        <v>1695</v>
      </c>
      <c r="E8" s="519" t="s">
        <v>1695</v>
      </c>
      <c r="F8" s="544">
        <v>612.41999999999996</v>
      </c>
      <c r="G8" s="544">
        <v>681.72</v>
      </c>
      <c r="H8" s="544" t="s">
        <v>1696</v>
      </c>
      <c r="I8" s="544" t="s">
        <v>1689</v>
      </c>
      <c r="J8" s="544" t="s">
        <v>1690</v>
      </c>
      <c r="K8" s="544" t="s">
        <v>1697</v>
      </c>
      <c r="L8" s="544">
        <v>184410</v>
      </c>
      <c r="M8" s="544">
        <v>270.5</v>
      </c>
      <c r="N8" s="544"/>
    </row>
    <row r="9" spans="1:14" ht="75">
      <c r="A9" s="117">
        <v>4</v>
      </c>
      <c r="B9" s="705"/>
      <c r="C9" s="705" t="s">
        <v>1698</v>
      </c>
      <c r="D9" s="519" t="s">
        <v>1699</v>
      </c>
      <c r="E9" s="519" t="s">
        <v>1700</v>
      </c>
      <c r="F9" s="544">
        <v>1201.21</v>
      </c>
      <c r="G9" s="544">
        <v>1297.97</v>
      </c>
      <c r="H9" s="544" t="s">
        <v>1701</v>
      </c>
      <c r="I9" s="544" t="s">
        <v>1702</v>
      </c>
      <c r="J9" s="544" t="s">
        <v>1703</v>
      </c>
      <c r="K9" s="544" t="s">
        <v>1704</v>
      </c>
      <c r="L9" s="544" t="s">
        <v>1705</v>
      </c>
      <c r="M9" s="544">
        <v>207.17</v>
      </c>
      <c r="N9" s="544"/>
    </row>
    <row r="10" spans="1:14" ht="75">
      <c r="A10" s="117">
        <v>5</v>
      </c>
      <c r="B10" s="705"/>
      <c r="C10" s="705"/>
      <c r="D10" s="519" t="s">
        <v>1706</v>
      </c>
      <c r="E10" s="519" t="s">
        <v>1707</v>
      </c>
      <c r="F10" s="544">
        <v>442.9</v>
      </c>
      <c r="G10" s="544">
        <v>698.25</v>
      </c>
      <c r="H10" s="544" t="s">
        <v>1708</v>
      </c>
      <c r="I10" s="544" t="s">
        <v>1702</v>
      </c>
      <c r="J10" s="544" t="s">
        <v>1703</v>
      </c>
      <c r="K10" s="544" t="s">
        <v>1709</v>
      </c>
      <c r="L10" s="544" t="s">
        <v>1710</v>
      </c>
      <c r="M10" s="544">
        <v>180.40386681000001</v>
      </c>
      <c r="N10" s="544"/>
    </row>
    <row r="11" spans="1:14" ht="90">
      <c r="A11" s="117">
        <v>6</v>
      </c>
      <c r="B11" s="705"/>
      <c r="C11" s="705"/>
      <c r="D11" s="519" t="s">
        <v>1711</v>
      </c>
      <c r="E11" s="519" t="s">
        <v>1712</v>
      </c>
      <c r="F11" s="544">
        <v>476.49</v>
      </c>
      <c r="G11" s="544">
        <v>698.25</v>
      </c>
      <c r="H11" s="544" t="s">
        <v>1713</v>
      </c>
      <c r="I11" s="544" t="s">
        <v>1702</v>
      </c>
      <c r="J11" s="544" t="s">
        <v>1714</v>
      </c>
      <c r="K11" s="544" t="s">
        <v>1715</v>
      </c>
      <c r="L11" s="544" t="s">
        <v>1710</v>
      </c>
      <c r="M11" s="544">
        <v>180.40386681000001</v>
      </c>
      <c r="N11" s="544"/>
    </row>
    <row r="12" spans="1:14" ht="75">
      <c r="A12" s="117">
        <v>7</v>
      </c>
      <c r="B12" s="705"/>
      <c r="C12" s="705"/>
      <c r="D12" s="519" t="s">
        <v>1716</v>
      </c>
      <c r="E12" s="519" t="s">
        <v>1717</v>
      </c>
      <c r="F12" s="544">
        <v>442.9</v>
      </c>
      <c r="G12" s="544">
        <v>698.25</v>
      </c>
      <c r="H12" s="544" t="s">
        <v>1718</v>
      </c>
      <c r="I12" s="544" t="s">
        <v>1702</v>
      </c>
      <c r="J12" s="544" t="s">
        <v>1714</v>
      </c>
      <c r="K12" s="544" t="s">
        <v>1719</v>
      </c>
      <c r="L12" s="544" t="s">
        <v>1710</v>
      </c>
      <c r="M12" s="544">
        <v>180.40386681000001</v>
      </c>
      <c r="N12" s="544"/>
    </row>
    <row r="13" spans="1:14" ht="75">
      <c r="A13" s="117">
        <v>8</v>
      </c>
      <c r="B13" s="705"/>
      <c r="C13" s="705"/>
      <c r="D13" s="519" t="s">
        <v>1720</v>
      </c>
      <c r="E13" s="519" t="s">
        <v>1721</v>
      </c>
      <c r="F13" s="544" t="s">
        <v>35</v>
      </c>
      <c r="G13" s="544">
        <v>988.39</v>
      </c>
      <c r="H13" s="544" t="s">
        <v>1722</v>
      </c>
      <c r="I13" s="544" t="s">
        <v>1702</v>
      </c>
      <c r="J13" s="544" t="s">
        <v>1703</v>
      </c>
      <c r="K13" s="544" t="s">
        <v>1723</v>
      </c>
      <c r="L13" s="544" t="s">
        <v>1724</v>
      </c>
      <c r="M13" s="544">
        <v>257.18</v>
      </c>
      <c r="N13" s="544"/>
    </row>
    <row r="14" spans="1:14" ht="75">
      <c r="A14" s="117">
        <v>9</v>
      </c>
      <c r="B14" s="705"/>
      <c r="C14" s="705"/>
      <c r="D14" s="519" t="s">
        <v>1725</v>
      </c>
      <c r="E14" s="519" t="s">
        <v>1726</v>
      </c>
      <c r="F14" s="544">
        <v>228.8</v>
      </c>
      <c r="G14" s="544">
        <v>302.98</v>
      </c>
      <c r="H14" s="544" t="s">
        <v>1727</v>
      </c>
      <c r="I14" s="544" t="s">
        <v>1702</v>
      </c>
      <c r="J14" s="544" t="s">
        <v>1703</v>
      </c>
      <c r="K14" s="544" t="s">
        <v>1728</v>
      </c>
      <c r="L14" s="544">
        <v>90434</v>
      </c>
      <c r="M14" s="544">
        <v>395.2534</v>
      </c>
      <c r="N14" s="544"/>
    </row>
    <row r="15" spans="1:14" ht="90">
      <c r="A15" s="117">
        <v>10</v>
      </c>
      <c r="B15" s="705"/>
      <c r="C15" s="705" t="s">
        <v>1729</v>
      </c>
      <c r="D15" s="519" t="s">
        <v>1730</v>
      </c>
      <c r="E15" s="519" t="s">
        <v>1731</v>
      </c>
      <c r="F15" s="544"/>
      <c r="G15" s="544">
        <v>330.1</v>
      </c>
      <c r="H15" s="544" t="s">
        <v>1732</v>
      </c>
      <c r="I15" s="544" t="s">
        <v>1702</v>
      </c>
      <c r="J15" s="544" t="s">
        <v>1733</v>
      </c>
      <c r="K15" s="544" t="s">
        <v>1734</v>
      </c>
      <c r="L15" s="544">
        <v>88759</v>
      </c>
      <c r="M15" s="544">
        <v>268.88518630717965</v>
      </c>
      <c r="N15" s="544"/>
    </row>
    <row r="16" spans="1:14" ht="75">
      <c r="A16" s="117">
        <v>11</v>
      </c>
      <c r="B16" s="705"/>
      <c r="C16" s="705"/>
      <c r="D16" s="519" t="s">
        <v>1730</v>
      </c>
      <c r="E16" s="519" t="s">
        <v>1735</v>
      </c>
      <c r="F16" s="544"/>
      <c r="G16" s="544">
        <v>394.41</v>
      </c>
      <c r="H16" s="544" t="s">
        <v>1736</v>
      </c>
      <c r="I16" s="544" t="s">
        <v>1702</v>
      </c>
      <c r="J16" s="544" t="s">
        <v>1737</v>
      </c>
      <c r="K16" s="544" t="s">
        <v>1738</v>
      </c>
      <c r="L16" s="544">
        <v>92488</v>
      </c>
      <c r="M16" s="544">
        <v>234.49709692959101</v>
      </c>
      <c r="N16" s="544"/>
    </row>
    <row r="17" spans="1:14" ht="90">
      <c r="A17" s="117">
        <v>12</v>
      </c>
      <c r="B17" s="705"/>
      <c r="C17" s="705"/>
      <c r="D17" s="519" t="s">
        <v>1739</v>
      </c>
      <c r="E17" s="519" t="s">
        <v>1740</v>
      </c>
      <c r="F17" s="544"/>
      <c r="G17" s="544">
        <v>633.67999999999995</v>
      </c>
      <c r="H17" s="544" t="s">
        <v>1741</v>
      </c>
      <c r="I17" s="544" t="s">
        <v>1702</v>
      </c>
      <c r="J17" s="544" t="s">
        <v>1742</v>
      </c>
      <c r="K17" s="544" t="s">
        <v>1743</v>
      </c>
      <c r="L17" s="544">
        <f>94237+88800</f>
        <v>183037</v>
      </c>
      <c r="M17" s="544">
        <v>288.8476833733115</v>
      </c>
      <c r="N17" s="544"/>
    </row>
    <row r="18" spans="1:14" ht="255">
      <c r="A18" s="117">
        <v>13</v>
      </c>
      <c r="B18" s="705"/>
      <c r="C18" s="705"/>
      <c r="D18" s="519" t="s">
        <v>1744</v>
      </c>
      <c r="E18" s="519" t="s">
        <v>1745</v>
      </c>
      <c r="F18" s="544"/>
      <c r="G18" s="544">
        <v>124.58</v>
      </c>
      <c r="H18" s="544" t="s">
        <v>1746</v>
      </c>
      <c r="I18" s="544" t="s">
        <v>1702</v>
      </c>
      <c r="J18" s="544" t="s">
        <v>1742</v>
      </c>
      <c r="K18" s="544" t="s">
        <v>1747</v>
      </c>
      <c r="L18" s="544">
        <v>17488</v>
      </c>
      <c r="M18" s="544">
        <v>140.37566222507627</v>
      </c>
      <c r="N18" s="544"/>
    </row>
    <row r="19" spans="1:14" ht="75">
      <c r="A19" s="117">
        <v>14</v>
      </c>
      <c r="B19" s="705"/>
      <c r="C19" s="705"/>
      <c r="D19" s="519" t="s">
        <v>1748</v>
      </c>
      <c r="E19" s="519" t="s">
        <v>1749</v>
      </c>
      <c r="F19" s="544"/>
      <c r="G19" s="544">
        <v>71.459999999999994</v>
      </c>
      <c r="H19" s="544" t="s">
        <v>1750</v>
      </c>
      <c r="I19" s="544" t="s">
        <v>1702</v>
      </c>
      <c r="J19" s="544" t="s">
        <v>1742</v>
      </c>
      <c r="K19" s="544" t="s">
        <v>1751</v>
      </c>
      <c r="L19" s="544">
        <v>11670</v>
      </c>
      <c r="M19" s="544">
        <v>163.30814441645677</v>
      </c>
      <c r="N19" s="544"/>
    </row>
    <row r="20" spans="1:14" ht="105">
      <c r="A20" s="117">
        <v>15</v>
      </c>
      <c r="B20" s="705"/>
      <c r="C20" s="705"/>
      <c r="D20" s="519" t="s">
        <v>1752</v>
      </c>
      <c r="E20" s="519" t="s">
        <v>1753</v>
      </c>
      <c r="F20" s="544"/>
      <c r="G20" s="544">
        <v>751.81</v>
      </c>
      <c r="H20" s="544" t="s">
        <v>1754</v>
      </c>
      <c r="I20" s="544" t="s">
        <v>1702</v>
      </c>
      <c r="J20" s="544" t="s">
        <v>1742</v>
      </c>
      <c r="K20" s="544" t="s">
        <v>1755</v>
      </c>
      <c r="L20" s="544">
        <v>97089</v>
      </c>
      <c r="M20" s="544">
        <v>129.14034130963941</v>
      </c>
      <c r="N20" s="544"/>
    </row>
    <row r="21" spans="1:14" ht="90">
      <c r="A21" s="117">
        <v>16</v>
      </c>
      <c r="B21" s="705"/>
      <c r="C21" s="705"/>
      <c r="D21" s="519" t="s">
        <v>1756</v>
      </c>
      <c r="E21" s="519" t="s">
        <v>1757</v>
      </c>
      <c r="F21" s="544"/>
      <c r="G21" s="544">
        <v>598.41</v>
      </c>
      <c r="H21" s="544" t="s">
        <v>1758</v>
      </c>
      <c r="I21" s="544" t="s">
        <v>1702</v>
      </c>
      <c r="J21" s="544" t="s">
        <v>1742</v>
      </c>
      <c r="K21" s="544" t="s">
        <v>1759</v>
      </c>
      <c r="L21" s="544">
        <v>63212</v>
      </c>
      <c r="M21" s="544">
        <v>105.63326147624539</v>
      </c>
      <c r="N21" s="544"/>
    </row>
    <row r="22" spans="1:14" ht="90">
      <c r="A22" s="117">
        <v>17</v>
      </c>
      <c r="B22" s="705"/>
      <c r="C22" s="705"/>
      <c r="D22" s="519" t="s">
        <v>1760</v>
      </c>
      <c r="E22" s="519" t="s">
        <v>1761</v>
      </c>
      <c r="F22" s="544"/>
      <c r="G22" s="544">
        <v>758.22</v>
      </c>
      <c r="H22" s="544" t="s">
        <v>1762</v>
      </c>
      <c r="I22" s="544" t="s">
        <v>1702</v>
      </c>
      <c r="J22" s="544" t="s">
        <v>1742</v>
      </c>
      <c r="K22" s="544" t="s">
        <v>1755</v>
      </c>
      <c r="L22" s="544">
        <v>97089</v>
      </c>
      <c r="M22" s="544">
        <v>128.04858748120597</v>
      </c>
      <c r="N22" s="544"/>
    </row>
    <row r="23" spans="1:14" ht="75">
      <c r="A23" s="117">
        <v>18</v>
      </c>
      <c r="B23" s="705"/>
      <c r="C23" s="705"/>
      <c r="D23" s="519" t="s">
        <v>1763</v>
      </c>
      <c r="E23" s="519" t="s">
        <v>1764</v>
      </c>
      <c r="F23" s="544"/>
      <c r="G23" s="544">
        <v>71.14</v>
      </c>
      <c r="H23" s="544" t="s">
        <v>1765</v>
      </c>
      <c r="I23" s="544" t="s">
        <v>1702</v>
      </c>
      <c r="J23" s="544" t="s">
        <v>1742</v>
      </c>
      <c r="K23" s="544" t="s">
        <v>1766</v>
      </c>
      <c r="L23" s="544">
        <v>11330</v>
      </c>
      <c r="M23" s="544">
        <v>159.26342423390497</v>
      </c>
      <c r="N23" s="544"/>
    </row>
    <row r="24" spans="1:14" ht="75">
      <c r="A24" s="117">
        <v>19</v>
      </c>
      <c r="B24" s="705"/>
      <c r="C24" s="705"/>
      <c r="D24" s="519" t="s">
        <v>1767</v>
      </c>
      <c r="E24" s="519" t="s">
        <v>1764</v>
      </c>
      <c r="F24" s="544"/>
      <c r="G24" s="544">
        <v>55.77</v>
      </c>
      <c r="H24" s="544" t="s">
        <v>1768</v>
      </c>
      <c r="I24" s="544" t="s">
        <v>1702</v>
      </c>
      <c r="J24" s="544" t="s">
        <v>1742</v>
      </c>
      <c r="K24" s="544" t="s">
        <v>1769</v>
      </c>
      <c r="L24" s="544">
        <v>10447</v>
      </c>
      <c r="M24" s="544">
        <v>187.32293347677961</v>
      </c>
      <c r="N24" s="544"/>
    </row>
    <row r="25" spans="1:14" ht="75">
      <c r="A25" s="117">
        <v>20</v>
      </c>
      <c r="B25" s="705"/>
      <c r="C25" s="705"/>
      <c r="D25" s="519" t="s">
        <v>1770</v>
      </c>
      <c r="E25" s="519" t="s">
        <v>1771</v>
      </c>
      <c r="F25" s="544"/>
      <c r="G25" s="544">
        <v>88.84</v>
      </c>
      <c r="H25" s="544" t="s">
        <v>1772</v>
      </c>
      <c r="I25" s="544" t="s">
        <v>1702</v>
      </c>
      <c r="J25" s="544" t="s">
        <v>1742</v>
      </c>
      <c r="K25" s="544" t="s">
        <v>1769</v>
      </c>
      <c r="L25" s="544">
        <v>10846</v>
      </c>
      <c r="M25" s="544">
        <v>122.08464655560557</v>
      </c>
      <c r="N25" s="544"/>
    </row>
    <row r="26" spans="1:14" ht="75">
      <c r="A26" s="117">
        <v>21</v>
      </c>
      <c r="B26" s="705"/>
      <c r="C26" s="705"/>
      <c r="D26" s="519" t="s">
        <v>1773</v>
      </c>
      <c r="E26" s="519" t="s">
        <v>1774</v>
      </c>
      <c r="F26" s="544"/>
      <c r="G26" s="544">
        <v>245.67</v>
      </c>
      <c r="H26" s="544" t="s">
        <v>1775</v>
      </c>
      <c r="I26" s="544" t="s">
        <v>1702</v>
      </c>
      <c r="J26" s="544" t="s">
        <v>1776</v>
      </c>
      <c r="K26" s="544" t="s">
        <v>1777</v>
      </c>
      <c r="L26" s="544">
        <v>79331</v>
      </c>
      <c r="M26" s="544">
        <v>322.91692107298411</v>
      </c>
      <c r="N26" s="544"/>
    </row>
    <row r="27" spans="1:14" ht="150">
      <c r="A27" s="117">
        <v>22</v>
      </c>
      <c r="B27" s="705"/>
      <c r="C27" s="705" t="s">
        <v>7469</v>
      </c>
      <c r="D27" s="519" t="s">
        <v>1778</v>
      </c>
      <c r="E27" s="519" t="s">
        <v>1779</v>
      </c>
      <c r="F27" s="544">
        <v>136.77000000000001</v>
      </c>
      <c r="G27" s="544" t="s">
        <v>1780</v>
      </c>
      <c r="H27" s="544" t="s">
        <v>1781</v>
      </c>
      <c r="I27" s="544" t="s">
        <v>1782</v>
      </c>
      <c r="J27" s="544" t="s">
        <v>1783</v>
      </c>
      <c r="K27" s="544" t="s">
        <v>1734</v>
      </c>
      <c r="L27" s="544">
        <v>38476</v>
      </c>
      <c r="M27" s="544">
        <v>281.32</v>
      </c>
      <c r="N27" s="544" t="s">
        <v>1784</v>
      </c>
    </row>
    <row r="28" spans="1:14" ht="150">
      <c r="A28" s="117">
        <v>23</v>
      </c>
      <c r="B28" s="705"/>
      <c r="C28" s="705"/>
      <c r="D28" s="519" t="s">
        <v>1785</v>
      </c>
      <c r="E28" s="519" t="s">
        <v>1786</v>
      </c>
      <c r="F28" s="544">
        <v>806</v>
      </c>
      <c r="G28" s="544" t="s">
        <v>1780</v>
      </c>
      <c r="H28" s="544" t="s">
        <v>1787</v>
      </c>
      <c r="I28" s="544" t="s">
        <v>1788</v>
      </c>
      <c r="J28" s="544" t="s">
        <v>1783</v>
      </c>
      <c r="K28" s="544" t="s">
        <v>1789</v>
      </c>
      <c r="L28" s="544">
        <v>423150</v>
      </c>
      <c r="M28" s="544">
        <v>525</v>
      </c>
      <c r="N28" s="544" t="s">
        <v>1784</v>
      </c>
    </row>
    <row r="29" spans="1:14" ht="105">
      <c r="A29" s="117">
        <v>24</v>
      </c>
      <c r="B29" s="705"/>
      <c r="C29" s="705"/>
      <c r="D29" s="519" t="s">
        <v>1790</v>
      </c>
      <c r="E29" s="519" t="s">
        <v>1791</v>
      </c>
      <c r="F29" s="544">
        <v>354</v>
      </c>
      <c r="G29" s="544" t="s">
        <v>1780</v>
      </c>
      <c r="H29" s="544" t="s">
        <v>1792</v>
      </c>
      <c r="I29" s="544" t="s">
        <v>1782</v>
      </c>
      <c r="J29" s="544" t="s">
        <v>1783</v>
      </c>
      <c r="K29" s="544" t="s">
        <v>1793</v>
      </c>
      <c r="L29" s="544">
        <v>52500</v>
      </c>
      <c r="M29" s="544">
        <v>148.30000000000001</v>
      </c>
      <c r="N29" s="544" t="s">
        <v>1784</v>
      </c>
    </row>
    <row r="30" spans="1:14" ht="165">
      <c r="A30" s="117">
        <v>25</v>
      </c>
      <c r="B30" s="705"/>
      <c r="C30" s="705"/>
      <c r="D30" s="519" t="s">
        <v>1794</v>
      </c>
      <c r="E30" s="519" t="s">
        <v>1795</v>
      </c>
      <c r="F30" s="544">
        <v>749.66</v>
      </c>
      <c r="G30" s="544" t="s">
        <v>1780</v>
      </c>
      <c r="H30" s="544" t="s">
        <v>1796</v>
      </c>
      <c r="I30" s="544" t="s">
        <v>1782</v>
      </c>
      <c r="J30" s="544" t="s">
        <v>1783</v>
      </c>
      <c r="K30" s="544" t="s">
        <v>1789</v>
      </c>
      <c r="L30" s="544">
        <v>230000</v>
      </c>
      <c r="M30" s="544">
        <v>306.8</v>
      </c>
      <c r="N30" s="544" t="s">
        <v>1784</v>
      </c>
    </row>
    <row r="31" spans="1:14" ht="135">
      <c r="A31" s="117">
        <v>26</v>
      </c>
      <c r="B31" s="705"/>
      <c r="C31" s="705" t="s">
        <v>29</v>
      </c>
      <c r="D31" s="519" t="s">
        <v>1797</v>
      </c>
      <c r="E31" s="519" t="s">
        <v>1798</v>
      </c>
      <c r="F31" s="544" t="s">
        <v>748</v>
      </c>
      <c r="G31" s="544">
        <v>1640.45</v>
      </c>
      <c r="H31" s="544" t="s">
        <v>1799</v>
      </c>
      <c r="I31" s="544" t="s">
        <v>1800</v>
      </c>
      <c r="J31" s="544" t="s">
        <v>1690</v>
      </c>
      <c r="K31" s="544" t="s">
        <v>1801</v>
      </c>
      <c r="L31" s="544" t="s">
        <v>1802</v>
      </c>
      <c r="M31" s="544" t="s">
        <v>1803</v>
      </c>
      <c r="N31" s="544"/>
    </row>
    <row r="32" spans="1:14" ht="105">
      <c r="A32" s="117">
        <v>27</v>
      </c>
      <c r="B32" s="705"/>
      <c r="C32" s="705"/>
      <c r="D32" s="519" t="s">
        <v>1804</v>
      </c>
      <c r="E32" s="519" t="s">
        <v>1805</v>
      </c>
      <c r="F32" s="544" t="s">
        <v>748</v>
      </c>
      <c r="G32" s="544">
        <v>526.54</v>
      </c>
      <c r="H32" s="544" t="s">
        <v>1806</v>
      </c>
      <c r="I32" s="544" t="s">
        <v>1807</v>
      </c>
      <c r="J32" s="544" t="s">
        <v>1690</v>
      </c>
      <c r="K32" s="544" t="s">
        <v>1808</v>
      </c>
      <c r="L32" s="544" t="s">
        <v>1809</v>
      </c>
      <c r="M32" s="544" t="s">
        <v>1810</v>
      </c>
      <c r="N32" s="544"/>
    </row>
    <row r="33" spans="1:14" ht="105">
      <c r="A33" s="117">
        <v>28</v>
      </c>
      <c r="B33" s="705"/>
      <c r="C33" s="705"/>
      <c r="D33" s="519" t="s">
        <v>1811</v>
      </c>
      <c r="E33" s="519" t="s">
        <v>1812</v>
      </c>
      <c r="F33" s="544" t="s">
        <v>1813</v>
      </c>
      <c r="G33" s="544">
        <v>167.56</v>
      </c>
      <c r="H33" s="544" t="s">
        <v>1814</v>
      </c>
      <c r="I33" s="544" t="s">
        <v>1807</v>
      </c>
      <c r="J33" s="544" t="s">
        <v>1690</v>
      </c>
      <c r="K33" s="544" t="s">
        <v>1734</v>
      </c>
      <c r="L33" s="544" t="s">
        <v>1815</v>
      </c>
      <c r="M33" s="544" t="s">
        <v>1816</v>
      </c>
      <c r="N33" s="544"/>
    </row>
    <row r="34" spans="1:14" ht="105">
      <c r="A34" s="117">
        <v>29</v>
      </c>
      <c r="B34" s="705"/>
      <c r="C34" s="705"/>
      <c r="D34" s="519" t="s">
        <v>1817</v>
      </c>
      <c r="E34" s="519" t="s">
        <v>1818</v>
      </c>
      <c r="F34" s="544" t="s">
        <v>1819</v>
      </c>
      <c r="G34" s="544">
        <v>158.09</v>
      </c>
      <c r="H34" s="544" t="s">
        <v>1820</v>
      </c>
      <c r="I34" s="544" t="s">
        <v>1807</v>
      </c>
      <c r="J34" s="544" t="s">
        <v>1690</v>
      </c>
      <c r="K34" s="544" t="s">
        <v>1734</v>
      </c>
      <c r="L34" s="544" t="s">
        <v>1821</v>
      </c>
      <c r="M34" s="544" t="s">
        <v>1822</v>
      </c>
      <c r="N34" s="544"/>
    </row>
    <row r="35" spans="1:14" ht="150">
      <c r="A35" s="117">
        <v>30</v>
      </c>
      <c r="B35" s="705"/>
      <c r="C35" s="705"/>
      <c r="D35" s="519" t="s">
        <v>1823</v>
      </c>
      <c r="E35" s="519" t="s">
        <v>1824</v>
      </c>
      <c r="F35" s="544" t="s">
        <v>748</v>
      </c>
      <c r="G35" s="544">
        <v>616.14</v>
      </c>
      <c r="H35" s="544" t="s">
        <v>1825</v>
      </c>
      <c r="I35" s="544" t="s">
        <v>1800</v>
      </c>
      <c r="J35" s="544" t="s">
        <v>1690</v>
      </c>
      <c r="K35" s="544" t="s">
        <v>1826</v>
      </c>
      <c r="L35" s="544" t="s">
        <v>1827</v>
      </c>
      <c r="M35" s="544" t="s">
        <v>1828</v>
      </c>
      <c r="N35" s="544" t="s">
        <v>7062</v>
      </c>
    </row>
    <row r="36" spans="1:14" ht="30">
      <c r="A36" s="117">
        <v>31</v>
      </c>
      <c r="B36" s="705"/>
      <c r="C36" s="705"/>
      <c r="D36" s="528" t="s">
        <v>1829</v>
      </c>
      <c r="E36" s="528" t="s">
        <v>1830</v>
      </c>
      <c r="F36" s="710" t="s">
        <v>1831</v>
      </c>
      <c r="G36" s="710"/>
      <c r="H36" s="710"/>
      <c r="I36" s="710"/>
      <c r="J36" s="710"/>
      <c r="K36" s="710"/>
      <c r="L36" s="710"/>
      <c r="M36" s="710"/>
      <c r="N36" s="710"/>
    </row>
    <row r="37" spans="1:14" ht="120">
      <c r="A37" s="117">
        <v>32</v>
      </c>
      <c r="B37" s="705"/>
      <c r="C37" s="705"/>
      <c r="D37" s="528" t="s">
        <v>1832</v>
      </c>
      <c r="E37" s="528" t="s">
        <v>1833</v>
      </c>
      <c r="F37" s="544" t="s">
        <v>748</v>
      </c>
      <c r="G37" s="544">
        <v>111.55</v>
      </c>
      <c r="H37" s="544" t="s">
        <v>1834</v>
      </c>
      <c r="I37" s="544" t="s">
        <v>1807</v>
      </c>
      <c r="J37" s="544" t="s">
        <v>1835</v>
      </c>
      <c r="K37" s="544" t="s">
        <v>1836</v>
      </c>
      <c r="L37" s="544" t="s">
        <v>1837</v>
      </c>
      <c r="M37" s="544" t="s">
        <v>1838</v>
      </c>
      <c r="N37" s="544"/>
    </row>
    <row r="38" spans="1:14" ht="135">
      <c r="A38" s="117">
        <v>33</v>
      </c>
      <c r="B38" s="705"/>
      <c r="C38" s="705"/>
      <c r="D38" s="528" t="s">
        <v>1839</v>
      </c>
      <c r="E38" s="528" t="s">
        <v>1840</v>
      </c>
      <c r="F38" s="544" t="s">
        <v>748</v>
      </c>
      <c r="G38" s="544">
        <v>650.66999999999996</v>
      </c>
      <c r="H38" s="544" t="s">
        <v>1841</v>
      </c>
      <c r="I38" s="544" t="s">
        <v>1800</v>
      </c>
      <c r="J38" s="544" t="s">
        <v>1690</v>
      </c>
      <c r="K38" s="544" t="s">
        <v>1826</v>
      </c>
      <c r="L38" s="544" t="s">
        <v>1842</v>
      </c>
      <c r="M38" s="544" t="s">
        <v>1843</v>
      </c>
      <c r="N38" s="544" t="s">
        <v>7062</v>
      </c>
    </row>
    <row r="39" spans="1:14" ht="120">
      <c r="A39" s="117">
        <v>34</v>
      </c>
      <c r="B39" s="705"/>
      <c r="C39" s="705"/>
      <c r="D39" s="528" t="s">
        <v>1844</v>
      </c>
      <c r="E39" s="528" t="s">
        <v>1845</v>
      </c>
      <c r="F39" s="544" t="s">
        <v>1846</v>
      </c>
      <c r="G39" s="544">
        <v>136.34</v>
      </c>
      <c r="H39" s="544" t="s">
        <v>1847</v>
      </c>
      <c r="I39" s="544" t="s">
        <v>1807</v>
      </c>
      <c r="J39" s="544" t="s">
        <v>1690</v>
      </c>
      <c r="K39" s="544" t="s">
        <v>1848</v>
      </c>
      <c r="L39" s="544" t="s">
        <v>1849</v>
      </c>
      <c r="M39" s="544" t="s">
        <v>1850</v>
      </c>
      <c r="N39" s="544"/>
    </row>
    <row r="40" spans="1:14" ht="120">
      <c r="A40" s="117">
        <v>35</v>
      </c>
      <c r="B40" s="705"/>
      <c r="C40" s="705"/>
      <c r="D40" s="528" t="s">
        <v>1851</v>
      </c>
      <c r="E40" s="528" t="s">
        <v>1852</v>
      </c>
      <c r="F40" s="544" t="s">
        <v>1853</v>
      </c>
      <c r="G40" s="544">
        <v>201.5</v>
      </c>
      <c r="H40" s="544" t="s">
        <v>1854</v>
      </c>
      <c r="I40" s="544" t="s">
        <v>1807</v>
      </c>
      <c r="J40" s="544" t="s">
        <v>1690</v>
      </c>
      <c r="K40" s="544" t="s">
        <v>1855</v>
      </c>
      <c r="L40" s="544" t="s">
        <v>1856</v>
      </c>
      <c r="M40" s="544" t="s">
        <v>1857</v>
      </c>
      <c r="N40" s="544"/>
    </row>
    <row r="41" spans="1:14" ht="120">
      <c r="A41" s="117">
        <v>36</v>
      </c>
      <c r="B41" s="705"/>
      <c r="C41" s="705"/>
      <c r="D41" s="528" t="s">
        <v>1858</v>
      </c>
      <c r="E41" s="528" t="s">
        <v>1859</v>
      </c>
      <c r="F41" s="544" t="s">
        <v>1860</v>
      </c>
      <c r="G41" s="544"/>
      <c r="H41" s="544"/>
      <c r="I41" s="544"/>
      <c r="J41" s="544"/>
      <c r="K41" s="544"/>
      <c r="L41" s="544"/>
      <c r="M41" s="544"/>
      <c r="N41" s="544"/>
    </row>
    <row r="42" spans="1:14" ht="120">
      <c r="A42" s="117">
        <v>37</v>
      </c>
      <c r="B42" s="705"/>
      <c r="C42" s="705"/>
      <c r="D42" s="528" t="s">
        <v>1861</v>
      </c>
      <c r="E42" s="528" t="s">
        <v>1862</v>
      </c>
      <c r="F42" s="544" t="s">
        <v>748</v>
      </c>
      <c r="G42" s="544">
        <v>588.32000000000005</v>
      </c>
      <c r="H42" s="544" t="s">
        <v>1863</v>
      </c>
      <c r="I42" s="544" t="s">
        <v>1807</v>
      </c>
      <c r="J42" s="544" t="s">
        <v>1690</v>
      </c>
      <c r="K42" s="544" t="s">
        <v>1864</v>
      </c>
      <c r="L42" s="544" t="s">
        <v>1865</v>
      </c>
      <c r="M42" s="544" t="s">
        <v>1866</v>
      </c>
      <c r="N42" s="544"/>
    </row>
    <row r="43" spans="1:14" ht="105">
      <c r="A43" s="117">
        <v>38</v>
      </c>
      <c r="B43" s="705"/>
      <c r="C43" s="705"/>
      <c r="D43" s="528" t="s">
        <v>1867</v>
      </c>
      <c r="E43" s="528" t="s">
        <v>1868</v>
      </c>
      <c r="F43" s="544" t="s">
        <v>748</v>
      </c>
      <c r="G43" s="544">
        <v>115.46</v>
      </c>
      <c r="H43" s="544" t="s">
        <v>1869</v>
      </c>
      <c r="I43" s="544" t="s">
        <v>1807</v>
      </c>
      <c r="J43" s="544" t="s">
        <v>1690</v>
      </c>
      <c r="K43" s="544" t="s">
        <v>1766</v>
      </c>
      <c r="L43" s="544" t="s">
        <v>1870</v>
      </c>
      <c r="M43" s="544" t="s">
        <v>1871</v>
      </c>
      <c r="N43" s="544"/>
    </row>
    <row r="44" spans="1:14" ht="120">
      <c r="A44" s="117">
        <v>39</v>
      </c>
      <c r="B44" s="705"/>
      <c r="C44" s="705"/>
      <c r="D44" s="528" t="s">
        <v>1872</v>
      </c>
      <c r="E44" s="528" t="s">
        <v>1873</v>
      </c>
      <c r="F44" s="544" t="s">
        <v>1874</v>
      </c>
      <c r="G44" s="544">
        <v>149.88</v>
      </c>
      <c r="H44" s="544" t="s">
        <v>1875</v>
      </c>
      <c r="I44" s="544" t="s">
        <v>1807</v>
      </c>
      <c r="J44" s="544" t="s">
        <v>1690</v>
      </c>
      <c r="K44" s="544" t="s">
        <v>1876</v>
      </c>
      <c r="L44" s="544" t="s">
        <v>1877</v>
      </c>
      <c r="M44" s="544" t="s">
        <v>1878</v>
      </c>
      <c r="N44" s="544"/>
    </row>
    <row r="45" spans="1:14" ht="120">
      <c r="A45" s="117">
        <v>40</v>
      </c>
      <c r="B45" s="705"/>
      <c r="C45" s="705"/>
      <c r="D45" s="528" t="s">
        <v>1879</v>
      </c>
      <c r="E45" s="528" t="s">
        <v>1880</v>
      </c>
      <c r="F45" s="544" t="s">
        <v>1881</v>
      </c>
      <c r="G45" s="544">
        <v>114.92</v>
      </c>
      <c r="H45" s="544" t="s">
        <v>1882</v>
      </c>
      <c r="I45" s="544" t="s">
        <v>1807</v>
      </c>
      <c r="J45" s="544" t="s">
        <v>1690</v>
      </c>
      <c r="K45" s="544" t="s">
        <v>1883</v>
      </c>
      <c r="L45" s="544" t="s">
        <v>1884</v>
      </c>
      <c r="M45" s="544" t="s">
        <v>1885</v>
      </c>
      <c r="N45" s="544"/>
    </row>
    <row r="46" spans="1:14" ht="120">
      <c r="A46" s="117">
        <v>41</v>
      </c>
      <c r="B46" s="705"/>
      <c r="C46" s="705"/>
      <c r="D46" s="528" t="s">
        <v>1886</v>
      </c>
      <c r="E46" s="528" t="s">
        <v>1887</v>
      </c>
      <c r="F46" s="544" t="s">
        <v>748</v>
      </c>
      <c r="G46" s="544">
        <v>527.59</v>
      </c>
      <c r="H46" s="544" t="s">
        <v>1888</v>
      </c>
      <c r="I46" s="544" t="s">
        <v>1807</v>
      </c>
      <c r="J46" s="544" t="s">
        <v>1690</v>
      </c>
      <c r="K46" s="544" t="s">
        <v>1728</v>
      </c>
      <c r="L46" s="544" t="s">
        <v>1889</v>
      </c>
      <c r="M46" s="544" t="s">
        <v>1890</v>
      </c>
      <c r="N46" s="544"/>
    </row>
    <row r="47" spans="1:14" ht="135">
      <c r="A47" s="117">
        <v>42</v>
      </c>
      <c r="B47" s="705"/>
      <c r="C47" s="705"/>
      <c r="D47" s="528" t="s">
        <v>1891</v>
      </c>
      <c r="E47" s="528" t="s">
        <v>1892</v>
      </c>
      <c r="F47" s="544" t="s">
        <v>1893</v>
      </c>
      <c r="G47" s="544"/>
      <c r="H47" s="544"/>
      <c r="I47" s="544"/>
      <c r="J47" s="544"/>
      <c r="K47" s="544"/>
      <c r="L47" s="544"/>
      <c r="M47" s="544"/>
      <c r="N47" s="544"/>
    </row>
    <row r="48" spans="1:14" ht="135">
      <c r="A48" s="117">
        <v>43</v>
      </c>
      <c r="B48" s="705"/>
      <c r="C48" s="705"/>
      <c r="D48" s="528" t="s">
        <v>1894</v>
      </c>
      <c r="E48" s="528" t="s">
        <v>1895</v>
      </c>
      <c r="F48" s="544" t="s">
        <v>1893</v>
      </c>
      <c r="G48" s="544"/>
      <c r="H48" s="544"/>
      <c r="I48" s="544"/>
      <c r="J48" s="544"/>
      <c r="K48" s="544"/>
      <c r="L48" s="544"/>
      <c r="M48" s="544"/>
      <c r="N48" s="544"/>
    </row>
    <row r="49" spans="1:14" ht="120">
      <c r="A49" s="117">
        <v>44</v>
      </c>
      <c r="B49" s="705"/>
      <c r="C49" s="705"/>
      <c r="D49" s="528" t="s">
        <v>1896</v>
      </c>
      <c r="E49" s="528" t="s">
        <v>1897</v>
      </c>
      <c r="F49" s="544" t="s">
        <v>748</v>
      </c>
      <c r="G49" s="544">
        <v>231.37</v>
      </c>
      <c r="H49" s="544" t="s">
        <v>1898</v>
      </c>
      <c r="I49" s="544" t="s">
        <v>1807</v>
      </c>
      <c r="J49" s="544" t="s">
        <v>1690</v>
      </c>
      <c r="K49" s="544" t="s">
        <v>1899</v>
      </c>
      <c r="L49" s="544" t="s">
        <v>1900</v>
      </c>
      <c r="M49" s="544" t="s">
        <v>1901</v>
      </c>
      <c r="N49" s="544"/>
    </row>
    <row r="50" spans="1:14" ht="150">
      <c r="A50" s="117">
        <v>45</v>
      </c>
      <c r="B50" s="705"/>
      <c r="C50" s="528" t="s">
        <v>1902</v>
      </c>
      <c r="D50" s="528" t="s">
        <v>1903</v>
      </c>
      <c r="E50" s="528" t="s">
        <v>1904</v>
      </c>
      <c r="F50" s="544">
        <v>3399</v>
      </c>
      <c r="G50" s="544">
        <v>2614.73</v>
      </c>
      <c r="H50" s="544" t="s">
        <v>1905</v>
      </c>
      <c r="I50" s="544" t="s">
        <v>1906</v>
      </c>
      <c r="J50" s="544" t="s">
        <v>1703</v>
      </c>
      <c r="K50" s="544" t="s">
        <v>1907</v>
      </c>
      <c r="L50" s="544" t="s">
        <v>1908</v>
      </c>
      <c r="M50" s="544">
        <v>292.94</v>
      </c>
      <c r="N50" s="544"/>
    </row>
    <row r="51" spans="1:14" ht="75">
      <c r="A51" s="117">
        <v>46</v>
      </c>
      <c r="B51" s="705"/>
      <c r="C51" s="528"/>
      <c r="D51" s="528"/>
      <c r="E51" s="528"/>
      <c r="F51" s="544">
        <v>604.04999999999995</v>
      </c>
      <c r="G51" s="544"/>
      <c r="H51" s="544" t="s">
        <v>1909</v>
      </c>
      <c r="I51" s="544" t="s">
        <v>1910</v>
      </c>
      <c r="J51" s="544" t="s">
        <v>1703</v>
      </c>
      <c r="K51" s="544" t="s">
        <v>1911</v>
      </c>
      <c r="L51" s="544" t="s">
        <v>1912</v>
      </c>
      <c r="M51" s="544">
        <v>148.99</v>
      </c>
      <c r="N51" s="544"/>
    </row>
    <row r="52" spans="1:14" ht="90">
      <c r="A52" s="117">
        <v>47</v>
      </c>
      <c r="B52" s="705"/>
      <c r="C52" s="528"/>
      <c r="D52" s="528"/>
      <c r="E52" s="528"/>
      <c r="F52" s="544">
        <v>270</v>
      </c>
      <c r="G52" s="544"/>
      <c r="H52" s="544" t="s">
        <v>1913</v>
      </c>
      <c r="I52" s="544" t="s">
        <v>1910</v>
      </c>
      <c r="J52" s="544" t="s">
        <v>1703</v>
      </c>
      <c r="K52" s="544" t="s">
        <v>1914</v>
      </c>
      <c r="L52" s="544" t="s">
        <v>1915</v>
      </c>
      <c r="M52" s="544">
        <v>292.94</v>
      </c>
      <c r="N52" s="544"/>
    </row>
    <row r="53" spans="1:14" ht="90">
      <c r="A53" s="117">
        <v>48</v>
      </c>
      <c r="B53" s="705"/>
      <c r="C53" s="528" t="s">
        <v>1902</v>
      </c>
      <c r="D53" s="528" t="s">
        <v>1916</v>
      </c>
      <c r="E53" s="528" t="s">
        <v>1917</v>
      </c>
      <c r="F53" s="544">
        <v>470.73</v>
      </c>
      <c r="G53" s="544">
        <v>547.35</v>
      </c>
      <c r="H53" s="544" t="s">
        <v>1918</v>
      </c>
      <c r="I53" s="544" t="s">
        <v>1910</v>
      </c>
      <c r="J53" s="544" t="s">
        <v>1703</v>
      </c>
      <c r="K53" s="544" t="s">
        <v>1919</v>
      </c>
      <c r="L53" s="544" t="s">
        <v>1920</v>
      </c>
      <c r="M53" s="544">
        <v>265.22000000000003</v>
      </c>
      <c r="N53" s="544"/>
    </row>
    <row r="54" spans="1:14" ht="90">
      <c r="A54" s="117">
        <v>49</v>
      </c>
      <c r="B54" s="705"/>
      <c r="C54" s="528" t="s">
        <v>7470</v>
      </c>
      <c r="D54" s="528" t="s">
        <v>1921</v>
      </c>
      <c r="E54" s="528" t="s">
        <v>1922</v>
      </c>
      <c r="F54" s="544" t="s">
        <v>35</v>
      </c>
      <c r="G54" s="544">
        <v>3453.35</v>
      </c>
      <c r="H54" s="544" t="s">
        <v>1923</v>
      </c>
      <c r="I54" s="544" t="s">
        <v>1924</v>
      </c>
      <c r="J54" s="544" t="s">
        <v>1925</v>
      </c>
      <c r="K54" s="544" t="s">
        <v>1926</v>
      </c>
      <c r="L54" s="544">
        <v>2080848</v>
      </c>
      <c r="M54" s="544">
        <v>602.55999999999995</v>
      </c>
      <c r="N54" s="544" t="s">
        <v>1927</v>
      </c>
    </row>
    <row r="55" spans="1:14" ht="180">
      <c r="A55" s="117">
        <v>50</v>
      </c>
      <c r="B55" s="705"/>
      <c r="C55" s="528" t="s">
        <v>1928</v>
      </c>
      <c r="D55" s="528" t="s">
        <v>1929</v>
      </c>
      <c r="E55" s="528" t="s">
        <v>1930</v>
      </c>
      <c r="F55" s="544" t="s">
        <v>1931</v>
      </c>
      <c r="G55" s="544" t="s">
        <v>1932</v>
      </c>
      <c r="H55" s="544" t="s">
        <v>1933</v>
      </c>
      <c r="I55" s="544" t="s">
        <v>1934</v>
      </c>
      <c r="J55" s="544" t="s">
        <v>1925</v>
      </c>
      <c r="K55" s="544" t="s">
        <v>1935</v>
      </c>
      <c r="L55" s="544" t="s">
        <v>1936</v>
      </c>
      <c r="M55" s="544">
        <v>394</v>
      </c>
      <c r="N55" s="544"/>
    </row>
    <row r="56" spans="1:14">
      <c r="A56" s="743"/>
      <c r="B56" s="743"/>
      <c r="C56" s="743"/>
      <c r="D56" s="743"/>
      <c r="E56" s="743"/>
      <c r="F56" s="743"/>
      <c r="G56" s="743"/>
      <c r="H56" s="743"/>
      <c r="I56" s="743"/>
      <c r="J56" s="743"/>
      <c r="K56" s="743"/>
      <c r="L56" s="743"/>
      <c r="M56" s="743"/>
      <c r="N56" s="743"/>
    </row>
    <row r="57" spans="1:14" ht="22.5">
      <c r="A57" s="700" t="s">
        <v>116</v>
      </c>
      <c r="B57" s="700"/>
      <c r="C57" s="700"/>
      <c r="D57" s="700"/>
      <c r="E57" s="700"/>
      <c r="F57" s="700"/>
      <c r="G57" s="700"/>
      <c r="H57" s="700"/>
      <c r="I57" s="700"/>
      <c r="J57" s="700"/>
      <c r="K57" s="700"/>
      <c r="L57" s="700"/>
      <c r="M57" s="700"/>
      <c r="N57" s="700"/>
    </row>
    <row r="58" spans="1:14" ht="20.25">
      <c r="A58" s="757" t="s">
        <v>2669</v>
      </c>
      <c r="B58" s="757"/>
      <c r="C58" s="757"/>
      <c r="D58" s="757"/>
      <c r="E58" s="757"/>
      <c r="F58" s="757"/>
      <c r="G58" s="757"/>
      <c r="H58" s="757"/>
      <c r="I58" s="757"/>
      <c r="J58" s="757"/>
      <c r="K58" s="757"/>
      <c r="L58" s="757"/>
      <c r="M58" s="757"/>
      <c r="N58" s="757"/>
    </row>
    <row r="59" spans="1:14" ht="71.25">
      <c r="A59" s="530" t="s">
        <v>0</v>
      </c>
      <c r="B59" s="19" t="s">
        <v>1616</v>
      </c>
      <c r="C59" s="530" t="s">
        <v>1676</v>
      </c>
      <c r="D59" s="18" t="s">
        <v>1677</v>
      </c>
      <c r="E59" s="18" t="s">
        <v>1678</v>
      </c>
      <c r="F59" s="19" t="s">
        <v>2670</v>
      </c>
      <c r="G59" s="19" t="s">
        <v>2671</v>
      </c>
      <c r="H59" s="19" t="s">
        <v>1679</v>
      </c>
      <c r="I59" s="19" t="s">
        <v>1680</v>
      </c>
      <c r="J59" s="19" t="s">
        <v>1681</v>
      </c>
      <c r="K59" s="19" t="s">
        <v>1682</v>
      </c>
      <c r="L59" s="19" t="s">
        <v>1683</v>
      </c>
      <c r="M59" s="19" t="s">
        <v>1684</v>
      </c>
      <c r="N59" s="19" t="s">
        <v>1685</v>
      </c>
    </row>
    <row r="60" spans="1:14">
      <c r="A60" s="530">
        <v>1</v>
      </c>
      <c r="B60" s="530">
        <v>2</v>
      </c>
      <c r="C60" s="530">
        <v>3</v>
      </c>
      <c r="D60" s="530">
        <v>4</v>
      </c>
      <c r="E60" s="530">
        <v>5</v>
      </c>
      <c r="F60" s="530">
        <v>6</v>
      </c>
      <c r="G60" s="530">
        <v>7</v>
      </c>
      <c r="H60" s="530">
        <v>8</v>
      </c>
      <c r="I60" s="19">
        <v>9</v>
      </c>
      <c r="J60" s="530">
        <v>10</v>
      </c>
      <c r="K60" s="530">
        <v>11</v>
      </c>
      <c r="L60" s="530">
        <v>12</v>
      </c>
      <c r="M60" s="530">
        <v>13</v>
      </c>
      <c r="N60" s="530">
        <v>14</v>
      </c>
    </row>
    <row r="61" spans="1:14" ht="90">
      <c r="A61" s="513">
        <v>1</v>
      </c>
      <c r="B61" s="696" t="s">
        <v>6514</v>
      </c>
      <c r="C61" s="511" t="s">
        <v>2676</v>
      </c>
      <c r="D61" s="511" t="s">
        <v>2677</v>
      </c>
      <c r="E61" s="511" t="s">
        <v>2678</v>
      </c>
      <c r="F61" s="513"/>
      <c r="G61" s="513">
        <v>2236.27</v>
      </c>
      <c r="H61" s="513" t="s">
        <v>2679</v>
      </c>
      <c r="I61" s="513"/>
      <c r="J61" s="513" t="s">
        <v>6513</v>
      </c>
      <c r="K61" s="513"/>
      <c r="L61" s="513"/>
      <c r="M61" s="513"/>
      <c r="N61" s="531"/>
    </row>
    <row r="62" spans="1:14" ht="409.5">
      <c r="A62" s="513">
        <v>2</v>
      </c>
      <c r="B62" s="696"/>
      <c r="C62" s="511" t="s">
        <v>2681</v>
      </c>
      <c r="D62" s="511" t="s">
        <v>6511</v>
      </c>
      <c r="E62" s="511" t="s">
        <v>2682</v>
      </c>
      <c r="F62" s="513" t="s">
        <v>17</v>
      </c>
      <c r="G62" s="513" t="s">
        <v>2683</v>
      </c>
      <c r="H62" s="513" t="s">
        <v>2684</v>
      </c>
      <c r="I62" s="513" t="s">
        <v>2685</v>
      </c>
      <c r="J62" s="513" t="s">
        <v>2686</v>
      </c>
      <c r="K62" s="513" t="s">
        <v>6512</v>
      </c>
      <c r="L62" s="513">
        <v>1622002</v>
      </c>
      <c r="M62" s="513" t="s">
        <v>2687</v>
      </c>
      <c r="N62" s="531" t="s">
        <v>2688</v>
      </c>
    </row>
    <row r="63" spans="1:14" ht="60">
      <c r="A63" s="513">
        <v>3</v>
      </c>
      <c r="B63" s="696"/>
      <c r="C63" s="696" t="s">
        <v>135</v>
      </c>
      <c r="D63" s="511" t="s">
        <v>6520</v>
      </c>
      <c r="E63" s="511" t="s">
        <v>2689</v>
      </c>
      <c r="F63" s="513">
        <v>376.55</v>
      </c>
      <c r="G63" s="513">
        <v>376.55</v>
      </c>
      <c r="H63" s="542">
        <v>42009</v>
      </c>
      <c r="I63" s="513"/>
      <c r="J63" s="513" t="s">
        <v>2690</v>
      </c>
      <c r="K63" s="542">
        <v>43835</v>
      </c>
      <c r="L63" s="513" t="s">
        <v>2691</v>
      </c>
      <c r="M63" s="513"/>
      <c r="N63" s="531"/>
    </row>
    <row r="64" spans="1:14" ht="60">
      <c r="A64" s="513">
        <v>4</v>
      </c>
      <c r="B64" s="696"/>
      <c r="C64" s="696"/>
      <c r="D64" s="511" t="s">
        <v>6520</v>
      </c>
      <c r="E64" s="511" t="s">
        <v>2692</v>
      </c>
      <c r="F64" s="23">
        <v>374.86</v>
      </c>
      <c r="G64" s="23">
        <v>374.86</v>
      </c>
      <c r="H64" s="542">
        <v>42009</v>
      </c>
      <c r="I64" s="513"/>
      <c r="J64" s="513" t="s">
        <v>2690</v>
      </c>
      <c r="K64" s="542">
        <v>43835</v>
      </c>
      <c r="L64" s="513" t="s">
        <v>2693</v>
      </c>
      <c r="M64" s="513"/>
      <c r="N64" s="531"/>
    </row>
    <row r="65" spans="1:14" ht="60">
      <c r="A65" s="513">
        <v>5</v>
      </c>
      <c r="B65" s="696"/>
      <c r="C65" s="696"/>
      <c r="D65" s="511" t="s">
        <v>6520</v>
      </c>
      <c r="E65" s="511" t="s">
        <v>2694</v>
      </c>
      <c r="F65" s="513">
        <v>406.99</v>
      </c>
      <c r="G65" s="513">
        <v>406.99</v>
      </c>
      <c r="H65" s="542">
        <v>42009</v>
      </c>
      <c r="I65" s="513"/>
      <c r="J65" s="513" t="s">
        <v>2690</v>
      </c>
      <c r="K65" s="542">
        <v>43835</v>
      </c>
      <c r="L65" s="513" t="s">
        <v>2695</v>
      </c>
      <c r="M65" s="513"/>
      <c r="N65" s="531"/>
    </row>
    <row r="66" spans="1:14" ht="90">
      <c r="A66" s="513">
        <v>6</v>
      </c>
      <c r="B66" s="696"/>
      <c r="C66" s="696"/>
      <c r="D66" s="511" t="s">
        <v>6521</v>
      </c>
      <c r="E66" s="511" t="s">
        <v>2696</v>
      </c>
      <c r="F66" s="513">
        <v>215.42</v>
      </c>
      <c r="G66" s="513">
        <v>215.42</v>
      </c>
      <c r="H66" s="542">
        <v>43104</v>
      </c>
      <c r="I66" s="513"/>
      <c r="J66" s="513" t="s">
        <v>2697</v>
      </c>
      <c r="K66" s="542" t="s">
        <v>2698</v>
      </c>
      <c r="L66" s="543">
        <v>81735</v>
      </c>
      <c r="M66" s="513"/>
      <c r="N66" s="531"/>
    </row>
    <row r="67" spans="1:14" ht="75">
      <c r="A67" s="513">
        <v>7</v>
      </c>
      <c r="B67" s="696"/>
      <c r="C67" s="696"/>
      <c r="D67" s="511" t="s">
        <v>2699</v>
      </c>
      <c r="E67" s="511" t="s">
        <v>2696</v>
      </c>
      <c r="F67" s="513">
        <v>186.39</v>
      </c>
      <c r="G67" s="513">
        <v>186.39</v>
      </c>
      <c r="H67" s="542">
        <v>42372</v>
      </c>
      <c r="I67" s="513"/>
      <c r="J67" s="513" t="s">
        <v>2700</v>
      </c>
      <c r="K67" s="513" t="s">
        <v>2701</v>
      </c>
      <c r="L67" s="543">
        <v>59185</v>
      </c>
      <c r="M67" s="513"/>
      <c r="N67" s="531"/>
    </row>
    <row r="68" spans="1:14" ht="60">
      <c r="A68" s="513">
        <v>8</v>
      </c>
      <c r="B68" s="696"/>
      <c r="C68" s="696"/>
      <c r="D68" s="511" t="s">
        <v>2702</v>
      </c>
      <c r="E68" s="511" t="s">
        <v>2703</v>
      </c>
      <c r="F68" s="513">
        <v>259.29000000000002</v>
      </c>
      <c r="G68" s="513">
        <v>259.29000000000002</v>
      </c>
      <c r="H68" s="513" t="s">
        <v>2704</v>
      </c>
      <c r="I68" s="513"/>
      <c r="J68" s="513" t="s">
        <v>2704</v>
      </c>
      <c r="K68" s="513" t="s">
        <v>2705</v>
      </c>
      <c r="L68" s="543">
        <v>69000</v>
      </c>
      <c r="M68" s="513"/>
      <c r="N68" s="531"/>
    </row>
    <row r="69" spans="1:14" ht="75">
      <c r="A69" s="513">
        <v>9</v>
      </c>
      <c r="B69" s="696"/>
      <c r="C69" s="696"/>
      <c r="D69" s="511" t="s">
        <v>2706</v>
      </c>
      <c r="E69" s="511" t="s">
        <v>2707</v>
      </c>
      <c r="F69" s="513">
        <v>72.58</v>
      </c>
      <c r="G69" s="513">
        <v>72.58</v>
      </c>
      <c r="H69" s="542">
        <v>41643</v>
      </c>
      <c r="I69" s="513"/>
      <c r="J69" s="513" t="s">
        <v>2708</v>
      </c>
      <c r="K69" s="513" t="s">
        <v>2709</v>
      </c>
      <c r="L69" s="513">
        <v>8000</v>
      </c>
      <c r="M69" s="513"/>
      <c r="N69" s="531"/>
    </row>
    <row r="70" spans="1:14" ht="60">
      <c r="A70" s="513">
        <v>10</v>
      </c>
      <c r="B70" s="696"/>
      <c r="C70" s="696"/>
      <c r="D70" s="511" t="s">
        <v>2710</v>
      </c>
      <c r="E70" s="511" t="s">
        <v>2711</v>
      </c>
      <c r="F70" s="513">
        <v>403.87</v>
      </c>
      <c r="G70" s="513">
        <v>403.87</v>
      </c>
      <c r="H70" s="542">
        <v>42737</v>
      </c>
      <c r="I70" s="513"/>
      <c r="J70" s="513" t="s">
        <v>2712</v>
      </c>
      <c r="K70" s="513" t="s">
        <v>2713</v>
      </c>
      <c r="L70" s="513">
        <v>75000</v>
      </c>
      <c r="M70" s="513"/>
      <c r="N70" s="531"/>
    </row>
    <row r="71" spans="1:14" ht="60">
      <c r="A71" s="513">
        <v>11</v>
      </c>
      <c r="B71" s="696"/>
      <c r="C71" s="696"/>
      <c r="D71" s="511" t="s">
        <v>2714</v>
      </c>
      <c r="E71" s="511" t="s">
        <v>2715</v>
      </c>
      <c r="F71" s="513">
        <v>96.8</v>
      </c>
      <c r="G71" s="513">
        <v>96.8</v>
      </c>
      <c r="H71" s="513" t="s">
        <v>2716</v>
      </c>
      <c r="I71" s="513"/>
      <c r="J71" s="513" t="s">
        <v>2717</v>
      </c>
      <c r="K71" s="542">
        <v>44593</v>
      </c>
      <c r="L71" s="543">
        <v>13000</v>
      </c>
      <c r="M71" s="513"/>
      <c r="N71" s="531"/>
    </row>
    <row r="72" spans="1:14" ht="30">
      <c r="A72" s="513">
        <v>12</v>
      </c>
      <c r="B72" s="696"/>
      <c r="C72" s="696"/>
      <c r="D72" s="511" t="s">
        <v>2718</v>
      </c>
      <c r="E72" s="511" t="s">
        <v>2719</v>
      </c>
      <c r="F72" s="513">
        <v>69</v>
      </c>
      <c r="G72" s="513">
        <v>69</v>
      </c>
      <c r="H72" s="542">
        <v>33217</v>
      </c>
      <c r="I72" s="513"/>
      <c r="J72" s="513" t="s">
        <v>2720</v>
      </c>
      <c r="K72" s="513" t="s">
        <v>2721</v>
      </c>
      <c r="L72" s="543">
        <v>720</v>
      </c>
      <c r="M72" s="513"/>
      <c r="N72" s="531"/>
    </row>
    <row r="73" spans="1:14" ht="90">
      <c r="A73" s="513">
        <v>13</v>
      </c>
      <c r="B73" s="696"/>
      <c r="C73" s="696" t="s">
        <v>2722</v>
      </c>
      <c r="D73" s="511" t="s">
        <v>2723</v>
      </c>
      <c r="E73" s="511" t="s">
        <v>2724</v>
      </c>
      <c r="F73" s="545">
        <v>173.7287</v>
      </c>
      <c r="G73" s="513" t="s">
        <v>17</v>
      </c>
      <c r="H73" s="542" t="s">
        <v>2725</v>
      </c>
      <c r="I73" s="513" t="s">
        <v>2726</v>
      </c>
      <c r="J73" s="513" t="s">
        <v>2727</v>
      </c>
      <c r="K73" s="513" t="s">
        <v>2728</v>
      </c>
      <c r="L73" s="513" t="s">
        <v>7063</v>
      </c>
      <c r="M73" s="545">
        <v>273.07315950037417</v>
      </c>
      <c r="N73" s="531"/>
    </row>
    <row r="74" spans="1:14" ht="90">
      <c r="A74" s="513">
        <v>14</v>
      </c>
      <c r="B74" s="696"/>
      <c r="C74" s="696"/>
      <c r="D74" s="511" t="s">
        <v>2729</v>
      </c>
      <c r="E74" s="511" t="s">
        <v>2730</v>
      </c>
      <c r="F74" s="545">
        <v>157.96</v>
      </c>
      <c r="G74" s="513" t="s">
        <v>17</v>
      </c>
      <c r="H74" s="542" t="s">
        <v>2731</v>
      </c>
      <c r="I74" s="513" t="s">
        <v>2726</v>
      </c>
      <c r="J74" s="513" t="s">
        <v>2727</v>
      </c>
      <c r="K74" s="542">
        <v>44651</v>
      </c>
      <c r="L74" s="513" t="s">
        <v>2732</v>
      </c>
      <c r="M74" s="545">
        <v>322.86654800000002</v>
      </c>
      <c r="N74" s="531"/>
    </row>
    <row r="75" spans="1:14" ht="90">
      <c r="A75" s="513">
        <v>15</v>
      </c>
      <c r="B75" s="696"/>
      <c r="C75" s="696" t="s">
        <v>2733</v>
      </c>
      <c r="D75" s="511" t="s">
        <v>2734</v>
      </c>
      <c r="E75" s="511" t="s">
        <v>2735</v>
      </c>
      <c r="F75" s="513">
        <v>3658.41</v>
      </c>
      <c r="G75" s="513">
        <v>44719</v>
      </c>
      <c r="H75" s="513" t="s">
        <v>2736</v>
      </c>
      <c r="I75" s="513"/>
      <c r="J75" s="513">
        <v>3</v>
      </c>
      <c r="K75" s="542">
        <v>42559</v>
      </c>
      <c r="L75" s="513">
        <v>1854290</v>
      </c>
      <c r="M75" s="513"/>
      <c r="N75" s="531"/>
    </row>
    <row r="76" spans="1:14" ht="90">
      <c r="A76" s="513">
        <v>16</v>
      </c>
      <c r="B76" s="696"/>
      <c r="C76" s="696"/>
      <c r="D76" s="511" t="s">
        <v>2737</v>
      </c>
      <c r="E76" s="511" t="s">
        <v>2735</v>
      </c>
      <c r="F76" s="513">
        <v>3658.41</v>
      </c>
      <c r="G76" s="513">
        <v>44719</v>
      </c>
      <c r="H76" s="513" t="s">
        <v>2736</v>
      </c>
      <c r="I76" s="513"/>
      <c r="J76" s="513">
        <v>3</v>
      </c>
      <c r="K76" s="542">
        <v>42559</v>
      </c>
      <c r="L76" s="513">
        <v>1854290</v>
      </c>
      <c r="M76" s="513"/>
      <c r="N76" s="531"/>
    </row>
    <row r="77" spans="1:14" ht="90">
      <c r="A77" s="513">
        <v>17</v>
      </c>
      <c r="B77" s="696"/>
      <c r="C77" s="696"/>
      <c r="D77" s="511" t="s">
        <v>2738</v>
      </c>
      <c r="E77" s="511" t="s">
        <v>2735</v>
      </c>
      <c r="F77" s="513">
        <v>3658.41</v>
      </c>
      <c r="G77" s="513">
        <v>44719</v>
      </c>
      <c r="H77" s="513" t="s">
        <v>2736</v>
      </c>
      <c r="I77" s="513"/>
      <c r="J77" s="513">
        <v>3</v>
      </c>
      <c r="K77" s="542">
        <v>42559</v>
      </c>
      <c r="L77" s="513">
        <v>1854290</v>
      </c>
      <c r="M77" s="513"/>
      <c r="N77" s="531"/>
    </row>
    <row r="78" spans="1:14" ht="75">
      <c r="A78" s="513">
        <v>18</v>
      </c>
      <c r="B78" s="696"/>
      <c r="C78" s="511" t="s">
        <v>2739</v>
      </c>
      <c r="D78" s="511" t="s">
        <v>2740</v>
      </c>
      <c r="E78" s="511" t="s">
        <v>2741</v>
      </c>
      <c r="F78" s="513"/>
      <c r="G78" s="513">
        <v>2236.6999999999998</v>
      </c>
      <c r="H78" s="513" t="s">
        <v>2742</v>
      </c>
      <c r="I78" s="513"/>
      <c r="J78" s="513" t="s">
        <v>2680</v>
      </c>
      <c r="K78" s="513" t="s">
        <v>2743</v>
      </c>
      <c r="L78" s="513"/>
      <c r="M78" s="513"/>
      <c r="N78" s="531"/>
    </row>
    <row r="79" spans="1:14" ht="75">
      <c r="A79" s="513">
        <v>19</v>
      </c>
      <c r="B79" s="696"/>
      <c r="C79" s="696" t="s">
        <v>2744</v>
      </c>
      <c r="D79" s="511" t="s">
        <v>2745</v>
      </c>
      <c r="E79" s="511" t="s">
        <v>2746</v>
      </c>
      <c r="F79" s="539">
        <v>917.5</v>
      </c>
      <c r="G79" s="513" t="s">
        <v>296</v>
      </c>
      <c r="H79" s="513" t="s">
        <v>296</v>
      </c>
      <c r="I79" s="513"/>
      <c r="J79" s="513" t="s">
        <v>296</v>
      </c>
      <c r="K79" s="513" t="s">
        <v>2747</v>
      </c>
      <c r="L79" s="513" t="s">
        <v>296</v>
      </c>
      <c r="M79" s="513" t="s">
        <v>296</v>
      </c>
      <c r="N79" s="531" t="s">
        <v>296</v>
      </c>
    </row>
    <row r="80" spans="1:14" ht="45">
      <c r="A80" s="513">
        <v>20</v>
      </c>
      <c r="B80" s="696"/>
      <c r="C80" s="696"/>
      <c r="D80" s="511" t="s">
        <v>2749</v>
      </c>
      <c r="E80" s="511" t="s">
        <v>2750</v>
      </c>
      <c r="F80" s="539" t="s">
        <v>17</v>
      </c>
      <c r="G80" s="513">
        <v>123.65</v>
      </c>
      <c r="H80" s="513"/>
      <c r="I80" s="513"/>
      <c r="J80" s="513" t="s">
        <v>2751</v>
      </c>
      <c r="K80" s="513" t="s">
        <v>2752</v>
      </c>
      <c r="L80" s="513">
        <v>22500</v>
      </c>
      <c r="M80" s="513"/>
      <c r="N80" s="531"/>
    </row>
    <row r="81" spans="1:14" ht="60">
      <c r="A81" s="513">
        <v>21</v>
      </c>
      <c r="B81" s="696"/>
      <c r="C81" s="696"/>
      <c r="D81" s="511" t="s">
        <v>2753</v>
      </c>
      <c r="E81" s="511" t="s">
        <v>2754</v>
      </c>
      <c r="F81" s="539" t="s">
        <v>17</v>
      </c>
      <c r="G81" s="513">
        <v>144.43</v>
      </c>
      <c r="H81" s="513"/>
      <c r="I81" s="513"/>
      <c r="J81" s="513" t="s">
        <v>2755</v>
      </c>
      <c r="K81" s="513" t="s">
        <v>2756</v>
      </c>
      <c r="L81" s="513">
        <v>16200</v>
      </c>
      <c r="M81" s="513"/>
      <c r="N81" s="531"/>
    </row>
    <row r="82" spans="1:14" ht="45">
      <c r="A82" s="513">
        <v>22</v>
      </c>
      <c r="B82" s="696"/>
      <c r="C82" s="696"/>
      <c r="D82" s="511" t="s">
        <v>2757</v>
      </c>
      <c r="E82" s="511" t="s">
        <v>2758</v>
      </c>
      <c r="F82" s="539" t="s">
        <v>17</v>
      </c>
      <c r="G82" s="513">
        <v>117.75</v>
      </c>
      <c r="H82" s="513"/>
      <c r="I82" s="513"/>
      <c r="J82" s="513" t="s">
        <v>2759</v>
      </c>
      <c r="K82" s="513" t="s">
        <v>1743</v>
      </c>
      <c r="L82" s="513">
        <v>11800</v>
      </c>
      <c r="M82" s="513"/>
      <c r="N82" s="531"/>
    </row>
    <row r="83" spans="1:14" ht="60">
      <c r="A83" s="513">
        <v>23</v>
      </c>
      <c r="B83" s="696"/>
      <c r="C83" s="696"/>
      <c r="D83" s="511" t="s">
        <v>2760</v>
      </c>
      <c r="E83" s="511" t="s">
        <v>2761</v>
      </c>
      <c r="F83" s="539" t="s">
        <v>17</v>
      </c>
      <c r="G83" s="513">
        <v>123.09</v>
      </c>
      <c r="H83" s="513"/>
      <c r="I83" s="513"/>
      <c r="J83" s="513" t="s">
        <v>2762</v>
      </c>
      <c r="K83" s="513" t="s">
        <v>2763</v>
      </c>
      <c r="L83" s="513">
        <v>21974</v>
      </c>
      <c r="M83" s="513"/>
      <c r="N83" s="531"/>
    </row>
    <row r="84" spans="1:14" ht="45">
      <c r="A84" s="513">
        <v>24</v>
      </c>
      <c r="B84" s="696"/>
      <c r="C84" s="696"/>
      <c r="D84" s="511" t="s">
        <v>2764</v>
      </c>
      <c r="E84" s="511" t="s">
        <v>2765</v>
      </c>
      <c r="F84" s="539" t="s">
        <v>17</v>
      </c>
      <c r="G84" s="513">
        <v>97.91</v>
      </c>
      <c r="H84" s="513"/>
      <c r="I84" s="513"/>
      <c r="J84" s="513" t="s">
        <v>2766</v>
      </c>
      <c r="K84" s="513" t="s">
        <v>1734</v>
      </c>
      <c r="L84" s="513">
        <v>20000</v>
      </c>
      <c r="M84" s="513"/>
      <c r="N84" s="531"/>
    </row>
    <row r="85" spans="1:14" ht="45">
      <c r="A85" s="513">
        <v>25</v>
      </c>
      <c r="B85" s="696"/>
      <c r="C85" s="696"/>
      <c r="D85" s="511" t="s">
        <v>2767</v>
      </c>
      <c r="E85" s="511" t="s">
        <v>2768</v>
      </c>
      <c r="F85" s="539" t="s">
        <v>17</v>
      </c>
      <c r="G85" s="513">
        <v>275.92</v>
      </c>
      <c r="H85" s="513"/>
      <c r="I85" s="513"/>
      <c r="J85" s="513" t="s">
        <v>2766</v>
      </c>
      <c r="K85" s="513" t="s">
        <v>1734</v>
      </c>
      <c r="L85" s="513">
        <v>21000</v>
      </c>
      <c r="M85" s="513"/>
      <c r="N85" s="531"/>
    </row>
    <row r="86" spans="1:14" ht="75">
      <c r="A86" s="513">
        <v>26</v>
      </c>
      <c r="B86" s="696"/>
      <c r="C86" s="696"/>
      <c r="D86" s="511" t="s">
        <v>2769</v>
      </c>
      <c r="E86" s="511" t="s">
        <v>2770</v>
      </c>
      <c r="F86" s="539" t="s">
        <v>17</v>
      </c>
      <c r="G86" s="513">
        <v>182.95</v>
      </c>
      <c r="H86" s="513"/>
      <c r="I86" s="513"/>
      <c r="J86" s="513" t="s">
        <v>2771</v>
      </c>
      <c r="K86" s="513" t="s">
        <v>1907</v>
      </c>
      <c r="L86" s="513">
        <v>32001</v>
      </c>
      <c r="M86" s="513"/>
      <c r="N86" s="531"/>
    </row>
    <row r="87" spans="1:14" ht="75">
      <c r="A87" s="513">
        <v>27</v>
      </c>
      <c r="B87" s="696"/>
      <c r="C87" s="696"/>
      <c r="D87" s="511" t="s">
        <v>2772</v>
      </c>
      <c r="E87" s="511" t="s">
        <v>2773</v>
      </c>
      <c r="F87" s="539" t="s">
        <v>17</v>
      </c>
      <c r="G87" s="513">
        <v>88.7</v>
      </c>
      <c r="H87" s="513"/>
      <c r="I87" s="513"/>
      <c r="J87" s="513" t="s">
        <v>2771</v>
      </c>
      <c r="K87" s="513" t="s">
        <v>1907</v>
      </c>
      <c r="L87" s="513">
        <v>16226</v>
      </c>
      <c r="M87" s="513"/>
      <c r="N87" s="531"/>
    </row>
    <row r="88" spans="1:14" ht="90">
      <c r="A88" s="513">
        <v>28</v>
      </c>
      <c r="B88" s="696"/>
      <c r="C88" s="696" t="s">
        <v>2774</v>
      </c>
      <c r="D88" s="499" t="s">
        <v>6515</v>
      </c>
      <c r="E88" s="499" t="s">
        <v>2775</v>
      </c>
      <c r="F88" s="500">
        <v>2015.35</v>
      </c>
      <c r="G88" s="500">
        <v>2325.0100000000002</v>
      </c>
      <c r="H88" s="513" t="s">
        <v>2776</v>
      </c>
      <c r="I88" s="513" t="s">
        <v>2777</v>
      </c>
      <c r="J88" s="500" t="s">
        <v>2778</v>
      </c>
      <c r="K88" s="513" t="s">
        <v>2779</v>
      </c>
      <c r="L88" s="513" t="s">
        <v>6516</v>
      </c>
      <c r="M88" s="513">
        <v>615.64</v>
      </c>
      <c r="N88" s="531" t="s">
        <v>2780</v>
      </c>
    </row>
    <row r="89" spans="1:14" ht="75">
      <c r="A89" s="513">
        <v>29</v>
      </c>
      <c r="B89" s="696"/>
      <c r="C89" s="696"/>
      <c r="D89" s="499" t="s">
        <v>6517</v>
      </c>
      <c r="E89" s="499" t="s">
        <v>6518</v>
      </c>
      <c r="F89" s="500">
        <v>378.39</v>
      </c>
      <c r="G89" s="513">
        <v>508.61</v>
      </c>
      <c r="H89" s="513" t="s">
        <v>2782</v>
      </c>
      <c r="I89" s="513" t="s">
        <v>2783</v>
      </c>
      <c r="J89" s="500" t="s">
        <v>2784</v>
      </c>
      <c r="K89" s="513" t="s">
        <v>2785</v>
      </c>
      <c r="L89" s="513" t="s">
        <v>2786</v>
      </c>
      <c r="M89" s="513">
        <v>331.31</v>
      </c>
      <c r="N89" s="531" t="s">
        <v>2780</v>
      </c>
    </row>
    <row r="90" spans="1:14" ht="90">
      <c r="A90" s="513">
        <v>30</v>
      </c>
      <c r="B90" s="696"/>
      <c r="C90" s="696"/>
      <c r="D90" s="499" t="s">
        <v>2787</v>
      </c>
      <c r="E90" s="499" t="s">
        <v>2781</v>
      </c>
      <c r="F90" s="500">
        <v>336.68</v>
      </c>
      <c r="G90" s="513">
        <v>470.68</v>
      </c>
      <c r="H90" s="513" t="s">
        <v>2782</v>
      </c>
      <c r="I90" s="513" t="s">
        <v>2788</v>
      </c>
      <c r="J90" s="500" t="s">
        <v>2784</v>
      </c>
      <c r="K90" s="513" t="s">
        <v>2785</v>
      </c>
      <c r="L90" s="513" t="s">
        <v>2789</v>
      </c>
      <c r="M90" s="513">
        <v>331.19</v>
      </c>
      <c r="N90" s="531" t="s">
        <v>2780</v>
      </c>
    </row>
    <row r="91" spans="1:14" ht="75">
      <c r="A91" s="513">
        <v>31</v>
      </c>
      <c r="B91" s="696"/>
      <c r="C91" s="696"/>
      <c r="D91" s="499" t="s">
        <v>2790</v>
      </c>
      <c r="E91" s="499" t="s">
        <v>2791</v>
      </c>
      <c r="F91" s="500">
        <v>529.59</v>
      </c>
      <c r="G91" s="513">
        <v>622.42999999999995</v>
      </c>
      <c r="H91" s="513" t="s">
        <v>2792</v>
      </c>
      <c r="I91" s="513" t="s">
        <v>2793</v>
      </c>
      <c r="J91" s="500" t="s">
        <v>2794</v>
      </c>
      <c r="K91" s="513" t="s">
        <v>2795</v>
      </c>
      <c r="L91" s="513" t="s">
        <v>2796</v>
      </c>
      <c r="M91" s="513">
        <v>373.16</v>
      </c>
      <c r="N91" s="531" t="s">
        <v>2780</v>
      </c>
    </row>
    <row r="92" spans="1:14" ht="75">
      <c r="A92" s="513">
        <v>32</v>
      </c>
      <c r="B92" s="696"/>
      <c r="C92" s="696"/>
      <c r="D92" s="499" t="s">
        <v>2797</v>
      </c>
      <c r="E92" s="499" t="s">
        <v>2798</v>
      </c>
      <c r="F92" s="500">
        <v>531.79999999999995</v>
      </c>
      <c r="G92" s="513">
        <v>622.42999999999995</v>
      </c>
      <c r="H92" s="513" t="s">
        <v>2792</v>
      </c>
      <c r="I92" s="513" t="s">
        <v>2793</v>
      </c>
      <c r="J92" s="500" t="s">
        <v>2794</v>
      </c>
      <c r="K92" s="513" t="s">
        <v>2795</v>
      </c>
      <c r="L92" s="513" t="s">
        <v>2799</v>
      </c>
      <c r="M92" s="513">
        <v>387.88</v>
      </c>
      <c r="N92" s="531" t="s">
        <v>2780</v>
      </c>
    </row>
    <row r="93" spans="1:14" ht="75">
      <c r="A93" s="513">
        <v>33</v>
      </c>
      <c r="B93" s="696"/>
      <c r="C93" s="696"/>
      <c r="D93" s="499" t="s">
        <v>2800</v>
      </c>
      <c r="E93" s="499" t="s">
        <v>2798</v>
      </c>
      <c r="F93" s="500">
        <v>531.79999999999995</v>
      </c>
      <c r="G93" s="513">
        <v>622.42999999999995</v>
      </c>
      <c r="H93" s="513" t="s">
        <v>2792</v>
      </c>
      <c r="I93" s="513" t="s">
        <v>2793</v>
      </c>
      <c r="J93" s="500" t="s">
        <v>2794</v>
      </c>
      <c r="K93" s="513" t="s">
        <v>2795</v>
      </c>
      <c r="L93" s="513" t="s">
        <v>2799</v>
      </c>
      <c r="M93" s="513">
        <v>387.88</v>
      </c>
      <c r="N93" s="531" t="s">
        <v>2780</v>
      </c>
    </row>
    <row r="94" spans="1:14" ht="75">
      <c r="A94" s="513">
        <v>34</v>
      </c>
      <c r="B94" s="696"/>
      <c r="C94" s="696"/>
      <c r="D94" s="499" t="s">
        <v>2801</v>
      </c>
      <c r="E94" s="499" t="s">
        <v>2798</v>
      </c>
      <c r="F94" s="500" t="s">
        <v>389</v>
      </c>
      <c r="G94" s="513">
        <v>675.18</v>
      </c>
      <c r="H94" s="513" t="s">
        <v>2792</v>
      </c>
      <c r="I94" s="513" t="s">
        <v>2793</v>
      </c>
      <c r="J94" s="500" t="s">
        <v>2794</v>
      </c>
      <c r="K94" s="513" t="s">
        <v>2795</v>
      </c>
      <c r="L94" s="513" t="s">
        <v>2802</v>
      </c>
      <c r="M94" s="513">
        <v>317.7</v>
      </c>
      <c r="N94" s="531" t="s">
        <v>2780</v>
      </c>
    </row>
    <row r="95" spans="1:14" ht="75">
      <c r="A95" s="513">
        <v>35</v>
      </c>
      <c r="B95" s="696"/>
      <c r="C95" s="696"/>
      <c r="D95" s="499" t="s">
        <v>2803</v>
      </c>
      <c r="E95" s="499" t="s">
        <v>2804</v>
      </c>
      <c r="F95" s="500" t="s">
        <v>389</v>
      </c>
      <c r="G95" s="513">
        <v>675.18</v>
      </c>
      <c r="H95" s="513" t="s">
        <v>2792</v>
      </c>
      <c r="I95" s="513" t="s">
        <v>2793</v>
      </c>
      <c r="J95" s="500" t="s">
        <v>2794</v>
      </c>
      <c r="K95" s="513" t="s">
        <v>2795</v>
      </c>
      <c r="L95" s="513" t="s">
        <v>2802</v>
      </c>
      <c r="M95" s="513">
        <v>317.7</v>
      </c>
      <c r="N95" s="531" t="s">
        <v>2780</v>
      </c>
    </row>
    <row r="96" spans="1:14" ht="75">
      <c r="A96" s="513">
        <v>36</v>
      </c>
      <c r="B96" s="696"/>
      <c r="C96" s="696"/>
      <c r="D96" s="499" t="s">
        <v>2805</v>
      </c>
      <c r="E96" s="499" t="s">
        <v>2806</v>
      </c>
      <c r="F96" s="500">
        <v>90.4</v>
      </c>
      <c r="G96" s="513" t="s">
        <v>389</v>
      </c>
      <c r="H96" s="513" t="s">
        <v>2807</v>
      </c>
      <c r="I96" s="513" t="s">
        <v>2808</v>
      </c>
      <c r="J96" s="500" t="s">
        <v>2809</v>
      </c>
      <c r="K96" s="513" t="s">
        <v>2810</v>
      </c>
      <c r="L96" s="513">
        <v>21548</v>
      </c>
      <c r="M96" s="513">
        <v>238.36</v>
      </c>
      <c r="N96" s="531" t="s">
        <v>2780</v>
      </c>
    </row>
    <row r="97" spans="1:14" ht="75">
      <c r="A97" s="513">
        <v>37</v>
      </c>
      <c r="B97" s="696"/>
      <c r="C97" s="696"/>
      <c r="D97" s="499" t="s">
        <v>2811</v>
      </c>
      <c r="E97" s="499" t="s">
        <v>2812</v>
      </c>
      <c r="F97" s="500">
        <v>81.540000000000006</v>
      </c>
      <c r="G97" s="513" t="e">
        <f>-K97+'[1]Annexure-C'!A120:O124</f>
        <v>#VALUE!</v>
      </c>
      <c r="H97" s="513" t="s">
        <v>2807</v>
      </c>
      <c r="I97" s="513" t="s">
        <v>2808</v>
      </c>
      <c r="J97" s="500" t="s">
        <v>2809</v>
      </c>
      <c r="K97" s="513" t="s">
        <v>2810</v>
      </c>
      <c r="L97" s="513">
        <v>19436</v>
      </c>
      <c r="M97" s="513">
        <v>238.36</v>
      </c>
      <c r="N97" s="531" t="s">
        <v>2780</v>
      </c>
    </row>
    <row r="98" spans="1:14" ht="75">
      <c r="A98" s="513">
        <v>38</v>
      </c>
      <c r="B98" s="696"/>
      <c r="C98" s="696" t="s">
        <v>124</v>
      </c>
      <c r="D98" s="511" t="s">
        <v>2813</v>
      </c>
      <c r="E98" s="511" t="s">
        <v>2814</v>
      </c>
      <c r="F98" s="513" t="s">
        <v>2815</v>
      </c>
      <c r="G98" s="513" t="s">
        <v>2816</v>
      </c>
      <c r="H98" s="513" t="s">
        <v>2817</v>
      </c>
      <c r="I98" s="513" t="s">
        <v>2818</v>
      </c>
      <c r="J98" s="513" t="s">
        <v>1737</v>
      </c>
      <c r="K98" s="513" t="s">
        <v>2819</v>
      </c>
      <c r="L98" s="513" t="s">
        <v>2820</v>
      </c>
      <c r="M98" s="513" t="s">
        <v>2821</v>
      </c>
      <c r="N98" s="531"/>
    </row>
    <row r="99" spans="1:14" ht="105">
      <c r="A99" s="513">
        <v>39</v>
      </c>
      <c r="B99" s="696"/>
      <c r="C99" s="696"/>
      <c r="D99" s="511" t="s">
        <v>2822</v>
      </c>
      <c r="E99" s="511" t="s">
        <v>2823</v>
      </c>
      <c r="F99" s="513" t="s">
        <v>2824</v>
      </c>
      <c r="G99" s="513" t="s">
        <v>2825</v>
      </c>
      <c r="H99" s="513" t="s">
        <v>2826</v>
      </c>
      <c r="I99" s="513" t="s">
        <v>2827</v>
      </c>
      <c r="J99" s="513" t="s">
        <v>1703</v>
      </c>
      <c r="K99" s="513" t="s">
        <v>2828</v>
      </c>
      <c r="L99" s="513" t="s">
        <v>2829</v>
      </c>
      <c r="M99" s="513" t="s">
        <v>2830</v>
      </c>
      <c r="N99" s="531" t="s">
        <v>2831</v>
      </c>
    </row>
    <row r="100" spans="1:14" ht="135">
      <c r="A100" s="513">
        <v>40</v>
      </c>
      <c r="B100" s="696"/>
      <c r="C100" s="696"/>
      <c r="D100" s="511" t="s">
        <v>2832</v>
      </c>
      <c r="E100" s="511" t="s">
        <v>2833</v>
      </c>
      <c r="F100" s="513" t="s">
        <v>2834</v>
      </c>
      <c r="G100" s="513" t="s">
        <v>2835</v>
      </c>
      <c r="H100" s="513" t="s">
        <v>2836</v>
      </c>
      <c r="I100" s="513" t="s">
        <v>2827</v>
      </c>
      <c r="J100" s="513" t="s">
        <v>1703</v>
      </c>
      <c r="K100" s="513" t="s">
        <v>2837</v>
      </c>
      <c r="L100" s="513" t="s">
        <v>2838</v>
      </c>
      <c r="M100" s="513" t="s">
        <v>2830</v>
      </c>
      <c r="N100" s="531" t="s">
        <v>2839</v>
      </c>
    </row>
    <row r="101" spans="1:14" ht="105">
      <c r="A101" s="513">
        <v>41</v>
      </c>
      <c r="B101" s="696"/>
      <c r="C101" s="696"/>
      <c r="D101" s="511" t="s">
        <v>2840</v>
      </c>
      <c r="E101" s="511" t="s">
        <v>2841</v>
      </c>
      <c r="F101" s="513" t="s">
        <v>2842</v>
      </c>
      <c r="G101" s="513" t="s">
        <v>2843</v>
      </c>
      <c r="H101" s="513" t="s">
        <v>2844</v>
      </c>
      <c r="I101" s="513" t="s">
        <v>2827</v>
      </c>
      <c r="J101" s="513" t="s">
        <v>1703</v>
      </c>
      <c r="K101" s="513" t="s">
        <v>1876</v>
      </c>
      <c r="L101" s="513" t="s">
        <v>2845</v>
      </c>
      <c r="M101" s="513" t="s">
        <v>2846</v>
      </c>
      <c r="N101" s="531"/>
    </row>
    <row r="102" spans="1:14" ht="165">
      <c r="A102" s="513">
        <v>42</v>
      </c>
      <c r="B102" s="696"/>
      <c r="C102" s="696"/>
      <c r="D102" s="511" t="s">
        <v>2847</v>
      </c>
      <c r="E102" s="511" t="s">
        <v>2848</v>
      </c>
      <c r="F102" s="513" t="s">
        <v>2849</v>
      </c>
      <c r="G102" s="513" t="s">
        <v>2850</v>
      </c>
      <c r="H102" s="513" t="s">
        <v>2851</v>
      </c>
      <c r="I102" s="513" t="s">
        <v>2827</v>
      </c>
      <c r="J102" s="513" t="s">
        <v>1703</v>
      </c>
      <c r="K102" s="513" t="s">
        <v>2852</v>
      </c>
      <c r="L102" s="513" t="s">
        <v>2853</v>
      </c>
      <c r="M102" s="513" t="s">
        <v>2846</v>
      </c>
      <c r="N102" s="531" t="s">
        <v>2854</v>
      </c>
    </row>
    <row r="103" spans="1:14" ht="105">
      <c r="A103" s="513">
        <v>43</v>
      </c>
      <c r="B103" s="696"/>
      <c r="C103" s="696"/>
      <c r="D103" s="511" t="s">
        <v>2855</v>
      </c>
      <c r="E103" s="511" t="s">
        <v>2855</v>
      </c>
      <c r="F103" s="513"/>
      <c r="G103" s="513" t="s">
        <v>2856</v>
      </c>
      <c r="H103" s="513"/>
      <c r="I103" s="513" t="s">
        <v>2857</v>
      </c>
      <c r="J103" s="513" t="s">
        <v>2858</v>
      </c>
      <c r="K103" s="542">
        <v>44197</v>
      </c>
      <c r="L103" s="513" t="s">
        <v>2859</v>
      </c>
      <c r="M103" s="513"/>
      <c r="N103" s="531"/>
    </row>
    <row r="104" spans="1:14" ht="90">
      <c r="A104" s="513">
        <v>44</v>
      </c>
      <c r="B104" s="696"/>
      <c r="C104" s="696"/>
      <c r="D104" s="511" t="s">
        <v>2860</v>
      </c>
      <c r="E104" s="511" t="s">
        <v>2861</v>
      </c>
      <c r="F104" s="513" t="s">
        <v>2862</v>
      </c>
      <c r="G104" s="513" t="s">
        <v>2863</v>
      </c>
      <c r="H104" s="513" t="s">
        <v>2864</v>
      </c>
      <c r="I104" s="513" t="s">
        <v>2865</v>
      </c>
      <c r="J104" s="513" t="s">
        <v>1703</v>
      </c>
      <c r="K104" s="513" t="s">
        <v>2866</v>
      </c>
      <c r="L104" s="171">
        <v>130000</v>
      </c>
      <c r="M104" s="545">
        <f>130000/622.45</f>
        <v>208.85211663587435</v>
      </c>
      <c r="N104" s="531"/>
    </row>
    <row r="105" spans="1:14" ht="75">
      <c r="A105" s="513">
        <v>45</v>
      </c>
      <c r="B105" s="696"/>
      <c r="C105" s="696"/>
      <c r="D105" s="511" t="s">
        <v>2867</v>
      </c>
      <c r="E105" s="511" t="s">
        <v>2868</v>
      </c>
      <c r="F105" s="513" t="s">
        <v>2869</v>
      </c>
      <c r="G105" s="513" t="s">
        <v>2869</v>
      </c>
      <c r="H105" s="513" t="s">
        <v>2870</v>
      </c>
      <c r="I105" s="513" t="s">
        <v>2865</v>
      </c>
      <c r="J105" s="513" t="s">
        <v>1703</v>
      </c>
      <c r="K105" s="513" t="s">
        <v>2871</v>
      </c>
      <c r="L105" s="513">
        <v>37000</v>
      </c>
      <c r="M105" s="545">
        <f>37000/148.65</f>
        <v>248.90682811974435</v>
      </c>
      <c r="N105" s="531"/>
    </row>
    <row r="106" spans="1:14" ht="75">
      <c r="A106" s="513">
        <v>46</v>
      </c>
      <c r="B106" s="696"/>
      <c r="C106" s="696"/>
      <c r="D106" s="499" t="s">
        <v>2872</v>
      </c>
      <c r="E106" s="499" t="s">
        <v>2873</v>
      </c>
      <c r="F106" s="500" t="s">
        <v>17</v>
      </c>
      <c r="G106" s="500" t="s">
        <v>2874</v>
      </c>
      <c r="H106" s="500" t="s">
        <v>2875</v>
      </c>
      <c r="I106" s="500" t="s">
        <v>1702</v>
      </c>
      <c r="J106" s="500">
        <v>5</v>
      </c>
      <c r="K106" s="500" t="s">
        <v>2876</v>
      </c>
      <c r="L106" s="500" t="s">
        <v>2877</v>
      </c>
      <c r="M106" s="500" t="s">
        <v>2878</v>
      </c>
      <c r="N106" s="531" t="s">
        <v>151</v>
      </c>
    </row>
    <row r="107" spans="1:14" ht="75">
      <c r="A107" s="513">
        <v>47</v>
      </c>
      <c r="B107" s="696"/>
      <c r="C107" s="696"/>
      <c r="D107" s="499" t="s">
        <v>2879</v>
      </c>
      <c r="E107" s="502" t="s">
        <v>2880</v>
      </c>
      <c r="F107" s="500" t="s">
        <v>17</v>
      </c>
      <c r="G107" s="500">
        <v>80</v>
      </c>
      <c r="H107" s="500" t="s">
        <v>2881</v>
      </c>
      <c r="I107" s="500" t="s">
        <v>1702</v>
      </c>
      <c r="J107" s="500">
        <v>5</v>
      </c>
      <c r="K107" s="500" t="s">
        <v>2882</v>
      </c>
      <c r="L107" s="500" t="s">
        <v>2883</v>
      </c>
      <c r="M107" s="500" t="s">
        <v>2884</v>
      </c>
      <c r="N107" s="531" t="s">
        <v>296</v>
      </c>
    </row>
    <row r="108" spans="1:14" ht="180">
      <c r="A108" s="513">
        <v>48</v>
      </c>
      <c r="B108" s="696"/>
      <c r="C108" s="511" t="s">
        <v>2885</v>
      </c>
      <c r="D108" s="511" t="s">
        <v>2886</v>
      </c>
      <c r="E108" s="511" t="s">
        <v>2887</v>
      </c>
      <c r="F108" s="513" t="s">
        <v>2888</v>
      </c>
      <c r="G108" s="513" t="s">
        <v>2889</v>
      </c>
      <c r="H108" s="513" t="s">
        <v>2890</v>
      </c>
      <c r="I108" s="513" t="s">
        <v>6519</v>
      </c>
      <c r="J108" s="513" t="s">
        <v>2891</v>
      </c>
      <c r="K108" s="513"/>
      <c r="L108" s="513" t="s">
        <v>2892</v>
      </c>
      <c r="M108" s="513" t="s">
        <v>2893</v>
      </c>
      <c r="N108" s="531"/>
    </row>
    <row r="109" spans="1:14">
      <c r="A109" s="743"/>
      <c r="B109" s="743"/>
      <c r="C109" s="743"/>
      <c r="D109" s="743"/>
      <c r="E109" s="743"/>
      <c r="F109" s="743"/>
      <c r="G109" s="743"/>
      <c r="H109" s="743"/>
      <c r="I109" s="743"/>
      <c r="J109" s="743"/>
      <c r="K109" s="743"/>
      <c r="L109" s="743"/>
      <c r="M109" s="743"/>
      <c r="N109" s="743"/>
    </row>
    <row r="110" spans="1:14" ht="22.5">
      <c r="A110" s="700" t="s">
        <v>268</v>
      </c>
      <c r="B110" s="700"/>
      <c r="C110" s="700"/>
      <c r="D110" s="700"/>
      <c r="E110" s="700"/>
      <c r="F110" s="700"/>
      <c r="G110" s="700"/>
      <c r="H110" s="700"/>
      <c r="I110" s="700"/>
      <c r="J110" s="700"/>
      <c r="K110" s="700"/>
      <c r="L110" s="700"/>
      <c r="M110" s="700"/>
      <c r="N110" s="700"/>
    </row>
    <row r="111" spans="1:14" ht="20.25">
      <c r="A111" s="757" t="s">
        <v>2669</v>
      </c>
      <c r="B111" s="757"/>
      <c r="C111" s="757"/>
      <c r="D111" s="757"/>
      <c r="E111" s="757"/>
      <c r="F111" s="757"/>
      <c r="G111" s="757"/>
      <c r="H111" s="757"/>
      <c r="I111" s="757"/>
      <c r="J111" s="757"/>
      <c r="K111" s="757"/>
      <c r="L111" s="757"/>
      <c r="M111" s="757"/>
      <c r="N111" s="757"/>
    </row>
    <row r="112" spans="1:14" ht="71.25">
      <c r="A112" s="530" t="s">
        <v>0</v>
      </c>
      <c r="B112" s="19" t="s">
        <v>1616</v>
      </c>
      <c r="C112" s="530" t="s">
        <v>1676</v>
      </c>
      <c r="D112" s="18" t="s">
        <v>1677</v>
      </c>
      <c r="E112" s="18" t="s">
        <v>1678</v>
      </c>
      <c r="F112" s="19" t="s">
        <v>2670</v>
      </c>
      <c r="G112" s="19" t="s">
        <v>2671</v>
      </c>
      <c r="H112" s="19" t="s">
        <v>1679</v>
      </c>
      <c r="I112" s="19" t="s">
        <v>1680</v>
      </c>
      <c r="J112" s="19" t="s">
        <v>1681</v>
      </c>
      <c r="K112" s="19" t="s">
        <v>1682</v>
      </c>
      <c r="L112" s="19" t="s">
        <v>1683</v>
      </c>
      <c r="M112" s="19" t="s">
        <v>1684</v>
      </c>
      <c r="N112" s="19" t="s">
        <v>1685</v>
      </c>
    </row>
    <row r="113" spans="1:14">
      <c r="A113" s="530">
        <v>1</v>
      </c>
      <c r="B113" s="530">
        <v>2</v>
      </c>
      <c r="C113" s="530">
        <v>3</v>
      </c>
      <c r="D113" s="530">
        <v>4</v>
      </c>
      <c r="E113" s="530">
        <v>5</v>
      </c>
      <c r="F113" s="530">
        <v>6</v>
      </c>
      <c r="G113" s="530">
        <v>7</v>
      </c>
      <c r="H113" s="530">
        <v>8</v>
      </c>
      <c r="I113" s="19">
        <v>9</v>
      </c>
      <c r="J113" s="530">
        <v>10</v>
      </c>
      <c r="K113" s="530">
        <v>11</v>
      </c>
      <c r="L113" s="530">
        <v>12</v>
      </c>
      <c r="M113" s="530">
        <v>13</v>
      </c>
      <c r="N113" s="530">
        <v>14</v>
      </c>
    </row>
    <row r="114" spans="1:14" ht="45">
      <c r="A114" s="513">
        <v>1</v>
      </c>
      <c r="B114" s="696" t="s">
        <v>2894</v>
      </c>
      <c r="C114" s="696" t="s">
        <v>205</v>
      </c>
      <c r="D114" s="511" t="s">
        <v>2895</v>
      </c>
      <c r="E114" s="511" t="s">
        <v>2896</v>
      </c>
      <c r="F114" s="513">
        <v>97.825999999999993</v>
      </c>
      <c r="G114" s="513">
        <v>153.56</v>
      </c>
      <c r="H114" s="513" t="s">
        <v>2897</v>
      </c>
      <c r="I114" s="513" t="s">
        <v>2898</v>
      </c>
      <c r="J114" s="513" t="s">
        <v>2899</v>
      </c>
      <c r="K114" s="513" t="s">
        <v>2900</v>
      </c>
      <c r="L114" s="513" t="s">
        <v>2901</v>
      </c>
      <c r="M114" s="44">
        <v>117.17</v>
      </c>
      <c r="N114" s="531"/>
    </row>
    <row r="115" spans="1:14" ht="60">
      <c r="A115" s="513">
        <v>2</v>
      </c>
      <c r="B115" s="696"/>
      <c r="C115" s="696"/>
      <c r="D115" s="511" t="s">
        <v>2902</v>
      </c>
      <c r="E115" s="511" t="s">
        <v>2903</v>
      </c>
      <c r="F115" s="513">
        <v>168.22</v>
      </c>
      <c r="G115" s="513">
        <v>230.49</v>
      </c>
      <c r="H115" s="513" t="s">
        <v>2904</v>
      </c>
      <c r="I115" s="513" t="s">
        <v>2898</v>
      </c>
      <c r="J115" s="513" t="s">
        <v>1742</v>
      </c>
      <c r="K115" s="513" t="s">
        <v>2905</v>
      </c>
      <c r="L115" s="513" t="s">
        <v>2906</v>
      </c>
      <c r="M115" s="44">
        <v>178.33</v>
      </c>
      <c r="N115" s="531"/>
    </row>
    <row r="116" spans="1:14" ht="60">
      <c r="A116" s="513">
        <v>3</v>
      </c>
      <c r="B116" s="696"/>
      <c r="C116" s="696"/>
      <c r="D116" s="511" t="s">
        <v>2907</v>
      </c>
      <c r="E116" s="511" t="s">
        <v>2908</v>
      </c>
      <c r="F116" s="513">
        <v>966.19</v>
      </c>
      <c r="G116" s="513">
        <v>1012.64</v>
      </c>
      <c r="H116" s="513" t="s">
        <v>2909</v>
      </c>
      <c r="I116" s="513" t="s">
        <v>2898</v>
      </c>
      <c r="J116" s="513" t="s">
        <v>1737</v>
      </c>
      <c r="K116" s="513" t="s">
        <v>2910</v>
      </c>
      <c r="L116" s="513" t="s">
        <v>2911</v>
      </c>
      <c r="M116" s="172">
        <v>225.62799999999999</v>
      </c>
      <c r="N116" s="531"/>
    </row>
    <row r="117" spans="1:14" ht="45">
      <c r="A117" s="513">
        <v>4</v>
      </c>
      <c r="B117" s="696"/>
      <c r="C117" s="696"/>
      <c r="D117" s="511" t="s">
        <v>2912</v>
      </c>
      <c r="E117" s="511" t="s">
        <v>2913</v>
      </c>
      <c r="F117" s="513">
        <v>162.58000000000001</v>
      </c>
      <c r="G117" s="513">
        <v>162.58000000000001</v>
      </c>
      <c r="H117" s="513" t="s">
        <v>2914</v>
      </c>
      <c r="I117" s="513" t="s">
        <v>2898</v>
      </c>
      <c r="J117" s="513" t="s">
        <v>1742</v>
      </c>
      <c r="K117" s="513" t="s">
        <v>2915</v>
      </c>
      <c r="L117" s="513" t="s">
        <v>2916</v>
      </c>
      <c r="M117" s="500">
        <v>64.290000000000006</v>
      </c>
      <c r="N117" s="531"/>
    </row>
    <row r="118" spans="1:14" ht="45">
      <c r="A118" s="513">
        <v>5</v>
      </c>
      <c r="B118" s="696"/>
      <c r="C118" s="696"/>
      <c r="D118" s="511" t="s">
        <v>2917</v>
      </c>
      <c r="E118" s="511" t="s">
        <v>2918</v>
      </c>
      <c r="F118" s="513">
        <v>139.38999999999999</v>
      </c>
      <c r="G118" s="513">
        <v>140.46</v>
      </c>
      <c r="H118" s="513" t="s">
        <v>1801</v>
      </c>
      <c r="I118" s="513" t="s">
        <v>2898</v>
      </c>
      <c r="J118" s="513" t="s">
        <v>1737</v>
      </c>
      <c r="K118" s="513" t="s">
        <v>2919</v>
      </c>
      <c r="L118" s="513" t="s">
        <v>2920</v>
      </c>
      <c r="M118" s="513">
        <v>111.19</v>
      </c>
      <c r="N118" s="531"/>
    </row>
    <row r="119" spans="1:14" ht="45">
      <c r="A119" s="513">
        <v>6</v>
      </c>
      <c r="B119" s="696"/>
      <c r="C119" s="696"/>
      <c r="D119" s="511" t="s">
        <v>2921</v>
      </c>
      <c r="E119" s="511" t="s">
        <v>2922</v>
      </c>
      <c r="F119" s="60">
        <v>92.9</v>
      </c>
      <c r="G119" s="545">
        <v>92.9</v>
      </c>
      <c r="H119" s="513" t="s">
        <v>2923</v>
      </c>
      <c r="I119" s="513" t="s">
        <v>2898</v>
      </c>
      <c r="J119" s="513" t="s">
        <v>1737</v>
      </c>
      <c r="K119" s="513" t="s">
        <v>2924</v>
      </c>
      <c r="L119" s="513" t="s">
        <v>2925</v>
      </c>
      <c r="M119" s="545">
        <v>161.19999999999999</v>
      </c>
      <c r="N119" s="531"/>
    </row>
    <row r="120" spans="1:14" ht="105">
      <c r="A120" s="513">
        <v>7</v>
      </c>
      <c r="B120" s="696"/>
      <c r="C120" s="511" t="s">
        <v>2926</v>
      </c>
      <c r="D120" s="511" t="s">
        <v>2927</v>
      </c>
      <c r="E120" s="511" t="s">
        <v>2928</v>
      </c>
      <c r="F120" s="513">
        <v>5520</v>
      </c>
      <c r="G120" s="513"/>
      <c r="H120" s="542">
        <v>43344</v>
      </c>
      <c r="I120" s="513"/>
      <c r="J120" s="513" t="s">
        <v>2929</v>
      </c>
      <c r="K120" s="542">
        <v>44440</v>
      </c>
      <c r="L120" s="543">
        <v>131160</v>
      </c>
      <c r="M120" s="513">
        <v>23.76</v>
      </c>
      <c r="N120" s="531"/>
    </row>
    <row r="121" spans="1:14" ht="120">
      <c r="A121" s="513">
        <v>8</v>
      </c>
      <c r="B121" s="696"/>
      <c r="C121" s="696" t="s">
        <v>212</v>
      </c>
      <c r="D121" s="511" t="s">
        <v>2930</v>
      </c>
      <c r="E121" s="511" t="s">
        <v>2931</v>
      </c>
      <c r="F121" s="513">
        <v>297</v>
      </c>
      <c r="G121" s="513">
        <v>297</v>
      </c>
      <c r="H121" s="513" t="s">
        <v>1789</v>
      </c>
      <c r="I121" s="513" t="s">
        <v>2932</v>
      </c>
      <c r="J121" s="513" t="s">
        <v>1703</v>
      </c>
      <c r="K121" s="513" t="s">
        <v>2933</v>
      </c>
      <c r="L121" s="513" t="s">
        <v>2934</v>
      </c>
      <c r="M121" s="513">
        <v>262.43</v>
      </c>
      <c r="N121" s="531"/>
    </row>
    <row r="122" spans="1:14" ht="90">
      <c r="A122" s="513">
        <v>9</v>
      </c>
      <c r="B122" s="696"/>
      <c r="C122" s="696"/>
      <c r="D122" s="511" t="s">
        <v>2935</v>
      </c>
      <c r="E122" s="511" t="s">
        <v>2936</v>
      </c>
      <c r="F122" s="513">
        <v>4314</v>
      </c>
      <c r="G122" s="513">
        <v>4314</v>
      </c>
      <c r="H122" s="513" t="s">
        <v>2937</v>
      </c>
      <c r="I122" s="513" t="s">
        <v>2932</v>
      </c>
      <c r="J122" s="513" t="s">
        <v>352</v>
      </c>
      <c r="K122" s="513" t="s">
        <v>352</v>
      </c>
      <c r="L122" s="513" t="s">
        <v>2938</v>
      </c>
      <c r="M122" s="513" t="s">
        <v>352</v>
      </c>
      <c r="N122" s="531"/>
    </row>
    <row r="123" spans="1:14" ht="135">
      <c r="A123" s="513">
        <v>10</v>
      </c>
      <c r="B123" s="696"/>
      <c r="C123" s="696"/>
      <c r="D123" s="511" t="s">
        <v>2939</v>
      </c>
      <c r="E123" s="511" t="s">
        <v>2940</v>
      </c>
      <c r="F123" s="513">
        <v>4700</v>
      </c>
      <c r="G123" s="513">
        <v>4314</v>
      </c>
      <c r="H123" s="513" t="s">
        <v>2941</v>
      </c>
      <c r="I123" s="513" t="s">
        <v>2932</v>
      </c>
      <c r="J123" s="513" t="s">
        <v>352</v>
      </c>
      <c r="K123" s="513" t="s">
        <v>352</v>
      </c>
      <c r="L123" s="513" t="s">
        <v>2942</v>
      </c>
      <c r="M123" s="513" t="s">
        <v>352</v>
      </c>
      <c r="N123" s="531"/>
    </row>
    <row r="124" spans="1:14" ht="60">
      <c r="A124" s="513">
        <v>11</v>
      </c>
      <c r="B124" s="696"/>
      <c r="C124" s="696" t="s">
        <v>184</v>
      </c>
      <c r="D124" s="511" t="s">
        <v>2943</v>
      </c>
      <c r="E124" s="511" t="s">
        <v>2944</v>
      </c>
      <c r="F124" s="513"/>
      <c r="G124" s="513"/>
      <c r="H124" s="513" t="s">
        <v>2945</v>
      </c>
      <c r="I124" s="513"/>
      <c r="J124" s="513" t="s">
        <v>2946</v>
      </c>
      <c r="K124" s="513" t="s">
        <v>2947</v>
      </c>
      <c r="L124" s="513">
        <v>15553</v>
      </c>
      <c r="M124" s="513"/>
      <c r="N124" s="531"/>
    </row>
    <row r="125" spans="1:14" ht="60">
      <c r="A125" s="513">
        <v>12</v>
      </c>
      <c r="B125" s="696"/>
      <c r="C125" s="696"/>
      <c r="D125" s="511" t="s">
        <v>2948</v>
      </c>
      <c r="E125" s="511" t="s">
        <v>2949</v>
      </c>
      <c r="F125" s="513">
        <v>3977</v>
      </c>
      <c r="G125" s="513"/>
      <c r="H125" s="513" t="s">
        <v>2950</v>
      </c>
      <c r="I125" s="513"/>
      <c r="J125" s="513" t="s">
        <v>2951</v>
      </c>
      <c r="K125" s="513" t="s">
        <v>2919</v>
      </c>
      <c r="L125" s="513">
        <v>140786</v>
      </c>
      <c r="M125" s="513">
        <v>30</v>
      </c>
      <c r="N125" s="531"/>
    </row>
    <row r="126" spans="1:14" ht="225">
      <c r="A126" s="513">
        <v>13</v>
      </c>
      <c r="B126" s="696"/>
      <c r="C126" s="511" t="s">
        <v>189</v>
      </c>
      <c r="D126" s="511" t="s">
        <v>2952</v>
      </c>
      <c r="E126" s="511" t="s">
        <v>2952</v>
      </c>
      <c r="F126" s="513">
        <v>206</v>
      </c>
      <c r="G126" s="513">
        <v>290</v>
      </c>
      <c r="H126" s="513" t="s">
        <v>2953</v>
      </c>
      <c r="I126" s="513" t="s">
        <v>1702</v>
      </c>
      <c r="J126" s="513" t="s">
        <v>2954</v>
      </c>
      <c r="K126" s="513" t="s">
        <v>2955</v>
      </c>
      <c r="L126" s="513" t="s">
        <v>2956</v>
      </c>
      <c r="M126" s="513" t="s">
        <v>17</v>
      </c>
      <c r="N126" s="531" t="s">
        <v>2957</v>
      </c>
    </row>
    <row r="127" spans="1:14" ht="90">
      <c r="A127" s="513">
        <v>14</v>
      </c>
      <c r="B127" s="696"/>
      <c r="C127" s="696" t="s">
        <v>252</v>
      </c>
      <c r="D127" s="511" t="s">
        <v>2958</v>
      </c>
      <c r="E127" s="511" t="s">
        <v>2959</v>
      </c>
      <c r="F127" s="513">
        <v>577.66999999999996</v>
      </c>
      <c r="G127" s="513">
        <v>577.66999999999996</v>
      </c>
      <c r="H127" s="513" t="s">
        <v>2960</v>
      </c>
      <c r="I127" s="513" t="s">
        <v>1702</v>
      </c>
      <c r="J127" s="513" t="s">
        <v>2961</v>
      </c>
      <c r="K127" s="513" t="s">
        <v>2962</v>
      </c>
      <c r="L127" s="513">
        <v>140776</v>
      </c>
      <c r="M127" s="513">
        <v>243.69</v>
      </c>
      <c r="N127" s="531"/>
    </row>
    <row r="128" spans="1:14" ht="75">
      <c r="A128" s="513">
        <v>15</v>
      </c>
      <c r="B128" s="696"/>
      <c r="C128" s="696"/>
      <c r="D128" s="511" t="s">
        <v>2963</v>
      </c>
      <c r="E128" s="511" t="s">
        <v>2964</v>
      </c>
      <c r="F128" s="513">
        <v>67.81</v>
      </c>
      <c r="G128" s="513">
        <v>67.81</v>
      </c>
      <c r="H128" s="513" t="s">
        <v>2965</v>
      </c>
      <c r="I128" s="513" t="s">
        <v>1702</v>
      </c>
      <c r="J128" s="513" t="s">
        <v>2966</v>
      </c>
      <c r="K128" s="513" t="s">
        <v>2967</v>
      </c>
      <c r="L128" s="513">
        <v>13775</v>
      </c>
      <c r="M128" s="513">
        <v>203.14</v>
      </c>
      <c r="N128" s="531"/>
    </row>
    <row r="129" spans="1:14" ht="60">
      <c r="A129" s="513">
        <v>16</v>
      </c>
      <c r="B129" s="696"/>
      <c r="C129" s="696"/>
      <c r="D129" s="511" t="s">
        <v>2968</v>
      </c>
      <c r="E129" s="511" t="s">
        <v>2969</v>
      </c>
      <c r="F129" s="513">
        <v>125.6</v>
      </c>
      <c r="G129" s="513">
        <v>125.6</v>
      </c>
      <c r="H129" s="513" t="s">
        <v>2970</v>
      </c>
      <c r="I129" s="513" t="s">
        <v>1702</v>
      </c>
      <c r="J129" s="513" t="s">
        <v>2971</v>
      </c>
      <c r="K129" s="513" t="s">
        <v>2972</v>
      </c>
      <c r="L129" s="513">
        <v>13302</v>
      </c>
      <c r="M129" s="513">
        <v>105.9</v>
      </c>
      <c r="N129" s="531"/>
    </row>
    <row r="130" spans="1:14" ht="135">
      <c r="A130" s="513">
        <v>17</v>
      </c>
      <c r="B130" s="696"/>
      <c r="C130" s="696"/>
      <c r="D130" s="511" t="s">
        <v>2973</v>
      </c>
      <c r="E130" s="511" t="s">
        <v>2974</v>
      </c>
      <c r="F130" s="513">
        <v>390.19299999999998</v>
      </c>
      <c r="G130" s="513">
        <v>318.565</v>
      </c>
      <c r="H130" s="542">
        <v>42291</v>
      </c>
      <c r="I130" s="513" t="s">
        <v>1702</v>
      </c>
      <c r="J130" s="513" t="s">
        <v>2975</v>
      </c>
      <c r="K130" s="513" t="s">
        <v>2976</v>
      </c>
      <c r="L130" s="513">
        <v>36000</v>
      </c>
      <c r="M130" s="513">
        <v>113.021</v>
      </c>
      <c r="N130" s="531" t="s">
        <v>2977</v>
      </c>
    </row>
    <row r="131" spans="1:14" ht="120">
      <c r="A131" s="513">
        <v>18</v>
      </c>
      <c r="B131" s="696"/>
      <c r="C131" s="696"/>
      <c r="D131" s="511" t="s">
        <v>2978</v>
      </c>
      <c r="E131" s="511" t="s">
        <v>2979</v>
      </c>
      <c r="F131" s="23">
        <v>98.954999999999998</v>
      </c>
      <c r="G131" s="513">
        <v>98.954999999999998</v>
      </c>
      <c r="H131" s="542">
        <v>43388</v>
      </c>
      <c r="I131" s="513" t="s">
        <v>1702</v>
      </c>
      <c r="J131" s="513" t="s">
        <v>2980</v>
      </c>
      <c r="K131" s="513" t="s">
        <v>2981</v>
      </c>
      <c r="L131" s="513">
        <v>11184</v>
      </c>
      <c r="M131" s="513">
        <v>113.021</v>
      </c>
      <c r="N131" s="531" t="s">
        <v>2977</v>
      </c>
    </row>
    <row r="132" spans="1:14" ht="90">
      <c r="A132" s="513">
        <v>19</v>
      </c>
      <c r="B132" s="696"/>
      <c r="C132" s="696"/>
      <c r="D132" s="511" t="s">
        <v>2982</v>
      </c>
      <c r="E132" s="511" t="s">
        <v>2983</v>
      </c>
      <c r="F132" s="513">
        <v>520.07000000000005</v>
      </c>
      <c r="G132" s="513">
        <v>191.87299999999999</v>
      </c>
      <c r="H132" s="513" t="s">
        <v>2984</v>
      </c>
      <c r="I132" s="513" t="s">
        <v>1702</v>
      </c>
      <c r="J132" s="513" t="s">
        <v>2985</v>
      </c>
      <c r="K132" s="513" t="s">
        <v>2986</v>
      </c>
      <c r="L132" s="513">
        <v>19002</v>
      </c>
      <c r="M132" s="513"/>
      <c r="N132" s="531" t="s">
        <v>2987</v>
      </c>
    </row>
    <row r="133" spans="1:14" ht="45">
      <c r="A133" s="513">
        <v>20</v>
      </c>
      <c r="B133" s="696"/>
      <c r="C133" s="696"/>
      <c r="D133" s="511" t="s">
        <v>2988</v>
      </c>
      <c r="E133" s="511" t="s">
        <v>2989</v>
      </c>
      <c r="F133" s="513">
        <v>185.80609999999999</v>
      </c>
      <c r="G133" s="513">
        <v>185.80609999999999</v>
      </c>
      <c r="H133" s="513" t="s">
        <v>649</v>
      </c>
      <c r="I133" s="513" t="s">
        <v>1702</v>
      </c>
      <c r="J133" s="513" t="s">
        <v>2990</v>
      </c>
      <c r="K133" s="513" t="s">
        <v>1766</v>
      </c>
      <c r="L133" s="513">
        <v>26400</v>
      </c>
      <c r="M133" s="513">
        <v>142.08000000000001</v>
      </c>
      <c r="N133" s="531"/>
    </row>
    <row r="134" spans="1:14" ht="60">
      <c r="A134" s="513">
        <v>21</v>
      </c>
      <c r="B134" s="696"/>
      <c r="C134" s="696"/>
      <c r="D134" s="511" t="s">
        <v>2978</v>
      </c>
      <c r="E134" s="511" t="s">
        <v>2991</v>
      </c>
      <c r="F134" s="513">
        <v>55.74</v>
      </c>
      <c r="G134" s="513">
        <v>55.74</v>
      </c>
      <c r="H134" s="513" t="s">
        <v>2992</v>
      </c>
      <c r="I134" s="513" t="s">
        <v>1702</v>
      </c>
      <c r="J134" s="513" t="s">
        <v>2961</v>
      </c>
      <c r="K134" s="513" t="s">
        <v>1755</v>
      </c>
      <c r="L134" s="513">
        <v>5500</v>
      </c>
      <c r="M134" s="513">
        <v>98.67</v>
      </c>
      <c r="N134" s="531"/>
    </row>
    <row r="135" spans="1:14" ht="45">
      <c r="A135" s="513">
        <v>22</v>
      </c>
      <c r="B135" s="696"/>
      <c r="C135" s="696"/>
      <c r="D135" s="511" t="s">
        <v>2978</v>
      </c>
      <c r="E135" s="511" t="s">
        <v>2993</v>
      </c>
      <c r="F135" s="513">
        <v>144.02000000000001</v>
      </c>
      <c r="G135" s="513">
        <v>144.02000000000001</v>
      </c>
      <c r="H135" s="513" t="s">
        <v>2994</v>
      </c>
      <c r="I135" s="513" t="s">
        <v>1702</v>
      </c>
      <c r="J135" s="513" t="s">
        <v>2995</v>
      </c>
      <c r="K135" s="513" t="s">
        <v>2996</v>
      </c>
      <c r="L135" s="513">
        <v>6400</v>
      </c>
      <c r="M135" s="513">
        <v>44.43</v>
      </c>
      <c r="N135" s="531"/>
    </row>
    <row r="136" spans="1:14" ht="60">
      <c r="A136" s="513">
        <v>23</v>
      </c>
      <c r="B136" s="696"/>
      <c r="C136" s="696"/>
      <c r="D136" s="511" t="s">
        <v>2997</v>
      </c>
      <c r="E136" s="511" t="s">
        <v>2998</v>
      </c>
      <c r="F136" s="513" t="s">
        <v>2999</v>
      </c>
      <c r="G136" s="513" t="s">
        <v>2999</v>
      </c>
      <c r="H136" s="513" t="s">
        <v>3000</v>
      </c>
      <c r="I136" s="513" t="s">
        <v>1702</v>
      </c>
      <c r="J136" s="513" t="s">
        <v>3001</v>
      </c>
      <c r="K136" s="513" t="s">
        <v>3002</v>
      </c>
      <c r="L136" s="513" t="s">
        <v>3003</v>
      </c>
      <c r="M136" s="173">
        <v>102.13</v>
      </c>
      <c r="N136" s="531"/>
    </row>
    <row r="137" spans="1:14" ht="120">
      <c r="A137" s="513">
        <v>24</v>
      </c>
      <c r="B137" s="696"/>
      <c r="C137" s="696"/>
      <c r="D137" s="511" t="s">
        <v>3004</v>
      </c>
      <c r="E137" s="511" t="s">
        <v>3005</v>
      </c>
      <c r="F137" s="513" t="s">
        <v>3006</v>
      </c>
      <c r="G137" s="513" t="s">
        <v>3006</v>
      </c>
      <c r="H137" s="513" t="s">
        <v>2766</v>
      </c>
      <c r="I137" s="513" t="s">
        <v>1702</v>
      </c>
      <c r="J137" s="513" t="s">
        <v>3007</v>
      </c>
      <c r="K137" s="513" t="s">
        <v>3008</v>
      </c>
      <c r="L137" s="513" t="s">
        <v>3009</v>
      </c>
      <c r="M137" s="173">
        <v>137.35</v>
      </c>
      <c r="N137" s="531"/>
    </row>
    <row r="138" spans="1:14" ht="45">
      <c r="A138" s="513">
        <v>25</v>
      </c>
      <c r="B138" s="696"/>
      <c r="C138" s="696"/>
      <c r="D138" s="511" t="s">
        <v>3010</v>
      </c>
      <c r="E138" s="511" t="s">
        <v>3011</v>
      </c>
      <c r="F138" s="513" t="s">
        <v>3012</v>
      </c>
      <c r="G138" s="513" t="s">
        <v>3012</v>
      </c>
      <c r="H138" s="513" t="s">
        <v>3000</v>
      </c>
      <c r="I138" s="513" t="s">
        <v>1702</v>
      </c>
      <c r="J138" s="513" t="s">
        <v>3001</v>
      </c>
      <c r="K138" s="513" t="s">
        <v>3002</v>
      </c>
      <c r="L138" s="513" t="s">
        <v>3013</v>
      </c>
      <c r="M138" s="173">
        <v>87.19</v>
      </c>
      <c r="N138" s="531"/>
    </row>
    <row r="139" spans="1:14" ht="30">
      <c r="A139" s="513">
        <v>26</v>
      </c>
      <c r="B139" s="696"/>
      <c r="C139" s="696"/>
      <c r="D139" s="511" t="s">
        <v>3014</v>
      </c>
      <c r="E139" s="511" t="s">
        <v>3015</v>
      </c>
      <c r="F139" s="513">
        <v>167.22</v>
      </c>
      <c r="G139" s="513">
        <v>167.22</v>
      </c>
      <c r="H139" s="513" t="s">
        <v>3016</v>
      </c>
      <c r="I139" s="513" t="s">
        <v>3017</v>
      </c>
      <c r="J139" s="513" t="s">
        <v>3018</v>
      </c>
      <c r="K139" s="513" t="s">
        <v>3019</v>
      </c>
      <c r="L139" s="513" t="s">
        <v>3020</v>
      </c>
      <c r="M139" s="513" t="s">
        <v>3021</v>
      </c>
      <c r="N139" s="531"/>
    </row>
    <row r="140" spans="1:14" ht="210">
      <c r="A140" s="513">
        <v>27</v>
      </c>
      <c r="B140" s="696"/>
      <c r="C140" s="511" t="s">
        <v>3022</v>
      </c>
      <c r="D140" s="511" t="s">
        <v>2329</v>
      </c>
      <c r="E140" s="511" t="s">
        <v>6522</v>
      </c>
      <c r="F140" s="513" t="s">
        <v>3023</v>
      </c>
      <c r="G140" s="513" t="s">
        <v>3024</v>
      </c>
      <c r="H140" s="513" t="s">
        <v>3025</v>
      </c>
      <c r="I140" s="513" t="s">
        <v>3026</v>
      </c>
      <c r="J140" s="513" t="s">
        <v>1737</v>
      </c>
      <c r="K140" s="542">
        <v>44842</v>
      </c>
      <c r="L140" s="513" t="s">
        <v>3027</v>
      </c>
      <c r="M140" s="513" t="s">
        <v>3028</v>
      </c>
      <c r="N140" s="531"/>
    </row>
    <row r="141" spans="1:14" ht="60">
      <c r="A141" s="513">
        <v>28</v>
      </c>
      <c r="B141" s="696"/>
      <c r="C141" s="696" t="s">
        <v>197</v>
      </c>
      <c r="D141" s="511" t="s">
        <v>3029</v>
      </c>
      <c r="E141" s="511" t="s">
        <v>3030</v>
      </c>
      <c r="F141" s="513">
        <v>111.48</v>
      </c>
      <c r="G141" s="518" t="s">
        <v>35</v>
      </c>
      <c r="H141" s="513" t="s">
        <v>3031</v>
      </c>
      <c r="I141" s="513" t="s">
        <v>3032</v>
      </c>
      <c r="J141" s="513" t="s">
        <v>1737</v>
      </c>
      <c r="K141" s="513" t="s">
        <v>1715</v>
      </c>
      <c r="L141" s="513" t="s">
        <v>3033</v>
      </c>
      <c r="M141" s="513">
        <v>161.46</v>
      </c>
      <c r="N141" s="531"/>
    </row>
    <row r="142" spans="1:14" ht="90">
      <c r="A142" s="513">
        <v>29</v>
      </c>
      <c r="B142" s="696"/>
      <c r="C142" s="696"/>
      <c r="D142" s="511" t="s">
        <v>3034</v>
      </c>
      <c r="E142" s="511" t="s">
        <v>3035</v>
      </c>
      <c r="F142" s="513">
        <v>548.12900000000002</v>
      </c>
      <c r="G142" s="518" t="s">
        <v>35</v>
      </c>
      <c r="H142" s="542">
        <v>43315</v>
      </c>
      <c r="I142" s="513" t="s">
        <v>3032</v>
      </c>
      <c r="J142" s="513" t="s">
        <v>1737</v>
      </c>
      <c r="K142" s="542">
        <v>44652</v>
      </c>
      <c r="L142" s="513" t="s">
        <v>3036</v>
      </c>
      <c r="M142" s="513">
        <v>263.02999999999997</v>
      </c>
      <c r="N142" s="531"/>
    </row>
    <row r="143" spans="1:14" ht="75">
      <c r="A143" s="513">
        <v>30</v>
      </c>
      <c r="B143" s="696"/>
      <c r="C143" s="696"/>
      <c r="D143" s="511" t="s">
        <v>3037</v>
      </c>
      <c r="E143" s="511" t="s">
        <v>3038</v>
      </c>
      <c r="F143" s="513">
        <v>673.54</v>
      </c>
      <c r="G143" s="513">
        <v>1275</v>
      </c>
      <c r="H143" s="542">
        <v>42147</v>
      </c>
      <c r="I143" s="513" t="s">
        <v>3039</v>
      </c>
      <c r="J143" s="513" t="s">
        <v>1737</v>
      </c>
      <c r="K143" s="542">
        <v>44378</v>
      </c>
      <c r="L143" s="513" t="s">
        <v>3040</v>
      </c>
      <c r="M143" s="513">
        <v>220.66</v>
      </c>
      <c r="N143" s="531"/>
    </row>
    <row r="144" spans="1:14" ht="45">
      <c r="A144" s="513">
        <v>31</v>
      </c>
      <c r="B144" s="696"/>
      <c r="C144" s="696"/>
      <c r="D144" s="511" t="s">
        <v>3041</v>
      </c>
      <c r="E144" s="511" t="s">
        <v>3042</v>
      </c>
      <c r="F144" s="513">
        <v>88.62</v>
      </c>
      <c r="G144" s="518" t="s">
        <v>35</v>
      </c>
      <c r="H144" s="542">
        <v>38986</v>
      </c>
      <c r="I144" s="513"/>
      <c r="J144" s="513"/>
      <c r="K144" s="513"/>
      <c r="L144" s="513" t="s">
        <v>3043</v>
      </c>
      <c r="M144" s="513">
        <v>40.799999999999997</v>
      </c>
      <c r="N144" s="531"/>
    </row>
    <row r="145" spans="1:14" ht="30">
      <c r="A145" s="513">
        <v>32</v>
      </c>
      <c r="B145" s="696"/>
      <c r="C145" s="696"/>
      <c r="D145" s="511" t="s">
        <v>3044</v>
      </c>
      <c r="E145" s="511" t="s">
        <v>3045</v>
      </c>
      <c r="F145" s="513">
        <v>137.87</v>
      </c>
      <c r="G145" s="518" t="s">
        <v>35</v>
      </c>
      <c r="H145" s="542">
        <v>42826</v>
      </c>
      <c r="I145" s="513"/>
      <c r="J145" s="513" t="s">
        <v>1742</v>
      </c>
      <c r="K145" s="542">
        <v>44652</v>
      </c>
      <c r="L145" s="513" t="s">
        <v>3046</v>
      </c>
      <c r="M145" s="513">
        <v>84.86</v>
      </c>
      <c r="N145" s="531"/>
    </row>
    <row r="146" spans="1:14" ht="30">
      <c r="A146" s="513">
        <v>33</v>
      </c>
      <c r="B146" s="696"/>
      <c r="C146" s="696"/>
      <c r="D146" s="511" t="s">
        <v>3047</v>
      </c>
      <c r="E146" s="511" t="s">
        <v>3048</v>
      </c>
      <c r="F146" s="513">
        <v>297.27999999999997</v>
      </c>
      <c r="G146" s="518" t="s">
        <v>35</v>
      </c>
      <c r="H146" s="542">
        <v>43150</v>
      </c>
      <c r="I146" s="513"/>
      <c r="J146" s="513" t="s">
        <v>1742</v>
      </c>
      <c r="K146" s="542">
        <v>44944</v>
      </c>
      <c r="L146" s="513" t="s">
        <v>3049</v>
      </c>
      <c r="M146" s="513">
        <v>211.59</v>
      </c>
      <c r="N146" s="531"/>
    </row>
    <row r="147" spans="1:14" ht="90">
      <c r="A147" s="513">
        <v>34</v>
      </c>
      <c r="B147" s="696"/>
      <c r="C147" s="696"/>
      <c r="D147" s="511" t="s">
        <v>3050</v>
      </c>
      <c r="E147" s="511" t="s">
        <v>3051</v>
      </c>
      <c r="F147" s="513">
        <v>111.48</v>
      </c>
      <c r="G147" s="518" t="s">
        <v>35</v>
      </c>
      <c r="H147" s="542">
        <v>37196</v>
      </c>
      <c r="I147" s="513"/>
      <c r="J147" s="513"/>
      <c r="K147" s="513" t="s">
        <v>3052</v>
      </c>
      <c r="L147" s="513" t="s">
        <v>3053</v>
      </c>
      <c r="M147" s="513">
        <v>36.6</v>
      </c>
      <c r="N147" s="531" t="s">
        <v>3054</v>
      </c>
    </row>
    <row r="148" spans="1:14" ht="45">
      <c r="A148" s="513">
        <v>35</v>
      </c>
      <c r="B148" s="696"/>
      <c r="C148" s="696" t="s">
        <v>3055</v>
      </c>
      <c r="D148" s="511" t="s">
        <v>3056</v>
      </c>
      <c r="E148" s="511" t="s">
        <v>3057</v>
      </c>
      <c r="F148" s="513">
        <v>5554</v>
      </c>
      <c r="G148" s="513">
        <v>5554</v>
      </c>
      <c r="H148" s="513" t="s">
        <v>3058</v>
      </c>
      <c r="I148" s="513" t="s">
        <v>1702</v>
      </c>
      <c r="J148" s="513" t="s">
        <v>3059</v>
      </c>
      <c r="K148" s="513" t="s">
        <v>3060</v>
      </c>
      <c r="L148" s="513">
        <v>246931</v>
      </c>
      <c r="M148" s="513">
        <v>44.46</v>
      </c>
      <c r="N148" s="531"/>
    </row>
    <row r="149" spans="1:14" ht="45">
      <c r="A149" s="513">
        <v>36</v>
      </c>
      <c r="B149" s="696"/>
      <c r="C149" s="696"/>
      <c r="D149" s="511" t="s">
        <v>3056</v>
      </c>
      <c r="E149" s="511" t="s">
        <v>3057</v>
      </c>
      <c r="F149" s="513">
        <v>3450</v>
      </c>
      <c r="G149" s="518">
        <v>3450</v>
      </c>
      <c r="H149" s="542" t="s">
        <v>3058</v>
      </c>
      <c r="I149" s="513" t="s">
        <v>1702</v>
      </c>
      <c r="J149" s="513" t="s">
        <v>3059</v>
      </c>
      <c r="K149" s="513" t="s">
        <v>3061</v>
      </c>
      <c r="L149" s="513">
        <v>153387</v>
      </c>
      <c r="M149" s="513">
        <v>44.46</v>
      </c>
      <c r="N149" s="531"/>
    </row>
    <row r="150" spans="1:14" ht="45">
      <c r="A150" s="513">
        <v>37</v>
      </c>
      <c r="B150" s="696"/>
      <c r="C150" s="696"/>
      <c r="D150" s="511" t="s">
        <v>3062</v>
      </c>
      <c r="E150" s="511" t="s">
        <v>3063</v>
      </c>
      <c r="F150" s="513">
        <v>3571</v>
      </c>
      <c r="G150" s="518">
        <v>3571</v>
      </c>
      <c r="H150" s="542">
        <v>43468</v>
      </c>
      <c r="I150" s="513" t="s">
        <v>1702</v>
      </c>
      <c r="J150" s="513" t="s">
        <v>3064</v>
      </c>
      <c r="K150" s="513" t="s">
        <v>3065</v>
      </c>
      <c r="L150" s="513">
        <v>143554</v>
      </c>
      <c r="M150" s="513">
        <v>40.200000000000003</v>
      </c>
      <c r="N150" s="531"/>
    </row>
    <row r="151" spans="1:14" ht="45">
      <c r="A151" s="513">
        <v>38</v>
      </c>
      <c r="B151" s="696"/>
      <c r="C151" s="696"/>
      <c r="D151" s="511" t="s">
        <v>3066</v>
      </c>
      <c r="E151" s="511" t="s">
        <v>3067</v>
      </c>
      <c r="F151" s="513">
        <v>4545</v>
      </c>
      <c r="G151" s="518">
        <v>4545</v>
      </c>
      <c r="H151" s="542">
        <v>43984</v>
      </c>
      <c r="I151" s="513" t="s">
        <v>1702</v>
      </c>
      <c r="J151" s="513" t="s">
        <v>1703</v>
      </c>
      <c r="K151" s="542">
        <v>45048</v>
      </c>
      <c r="L151" s="513">
        <v>86628</v>
      </c>
      <c r="M151" s="513">
        <v>19.059999999999999</v>
      </c>
      <c r="N151" s="531"/>
    </row>
    <row r="152" spans="1:14">
      <c r="A152" s="743"/>
      <c r="B152" s="743"/>
      <c r="C152" s="743"/>
      <c r="D152" s="743"/>
      <c r="E152" s="743"/>
      <c r="F152" s="743"/>
      <c r="G152" s="743"/>
      <c r="H152" s="743"/>
      <c r="I152" s="743"/>
      <c r="J152" s="743"/>
      <c r="K152" s="743"/>
      <c r="L152" s="743"/>
      <c r="M152" s="743"/>
      <c r="N152" s="743"/>
    </row>
    <row r="153" spans="1:14" ht="22.5">
      <c r="A153" s="700" t="s">
        <v>269</v>
      </c>
      <c r="B153" s="700"/>
      <c r="C153" s="700"/>
      <c r="D153" s="700"/>
      <c r="E153" s="700"/>
      <c r="F153" s="700"/>
      <c r="G153" s="700"/>
      <c r="H153" s="700"/>
      <c r="I153" s="700"/>
      <c r="J153" s="700"/>
      <c r="K153" s="700"/>
      <c r="L153" s="700"/>
      <c r="M153" s="700"/>
      <c r="N153" s="700"/>
    </row>
    <row r="154" spans="1:14" ht="20.25">
      <c r="A154" s="757" t="s">
        <v>2669</v>
      </c>
      <c r="B154" s="757"/>
      <c r="C154" s="757"/>
      <c r="D154" s="757"/>
      <c r="E154" s="757"/>
      <c r="F154" s="757"/>
      <c r="G154" s="757"/>
      <c r="H154" s="757"/>
      <c r="I154" s="757"/>
      <c r="J154" s="757"/>
      <c r="K154" s="757"/>
      <c r="L154" s="757"/>
      <c r="M154" s="757"/>
      <c r="N154" s="757"/>
    </row>
    <row r="155" spans="1:14" ht="71.25">
      <c r="A155" s="530" t="s">
        <v>0</v>
      </c>
      <c r="B155" s="19" t="s">
        <v>1616</v>
      </c>
      <c r="C155" s="530" t="s">
        <v>1676</v>
      </c>
      <c r="D155" s="18" t="s">
        <v>1677</v>
      </c>
      <c r="E155" s="18" t="s">
        <v>1678</v>
      </c>
      <c r="F155" s="19" t="s">
        <v>2670</v>
      </c>
      <c r="G155" s="19" t="s">
        <v>2671</v>
      </c>
      <c r="H155" s="19" t="s">
        <v>1679</v>
      </c>
      <c r="I155" s="19" t="s">
        <v>1680</v>
      </c>
      <c r="J155" s="19" t="s">
        <v>1681</v>
      </c>
      <c r="K155" s="19" t="s">
        <v>1682</v>
      </c>
      <c r="L155" s="19" t="s">
        <v>1683</v>
      </c>
      <c r="M155" s="19" t="s">
        <v>1684</v>
      </c>
      <c r="N155" s="19" t="s">
        <v>1685</v>
      </c>
    </row>
    <row r="156" spans="1:14">
      <c r="A156" s="530">
        <v>1</v>
      </c>
      <c r="B156" s="530">
        <v>2</v>
      </c>
      <c r="C156" s="530">
        <v>3</v>
      </c>
      <c r="D156" s="530">
        <v>4</v>
      </c>
      <c r="E156" s="530">
        <v>5</v>
      </c>
      <c r="F156" s="530">
        <v>6</v>
      </c>
      <c r="G156" s="530">
        <v>7</v>
      </c>
      <c r="H156" s="530">
        <v>8</v>
      </c>
      <c r="I156" s="19">
        <v>9</v>
      </c>
      <c r="J156" s="530">
        <v>10</v>
      </c>
      <c r="K156" s="530">
        <v>11</v>
      </c>
      <c r="L156" s="530">
        <v>12</v>
      </c>
      <c r="M156" s="530">
        <v>13</v>
      </c>
      <c r="N156" s="530">
        <v>14</v>
      </c>
    </row>
    <row r="157" spans="1:14" ht="120">
      <c r="A157" s="512">
        <v>1</v>
      </c>
      <c r="B157" s="696" t="s">
        <v>2609</v>
      </c>
      <c r="C157" s="696" t="s">
        <v>6523</v>
      </c>
      <c r="D157" s="511" t="s">
        <v>3068</v>
      </c>
      <c r="E157" s="499" t="s">
        <v>3069</v>
      </c>
      <c r="F157" s="500">
        <v>1307.32</v>
      </c>
      <c r="G157" s="500">
        <v>1316.1030000000001</v>
      </c>
      <c r="H157" s="500" t="s">
        <v>3070</v>
      </c>
      <c r="I157" s="513" t="s">
        <v>1702</v>
      </c>
      <c r="J157" s="500" t="s">
        <v>1737</v>
      </c>
      <c r="K157" s="500" t="s">
        <v>3071</v>
      </c>
      <c r="L157" s="500">
        <v>214320</v>
      </c>
      <c r="M157" s="541">
        <v>215</v>
      </c>
      <c r="N157" s="513"/>
    </row>
    <row r="158" spans="1:14" ht="60">
      <c r="A158" s="512">
        <v>2</v>
      </c>
      <c r="B158" s="696"/>
      <c r="C158" s="696"/>
      <c r="D158" s="511" t="s">
        <v>3072</v>
      </c>
      <c r="E158" s="499" t="s">
        <v>3073</v>
      </c>
      <c r="F158" s="500">
        <v>239.77</v>
      </c>
      <c r="G158" s="500">
        <v>297.39999999999998</v>
      </c>
      <c r="H158" s="500" t="s">
        <v>3074</v>
      </c>
      <c r="I158" s="513" t="s">
        <v>1702</v>
      </c>
      <c r="J158" s="500" t="s">
        <v>1737</v>
      </c>
      <c r="K158" s="500" t="s">
        <v>3075</v>
      </c>
      <c r="L158" s="500">
        <v>5681</v>
      </c>
      <c r="M158" s="541">
        <v>24</v>
      </c>
      <c r="N158" s="513"/>
    </row>
    <row r="159" spans="1:14" ht="45">
      <c r="A159" s="512">
        <v>3</v>
      </c>
      <c r="B159" s="696"/>
      <c r="C159" s="696"/>
      <c r="D159" s="511" t="s">
        <v>3076</v>
      </c>
      <c r="E159" s="499" t="s">
        <v>3077</v>
      </c>
      <c r="F159" s="500">
        <v>109</v>
      </c>
      <c r="G159" s="500">
        <v>126</v>
      </c>
      <c r="H159" s="500" t="s">
        <v>3078</v>
      </c>
      <c r="I159" s="513" t="s">
        <v>1702</v>
      </c>
      <c r="J159" s="500" t="s">
        <v>1737</v>
      </c>
      <c r="K159" s="500" t="s">
        <v>3079</v>
      </c>
      <c r="L159" s="500">
        <v>22000</v>
      </c>
      <c r="M159" s="541">
        <v>183</v>
      </c>
      <c r="N159" s="513"/>
    </row>
    <row r="160" spans="1:14" ht="60">
      <c r="A160" s="512">
        <v>4</v>
      </c>
      <c r="B160" s="696"/>
      <c r="C160" s="696"/>
      <c r="D160" s="511" t="s">
        <v>3080</v>
      </c>
      <c r="E160" s="499" t="s">
        <v>3081</v>
      </c>
      <c r="F160" s="500">
        <v>130</v>
      </c>
      <c r="G160" s="500">
        <v>178.44</v>
      </c>
      <c r="H160" s="500" t="s">
        <v>3082</v>
      </c>
      <c r="I160" s="513" t="s">
        <v>1702</v>
      </c>
      <c r="J160" s="500" t="s">
        <v>1737</v>
      </c>
      <c r="K160" s="500" t="s">
        <v>3083</v>
      </c>
      <c r="L160" s="500">
        <v>19572</v>
      </c>
      <c r="M160" s="541">
        <v>150</v>
      </c>
      <c r="N160" s="513"/>
    </row>
    <row r="161" spans="1:14" ht="60">
      <c r="A161" s="512">
        <v>5</v>
      </c>
      <c r="B161" s="696"/>
      <c r="C161" s="696"/>
      <c r="D161" s="511" t="s">
        <v>3084</v>
      </c>
      <c r="E161" s="499" t="s">
        <v>3085</v>
      </c>
      <c r="F161" s="500" t="s">
        <v>17</v>
      </c>
      <c r="G161" s="500">
        <v>715.35</v>
      </c>
      <c r="H161" s="500" t="s">
        <v>3086</v>
      </c>
      <c r="I161" s="513" t="s">
        <v>1702</v>
      </c>
      <c r="J161" s="500" t="s">
        <v>17</v>
      </c>
      <c r="K161" s="500" t="s">
        <v>3087</v>
      </c>
      <c r="L161" s="500">
        <v>62900</v>
      </c>
      <c r="M161" s="541">
        <f t="shared" ref="M161:M173" si="0">L161/G161</f>
        <v>87.928985811141402</v>
      </c>
      <c r="N161" s="513"/>
    </row>
    <row r="162" spans="1:14" ht="45">
      <c r="A162" s="512">
        <v>6</v>
      </c>
      <c r="B162" s="696"/>
      <c r="C162" s="696"/>
      <c r="D162" s="511" t="s">
        <v>3088</v>
      </c>
      <c r="E162" s="499" t="s">
        <v>3089</v>
      </c>
      <c r="F162" s="500">
        <v>284.75</v>
      </c>
      <c r="G162" s="500">
        <v>341.88</v>
      </c>
      <c r="H162" s="500" t="s">
        <v>3090</v>
      </c>
      <c r="I162" s="513" t="s">
        <v>1702</v>
      </c>
      <c r="J162" s="500" t="s">
        <v>17</v>
      </c>
      <c r="K162" s="500" t="s">
        <v>3091</v>
      </c>
      <c r="L162" s="500">
        <v>36800</v>
      </c>
      <c r="M162" s="541">
        <f>L162/G162</f>
        <v>107.64010764010764</v>
      </c>
      <c r="N162" s="513"/>
    </row>
    <row r="163" spans="1:14" ht="60">
      <c r="A163" s="512">
        <v>7</v>
      </c>
      <c r="B163" s="696"/>
      <c r="C163" s="696"/>
      <c r="D163" s="511" t="s">
        <v>3092</v>
      </c>
      <c r="E163" s="499" t="s">
        <v>3093</v>
      </c>
      <c r="F163" s="500">
        <v>250.65</v>
      </c>
      <c r="G163" s="500">
        <v>292.36</v>
      </c>
      <c r="H163" s="500" t="s">
        <v>3094</v>
      </c>
      <c r="I163" s="513" t="s">
        <v>1702</v>
      </c>
      <c r="J163" s="500" t="s">
        <v>17</v>
      </c>
      <c r="K163" s="500" t="s">
        <v>1789</v>
      </c>
      <c r="L163" s="500">
        <v>31458</v>
      </c>
      <c r="M163" s="541">
        <f>L163/G163</f>
        <v>107.60021890819537</v>
      </c>
      <c r="N163" s="513"/>
    </row>
    <row r="164" spans="1:14" ht="60">
      <c r="A164" s="512">
        <v>8</v>
      </c>
      <c r="B164" s="696"/>
      <c r="C164" s="696"/>
      <c r="D164" s="511" t="s">
        <v>3095</v>
      </c>
      <c r="E164" s="499" t="s">
        <v>3096</v>
      </c>
      <c r="F164" s="500">
        <v>328.99</v>
      </c>
      <c r="G164" s="500">
        <v>409.85</v>
      </c>
      <c r="H164" s="500" t="s">
        <v>3097</v>
      </c>
      <c r="I164" s="513" t="s">
        <v>1702</v>
      </c>
      <c r="J164" s="500" t="s">
        <v>1742</v>
      </c>
      <c r="K164" s="500" t="s">
        <v>3091</v>
      </c>
      <c r="L164" s="500">
        <v>66150</v>
      </c>
      <c r="M164" s="541">
        <f t="shared" si="0"/>
        <v>161.400512382579</v>
      </c>
      <c r="N164" s="513"/>
    </row>
    <row r="165" spans="1:14" ht="60">
      <c r="A165" s="512">
        <v>9</v>
      </c>
      <c r="B165" s="696"/>
      <c r="C165" s="696"/>
      <c r="D165" s="511" t="s">
        <v>3098</v>
      </c>
      <c r="E165" s="499" t="s">
        <v>3099</v>
      </c>
      <c r="F165" s="500">
        <v>125.46</v>
      </c>
      <c r="G165" s="500" t="s">
        <v>17</v>
      </c>
      <c r="H165" s="500" t="s">
        <v>3100</v>
      </c>
      <c r="I165" s="513" t="s">
        <v>1702</v>
      </c>
      <c r="J165" s="500" t="s">
        <v>1742</v>
      </c>
      <c r="K165" s="500" t="s">
        <v>3101</v>
      </c>
      <c r="L165" s="500">
        <v>13500</v>
      </c>
      <c r="M165" s="541">
        <f>L165/F165</f>
        <v>107.60401721664276</v>
      </c>
      <c r="N165" s="513"/>
    </row>
    <row r="166" spans="1:14" ht="90">
      <c r="A166" s="512">
        <v>10</v>
      </c>
      <c r="B166" s="696"/>
      <c r="C166" s="696"/>
      <c r="D166" s="511" t="s">
        <v>3102</v>
      </c>
      <c r="E166" s="499" t="s">
        <v>3103</v>
      </c>
      <c r="F166" s="500">
        <v>125.46</v>
      </c>
      <c r="G166" s="500" t="s">
        <v>17</v>
      </c>
      <c r="H166" s="500" t="s">
        <v>3104</v>
      </c>
      <c r="I166" s="513" t="s">
        <v>1702</v>
      </c>
      <c r="J166" s="500" t="s">
        <v>1742</v>
      </c>
      <c r="K166" s="500" t="s">
        <v>3105</v>
      </c>
      <c r="L166" s="500">
        <v>18900</v>
      </c>
      <c r="M166" s="541">
        <f>L166/F166</f>
        <v>150.64562410329987</v>
      </c>
      <c r="N166" s="513"/>
    </row>
    <row r="167" spans="1:14" ht="60">
      <c r="A167" s="512">
        <v>11</v>
      </c>
      <c r="B167" s="696"/>
      <c r="C167" s="696"/>
      <c r="D167" s="511" t="s">
        <v>3106</v>
      </c>
      <c r="E167" s="499" t="s">
        <v>3107</v>
      </c>
      <c r="F167" s="500">
        <v>171</v>
      </c>
      <c r="G167" s="500" t="s">
        <v>17</v>
      </c>
      <c r="H167" s="500" t="s">
        <v>2960</v>
      </c>
      <c r="I167" s="513" t="s">
        <v>1702</v>
      </c>
      <c r="J167" s="500" t="s">
        <v>1742</v>
      </c>
      <c r="K167" s="500" t="s">
        <v>3108</v>
      </c>
      <c r="L167" s="500">
        <v>13800</v>
      </c>
      <c r="M167" s="541">
        <v>80</v>
      </c>
      <c r="N167" s="513"/>
    </row>
    <row r="168" spans="1:14" ht="120">
      <c r="A168" s="512">
        <v>12</v>
      </c>
      <c r="B168" s="696"/>
      <c r="C168" s="696"/>
      <c r="D168" s="511" t="s">
        <v>3109</v>
      </c>
      <c r="E168" s="499" t="s">
        <v>3110</v>
      </c>
      <c r="F168" s="500">
        <v>703.63</v>
      </c>
      <c r="G168" s="500">
        <v>1049.8</v>
      </c>
      <c r="H168" s="500" t="s">
        <v>3111</v>
      </c>
      <c r="I168" s="513" t="s">
        <v>1702</v>
      </c>
      <c r="J168" s="500" t="s">
        <v>1737</v>
      </c>
      <c r="K168" s="500" t="s">
        <v>1899</v>
      </c>
      <c r="L168" s="500">
        <v>102248</v>
      </c>
      <c r="M168" s="541">
        <v>145</v>
      </c>
      <c r="N168" s="513"/>
    </row>
    <row r="169" spans="1:14" ht="120">
      <c r="A169" s="512">
        <v>13</v>
      </c>
      <c r="B169" s="696"/>
      <c r="C169" s="696"/>
      <c r="D169" s="511" t="s">
        <v>3112</v>
      </c>
      <c r="E169" s="498" t="s">
        <v>3113</v>
      </c>
      <c r="F169" s="500">
        <v>132.47</v>
      </c>
      <c r="G169" s="500">
        <v>147.43</v>
      </c>
      <c r="H169" s="500" t="s">
        <v>3114</v>
      </c>
      <c r="I169" s="513" t="s">
        <v>1702</v>
      </c>
      <c r="J169" s="500" t="s">
        <v>1737</v>
      </c>
      <c r="K169" s="500" t="s">
        <v>1755</v>
      </c>
      <c r="L169" s="500">
        <v>20000</v>
      </c>
      <c r="M169" s="541">
        <f>L169/G169</f>
        <v>135.65760021705216</v>
      </c>
      <c r="N169" s="513"/>
    </row>
    <row r="170" spans="1:14" ht="105">
      <c r="A170" s="512">
        <v>14</v>
      </c>
      <c r="B170" s="696"/>
      <c r="C170" s="696"/>
      <c r="D170" s="511" t="s">
        <v>3115</v>
      </c>
      <c r="E170" s="499" t="s">
        <v>3116</v>
      </c>
      <c r="F170" s="500">
        <v>802.5</v>
      </c>
      <c r="G170" s="500">
        <v>927.6</v>
      </c>
      <c r="H170" s="500" t="s">
        <v>3117</v>
      </c>
      <c r="I170" s="513" t="s">
        <v>1702</v>
      </c>
      <c r="J170" s="500" t="s">
        <v>1737</v>
      </c>
      <c r="K170" s="500" t="s">
        <v>3118</v>
      </c>
      <c r="L170" s="500">
        <v>94900</v>
      </c>
      <c r="M170" s="541">
        <v>129.12</v>
      </c>
      <c r="N170" s="513"/>
    </row>
    <row r="171" spans="1:14" ht="75">
      <c r="A171" s="512">
        <v>15</v>
      </c>
      <c r="B171" s="696"/>
      <c r="C171" s="696"/>
      <c r="D171" s="511" t="s">
        <v>3119</v>
      </c>
      <c r="E171" s="499" t="s">
        <v>3120</v>
      </c>
      <c r="F171" s="500">
        <v>772.54</v>
      </c>
      <c r="G171" s="500" t="s">
        <v>17</v>
      </c>
      <c r="H171" s="500" t="s">
        <v>3121</v>
      </c>
      <c r="I171" s="513" t="s">
        <v>1702</v>
      </c>
      <c r="J171" s="500" t="s">
        <v>1776</v>
      </c>
      <c r="K171" s="500" t="s">
        <v>3122</v>
      </c>
      <c r="L171" s="500">
        <v>193885</v>
      </c>
      <c r="M171" s="541">
        <f>L171/F171</f>
        <v>250.97082351722889</v>
      </c>
      <c r="N171" s="513"/>
    </row>
    <row r="172" spans="1:14" ht="45">
      <c r="A172" s="512">
        <v>16</v>
      </c>
      <c r="B172" s="696"/>
      <c r="C172" s="696"/>
      <c r="D172" s="511" t="s">
        <v>3123</v>
      </c>
      <c r="E172" s="499" t="s">
        <v>3124</v>
      </c>
      <c r="F172" s="500">
        <v>157.59</v>
      </c>
      <c r="G172" s="174">
        <f t="shared" ref="G172:G173" si="1">F172*1.25</f>
        <v>196.98750000000001</v>
      </c>
      <c r="H172" s="175" t="s">
        <v>3125</v>
      </c>
      <c r="I172" s="513" t="s">
        <v>1702</v>
      </c>
      <c r="J172" s="500" t="s">
        <v>3018</v>
      </c>
      <c r="K172" s="175" t="s">
        <v>3126</v>
      </c>
      <c r="L172" s="500">
        <v>9496</v>
      </c>
      <c r="M172" s="541">
        <f>L172/G172</f>
        <v>48.206104448251793</v>
      </c>
      <c r="N172" s="513"/>
    </row>
    <row r="173" spans="1:14" ht="45">
      <c r="A173" s="512">
        <v>17</v>
      </c>
      <c r="B173" s="696"/>
      <c r="C173" s="696"/>
      <c r="D173" s="511" t="s">
        <v>3127</v>
      </c>
      <c r="E173" s="499" t="s">
        <v>3128</v>
      </c>
      <c r="F173" s="500">
        <v>96.84</v>
      </c>
      <c r="G173" s="174">
        <f t="shared" si="1"/>
        <v>121.05000000000001</v>
      </c>
      <c r="H173" s="500" t="s">
        <v>3129</v>
      </c>
      <c r="I173" s="513" t="s">
        <v>1702</v>
      </c>
      <c r="J173" s="500" t="s">
        <v>1742</v>
      </c>
      <c r="K173" s="500" t="s">
        <v>3130</v>
      </c>
      <c r="L173" s="500">
        <v>14000</v>
      </c>
      <c r="M173" s="541">
        <f t="shared" si="0"/>
        <v>115.65468814539446</v>
      </c>
      <c r="N173" s="513"/>
    </row>
    <row r="174" spans="1:14" ht="45">
      <c r="A174" s="512">
        <v>18</v>
      </c>
      <c r="B174" s="696"/>
      <c r="C174" s="696" t="s">
        <v>3131</v>
      </c>
      <c r="D174" s="511" t="s">
        <v>3132</v>
      </c>
      <c r="E174" s="511" t="s">
        <v>3133</v>
      </c>
      <c r="F174" s="513">
        <v>835.49</v>
      </c>
      <c r="G174" s="513"/>
      <c r="H174" s="513" t="s">
        <v>2782</v>
      </c>
      <c r="I174" s="513" t="s">
        <v>1702</v>
      </c>
      <c r="J174" s="513" t="s">
        <v>1703</v>
      </c>
      <c r="K174" s="513" t="s">
        <v>3134</v>
      </c>
      <c r="L174" s="513" t="s">
        <v>3135</v>
      </c>
      <c r="M174" s="513"/>
      <c r="N174" s="513"/>
    </row>
    <row r="175" spans="1:14" ht="45">
      <c r="A175" s="512">
        <v>19</v>
      </c>
      <c r="B175" s="696"/>
      <c r="C175" s="696"/>
      <c r="D175" s="511" t="s">
        <v>3136</v>
      </c>
      <c r="E175" s="511" t="s">
        <v>3133</v>
      </c>
      <c r="F175" s="513">
        <v>321.08</v>
      </c>
      <c r="G175" s="513"/>
      <c r="H175" s="513" t="s">
        <v>2782</v>
      </c>
      <c r="I175" s="513" t="s">
        <v>1702</v>
      </c>
      <c r="J175" s="513" t="s">
        <v>1703</v>
      </c>
      <c r="K175" s="513" t="s">
        <v>3134</v>
      </c>
      <c r="L175" s="513" t="s">
        <v>3137</v>
      </c>
      <c r="M175" s="513"/>
      <c r="N175" s="513"/>
    </row>
    <row r="176" spans="1:14" ht="60">
      <c r="A176" s="512">
        <v>20</v>
      </c>
      <c r="B176" s="696"/>
      <c r="C176" s="696"/>
      <c r="D176" s="511" t="s">
        <v>3138</v>
      </c>
      <c r="E176" s="511" t="s">
        <v>3139</v>
      </c>
      <c r="F176" s="513">
        <v>114.6</v>
      </c>
      <c r="G176" s="513">
        <v>130.11000000000001</v>
      </c>
      <c r="H176" s="513" t="s">
        <v>2960</v>
      </c>
      <c r="I176" s="513" t="s">
        <v>1702</v>
      </c>
      <c r="J176" s="513" t="s">
        <v>1703</v>
      </c>
      <c r="K176" s="513" t="s">
        <v>1755</v>
      </c>
      <c r="L176" s="513" t="s">
        <v>3140</v>
      </c>
      <c r="M176" s="513"/>
      <c r="N176" s="513"/>
    </row>
    <row r="177" spans="1:14" ht="60">
      <c r="A177" s="512">
        <v>21</v>
      </c>
      <c r="B177" s="696"/>
      <c r="C177" s="696"/>
      <c r="D177" s="511" t="s">
        <v>3141</v>
      </c>
      <c r="E177" s="511" t="s">
        <v>3142</v>
      </c>
      <c r="F177" s="513">
        <v>220.13</v>
      </c>
      <c r="G177" s="513">
        <v>232.34</v>
      </c>
      <c r="H177" s="513" t="s">
        <v>3143</v>
      </c>
      <c r="I177" s="513" t="s">
        <v>1702</v>
      </c>
      <c r="J177" s="513" t="s">
        <v>1703</v>
      </c>
      <c r="K177" s="513" t="s">
        <v>3144</v>
      </c>
      <c r="L177" s="513" t="s">
        <v>3145</v>
      </c>
      <c r="M177" s="513"/>
      <c r="N177" s="513"/>
    </row>
    <row r="178" spans="1:14" ht="45">
      <c r="A178" s="512">
        <v>22</v>
      </c>
      <c r="B178" s="696"/>
      <c r="C178" s="696"/>
      <c r="D178" s="511" t="s">
        <v>3146</v>
      </c>
      <c r="E178" s="511" t="s">
        <v>3147</v>
      </c>
      <c r="F178" s="513">
        <v>571.35</v>
      </c>
      <c r="G178" s="513"/>
      <c r="H178" s="513" t="s">
        <v>3148</v>
      </c>
      <c r="I178" s="513" t="s">
        <v>1702</v>
      </c>
      <c r="J178" s="513" t="s">
        <v>1703</v>
      </c>
      <c r="K178" s="513" t="s">
        <v>3149</v>
      </c>
      <c r="L178" s="513" t="s">
        <v>3150</v>
      </c>
      <c r="M178" s="513"/>
      <c r="N178" s="513"/>
    </row>
    <row r="179" spans="1:14" ht="45">
      <c r="A179" s="512">
        <v>23</v>
      </c>
      <c r="B179" s="696"/>
      <c r="C179" s="696"/>
      <c r="D179" s="511" t="s">
        <v>3151</v>
      </c>
      <c r="E179" s="511" t="s">
        <v>3147</v>
      </c>
      <c r="F179" s="513">
        <v>117.98</v>
      </c>
      <c r="G179" s="513"/>
      <c r="H179" s="513" t="s">
        <v>3152</v>
      </c>
      <c r="I179" s="513" t="s">
        <v>1702</v>
      </c>
      <c r="J179" s="513" t="s">
        <v>1703</v>
      </c>
      <c r="K179" s="513" t="s">
        <v>2876</v>
      </c>
      <c r="L179" s="513" t="s">
        <v>3153</v>
      </c>
      <c r="M179" s="513"/>
      <c r="N179" s="513"/>
    </row>
    <row r="180" spans="1:14" ht="30">
      <c r="A180" s="512">
        <v>24</v>
      </c>
      <c r="B180" s="696"/>
      <c r="C180" s="696"/>
      <c r="D180" s="511" t="s">
        <v>3154</v>
      </c>
      <c r="E180" s="511" t="s">
        <v>3155</v>
      </c>
      <c r="F180" s="513">
        <v>125.41</v>
      </c>
      <c r="G180" s="513"/>
      <c r="H180" s="513" t="s">
        <v>2828</v>
      </c>
      <c r="I180" s="513" t="s">
        <v>1702</v>
      </c>
      <c r="J180" s="513" t="s">
        <v>1703</v>
      </c>
      <c r="K180" s="513" t="s">
        <v>1919</v>
      </c>
      <c r="L180" s="513" t="s">
        <v>3156</v>
      </c>
      <c r="M180" s="513"/>
      <c r="N180" s="513"/>
    </row>
    <row r="181" spans="1:14" ht="30">
      <c r="A181" s="512">
        <v>25</v>
      </c>
      <c r="B181" s="696"/>
      <c r="C181" s="696"/>
      <c r="D181" s="511" t="s">
        <v>3157</v>
      </c>
      <c r="E181" s="511" t="s">
        <v>3158</v>
      </c>
      <c r="F181" s="513"/>
      <c r="G181" s="513"/>
      <c r="H181" s="513" t="s">
        <v>3159</v>
      </c>
      <c r="I181" s="513" t="s">
        <v>1702</v>
      </c>
      <c r="J181" s="513" t="s">
        <v>1703</v>
      </c>
      <c r="K181" s="513" t="s">
        <v>3160</v>
      </c>
      <c r="L181" s="513" t="s">
        <v>3161</v>
      </c>
      <c r="M181" s="513"/>
      <c r="N181" s="513"/>
    </row>
    <row r="182" spans="1:14" ht="90">
      <c r="A182" s="512">
        <v>26</v>
      </c>
      <c r="B182" s="696"/>
      <c r="C182" s="696"/>
      <c r="D182" s="511" t="s">
        <v>3162</v>
      </c>
      <c r="E182" s="511" t="s">
        <v>3163</v>
      </c>
      <c r="F182" s="513">
        <v>571.76</v>
      </c>
      <c r="G182" s="513">
        <v>714.7</v>
      </c>
      <c r="H182" s="513" t="s">
        <v>3164</v>
      </c>
      <c r="I182" s="513" t="s">
        <v>1702</v>
      </c>
      <c r="J182" s="513" t="s">
        <v>1703</v>
      </c>
      <c r="K182" s="513" t="s">
        <v>3165</v>
      </c>
      <c r="L182" s="513" t="s">
        <v>3166</v>
      </c>
      <c r="M182" s="513"/>
      <c r="N182" s="513"/>
    </row>
    <row r="183" spans="1:14" ht="90">
      <c r="A183" s="512">
        <v>27</v>
      </c>
      <c r="B183" s="696"/>
      <c r="C183" s="696"/>
      <c r="D183" s="511" t="s">
        <v>3167</v>
      </c>
      <c r="E183" s="511" t="s">
        <v>3168</v>
      </c>
      <c r="F183" s="513">
        <v>411.04</v>
      </c>
      <c r="G183" s="513">
        <v>411.04</v>
      </c>
      <c r="H183" s="513" t="s">
        <v>3143</v>
      </c>
      <c r="I183" s="513" t="s">
        <v>3169</v>
      </c>
      <c r="J183" s="513" t="s">
        <v>1703</v>
      </c>
      <c r="K183" s="513" t="s">
        <v>3144</v>
      </c>
      <c r="L183" s="513" t="s">
        <v>3170</v>
      </c>
      <c r="M183" s="513"/>
      <c r="N183" s="513"/>
    </row>
    <row r="184" spans="1:14">
      <c r="A184" s="743"/>
      <c r="B184" s="743"/>
      <c r="C184" s="743"/>
      <c r="D184" s="743"/>
      <c r="E184" s="743"/>
      <c r="F184" s="743"/>
      <c r="G184" s="743"/>
      <c r="H184" s="743"/>
      <c r="I184" s="743"/>
      <c r="J184" s="743"/>
      <c r="K184" s="743"/>
      <c r="L184" s="743"/>
      <c r="M184" s="743"/>
      <c r="N184" s="743"/>
    </row>
    <row r="185" spans="1:14" ht="22.5">
      <c r="A185" s="700" t="s">
        <v>2672</v>
      </c>
      <c r="B185" s="700"/>
      <c r="C185" s="700"/>
      <c r="D185" s="700"/>
      <c r="E185" s="700"/>
      <c r="F185" s="700"/>
      <c r="G185" s="700"/>
      <c r="H185" s="700"/>
      <c r="I185" s="700"/>
      <c r="J185" s="700"/>
      <c r="K185" s="700"/>
      <c r="L185" s="700"/>
      <c r="M185" s="700"/>
      <c r="N185" s="700"/>
    </row>
    <row r="186" spans="1:14" ht="20.25">
      <c r="A186" s="757" t="s">
        <v>2669</v>
      </c>
      <c r="B186" s="757"/>
      <c r="C186" s="757"/>
      <c r="D186" s="757"/>
      <c r="E186" s="757"/>
      <c r="F186" s="757"/>
      <c r="G186" s="757"/>
      <c r="H186" s="757"/>
      <c r="I186" s="757"/>
      <c r="J186" s="757"/>
      <c r="K186" s="757"/>
      <c r="L186" s="757"/>
      <c r="M186" s="757"/>
      <c r="N186" s="757"/>
    </row>
    <row r="187" spans="1:14" ht="71.25">
      <c r="A187" s="530" t="s">
        <v>0</v>
      </c>
      <c r="B187" s="19" t="s">
        <v>1616</v>
      </c>
      <c r="C187" s="530" t="s">
        <v>1676</v>
      </c>
      <c r="D187" s="18" t="s">
        <v>1677</v>
      </c>
      <c r="E187" s="18" t="s">
        <v>1678</v>
      </c>
      <c r="F187" s="19" t="s">
        <v>2670</v>
      </c>
      <c r="G187" s="19" t="s">
        <v>2671</v>
      </c>
      <c r="H187" s="19" t="s">
        <v>1679</v>
      </c>
      <c r="I187" s="19" t="s">
        <v>1680</v>
      </c>
      <c r="J187" s="19" t="s">
        <v>1681</v>
      </c>
      <c r="K187" s="19" t="s">
        <v>1682</v>
      </c>
      <c r="L187" s="19" t="s">
        <v>1683</v>
      </c>
      <c r="M187" s="19" t="s">
        <v>1684</v>
      </c>
      <c r="N187" s="19" t="s">
        <v>1685</v>
      </c>
    </row>
    <row r="188" spans="1:14">
      <c r="A188" s="530">
        <v>1</v>
      </c>
      <c r="B188" s="530">
        <v>2</v>
      </c>
      <c r="C188" s="530">
        <v>3</v>
      </c>
      <c r="D188" s="530">
        <v>4</v>
      </c>
      <c r="E188" s="530">
        <v>5</v>
      </c>
      <c r="F188" s="530">
        <v>6</v>
      </c>
      <c r="G188" s="530">
        <v>7</v>
      </c>
      <c r="H188" s="530">
        <v>8</v>
      </c>
      <c r="I188" s="19">
        <v>9</v>
      </c>
      <c r="J188" s="530">
        <v>10</v>
      </c>
      <c r="K188" s="530">
        <v>11</v>
      </c>
      <c r="L188" s="530">
        <v>12</v>
      </c>
      <c r="M188" s="530">
        <v>13</v>
      </c>
      <c r="N188" s="530">
        <v>14</v>
      </c>
    </row>
    <row r="189" spans="1:14" ht="90">
      <c r="A189" s="513">
        <v>1</v>
      </c>
      <c r="B189" s="696" t="s">
        <v>3171</v>
      </c>
      <c r="C189" s="696" t="s">
        <v>3172</v>
      </c>
      <c r="D189" s="511" t="s">
        <v>3173</v>
      </c>
      <c r="E189" s="511" t="s">
        <v>3174</v>
      </c>
      <c r="F189" s="513">
        <v>456</v>
      </c>
      <c r="G189" s="513">
        <v>456</v>
      </c>
      <c r="H189" s="513" t="s">
        <v>3175</v>
      </c>
      <c r="I189" s="513" t="s">
        <v>1702</v>
      </c>
      <c r="J189" s="513" t="s">
        <v>3177</v>
      </c>
      <c r="K189" s="513" t="s">
        <v>3178</v>
      </c>
      <c r="L189" s="513" t="s">
        <v>3179</v>
      </c>
      <c r="M189" s="513" t="s">
        <v>87</v>
      </c>
      <c r="N189" s="513" t="s">
        <v>87</v>
      </c>
    </row>
    <row r="190" spans="1:14" ht="105">
      <c r="A190" s="513">
        <v>2</v>
      </c>
      <c r="B190" s="696"/>
      <c r="C190" s="696"/>
      <c r="D190" s="511" t="s">
        <v>3180</v>
      </c>
      <c r="E190" s="511" t="s">
        <v>3180</v>
      </c>
      <c r="F190" s="513">
        <v>603</v>
      </c>
      <c r="G190" s="513">
        <v>603</v>
      </c>
      <c r="H190" s="513" t="s">
        <v>3181</v>
      </c>
      <c r="I190" s="513" t="s">
        <v>1702</v>
      </c>
      <c r="J190" s="513">
        <v>5</v>
      </c>
      <c r="K190" s="513" t="s">
        <v>3182</v>
      </c>
      <c r="L190" s="513" t="s">
        <v>3183</v>
      </c>
      <c r="M190" s="513" t="s">
        <v>3184</v>
      </c>
      <c r="N190" s="500" t="s">
        <v>87</v>
      </c>
    </row>
    <row r="191" spans="1:14" ht="45">
      <c r="A191" s="513">
        <v>3</v>
      </c>
      <c r="B191" s="696"/>
      <c r="C191" s="696"/>
      <c r="D191" s="511" t="s">
        <v>3185</v>
      </c>
      <c r="E191" s="511" t="s">
        <v>3186</v>
      </c>
      <c r="F191" s="513">
        <v>124.2</v>
      </c>
      <c r="G191" s="513">
        <v>124.2</v>
      </c>
      <c r="H191" s="513" t="s">
        <v>3187</v>
      </c>
      <c r="I191" s="513" t="s">
        <v>3188</v>
      </c>
      <c r="J191" s="513">
        <v>3</v>
      </c>
      <c r="K191" s="513" t="s">
        <v>3189</v>
      </c>
      <c r="L191" s="513">
        <v>23391</v>
      </c>
      <c r="M191" s="513">
        <v>188.34</v>
      </c>
      <c r="N191" s="513" t="s">
        <v>87</v>
      </c>
    </row>
    <row r="192" spans="1:14" ht="45">
      <c r="A192" s="513">
        <v>4</v>
      </c>
      <c r="B192" s="696"/>
      <c r="C192" s="696"/>
      <c r="D192" s="511" t="s">
        <v>3190</v>
      </c>
      <c r="E192" s="511" t="s">
        <v>3191</v>
      </c>
      <c r="F192" s="513">
        <v>92.9</v>
      </c>
      <c r="G192" s="513">
        <v>92.9</v>
      </c>
      <c r="H192" s="513" t="s">
        <v>3192</v>
      </c>
      <c r="I192" s="513" t="s">
        <v>3188</v>
      </c>
      <c r="J192" s="513">
        <v>3</v>
      </c>
      <c r="K192" s="513" t="s">
        <v>3193</v>
      </c>
      <c r="L192" s="513">
        <v>23000</v>
      </c>
      <c r="M192" s="513">
        <v>247.58</v>
      </c>
      <c r="N192" s="513" t="s">
        <v>87</v>
      </c>
    </row>
    <row r="193" spans="1:14" ht="60">
      <c r="A193" s="513">
        <v>5</v>
      </c>
      <c r="B193" s="694"/>
      <c r="C193" s="696" t="s">
        <v>3194</v>
      </c>
      <c r="D193" s="511" t="s">
        <v>3195</v>
      </c>
      <c r="E193" s="511" t="s">
        <v>3196</v>
      </c>
      <c r="F193" s="513">
        <v>92.9</v>
      </c>
      <c r="G193" s="513">
        <v>92.9</v>
      </c>
      <c r="H193" s="513" t="s">
        <v>3197</v>
      </c>
      <c r="I193" s="513" t="s">
        <v>3188</v>
      </c>
      <c r="J193" s="513">
        <v>3</v>
      </c>
      <c r="K193" s="513" t="s">
        <v>3198</v>
      </c>
      <c r="L193" s="513">
        <v>23000</v>
      </c>
      <c r="M193" s="513">
        <v>247.58</v>
      </c>
      <c r="N193" s="513" t="s">
        <v>87</v>
      </c>
    </row>
    <row r="194" spans="1:14" ht="45">
      <c r="A194" s="513">
        <v>6</v>
      </c>
      <c r="B194" s="694"/>
      <c r="C194" s="696"/>
      <c r="D194" s="511" t="s">
        <v>3199</v>
      </c>
      <c r="E194" s="511" t="s">
        <v>3200</v>
      </c>
      <c r="F194" s="513" t="s">
        <v>3201</v>
      </c>
      <c r="G194" s="513" t="s">
        <v>3202</v>
      </c>
      <c r="H194" s="513" t="s">
        <v>3203</v>
      </c>
      <c r="I194" s="513" t="s">
        <v>3204</v>
      </c>
      <c r="J194" s="513" t="s">
        <v>3205</v>
      </c>
      <c r="K194" s="513">
        <v>1992</v>
      </c>
      <c r="L194" s="513">
        <v>3200</v>
      </c>
      <c r="M194" s="513" t="s">
        <v>3206</v>
      </c>
      <c r="N194" s="70" t="s">
        <v>362</v>
      </c>
    </row>
    <row r="195" spans="1:14" ht="45">
      <c r="A195" s="513">
        <v>7</v>
      </c>
      <c r="B195" s="694"/>
      <c r="C195" s="696"/>
      <c r="D195" s="511" t="s">
        <v>3207</v>
      </c>
      <c r="E195" s="511" t="s">
        <v>3208</v>
      </c>
      <c r="F195" s="513">
        <v>422</v>
      </c>
      <c r="G195" s="513">
        <v>422</v>
      </c>
      <c r="H195" s="513" t="s">
        <v>3209</v>
      </c>
      <c r="I195" s="513" t="s">
        <v>3176</v>
      </c>
      <c r="J195" s="513" t="s">
        <v>1742</v>
      </c>
      <c r="K195" s="513" t="s">
        <v>3210</v>
      </c>
      <c r="L195" s="513" t="s">
        <v>3211</v>
      </c>
      <c r="M195" s="513">
        <v>288</v>
      </c>
      <c r="N195" s="513" t="s">
        <v>87</v>
      </c>
    </row>
    <row r="196" spans="1:14" ht="45">
      <c r="A196" s="513">
        <v>8</v>
      </c>
      <c r="B196" s="694"/>
      <c r="C196" s="696"/>
      <c r="D196" s="511" t="s">
        <v>3212</v>
      </c>
      <c r="E196" s="511" t="s">
        <v>3213</v>
      </c>
      <c r="F196" s="513">
        <v>93</v>
      </c>
      <c r="G196" s="513">
        <v>93</v>
      </c>
      <c r="H196" s="513" t="s">
        <v>3214</v>
      </c>
      <c r="I196" s="513" t="s">
        <v>3176</v>
      </c>
      <c r="J196" s="513" t="s">
        <v>1737</v>
      </c>
      <c r="K196" s="513" t="s">
        <v>3215</v>
      </c>
      <c r="L196" s="513" t="s">
        <v>3216</v>
      </c>
      <c r="M196" s="513" t="s">
        <v>35</v>
      </c>
      <c r="N196" s="513" t="s">
        <v>87</v>
      </c>
    </row>
    <row r="197" spans="1:14" ht="45">
      <c r="A197" s="513">
        <v>9</v>
      </c>
      <c r="B197" s="694"/>
      <c r="C197" s="696"/>
      <c r="D197" s="511" t="s">
        <v>3217</v>
      </c>
      <c r="E197" s="511" t="s">
        <v>3218</v>
      </c>
      <c r="F197" s="513">
        <v>198.16</v>
      </c>
      <c r="G197" s="513" t="s">
        <v>3219</v>
      </c>
      <c r="H197" s="513" t="s">
        <v>1546</v>
      </c>
      <c r="I197" s="513" t="s">
        <v>1702</v>
      </c>
      <c r="J197" s="513" t="s">
        <v>1742</v>
      </c>
      <c r="K197" s="513" t="s">
        <v>3220</v>
      </c>
      <c r="L197" s="513" t="s">
        <v>3221</v>
      </c>
      <c r="M197" s="513">
        <v>387.5</v>
      </c>
      <c r="N197" s="513" t="s">
        <v>87</v>
      </c>
    </row>
    <row r="198" spans="1:14" ht="75">
      <c r="A198" s="513">
        <v>10</v>
      </c>
      <c r="B198" s="694"/>
      <c r="C198" s="696"/>
      <c r="D198" s="511" t="s">
        <v>3222</v>
      </c>
      <c r="E198" s="511" t="s">
        <v>3223</v>
      </c>
      <c r="F198" s="513">
        <v>367.88</v>
      </c>
      <c r="G198" s="513">
        <v>367.88</v>
      </c>
      <c r="H198" s="513" t="s">
        <v>3224</v>
      </c>
      <c r="I198" s="513" t="s">
        <v>3225</v>
      </c>
      <c r="J198" s="513" t="s">
        <v>3226</v>
      </c>
      <c r="K198" s="513" t="s">
        <v>3227</v>
      </c>
      <c r="L198" s="513" t="s">
        <v>3228</v>
      </c>
      <c r="M198" s="545">
        <f>107639/367.88</f>
        <v>292.59269326954444</v>
      </c>
      <c r="N198" s="500" t="s">
        <v>302</v>
      </c>
    </row>
    <row r="199" spans="1:14" ht="165">
      <c r="A199" s="513">
        <v>11</v>
      </c>
      <c r="B199" s="694"/>
      <c r="C199" s="511" t="s">
        <v>3229</v>
      </c>
      <c r="D199" s="519" t="s">
        <v>3230</v>
      </c>
      <c r="E199" s="519" t="s">
        <v>3231</v>
      </c>
      <c r="F199" s="544" t="s">
        <v>3232</v>
      </c>
      <c r="G199" s="544" t="s">
        <v>3232</v>
      </c>
      <c r="H199" s="544" t="s">
        <v>3233</v>
      </c>
      <c r="I199" s="513" t="s">
        <v>1702</v>
      </c>
      <c r="J199" s="544" t="s">
        <v>3234</v>
      </c>
      <c r="K199" s="544" t="s">
        <v>3235</v>
      </c>
      <c r="L199" s="544" t="s">
        <v>3236</v>
      </c>
      <c r="M199" s="44">
        <f>47400/482.65</f>
        <v>98.207811043199015</v>
      </c>
      <c r="N199" s="544" t="s">
        <v>3237</v>
      </c>
    </row>
    <row r="200" spans="1:14" ht="90">
      <c r="A200" s="513">
        <v>12</v>
      </c>
      <c r="B200" s="694"/>
      <c r="C200" s="696" t="s">
        <v>3229</v>
      </c>
      <c r="D200" s="519" t="s">
        <v>3238</v>
      </c>
      <c r="E200" s="519" t="s">
        <v>3239</v>
      </c>
      <c r="F200" s="544" t="s">
        <v>3240</v>
      </c>
      <c r="G200" s="544" t="s">
        <v>3240</v>
      </c>
      <c r="H200" s="544" t="s">
        <v>3241</v>
      </c>
      <c r="I200" s="513" t="s">
        <v>1702</v>
      </c>
      <c r="J200" s="544" t="s">
        <v>3242</v>
      </c>
      <c r="K200" s="544" t="s">
        <v>1935</v>
      </c>
      <c r="L200" s="544" t="s">
        <v>3243</v>
      </c>
      <c r="M200" s="44">
        <f>59000/165.05</f>
        <v>357.46743411087544</v>
      </c>
      <c r="N200" s="544" t="s">
        <v>35</v>
      </c>
    </row>
    <row r="201" spans="1:14" ht="45">
      <c r="A201" s="513">
        <v>13</v>
      </c>
      <c r="B201" s="694"/>
      <c r="C201" s="696"/>
      <c r="D201" s="519" t="s">
        <v>3244</v>
      </c>
      <c r="E201" s="519" t="s">
        <v>3245</v>
      </c>
      <c r="F201" s="544" t="s">
        <v>3246</v>
      </c>
      <c r="G201" s="544" t="s">
        <v>3246</v>
      </c>
      <c r="H201" s="544" t="s">
        <v>3247</v>
      </c>
      <c r="I201" s="544" t="s">
        <v>3248</v>
      </c>
      <c r="J201" s="544" t="s">
        <v>3249</v>
      </c>
      <c r="K201" s="544" t="s">
        <v>1766</v>
      </c>
      <c r="L201" s="544" t="s">
        <v>3250</v>
      </c>
      <c r="M201" s="44" t="s">
        <v>17</v>
      </c>
      <c r="N201" s="544" t="s">
        <v>35</v>
      </c>
    </row>
    <row r="202" spans="1:14" ht="45">
      <c r="A202" s="513">
        <v>14</v>
      </c>
      <c r="B202" s="694"/>
      <c r="C202" s="696"/>
      <c r="D202" s="519" t="s">
        <v>3251</v>
      </c>
      <c r="E202" s="519" t="s">
        <v>3252</v>
      </c>
      <c r="F202" s="544" t="s">
        <v>3253</v>
      </c>
      <c r="G202" s="544" t="s">
        <v>3253</v>
      </c>
      <c r="H202" s="544" t="s">
        <v>3254</v>
      </c>
      <c r="I202" s="544" t="s">
        <v>3248</v>
      </c>
      <c r="J202" s="544" t="s">
        <v>3249</v>
      </c>
      <c r="K202" s="544" t="s">
        <v>1766</v>
      </c>
      <c r="L202" s="544" t="s">
        <v>3255</v>
      </c>
      <c r="M202" s="44" t="s">
        <v>17</v>
      </c>
      <c r="N202" s="544" t="s">
        <v>35</v>
      </c>
    </row>
    <row r="203" spans="1:14" ht="45">
      <c r="A203" s="513">
        <v>15</v>
      </c>
      <c r="B203" s="694"/>
      <c r="C203" s="696"/>
      <c r="D203" s="519" t="s">
        <v>3256</v>
      </c>
      <c r="E203" s="519" t="s">
        <v>3257</v>
      </c>
      <c r="F203" s="544" t="s">
        <v>3258</v>
      </c>
      <c r="G203" s="544" t="s">
        <v>3258</v>
      </c>
      <c r="H203" s="544" t="s">
        <v>3259</v>
      </c>
      <c r="I203" s="544" t="s">
        <v>3248</v>
      </c>
      <c r="J203" s="544" t="s">
        <v>3260</v>
      </c>
      <c r="K203" s="544" t="s">
        <v>3261</v>
      </c>
      <c r="L203" s="544" t="s">
        <v>3262</v>
      </c>
      <c r="M203" s="44" t="s">
        <v>17</v>
      </c>
      <c r="N203" s="544" t="s">
        <v>35</v>
      </c>
    </row>
    <row r="204" spans="1:14" ht="105">
      <c r="A204" s="513">
        <v>16</v>
      </c>
      <c r="B204" s="694"/>
      <c r="C204" s="696"/>
      <c r="D204" s="519" t="s">
        <v>3263</v>
      </c>
      <c r="E204" s="519" t="s">
        <v>3264</v>
      </c>
      <c r="F204" s="544" t="s">
        <v>3265</v>
      </c>
      <c r="G204" s="544" t="s">
        <v>3265</v>
      </c>
      <c r="H204" s="544" t="s">
        <v>3241</v>
      </c>
      <c r="I204" s="513" t="s">
        <v>1702</v>
      </c>
      <c r="J204" s="544" t="s">
        <v>3266</v>
      </c>
      <c r="K204" s="544" t="s">
        <v>3267</v>
      </c>
      <c r="L204" s="544" t="s">
        <v>3268</v>
      </c>
      <c r="M204" s="44">
        <f>135000/789.14</f>
        <v>171.07230656157336</v>
      </c>
      <c r="N204" s="544" t="s">
        <v>35</v>
      </c>
    </row>
    <row r="205" spans="1:14" ht="105">
      <c r="A205" s="513">
        <v>17</v>
      </c>
      <c r="B205" s="694"/>
      <c r="C205" s="710" t="s">
        <v>3229</v>
      </c>
      <c r="D205" s="519" t="s">
        <v>3269</v>
      </c>
      <c r="E205" s="519" t="s">
        <v>3270</v>
      </c>
      <c r="F205" s="544" t="s">
        <v>3271</v>
      </c>
      <c r="G205" s="544" t="s">
        <v>3272</v>
      </c>
      <c r="H205" s="544" t="s">
        <v>3273</v>
      </c>
      <c r="I205" s="513" t="s">
        <v>1702</v>
      </c>
      <c r="J205" s="544" t="s">
        <v>3274</v>
      </c>
      <c r="K205" s="544" t="s">
        <v>3275</v>
      </c>
      <c r="L205" s="544" t="s">
        <v>3276</v>
      </c>
      <c r="M205" s="44">
        <f>93000/320.33</f>
        <v>290.32560172322292</v>
      </c>
      <c r="N205" s="544" t="s">
        <v>35</v>
      </c>
    </row>
    <row r="206" spans="1:14" ht="120">
      <c r="A206" s="513">
        <v>18</v>
      </c>
      <c r="B206" s="694"/>
      <c r="C206" s="710"/>
      <c r="D206" s="519" t="s">
        <v>3277</v>
      </c>
      <c r="E206" s="519" t="s">
        <v>3278</v>
      </c>
      <c r="F206" s="544" t="s">
        <v>3279</v>
      </c>
      <c r="G206" s="544" t="s">
        <v>3279</v>
      </c>
      <c r="H206" s="544" t="s">
        <v>3280</v>
      </c>
      <c r="I206" s="544" t="s">
        <v>3281</v>
      </c>
      <c r="J206" s="544" t="s">
        <v>3282</v>
      </c>
      <c r="K206" s="544" t="s">
        <v>3283</v>
      </c>
      <c r="L206" s="544" t="s">
        <v>3284</v>
      </c>
      <c r="M206" s="544">
        <v>191.06</v>
      </c>
      <c r="N206" s="544" t="s">
        <v>35</v>
      </c>
    </row>
    <row r="207" spans="1:14" ht="105">
      <c r="A207" s="513">
        <v>19</v>
      </c>
      <c r="B207" s="694"/>
      <c r="C207" s="710"/>
      <c r="D207" s="519" t="s">
        <v>3285</v>
      </c>
      <c r="E207" s="519" t="s">
        <v>3286</v>
      </c>
      <c r="F207" s="544" t="s">
        <v>3287</v>
      </c>
      <c r="G207" s="544" t="s">
        <v>3287</v>
      </c>
      <c r="H207" s="544" t="s">
        <v>3288</v>
      </c>
      <c r="I207" s="544" t="s">
        <v>3289</v>
      </c>
      <c r="J207" s="544" t="s">
        <v>3290</v>
      </c>
      <c r="K207" s="544" t="s">
        <v>3291</v>
      </c>
      <c r="L207" s="544" t="s">
        <v>3292</v>
      </c>
      <c r="M207" s="544">
        <v>224.95</v>
      </c>
      <c r="N207" s="544" t="s">
        <v>35</v>
      </c>
    </row>
    <row r="208" spans="1:14" ht="120">
      <c r="A208" s="513">
        <v>20</v>
      </c>
      <c r="B208" s="694"/>
      <c r="C208" s="511" t="s">
        <v>6524</v>
      </c>
      <c r="D208" s="511" t="s">
        <v>3293</v>
      </c>
      <c r="E208" s="511" t="s">
        <v>3294</v>
      </c>
      <c r="F208" s="513" t="s">
        <v>3295</v>
      </c>
      <c r="G208" s="513" t="s">
        <v>3295</v>
      </c>
      <c r="H208" s="513" t="s">
        <v>3296</v>
      </c>
      <c r="I208" s="513" t="s">
        <v>3297</v>
      </c>
      <c r="J208" s="513" t="s">
        <v>3298</v>
      </c>
      <c r="K208" s="513" t="s">
        <v>3299</v>
      </c>
      <c r="L208" s="513" t="s">
        <v>3300</v>
      </c>
      <c r="M208" s="513" t="s">
        <v>3301</v>
      </c>
      <c r="N208" s="513"/>
    </row>
    <row r="209" spans="1:14" ht="90">
      <c r="A209" s="513">
        <v>21</v>
      </c>
      <c r="B209" s="694"/>
      <c r="C209" s="696" t="s">
        <v>3302</v>
      </c>
      <c r="D209" s="511" t="s">
        <v>3303</v>
      </c>
      <c r="E209" s="511" t="s">
        <v>3304</v>
      </c>
      <c r="F209" s="513" t="s">
        <v>3305</v>
      </c>
      <c r="G209" s="513" t="s">
        <v>3305</v>
      </c>
      <c r="H209" s="513" t="s">
        <v>3306</v>
      </c>
      <c r="I209" s="513" t="s">
        <v>3307</v>
      </c>
      <c r="J209" s="513" t="s">
        <v>3308</v>
      </c>
      <c r="K209" s="513" t="s">
        <v>3309</v>
      </c>
      <c r="L209" s="543" t="s">
        <v>3310</v>
      </c>
      <c r="M209" s="513" t="s">
        <v>3311</v>
      </c>
      <c r="N209" s="513"/>
    </row>
    <row r="210" spans="1:14" ht="105">
      <c r="A210" s="513">
        <v>22</v>
      </c>
      <c r="B210" s="694"/>
      <c r="C210" s="696"/>
      <c r="D210" s="511" t="s">
        <v>3312</v>
      </c>
      <c r="E210" s="511" t="s">
        <v>3313</v>
      </c>
      <c r="F210" s="513">
        <v>1373</v>
      </c>
      <c r="G210" s="513">
        <v>1373</v>
      </c>
      <c r="H210" s="513" t="s">
        <v>3314</v>
      </c>
      <c r="I210" s="513" t="s">
        <v>3315</v>
      </c>
      <c r="J210" s="513" t="s">
        <v>3316</v>
      </c>
      <c r="K210" s="513" t="s">
        <v>3317</v>
      </c>
      <c r="L210" s="513">
        <v>332596</v>
      </c>
      <c r="M210" s="513">
        <v>242.24</v>
      </c>
      <c r="N210" s="513" t="s">
        <v>35</v>
      </c>
    </row>
    <row r="211" spans="1:14" ht="90">
      <c r="A211" s="513">
        <v>23</v>
      </c>
      <c r="B211" s="694"/>
      <c r="C211" s="696"/>
      <c r="D211" s="511" t="s">
        <v>3318</v>
      </c>
      <c r="E211" s="511" t="s">
        <v>3319</v>
      </c>
      <c r="F211" s="513" t="s">
        <v>3320</v>
      </c>
      <c r="G211" s="513" t="s">
        <v>3320</v>
      </c>
      <c r="H211" s="513" t="s">
        <v>3321</v>
      </c>
      <c r="I211" s="513" t="s">
        <v>1702</v>
      </c>
      <c r="J211" s="513" t="s">
        <v>3322</v>
      </c>
      <c r="K211" s="513" t="s">
        <v>3323</v>
      </c>
      <c r="L211" s="513">
        <v>192338.24</v>
      </c>
      <c r="M211" s="513" t="s">
        <v>3324</v>
      </c>
      <c r="N211" s="513" t="s">
        <v>3325</v>
      </c>
    </row>
    <row r="212" spans="1:14" ht="90">
      <c r="A212" s="513">
        <v>24</v>
      </c>
      <c r="B212" s="694"/>
      <c r="C212" s="696"/>
      <c r="D212" s="511" t="s">
        <v>3326</v>
      </c>
      <c r="E212" s="511" t="s">
        <v>3327</v>
      </c>
      <c r="F212" s="513" t="s">
        <v>3328</v>
      </c>
      <c r="G212" s="513" t="s">
        <v>3328</v>
      </c>
      <c r="H212" s="513" t="s">
        <v>3329</v>
      </c>
      <c r="I212" s="513" t="s">
        <v>1702</v>
      </c>
      <c r="J212" s="513" t="s">
        <v>1703</v>
      </c>
      <c r="K212" s="513" t="s">
        <v>3330</v>
      </c>
      <c r="L212" s="513">
        <v>34631.22</v>
      </c>
      <c r="M212" s="513" t="s">
        <v>3331</v>
      </c>
      <c r="N212" s="513" t="s">
        <v>3332</v>
      </c>
    </row>
    <row r="213" spans="1:14" ht="75">
      <c r="A213" s="513">
        <v>25</v>
      </c>
      <c r="B213" s="694"/>
      <c r="C213" s="696" t="s">
        <v>3302</v>
      </c>
      <c r="D213" s="511" t="s">
        <v>3333</v>
      </c>
      <c r="E213" s="511" t="s">
        <v>3334</v>
      </c>
      <c r="F213" s="513" t="s">
        <v>3335</v>
      </c>
      <c r="G213" s="513" t="s">
        <v>3335</v>
      </c>
      <c r="H213" s="513" t="s">
        <v>3336</v>
      </c>
      <c r="I213" s="513" t="s">
        <v>3337</v>
      </c>
      <c r="J213" s="513" t="s">
        <v>1737</v>
      </c>
      <c r="K213" s="513" t="s">
        <v>3338</v>
      </c>
      <c r="L213" s="513">
        <v>9000</v>
      </c>
      <c r="M213" s="513" t="s">
        <v>3339</v>
      </c>
      <c r="N213" s="70" t="s">
        <v>363</v>
      </c>
    </row>
    <row r="214" spans="1:14" ht="105">
      <c r="A214" s="513">
        <v>26</v>
      </c>
      <c r="B214" s="694"/>
      <c r="C214" s="696"/>
      <c r="D214" s="515" t="s">
        <v>3340</v>
      </c>
      <c r="E214" s="511" t="s">
        <v>3341</v>
      </c>
      <c r="F214" s="513" t="s">
        <v>3342</v>
      </c>
      <c r="G214" s="513" t="s">
        <v>3342</v>
      </c>
      <c r="H214" s="513" t="s">
        <v>3343</v>
      </c>
      <c r="I214" s="513" t="s">
        <v>3344</v>
      </c>
      <c r="J214" s="513" t="s">
        <v>1737</v>
      </c>
      <c r="K214" s="513" t="s">
        <v>3345</v>
      </c>
      <c r="L214" s="513" t="s">
        <v>3346</v>
      </c>
      <c r="M214" s="513" t="s">
        <v>3347</v>
      </c>
      <c r="N214" s="513"/>
    </row>
    <row r="215" spans="1:14" ht="120">
      <c r="A215" s="513">
        <v>27</v>
      </c>
      <c r="B215" s="694"/>
      <c r="C215" s="696"/>
      <c r="D215" s="515" t="s">
        <v>3348</v>
      </c>
      <c r="E215" s="511" t="s">
        <v>3349</v>
      </c>
      <c r="F215" s="513" t="s">
        <v>3350</v>
      </c>
      <c r="G215" s="513" t="s">
        <v>3350</v>
      </c>
      <c r="H215" s="513" t="s">
        <v>3351</v>
      </c>
      <c r="I215" s="513" t="s">
        <v>3307</v>
      </c>
      <c r="J215" s="513" t="s">
        <v>1742</v>
      </c>
      <c r="K215" s="513" t="s">
        <v>3352</v>
      </c>
      <c r="L215" s="513" t="s">
        <v>3353</v>
      </c>
      <c r="M215" s="513" t="s">
        <v>3354</v>
      </c>
      <c r="N215" s="513"/>
    </row>
    <row r="216" spans="1:14" ht="90">
      <c r="A216" s="513">
        <v>28</v>
      </c>
      <c r="B216" s="694"/>
      <c r="C216" s="696"/>
      <c r="D216" s="515" t="s">
        <v>3355</v>
      </c>
      <c r="E216" s="511" t="s">
        <v>3356</v>
      </c>
      <c r="F216" s="513" t="s">
        <v>3357</v>
      </c>
      <c r="G216" s="513" t="s">
        <v>3357</v>
      </c>
      <c r="H216" s="513" t="s">
        <v>3358</v>
      </c>
      <c r="I216" s="513" t="s">
        <v>1702</v>
      </c>
      <c r="J216" s="513" t="s">
        <v>1737</v>
      </c>
      <c r="K216" s="513" t="s">
        <v>3359</v>
      </c>
      <c r="L216" s="513">
        <v>24641.439999999999</v>
      </c>
      <c r="M216" s="513" t="s">
        <v>3360</v>
      </c>
      <c r="N216" s="513"/>
    </row>
    <row r="217" spans="1:14" ht="75">
      <c r="A217" s="513">
        <v>29</v>
      </c>
      <c r="B217" s="694"/>
      <c r="C217" s="696"/>
      <c r="D217" s="511" t="s">
        <v>3361</v>
      </c>
      <c r="E217" s="511" t="s">
        <v>3362</v>
      </c>
      <c r="F217" s="513" t="s">
        <v>3363</v>
      </c>
      <c r="G217" s="513" t="s">
        <v>3363</v>
      </c>
      <c r="H217" s="513" t="s">
        <v>3364</v>
      </c>
      <c r="I217" s="513" t="s">
        <v>1702</v>
      </c>
      <c r="J217" s="513" t="s">
        <v>3365</v>
      </c>
      <c r="K217" s="513" t="s">
        <v>3209</v>
      </c>
      <c r="L217" s="513" t="s">
        <v>3366</v>
      </c>
      <c r="M217" s="513" t="s">
        <v>3367</v>
      </c>
      <c r="N217" s="513"/>
    </row>
    <row r="218" spans="1:14" ht="75">
      <c r="A218" s="513">
        <v>30</v>
      </c>
      <c r="B218" s="694"/>
      <c r="C218" s="696" t="s">
        <v>3302</v>
      </c>
      <c r="D218" s="511" t="s">
        <v>3368</v>
      </c>
      <c r="E218" s="511" t="s">
        <v>3369</v>
      </c>
      <c r="F218" s="513" t="s">
        <v>3370</v>
      </c>
      <c r="G218" s="513" t="s">
        <v>3370</v>
      </c>
      <c r="H218" s="513" t="s">
        <v>3371</v>
      </c>
      <c r="I218" s="513" t="s">
        <v>1702</v>
      </c>
      <c r="J218" s="513" t="s">
        <v>3372</v>
      </c>
      <c r="K218" s="513" t="s">
        <v>3373</v>
      </c>
      <c r="L218" s="513" t="s">
        <v>3374</v>
      </c>
      <c r="M218" s="513" t="s">
        <v>3375</v>
      </c>
      <c r="N218" s="513"/>
    </row>
    <row r="219" spans="1:14" ht="75">
      <c r="A219" s="513">
        <v>31</v>
      </c>
      <c r="B219" s="694"/>
      <c r="C219" s="696"/>
      <c r="D219" s="511" t="s">
        <v>3376</v>
      </c>
      <c r="E219" s="511" t="s">
        <v>3377</v>
      </c>
      <c r="F219" s="513" t="s">
        <v>3378</v>
      </c>
      <c r="G219" s="513" t="s">
        <v>3378</v>
      </c>
      <c r="H219" s="513" t="s">
        <v>3379</v>
      </c>
      <c r="I219" s="513" t="s">
        <v>1702</v>
      </c>
      <c r="J219" s="513" t="s">
        <v>3380</v>
      </c>
      <c r="K219" s="513" t="s">
        <v>2819</v>
      </c>
      <c r="L219" s="513" t="s">
        <v>3381</v>
      </c>
      <c r="M219" s="513" t="s">
        <v>3382</v>
      </c>
      <c r="N219" s="513"/>
    </row>
    <row r="220" spans="1:14" ht="105">
      <c r="A220" s="513">
        <v>32</v>
      </c>
      <c r="B220" s="694"/>
      <c r="C220" s="696"/>
      <c r="D220" s="511" t="s">
        <v>3383</v>
      </c>
      <c r="E220" s="511" t="s">
        <v>3384</v>
      </c>
      <c r="F220" s="513">
        <v>5340.82</v>
      </c>
      <c r="G220" s="513">
        <v>5340.82</v>
      </c>
      <c r="H220" s="513" t="s">
        <v>3385</v>
      </c>
      <c r="I220" s="513" t="s">
        <v>1702</v>
      </c>
      <c r="J220" s="513" t="s">
        <v>1737</v>
      </c>
      <c r="K220" s="513" t="s">
        <v>3386</v>
      </c>
      <c r="L220" s="513" t="s">
        <v>3387</v>
      </c>
      <c r="M220" s="513" t="s">
        <v>3388</v>
      </c>
      <c r="N220" s="513"/>
    </row>
    <row r="221" spans="1:14" ht="90">
      <c r="A221" s="513">
        <v>33</v>
      </c>
      <c r="B221" s="694"/>
      <c r="C221" s="696"/>
      <c r="D221" s="511" t="s">
        <v>3389</v>
      </c>
      <c r="E221" s="511" t="s">
        <v>3390</v>
      </c>
      <c r="F221" s="513" t="s">
        <v>3391</v>
      </c>
      <c r="G221" s="513" t="s">
        <v>3391</v>
      </c>
      <c r="H221" s="513" t="s">
        <v>3392</v>
      </c>
      <c r="I221" s="513" t="s">
        <v>1702</v>
      </c>
      <c r="J221" s="513" t="s">
        <v>3393</v>
      </c>
      <c r="K221" s="513" t="s">
        <v>3394</v>
      </c>
      <c r="L221" s="513" t="s">
        <v>3395</v>
      </c>
      <c r="M221" s="513" t="s">
        <v>3396</v>
      </c>
      <c r="N221" s="513"/>
    </row>
    <row r="222" spans="1:14" ht="45">
      <c r="A222" s="513">
        <v>34</v>
      </c>
      <c r="B222" s="694"/>
      <c r="C222" s="696"/>
      <c r="D222" s="511" t="s">
        <v>3397</v>
      </c>
      <c r="E222" s="511" t="s">
        <v>3398</v>
      </c>
      <c r="F222" s="513" t="s">
        <v>3399</v>
      </c>
      <c r="G222" s="513"/>
      <c r="H222" s="513" t="s">
        <v>3400</v>
      </c>
      <c r="I222" s="513" t="s">
        <v>1702</v>
      </c>
      <c r="J222" s="513" t="s">
        <v>1742</v>
      </c>
      <c r="K222" s="513" t="s">
        <v>3401</v>
      </c>
      <c r="L222" s="513" t="s">
        <v>3402</v>
      </c>
      <c r="M222" s="513" t="s">
        <v>3403</v>
      </c>
      <c r="N222" s="513"/>
    </row>
    <row r="223" spans="1:14" ht="45">
      <c r="A223" s="513">
        <v>35</v>
      </c>
      <c r="B223" s="694"/>
      <c r="C223" s="696"/>
      <c r="D223" s="511" t="s">
        <v>3404</v>
      </c>
      <c r="E223" s="511" t="s">
        <v>3398</v>
      </c>
      <c r="F223" s="513" t="s">
        <v>3405</v>
      </c>
      <c r="G223" s="513"/>
      <c r="H223" s="513" t="s">
        <v>3400</v>
      </c>
      <c r="I223" s="513" t="s">
        <v>1702</v>
      </c>
      <c r="J223" s="513" t="s">
        <v>1742</v>
      </c>
      <c r="K223" s="513" t="s">
        <v>3401</v>
      </c>
      <c r="L223" s="513" t="s">
        <v>3406</v>
      </c>
      <c r="M223" s="513" t="s">
        <v>3403</v>
      </c>
      <c r="N223" s="513"/>
    </row>
    <row r="224" spans="1:14" ht="75">
      <c r="A224" s="513">
        <v>36</v>
      </c>
      <c r="B224" s="694"/>
      <c r="C224" s="696" t="s">
        <v>3302</v>
      </c>
      <c r="D224" s="511" t="s">
        <v>3407</v>
      </c>
      <c r="E224" s="511" t="s">
        <v>3408</v>
      </c>
      <c r="F224" s="513">
        <v>1676.4</v>
      </c>
      <c r="G224" s="513">
        <v>1676.4</v>
      </c>
      <c r="H224" s="513" t="s">
        <v>3409</v>
      </c>
      <c r="I224" s="513" t="s">
        <v>1702</v>
      </c>
      <c r="J224" s="513" t="s">
        <v>1742</v>
      </c>
      <c r="K224" s="513" t="s">
        <v>3410</v>
      </c>
      <c r="L224" s="513">
        <v>100454</v>
      </c>
      <c r="M224" s="513" t="s">
        <v>3411</v>
      </c>
      <c r="N224" s="513"/>
    </row>
    <row r="225" spans="1:14" ht="90">
      <c r="A225" s="513">
        <v>37</v>
      </c>
      <c r="B225" s="694"/>
      <c r="C225" s="696"/>
      <c r="D225" s="511" t="s">
        <v>3412</v>
      </c>
      <c r="E225" s="511" t="s">
        <v>3413</v>
      </c>
      <c r="F225" s="513">
        <v>558.79999999999995</v>
      </c>
      <c r="G225" s="513">
        <v>558.79999999999995</v>
      </c>
      <c r="H225" s="513" t="s">
        <v>3414</v>
      </c>
      <c r="I225" s="513" t="s">
        <v>1702</v>
      </c>
      <c r="J225" s="513" t="s">
        <v>1742</v>
      </c>
      <c r="K225" s="513" t="s">
        <v>3415</v>
      </c>
      <c r="L225" s="513">
        <v>97443</v>
      </c>
      <c r="M225" s="513">
        <v>174.3</v>
      </c>
      <c r="N225" s="513" t="s">
        <v>3416</v>
      </c>
    </row>
    <row r="226" spans="1:14" ht="90">
      <c r="A226" s="513">
        <v>38</v>
      </c>
      <c r="B226" s="694"/>
      <c r="C226" s="696"/>
      <c r="D226" s="511" t="s">
        <v>3412</v>
      </c>
      <c r="E226" s="511" t="s">
        <v>3417</v>
      </c>
      <c r="F226" s="513">
        <v>106.8</v>
      </c>
      <c r="G226" s="513">
        <v>106.8</v>
      </c>
      <c r="H226" s="513" t="s">
        <v>3418</v>
      </c>
      <c r="I226" s="513" t="s">
        <v>1702</v>
      </c>
      <c r="J226" s="513" t="s">
        <v>1742</v>
      </c>
      <c r="K226" s="513" t="s">
        <v>3148</v>
      </c>
      <c r="L226" s="513">
        <v>18637</v>
      </c>
      <c r="M226" s="513">
        <v>174.5</v>
      </c>
      <c r="N226" s="513" t="s">
        <v>3416</v>
      </c>
    </row>
    <row r="227" spans="1:14" ht="75">
      <c r="A227" s="513">
        <v>39</v>
      </c>
      <c r="B227" s="694"/>
      <c r="C227" s="696"/>
      <c r="D227" s="511" t="s">
        <v>3419</v>
      </c>
      <c r="E227" s="511" t="s">
        <v>3420</v>
      </c>
      <c r="F227" s="513">
        <v>492.8</v>
      </c>
      <c r="G227" s="513">
        <v>512.79999999999995</v>
      </c>
      <c r="H227" s="513" t="s">
        <v>3421</v>
      </c>
      <c r="I227" s="513" t="s">
        <v>1702</v>
      </c>
      <c r="J227" s="513" t="s">
        <v>1742</v>
      </c>
      <c r="K227" s="513" t="s">
        <v>3008</v>
      </c>
      <c r="L227" s="513" t="s">
        <v>3422</v>
      </c>
      <c r="M227" s="513">
        <v>553</v>
      </c>
      <c r="N227" s="513"/>
    </row>
    <row r="228" spans="1:14" ht="75">
      <c r="A228" s="513">
        <v>40</v>
      </c>
      <c r="B228" s="694"/>
      <c r="C228" s="696"/>
      <c r="D228" s="511" t="s">
        <v>3423</v>
      </c>
      <c r="E228" s="511" t="s">
        <v>3424</v>
      </c>
      <c r="F228" s="513">
        <v>1206</v>
      </c>
      <c r="G228" s="513"/>
      <c r="H228" s="513" t="s">
        <v>3425</v>
      </c>
      <c r="I228" s="513" t="s">
        <v>1702</v>
      </c>
      <c r="J228" s="513" t="s">
        <v>3426</v>
      </c>
      <c r="K228" s="513" t="s">
        <v>1876</v>
      </c>
      <c r="L228" s="513" t="s">
        <v>3427</v>
      </c>
      <c r="M228" s="513">
        <v>2.96</v>
      </c>
      <c r="N228" s="513"/>
    </row>
    <row r="229" spans="1:14" ht="105">
      <c r="A229" s="513">
        <v>41</v>
      </c>
      <c r="B229" s="694"/>
      <c r="C229" s="696" t="s">
        <v>3302</v>
      </c>
      <c r="D229" s="179" t="s">
        <v>3428</v>
      </c>
      <c r="E229" s="179" t="s">
        <v>3429</v>
      </c>
      <c r="F229" s="178" t="s">
        <v>3430</v>
      </c>
      <c r="G229" s="178" t="s">
        <v>3430</v>
      </c>
      <c r="H229" s="178" t="s">
        <v>3431</v>
      </c>
      <c r="I229" s="513" t="s">
        <v>1702</v>
      </c>
      <c r="J229" s="178" t="s">
        <v>3432</v>
      </c>
      <c r="K229" s="178" t="s">
        <v>3433</v>
      </c>
      <c r="L229" s="178" t="s">
        <v>3434</v>
      </c>
      <c r="M229" s="178" t="s">
        <v>3435</v>
      </c>
      <c r="N229" s="178" t="s">
        <v>3436</v>
      </c>
    </row>
    <row r="230" spans="1:14" ht="75">
      <c r="A230" s="513">
        <v>42</v>
      </c>
      <c r="B230" s="694"/>
      <c r="C230" s="696"/>
      <c r="D230" s="511" t="s">
        <v>3437</v>
      </c>
      <c r="E230" s="511" t="s">
        <v>3438</v>
      </c>
      <c r="F230" s="513" t="s">
        <v>3439</v>
      </c>
      <c r="G230" s="513" t="s">
        <v>3440</v>
      </c>
      <c r="H230" s="513" t="s">
        <v>3441</v>
      </c>
      <c r="I230" s="513" t="s">
        <v>1702</v>
      </c>
      <c r="J230" s="513" t="s">
        <v>3442</v>
      </c>
      <c r="K230" s="513" t="s">
        <v>3443</v>
      </c>
      <c r="L230" s="513" t="s">
        <v>3444</v>
      </c>
      <c r="M230" s="513" t="s">
        <v>956</v>
      </c>
      <c r="N230" s="513"/>
    </row>
    <row r="231" spans="1:14" ht="60">
      <c r="A231" s="513">
        <v>43</v>
      </c>
      <c r="B231" s="694"/>
      <c r="C231" s="696" t="s">
        <v>3445</v>
      </c>
      <c r="D231" s="511" t="s">
        <v>3446</v>
      </c>
      <c r="E231" s="511" t="s">
        <v>3447</v>
      </c>
      <c r="F231" s="513">
        <v>766.45</v>
      </c>
      <c r="G231" s="513"/>
      <c r="H231" s="513" t="s">
        <v>3448</v>
      </c>
      <c r="I231" s="513" t="s">
        <v>1702</v>
      </c>
      <c r="J231" s="513" t="s">
        <v>2946</v>
      </c>
      <c r="K231" s="513" t="s">
        <v>3449</v>
      </c>
      <c r="L231" s="543">
        <v>495000</v>
      </c>
      <c r="M231" s="513">
        <v>645.83000000000004</v>
      </c>
      <c r="N231" s="513"/>
    </row>
    <row r="232" spans="1:14" ht="126" customHeight="1">
      <c r="A232" s="513">
        <v>44</v>
      </c>
      <c r="B232" s="694"/>
      <c r="C232" s="696"/>
      <c r="D232" s="628" t="s">
        <v>3450</v>
      </c>
      <c r="E232" s="511" t="s">
        <v>3451</v>
      </c>
      <c r="F232" s="513">
        <v>183.02</v>
      </c>
      <c r="G232" s="694"/>
      <c r="H232" s="694" t="s">
        <v>3452</v>
      </c>
      <c r="I232" s="513" t="s">
        <v>1702</v>
      </c>
      <c r="J232" s="694" t="s">
        <v>35</v>
      </c>
      <c r="K232" s="694" t="s">
        <v>35</v>
      </c>
      <c r="L232" s="694">
        <v>133516</v>
      </c>
      <c r="M232" s="694">
        <v>729.52</v>
      </c>
      <c r="N232" s="733" t="s">
        <v>3453</v>
      </c>
    </row>
    <row r="233" spans="1:14" ht="131.25" customHeight="1">
      <c r="A233" s="513">
        <v>45</v>
      </c>
      <c r="B233" s="694"/>
      <c r="C233" s="696"/>
      <c r="D233" s="628"/>
      <c r="E233" s="511" t="s">
        <v>3454</v>
      </c>
      <c r="F233" s="513">
        <v>216.64</v>
      </c>
      <c r="G233" s="694"/>
      <c r="H233" s="694"/>
      <c r="I233" s="513" t="s">
        <v>1702</v>
      </c>
      <c r="J233" s="694"/>
      <c r="K233" s="694"/>
      <c r="L233" s="694"/>
      <c r="M233" s="694"/>
      <c r="N233" s="733"/>
    </row>
    <row r="234" spans="1:14" ht="60">
      <c r="A234" s="513">
        <v>46</v>
      </c>
      <c r="B234" s="694"/>
      <c r="C234" s="696"/>
      <c r="D234" s="511" t="s">
        <v>3455</v>
      </c>
      <c r="E234" s="511" t="s">
        <v>3456</v>
      </c>
      <c r="F234" s="513">
        <v>230.15</v>
      </c>
      <c r="G234" s="513"/>
      <c r="H234" s="513" t="s">
        <v>3457</v>
      </c>
      <c r="I234" s="513" t="s">
        <v>1702</v>
      </c>
      <c r="J234" s="513" t="s">
        <v>3458</v>
      </c>
      <c r="K234" s="513" t="s">
        <v>3459</v>
      </c>
      <c r="L234" s="513">
        <v>54500</v>
      </c>
      <c r="M234" s="545">
        <f>+L234/F234</f>
        <v>236.8020855963502</v>
      </c>
      <c r="N234" s="513"/>
    </row>
    <row r="235" spans="1:14" ht="75">
      <c r="A235" s="513">
        <v>47</v>
      </c>
      <c r="B235" s="694"/>
      <c r="C235" s="696" t="s">
        <v>3445</v>
      </c>
      <c r="D235" s="511" t="s">
        <v>3460</v>
      </c>
      <c r="E235" s="511" t="s">
        <v>3461</v>
      </c>
      <c r="F235" s="513">
        <v>594.95000000000005</v>
      </c>
      <c r="G235" s="513"/>
      <c r="H235" s="513" t="s">
        <v>3462</v>
      </c>
      <c r="I235" s="513" t="s">
        <v>1702</v>
      </c>
      <c r="J235" s="513" t="s">
        <v>3463</v>
      </c>
      <c r="K235" s="513" t="s">
        <v>3464</v>
      </c>
      <c r="L235" s="513">
        <v>200000</v>
      </c>
      <c r="M235" s="513">
        <v>31.23</v>
      </c>
      <c r="N235" s="513"/>
    </row>
    <row r="236" spans="1:14" ht="75">
      <c r="A236" s="513">
        <v>48</v>
      </c>
      <c r="B236" s="694"/>
      <c r="C236" s="696"/>
      <c r="D236" s="511" t="s">
        <v>3465</v>
      </c>
      <c r="E236" s="511" t="s">
        <v>3466</v>
      </c>
      <c r="F236" s="513">
        <v>258.64</v>
      </c>
      <c r="G236" s="513"/>
      <c r="H236" s="513" t="s">
        <v>3467</v>
      </c>
      <c r="I236" s="513" t="s">
        <v>1702</v>
      </c>
      <c r="J236" s="513" t="s">
        <v>3468</v>
      </c>
      <c r="K236" s="513" t="s">
        <v>3469</v>
      </c>
      <c r="L236" s="513">
        <v>24832</v>
      </c>
      <c r="M236" s="513">
        <v>96.24</v>
      </c>
      <c r="N236" s="513"/>
    </row>
    <row r="237" spans="1:14" ht="75">
      <c r="A237" s="513">
        <v>49</v>
      </c>
      <c r="B237" s="694"/>
      <c r="C237" s="696"/>
      <c r="D237" s="511" t="s">
        <v>3470</v>
      </c>
      <c r="E237" s="511" t="s">
        <v>3471</v>
      </c>
      <c r="F237" s="513">
        <v>550</v>
      </c>
      <c r="G237" s="513">
        <v>520</v>
      </c>
      <c r="H237" s="513" t="s">
        <v>3472</v>
      </c>
      <c r="I237" s="513" t="s">
        <v>3473</v>
      </c>
      <c r="J237" s="513" t="s">
        <v>3474</v>
      </c>
      <c r="K237" s="513" t="s">
        <v>3475</v>
      </c>
      <c r="L237" s="513">
        <v>80950</v>
      </c>
      <c r="M237" s="513">
        <v>155.66999999999999</v>
      </c>
      <c r="N237" s="513"/>
    </row>
    <row r="238" spans="1:14" ht="150">
      <c r="A238" s="513">
        <v>50</v>
      </c>
      <c r="B238" s="694"/>
      <c r="C238" s="696"/>
      <c r="D238" s="511" t="s">
        <v>3476</v>
      </c>
      <c r="E238" s="511" t="s">
        <v>3477</v>
      </c>
      <c r="F238" s="513">
        <v>400</v>
      </c>
      <c r="G238" s="513">
        <v>371</v>
      </c>
      <c r="H238" s="513" t="s">
        <v>3478</v>
      </c>
      <c r="I238" s="513" t="s">
        <v>3473</v>
      </c>
      <c r="J238" s="513" t="s">
        <v>3479</v>
      </c>
      <c r="K238" s="513" t="s">
        <v>1836</v>
      </c>
      <c r="L238" s="513">
        <v>108800</v>
      </c>
      <c r="M238" s="513">
        <v>293.2</v>
      </c>
      <c r="N238" s="513"/>
    </row>
    <row r="239" spans="1:14" ht="105">
      <c r="A239" s="513">
        <v>51</v>
      </c>
      <c r="B239" s="694"/>
      <c r="C239" s="696" t="s">
        <v>3445</v>
      </c>
      <c r="D239" s="511" t="s">
        <v>3480</v>
      </c>
      <c r="E239" s="511" t="s">
        <v>3481</v>
      </c>
      <c r="F239" s="513">
        <v>460</v>
      </c>
      <c r="G239" s="513">
        <v>460</v>
      </c>
      <c r="H239" s="513" t="s">
        <v>3482</v>
      </c>
      <c r="I239" s="513" t="s">
        <v>1702</v>
      </c>
      <c r="J239" s="513" t="s">
        <v>2946</v>
      </c>
      <c r="K239" s="513" t="s">
        <v>2756</v>
      </c>
      <c r="L239" s="513" t="s">
        <v>3483</v>
      </c>
      <c r="M239" s="513" t="s">
        <v>3484</v>
      </c>
      <c r="N239" s="513"/>
    </row>
    <row r="240" spans="1:14" ht="90">
      <c r="A240" s="513">
        <v>52</v>
      </c>
      <c r="B240" s="694"/>
      <c r="C240" s="696"/>
      <c r="D240" s="511" t="s">
        <v>3485</v>
      </c>
      <c r="E240" s="511" t="s">
        <v>3486</v>
      </c>
      <c r="F240" s="513">
        <v>212</v>
      </c>
      <c r="G240" s="513">
        <v>212</v>
      </c>
      <c r="H240" s="513" t="s">
        <v>3487</v>
      </c>
      <c r="I240" s="513" t="s">
        <v>1702</v>
      </c>
      <c r="J240" s="513" t="s">
        <v>2946</v>
      </c>
      <c r="K240" s="513" t="s">
        <v>3488</v>
      </c>
      <c r="L240" s="513" t="s">
        <v>3489</v>
      </c>
      <c r="M240" s="513" t="s">
        <v>3490</v>
      </c>
      <c r="N240" s="513"/>
    </row>
    <row r="241" spans="1:14" ht="90">
      <c r="A241" s="513">
        <v>53</v>
      </c>
      <c r="B241" s="694"/>
      <c r="C241" s="696"/>
      <c r="D241" s="511" t="s">
        <v>3491</v>
      </c>
      <c r="E241" s="511" t="s">
        <v>3492</v>
      </c>
      <c r="F241" s="513">
        <v>166</v>
      </c>
      <c r="G241" s="513">
        <v>166</v>
      </c>
      <c r="H241" s="513" t="s">
        <v>3493</v>
      </c>
      <c r="I241" s="513" t="s">
        <v>3473</v>
      </c>
      <c r="J241" s="513" t="s">
        <v>2946</v>
      </c>
      <c r="K241" s="513" t="s">
        <v>3494</v>
      </c>
      <c r="L241" s="513" t="s">
        <v>3495</v>
      </c>
      <c r="M241" s="513" t="s">
        <v>3496</v>
      </c>
      <c r="N241" s="513"/>
    </row>
    <row r="242" spans="1:14" ht="60">
      <c r="A242" s="513">
        <v>54</v>
      </c>
      <c r="B242" s="694"/>
      <c r="C242" s="696"/>
      <c r="D242" s="511" t="s">
        <v>3497</v>
      </c>
      <c r="E242" s="511" t="s">
        <v>3498</v>
      </c>
      <c r="F242" s="513">
        <v>459.87</v>
      </c>
      <c r="G242" s="513"/>
      <c r="H242" s="513" t="s">
        <v>3499</v>
      </c>
      <c r="I242" s="513" t="s">
        <v>1702</v>
      </c>
      <c r="J242" s="513" t="s">
        <v>3500</v>
      </c>
      <c r="K242" s="177">
        <v>44774</v>
      </c>
      <c r="L242" s="513">
        <v>114840</v>
      </c>
      <c r="M242" s="513">
        <f>L242/F242</f>
        <v>249.722747733055</v>
      </c>
      <c r="N242" s="513" t="s">
        <v>430</v>
      </c>
    </row>
    <row r="243" spans="1:14" ht="90">
      <c r="A243" s="513">
        <v>55</v>
      </c>
      <c r="B243" s="694"/>
      <c r="C243" s="696" t="s">
        <v>3445</v>
      </c>
      <c r="D243" s="511" t="s">
        <v>3501</v>
      </c>
      <c r="E243" s="511" t="s">
        <v>3498</v>
      </c>
      <c r="F243" s="513">
        <v>169</v>
      </c>
      <c r="G243" s="513"/>
      <c r="H243" s="513"/>
      <c r="I243" s="513" t="s">
        <v>1702</v>
      </c>
      <c r="J243" s="513" t="s">
        <v>3502</v>
      </c>
      <c r="K243" s="513" t="s">
        <v>3503</v>
      </c>
      <c r="L243" s="513">
        <v>38556</v>
      </c>
      <c r="M243" s="513">
        <f>L243/F243</f>
        <v>228.14201183431953</v>
      </c>
      <c r="N243" s="513" t="s">
        <v>3504</v>
      </c>
    </row>
    <row r="244" spans="1:14" ht="45">
      <c r="A244" s="513">
        <v>56</v>
      </c>
      <c r="B244" s="694"/>
      <c r="C244" s="696"/>
      <c r="D244" s="511" t="s">
        <v>3505</v>
      </c>
      <c r="E244" s="511" t="s">
        <v>3506</v>
      </c>
      <c r="F244" s="513" t="s">
        <v>3507</v>
      </c>
      <c r="G244" s="513"/>
      <c r="H244" s="513" t="s">
        <v>2941</v>
      </c>
      <c r="I244" s="513" t="s">
        <v>1702</v>
      </c>
      <c r="J244" s="513" t="s">
        <v>3508</v>
      </c>
      <c r="K244" s="513" t="s">
        <v>3002</v>
      </c>
      <c r="L244" s="513">
        <v>9100</v>
      </c>
      <c r="M244" s="513"/>
      <c r="N244" s="513"/>
    </row>
    <row r="245" spans="1:14" ht="45">
      <c r="A245" s="513">
        <v>57</v>
      </c>
      <c r="B245" s="694"/>
      <c r="C245" s="696"/>
      <c r="D245" s="511" t="s">
        <v>3509</v>
      </c>
      <c r="E245" s="511" t="s">
        <v>3510</v>
      </c>
      <c r="F245" s="513">
        <v>66.599999999999994</v>
      </c>
      <c r="G245" s="513"/>
      <c r="H245" s="513"/>
      <c r="I245" s="513" t="s">
        <v>1702</v>
      </c>
      <c r="J245" s="513" t="s">
        <v>3511</v>
      </c>
      <c r="K245" s="513" t="s">
        <v>3512</v>
      </c>
      <c r="L245" s="513">
        <v>3975</v>
      </c>
      <c r="M245" s="513">
        <f>L245/F245</f>
        <v>59.68468468468469</v>
      </c>
      <c r="N245" s="513" t="s">
        <v>3512</v>
      </c>
    </row>
    <row r="246" spans="1:14" ht="45">
      <c r="A246" s="513">
        <v>58</v>
      </c>
      <c r="B246" s="694"/>
      <c r="C246" s="696" t="s">
        <v>3513</v>
      </c>
      <c r="D246" s="511" t="s">
        <v>3514</v>
      </c>
      <c r="E246" s="511" t="s">
        <v>3515</v>
      </c>
      <c r="F246" s="513">
        <v>285.48</v>
      </c>
      <c r="G246" s="513">
        <v>285.42</v>
      </c>
      <c r="H246" s="513" t="s">
        <v>2923</v>
      </c>
      <c r="I246" s="513" t="s">
        <v>1702</v>
      </c>
      <c r="J246" s="513" t="s">
        <v>2946</v>
      </c>
      <c r="K246" s="513" t="s">
        <v>3516</v>
      </c>
      <c r="L246" s="513">
        <v>113696</v>
      </c>
      <c r="M246" s="513">
        <v>398.26</v>
      </c>
      <c r="N246" s="513"/>
    </row>
    <row r="247" spans="1:14" ht="45">
      <c r="A247" s="513">
        <v>59</v>
      </c>
      <c r="B247" s="694"/>
      <c r="C247" s="696"/>
      <c r="D247" s="511" t="s">
        <v>3517</v>
      </c>
      <c r="E247" s="511" t="s">
        <v>3518</v>
      </c>
      <c r="F247" s="513">
        <v>214</v>
      </c>
      <c r="G247" s="513">
        <v>214</v>
      </c>
      <c r="H247" s="513" t="s">
        <v>3519</v>
      </c>
      <c r="I247" s="513"/>
      <c r="J247" s="513" t="s">
        <v>3520</v>
      </c>
      <c r="K247" s="513" t="s">
        <v>3521</v>
      </c>
      <c r="L247" s="513">
        <v>67797</v>
      </c>
      <c r="M247" s="513">
        <v>316.81</v>
      </c>
      <c r="N247" s="513"/>
    </row>
    <row r="248" spans="1:14" ht="30">
      <c r="A248" s="513">
        <v>60</v>
      </c>
      <c r="B248" s="694"/>
      <c r="C248" s="696"/>
      <c r="D248" s="511" t="s">
        <v>3522</v>
      </c>
      <c r="E248" s="511" t="s">
        <v>3523</v>
      </c>
      <c r="F248" s="513">
        <v>371.61200000000002</v>
      </c>
      <c r="G248" s="513">
        <v>371.61200000000002</v>
      </c>
      <c r="H248" s="513" t="s">
        <v>3524</v>
      </c>
      <c r="I248" s="513"/>
      <c r="J248" s="513" t="s">
        <v>1742</v>
      </c>
      <c r="K248" s="513" t="s">
        <v>3525</v>
      </c>
      <c r="L248" s="513">
        <v>168000</v>
      </c>
      <c r="M248" s="513">
        <v>452</v>
      </c>
      <c r="N248" s="513"/>
    </row>
    <row r="249" spans="1:14" ht="45">
      <c r="A249" s="513">
        <v>61</v>
      </c>
      <c r="B249" s="694"/>
      <c r="C249" s="696" t="s">
        <v>3513</v>
      </c>
      <c r="D249" s="511" t="s">
        <v>3526</v>
      </c>
      <c r="E249" s="511" t="s">
        <v>3527</v>
      </c>
      <c r="F249" s="513">
        <v>353</v>
      </c>
      <c r="G249" s="513">
        <v>353</v>
      </c>
      <c r="H249" s="513" t="s">
        <v>3528</v>
      </c>
      <c r="I249" s="513"/>
      <c r="J249" s="513" t="s">
        <v>1742</v>
      </c>
      <c r="K249" s="513" t="s">
        <v>3529</v>
      </c>
      <c r="L249" s="513">
        <v>64600</v>
      </c>
      <c r="M249" s="513">
        <v>183</v>
      </c>
      <c r="N249" s="513"/>
    </row>
    <row r="250" spans="1:14" ht="60">
      <c r="A250" s="513">
        <v>62</v>
      </c>
      <c r="B250" s="694"/>
      <c r="C250" s="696"/>
      <c r="D250" s="511" t="s">
        <v>3530</v>
      </c>
      <c r="E250" s="511" t="s">
        <v>3531</v>
      </c>
      <c r="F250" s="513">
        <v>371.61</v>
      </c>
      <c r="G250" s="513">
        <v>371.61</v>
      </c>
      <c r="H250" s="513" t="s">
        <v>3532</v>
      </c>
      <c r="I250" s="513"/>
      <c r="J250" s="513" t="s">
        <v>1742</v>
      </c>
      <c r="K250" s="513" t="s">
        <v>3533</v>
      </c>
      <c r="L250" s="513">
        <v>166000</v>
      </c>
      <c r="M250" s="513">
        <v>446.7</v>
      </c>
      <c r="N250" s="513"/>
    </row>
    <row r="251" spans="1:14">
      <c r="A251" s="771"/>
      <c r="B251" s="771"/>
      <c r="C251" s="771"/>
      <c r="D251" s="771"/>
      <c r="E251" s="771"/>
      <c r="F251" s="771"/>
      <c r="G251" s="771"/>
      <c r="H251" s="771"/>
      <c r="I251" s="771"/>
      <c r="J251" s="771"/>
      <c r="K251" s="771"/>
      <c r="L251" s="771"/>
      <c r="M251" s="771"/>
      <c r="N251" s="771"/>
    </row>
    <row r="252" spans="1:14" ht="89.25" customHeight="1">
      <c r="A252" s="180" t="s">
        <v>362</v>
      </c>
      <c r="B252" s="779" t="s">
        <v>3534</v>
      </c>
      <c r="C252" s="779"/>
      <c r="D252" s="779"/>
      <c r="E252" s="779"/>
      <c r="F252" s="779"/>
      <c r="G252" s="779"/>
      <c r="H252" s="779"/>
      <c r="I252" s="779"/>
      <c r="J252" s="779"/>
      <c r="K252" s="779"/>
      <c r="L252" s="779"/>
      <c r="M252" s="779"/>
      <c r="N252" s="779"/>
    </row>
    <row r="253" spans="1:14" ht="27" customHeight="1">
      <c r="A253" s="141" t="s">
        <v>363</v>
      </c>
      <c r="B253" s="779" t="s">
        <v>3535</v>
      </c>
      <c r="C253" s="779"/>
      <c r="D253" s="779"/>
      <c r="E253" s="779"/>
      <c r="F253" s="779"/>
      <c r="G253" s="779"/>
      <c r="H253" s="779"/>
      <c r="I253" s="779"/>
      <c r="J253" s="779"/>
      <c r="K253" s="779"/>
      <c r="L253" s="779"/>
      <c r="M253" s="779"/>
      <c r="N253" s="779"/>
    </row>
    <row r="254" spans="1:14">
      <c r="A254" s="743"/>
      <c r="B254" s="743"/>
      <c r="C254" s="743"/>
      <c r="D254" s="743"/>
      <c r="E254" s="743"/>
      <c r="F254" s="743"/>
      <c r="G254" s="743"/>
      <c r="H254" s="743"/>
      <c r="I254" s="743"/>
      <c r="J254" s="743"/>
      <c r="K254" s="743"/>
      <c r="L254" s="743"/>
      <c r="M254" s="743"/>
      <c r="N254" s="743"/>
    </row>
    <row r="255" spans="1:14" ht="22.5">
      <c r="A255" s="700" t="s">
        <v>424</v>
      </c>
      <c r="B255" s="700"/>
      <c r="C255" s="700"/>
      <c r="D255" s="700"/>
      <c r="E255" s="700"/>
      <c r="F255" s="700"/>
      <c r="G255" s="700"/>
      <c r="H255" s="700"/>
      <c r="I255" s="700"/>
      <c r="J255" s="700"/>
      <c r="K255" s="700"/>
      <c r="L255" s="700"/>
      <c r="M255" s="700"/>
      <c r="N255" s="700"/>
    </row>
    <row r="256" spans="1:14" ht="20.25">
      <c r="A256" s="757" t="s">
        <v>2669</v>
      </c>
      <c r="B256" s="757"/>
      <c r="C256" s="757"/>
      <c r="D256" s="757"/>
      <c r="E256" s="757"/>
      <c r="F256" s="757"/>
      <c r="G256" s="757"/>
      <c r="H256" s="757"/>
      <c r="I256" s="757"/>
      <c r="J256" s="757"/>
      <c r="K256" s="757"/>
      <c r="L256" s="757"/>
      <c r="M256" s="757"/>
      <c r="N256" s="757"/>
    </row>
    <row r="257" spans="1:14" ht="71.25">
      <c r="A257" s="530" t="s">
        <v>0</v>
      </c>
      <c r="B257" s="19" t="s">
        <v>1616</v>
      </c>
      <c r="C257" s="530" t="s">
        <v>1676</v>
      </c>
      <c r="D257" s="18" t="s">
        <v>1677</v>
      </c>
      <c r="E257" s="18" t="s">
        <v>1678</v>
      </c>
      <c r="F257" s="19" t="s">
        <v>2670</v>
      </c>
      <c r="G257" s="19" t="s">
        <v>2671</v>
      </c>
      <c r="H257" s="19" t="s">
        <v>1679</v>
      </c>
      <c r="I257" s="19" t="s">
        <v>1680</v>
      </c>
      <c r="J257" s="19" t="s">
        <v>1681</v>
      </c>
      <c r="K257" s="19" t="s">
        <v>1682</v>
      </c>
      <c r="L257" s="19" t="s">
        <v>1683</v>
      </c>
      <c r="M257" s="19" t="s">
        <v>1684</v>
      </c>
      <c r="N257" s="19" t="s">
        <v>1685</v>
      </c>
    </row>
    <row r="258" spans="1:14">
      <c r="A258" s="530">
        <v>1</v>
      </c>
      <c r="B258" s="530">
        <v>2</v>
      </c>
      <c r="C258" s="530">
        <v>3</v>
      </c>
      <c r="D258" s="530">
        <v>4</v>
      </c>
      <c r="E258" s="530">
        <v>5</v>
      </c>
      <c r="F258" s="530">
        <v>6</v>
      </c>
      <c r="G258" s="530">
        <v>7</v>
      </c>
      <c r="H258" s="530">
        <v>8</v>
      </c>
      <c r="I258" s="19">
        <v>9</v>
      </c>
      <c r="J258" s="530">
        <v>10</v>
      </c>
      <c r="K258" s="530">
        <v>11</v>
      </c>
      <c r="L258" s="530">
        <v>12</v>
      </c>
      <c r="M258" s="530">
        <v>13</v>
      </c>
      <c r="N258" s="530">
        <v>14</v>
      </c>
    </row>
    <row r="259" spans="1:14" ht="90">
      <c r="A259" s="513">
        <v>1</v>
      </c>
      <c r="B259" s="780" t="s">
        <v>2607</v>
      </c>
      <c r="C259" s="780" t="s">
        <v>466</v>
      </c>
      <c r="D259" s="511" t="s">
        <v>3537</v>
      </c>
      <c r="E259" s="710" t="s">
        <v>3538</v>
      </c>
      <c r="F259" s="44">
        <v>674.19</v>
      </c>
      <c r="G259" s="544">
        <v>936.38</v>
      </c>
      <c r="H259" s="57">
        <v>42007</v>
      </c>
      <c r="I259" s="721" t="s">
        <v>3539</v>
      </c>
      <c r="J259" s="544" t="s">
        <v>2980</v>
      </c>
      <c r="K259" s="57">
        <v>43103</v>
      </c>
      <c r="L259" s="139">
        <v>534511</v>
      </c>
      <c r="M259" s="185">
        <v>571</v>
      </c>
      <c r="N259" s="721"/>
    </row>
    <row r="260" spans="1:14" ht="90">
      <c r="A260" s="513">
        <v>2</v>
      </c>
      <c r="B260" s="780"/>
      <c r="C260" s="780"/>
      <c r="D260" s="511" t="s">
        <v>3540</v>
      </c>
      <c r="E260" s="710"/>
      <c r="F260" s="544">
        <v>668.52</v>
      </c>
      <c r="G260" s="44">
        <v>928.5</v>
      </c>
      <c r="H260" s="57">
        <v>43103</v>
      </c>
      <c r="I260" s="721"/>
      <c r="J260" s="544" t="s">
        <v>2980</v>
      </c>
      <c r="K260" s="57">
        <v>44199</v>
      </c>
      <c r="L260" s="139">
        <v>529602</v>
      </c>
      <c r="M260" s="185">
        <f>529602/928.5</f>
        <v>570.38449111470118</v>
      </c>
      <c r="N260" s="721"/>
    </row>
    <row r="261" spans="1:14" ht="75">
      <c r="A261" s="513">
        <v>3</v>
      </c>
      <c r="B261" s="780"/>
      <c r="C261" s="628" t="s">
        <v>3541</v>
      </c>
      <c r="D261" s="511" t="s">
        <v>3542</v>
      </c>
      <c r="E261" s="511" t="s">
        <v>3543</v>
      </c>
      <c r="F261" s="513" t="s">
        <v>35</v>
      </c>
      <c r="G261" s="513">
        <v>1019</v>
      </c>
      <c r="H261" s="513" t="s">
        <v>3544</v>
      </c>
      <c r="I261" s="513" t="s">
        <v>3545</v>
      </c>
      <c r="J261" s="513" t="s">
        <v>1925</v>
      </c>
      <c r="K261" s="513" t="s">
        <v>3546</v>
      </c>
      <c r="L261" s="513" t="s">
        <v>3547</v>
      </c>
      <c r="M261" s="513" t="s">
        <v>3548</v>
      </c>
      <c r="N261" s="781" t="s">
        <v>3549</v>
      </c>
    </row>
    <row r="262" spans="1:14" ht="120">
      <c r="A262" s="513">
        <v>4</v>
      </c>
      <c r="B262" s="780"/>
      <c r="C262" s="628"/>
      <c r="D262" s="511" t="s">
        <v>3550</v>
      </c>
      <c r="E262" s="511" t="s">
        <v>3551</v>
      </c>
      <c r="F262" s="513" t="s">
        <v>35</v>
      </c>
      <c r="G262" s="513">
        <v>1019</v>
      </c>
      <c r="H262" s="513" t="s">
        <v>3544</v>
      </c>
      <c r="I262" s="513" t="s">
        <v>3545</v>
      </c>
      <c r="J262" s="513" t="s">
        <v>1925</v>
      </c>
      <c r="K262" s="513" t="s">
        <v>3546</v>
      </c>
      <c r="L262" s="513" t="s">
        <v>3547</v>
      </c>
      <c r="M262" s="513" t="s">
        <v>3548</v>
      </c>
      <c r="N262" s="781"/>
    </row>
    <row r="263" spans="1:14" ht="135">
      <c r="A263" s="513">
        <v>5</v>
      </c>
      <c r="B263" s="780"/>
      <c r="C263" s="706" t="s">
        <v>481</v>
      </c>
      <c r="D263" s="511" t="s">
        <v>3552</v>
      </c>
      <c r="E263" s="511" t="s">
        <v>3553</v>
      </c>
      <c r="F263" s="545">
        <v>89.093999999999994</v>
      </c>
      <c r="G263" s="545">
        <v>89.093999999999994</v>
      </c>
      <c r="H263" s="513" t="s">
        <v>3554</v>
      </c>
      <c r="I263" s="513" t="s">
        <v>1702</v>
      </c>
      <c r="J263" s="513" t="s">
        <v>3555</v>
      </c>
      <c r="K263" s="513" t="s">
        <v>3556</v>
      </c>
      <c r="L263" s="513">
        <v>23400</v>
      </c>
      <c r="M263" s="541">
        <f>L263/F263</f>
        <v>262.64394908748068</v>
      </c>
      <c r="N263" s="500" t="s">
        <v>484</v>
      </c>
    </row>
    <row r="264" spans="1:14" ht="135">
      <c r="A264" s="513">
        <v>6</v>
      </c>
      <c r="B264" s="780"/>
      <c r="C264" s="706"/>
      <c r="D264" s="511" t="s">
        <v>3557</v>
      </c>
      <c r="E264" s="511" t="s">
        <v>3558</v>
      </c>
      <c r="F264" s="545">
        <v>92.903000000000006</v>
      </c>
      <c r="G264" s="545">
        <v>92.903000000000006</v>
      </c>
      <c r="H264" s="513" t="s">
        <v>3559</v>
      </c>
      <c r="I264" s="513" t="s">
        <v>1702</v>
      </c>
      <c r="J264" s="513" t="s">
        <v>3560</v>
      </c>
      <c r="K264" s="513" t="s">
        <v>3561</v>
      </c>
      <c r="L264" s="513">
        <v>17250</v>
      </c>
      <c r="M264" s="541">
        <f t="shared" ref="M264:M275" si="2">L264/F264</f>
        <v>185.67753463289665</v>
      </c>
      <c r="N264" s="500" t="s">
        <v>484</v>
      </c>
    </row>
    <row r="265" spans="1:14" ht="105">
      <c r="A265" s="513">
        <v>7</v>
      </c>
      <c r="B265" s="780"/>
      <c r="C265" s="706"/>
      <c r="D265" s="511" t="s">
        <v>3562</v>
      </c>
      <c r="E265" s="511" t="s">
        <v>3563</v>
      </c>
      <c r="F265" s="513">
        <v>528.25</v>
      </c>
      <c r="G265" s="513">
        <v>528.25</v>
      </c>
      <c r="H265" s="513" t="s">
        <v>3564</v>
      </c>
      <c r="I265" s="513" t="s">
        <v>1702</v>
      </c>
      <c r="J265" s="513" t="s">
        <v>3565</v>
      </c>
      <c r="K265" s="513" t="s">
        <v>3275</v>
      </c>
      <c r="L265" s="513">
        <v>68186</v>
      </c>
      <c r="M265" s="541">
        <f t="shared" si="2"/>
        <v>129.07903454803596</v>
      </c>
      <c r="N265" s="500" t="s">
        <v>484</v>
      </c>
    </row>
    <row r="266" spans="1:14" ht="165">
      <c r="A266" s="513">
        <v>8</v>
      </c>
      <c r="B266" s="780"/>
      <c r="C266" s="706"/>
      <c r="D266" s="511" t="s">
        <v>3566</v>
      </c>
      <c r="E266" s="511" t="s">
        <v>3567</v>
      </c>
      <c r="F266" s="513">
        <v>382.57</v>
      </c>
      <c r="G266" s="513">
        <v>382.57</v>
      </c>
      <c r="H266" s="513" t="s">
        <v>3568</v>
      </c>
      <c r="I266" s="513" t="s">
        <v>1702</v>
      </c>
      <c r="J266" s="513" t="s">
        <v>3569</v>
      </c>
      <c r="K266" s="513" t="s">
        <v>1734</v>
      </c>
      <c r="L266" s="500">
        <v>55376</v>
      </c>
      <c r="M266" s="541">
        <f t="shared" si="2"/>
        <v>144.74736649502051</v>
      </c>
      <c r="N266" s="500" t="s">
        <v>484</v>
      </c>
    </row>
    <row r="267" spans="1:14" ht="105">
      <c r="A267" s="513">
        <v>9</v>
      </c>
      <c r="B267" s="780"/>
      <c r="C267" s="706"/>
      <c r="D267" s="511" t="s">
        <v>3570</v>
      </c>
      <c r="E267" s="511" t="s">
        <v>3571</v>
      </c>
      <c r="F267" s="513">
        <v>614.37</v>
      </c>
      <c r="G267" s="513">
        <v>614.37</v>
      </c>
      <c r="H267" s="513" t="s">
        <v>3572</v>
      </c>
      <c r="I267" s="513" t="s">
        <v>1702</v>
      </c>
      <c r="J267" s="513" t="s">
        <v>3573</v>
      </c>
      <c r="K267" s="513" t="s">
        <v>3574</v>
      </c>
      <c r="L267" s="513">
        <v>80000</v>
      </c>
      <c r="M267" s="541">
        <f t="shared" si="2"/>
        <v>130.21469147256539</v>
      </c>
      <c r="N267" s="500" t="s">
        <v>484</v>
      </c>
    </row>
    <row r="268" spans="1:14" ht="105">
      <c r="A268" s="513">
        <v>10</v>
      </c>
      <c r="B268" s="780"/>
      <c r="C268" s="706"/>
      <c r="D268" s="511" t="s">
        <v>3575</v>
      </c>
      <c r="E268" s="511" t="s">
        <v>3576</v>
      </c>
      <c r="F268" s="513">
        <v>145.30000000000001</v>
      </c>
      <c r="G268" s="513">
        <v>145.30000000000001</v>
      </c>
      <c r="H268" s="513" t="s">
        <v>3577</v>
      </c>
      <c r="I268" s="513" t="s">
        <v>1702</v>
      </c>
      <c r="J268" s="513" t="s">
        <v>3578</v>
      </c>
      <c r="K268" s="513" t="s">
        <v>3345</v>
      </c>
      <c r="L268" s="513">
        <v>37413</v>
      </c>
      <c r="M268" s="541">
        <f t="shared" si="2"/>
        <v>257.48795595320024</v>
      </c>
      <c r="N268" s="500" t="s">
        <v>484</v>
      </c>
    </row>
    <row r="269" spans="1:14" ht="135">
      <c r="A269" s="513">
        <v>11</v>
      </c>
      <c r="B269" s="780"/>
      <c r="C269" s="706"/>
      <c r="D269" s="511" t="s">
        <v>3579</v>
      </c>
      <c r="E269" s="511" t="s">
        <v>3580</v>
      </c>
      <c r="F269" s="513">
        <v>85.64</v>
      </c>
      <c r="G269" s="513">
        <v>85.64</v>
      </c>
      <c r="H269" s="513" t="s">
        <v>3581</v>
      </c>
      <c r="I269" s="513" t="s">
        <v>1702</v>
      </c>
      <c r="J269" s="513" t="s">
        <v>3582</v>
      </c>
      <c r="K269" s="500" t="s">
        <v>3583</v>
      </c>
      <c r="L269" s="500">
        <v>12000</v>
      </c>
      <c r="M269" s="541">
        <f t="shared" si="2"/>
        <v>140.12143858010276</v>
      </c>
      <c r="N269" s="500" t="s">
        <v>484</v>
      </c>
    </row>
    <row r="270" spans="1:14" ht="195">
      <c r="A270" s="513">
        <v>12</v>
      </c>
      <c r="B270" s="780"/>
      <c r="C270" s="706"/>
      <c r="D270" s="511" t="s">
        <v>3584</v>
      </c>
      <c r="E270" s="511" t="s">
        <v>3585</v>
      </c>
      <c r="F270" s="513">
        <v>1904.8</v>
      </c>
      <c r="G270" s="513">
        <v>2290.15</v>
      </c>
      <c r="H270" s="513" t="s">
        <v>3586</v>
      </c>
      <c r="I270" s="513" t="s">
        <v>3587</v>
      </c>
      <c r="J270" s="513" t="s">
        <v>3588</v>
      </c>
      <c r="K270" s="513" t="s">
        <v>3589</v>
      </c>
      <c r="L270" s="513">
        <v>455759</v>
      </c>
      <c r="M270" s="541">
        <f t="shared" si="2"/>
        <v>239.26868962620748</v>
      </c>
      <c r="N270" s="500" t="s">
        <v>484</v>
      </c>
    </row>
    <row r="271" spans="1:14" ht="120">
      <c r="A271" s="513">
        <v>13</v>
      </c>
      <c r="B271" s="780"/>
      <c r="C271" s="706"/>
      <c r="D271" s="511" t="s">
        <v>3590</v>
      </c>
      <c r="E271" s="511" t="s">
        <v>3591</v>
      </c>
      <c r="F271" s="513">
        <v>189.8</v>
      </c>
      <c r="G271" s="513">
        <v>189.8</v>
      </c>
      <c r="H271" s="513" t="s">
        <v>3592</v>
      </c>
      <c r="I271" s="513" t="s">
        <v>1702</v>
      </c>
      <c r="J271" s="513" t="s">
        <v>3593</v>
      </c>
      <c r="K271" s="513" t="s">
        <v>3594</v>
      </c>
      <c r="L271" s="513">
        <v>49000</v>
      </c>
      <c r="M271" s="541">
        <f t="shared" si="2"/>
        <v>258.16649104320334</v>
      </c>
      <c r="N271" s="500" t="s">
        <v>484</v>
      </c>
    </row>
    <row r="272" spans="1:14" ht="135">
      <c r="A272" s="513">
        <v>14</v>
      </c>
      <c r="B272" s="780"/>
      <c r="C272" s="706"/>
      <c r="D272" s="511" t="s">
        <v>3595</v>
      </c>
      <c r="E272" s="511" t="s">
        <v>3596</v>
      </c>
      <c r="F272" s="513">
        <v>157.1</v>
      </c>
      <c r="G272" s="513">
        <v>157.1</v>
      </c>
      <c r="H272" s="513" t="s">
        <v>3597</v>
      </c>
      <c r="I272" s="513" t="s">
        <v>1702</v>
      </c>
      <c r="J272" s="513" t="s">
        <v>3598</v>
      </c>
      <c r="K272" s="513" t="s">
        <v>3599</v>
      </c>
      <c r="L272" s="513">
        <v>10800</v>
      </c>
      <c r="M272" s="541">
        <f t="shared" si="2"/>
        <v>68.746021642266072</v>
      </c>
      <c r="N272" s="500" t="s">
        <v>484</v>
      </c>
    </row>
    <row r="273" spans="1:14" ht="105">
      <c r="A273" s="513">
        <v>15</v>
      </c>
      <c r="B273" s="780"/>
      <c r="C273" s="706"/>
      <c r="D273" s="511" t="s">
        <v>3600</v>
      </c>
      <c r="E273" s="511" t="s">
        <v>3601</v>
      </c>
      <c r="F273" s="513">
        <v>116.4</v>
      </c>
      <c r="G273" s="513">
        <v>116.4</v>
      </c>
      <c r="H273" s="513" t="s">
        <v>3602</v>
      </c>
      <c r="I273" s="513" t="s">
        <v>1702</v>
      </c>
      <c r="J273" s="513" t="s">
        <v>3603</v>
      </c>
      <c r="K273" s="513" t="s">
        <v>1728</v>
      </c>
      <c r="L273" s="513">
        <v>20000</v>
      </c>
      <c r="M273" s="541">
        <f t="shared" si="2"/>
        <v>171.82130584192439</v>
      </c>
      <c r="N273" s="500" t="s">
        <v>484</v>
      </c>
    </row>
    <row r="274" spans="1:14" ht="105">
      <c r="A274" s="513">
        <v>16</v>
      </c>
      <c r="B274" s="780"/>
      <c r="C274" s="706"/>
      <c r="D274" s="511" t="s">
        <v>3604</v>
      </c>
      <c r="E274" s="511" t="s">
        <v>3605</v>
      </c>
      <c r="F274" s="513">
        <v>65.5</v>
      </c>
      <c r="G274" s="513">
        <v>65.5</v>
      </c>
      <c r="H274" s="513" t="s">
        <v>3606</v>
      </c>
      <c r="I274" s="513" t="s">
        <v>1702</v>
      </c>
      <c r="J274" s="513" t="s">
        <v>3607</v>
      </c>
      <c r="K274" s="500" t="s">
        <v>1728</v>
      </c>
      <c r="L274" s="500">
        <v>10500</v>
      </c>
      <c r="M274" s="541">
        <f t="shared" si="2"/>
        <v>160.30534351145039</v>
      </c>
      <c r="N274" s="500" t="s">
        <v>484</v>
      </c>
    </row>
    <row r="275" spans="1:14" ht="75">
      <c r="A275" s="513">
        <v>17</v>
      </c>
      <c r="B275" s="780"/>
      <c r="C275" s="706"/>
      <c r="D275" s="511" t="s">
        <v>3608</v>
      </c>
      <c r="E275" s="511" t="s">
        <v>3609</v>
      </c>
      <c r="F275" s="513">
        <v>155.03</v>
      </c>
      <c r="G275" s="513">
        <v>155.03</v>
      </c>
      <c r="H275" s="513"/>
      <c r="I275" s="513" t="s">
        <v>1702</v>
      </c>
      <c r="J275" s="513" t="s">
        <v>3610</v>
      </c>
      <c r="K275" s="513" t="s">
        <v>1755</v>
      </c>
      <c r="L275" s="513">
        <v>20025</v>
      </c>
      <c r="M275" s="541">
        <f t="shared" si="2"/>
        <v>129.16854802296331</v>
      </c>
      <c r="N275" s="500" t="s">
        <v>484</v>
      </c>
    </row>
    <row r="276" spans="1:14" ht="75">
      <c r="A276" s="513">
        <v>18</v>
      </c>
      <c r="B276" s="780"/>
      <c r="C276" s="706" t="s">
        <v>486</v>
      </c>
      <c r="D276" s="515" t="s">
        <v>3611</v>
      </c>
      <c r="E276" s="515" t="s">
        <v>3612</v>
      </c>
      <c r="F276" s="518" t="s">
        <v>454</v>
      </c>
      <c r="G276" s="539">
        <v>110</v>
      </c>
      <c r="H276" s="539" t="s">
        <v>3613</v>
      </c>
      <c r="I276" s="539" t="s">
        <v>1702</v>
      </c>
      <c r="J276" s="513" t="s">
        <v>3614</v>
      </c>
      <c r="K276" s="513" t="s">
        <v>3615</v>
      </c>
      <c r="L276" s="513">
        <v>295</v>
      </c>
      <c r="M276" s="518">
        <f>L276/G276</f>
        <v>2.6818181818181817</v>
      </c>
      <c r="N276" s="518" t="s">
        <v>454</v>
      </c>
    </row>
    <row r="277" spans="1:14" ht="90">
      <c r="A277" s="513">
        <v>19</v>
      </c>
      <c r="B277" s="780"/>
      <c r="C277" s="706"/>
      <c r="D277" s="515" t="s">
        <v>3616</v>
      </c>
      <c r="E277" s="515" t="s">
        <v>3617</v>
      </c>
      <c r="F277" s="54" t="s">
        <v>454</v>
      </c>
      <c r="G277" s="539">
        <v>67.94</v>
      </c>
      <c r="H277" s="539" t="s">
        <v>3618</v>
      </c>
      <c r="I277" s="539" t="s">
        <v>1702</v>
      </c>
      <c r="J277" s="539" t="s">
        <v>3619</v>
      </c>
      <c r="K277" s="539" t="s">
        <v>3620</v>
      </c>
      <c r="L277" s="539">
        <v>9520</v>
      </c>
      <c r="M277" s="518">
        <f t="shared" ref="M277:M283" si="3">L277/G277</f>
        <v>140.12363850456285</v>
      </c>
      <c r="N277" s="518" t="s">
        <v>454</v>
      </c>
    </row>
    <row r="278" spans="1:14" ht="60">
      <c r="A278" s="513">
        <v>20</v>
      </c>
      <c r="B278" s="780"/>
      <c r="C278" s="706"/>
      <c r="D278" s="515" t="s">
        <v>3621</v>
      </c>
      <c r="E278" s="515" t="s">
        <v>3622</v>
      </c>
      <c r="F278" s="518" t="s">
        <v>454</v>
      </c>
      <c r="G278" s="539">
        <v>222.65</v>
      </c>
      <c r="H278" s="539" t="s">
        <v>3623</v>
      </c>
      <c r="I278" s="539" t="s">
        <v>1702</v>
      </c>
      <c r="J278" s="539" t="s">
        <v>3619</v>
      </c>
      <c r="K278" s="539" t="s">
        <v>3624</v>
      </c>
      <c r="L278" s="539">
        <v>14235</v>
      </c>
      <c r="M278" s="518">
        <f t="shared" si="3"/>
        <v>63.934426229508198</v>
      </c>
      <c r="N278" s="518" t="s">
        <v>454</v>
      </c>
    </row>
    <row r="279" spans="1:14" ht="60">
      <c r="A279" s="513">
        <v>21</v>
      </c>
      <c r="B279" s="780"/>
      <c r="C279" s="706"/>
      <c r="D279" s="515" t="s">
        <v>3625</v>
      </c>
      <c r="E279" s="515" t="s">
        <v>3626</v>
      </c>
      <c r="F279" s="518" t="s">
        <v>454</v>
      </c>
      <c r="G279" s="539">
        <v>160.54</v>
      </c>
      <c r="H279" s="539" t="s">
        <v>3627</v>
      </c>
      <c r="I279" s="539" t="s">
        <v>1702</v>
      </c>
      <c r="J279" s="539" t="s">
        <v>3619</v>
      </c>
      <c r="K279" s="539" t="s">
        <v>2792</v>
      </c>
      <c r="L279" s="539">
        <v>9542</v>
      </c>
      <c r="M279" s="518">
        <f t="shared" si="3"/>
        <v>59.436900460944315</v>
      </c>
      <c r="N279" s="518" t="s">
        <v>454</v>
      </c>
    </row>
    <row r="280" spans="1:14" ht="75">
      <c r="A280" s="513">
        <v>22</v>
      </c>
      <c r="B280" s="780"/>
      <c r="C280" s="706"/>
      <c r="D280" s="515" t="s">
        <v>3628</v>
      </c>
      <c r="E280" s="515" t="s">
        <v>3629</v>
      </c>
      <c r="F280" s="518" t="s">
        <v>454</v>
      </c>
      <c r="G280" s="539">
        <v>115</v>
      </c>
      <c r="H280" s="539" t="s">
        <v>3630</v>
      </c>
      <c r="I280" s="539" t="s">
        <v>1702</v>
      </c>
      <c r="J280" s="513" t="s">
        <v>3619</v>
      </c>
      <c r="K280" s="513" t="s">
        <v>3631</v>
      </c>
      <c r="L280" s="513">
        <v>7280</v>
      </c>
      <c r="M280" s="518">
        <f t="shared" si="3"/>
        <v>63.304347826086953</v>
      </c>
      <c r="N280" s="518" t="s">
        <v>454</v>
      </c>
    </row>
    <row r="281" spans="1:14" ht="75">
      <c r="A281" s="513">
        <v>23</v>
      </c>
      <c r="B281" s="780"/>
      <c r="C281" s="706"/>
      <c r="D281" s="515" t="s">
        <v>3632</v>
      </c>
      <c r="E281" s="515" t="s">
        <v>3633</v>
      </c>
      <c r="F281" s="518" t="s">
        <v>454</v>
      </c>
      <c r="G281" s="539">
        <v>138.55000000000001</v>
      </c>
      <c r="H281" s="539" t="s">
        <v>3634</v>
      </c>
      <c r="I281" s="539" t="s">
        <v>1702</v>
      </c>
      <c r="J281" s="513" t="s">
        <v>3619</v>
      </c>
      <c r="K281" s="513" t="s">
        <v>3275</v>
      </c>
      <c r="L281" s="513">
        <v>13000</v>
      </c>
      <c r="M281" s="518">
        <f t="shared" si="3"/>
        <v>93.828942619992773</v>
      </c>
      <c r="N281" s="518" t="s">
        <v>454</v>
      </c>
    </row>
    <row r="282" spans="1:14" ht="75">
      <c r="A282" s="513">
        <v>24</v>
      </c>
      <c r="B282" s="780"/>
      <c r="C282" s="706"/>
      <c r="D282" s="515" t="s">
        <v>3635</v>
      </c>
      <c r="E282" s="515" t="s">
        <v>3636</v>
      </c>
      <c r="F282" s="518" t="s">
        <v>454</v>
      </c>
      <c r="G282" s="539">
        <v>112.98</v>
      </c>
      <c r="H282" s="539" t="s">
        <v>3637</v>
      </c>
      <c r="I282" s="539" t="s">
        <v>1702</v>
      </c>
      <c r="J282" s="513" t="s">
        <v>3619</v>
      </c>
      <c r="K282" s="513" t="s">
        <v>3638</v>
      </c>
      <c r="L282" s="513">
        <v>11127</v>
      </c>
      <c r="M282" s="518">
        <f t="shared" si="3"/>
        <v>98.486457780138068</v>
      </c>
      <c r="N282" s="518" t="s">
        <v>454</v>
      </c>
    </row>
    <row r="283" spans="1:14" ht="75">
      <c r="A283" s="513">
        <v>25</v>
      </c>
      <c r="B283" s="780"/>
      <c r="C283" s="706"/>
      <c r="D283" s="515" t="s">
        <v>3639</v>
      </c>
      <c r="E283" s="515" t="s">
        <v>3640</v>
      </c>
      <c r="F283" s="518" t="s">
        <v>454</v>
      </c>
      <c r="G283" s="539">
        <v>341.2</v>
      </c>
      <c r="H283" s="539" t="s">
        <v>3641</v>
      </c>
      <c r="I283" s="539" t="s">
        <v>1702</v>
      </c>
      <c r="J283" s="513" t="s">
        <v>3619</v>
      </c>
      <c r="K283" s="513" t="s">
        <v>3642</v>
      </c>
      <c r="L283" s="513">
        <v>31360</v>
      </c>
      <c r="M283" s="518">
        <f t="shared" si="3"/>
        <v>91.910902696365767</v>
      </c>
      <c r="N283" s="518" t="s">
        <v>454</v>
      </c>
    </row>
    <row r="284" spans="1:14" ht="60">
      <c r="A284" s="513">
        <v>26</v>
      </c>
      <c r="B284" s="780"/>
      <c r="C284" s="706"/>
      <c r="D284" s="515" t="s">
        <v>3643</v>
      </c>
      <c r="E284" s="515" t="s">
        <v>3644</v>
      </c>
      <c r="F284" s="518" t="s">
        <v>454</v>
      </c>
      <c r="G284" s="539">
        <v>131.52000000000001</v>
      </c>
      <c r="H284" s="539" t="s">
        <v>3645</v>
      </c>
      <c r="I284" s="539" t="s">
        <v>1702</v>
      </c>
      <c r="J284" s="513" t="s">
        <v>3619</v>
      </c>
      <c r="K284" s="513" t="s">
        <v>2965</v>
      </c>
      <c r="L284" s="513">
        <v>10912</v>
      </c>
      <c r="M284" s="513">
        <f>L284/G284</f>
        <v>82.968369829683695</v>
      </c>
      <c r="N284" s="518" t="s">
        <v>454</v>
      </c>
    </row>
    <row r="285" spans="1:14" ht="60">
      <c r="A285" s="513">
        <v>27</v>
      </c>
      <c r="B285" s="780"/>
      <c r="C285" s="706"/>
      <c r="D285" s="515" t="s">
        <v>3646</v>
      </c>
      <c r="E285" s="515" t="s">
        <v>3647</v>
      </c>
      <c r="F285" s="518" t="s">
        <v>454</v>
      </c>
      <c r="G285" s="539">
        <v>194</v>
      </c>
      <c r="H285" s="539" t="s">
        <v>3648</v>
      </c>
      <c r="I285" s="539" t="s">
        <v>1702</v>
      </c>
      <c r="J285" s="513" t="s">
        <v>3619</v>
      </c>
      <c r="K285" s="513" t="s">
        <v>3164</v>
      </c>
      <c r="L285" s="513">
        <v>8715</v>
      </c>
      <c r="M285" s="513">
        <f t="shared" ref="M285:M290" si="4">L285/G285</f>
        <v>44.922680412371136</v>
      </c>
      <c r="N285" s="518" t="s">
        <v>454</v>
      </c>
    </row>
    <row r="286" spans="1:14" ht="105">
      <c r="A286" s="513">
        <v>28</v>
      </c>
      <c r="B286" s="780"/>
      <c r="C286" s="706"/>
      <c r="D286" s="515" t="s">
        <v>3649</v>
      </c>
      <c r="E286" s="515" t="s">
        <v>3650</v>
      </c>
      <c r="F286" s="518" t="s">
        <v>454</v>
      </c>
      <c r="G286" s="539">
        <v>843.93</v>
      </c>
      <c r="H286" s="539" t="s">
        <v>3651</v>
      </c>
      <c r="I286" s="539" t="s">
        <v>1702</v>
      </c>
      <c r="J286" s="513" t="s">
        <v>3619</v>
      </c>
      <c r="K286" s="513" t="s">
        <v>2755</v>
      </c>
      <c r="L286" s="513">
        <v>104160</v>
      </c>
      <c r="M286" s="513">
        <f t="shared" si="4"/>
        <v>123.42255874302371</v>
      </c>
      <c r="N286" s="518" t="s">
        <v>454</v>
      </c>
    </row>
    <row r="287" spans="1:14" ht="90">
      <c r="A287" s="513">
        <v>29</v>
      </c>
      <c r="B287" s="780"/>
      <c r="C287" s="706"/>
      <c r="D287" s="515" t="s">
        <v>3652</v>
      </c>
      <c r="E287" s="515" t="s">
        <v>3653</v>
      </c>
      <c r="F287" s="518" t="s">
        <v>454</v>
      </c>
      <c r="G287" s="539">
        <v>1009.97</v>
      </c>
      <c r="H287" s="539" t="s">
        <v>3654</v>
      </c>
      <c r="I287" s="539" t="s">
        <v>1702</v>
      </c>
      <c r="J287" s="513" t="s">
        <v>3619</v>
      </c>
      <c r="K287" s="513" t="s">
        <v>3655</v>
      </c>
      <c r="L287" s="513">
        <v>59687</v>
      </c>
      <c r="M287" s="513">
        <f t="shared" si="4"/>
        <v>59.097794984009425</v>
      </c>
      <c r="N287" s="518" t="s">
        <v>454</v>
      </c>
    </row>
    <row r="288" spans="1:14" ht="75">
      <c r="A288" s="513">
        <v>30</v>
      </c>
      <c r="B288" s="780"/>
      <c r="C288" s="706"/>
      <c r="D288" s="515" t="s">
        <v>3656</v>
      </c>
      <c r="E288" s="515" t="s">
        <v>3657</v>
      </c>
      <c r="F288" s="518" t="s">
        <v>454</v>
      </c>
      <c r="G288" s="539">
        <v>216.84</v>
      </c>
      <c r="H288" s="539" t="s">
        <v>3658</v>
      </c>
      <c r="I288" s="539" t="s">
        <v>1702</v>
      </c>
      <c r="J288" s="513" t="s">
        <v>3619</v>
      </c>
      <c r="K288" s="513" t="s">
        <v>3143</v>
      </c>
      <c r="L288" s="513">
        <v>3690</v>
      </c>
      <c r="M288" s="513">
        <f t="shared" si="4"/>
        <v>17.017155506364141</v>
      </c>
      <c r="N288" s="518" t="s">
        <v>454</v>
      </c>
    </row>
    <row r="289" spans="1:14" ht="60">
      <c r="A289" s="513">
        <v>31</v>
      </c>
      <c r="B289" s="780"/>
      <c r="C289" s="706"/>
      <c r="D289" s="515" t="s">
        <v>3659</v>
      </c>
      <c r="E289" s="515" t="s">
        <v>3660</v>
      </c>
      <c r="F289" s="518" t="s">
        <v>454</v>
      </c>
      <c r="G289" s="539">
        <v>119</v>
      </c>
      <c r="H289" s="539" t="s">
        <v>2759</v>
      </c>
      <c r="I289" s="539" t="s">
        <v>1702</v>
      </c>
      <c r="J289" s="513" t="s">
        <v>3619</v>
      </c>
      <c r="K289" s="513" t="s">
        <v>3267</v>
      </c>
      <c r="L289" s="513">
        <v>12174</v>
      </c>
      <c r="M289" s="513">
        <f t="shared" si="4"/>
        <v>102.30252100840336</v>
      </c>
      <c r="N289" s="518" t="s">
        <v>454</v>
      </c>
    </row>
    <row r="290" spans="1:14" ht="60">
      <c r="A290" s="513">
        <v>32</v>
      </c>
      <c r="B290" s="780"/>
      <c r="C290" s="706"/>
      <c r="D290" s="515" t="s">
        <v>3661</v>
      </c>
      <c r="E290" s="515" t="s">
        <v>3662</v>
      </c>
      <c r="F290" s="518" t="s">
        <v>454</v>
      </c>
      <c r="G290" s="539">
        <v>216.84</v>
      </c>
      <c r="H290" s="539" t="s">
        <v>3658</v>
      </c>
      <c r="I290" s="539" t="s">
        <v>1702</v>
      </c>
      <c r="J290" s="513" t="s">
        <v>3619</v>
      </c>
      <c r="K290" s="513" t="s">
        <v>3214</v>
      </c>
      <c r="L290" s="513">
        <v>13305</v>
      </c>
      <c r="M290" s="513">
        <f t="shared" si="4"/>
        <v>61.358605423353623</v>
      </c>
      <c r="N290" s="518" t="s">
        <v>454</v>
      </c>
    </row>
    <row r="291" spans="1:14" ht="75">
      <c r="A291" s="513">
        <v>33</v>
      </c>
      <c r="B291" s="780"/>
      <c r="C291" s="706" t="s">
        <v>450</v>
      </c>
      <c r="D291" s="511" t="s">
        <v>3663</v>
      </c>
      <c r="E291" s="511" t="s">
        <v>3664</v>
      </c>
      <c r="F291" s="545">
        <v>969.6</v>
      </c>
      <c r="G291" s="513"/>
      <c r="H291" s="542" t="s">
        <v>3665</v>
      </c>
      <c r="I291" s="544"/>
      <c r="J291" s="513" t="s">
        <v>3666</v>
      </c>
      <c r="K291" s="542">
        <v>44195</v>
      </c>
      <c r="L291" s="543">
        <v>163174</v>
      </c>
      <c r="M291" s="185">
        <f>L291/F291</f>
        <v>168.29001650165017</v>
      </c>
      <c r="N291" s="694" t="s">
        <v>3667</v>
      </c>
    </row>
    <row r="292" spans="1:14" ht="90">
      <c r="A292" s="513">
        <v>34</v>
      </c>
      <c r="B292" s="780"/>
      <c r="C292" s="706"/>
      <c r="D292" s="511" t="s">
        <v>3668</v>
      </c>
      <c r="E292" s="511" t="s">
        <v>3669</v>
      </c>
      <c r="F292" s="513">
        <v>368.82</v>
      </c>
      <c r="G292" s="513"/>
      <c r="H292" s="542">
        <v>43217</v>
      </c>
      <c r="I292" s="544"/>
      <c r="J292" s="513" t="s">
        <v>3670</v>
      </c>
      <c r="K292" s="542">
        <v>44313</v>
      </c>
      <c r="L292" s="543">
        <v>74954</v>
      </c>
      <c r="M292" s="185">
        <f t="shared" ref="M292:M297" si="5">L292/F292</f>
        <v>203.22650615476385</v>
      </c>
      <c r="N292" s="694"/>
    </row>
    <row r="293" spans="1:14" ht="60">
      <c r="A293" s="513">
        <v>35</v>
      </c>
      <c r="B293" s="780"/>
      <c r="C293" s="706"/>
      <c r="D293" s="511" t="s">
        <v>3671</v>
      </c>
      <c r="E293" s="511" t="s">
        <v>3672</v>
      </c>
      <c r="F293" s="545">
        <v>961.5</v>
      </c>
      <c r="G293" s="513"/>
      <c r="H293" s="542">
        <v>42644</v>
      </c>
      <c r="I293" s="544"/>
      <c r="J293" s="513" t="s">
        <v>3673</v>
      </c>
      <c r="K293" s="542">
        <v>43739</v>
      </c>
      <c r="L293" s="543">
        <v>154093</v>
      </c>
      <c r="M293" s="185">
        <f t="shared" si="5"/>
        <v>160.26313052522102</v>
      </c>
      <c r="N293" s="694"/>
    </row>
    <row r="294" spans="1:14" ht="45">
      <c r="A294" s="513">
        <v>36</v>
      </c>
      <c r="B294" s="780"/>
      <c r="C294" s="706"/>
      <c r="D294" s="511" t="s">
        <v>3674</v>
      </c>
      <c r="E294" s="511" t="s">
        <v>3675</v>
      </c>
      <c r="F294" s="513">
        <v>373.9</v>
      </c>
      <c r="G294" s="513"/>
      <c r="H294" s="542">
        <v>37591</v>
      </c>
      <c r="I294" s="544"/>
      <c r="J294" s="513" t="s">
        <v>3676</v>
      </c>
      <c r="K294" s="542">
        <v>44500</v>
      </c>
      <c r="L294" s="186">
        <v>24250</v>
      </c>
      <c r="M294" s="185">
        <f t="shared" si="5"/>
        <v>64.85691361326559</v>
      </c>
      <c r="N294" s="694"/>
    </row>
    <row r="295" spans="1:14" ht="45">
      <c r="A295" s="513">
        <v>37</v>
      </c>
      <c r="B295" s="780"/>
      <c r="C295" s="706"/>
      <c r="D295" s="511" t="s">
        <v>3677</v>
      </c>
      <c r="E295" s="511" t="s">
        <v>3678</v>
      </c>
      <c r="F295" s="545">
        <v>291.89999999999998</v>
      </c>
      <c r="G295" s="513"/>
      <c r="H295" s="542">
        <v>39692</v>
      </c>
      <c r="I295" s="544"/>
      <c r="J295" s="513" t="s">
        <v>3679</v>
      </c>
      <c r="K295" s="542">
        <v>43709</v>
      </c>
      <c r="L295" s="186">
        <v>17864</v>
      </c>
      <c r="M295" s="185">
        <f t="shared" si="5"/>
        <v>61.199040767386094</v>
      </c>
      <c r="N295" s="694"/>
    </row>
    <row r="296" spans="1:14" ht="45">
      <c r="A296" s="513">
        <v>38</v>
      </c>
      <c r="B296" s="780"/>
      <c r="C296" s="706"/>
      <c r="D296" s="511" t="s">
        <v>3680</v>
      </c>
      <c r="E296" s="511" t="s">
        <v>3681</v>
      </c>
      <c r="F296" s="513">
        <v>67.819999999999993</v>
      </c>
      <c r="G296" s="513"/>
      <c r="H296" s="542">
        <v>42917</v>
      </c>
      <c r="I296" s="544"/>
      <c r="J296" s="542" t="s">
        <v>3682</v>
      </c>
      <c r="K296" s="542">
        <v>44198</v>
      </c>
      <c r="L296" s="543">
        <v>9548</v>
      </c>
      <c r="M296" s="185">
        <f t="shared" si="5"/>
        <v>140.78442937186671</v>
      </c>
      <c r="N296" s="694"/>
    </row>
    <row r="297" spans="1:14" ht="45">
      <c r="A297" s="513">
        <v>39</v>
      </c>
      <c r="B297" s="780"/>
      <c r="C297" s="706"/>
      <c r="D297" s="511" t="s">
        <v>3683</v>
      </c>
      <c r="E297" s="511" t="s">
        <v>3684</v>
      </c>
      <c r="F297" s="513">
        <v>83.61</v>
      </c>
      <c r="G297" s="513"/>
      <c r="H297" s="542">
        <v>43160</v>
      </c>
      <c r="I297" s="544"/>
      <c r="J297" s="513" t="s">
        <v>3685</v>
      </c>
      <c r="K297" s="542">
        <v>44256</v>
      </c>
      <c r="L297" s="543">
        <v>16520</v>
      </c>
      <c r="M297" s="185">
        <f t="shared" si="5"/>
        <v>197.58402105011362</v>
      </c>
      <c r="N297" s="694"/>
    </row>
    <row r="298" spans="1:14" ht="90">
      <c r="A298" s="307">
        <v>40</v>
      </c>
      <c r="B298" s="780"/>
      <c r="C298" s="780" t="s">
        <v>7471</v>
      </c>
      <c r="D298" s="34" t="s">
        <v>3686</v>
      </c>
      <c r="E298" s="34" t="s">
        <v>3687</v>
      </c>
      <c r="F298" s="307">
        <v>209.4</v>
      </c>
      <c r="G298" s="307">
        <v>264</v>
      </c>
      <c r="H298" s="307" t="s">
        <v>3688</v>
      </c>
      <c r="I298" s="307" t="s">
        <v>1702</v>
      </c>
      <c r="J298" s="307" t="s">
        <v>3689</v>
      </c>
      <c r="K298" s="184" t="s">
        <v>3690</v>
      </c>
      <c r="L298" s="307">
        <v>11142</v>
      </c>
      <c r="M298" s="307">
        <v>53.21</v>
      </c>
      <c r="N298" s="307"/>
    </row>
    <row r="299" spans="1:14" ht="90">
      <c r="A299" s="307">
        <v>41</v>
      </c>
      <c r="B299" s="780"/>
      <c r="C299" s="780"/>
      <c r="D299" s="34" t="s">
        <v>3691</v>
      </c>
      <c r="E299" s="34" t="s">
        <v>3692</v>
      </c>
      <c r="F299" s="307">
        <v>102.19</v>
      </c>
      <c r="G299" s="307">
        <v>102.19</v>
      </c>
      <c r="H299" s="307" t="s">
        <v>3693</v>
      </c>
      <c r="I299" s="307" t="s">
        <v>1702</v>
      </c>
      <c r="J299" s="307" t="s">
        <v>3694</v>
      </c>
      <c r="K299" s="184" t="s">
        <v>3695</v>
      </c>
      <c r="L299" s="307">
        <v>10138</v>
      </c>
      <c r="M299" s="307">
        <v>99.21</v>
      </c>
      <c r="N299" s="307"/>
    </row>
    <row r="300" spans="1:14" ht="90">
      <c r="A300" s="307">
        <v>42</v>
      </c>
      <c r="B300" s="780"/>
      <c r="C300" s="780"/>
      <c r="D300" s="34" t="s">
        <v>3696</v>
      </c>
      <c r="E300" s="34" t="s">
        <v>3697</v>
      </c>
      <c r="F300" s="307">
        <v>156</v>
      </c>
      <c r="G300" s="307">
        <v>156</v>
      </c>
      <c r="H300" s="307" t="s">
        <v>3688</v>
      </c>
      <c r="I300" s="307" t="s">
        <v>1702</v>
      </c>
      <c r="J300" s="307" t="s">
        <v>3698</v>
      </c>
      <c r="K300" s="307" t="s">
        <v>3699</v>
      </c>
      <c r="L300" s="307">
        <v>8000</v>
      </c>
      <c r="M300" s="307">
        <v>51.03</v>
      </c>
      <c r="N300" s="307"/>
    </row>
    <row r="301" spans="1:14" ht="75">
      <c r="A301" s="307">
        <v>43</v>
      </c>
      <c r="B301" s="780"/>
      <c r="C301" s="780"/>
      <c r="D301" s="34" t="s">
        <v>3700</v>
      </c>
      <c r="E301" s="34" t="s">
        <v>3701</v>
      </c>
      <c r="F301" s="307">
        <v>557</v>
      </c>
      <c r="G301" s="307">
        <v>328</v>
      </c>
      <c r="H301" s="307" t="s">
        <v>3702</v>
      </c>
      <c r="I301" s="307" t="s">
        <v>1702</v>
      </c>
      <c r="J301" s="307" t="s">
        <v>3698</v>
      </c>
      <c r="K301" s="184" t="s">
        <v>3703</v>
      </c>
      <c r="L301" s="181">
        <v>53870</v>
      </c>
      <c r="M301" s="307">
        <v>97</v>
      </c>
      <c r="N301" s="307"/>
    </row>
    <row r="302" spans="1:14" ht="90">
      <c r="A302" s="307">
        <v>44</v>
      </c>
      <c r="B302" s="780"/>
      <c r="C302" s="780"/>
      <c r="D302" s="34" t="s">
        <v>3704</v>
      </c>
      <c r="E302" s="34" t="s">
        <v>3705</v>
      </c>
      <c r="F302" s="307">
        <v>100</v>
      </c>
      <c r="G302" s="307">
        <v>72</v>
      </c>
      <c r="H302" s="307" t="s">
        <v>3706</v>
      </c>
      <c r="I302" s="307" t="s">
        <v>1702</v>
      </c>
      <c r="J302" s="307" t="s">
        <v>3694</v>
      </c>
      <c r="K302" s="184" t="s">
        <v>3707</v>
      </c>
      <c r="L302" s="307">
        <v>7800</v>
      </c>
      <c r="M302" s="307">
        <v>78</v>
      </c>
      <c r="N302" s="307"/>
    </row>
    <row r="303" spans="1:14" ht="105">
      <c r="A303" s="307">
        <v>45</v>
      </c>
      <c r="B303" s="780"/>
      <c r="C303" s="780"/>
      <c r="D303" s="34" t="s">
        <v>3708</v>
      </c>
      <c r="E303" s="34" t="s">
        <v>3709</v>
      </c>
      <c r="F303" s="307">
        <v>98</v>
      </c>
      <c r="G303" s="307">
        <v>87</v>
      </c>
      <c r="H303" s="307" t="s">
        <v>3710</v>
      </c>
      <c r="I303" s="307" t="s">
        <v>1702</v>
      </c>
      <c r="J303" s="307" t="s">
        <v>3694</v>
      </c>
      <c r="K303" s="307" t="s">
        <v>3711</v>
      </c>
      <c r="L303" s="307">
        <v>9000</v>
      </c>
      <c r="M303" s="307">
        <v>92</v>
      </c>
      <c r="N303" s="307"/>
    </row>
    <row r="304" spans="1:14" ht="90">
      <c r="A304" s="307">
        <v>46</v>
      </c>
      <c r="B304" s="780"/>
      <c r="C304" s="780"/>
      <c r="D304" s="34" t="s">
        <v>3712</v>
      </c>
      <c r="E304" s="34" t="s">
        <v>3713</v>
      </c>
      <c r="F304" s="307">
        <v>94</v>
      </c>
      <c r="G304" s="307">
        <v>61</v>
      </c>
      <c r="H304" s="307" t="s">
        <v>3714</v>
      </c>
      <c r="I304" s="307" t="s">
        <v>1702</v>
      </c>
      <c r="J304" s="307" t="s">
        <v>3694</v>
      </c>
      <c r="K304" s="184" t="s">
        <v>3715</v>
      </c>
      <c r="L304" s="307">
        <v>8900</v>
      </c>
      <c r="M304" s="307">
        <v>95</v>
      </c>
      <c r="N304" s="307"/>
    </row>
    <row r="305" spans="1:14" ht="75">
      <c r="A305" s="307">
        <v>47</v>
      </c>
      <c r="B305" s="780"/>
      <c r="C305" s="780"/>
      <c r="D305" s="34" t="s">
        <v>3716</v>
      </c>
      <c r="E305" s="34" t="s">
        <v>3717</v>
      </c>
      <c r="F305" s="307">
        <v>371</v>
      </c>
      <c r="G305" s="307">
        <v>532.08000000000004</v>
      </c>
      <c r="H305" s="307" t="s">
        <v>7064</v>
      </c>
      <c r="I305" s="307" t="s">
        <v>3718</v>
      </c>
      <c r="J305" s="307" t="s">
        <v>3694</v>
      </c>
      <c r="K305" s="184" t="s">
        <v>3719</v>
      </c>
      <c r="L305" s="307">
        <v>63000</v>
      </c>
      <c r="M305" s="307">
        <v>118</v>
      </c>
      <c r="N305" s="307"/>
    </row>
    <row r="306" spans="1:14" ht="75">
      <c r="A306" s="307">
        <v>48</v>
      </c>
      <c r="B306" s="780"/>
      <c r="C306" s="780"/>
      <c r="D306" s="34" t="s">
        <v>3720</v>
      </c>
      <c r="E306" s="34" t="s">
        <v>3721</v>
      </c>
      <c r="F306" s="307">
        <v>151.13999999999999</v>
      </c>
      <c r="G306" s="307">
        <v>212.9</v>
      </c>
      <c r="H306" s="307" t="s">
        <v>3722</v>
      </c>
      <c r="I306" s="307" t="s">
        <v>3718</v>
      </c>
      <c r="J306" s="307" t="s">
        <v>3698</v>
      </c>
      <c r="K306" s="307" t="s">
        <v>2819</v>
      </c>
      <c r="L306" s="307">
        <v>29789</v>
      </c>
      <c r="M306" s="307">
        <v>140</v>
      </c>
      <c r="N306" s="307"/>
    </row>
    <row r="307" spans="1:14" ht="75">
      <c r="A307" s="307">
        <v>49</v>
      </c>
      <c r="B307" s="780"/>
      <c r="C307" s="780"/>
      <c r="D307" s="34" t="s">
        <v>3723</v>
      </c>
      <c r="E307" s="34" t="s">
        <v>3724</v>
      </c>
      <c r="F307" s="307">
        <v>60.92</v>
      </c>
      <c r="G307" s="307">
        <v>84.61</v>
      </c>
      <c r="H307" s="307" t="s">
        <v>3725</v>
      </c>
      <c r="I307" s="307" t="s">
        <v>3718</v>
      </c>
      <c r="J307" s="307" t="s">
        <v>3698</v>
      </c>
      <c r="K307" s="184" t="s">
        <v>3726</v>
      </c>
      <c r="L307" s="307">
        <v>11257</v>
      </c>
      <c r="M307" s="307">
        <v>113</v>
      </c>
      <c r="N307" s="307"/>
    </row>
    <row r="308" spans="1:14" ht="75">
      <c r="A308" s="307">
        <v>50</v>
      </c>
      <c r="B308" s="780"/>
      <c r="C308" s="780"/>
      <c r="D308" s="34" t="s">
        <v>3727</v>
      </c>
      <c r="E308" s="34" t="s">
        <v>3728</v>
      </c>
      <c r="F308" s="307">
        <v>66.239999999999995</v>
      </c>
      <c r="G308" s="307">
        <v>92</v>
      </c>
      <c r="H308" s="307" t="s">
        <v>3729</v>
      </c>
      <c r="I308" s="307" t="s">
        <v>3169</v>
      </c>
      <c r="J308" s="307" t="s">
        <v>3698</v>
      </c>
      <c r="K308" s="307" t="s">
        <v>3730</v>
      </c>
      <c r="L308" s="307">
        <v>4955</v>
      </c>
      <c r="M308" s="307">
        <v>54</v>
      </c>
      <c r="N308" s="307"/>
    </row>
    <row r="309" spans="1:14" ht="90">
      <c r="A309" s="307">
        <v>51</v>
      </c>
      <c r="B309" s="780"/>
      <c r="C309" s="780"/>
      <c r="D309" s="34" t="s">
        <v>3731</v>
      </c>
      <c r="E309" s="34" t="s">
        <v>3732</v>
      </c>
      <c r="F309" s="307">
        <v>88.34</v>
      </c>
      <c r="G309" s="307">
        <v>122.7</v>
      </c>
      <c r="H309" s="307" t="s">
        <v>3733</v>
      </c>
      <c r="I309" s="307" t="s">
        <v>3169</v>
      </c>
      <c r="J309" s="307" t="s">
        <v>3698</v>
      </c>
      <c r="K309" s="184" t="s">
        <v>3386</v>
      </c>
      <c r="L309" s="307">
        <v>8585</v>
      </c>
      <c r="M309" s="307">
        <v>70</v>
      </c>
      <c r="N309" s="307"/>
    </row>
    <row r="310" spans="1:14" ht="60">
      <c r="A310" s="307">
        <v>52</v>
      </c>
      <c r="B310" s="780"/>
      <c r="C310" s="780"/>
      <c r="D310" s="34" t="s">
        <v>3734</v>
      </c>
      <c r="E310" s="34" t="s">
        <v>3735</v>
      </c>
      <c r="F310" s="307">
        <v>238</v>
      </c>
      <c r="G310" s="307">
        <v>256.89999999999998</v>
      </c>
      <c r="H310" s="307" t="s">
        <v>3736</v>
      </c>
      <c r="I310" s="307" t="s">
        <v>1702</v>
      </c>
      <c r="J310" s="307" t="s">
        <v>3737</v>
      </c>
      <c r="K310" s="307" t="s">
        <v>3738</v>
      </c>
      <c r="L310" s="307">
        <v>30426</v>
      </c>
      <c r="M310" s="307">
        <v>118</v>
      </c>
      <c r="N310" s="307"/>
    </row>
    <row r="311" spans="1:14" ht="75">
      <c r="A311" s="307">
        <v>53</v>
      </c>
      <c r="B311" s="780"/>
      <c r="C311" s="780"/>
      <c r="D311" s="34" t="s">
        <v>3739</v>
      </c>
      <c r="E311" s="34" t="s">
        <v>3740</v>
      </c>
      <c r="F311" s="307">
        <v>270</v>
      </c>
      <c r="G311" s="307">
        <v>286.98</v>
      </c>
      <c r="H311" s="307" t="s">
        <v>3741</v>
      </c>
      <c r="I311" s="307" t="s">
        <v>3742</v>
      </c>
      <c r="J311" s="307" t="s">
        <v>3694</v>
      </c>
      <c r="K311" s="307" t="s">
        <v>3743</v>
      </c>
      <c r="L311" s="307">
        <v>27803</v>
      </c>
      <c r="M311" s="307">
        <v>97</v>
      </c>
      <c r="N311" s="307"/>
    </row>
    <row r="312" spans="1:14" ht="45">
      <c r="A312" s="307">
        <v>54</v>
      </c>
      <c r="B312" s="780"/>
      <c r="C312" s="780"/>
      <c r="D312" s="34" t="s">
        <v>3744</v>
      </c>
      <c r="E312" s="34" t="s">
        <v>3745</v>
      </c>
      <c r="F312" s="307">
        <v>155</v>
      </c>
      <c r="G312" s="307">
        <v>251</v>
      </c>
      <c r="H312" s="307" t="s">
        <v>3746</v>
      </c>
      <c r="I312" s="307" t="s">
        <v>1702</v>
      </c>
      <c r="J312" s="307" t="s">
        <v>3694</v>
      </c>
      <c r="K312" s="307" t="s">
        <v>2996</v>
      </c>
      <c r="L312" s="307">
        <v>18456</v>
      </c>
      <c r="M312" s="307">
        <v>73</v>
      </c>
      <c r="N312" s="307"/>
    </row>
    <row r="313" spans="1:14" ht="45">
      <c r="A313" s="307">
        <v>55</v>
      </c>
      <c r="B313" s="780"/>
      <c r="C313" s="780"/>
      <c r="D313" s="34" t="s">
        <v>3747</v>
      </c>
      <c r="E313" s="34" t="s">
        <v>3748</v>
      </c>
      <c r="F313" s="307">
        <v>1000</v>
      </c>
      <c r="G313" s="307">
        <v>900</v>
      </c>
      <c r="H313" s="307" t="s">
        <v>3749</v>
      </c>
      <c r="I313" s="307" t="s">
        <v>1702</v>
      </c>
      <c r="J313" s="307" t="s">
        <v>3694</v>
      </c>
      <c r="K313" s="307" t="s">
        <v>3750</v>
      </c>
      <c r="L313" s="307">
        <v>19000</v>
      </c>
      <c r="M313" s="307">
        <v>19</v>
      </c>
      <c r="N313" s="307"/>
    </row>
    <row r="314" spans="1:14" ht="75">
      <c r="A314" s="307">
        <v>56</v>
      </c>
      <c r="B314" s="780"/>
      <c r="C314" s="780"/>
      <c r="D314" s="34" t="s">
        <v>3751</v>
      </c>
      <c r="E314" s="34" t="s">
        <v>3752</v>
      </c>
      <c r="F314" s="307">
        <v>651</v>
      </c>
      <c r="G314" s="307">
        <v>651</v>
      </c>
      <c r="H314" s="307" t="s">
        <v>3753</v>
      </c>
      <c r="I314" s="307" t="s">
        <v>1702</v>
      </c>
      <c r="J314" s="307" t="s">
        <v>3698</v>
      </c>
      <c r="K314" s="307" t="s">
        <v>2910</v>
      </c>
      <c r="L314" s="307">
        <v>49070</v>
      </c>
      <c r="M314" s="307">
        <v>75</v>
      </c>
      <c r="N314" s="307"/>
    </row>
    <row r="315" spans="1:14" ht="90">
      <c r="A315" s="307">
        <v>57</v>
      </c>
      <c r="B315" s="780"/>
      <c r="C315" s="780"/>
      <c r="D315" s="34" t="s">
        <v>3754</v>
      </c>
      <c r="E315" s="34" t="s">
        <v>3755</v>
      </c>
      <c r="F315" s="307">
        <v>49.78</v>
      </c>
      <c r="G315" s="307"/>
      <c r="H315" s="307" t="s">
        <v>3756</v>
      </c>
      <c r="I315" s="307" t="s">
        <v>3742</v>
      </c>
      <c r="J315" s="307" t="s">
        <v>3698</v>
      </c>
      <c r="K315" s="307" t="s">
        <v>3757</v>
      </c>
      <c r="L315" s="307">
        <v>10345</v>
      </c>
      <c r="M315" s="307">
        <v>79.69</v>
      </c>
      <c r="N315" s="307"/>
    </row>
    <row r="316" spans="1:14" ht="60">
      <c r="A316" s="307">
        <v>58</v>
      </c>
      <c r="B316" s="780"/>
      <c r="C316" s="696" t="s">
        <v>7472</v>
      </c>
      <c r="D316" s="511" t="s">
        <v>3758</v>
      </c>
      <c r="E316" s="511" t="s">
        <v>3759</v>
      </c>
      <c r="F316" s="513">
        <v>601.16999999999996</v>
      </c>
      <c r="G316" s="513"/>
      <c r="H316" s="513" t="s">
        <v>3760</v>
      </c>
      <c r="I316" s="513" t="s">
        <v>3761</v>
      </c>
      <c r="J316" s="513" t="s">
        <v>3762</v>
      </c>
      <c r="K316" s="513" t="s">
        <v>3763</v>
      </c>
      <c r="L316" s="513">
        <v>136080</v>
      </c>
      <c r="M316" s="513">
        <f>L316/F316</f>
        <v>226.35860072857929</v>
      </c>
      <c r="N316" s="513"/>
    </row>
    <row r="317" spans="1:14" ht="105">
      <c r="A317" s="307">
        <v>59</v>
      </c>
      <c r="B317" s="780"/>
      <c r="C317" s="696"/>
      <c r="D317" s="511" t="s">
        <v>3764</v>
      </c>
      <c r="E317" s="511" t="s">
        <v>3765</v>
      </c>
      <c r="F317" s="513">
        <v>178.83</v>
      </c>
      <c r="G317" s="513"/>
      <c r="H317" s="513" t="s">
        <v>3766</v>
      </c>
      <c r="I317" s="513" t="s">
        <v>3761</v>
      </c>
      <c r="J317" s="513" t="s">
        <v>3762</v>
      </c>
      <c r="K317" s="513" t="s">
        <v>2779</v>
      </c>
      <c r="L317" s="513">
        <v>43000</v>
      </c>
      <c r="M317" s="513">
        <f>L317/F317</f>
        <v>240.45182575630486</v>
      </c>
      <c r="N317" s="513" t="s">
        <v>3767</v>
      </c>
    </row>
    <row r="318" spans="1:14" ht="60">
      <c r="A318" s="307">
        <v>60</v>
      </c>
      <c r="B318" s="780"/>
      <c r="C318" s="696"/>
      <c r="D318" s="511" t="s">
        <v>3768</v>
      </c>
      <c r="E318" s="511" t="s">
        <v>3769</v>
      </c>
      <c r="F318" s="513">
        <v>114.73</v>
      </c>
      <c r="G318" s="513"/>
      <c r="H318" s="513" t="s">
        <v>3770</v>
      </c>
      <c r="I318" s="513" t="s">
        <v>3761</v>
      </c>
      <c r="J318" s="513" t="s">
        <v>3762</v>
      </c>
      <c r="K318" s="513" t="s">
        <v>3148</v>
      </c>
      <c r="L318" s="513">
        <v>26300</v>
      </c>
      <c r="M318" s="513">
        <f>L318/F318</f>
        <v>229.23385339492722</v>
      </c>
      <c r="N318" s="513"/>
    </row>
    <row r="319" spans="1:14" ht="60">
      <c r="A319" s="307">
        <v>61</v>
      </c>
      <c r="B319" s="780"/>
      <c r="C319" s="696"/>
      <c r="D319" s="511" t="s">
        <v>3771</v>
      </c>
      <c r="E319" s="511" t="s">
        <v>3772</v>
      </c>
      <c r="F319" s="513" t="s">
        <v>3773</v>
      </c>
      <c r="G319" s="513" t="s">
        <v>3774</v>
      </c>
      <c r="H319" s="513" t="s">
        <v>3775</v>
      </c>
      <c r="I319" s="513" t="s">
        <v>3718</v>
      </c>
      <c r="J319" s="513" t="s">
        <v>3775</v>
      </c>
      <c r="K319" s="513" t="s">
        <v>2996</v>
      </c>
      <c r="L319" s="513">
        <v>8810</v>
      </c>
      <c r="M319" s="513"/>
      <c r="N319" s="513"/>
    </row>
    <row r="320" spans="1:14" ht="90">
      <c r="A320" s="307">
        <v>62</v>
      </c>
      <c r="B320" s="780"/>
      <c r="C320" s="696"/>
      <c r="D320" s="511" t="s">
        <v>3776</v>
      </c>
      <c r="E320" s="511" t="s">
        <v>3777</v>
      </c>
      <c r="F320" s="513" t="s">
        <v>3778</v>
      </c>
      <c r="G320" s="513" t="s">
        <v>3779</v>
      </c>
      <c r="H320" s="513" t="s">
        <v>3780</v>
      </c>
      <c r="I320" s="513" t="s">
        <v>3718</v>
      </c>
      <c r="J320" s="513" t="s">
        <v>3780</v>
      </c>
      <c r="K320" s="513" t="s">
        <v>3008</v>
      </c>
      <c r="L320" s="513">
        <v>41178</v>
      </c>
      <c r="M320" s="513"/>
      <c r="N320" s="513"/>
    </row>
    <row r="321" spans="1:14" ht="90">
      <c r="A321" s="307">
        <v>63</v>
      </c>
      <c r="B321" s="780"/>
      <c r="C321" s="696"/>
      <c r="D321" s="511" t="s">
        <v>3781</v>
      </c>
      <c r="E321" s="511" t="s">
        <v>3782</v>
      </c>
      <c r="F321" s="513" t="s">
        <v>3783</v>
      </c>
      <c r="G321" s="513" t="s">
        <v>3783</v>
      </c>
      <c r="H321" s="513" t="s">
        <v>3784</v>
      </c>
      <c r="I321" s="513" t="s">
        <v>3718</v>
      </c>
      <c r="J321" s="513" t="s">
        <v>3784</v>
      </c>
      <c r="K321" s="513" t="s">
        <v>3143</v>
      </c>
      <c r="L321" s="513">
        <v>30800</v>
      </c>
      <c r="M321" s="513"/>
      <c r="N321" s="513" t="s">
        <v>3785</v>
      </c>
    </row>
    <row r="322" spans="1:14" ht="90">
      <c r="A322" s="307">
        <v>64</v>
      </c>
      <c r="B322" s="780"/>
      <c r="C322" s="696"/>
      <c r="D322" s="511" t="s">
        <v>3786</v>
      </c>
      <c r="E322" s="511" t="s">
        <v>3787</v>
      </c>
      <c r="F322" s="513" t="s">
        <v>3788</v>
      </c>
      <c r="G322" s="513" t="s">
        <v>3789</v>
      </c>
      <c r="H322" s="513" t="s">
        <v>3790</v>
      </c>
      <c r="I322" s="513" t="s">
        <v>3718</v>
      </c>
      <c r="J322" s="513" t="s">
        <v>3790</v>
      </c>
      <c r="K322" s="513" t="s">
        <v>2759</v>
      </c>
      <c r="L322" s="513">
        <v>14500</v>
      </c>
      <c r="M322" s="513"/>
      <c r="N322" s="513" t="s">
        <v>3785</v>
      </c>
    </row>
    <row r="323" spans="1:14" ht="180">
      <c r="A323" s="307">
        <v>65</v>
      </c>
      <c r="B323" s="780"/>
      <c r="C323" s="696"/>
      <c r="D323" s="511" t="s">
        <v>3791</v>
      </c>
      <c r="E323" s="511" t="s">
        <v>3792</v>
      </c>
      <c r="F323" s="513" t="s">
        <v>3793</v>
      </c>
      <c r="G323" s="513"/>
      <c r="H323" s="513" t="s">
        <v>3794</v>
      </c>
      <c r="I323" s="513" t="s">
        <v>3795</v>
      </c>
      <c r="J323" s="513" t="s">
        <v>3796</v>
      </c>
      <c r="K323" s="513" t="s">
        <v>2759</v>
      </c>
      <c r="L323" s="513" t="s">
        <v>3797</v>
      </c>
      <c r="M323" s="513" t="s">
        <v>3798</v>
      </c>
      <c r="N323" s="513"/>
    </row>
    <row r="324" spans="1:14" ht="210">
      <c r="A324" s="307">
        <v>66</v>
      </c>
      <c r="B324" s="780"/>
      <c r="C324" s="696"/>
      <c r="D324" s="511" t="s">
        <v>3799</v>
      </c>
      <c r="E324" s="511" t="s">
        <v>3800</v>
      </c>
      <c r="F324" s="513" t="s">
        <v>3801</v>
      </c>
      <c r="G324" s="513"/>
      <c r="H324" s="513" t="s">
        <v>3802</v>
      </c>
      <c r="I324" s="513" t="s">
        <v>3742</v>
      </c>
      <c r="J324" s="513" t="s">
        <v>3803</v>
      </c>
      <c r="K324" s="513" t="s">
        <v>3804</v>
      </c>
      <c r="L324" s="513">
        <v>13493</v>
      </c>
      <c r="M324" s="513">
        <v>13493</v>
      </c>
      <c r="N324" s="513"/>
    </row>
    <row r="325" spans="1:14" ht="195">
      <c r="A325" s="307">
        <v>67</v>
      </c>
      <c r="B325" s="780"/>
      <c r="C325" s="696"/>
      <c r="D325" s="511" t="s">
        <v>3805</v>
      </c>
      <c r="E325" s="511" t="s">
        <v>3806</v>
      </c>
      <c r="F325" s="513" t="s">
        <v>3807</v>
      </c>
      <c r="G325" s="513"/>
      <c r="H325" s="513" t="s">
        <v>3808</v>
      </c>
      <c r="I325" s="513" t="s">
        <v>3742</v>
      </c>
      <c r="J325" s="513" t="s">
        <v>3809</v>
      </c>
      <c r="K325" s="513" t="s">
        <v>3810</v>
      </c>
      <c r="L325" s="513">
        <v>17580</v>
      </c>
      <c r="M325" s="513">
        <v>17580</v>
      </c>
      <c r="N325" s="513" t="s">
        <v>3811</v>
      </c>
    </row>
    <row r="326" spans="1:14" ht="90">
      <c r="A326" s="307">
        <v>68</v>
      </c>
      <c r="B326" s="780"/>
      <c r="C326" s="696"/>
      <c r="D326" s="511" t="s">
        <v>3812</v>
      </c>
      <c r="E326" s="511" t="s">
        <v>3813</v>
      </c>
      <c r="F326" s="513" t="s">
        <v>3814</v>
      </c>
      <c r="G326" s="513"/>
      <c r="H326" s="513" t="s">
        <v>3815</v>
      </c>
      <c r="I326" s="513" t="s">
        <v>3742</v>
      </c>
      <c r="J326" s="513" t="s">
        <v>3816</v>
      </c>
      <c r="K326" s="513" t="s">
        <v>3817</v>
      </c>
      <c r="L326" s="513">
        <v>10540</v>
      </c>
      <c r="M326" s="513">
        <v>10540</v>
      </c>
      <c r="N326" s="513" t="s">
        <v>3811</v>
      </c>
    </row>
    <row r="327" spans="1:14" ht="75">
      <c r="A327" s="307">
        <v>69</v>
      </c>
      <c r="B327" s="780"/>
      <c r="C327" s="696"/>
      <c r="D327" s="511" t="s">
        <v>3818</v>
      </c>
      <c r="E327" s="511" t="s">
        <v>3819</v>
      </c>
      <c r="F327" s="513"/>
      <c r="G327" s="513" t="s">
        <v>3820</v>
      </c>
      <c r="H327" s="513" t="s">
        <v>2996</v>
      </c>
      <c r="I327" s="513" t="s">
        <v>1702</v>
      </c>
      <c r="J327" s="513" t="s">
        <v>3821</v>
      </c>
      <c r="K327" s="513" t="s">
        <v>3822</v>
      </c>
      <c r="L327" s="513" t="s">
        <v>3823</v>
      </c>
      <c r="M327" s="513"/>
      <c r="N327" s="513"/>
    </row>
    <row r="328" spans="1:14" ht="60">
      <c r="A328" s="513">
        <v>70</v>
      </c>
      <c r="B328" s="780"/>
      <c r="C328" s="696" t="s">
        <v>614</v>
      </c>
      <c r="D328" s="511" t="s">
        <v>3824</v>
      </c>
      <c r="E328" s="511" t="s">
        <v>3825</v>
      </c>
      <c r="F328" s="513">
        <v>88173.49</v>
      </c>
      <c r="G328" s="513">
        <v>88173.49</v>
      </c>
      <c r="H328" s="513" t="s">
        <v>3826</v>
      </c>
      <c r="I328" s="513" t="s">
        <v>3827</v>
      </c>
      <c r="J328" s="513" t="s">
        <v>3828</v>
      </c>
      <c r="K328" s="513" t="s">
        <v>1704</v>
      </c>
      <c r="L328" s="543">
        <v>7307800</v>
      </c>
      <c r="M328" s="545">
        <v>82.88</v>
      </c>
      <c r="N328" s="513"/>
    </row>
    <row r="329" spans="1:14" ht="135">
      <c r="A329" s="513">
        <v>71</v>
      </c>
      <c r="B329" s="780"/>
      <c r="C329" s="696"/>
      <c r="D329" s="515" t="s">
        <v>3829</v>
      </c>
      <c r="E329" s="515" t="s">
        <v>3830</v>
      </c>
      <c r="F329" s="539">
        <v>5285</v>
      </c>
      <c r="G329" s="539">
        <v>5285</v>
      </c>
      <c r="H329" s="539" t="s">
        <v>3831</v>
      </c>
      <c r="I329" s="539" t="s">
        <v>2898</v>
      </c>
      <c r="J329" s="513" t="s">
        <v>3832</v>
      </c>
      <c r="K329" s="539" t="s">
        <v>3833</v>
      </c>
      <c r="L329" s="546">
        <v>144281</v>
      </c>
      <c r="M329" s="546">
        <v>27</v>
      </c>
      <c r="N329" s="539" t="s">
        <v>3834</v>
      </c>
    </row>
    <row r="330" spans="1:14" ht="90">
      <c r="A330" s="513">
        <v>72</v>
      </c>
      <c r="B330" s="780"/>
      <c r="C330" s="696"/>
      <c r="D330" s="515" t="s">
        <v>3835</v>
      </c>
      <c r="E330" s="515" t="s">
        <v>3836</v>
      </c>
      <c r="F330" s="539">
        <v>5016</v>
      </c>
      <c r="G330" s="539">
        <v>5016</v>
      </c>
      <c r="H330" s="539" t="s">
        <v>3837</v>
      </c>
      <c r="I330" s="539" t="s">
        <v>2898</v>
      </c>
      <c r="J330" s="782" t="s">
        <v>3838</v>
      </c>
      <c r="K330" s="782" t="s">
        <v>3839</v>
      </c>
      <c r="L330" s="783">
        <v>216939</v>
      </c>
      <c r="M330" s="784">
        <v>43</v>
      </c>
      <c r="N330" s="726" t="s">
        <v>3840</v>
      </c>
    </row>
    <row r="331" spans="1:14" ht="90">
      <c r="A331" s="513">
        <v>73</v>
      </c>
      <c r="B331" s="780"/>
      <c r="C331" s="696"/>
      <c r="D331" s="515" t="s">
        <v>3841</v>
      </c>
      <c r="E331" s="515" t="s">
        <v>3842</v>
      </c>
      <c r="F331" s="539">
        <v>5285</v>
      </c>
      <c r="G331" s="539">
        <v>5285</v>
      </c>
      <c r="H331" s="539" t="s">
        <v>3837</v>
      </c>
      <c r="I331" s="539" t="s">
        <v>2898</v>
      </c>
      <c r="J331" s="782"/>
      <c r="K331" s="782"/>
      <c r="L331" s="783"/>
      <c r="M331" s="784"/>
      <c r="N331" s="726"/>
    </row>
    <row r="332" spans="1:14" ht="90">
      <c r="A332" s="513">
        <v>74</v>
      </c>
      <c r="B332" s="780"/>
      <c r="C332" s="696"/>
      <c r="D332" s="515" t="s">
        <v>3843</v>
      </c>
      <c r="E332" s="515" t="s">
        <v>3844</v>
      </c>
      <c r="F332" s="539">
        <v>1898</v>
      </c>
      <c r="G332" s="539">
        <v>1898</v>
      </c>
      <c r="H332" s="539" t="s">
        <v>3845</v>
      </c>
      <c r="I332" s="539" t="s">
        <v>2898</v>
      </c>
      <c r="J332" s="539" t="s">
        <v>3846</v>
      </c>
      <c r="K332" s="546" t="s">
        <v>2960</v>
      </c>
      <c r="L332" s="546">
        <v>25535</v>
      </c>
      <c r="M332" s="546">
        <v>13</v>
      </c>
      <c r="N332" s="513" t="s">
        <v>3847</v>
      </c>
    </row>
    <row r="333" spans="1:14" ht="120">
      <c r="A333" s="513">
        <v>75</v>
      </c>
      <c r="B333" s="780"/>
      <c r="C333" s="696"/>
      <c r="D333" s="515" t="s">
        <v>3848</v>
      </c>
      <c r="E333" s="515" t="s">
        <v>3849</v>
      </c>
      <c r="F333" s="539">
        <v>1898</v>
      </c>
      <c r="G333" s="539">
        <v>1898</v>
      </c>
      <c r="H333" s="539" t="s">
        <v>3845</v>
      </c>
      <c r="I333" s="539" t="s">
        <v>2898</v>
      </c>
      <c r="J333" s="539" t="s">
        <v>3846</v>
      </c>
      <c r="K333" s="546" t="s">
        <v>2960</v>
      </c>
      <c r="L333" s="546">
        <v>25535</v>
      </c>
      <c r="M333" s="546">
        <v>13</v>
      </c>
      <c r="N333" s="513" t="s">
        <v>3847</v>
      </c>
    </row>
    <row r="334" spans="1:14" ht="135">
      <c r="A334" s="513">
        <v>76</v>
      </c>
      <c r="B334" s="780"/>
      <c r="C334" s="696"/>
      <c r="D334" s="515" t="s">
        <v>3850</v>
      </c>
      <c r="E334" s="515" t="s">
        <v>3851</v>
      </c>
      <c r="F334" s="539">
        <v>1898</v>
      </c>
      <c r="G334" s="539">
        <v>1898</v>
      </c>
      <c r="H334" s="539" t="s">
        <v>3845</v>
      </c>
      <c r="I334" s="539" t="s">
        <v>2898</v>
      </c>
      <c r="J334" s="539" t="s">
        <v>3846</v>
      </c>
      <c r="K334" s="546" t="s">
        <v>2960</v>
      </c>
      <c r="L334" s="546">
        <v>25535</v>
      </c>
      <c r="M334" s="546">
        <v>13</v>
      </c>
      <c r="N334" s="513" t="s">
        <v>3847</v>
      </c>
    </row>
    <row r="335" spans="1:14" ht="75">
      <c r="A335" s="513">
        <v>77</v>
      </c>
      <c r="B335" s="780"/>
      <c r="C335" s="696"/>
      <c r="D335" s="515" t="s">
        <v>3852</v>
      </c>
      <c r="E335" s="515" t="s">
        <v>3853</v>
      </c>
      <c r="F335" s="539">
        <v>1913</v>
      </c>
      <c r="G335" s="539">
        <v>1913</v>
      </c>
      <c r="H335" s="539" t="s">
        <v>3854</v>
      </c>
      <c r="I335" s="539" t="s">
        <v>2898</v>
      </c>
      <c r="J335" s="539" t="s">
        <v>3855</v>
      </c>
      <c r="K335" s="181" t="s">
        <v>2752</v>
      </c>
      <c r="L335" s="546">
        <v>22537</v>
      </c>
      <c r="M335" s="546">
        <v>12</v>
      </c>
      <c r="N335" s="513" t="s">
        <v>3847</v>
      </c>
    </row>
    <row r="336" spans="1:14" ht="195">
      <c r="A336" s="500">
        <v>78</v>
      </c>
      <c r="B336" s="780"/>
      <c r="C336" s="696"/>
      <c r="D336" s="511" t="s">
        <v>3856</v>
      </c>
      <c r="E336" s="511" t="s">
        <v>3857</v>
      </c>
      <c r="F336" s="513">
        <v>3213.24</v>
      </c>
      <c r="G336" s="513">
        <v>3213.24</v>
      </c>
      <c r="H336" s="513">
        <v>1999</v>
      </c>
      <c r="I336" s="539" t="s">
        <v>2898</v>
      </c>
      <c r="J336" s="513" t="s">
        <v>3858</v>
      </c>
      <c r="K336" s="513" t="s">
        <v>3763</v>
      </c>
      <c r="L336" s="513">
        <v>30800</v>
      </c>
      <c r="M336" s="546">
        <v>10</v>
      </c>
      <c r="N336" s="513" t="s">
        <v>3859</v>
      </c>
    </row>
    <row r="337" spans="1:14" ht="90">
      <c r="A337" s="500">
        <v>79</v>
      </c>
      <c r="B337" s="780"/>
      <c r="C337" s="696"/>
      <c r="D337" s="511" t="s">
        <v>3860</v>
      </c>
      <c r="E337" s="511" t="s">
        <v>3861</v>
      </c>
      <c r="F337" s="513">
        <v>1214.18</v>
      </c>
      <c r="G337" s="513">
        <v>1214.18</v>
      </c>
      <c r="H337" s="513" t="s">
        <v>3862</v>
      </c>
      <c r="I337" s="539" t="s">
        <v>2898</v>
      </c>
      <c r="J337" s="513" t="s">
        <v>3610</v>
      </c>
      <c r="K337" s="513" t="s">
        <v>1755</v>
      </c>
      <c r="L337" s="543">
        <v>22000</v>
      </c>
      <c r="M337" s="546">
        <v>18</v>
      </c>
      <c r="N337" s="513"/>
    </row>
    <row r="338" spans="1:14" ht="120">
      <c r="A338" s="544">
        <v>80</v>
      </c>
      <c r="B338" s="780"/>
      <c r="C338" s="696"/>
      <c r="D338" s="519" t="s">
        <v>3863</v>
      </c>
      <c r="E338" s="519" t="s">
        <v>3864</v>
      </c>
      <c r="F338" s="544">
        <v>8773.66</v>
      </c>
      <c r="G338" s="544">
        <v>8773.66</v>
      </c>
      <c r="H338" s="544" t="s">
        <v>3865</v>
      </c>
      <c r="I338" s="307" t="s">
        <v>2898</v>
      </c>
      <c r="J338" s="544" t="s">
        <v>3866</v>
      </c>
      <c r="K338" s="544" t="s">
        <v>3867</v>
      </c>
      <c r="L338" s="544">
        <v>365139</v>
      </c>
      <c r="M338" s="181">
        <v>42</v>
      </c>
      <c r="N338" s="544" t="s">
        <v>3868</v>
      </c>
    </row>
    <row r="339" spans="1:14" ht="90">
      <c r="A339" s="544"/>
      <c r="B339" s="780"/>
      <c r="C339" s="696"/>
      <c r="D339" s="519" t="s">
        <v>3869</v>
      </c>
      <c r="E339" s="519" t="s">
        <v>3870</v>
      </c>
      <c r="F339" s="544">
        <v>4896</v>
      </c>
      <c r="G339" s="544">
        <v>4896</v>
      </c>
      <c r="H339" s="544" t="s">
        <v>5477</v>
      </c>
      <c r="I339" s="307" t="s">
        <v>2898</v>
      </c>
      <c r="J339" s="544" t="s">
        <v>3380</v>
      </c>
      <c r="K339" s="544" t="s">
        <v>1743</v>
      </c>
      <c r="L339" s="139">
        <v>162757</v>
      </c>
      <c r="M339" s="189">
        <v>33.770000000000003</v>
      </c>
      <c r="N339" s="544"/>
    </row>
    <row r="340" spans="1:14">
      <c r="A340" s="694">
        <v>21</v>
      </c>
      <c r="B340" s="780"/>
      <c r="C340" s="696"/>
      <c r="D340" s="696" t="s">
        <v>3871</v>
      </c>
      <c r="E340" s="696" t="s">
        <v>3872</v>
      </c>
      <c r="F340" s="694">
        <v>1633.33</v>
      </c>
      <c r="G340" s="694">
        <v>1633.33</v>
      </c>
      <c r="H340" s="694" t="s">
        <v>3873</v>
      </c>
      <c r="I340" s="726" t="s">
        <v>2898</v>
      </c>
      <c r="J340" s="694" t="s">
        <v>3874</v>
      </c>
      <c r="K340" s="694" t="s">
        <v>2996</v>
      </c>
      <c r="L340" s="694">
        <v>12590</v>
      </c>
      <c r="M340" s="733">
        <v>7.71</v>
      </c>
      <c r="N340" s="694" t="s">
        <v>3875</v>
      </c>
    </row>
    <row r="341" spans="1:14">
      <c r="A341" s="694"/>
      <c r="B341" s="780"/>
      <c r="C341" s="696"/>
      <c r="D341" s="696"/>
      <c r="E341" s="696"/>
      <c r="F341" s="694"/>
      <c r="G341" s="694"/>
      <c r="H341" s="694"/>
      <c r="I341" s="726"/>
      <c r="J341" s="694"/>
      <c r="K341" s="694"/>
      <c r="L341" s="694"/>
      <c r="M341" s="733"/>
      <c r="N341" s="694"/>
    </row>
    <row r="342" spans="1:14">
      <c r="A342" s="694"/>
      <c r="B342" s="780"/>
      <c r="C342" s="696"/>
      <c r="D342" s="696"/>
      <c r="E342" s="696"/>
      <c r="F342" s="694"/>
      <c r="G342" s="694"/>
      <c r="H342" s="694"/>
      <c r="I342" s="726"/>
      <c r="J342" s="694"/>
      <c r="K342" s="694"/>
      <c r="L342" s="694"/>
      <c r="M342" s="733"/>
      <c r="N342" s="694"/>
    </row>
    <row r="343" spans="1:14" ht="75">
      <c r="A343" s="500">
        <v>83</v>
      </c>
      <c r="B343" s="780"/>
      <c r="C343" s="696"/>
      <c r="D343" s="511" t="s">
        <v>3876</v>
      </c>
      <c r="E343" s="511" t="s">
        <v>3877</v>
      </c>
      <c r="F343" s="513">
        <v>5900</v>
      </c>
      <c r="G343" s="513">
        <v>5900</v>
      </c>
      <c r="H343" s="542">
        <v>40026</v>
      </c>
      <c r="I343" s="539" t="s">
        <v>2898</v>
      </c>
      <c r="J343" s="513" t="s">
        <v>3878</v>
      </c>
      <c r="K343" s="542" t="s">
        <v>1743</v>
      </c>
      <c r="L343" s="543">
        <v>231437</v>
      </c>
      <c r="M343" s="545">
        <v>39.229999999999997</v>
      </c>
      <c r="N343" s="513"/>
    </row>
    <row r="344" spans="1:14" ht="165">
      <c r="A344" s="500">
        <v>84</v>
      </c>
      <c r="B344" s="780"/>
      <c r="C344" s="696"/>
      <c r="D344" s="511" t="s">
        <v>3879</v>
      </c>
      <c r="E344" s="511" t="s">
        <v>3880</v>
      </c>
      <c r="F344" s="513">
        <v>1890</v>
      </c>
      <c r="G344" s="513">
        <v>1890</v>
      </c>
      <c r="H344" s="513" t="s">
        <v>3881</v>
      </c>
      <c r="I344" s="539" t="s">
        <v>2898</v>
      </c>
      <c r="J344" s="513" t="s">
        <v>3882</v>
      </c>
      <c r="K344" s="544" t="s">
        <v>3883</v>
      </c>
      <c r="L344" s="513">
        <v>12500</v>
      </c>
      <c r="M344" s="545">
        <v>6.61</v>
      </c>
      <c r="N344" s="513" t="s">
        <v>3884</v>
      </c>
    </row>
    <row r="345" spans="1:14" ht="165">
      <c r="A345" s="500">
        <v>85</v>
      </c>
      <c r="B345" s="780"/>
      <c r="C345" s="696"/>
      <c r="D345" s="511" t="s">
        <v>3885</v>
      </c>
      <c r="E345" s="511" t="s">
        <v>3886</v>
      </c>
      <c r="F345" s="513">
        <v>1122</v>
      </c>
      <c r="G345" s="513">
        <v>1122</v>
      </c>
      <c r="H345" s="513" t="s">
        <v>3887</v>
      </c>
      <c r="I345" s="539" t="s">
        <v>2898</v>
      </c>
      <c r="J345" s="513" t="s">
        <v>3888</v>
      </c>
      <c r="K345" s="544" t="s">
        <v>3770</v>
      </c>
      <c r="L345" s="513">
        <v>14250</v>
      </c>
      <c r="M345" s="545">
        <v>12.7</v>
      </c>
      <c r="N345" s="513" t="s">
        <v>3889</v>
      </c>
    </row>
    <row r="346" spans="1:14" ht="180">
      <c r="A346" s="500">
        <v>86</v>
      </c>
      <c r="B346" s="780"/>
      <c r="C346" s="696"/>
      <c r="D346" s="511" t="s">
        <v>3890</v>
      </c>
      <c r="E346" s="511" t="s">
        <v>3891</v>
      </c>
      <c r="F346" s="513">
        <v>1662.5</v>
      </c>
      <c r="G346" s="513">
        <v>1662.5</v>
      </c>
      <c r="H346" s="513" t="s">
        <v>3892</v>
      </c>
      <c r="I346" s="539" t="s">
        <v>2898</v>
      </c>
      <c r="J346" s="513" t="s">
        <v>3893</v>
      </c>
      <c r="K346" s="544" t="s">
        <v>3894</v>
      </c>
      <c r="L346" s="513">
        <v>10900</v>
      </c>
      <c r="M346" s="545">
        <v>6.56</v>
      </c>
      <c r="N346" s="513" t="s">
        <v>3895</v>
      </c>
    </row>
    <row r="347" spans="1:14" ht="195">
      <c r="A347" s="500">
        <v>87</v>
      </c>
      <c r="B347" s="780"/>
      <c r="C347" s="696"/>
      <c r="D347" s="515" t="s">
        <v>3896</v>
      </c>
      <c r="E347" s="515" t="s">
        <v>3897</v>
      </c>
      <c r="F347" s="539">
        <v>1857</v>
      </c>
      <c r="G347" s="539">
        <v>1857</v>
      </c>
      <c r="H347" s="182" t="s">
        <v>3898</v>
      </c>
      <c r="I347" s="539" t="s">
        <v>2898</v>
      </c>
      <c r="J347" s="539" t="s">
        <v>3899</v>
      </c>
      <c r="K347" s="307" t="s">
        <v>3900</v>
      </c>
      <c r="L347" s="539">
        <v>7200</v>
      </c>
      <c r="M347" s="545">
        <v>3.88</v>
      </c>
      <c r="N347" s="539" t="s">
        <v>3901</v>
      </c>
    </row>
    <row r="348" spans="1:14" ht="120">
      <c r="A348" s="500">
        <v>88</v>
      </c>
      <c r="B348" s="780"/>
      <c r="C348" s="696"/>
      <c r="D348" s="511" t="s">
        <v>3902</v>
      </c>
      <c r="E348" s="511" t="s">
        <v>3903</v>
      </c>
      <c r="F348" s="513">
        <v>9003</v>
      </c>
      <c r="G348" s="513">
        <v>9003</v>
      </c>
      <c r="H348" s="513" t="s">
        <v>3904</v>
      </c>
      <c r="I348" s="539" t="s">
        <v>2898</v>
      </c>
      <c r="J348" s="513" t="s">
        <v>3905</v>
      </c>
      <c r="K348" s="544" t="s">
        <v>3906</v>
      </c>
      <c r="L348" s="513">
        <v>43400</v>
      </c>
      <c r="M348" s="545">
        <v>4.82</v>
      </c>
      <c r="N348" s="544" t="s">
        <v>3907</v>
      </c>
    </row>
    <row r="349" spans="1:14" ht="90">
      <c r="A349" s="500">
        <v>89</v>
      </c>
      <c r="B349" s="780"/>
      <c r="C349" s="696"/>
      <c r="D349" s="183" t="s">
        <v>3908</v>
      </c>
      <c r="E349" s="183" t="s">
        <v>3909</v>
      </c>
      <c r="F349" s="125">
        <v>1172</v>
      </c>
      <c r="G349" s="125">
        <v>1172</v>
      </c>
      <c r="H349" s="513" t="s">
        <v>3910</v>
      </c>
      <c r="I349" s="539" t="s">
        <v>2898</v>
      </c>
      <c r="J349" s="513" t="s">
        <v>3911</v>
      </c>
      <c r="K349" s="544" t="s">
        <v>2923</v>
      </c>
      <c r="L349" s="500">
        <v>10433</v>
      </c>
      <c r="M349" s="545">
        <v>8.9</v>
      </c>
      <c r="N349" s="544" t="s">
        <v>3912</v>
      </c>
    </row>
    <row r="350" spans="1:14" ht="90">
      <c r="A350" s="500">
        <v>90</v>
      </c>
      <c r="B350" s="780"/>
      <c r="C350" s="696"/>
      <c r="D350" s="183" t="s">
        <v>3913</v>
      </c>
      <c r="E350" s="183" t="s">
        <v>6525</v>
      </c>
      <c r="F350" s="125">
        <v>1975.7</v>
      </c>
      <c r="G350" s="125">
        <v>1975.7</v>
      </c>
      <c r="H350" s="500" t="s">
        <v>3914</v>
      </c>
      <c r="I350" s="539" t="s">
        <v>2898</v>
      </c>
      <c r="J350" s="500" t="s">
        <v>3915</v>
      </c>
      <c r="K350" s="544" t="s">
        <v>1766</v>
      </c>
      <c r="L350" s="187">
        <v>28290</v>
      </c>
      <c r="M350" s="545">
        <v>14.32</v>
      </c>
      <c r="N350" s="513"/>
    </row>
    <row r="351" spans="1:14">
      <c r="A351" s="743"/>
      <c r="B351" s="743"/>
      <c r="C351" s="743"/>
      <c r="D351" s="743"/>
      <c r="E351" s="743"/>
      <c r="F351" s="743"/>
      <c r="G351" s="743"/>
      <c r="H351" s="743"/>
      <c r="I351" s="743"/>
      <c r="J351" s="743"/>
      <c r="K351" s="743"/>
      <c r="L351" s="743"/>
      <c r="M351" s="743"/>
      <c r="N351" s="743"/>
    </row>
    <row r="352" spans="1:14" ht="22.5">
      <c r="A352" s="700" t="s">
        <v>638</v>
      </c>
      <c r="B352" s="700"/>
      <c r="C352" s="700"/>
      <c r="D352" s="700"/>
      <c r="E352" s="700"/>
      <c r="F352" s="700"/>
      <c r="G352" s="700"/>
      <c r="H352" s="700"/>
      <c r="I352" s="700"/>
      <c r="J352" s="700"/>
      <c r="K352" s="700"/>
      <c r="L352" s="700"/>
      <c r="M352" s="700"/>
      <c r="N352" s="700"/>
    </row>
    <row r="353" spans="1:14" ht="20.25">
      <c r="A353" s="757" t="s">
        <v>2669</v>
      </c>
      <c r="B353" s="757"/>
      <c r="C353" s="757"/>
      <c r="D353" s="757"/>
      <c r="E353" s="757"/>
      <c r="F353" s="757"/>
      <c r="G353" s="757"/>
      <c r="H353" s="757"/>
      <c r="I353" s="757"/>
      <c r="J353" s="757"/>
      <c r="K353" s="757"/>
      <c r="L353" s="757"/>
      <c r="M353" s="757"/>
      <c r="N353" s="757"/>
    </row>
    <row r="354" spans="1:14" ht="71.25">
      <c r="A354" s="530" t="s">
        <v>0</v>
      </c>
      <c r="B354" s="19" t="s">
        <v>1616</v>
      </c>
      <c r="C354" s="530" t="s">
        <v>1676</v>
      </c>
      <c r="D354" s="18" t="s">
        <v>1677</v>
      </c>
      <c r="E354" s="18" t="s">
        <v>1678</v>
      </c>
      <c r="F354" s="19" t="s">
        <v>2670</v>
      </c>
      <c r="G354" s="19" t="s">
        <v>2671</v>
      </c>
      <c r="H354" s="19" t="s">
        <v>1679</v>
      </c>
      <c r="I354" s="19" t="s">
        <v>1680</v>
      </c>
      <c r="J354" s="19" t="s">
        <v>1681</v>
      </c>
      <c r="K354" s="19" t="s">
        <v>1682</v>
      </c>
      <c r="L354" s="19" t="s">
        <v>1683</v>
      </c>
      <c r="M354" s="19" t="s">
        <v>1684</v>
      </c>
      <c r="N354" s="19" t="s">
        <v>1685</v>
      </c>
    </row>
    <row r="355" spans="1:14">
      <c r="A355" s="530">
        <v>1</v>
      </c>
      <c r="B355" s="530">
        <v>2</v>
      </c>
      <c r="C355" s="530">
        <v>3</v>
      </c>
      <c r="D355" s="530">
        <v>4</v>
      </c>
      <c r="E355" s="530">
        <v>5</v>
      </c>
      <c r="F355" s="530">
        <v>6</v>
      </c>
      <c r="G355" s="530">
        <v>7</v>
      </c>
      <c r="H355" s="530">
        <v>8</v>
      </c>
      <c r="I355" s="19">
        <v>9</v>
      </c>
      <c r="J355" s="530">
        <v>10</v>
      </c>
      <c r="K355" s="530">
        <v>11</v>
      </c>
      <c r="L355" s="530">
        <v>12</v>
      </c>
      <c r="M355" s="530">
        <v>13</v>
      </c>
      <c r="N355" s="530">
        <v>14</v>
      </c>
    </row>
    <row r="356" spans="1:14" ht="75">
      <c r="A356" s="513">
        <v>1</v>
      </c>
      <c r="B356" s="696" t="s">
        <v>2605</v>
      </c>
      <c r="C356" s="511" t="s">
        <v>622</v>
      </c>
      <c r="D356" s="519" t="s">
        <v>7065</v>
      </c>
      <c r="E356" s="519" t="s">
        <v>7066</v>
      </c>
      <c r="F356" s="544">
        <v>715.35</v>
      </c>
      <c r="G356" s="544" t="s">
        <v>17</v>
      </c>
      <c r="H356" s="544" t="s">
        <v>5990</v>
      </c>
      <c r="I356" s="544" t="s">
        <v>7067</v>
      </c>
      <c r="J356" s="544" t="s">
        <v>7068</v>
      </c>
      <c r="K356" s="544" t="s">
        <v>7069</v>
      </c>
      <c r="L356" s="139">
        <v>1150651</v>
      </c>
      <c r="M356" s="544" t="s">
        <v>7070</v>
      </c>
      <c r="N356" s="544" t="s">
        <v>302</v>
      </c>
    </row>
    <row r="357" spans="1:14" ht="30">
      <c r="A357" s="694">
        <v>2</v>
      </c>
      <c r="B357" s="696"/>
      <c r="C357" s="696" t="s">
        <v>627</v>
      </c>
      <c r="D357" s="519" t="s">
        <v>7071</v>
      </c>
      <c r="E357" s="519" t="s">
        <v>7072</v>
      </c>
      <c r="F357" s="544">
        <v>15481</v>
      </c>
      <c r="G357" s="544">
        <v>15481</v>
      </c>
      <c r="H357" s="544" t="s">
        <v>6847</v>
      </c>
      <c r="I357" s="544" t="s">
        <v>7073</v>
      </c>
      <c r="J357" s="544" t="s">
        <v>1737</v>
      </c>
      <c r="K357" s="544"/>
      <c r="L357" s="544" t="s">
        <v>7074</v>
      </c>
      <c r="M357" s="544" t="s">
        <v>7075</v>
      </c>
      <c r="N357" s="544"/>
    </row>
    <row r="358" spans="1:14" ht="150">
      <c r="A358" s="694"/>
      <c r="B358" s="696"/>
      <c r="C358" s="696"/>
      <c r="D358" s="519" t="s">
        <v>7076</v>
      </c>
      <c r="E358" s="519" t="s">
        <v>7077</v>
      </c>
      <c r="F358" s="544">
        <v>5175</v>
      </c>
      <c r="G358" s="544">
        <v>5175</v>
      </c>
      <c r="H358" s="544" t="s">
        <v>7078</v>
      </c>
      <c r="I358" s="544" t="s">
        <v>7073</v>
      </c>
      <c r="J358" s="544" t="s">
        <v>1737</v>
      </c>
      <c r="K358" s="544" t="s">
        <v>7079</v>
      </c>
      <c r="L358" s="544" t="s">
        <v>7080</v>
      </c>
      <c r="M358" s="544" t="s">
        <v>7081</v>
      </c>
      <c r="N358" s="544" t="s">
        <v>7082</v>
      </c>
    </row>
    <row r="359" spans="1:14" ht="30">
      <c r="A359" s="694"/>
      <c r="B359" s="696"/>
      <c r="C359" s="696"/>
      <c r="D359" s="519" t="s">
        <v>7083</v>
      </c>
      <c r="E359" s="519" t="s">
        <v>7084</v>
      </c>
      <c r="F359" s="544">
        <v>7000</v>
      </c>
      <c r="G359" s="544">
        <v>7500</v>
      </c>
      <c r="H359" s="544" t="s">
        <v>7085</v>
      </c>
      <c r="I359" s="544" t="s">
        <v>7073</v>
      </c>
      <c r="J359" s="544" t="s">
        <v>1737</v>
      </c>
      <c r="K359" s="544" t="s">
        <v>7086</v>
      </c>
      <c r="L359" s="544" t="s">
        <v>7087</v>
      </c>
      <c r="M359" s="544" t="s">
        <v>7088</v>
      </c>
      <c r="N359" s="544"/>
    </row>
    <row r="360" spans="1:14" ht="120">
      <c r="A360" s="694"/>
      <c r="B360" s="696"/>
      <c r="C360" s="696"/>
      <c r="D360" s="519" t="s">
        <v>7089</v>
      </c>
      <c r="E360" s="519" t="s">
        <v>7090</v>
      </c>
      <c r="F360" s="544">
        <v>2310</v>
      </c>
      <c r="G360" s="544" t="s">
        <v>87</v>
      </c>
      <c r="H360" s="544" t="s">
        <v>7091</v>
      </c>
      <c r="I360" s="544" t="s">
        <v>7092</v>
      </c>
      <c r="J360" s="544" t="s">
        <v>7093</v>
      </c>
      <c r="K360" s="544" t="s">
        <v>7094</v>
      </c>
      <c r="L360" s="544" t="s">
        <v>7095</v>
      </c>
      <c r="M360" s="544" t="s">
        <v>7096</v>
      </c>
      <c r="N360" s="544"/>
    </row>
    <row r="361" spans="1:14" ht="225">
      <c r="A361" s="513">
        <v>3</v>
      </c>
      <c r="B361" s="696"/>
      <c r="C361" s="511" t="s">
        <v>628</v>
      </c>
      <c r="D361" s="519" t="s">
        <v>7097</v>
      </c>
      <c r="E361" s="519" t="s">
        <v>7098</v>
      </c>
      <c r="F361" s="544">
        <v>6635.52</v>
      </c>
      <c r="G361" s="544">
        <v>8712</v>
      </c>
      <c r="H361" s="544" t="s">
        <v>7099</v>
      </c>
      <c r="I361" s="544" t="s">
        <v>7100</v>
      </c>
      <c r="J361" s="544" t="s">
        <v>7101</v>
      </c>
      <c r="K361" s="544" t="s">
        <v>5440</v>
      </c>
      <c r="L361" s="544" t="s">
        <v>7102</v>
      </c>
      <c r="M361" s="544" t="s">
        <v>7103</v>
      </c>
      <c r="N361" s="544" t="s">
        <v>7104</v>
      </c>
    </row>
    <row r="362" spans="1:14" ht="45">
      <c r="A362" s="694">
        <v>4</v>
      </c>
      <c r="B362" s="696"/>
      <c r="C362" s="696" t="s">
        <v>629</v>
      </c>
      <c r="D362" s="519" t="s">
        <v>7105</v>
      </c>
      <c r="E362" s="519" t="s">
        <v>7106</v>
      </c>
      <c r="F362" s="721">
        <v>289.89</v>
      </c>
      <c r="G362" s="721"/>
      <c r="H362" s="721" t="s">
        <v>7107</v>
      </c>
      <c r="I362" s="721"/>
      <c r="J362" s="721"/>
      <c r="K362" s="721"/>
      <c r="L362" s="721"/>
      <c r="M362" s="721"/>
      <c r="N362" s="721"/>
    </row>
    <row r="363" spans="1:14" ht="60">
      <c r="A363" s="694"/>
      <c r="B363" s="696"/>
      <c r="C363" s="696"/>
      <c r="D363" s="519" t="s">
        <v>7108</v>
      </c>
      <c r="E363" s="519" t="s">
        <v>7109</v>
      </c>
      <c r="F363" s="721">
        <v>1107.49</v>
      </c>
      <c r="G363" s="721"/>
      <c r="H363" s="544" t="s">
        <v>7110</v>
      </c>
      <c r="I363" s="721" t="s">
        <v>1702</v>
      </c>
      <c r="J363" s="544" t="s">
        <v>1733</v>
      </c>
      <c r="K363" s="544" t="s">
        <v>3181</v>
      </c>
      <c r="L363" s="44">
        <v>742656</v>
      </c>
      <c r="M363" s="544" t="s">
        <v>7111</v>
      </c>
      <c r="N363" s="721" t="s">
        <v>7112</v>
      </c>
    </row>
    <row r="364" spans="1:14" ht="45">
      <c r="A364" s="694"/>
      <c r="B364" s="696"/>
      <c r="C364" s="696"/>
      <c r="D364" s="519" t="s">
        <v>7113</v>
      </c>
      <c r="E364" s="519" t="s">
        <v>7114</v>
      </c>
      <c r="F364" s="721">
        <v>669.18</v>
      </c>
      <c r="G364" s="721"/>
      <c r="H364" s="544" t="s">
        <v>3715</v>
      </c>
      <c r="I364" s="721"/>
      <c r="J364" s="544" t="s">
        <v>1737</v>
      </c>
      <c r="K364" s="544" t="s">
        <v>1734</v>
      </c>
      <c r="L364" s="44">
        <v>550866</v>
      </c>
      <c r="M364" s="544" t="s">
        <v>7115</v>
      </c>
      <c r="N364" s="721"/>
    </row>
    <row r="365" spans="1:14" ht="60">
      <c r="A365" s="694">
        <v>5</v>
      </c>
      <c r="B365" s="696"/>
      <c r="C365" s="696" t="s">
        <v>630</v>
      </c>
      <c r="D365" s="519" t="s">
        <v>7116</v>
      </c>
      <c r="E365" s="519" t="s">
        <v>7117</v>
      </c>
      <c r="F365" s="288"/>
      <c r="G365" s="544">
        <v>1367.74</v>
      </c>
      <c r="H365" s="544" t="s">
        <v>7118</v>
      </c>
      <c r="I365" s="544" t="s">
        <v>7119</v>
      </c>
      <c r="J365" s="544" t="s">
        <v>1737</v>
      </c>
      <c r="K365" s="544" t="s">
        <v>7120</v>
      </c>
      <c r="L365" s="544" t="s">
        <v>7121</v>
      </c>
      <c r="M365" s="544" t="s">
        <v>7122</v>
      </c>
      <c r="N365" s="544" t="s">
        <v>7123</v>
      </c>
    </row>
    <row r="366" spans="1:14" ht="60">
      <c r="A366" s="694"/>
      <c r="B366" s="696"/>
      <c r="C366" s="696"/>
      <c r="D366" s="519" t="s">
        <v>7124</v>
      </c>
      <c r="E366" s="519" t="s">
        <v>7125</v>
      </c>
      <c r="F366" s="288"/>
      <c r="G366" s="544">
        <v>297.27999999999997</v>
      </c>
      <c r="H366" s="544" t="s">
        <v>7126</v>
      </c>
      <c r="I366" s="544" t="s">
        <v>7127</v>
      </c>
      <c r="J366" s="544" t="s">
        <v>1742</v>
      </c>
      <c r="K366" s="544" t="s">
        <v>7128</v>
      </c>
      <c r="L366" s="544" t="s">
        <v>7129</v>
      </c>
      <c r="M366" s="544" t="s">
        <v>7130</v>
      </c>
      <c r="N366" s="544"/>
    </row>
    <row r="367" spans="1:14">
      <c r="A367" s="513">
        <v>6</v>
      </c>
      <c r="B367" s="696"/>
      <c r="C367" s="511" t="s">
        <v>631</v>
      </c>
      <c r="D367" s="721" t="s">
        <v>87</v>
      </c>
      <c r="E367" s="721"/>
      <c r="F367" s="721"/>
      <c r="G367" s="721"/>
      <c r="H367" s="721"/>
      <c r="I367" s="721"/>
      <c r="J367" s="721"/>
      <c r="K367" s="721"/>
      <c r="L367" s="721"/>
      <c r="M367" s="721"/>
      <c r="N367" s="721"/>
    </row>
    <row r="368" spans="1:14">
      <c r="A368" s="513">
        <v>7</v>
      </c>
      <c r="B368" s="696"/>
      <c r="C368" s="511" t="s">
        <v>632</v>
      </c>
      <c r="D368" s="694" t="s">
        <v>87</v>
      </c>
      <c r="E368" s="694"/>
      <c r="F368" s="694"/>
      <c r="G368" s="694"/>
      <c r="H368" s="694"/>
      <c r="I368" s="694"/>
      <c r="J368" s="694"/>
      <c r="K368" s="694"/>
      <c r="L368" s="694"/>
      <c r="M368" s="694"/>
      <c r="N368" s="694"/>
    </row>
    <row r="369" spans="1:14">
      <c r="A369" s="513">
        <v>8</v>
      </c>
      <c r="B369" s="696"/>
      <c r="C369" s="511" t="s">
        <v>633</v>
      </c>
      <c r="D369" s="694" t="s">
        <v>87</v>
      </c>
      <c r="E369" s="694"/>
      <c r="F369" s="694"/>
      <c r="G369" s="694"/>
      <c r="H369" s="694"/>
      <c r="I369" s="694"/>
      <c r="J369" s="694"/>
      <c r="K369" s="694"/>
      <c r="L369" s="694"/>
      <c r="M369" s="694"/>
      <c r="N369" s="694"/>
    </row>
    <row r="370" spans="1:14">
      <c r="A370" s="743"/>
      <c r="B370" s="743"/>
      <c r="C370" s="743"/>
      <c r="D370" s="743"/>
      <c r="E370" s="743"/>
      <c r="F370" s="743"/>
      <c r="G370" s="743"/>
      <c r="H370" s="743"/>
      <c r="I370" s="743"/>
      <c r="J370" s="743"/>
      <c r="K370" s="743"/>
      <c r="L370" s="743"/>
      <c r="M370" s="743"/>
      <c r="N370" s="743"/>
    </row>
    <row r="371" spans="1:14" ht="22.5">
      <c r="A371" s="700" t="s">
        <v>2673</v>
      </c>
      <c r="B371" s="700"/>
      <c r="C371" s="700"/>
      <c r="D371" s="700"/>
      <c r="E371" s="700"/>
      <c r="F371" s="700"/>
      <c r="G371" s="700"/>
      <c r="H371" s="700"/>
      <c r="I371" s="700"/>
      <c r="J371" s="700"/>
      <c r="K371" s="700"/>
      <c r="L371" s="700"/>
      <c r="M371" s="700"/>
      <c r="N371" s="700"/>
    </row>
    <row r="372" spans="1:14" ht="20.25">
      <c r="A372" s="757" t="s">
        <v>2669</v>
      </c>
      <c r="B372" s="757"/>
      <c r="C372" s="757"/>
      <c r="D372" s="757"/>
      <c r="E372" s="757"/>
      <c r="F372" s="757"/>
      <c r="G372" s="757"/>
      <c r="H372" s="757"/>
      <c r="I372" s="757"/>
      <c r="J372" s="757"/>
      <c r="K372" s="757"/>
      <c r="L372" s="757"/>
      <c r="M372" s="757"/>
      <c r="N372" s="757"/>
    </row>
    <row r="373" spans="1:14" ht="71.25">
      <c r="A373" s="530" t="s">
        <v>0</v>
      </c>
      <c r="B373" s="19" t="s">
        <v>1616</v>
      </c>
      <c r="C373" s="530" t="s">
        <v>1676</v>
      </c>
      <c r="D373" s="18" t="s">
        <v>1677</v>
      </c>
      <c r="E373" s="18" t="s">
        <v>1678</v>
      </c>
      <c r="F373" s="19" t="s">
        <v>2670</v>
      </c>
      <c r="G373" s="19" t="s">
        <v>2671</v>
      </c>
      <c r="H373" s="19" t="s">
        <v>1679</v>
      </c>
      <c r="I373" s="19" t="s">
        <v>1680</v>
      </c>
      <c r="J373" s="19" t="s">
        <v>1681</v>
      </c>
      <c r="K373" s="19" t="s">
        <v>1682</v>
      </c>
      <c r="L373" s="19" t="s">
        <v>1683</v>
      </c>
      <c r="M373" s="19" t="s">
        <v>1684</v>
      </c>
      <c r="N373" s="19" t="s">
        <v>1685</v>
      </c>
    </row>
    <row r="374" spans="1:14">
      <c r="A374" s="530">
        <v>1</v>
      </c>
      <c r="B374" s="530">
        <v>2</v>
      </c>
      <c r="C374" s="530">
        <v>3</v>
      </c>
      <c r="D374" s="530">
        <v>4</v>
      </c>
      <c r="E374" s="530">
        <v>5</v>
      </c>
      <c r="F374" s="530">
        <v>6</v>
      </c>
      <c r="G374" s="530">
        <v>7</v>
      </c>
      <c r="H374" s="530">
        <v>8</v>
      </c>
      <c r="I374" s="19">
        <v>9</v>
      </c>
      <c r="J374" s="530">
        <v>10</v>
      </c>
      <c r="K374" s="530">
        <v>11</v>
      </c>
      <c r="L374" s="530">
        <v>12</v>
      </c>
      <c r="M374" s="530">
        <v>13</v>
      </c>
      <c r="N374" s="530">
        <v>14</v>
      </c>
    </row>
    <row r="375" spans="1:14" ht="45" customHeight="1">
      <c r="A375" s="517">
        <v>1</v>
      </c>
      <c r="B375" s="710" t="s">
        <v>7704</v>
      </c>
      <c r="C375" s="755" t="s">
        <v>7520</v>
      </c>
      <c r="D375" s="3" t="s">
        <v>7527</v>
      </c>
      <c r="E375" s="3" t="s">
        <v>7521</v>
      </c>
      <c r="F375" s="327" t="s">
        <v>7533</v>
      </c>
      <c r="G375" s="327" t="s">
        <v>7533</v>
      </c>
      <c r="H375" s="9" t="s">
        <v>7538</v>
      </c>
      <c r="I375" s="19"/>
      <c r="J375" s="9" t="s">
        <v>7711</v>
      </c>
      <c r="K375" s="9" t="s">
        <v>7549</v>
      </c>
      <c r="L375" s="9" t="s">
        <v>7544</v>
      </c>
      <c r="M375" s="530"/>
      <c r="N375" s="530"/>
    </row>
    <row r="376" spans="1:14" ht="60">
      <c r="A376" s="517">
        <v>2</v>
      </c>
      <c r="B376" s="710"/>
      <c r="C376" s="755"/>
      <c r="D376" s="3" t="s">
        <v>7528</v>
      </c>
      <c r="E376" s="3" t="s">
        <v>7522</v>
      </c>
      <c r="F376" s="327" t="s">
        <v>7534</v>
      </c>
      <c r="G376" s="327" t="s">
        <v>7534</v>
      </c>
      <c r="H376" s="9" t="s">
        <v>7539</v>
      </c>
      <c r="I376" s="19"/>
      <c r="J376" s="9" t="s">
        <v>7713</v>
      </c>
      <c r="K376" s="9" t="s">
        <v>7714</v>
      </c>
      <c r="L376" s="333" t="s">
        <v>7712</v>
      </c>
      <c r="M376" s="530"/>
      <c r="N376" s="530"/>
    </row>
    <row r="377" spans="1:14" ht="45">
      <c r="A377" s="517">
        <v>3</v>
      </c>
      <c r="B377" s="710"/>
      <c r="C377" s="755"/>
      <c r="D377" s="3" t="s">
        <v>7529</v>
      </c>
      <c r="E377" s="3" t="s">
        <v>7523</v>
      </c>
      <c r="F377" s="328">
        <v>984.93</v>
      </c>
      <c r="G377" s="328">
        <v>984.93</v>
      </c>
      <c r="H377" s="9" t="s">
        <v>7540</v>
      </c>
      <c r="I377" s="19"/>
      <c r="J377" s="9" t="s">
        <v>7553</v>
      </c>
      <c r="K377" s="333" t="s">
        <v>7550</v>
      </c>
      <c r="L377" s="333" t="s">
        <v>7545</v>
      </c>
      <c r="M377" s="530"/>
      <c r="N377" s="530"/>
    </row>
    <row r="378" spans="1:14" ht="46.5" customHeight="1">
      <c r="A378" s="517">
        <v>4</v>
      </c>
      <c r="B378" s="710"/>
      <c r="C378" s="755"/>
      <c r="D378" s="330" t="s">
        <v>7530</v>
      </c>
      <c r="E378" s="3" t="s">
        <v>7524</v>
      </c>
      <c r="F378" s="9" t="s">
        <v>7535</v>
      </c>
      <c r="G378" s="9" t="s">
        <v>7535</v>
      </c>
      <c r="H378" s="9" t="s">
        <v>7541</v>
      </c>
      <c r="I378" s="19"/>
      <c r="J378" s="9" t="s">
        <v>7554</v>
      </c>
      <c r="K378" s="333" t="s">
        <v>7551</v>
      </c>
      <c r="L378" s="333" t="s">
        <v>7546</v>
      </c>
      <c r="M378" s="530"/>
      <c r="N378" s="530"/>
    </row>
    <row r="379" spans="1:14" ht="45">
      <c r="A379" s="517">
        <v>5</v>
      </c>
      <c r="B379" s="710"/>
      <c r="C379" s="755"/>
      <c r="D379" s="330" t="s">
        <v>7531</v>
      </c>
      <c r="E379" s="3" t="s">
        <v>7525</v>
      </c>
      <c r="F379" s="9" t="s">
        <v>7536</v>
      </c>
      <c r="G379" s="9" t="s">
        <v>7536</v>
      </c>
      <c r="H379" s="9" t="s">
        <v>7542</v>
      </c>
      <c r="I379" s="19"/>
      <c r="J379" s="9" t="s">
        <v>7715</v>
      </c>
      <c r="K379" s="333" t="s">
        <v>2919</v>
      </c>
      <c r="L379" s="9" t="s">
        <v>7547</v>
      </c>
      <c r="M379" s="530"/>
      <c r="N379" s="530"/>
    </row>
    <row r="380" spans="1:14" ht="30">
      <c r="A380" s="517">
        <v>6</v>
      </c>
      <c r="B380" s="710"/>
      <c r="C380" s="755"/>
      <c r="D380" s="330" t="s">
        <v>7532</v>
      </c>
      <c r="E380" s="3" t="s">
        <v>7526</v>
      </c>
      <c r="F380" s="9" t="s">
        <v>7537</v>
      </c>
      <c r="G380" s="9" t="s">
        <v>7537</v>
      </c>
      <c r="H380" s="9" t="s">
        <v>7543</v>
      </c>
      <c r="I380" s="19"/>
      <c r="J380" s="9" t="s">
        <v>7555</v>
      </c>
      <c r="K380" s="9" t="s">
        <v>7552</v>
      </c>
      <c r="L380" s="333" t="s">
        <v>7548</v>
      </c>
      <c r="M380" s="530"/>
      <c r="N380" s="530"/>
    </row>
    <row r="381" spans="1:14" ht="60">
      <c r="A381" s="517">
        <v>7</v>
      </c>
      <c r="B381" s="710"/>
      <c r="C381" s="710" t="s">
        <v>7559</v>
      </c>
      <c r="D381" s="330" t="s">
        <v>7559</v>
      </c>
      <c r="E381" s="3" t="s">
        <v>7556</v>
      </c>
      <c r="F381" s="332">
        <v>14136</v>
      </c>
      <c r="G381" s="332">
        <v>14136</v>
      </c>
      <c r="H381" s="9" t="s">
        <v>7565</v>
      </c>
      <c r="I381" s="19"/>
      <c r="J381" s="9" t="s">
        <v>4798</v>
      </c>
      <c r="K381" s="9" t="s">
        <v>2960</v>
      </c>
      <c r="L381" s="9" t="s">
        <v>7562</v>
      </c>
      <c r="M381" s="530"/>
      <c r="N381" s="544" t="s">
        <v>7569</v>
      </c>
    </row>
    <row r="382" spans="1:14" ht="30">
      <c r="A382" s="517">
        <v>8</v>
      </c>
      <c r="B382" s="710"/>
      <c r="C382" s="710"/>
      <c r="D382" s="330" t="s">
        <v>7560</v>
      </c>
      <c r="E382" s="3" t="s">
        <v>7557</v>
      </c>
      <c r="F382" s="333">
        <v>1262</v>
      </c>
      <c r="G382" s="333">
        <v>1262</v>
      </c>
      <c r="H382" s="9" t="s">
        <v>7566</v>
      </c>
      <c r="I382" s="19"/>
      <c r="J382" s="9" t="s">
        <v>5257</v>
      </c>
      <c r="K382" s="9" t="s">
        <v>1899</v>
      </c>
      <c r="L382" s="333" t="s">
        <v>7563</v>
      </c>
      <c r="M382" s="530"/>
      <c r="N382" s="530"/>
    </row>
    <row r="383" spans="1:14" ht="30">
      <c r="A383" s="517">
        <v>9</v>
      </c>
      <c r="B383" s="710"/>
      <c r="C383" s="710"/>
      <c r="D383" s="330" t="s">
        <v>7561</v>
      </c>
      <c r="E383" s="3" t="s">
        <v>7558</v>
      </c>
      <c r="F383" s="333">
        <v>1152</v>
      </c>
      <c r="G383" s="333">
        <v>1152</v>
      </c>
      <c r="H383" s="9" t="s">
        <v>7567</v>
      </c>
      <c r="I383" s="19"/>
      <c r="J383" s="9" t="s">
        <v>7568</v>
      </c>
      <c r="K383" s="9" t="s">
        <v>3894</v>
      </c>
      <c r="L383" s="333" t="s">
        <v>7564</v>
      </c>
      <c r="M383" s="530"/>
      <c r="N383" s="530"/>
    </row>
    <row r="384" spans="1:14" ht="60">
      <c r="A384" s="517">
        <v>10</v>
      </c>
      <c r="B384" s="710"/>
      <c r="C384" s="710" t="s">
        <v>7705</v>
      </c>
      <c r="D384" s="330" t="s">
        <v>7600</v>
      </c>
      <c r="E384" s="3" t="s">
        <v>7570</v>
      </c>
      <c r="F384" s="333"/>
      <c r="G384" s="333"/>
      <c r="H384" s="333"/>
      <c r="I384" s="19"/>
      <c r="J384" s="333"/>
      <c r="K384" s="333"/>
      <c r="L384" s="333"/>
      <c r="M384" s="530"/>
      <c r="N384" s="530"/>
    </row>
    <row r="385" spans="1:14" ht="45">
      <c r="A385" s="517">
        <v>11</v>
      </c>
      <c r="B385" s="710"/>
      <c r="C385" s="710"/>
      <c r="D385" s="331" t="s">
        <v>7574</v>
      </c>
      <c r="E385" s="3" t="s">
        <v>7571</v>
      </c>
      <c r="F385" s="333">
        <v>1526</v>
      </c>
      <c r="G385" s="333">
        <v>1526</v>
      </c>
      <c r="H385" s="9" t="s">
        <v>7579</v>
      </c>
      <c r="I385" s="19"/>
      <c r="J385" s="9" t="s">
        <v>7716</v>
      </c>
      <c r="K385" s="333" t="s">
        <v>7583</v>
      </c>
      <c r="L385" s="333" t="s">
        <v>7576</v>
      </c>
      <c r="M385" s="530"/>
      <c r="N385" s="530"/>
    </row>
    <row r="386" spans="1:14" ht="60">
      <c r="A386" s="517">
        <v>12</v>
      </c>
      <c r="B386" s="710"/>
      <c r="C386" s="710"/>
      <c r="D386" s="331" t="s">
        <v>7575</v>
      </c>
      <c r="E386" s="3" t="s">
        <v>7572</v>
      </c>
      <c r="F386" s="333">
        <v>1728.4</v>
      </c>
      <c r="G386" s="333">
        <v>1728.4</v>
      </c>
      <c r="H386" s="9" t="s">
        <v>7580</v>
      </c>
      <c r="I386" s="19"/>
      <c r="J386" s="9" t="s">
        <v>7717</v>
      </c>
      <c r="K386" s="333" t="s">
        <v>7584</v>
      </c>
      <c r="L386" s="333" t="s">
        <v>7577</v>
      </c>
      <c r="M386" s="530"/>
      <c r="N386" s="530"/>
    </row>
    <row r="387" spans="1:14" ht="45">
      <c r="A387" s="517">
        <v>13</v>
      </c>
      <c r="B387" s="710"/>
      <c r="C387" s="710"/>
      <c r="D387" s="331" t="s">
        <v>2251</v>
      </c>
      <c r="E387" s="3" t="s">
        <v>7573</v>
      </c>
      <c r="F387" s="332">
        <v>15069</v>
      </c>
      <c r="G387" s="332">
        <v>15069</v>
      </c>
      <c r="H387" s="9" t="s">
        <v>7581</v>
      </c>
      <c r="I387" s="19"/>
      <c r="J387" s="9" t="s">
        <v>7582</v>
      </c>
      <c r="K387" s="9" t="s">
        <v>7585</v>
      </c>
      <c r="L387" s="333" t="s">
        <v>7578</v>
      </c>
      <c r="M387" s="530"/>
      <c r="N387" s="530"/>
    </row>
    <row r="388" spans="1:14" ht="60">
      <c r="A388" s="517">
        <v>14</v>
      </c>
      <c r="B388" s="710"/>
      <c r="C388" s="710" t="s">
        <v>7706</v>
      </c>
      <c r="D388" s="331" t="s">
        <v>7586</v>
      </c>
      <c r="E388" s="3" t="s">
        <v>7589</v>
      </c>
      <c r="F388" s="333">
        <v>1114.45</v>
      </c>
      <c r="G388" s="333">
        <v>1114.45</v>
      </c>
      <c r="H388" s="333" t="s">
        <v>7592</v>
      </c>
      <c r="I388" s="19"/>
      <c r="J388" s="9" t="s">
        <v>4910</v>
      </c>
      <c r="K388" s="333" t="s">
        <v>3695</v>
      </c>
      <c r="L388" s="333" t="s">
        <v>7598</v>
      </c>
      <c r="M388" s="530"/>
      <c r="N388" s="530"/>
    </row>
    <row r="389" spans="1:14" ht="45">
      <c r="A389" s="517">
        <v>15</v>
      </c>
      <c r="B389" s="710"/>
      <c r="C389" s="710"/>
      <c r="D389" s="331" t="s">
        <v>7587</v>
      </c>
      <c r="E389" s="330" t="s">
        <v>7590</v>
      </c>
      <c r="F389" s="333">
        <v>1471.9</v>
      </c>
      <c r="G389" s="333">
        <v>1471.9</v>
      </c>
      <c r="H389" s="9" t="s">
        <v>7593</v>
      </c>
      <c r="I389" s="19"/>
      <c r="J389" s="9" t="s">
        <v>7595</v>
      </c>
      <c r="K389" s="9" t="s">
        <v>7596</v>
      </c>
      <c r="L389" s="333" t="s">
        <v>2853</v>
      </c>
      <c r="M389" s="530"/>
      <c r="N389" s="530"/>
    </row>
    <row r="390" spans="1:14" ht="45">
      <c r="A390" s="517">
        <v>16</v>
      </c>
      <c r="B390" s="710"/>
      <c r="C390" s="710"/>
      <c r="D390" s="330" t="s">
        <v>7588</v>
      </c>
      <c r="E390" s="3" t="s">
        <v>7591</v>
      </c>
      <c r="F390" s="9">
        <v>667.36</v>
      </c>
      <c r="G390" s="9">
        <v>667.36</v>
      </c>
      <c r="H390" s="551" t="s">
        <v>7594</v>
      </c>
      <c r="I390" s="19"/>
      <c r="J390" s="9" t="s">
        <v>7718</v>
      </c>
      <c r="K390" s="9" t="s">
        <v>7597</v>
      </c>
      <c r="L390" s="9" t="s">
        <v>7599</v>
      </c>
      <c r="M390" s="530"/>
      <c r="N390" s="530"/>
    </row>
    <row r="391" spans="1:14" ht="45">
      <c r="A391" s="517">
        <v>17</v>
      </c>
      <c r="B391" s="710"/>
      <c r="C391" s="710" t="s">
        <v>7707</v>
      </c>
      <c r="D391" s="330" t="s">
        <v>7605</v>
      </c>
      <c r="E391" s="3" t="s">
        <v>7601</v>
      </c>
      <c r="F391" s="9">
        <v>39.25</v>
      </c>
      <c r="G391" s="9">
        <v>39.25</v>
      </c>
      <c r="H391" s="9" t="s">
        <v>7592</v>
      </c>
      <c r="I391" s="19"/>
      <c r="J391" s="9" t="s">
        <v>35</v>
      </c>
      <c r="K391" s="9" t="s">
        <v>7623</v>
      </c>
      <c r="L391" s="333" t="s">
        <v>7613</v>
      </c>
      <c r="M391" s="530"/>
      <c r="N391" s="530"/>
    </row>
    <row r="392" spans="1:14" ht="45">
      <c r="A392" s="517">
        <v>18</v>
      </c>
      <c r="B392" s="710"/>
      <c r="C392" s="710"/>
      <c r="D392" s="330" t="s">
        <v>7606</v>
      </c>
      <c r="E392" s="3" t="s">
        <v>7602</v>
      </c>
      <c r="F392" s="9">
        <v>1000</v>
      </c>
      <c r="G392" s="9">
        <v>1000</v>
      </c>
      <c r="H392" s="9" t="s">
        <v>7618</v>
      </c>
      <c r="I392" s="19"/>
      <c r="J392" s="9" t="s">
        <v>7621</v>
      </c>
      <c r="K392" s="333" t="s">
        <v>7624</v>
      </c>
      <c r="L392" s="333" t="s">
        <v>7614</v>
      </c>
      <c r="M392" s="530"/>
      <c r="N392" s="530"/>
    </row>
    <row r="393" spans="1:14" ht="60">
      <c r="A393" s="517">
        <v>19</v>
      </c>
      <c r="B393" s="710"/>
      <c r="C393" s="710"/>
      <c r="D393" s="331" t="s">
        <v>7607</v>
      </c>
      <c r="E393" s="3" t="s">
        <v>7603</v>
      </c>
      <c r="F393" s="333"/>
      <c r="G393" s="333"/>
      <c r="H393" s="9" t="s">
        <v>7619</v>
      </c>
      <c r="I393" s="19"/>
      <c r="J393" s="9" t="s">
        <v>7622</v>
      </c>
      <c r="K393" s="530"/>
      <c r="L393" s="333" t="s">
        <v>7615</v>
      </c>
      <c r="M393" s="530"/>
      <c r="N393" s="530"/>
    </row>
    <row r="394" spans="1:14" ht="45">
      <c r="A394" s="517">
        <v>20</v>
      </c>
      <c r="B394" s="710"/>
      <c r="C394" s="710"/>
      <c r="D394" s="330" t="s">
        <v>7608</v>
      </c>
      <c r="E394" s="3" t="s">
        <v>7604</v>
      </c>
      <c r="F394" s="332">
        <v>20160</v>
      </c>
      <c r="G394" s="332">
        <v>20160</v>
      </c>
      <c r="H394" s="551" t="s">
        <v>7620</v>
      </c>
      <c r="I394" s="19"/>
      <c r="J394" s="9" t="s">
        <v>4256</v>
      </c>
      <c r="K394" s="530"/>
      <c r="L394" s="9" t="s">
        <v>7616</v>
      </c>
      <c r="M394" s="530"/>
      <c r="N394" s="530"/>
    </row>
    <row r="395" spans="1:14" ht="30">
      <c r="A395" s="517">
        <v>21</v>
      </c>
      <c r="B395" s="710"/>
      <c r="C395" s="710"/>
      <c r="D395" s="331" t="s">
        <v>7611</v>
      </c>
      <c r="E395" s="3" t="s">
        <v>7609</v>
      </c>
      <c r="F395" s="333">
        <v>460</v>
      </c>
      <c r="G395" s="333">
        <v>460</v>
      </c>
      <c r="H395" s="9" t="s">
        <v>35</v>
      </c>
      <c r="I395" s="19"/>
      <c r="J395" s="9" t="s">
        <v>35</v>
      </c>
      <c r="K395" s="530"/>
      <c r="L395" s="332">
        <v>32916</v>
      </c>
      <c r="M395" s="530"/>
      <c r="N395" s="530"/>
    </row>
    <row r="396" spans="1:14" ht="45">
      <c r="A396" s="517">
        <v>22</v>
      </c>
      <c r="B396" s="710"/>
      <c r="C396" s="710"/>
      <c r="D396" s="330" t="s">
        <v>7612</v>
      </c>
      <c r="E396" s="3" t="s">
        <v>7610</v>
      </c>
      <c r="F396" s="9" t="s">
        <v>7625</v>
      </c>
      <c r="G396" s="9" t="s">
        <v>7625</v>
      </c>
      <c r="H396" s="9" t="s">
        <v>35</v>
      </c>
      <c r="I396" s="19"/>
      <c r="J396" s="9" t="s">
        <v>35</v>
      </c>
      <c r="K396" s="530"/>
      <c r="L396" s="333" t="s">
        <v>7617</v>
      </c>
      <c r="M396" s="530"/>
      <c r="N396" s="530"/>
    </row>
    <row r="397" spans="1:14" ht="45">
      <c r="A397" s="517">
        <v>23</v>
      </c>
      <c r="B397" s="710"/>
      <c r="C397" s="710" t="s">
        <v>7708</v>
      </c>
      <c r="D397" s="330" t="s">
        <v>7630</v>
      </c>
      <c r="E397" s="3" t="s">
        <v>7626</v>
      </c>
      <c r="F397" s="9">
        <v>125.74</v>
      </c>
      <c r="G397" s="9">
        <v>125.74</v>
      </c>
      <c r="H397" s="9"/>
      <c r="I397" s="19"/>
      <c r="J397" s="9" t="s">
        <v>35</v>
      </c>
      <c r="K397" s="9" t="s">
        <v>3996</v>
      </c>
      <c r="L397" s="333" t="s">
        <v>7634</v>
      </c>
      <c r="M397" s="530"/>
      <c r="N397" s="530"/>
    </row>
    <row r="398" spans="1:14" ht="60">
      <c r="A398" s="517">
        <v>24</v>
      </c>
      <c r="B398" s="710"/>
      <c r="C398" s="710"/>
      <c r="D398" s="330" t="s">
        <v>7631</v>
      </c>
      <c r="E398" s="3" t="s">
        <v>7627</v>
      </c>
      <c r="F398" s="9">
        <v>116</v>
      </c>
      <c r="G398" s="9">
        <v>116</v>
      </c>
      <c r="H398" s="9" t="s">
        <v>7638</v>
      </c>
      <c r="I398" s="19"/>
      <c r="J398" s="9" t="s">
        <v>7641</v>
      </c>
      <c r="K398" s="9" t="s">
        <v>7644</v>
      </c>
      <c r="L398" s="9" t="s">
        <v>7635</v>
      </c>
      <c r="M398" s="530"/>
      <c r="N398" s="530"/>
    </row>
    <row r="399" spans="1:14" ht="45">
      <c r="A399" s="517">
        <v>25</v>
      </c>
      <c r="B399" s="710"/>
      <c r="C399" s="710"/>
      <c r="D399" s="330" t="s">
        <v>7632</v>
      </c>
      <c r="E399" s="3" t="s">
        <v>7628</v>
      </c>
      <c r="F399" s="9">
        <v>912</v>
      </c>
      <c r="G399" s="9">
        <v>912</v>
      </c>
      <c r="H399" s="9" t="s">
        <v>7639</v>
      </c>
      <c r="I399" s="19"/>
      <c r="J399" s="9" t="s">
        <v>7642</v>
      </c>
      <c r="K399" s="9" t="s">
        <v>5449</v>
      </c>
      <c r="L399" s="9" t="s">
        <v>7636</v>
      </c>
      <c r="M399" s="530"/>
      <c r="N399" s="530"/>
    </row>
    <row r="400" spans="1:14" ht="45">
      <c r="A400" s="517">
        <v>26</v>
      </c>
      <c r="B400" s="710"/>
      <c r="C400" s="710"/>
      <c r="D400" s="330" t="s">
        <v>7633</v>
      </c>
      <c r="E400" s="3" t="s">
        <v>7629</v>
      </c>
      <c r="F400" s="9">
        <v>157</v>
      </c>
      <c r="G400" s="9">
        <v>157</v>
      </c>
      <c r="H400" s="9" t="s">
        <v>7640</v>
      </c>
      <c r="I400" s="19"/>
      <c r="J400" s="9" t="s">
        <v>7643</v>
      </c>
      <c r="K400" s="9" t="s">
        <v>5184</v>
      </c>
      <c r="L400" s="9" t="s">
        <v>7637</v>
      </c>
      <c r="M400" s="530"/>
      <c r="N400" s="530"/>
    </row>
    <row r="401" spans="1:14" ht="30">
      <c r="A401" s="517">
        <v>27</v>
      </c>
      <c r="B401" s="710"/>
      <c r="C401" s="710" t="s">
        <v>7650</v>
      </c>
      <c r="D401" s="330" t="s">
        <v>7650</v>
      </c>
      <c r="E401" s="3" t="s">
        <v>7645</v>
      </c>
      <c r="F401" s="9">
        <v>4197.8999999999996</v>
      </c>
      <c r="G401" s="9">
        <v>4197.8999999999996</v>
      </c>
      <c r="H401" s="9" t="s">
        <v>7659</v>
      </c>
      <c r="I401" s="19"/>
      <c r="J401" s="9" t="s">
        <v>7664</v>
      </c>
      <c r="K401" s="333" t="s">
        <v>7665</v>
      </c>
      <c r="L401" s="333" t="s">
        <v>7655</v>
      </c>
      <c r="M401" s="530"/>
      <c r="N401" s="530"/>
    </row>
    <row r="402" spans="1:14" ht="45">
      <c r="A402" s="517">
        <v>28</v>
      </c>
      <c r="B402" s="710"/>
      <c r="C402" s="710"/>
      <c r="D402" s="330" t="s">
        <v>7651</v>
      </c>
      <c r="E402" s="3" t="s">
        <v>7646</v>
      </c>
      <c r="F402" s="9">
        <v>1519</v>
      </c>
      <c r="G402" s="9">
        <v>1519</v>
      </c>
      <c r="H402" s="9" t="s">
        <v>7660</v>
      </c>
      <c r="I402" s="19"/>
      <c r="J402" s="9" t="s">
        <v>7666</v>
      </c>
      <c r="K402" s="333" t="s">
        <v>1789</v>
      </c>
      <c r="L402" s="333" t="s">
        <v>6087</v>
      </c>
      <c r="M402" s="530"/>
      <c r="N402" s="530"/>
    </row>
    <row r="403" spans="1:14" ht="30">
      <c r="A403" s="517">
        <v>29</v>
      </c>
      <c r="B403" s="710"/>
      <c r="C403" s="710"/>
      <c r="D403" s="330" t="s">
        <v>7652</v>
      </c>
      <c r="E403" s="3" t="s">
        <v>7647</v>
      </c>
      <c r="F403" s="9">
        <v>288</v>
      </c>
      <c r="G403" s="9">
        <v>288</v>
      </c>
      <c r="H403" s="9" t="s">
        <v>7661</v>
      </c>
      <c r="I403" s="19"/>
      <c r="J403" s="9" t="s">
        <v>7667</v>
      </c>
      <c r="K403" s="9" t="s">
        <v>7668</v>
      </c>
      <c r="L403" s="333" t="s">
        <v>7656</v>
      </c>
      <c r="M403" s="530"/>
      <c r="N403" s="530"/>
    </row>
    <row r="404" spans="1:14" ht="45">
      <c r="A404" s="517">
        <v>30</v>
      </c>
      <c r="B404" s="710"/>
      <c r="C404" s="710"/>
      <c r="D404" s="330" t="s">
        <v>7653</v>
      </c>
      <c r="E404" s="3" t="s">
        <v>7648</v>
      </c>
      <c r="F404" s="333">
        <v>1313</v>
      </c>
      <c r="G404" s="333">
        <v>1313</v>
      </c>
      <c r="H404" s="9" t="s">
        <v>7662</v>
      </c>
      <c r="I404" s="19"/>
      <c r="J404" s="9" t="s">
        <v>7669</v>
      </c>
      <c r="K404" s="9" t="s">
        <v>7670</v>
      </c>
      <c r="L404" s="333" t="s">
        <v>7657</v>
      </c>
      <c r="M404" s="530"/>
      <c r="N404" s="530"/>
    </row>
    <row r="405" spans="1:14" ht="45">
      <c r="A405" s="517">
        <v>31</v>
      </c>
      <c r="B405" s="710"/>
      <c r="C405" s="710"/>
      <c r="D405" s="330" t="s">
        <v>7654</v>
      </c>
      <c r="E405" s="3" t="s">
        <v>7649</v>
      </c>
      <c r="F405" s="333">
        <v>1282</v>
      </c>
      <c r="G405" s="333">
        <v>1282</v>
      </c>
      <c r="H405" s="9" t="s">
        <v>7663</v>
      </c>
      <c r="I405" s="19"/>
      <c r="J405" s="9" t="s">
        <v>7671</v>
      </c>
      <c r="K405" s="9" t="s">
        <v>7672</v>
      </c>
      <c r="L405" s="333" t="s">
        <v>7658</v>
      </c>
      <c r="M405" s="530"/>
      <c r="N405" s="530"/>
    </row>
    <row r="406" spans="1:14" ht="45">
      <c r="A406" s="517">
        <v>32</v>
      </c>
      <c r="B406" s="710"/>
      <c r="C406" s="710" t="s">
        <v>7709</v>
      </c>
      <c r="D406" s="330" t="s">
        <v>7679</v>
      </c>
      <c r="E406" s="3" t="s">
        <v>7673</v>
      </c>
      <c r="F406" s="333">
        <v>8200</v>
      </c>
      <c r="G406" s="333">
        <v>8200</v>
      </c>
      <c r="H406" s="9" t="s">
        <v>7698</v>
      </c>
      <c r="I406" s="19"/>
      <c r="J406" s="9" t="s">
        <v>7685</v>
      </c>
      <c r="K406" s="9" t="s">
        <v>3267</v>
      </c>
      <c r="L406" s="333" t="s">
        <v>7692</v>
      </c>
      <c r="M406" s="530"/>
      <c r="N406" s="530"/>
    </row>
    <row r="407" spans="1:14" ht="45">
      <c r="A407" s="517">
        <v>33</v>
      </c>
      <c r="B407" s="710"/>
      <c r="C407" s="710"/>
      <c r="D407" s="330" t="s">
        <v>7680</v>
      </c>
      <c r="E407" s="3" t="s">
        <v>7674</v>
      </c>
      <c r="F407" s="333">
        <v>837</v>
      </c>
      <c r="G407" s="333">
        <v>837</v>
      </c>
      <c r="H407" s="9" t="s">
        <v>7699</v>
      </c>
      <c r="I407" s="19"/>
      <c r="J407" s="9" t="s">
        <v>7686</v>
      </c>
      <c r="K407" s="9" t="s">
        <v>7687</v>
      </c>
      <c r="L407" s="333" t="s">
        <v>7693</v>
      </c>
      <c r="M407" s="530"/>
      <c r="N407" s="530"/>
    </row>
    <row r="408" spans="1:14" ht="45">
      <c r="A408" s="517">
        <v>34</v>
      </c>
      <c r="B408" s="710"/>
      <c r="C408" s="710"/>
      <c r="D408" s="330" t="s">
        <v>7681</v>
      </c>
      <c r="E408" s="3" t="s">
        <v>7675</v>
      </c>
      <c r="F408" s="9" t="s">
        <v>7697</v>
      </c>
      <c r="G408" s="9" t="s">
        <v>7697</v>
      </c>
      <c r="H408" s="9" t="s">
        <v>7700</v>
      </c>
      <c r="I408" s="19"/>
      <c r="J408" s="9" t="s">
        <v>7688</v>
      </c>
      <c r="K408" s="9" t="s">
        <v>3165</v>
      </c>
      <c r="L408" s="9" t="s">
        <v>7694</v>
      </c>
      <c r="M408" s="530"/>
      <c r="N408" s="530"/>
    </row>
    <row r="409" spans="1:14" ht="45">
      <c r="A409" s="517">
        <v>35</v>
      </c>
      <c r="B409" s="710"/>
      <c r="C409" s="710"/>
      <c r="D409" s="331" t="s">
        <v>7682</v>
      </c>
      <c r="E409" s="3" t="s">
        <v>7676</v>
      </c>
      <c r="F409" s="333">
        <v>938</v>
      </c>
      <c r="G409" s="333">
        <v>938</v>
      </c>
      <c r="H409" s="9" t="s">
        <v>7701</v>
      </c>
      <c r="I409" s="19"/>
      <c r="J409" s="9" t="s">
        <v>7689</v>
      </c>
      <c r="K409" s="9" t="s">
        <v>7690</v>
      </c>
      <c r="L409" s="333">
        <v>3000</v>
      </c>
      <c r="M409" s="530"/>
      <c r="N409" s="530"/>
    </row>
    <row r="410" spans="1:14" ht="30">
      <c r="A410" s="517">
        <v>36</v>
      </c>
      <c r="B410" s="710"/>
      <c r="C410" s="710"/>
      <c r="D410" s="331" t="s">
        <v>7683</v>
      </c>
      <c r="E410" s="3" t="s">
        <v>7677</v>
      </c>
      <c r="F410" s="333">
        <v>1579</v>
      </c>
      <c r="G410" s="333">
        <v>1579</v>
      </c>
      <c r="H410" s="9" t="s">
        <v>7702</v>
      </c>
      <c r="I410" s="19"/>
      <c r="J410" s="9" t="s">
        <v>5704</v>
      </c>
      <c r="K410" s="333" t="s">
        <v>1926</v>
      </c>
      <c r="L410" s="333" t="s">
        <v>7695</v>
      </c>
      <c r="M410" s="530"/>
      <c r="N410" s="530"/>
    </row>
    <row r="411" spans="1:14" ht="45">
      <c r="A411" s="517">
        <v>37</v>
      </c>
      <c r="B411" s="710"/>
      <c r="C411" s="710"/>
      <c r="D411" s="331" t="s">
        <v>7684</v>
      </c>
      <c r="E411" s="3" t="s">
        <v>7678</v>
      </c>
      <c r="F411" s="333">
        <v>716</v>
      </c>
      <c r="G411" s="333">
        <v>716</v>
      </c>
      <c r="H411" s="9" t="s">
        <v>7703</v>
      </c>
      <c r="I411" s="19"/>
      <c r="J411" s="9" t="s">
        <v>7691</v>
      </c>
      <c r="K411" s="333" t="s">
        <v>3715</v>
      </c>
      <c r="L411" s="333" t="s">
        <v>7696</v>
      </c>
      <c r="M411" s="530"/>
      <c r="N411" s="530"/>
    </row>
    <row r="412" spans="1:14">
      <c r="A412" s="744"/>
      <c r="B412" s="745"/>
      <c r="C412" s="745"/>
      <c r="D412" s="745"/>
      <c r="E412" s="745"/>
      <c r="F412" s="745"/>
      <c r="G412" s="745"/>
      <c r="H412" s="745"/>
      <c r="I412" s="745"/>
      <c r="J412" s="745"/>
      <c r="K412" s="745"/>
      <c r="L412" s="745"/>
      <c r="M412" s="745"/>
      <c r="N412" s="746"/>
    </row>
    <row r="413" spans="1:14" ht="22.5">
      <c r="A413" s="700" t="s">
        <v>640</v>
      </c>
      <c r="B413" s="700"/>
      <c r="C413" s="700"/>
      <c r="D413" s="700"/>
      <c r="E413" s="700"/>
      <c r="F413" s="700"/>
      <c r="G413" s="700"/>
      <c r="H413" s="700"/>
      <c r="I413" s="700"/>
      <c r="J413" s="700"/>
      <c r="K413" s="700"/>
      <c r="L413" s="700"/>
      <c r="M413" s="700"/>
      <c r="N413" s="700"/>
    </row>
    <row r="414" spans="1:14" ht="20.25">
      <c r="A414" s="757" t="s">
        <v>2669</v>
      </c>
      <c r="B414" s="757"/>
      <c r="C414" s="757"/>
      <c r="D414" s="757"/>
      <c r="E414" s="757"/>
      <c r="F414" s="757"/>
      <c r="G414" s="757"/>
      <c r="H414" s="757"/>
      <c r="I414" s="757"/>
      <c r="J414" s="757"/>
      <c r="K414" s="757"/>
      <c r="L414" s="757"/>
      <c r="M414" s="757"/>
      <c r="N414" s="757"/>
    </row>
    <row r="415" spans="1:14" ht="71.25">
      <c r="A415" s="530" t="s">
        <v>0</v>
      </c>
      <c r="B415" s="19" t="s">
        <v>1616</v>
      </c>
      <c r="C415" s="530" t="s">
        <v>1676</v>
      </c>
      <c r="D415" s="18" t="s">
        <v>1677</v>
      </c>
      <c r="E415" s="18" t="s">
        <v>1678</v>
      </c>
      <c r="F415" s="19" t="s">
        <v>2670</v>
      </c>
      <c r="G415" s="19" t="s">
        <v>2671</v>
      </c>
      <c r="H415" s="19" t="s">
        <v>1679</v>
      </c>
      <c r="I415" s="19" t="s">
        <v>1680</v>
      </c>
      <c r="J415" s="19" t="s">
        <v>1681</v>
      </c>
      <c r="K415" s="19" t="s">
        <v>1682</v>
      </c>
      <c r="L415" s="19" t="s">
        <v>1683</v>
      </c>
      <c r="M415" s="19" t="s">
        <v>1684</v>
      </c>
      <c r="N415" s="19" t="s">
        <v>1685</v>
      </c>
    </row>
    <row r="416" spans="1:14">
      <c r="A416" s="530">
        <v>1</v>
      </c>
      <c r="B416" s="530">
        <v>2</v>
      </c>
      <c r="C416" s="530">
        <v>3</v>
      </c>
      <c r="D416" s="530">
        <v>4</v>
      </c>
      <c r="E416" s="530">
        <v>5</v>
      </c>
      <c r="F416" s="530">
        <v>6</v>
      </c>
      <c r="G416" s="530">
        <v>7</v>
      </c>
      <c r="H416" s="530">
        <v>8</v>
      </c>
      <c r="I416" s="19">
        <v>9</v>
      </c>
      <c r="J416" s="530">
        <v>10</v>
      </c>
      <c r="K416" s="530">
        <v>11</v>
      </c>
      <c r="L416" s="530">
        <v>12</v>
      </c>
      <c r="M416" s="530">
        <v>13</v>
      </c>
      <c r="N416" s="530">
        <v>14</v>
      </c>
    </row>
    <row r="417" spans="1:14" ht="105">
      <c r="A417" s="513">
        <v>1</v>
      </c>
      <c r="B417" s="706" t="s">
        <v>2604</v>
      </c>
      <c r="C417" s="706" t="s">
        <v>6526</v>
      </c>
      <c r="D417" s="511" t="s">
        <v>3916</v>
      </c>
      <c r="E417" s="511" t="s">
        <v>3917</v>
      </c>
      <c r="F417" s="513">
        <v>754</v>
      </c>
      <c r="G417" s="513">
        <v>754</v>
      </c>
      <c r="H417" s="513" t="s">
        <v>3918</v>
      </c>
      <c r="I417" s="513" t="s">
        <v>3919</v>
      </c>
      <c r="J417" s="513" t="s">
        <v>1737</v>
      </c>
      <c r="K417" s="542" t="s">
        <v>3920</v>
      </c>
      <c r="L417" s="533">
        <v>446000</v>
      </c>
      <c r="M417" s="513">
        <f>L417/G417</f>
        <v>591.51193633952255</v>
      </c>
      <c r="N417" s="513"/>
    </row>
    <row r="418" spans="1:14" ht="90">
      <c r="A418" s="513">
        <v>2</v>
      </c>
      <c r="B418" s="706"/>
      <c r="C418" s="706"/>
      <c r="D418" s="511" t="s">
        <v>3921</v>
      </c>
      <c r="E418" s="511" t="s">
        <v>3922</v>
      </c>
      <c r="F418" s="513">
        <v>1340</v>
      </c>
      <c r="G418" s="513">
        <v>1340</v>
      </c>
      <c r="H418" s="542" t="s">
        <v>3923</v>
      </c>
      <c r="I418" s="518" t="s">
        <v>3924</v>
      </c>
      <c r="J418" s="513" t="s">
        <v>1737</v>
      </c>
      <c r="K418" s="542" t="s">
        <v>1728</v>
      </c>
      <c r="L418" s="533">
        <v>738000</v>
      </c>
      <c r="M418" s="513">
        <f t="shared" ref="M418:M425" si="6">L418/G418</f>
        <v>550.74626865671644</v>
      </c>
      <c r="N418" s="513"/>
    </row>
    <row r="419" spans="1:14" ht="90">
      <c r="A419" s="513">
        <v>3</v>
      </c>
      <c r="B419" s="706"/>
      <c r="C419" s="706"/>
      <c r="D419" s="511" t="s">
        <v>3925</v>
      </c>
      <c r="E419" s="511" t="s">
        <v>3926</v>
      </c>
      <c r="F419" s="513">
        <v>1340</v>
      </c>
      <c r="G419" s="513">
        <v>1340</v>
      </c>
      <c r="H419" s="542" t="s">
        <v>3927</v>
      </c>
      <c r="I419" s="518" t="s">
        <v>3924</v>
      </c>
      <c r="J419" s="513" t="s">
        <v>1737</v>
      </c>
      <c r="K419" s="542" t="s">
        <v>1728</v>
      </c>
      <c r="L419" s="533">
        <v>738000</v>
      </c>
      <c r="M419" s="513">
        <f t="shared" si="6"/>
        <v>550.74626865671644</v>
      </c>
      <c r="N419" s="513"/>
    </row>
    <row r="420" spans="1:14" ht="90">
      <c r="A420" s="513">
        <v>4</v>
      </c>
      <c r="B420" s="706"/>
      <c r="C420" s="706"/>
      <c r="D420" s="511" t="s">
        <v>3928</v>
      </c>
      <c r="E420" s="511" t="s">
        <v>3929</v>
      </c>
      <c r="F420" s="513">
        <v>1340</v>
      </c>
      <c r="G420" s="513">
        <v>1340</v>
      </c>
      <c r="H420" s="542" t="s">
        <v>3930</v>
      </c>
      <c r="I420" s="518" t="s">
        <v>3924</v>
      </c>
      <c r="J420" s="513" t="s">
        <v>1737</v>
      </c>
      <c r="K420" s="542" t="s">
        <v>1728</v>
      </c>
      <c r="L420" s="533">
        <v>738000</v>
      </c>
      <c r="M420" s="513">
        <f t="shared" si="6"/>
        <v>550.74626865671644</v>
      </c>
      <c r="N420" s="513"/>
    </row>
    <row r="421" spans="1:14" ht="75">
      <c r="A421" s="513">
        <v>5</v>
      </c>
      <c r="B421" s="706"/>
      <c r="C421" s="706"/>
      <c r="D421" s="511" t="s">
        <v>3931</v>
      </c>
      <c r="E421" s="511" t="s">
        <v>3932</v>
      </c>
      <c r="F421" s="513">
        <v>1226</v>
      </c>
      <c r="G421" s="513">
        <v>1226</v>
      </c>
      <c r="H421" s="513" t="s">
        <v>3933</v>
      </c>
      <c r="I421" s="518" t="s">
        <v>3924</v>
      </c>
      <c r="J421" s="513" t="s">
        <v>1737</v>
      </c>
      <c r="K421" s="542" t="s">
        <v>1728</v>
      </c>
      <c r="L421" s="533">
        <v>541800</v>
      </c>
      <c r="M421" s="513">
        <f t="shared" si="6"/>
        <v>441.92495921696576</v>
      </c>
      <c r="N421" s="513"/>
    </row>
    <row r="422" spans="1:14" ht="75">
      <c r="A422" s="513">
        <v>6</v>
      </c>
      <c r="B422" s="706"/>
      <c r="C422" s="706"/>
      <c r="D422" s="511" t="s">
        <v>3934</v>
      </c>
      <c r="E422" s="511" t="s">
        <v>3935</v>
      </c>
      <c r="F422" s="513">
        <v>1175</v>
      </c>
      <c r="G422" s="513">
        <v>1175</v>
      </c>
      <c r="H422" s="542" t="s">
        <v>3936</v>
      </c>
      <c r="I422" s="518" t="s">
        <v>3924</v>
      </c>
      <c r="J422" s="513" t="s">
        <v>1737</v>
      </c>
      <c r="K422" s="542" t="s">
        <v>3937</v>
      </c>
      <c r="L422" s="533">
        <v>354700</v>
      </c>
      <c r="M422" s="513">
        <f t="shared" si="6"/>
        <v>301.87234042553189</v>
      </c>
      <c r="N422" s="513"/>
    </row>
    <row r="423" spans="1:14" ht="75">
      <c r="A423" s="513">
        <v>7</v>
      </c>
      <c r="B423" s="706"/>
      <c r="C423" s="706"/>
      <c r="D423" s="511" t="s">
        <v>3938</v>
      </c>
      <c r="E423" s="511" t="s">
        <v>3939</v>
      </c>
      <c r="F423" s="513">
        <v>978</v>
      </c>
      <c r="G423" s="513">
        <v>978</v>
      </c>
      <c r="H423" s="513" t="s">
        <v>3940</v>
      </c>
      <c r="I423" s="518" t="s">
        <v>3924</v>
      </c>
      <c r="J423" s="513" t="s">
        <v>1737</v>
      </c>
      <c r="K423" s="513" t="s">
        <v>3941</v>
      </c>
      <c r="L423" s="533">
        <v>369000</v>
      </c>
      <c r="M423" s="513">
        <f t="shared" si="6"/>
        <v>377.3006134969325</v>
      </c>
      <c r="N423" s="513"/>
    </row>
    <row r="424" spans="1:14" ht="75">
      <c r="A424" s="513">
        <v>8</v>
      </c>
      <c r="B424" s="706"/>
      <c r="C424" s="706"/>
      <c r="D424" s="511" t="s">
        <v>3942</v>
      </c>
      <c r="E424" s="511" t="s">
        <v>3943</v>
      </c>
      <c r="F424" s="513">
        <v>883</v>
      </c>
      <c r="G424" s="513">
        <v>883</v>
      </c>
      <c r="H424" s="542" t="s">
        <v>3944</v>
      </c>
      <c r="I424" s="518" t="s">
        <v>3924</v>
      </c>
      <c r="J424" s="513" t="s">
        <v>1737</v>
      </c>
      <c r="K424" s="542" t="s">
        <v>3945</v>
      </c>
      <c r="L424" s="533">
        <v>541000</v>
      </c>
      <c r="M424" s="513">
        <f t="shared" si="6"/>
        <v>612.68403171007924</v>
      </c>
      <c r="N424" s="513"/>
    </row>
    <row r="425" spans="1:14" ht="75">
      <c r="A425" s="513">
        <v>9</v>
      </c>
      <c r="B425" s="706"/>
      <c r="C425" s="706"/>
      <c r="D425" s="511" t="s">
        <v>3946</v>
      </c>
      <c r="E425" s="511" t="s">
        <v>3947</v>
      </c>
      <c r="F425" s="513">
        <v>120</v>
      </c>
      <c r="G425" s="513">
        <v>120</v>
      </c>
      <c r="H425" s="542" t="s">
        <v>3948</v>
      </c>
      <c r="I425" s="518" t="s">
        <v>3924</v>
      </c>
      <c r="J425" s="513" t="s">
        <v>1737</v>
      </c>
      <c r="K425" s="542" t="s">
        <v>3920</v>
      </c>
      <c r="L425" s="513">
        <v>18000</v>
      </c>
      <c r="M425" s="513">
        <f t="shared" si="6"/>
        <v>150</v>
      </c>
      <c r="N425" s="513"/>
    </row>
    <row r="426" spans="1:14" ht="105">
      <c r="A426" s="513">
        <v>10</v>
      </c>
      <c r="B426" s="706"/>
      <c r="C426" s="696" t="s">
        <v>3949</v>
      </c>
      <c r="D426" s="511" t="s">
        <v>3950</v>
      </c>
      <c r="E426" s="511" t="s">
        <v>3951</v>
      </c>
      <c r="F426" s="513" t="s">
        <v>3952</v>
      </c>
      <c r="G426" s="513"/>
      <c r="H426" s="513" t="s">
        <v>3953</v>
      </c>
      <c r="I426" s="513" t="s">
        <v>6527</v>
      </c>
      <c r="J426" s="513" t="s">
        <v>3954</v>
      </c>
      <c r="K426" s="513" t="s">
        <v>3955</v>
      </c>
      <c r="L426" s="513" t="s">
        <v>3956</v>
      </c>
      <c r="M426" s="545" t="s">
        <v>3957</v>
      </c>
      <c r="N426" s="513"/>
    </row>
    <row r="427" spans="1:14" ht="75">
      <c r="A427" s="694">
        <v>11</v>
      </c>
      <c r="B427" s="706"/>
      <c r="C427" s="696"/>
      <c r="D427" s="511" t="s">
        <v>3958</v>
      </c>
      <c r="E427" s="511" t="s">
        <v>3959</v>
      </c>
      <c r="F427" s="513">
        <v>745.38400000000001</v>
      </c>
      <c r="G427" s="513"/>
      <c r="H427" s="513" t="s">
        <v>3960</v>
      </c>
      <c r="I427" s="518" t="s">
        <v>3924</v>
      </c>
      <c r="J427" s="513" t="s">
        <v>1737</v>
      </c>
      <c r="K427" s="513" t="s">
        <v>3594</v>
      </c>
      <c r="L427" s="513">
        <v>83195</v>
      </c>
      <c r="M427" s="545" t="s">
        <v>3961</v>
      </c>
      <c r="N427" s="513"/>
    </row>
    <row r="428" spans="1:14" ht="45">
      <c r="A428" s="694"/>
      <c r="B428" s="706"/>
      <c r="C428" s="696"/>
      <c r="D428" s="511" t="s">
        <v>3962</v>
      </c>
      <c r="E428" s="511" t="s">
        <v>3963</v>
      </c>
      <c r="F428" s="513">
        <v>156.952</v>
      </c>
      <c r="G428" s="513"/>
      <c r="H428" s="513" t="s">
        <v>3634</v>
      </c>
      <c r="I428" s="518" t="s">
        <v>3924</v>
      </c>
      <c r="J428" s="513" t="s">
        <v>1737</v>
      </c>
      <c r="K428" s="513" t="s">
        <v>3275</v>
      </c>
      <c r="L428" s="513">
        <v>16000</v>
      </c>
      <c r="M428" s="545" t="s">
        <v>3964</v>
      </c>
      <c r="N428" s="513"/>
    </row>
    <row r="429" spans="1:14" ht="45">
      <c r="A429" s="694"/>
      <c r="B429" s="706"/>
      <c r="C429" s="696"/>
      <c r="D429" s="511" t="s">
        <v>3965</v>
      </c>
      <c r="E429" s="511" t="s">
        <v>3966</v>
      </c>
      <c r="F429" s="513">
        <v>140.64132000000001</v>
      </c>
      <c r="G429" s="513"/>
      <c r="H429" s="513" t="s">
        <v>3967</v>
      </c>
      <c r="I429" s="518" t="s">
        <v>3924</v>
      </c>
      <c r="J429" s="513" t="s">
        <v>1737</v>
      </c>
      <c r="K429" s="513" t="s">
        <v>3968</v>
      </c>
      <c r="L429" s="513">
        <v>13375</v>
      </c>
      <c r="M429" s="545" t="s">
        <v>3969</v>
      </c>
      <c r="N429" s="513"/>
    </row>
    <row r="430" spans="1:14" ht="45">
      <c r="A430" s="694"/>
      <c r="B430" s="706"/>
      <c r="C430" s="696"/>
      <c r="D430" s="511" t="s">
        <v>3970</v>
      </c>
      <c r="E430" s="511" t="s">
        <v>3971</v>
      </c>
      <c r="F430" s="23">
        <v>156.4</v>
      </c>
      <c r="G430" s="513"/>
      <c r="H430" s="513" t="s">
        <v>3967</v>
      </c>
      <c r="I430" s="518" t="s">
        <v>3924</v>
      </c>
      <c r="J430" s="513" t="s">
        <v>1737</v>
      </c>
      <c r="K430" s="513" t="s">
        <v>3968</v>
      </c>
      <c r="L430" s="513">
        <v>18700</v>
      </c>
      <c r="M430" s="545" t="s">
        <v>3972</v>
      </c>
      <c r="N430" s="513"/>
    </row>
    <row r="431" spans="1:14" ht="165">
      <c r="A431" s="513">
        <v>12</v>
      </c>
      <c r="B431" s="706"/>
      <c r="C431" s="696"/>
      <c r="D431" s="511" t="s">
        <v>3973</v>
      </c>
      <c r="E431" s="511" t="s">
        <v>3974</v>
      </c>
      <c r="F431" s="513">
        <v>1088</v>
      </c>
      <c r="G431" s="513">
        <v>1044</v>
      </c>
      <c r="H431" s="513" t="s">
        <v>2965</v>
      </c>
      <c r="I431" s="518" t="s">
        <v>3924</v>
      </c>
      <c r="J431" s="513" t="s">
        <v>1737</v>
      </c>
      <c r="K431" s="513" t="s">
        <v>3975</v>
      </c>
      <c r="L431" s="513">
        <v>639530</v>
      </c>
      <c r="M431" s="545" t="s">
        <v>3976</v>
      </c>
      <c r="N431" s="513"/>
    </row>
    <row r="432" spans="1:14" ht="150">
      <c r="A432" s="513">
        <v>13</v>
      </c>
      <c r="B432" s="706"/>
      <c r="C432" s="696"/>
      <c r="D432" s="511" t="s">
        <v>3977</v>
      </c>
      <c r="E432" s="511" t="s">
        <v>3978</v>
      </c>
      <c r="F432" s="513">
        <v>1140</v>
      </c>
      <c r="G432" s="513">
        <v>1059</v>
      </c>
      <c r="H432" s="513" t="s">
        <v>3979</v>
      </c>
      <c r="I432" s="518" t="s">
        <v>3924</v>
      </c>
      <c r="J432" s="513" t="s">
        <v>1737</v>
      </c>
      <c r="K432" s="513" t="s">
        <v>3980</v>
      </c>
      <c r="L432" s="513" t="s">
        <v>3981</v>
      </c>
      <c r="M432" s="545" t="s">
        <v>3982</v>
      </c>
      <c r="N432" s="513"/>
    </row>
    <row r="433" spans="1:14" ht="15.75" customHeight="1">
      <c r="A433" s="513">
        <v>14</v>
      </c>
      <c r="B433" s="706"/>
      <c r="C433" s="696"/>
      <c r="D433" s="511" t="s">
        <v>3983</v>
      </c>
      <c r="E433" s="511" t="s">
        <v>3984</v>
      </c>
      <c r="F433" s="513">
        <v>1204.4000000000001</v>
      </c>
      <c r="G433" s="513">
        <v>1088.08</v>
      </c>
      <c r="H433" s="513" t="s">
        <v>2766</v>
      </c>
      <c r="I433" s="518" t="s">
        <v>3924</v>
      </c>
      <c r="J433" s="513" t="s">
        <v>1737</v>
      </c>
      <c r="K433" s="513" t="s">
        <v>1734</v>
      </c>
      <c r="L433" s="513" t="s">
        <v>3985</v>
      </c>
      <c r="M433" s="545" t="s">
        <v>3986</v>
      </c>
      <c r="N433" s="513"/>
    </row>
    <row r="434" spans="1:14" ht="105">
      <c r="A434" s="513">
        <v>15</v>
      </c>
      <c r="B434" s="706"/>
      <c r="C434" s="696"/>
      <c r="D434" s="511" t="s">
        <v>3987</v>
      </c>
      <c r="E434" s="511" t="s">
        <v>3988</v>
      </c>
      <c r="F434" s="513">
        <v>1044</v>
      </c>
      <c r="G434" s="513">
        <v>1032</v>
      </c>
      <c r="H434" s="513" t="s">
        <v>3989</v>
      </c>
      <c r="I434" s="518" t="s">
        <v>3924</v>
      </c>
      <c r="J434" s="513" t="s">
        <v>1737</v>
      </c>
      <c r="K434" s="513" t="s">
        <v>3990</v>
      </c>
      <c r="L434" s="513" t="s">
        <v>3991</v>
      </c>
      <c r="M434" s="545" t="s">
        <v>3992</v>
      </c>
      <c r="N434" s="513"/>
    </row>
    <row r="435" spans="1:14" ht="60">
      <c r="A435" s="513">
        <v>16</v>
      </c>
      <c r="B435" s="706"/>
      <c r="C435" s="696"/>
      <c r="D435" s="511" t="s">
        <v>3993</v>
      </c>
      <c r="E435" s="511" t="s">
        <v>3994</v>
      </c>
      <c r="F435" s="513">
        <v>90</v>
      </c>
      <c r="G435" s="513">
        <v>65</v>
      </c>
      <c r="H435" s="513" t="s">
        <v>3995</v>
      </c>
      <c r="I435" s="518" t="s">
        <v>3924</v>
      </c>
      <c r="J435" s="513" t="s">
        <v>1737</v>
      </c>
      <c r="K435" s="513" t="s">
        <v>3996</v>
      </c>
      <c r="L435" s="543">
        <v>38600</v>
      </c>
      <c r="M435" s="545" t="s">
        <v>3997</v>
      </c>
      <c r="N435" s="513"/>
    </row>
    <row r="436" spans="1:14" ht="60">
      <c r="A436" s="513">
        <v>17</v>
      </c>
      <c r="B436" s="706"/>
      <c r="C436" s="696"/>
      <c r="D436" s="511" t="s">
        <v>3998</v>
      </c>
      <c r="E436" s="511" t="s">
        <v>3994</v>
      </c>
      <c r="F436" s="513">
        <v>90</v>
      </c>
      <c r="G436" s="513">
        <v>65</v>
      </c>
      <c r="H436" s="513" t="s">
        <v>3995</v>
      </c>
      <c r="I436" s="518" t="s">
        <v>3924</v>
      </c>
      <c r="J436" s="513" t="s">
        <v>1737</v>
      </c>
      <c r="K436" s="513" t="s">
        <v>3996</v>
      </c>
      <c r="L436" s="513" t="s">
        <v>3999</v>
      </c>
      <c r="M436" s="545" t="s">
        <v>3997</v>
      </c>
      <c r="N436" s="513"/>
    </row>
    <row r="437" spans="1:14" ht="105">
      <c r="A437" s="513">
        <v>18</v>
      </c>
      <c r="B437" s="706"/>
      <c r="C437" s="696"/>
      <c r="D437" s="511" t="s">
        <v>7132</v>
      </c>
      <c r="E437" s="511" t="s">
        <v>4000</v>
      </c>
      <c r="F437" s="539">
        <v>1479</v>
      </c>
      <c r="G437" s="513">
        <v>1738</v>
      </c>
      <c r="H437" s="513" t="s">
        <v>2766</v>
      </c>
      <c r="I437" s="513" t="s">
        <v>6528</v>
      </c>
      <c r="J437" s="539" t="s">
        <v>1737</v>
      </c>
      <c r="K437" s="500" t="s">
        <v>3695</v>
      </c>
      <c r="L437" s="513" t="s">
        <v>4001</v>
      </c>
      <c r="M437" s="500" t="s">
        <v>4002</v>
      </c>
      <c r="N437" s="513"/>
    </row>
    <row r="438" spans="1:14">
      <c r="A438" s="694">
        <v>19</v>
      </c>
      <c r="B438" s="706"/>
      <c r="C438" s="696" t="s">
        <v>7131</v>
      </c>
      <c r="D438" s="511" t="s">
        <v>7133</v>
      </c>
      <c r="E438" s="696" t="s">
        <v>4003</v>
      </c>
      <c r="F438" s="726">
        <v>945</v>
      </c>
      <c r="G438" s="694">
        <v>945</v>
      </c>
      <c r="H438" s="694" t="s">
        <v>2937</v>
      </c>
      <c r="I438" s="694" t="s">
        <v>3924</v>
      </c>
      <c r="J438" s="726" t="s">
        <v>1737</v>
      </c>
      <c r="K438" s="595" t="s">
        <v>4004</v>
      </c>
      <c r="L438" s="694" t="s">
        <v>4005</v>
      </c>
      <c r="M438" s="694" t="s">
        <v>4006</v>
      </c>
      <c r="N438" s="694"/>
    </row>
    <row r="439" spans="1:14">
      <c r="A439" s="694"/>
      <c r="B439" s="706"/>
      <c r="C439" s="696"/>
      <c r="D439" s="511" t="s">
        <v>4007</v>
      </c>
      <c r="E439" s="696"/>
      <c r="F439" s="726"/>
      <c r="G439" s="694"/>
      <c r="H439" s="694"/>
      <c r="I439" s="694"/>
      <c r="J439" s="726"/>
      <c r="K439" s="595"/>
      <c r="L439" s="694"/>
      <c r="M439" s="694"/>
      <c r="N439" s="694"/>
    </row>
    <row r="440" spans="1:14">
      <c r="A440" s="694"/>
      <c r="B440" s="706"/>
      <c r="C440" s="696"/>
      <c r="D440" s="511" t="s">
        <v>4008</v>
      </c>
      <c r="E440" s="696"/>
      <c r="F440" s="726"/>
      <c r="G440" s="694"/>
      <c r="H440" s="694"/>
      <c r="I440" s="694"/>
      <c r="J440" s="726"/>
      <c r="K440" s="595"/>
      <c r="L440" s="694"/>
      <c r="M440" s="694"/>
      <c r="N440" s="694"/>
    </row>
    <row r="441" spans="1:14">
      <c r="A441" s="694"/>
      <c r="B441" s="706"/>
      <c r="C441" s="696"/>
      <c r="D441" s="511" t="s">
        <v>4009</v>
      </c>
      <c r="E441" s="696"/>
      <c r="F441" s="726"/>
      <c r="G441" s="694"/>
      <c r="H441" s="694"/>
      <c r="I441" s="694"/>
      <c r="J441" s="726"/>
      <c r="K441" s="595"/>
      <c r="L441" s="694"/>
      <c r="M441" s="694"/>
      <c r="N441" s="694"/>
    </row>
    <row r="442" spans="1:14">
      <c r="A442" s="694"/>
      <c r="B442" s="706"/>
      <c r="C442" s="696"/>
      <c r="D442" s="511" t="s">
        <v>4010</v>
      </c>
      <c r="E442" s="696"/>
      <c r="F442" s="726"/>
      <c r="G442" s="694"/>
      <c r="H442" s="694"/>
      <c r="I442" s="694"/>
      <c r="J442" s="726"/>
      <c r="K442" s="595"/>
      <c r="L442" s="694"/>
      <c r="M442" s="694"/>
      <c r="N442" s="694"/>
    </row>
    <row r="443" spans="1:14">
      <c r="A443" s="694"/>
      <c r="B443" s="706"/>
      <c r="C443" s="696"/>
      <c r="D443" s="511" t="s">
        <v>4011</v>
      </c>
      <c r="E443" s="696"/>
      <c r="F443" s="726"/>
      <c r="G443" s="694"/>
      <c r="H443" s="694"/>
      <c r="I443" s="694"/>
      <c r="J443" s="726"/>
      <c r="K443" s="595"/>
      <c r="L443" s="694"/>
      <c r="M443" s="694"/>
      <c r="N443" s="694"/>
    </row>
    <row r="444" spans="1:14">
      <c r="A444" s="694">
        <v>20</v>
      </c>
      <c r="B444" s="706"/>
      <c r="C444" s="696"/>
      <c r="D444" s="511" t="s">
        <v>7134</v>
      </c>
      <c r="E444" s="696" t="s">
        <v>4012</v>
      </c>
      <c r="F444" s="756">
        <f>15400/10.764</f>
        <v>1430.6949089557786</v>
      </c>
      <c r="G444" s="777">
        <f>15400/10.764</f>
        <v>1430.6949089557786</v>
      </c>
      <c r="H444" s="694" t="s">
        <v>3620</v>
      </c>
      <c r="I444" s="694" t="s">
        <v>3924</v>
      </c>
      <c r="J444" s="726" t="s">
        <v>1737</v>
      </c>
      <c r="K444" s="595" t="s">
        <v>4013</v>
      </c>
      <c r="L444" s="694" t="s">
        <v>4014</v>
      </c>
      <c r="M444" s="694">
        <v>219</v>
      </c>
      <c r="N444" s="739" t="s">
        <v>4015</v>
      </c>
    </row>
    <row r="445" spans="1:14">
      <c r="A445" s="694"/>
      <c r="B445" s="706"/>
      <c r="C445" s="696"/>
      <c r="D445" s="511" t="s">
        <v>4016</v>
      </c>
      <c r="E445" s="696"/>
      <c r="F445" s="756"/>
      <c r="G445" s="777"/>
      <c r="H445" s="694"/>
      <c r="I445" s="694"/>
      <c r="J445" s="726"/>
      <c r="K445" s="595"/>
      <c r="L445" s="694"/>
      <c r="M445" s="694"/>
      <c r="N445" s="739"/>
    </row>
    <row r="446" spans="1:14" ht="30">
      <c r="A446" s="694"/>
      <c r="B446" s="706"/>
      <c r="C446" s="696"/>
      <c r="D446" s="511" t="s">
        <v>4017</v>
      </c>
      <c r="E446" s="696"/>
      <c r="F446" s="756"/>
      <c r="G446" s="777"/>
      <c r="H446" s="694"/>
      <c r="I446" s="694"/>
      <c r="J446" s="726"/>
      <c r="K446" s="595"/>
      <c r="L446" s="694"/>
      <c r="M446" s="694"/>
      <c r="N446" s="739"/>
    </row>
    <row r="447" spans="1:14" ht="30">
      <c r="A447" s="694"/>
      <c r="B447" s="706"/>
      <c r="C447" s="696"/>
      <c r="D447" s="511" t="s">
        <v>4018</v>
      </c>
      <c r="E447" s="696"/>
      <c r="F447" s="756"/>
      <c r="G447" s="777"/>
      <c r="H447" s="694"/>
      <c r="I447" s="694"/>
      <c r="J447" s="726"/>
      <c r="K447" s="595"/>
      <c r="L447" s="694"/>
      <c r="M447" s="694"/>
      <c r="N447" s="739"/>
    </row>
    <row r="448" spans="1:14">
      <c r="A448" s="694"/>
      <c r="B448" s="706"/>
      <c r="C448" s="696"/>
      <c r="D448" s="511" t="s">
        <v>4019</v>
      </c>
      <c r="E448" s="696"/>
      <c r="F448" s="756"/>
      <c r="G448" s="777"/>
      <c r="H448" s="694"/>
      <c r="I448" s="694"/>
      <c r="J448" s="726"/>
      <c r="K448" s="595"/>
      <c r="L448" s="694"/>
      <c r="M448" s="694"/>
      <c r="N448" s="739"/>
    </row>
    <row r="449" spans="1:14">
      <c r="A449" s="694"/>
      <c r="B449" s="706"/>
      <c r="C449" s="696"/>
      <c r="D449" s="511" t="s">
        <v>4020</v>
      </c>
      <c r="E449" s="696"/>
      <c r="F449" s="756"/>
      <c r="G449" s="777"/>
      <c r="H449" s="694"/>
      <c r="I449" s="694"/>
      <c r="J449" s="726"/>
      <c r="K449" s="595"/>
      <c r="L449" s="694"/>
      <c r="M449" s="694"/>
      <c r="N449" s="739"/>
    </row>
    <row r="450" spans="1:14">
      <c r="A450" s="694">
        <v>21</v>
      </c>
      <c r="B450" s="706"/>
      <c r="C450" s="696"/>
      <c r="D450" s="511" t="s">
        <v>7135</v>
      </c>
      <c r="E450" s="696" t="s">
        <v>4021</v>
      </c>
      <c r="F450" s="756">
        <f>15000/10.764</f>
        <v>1393.5340022296546</v>
      </c>
      <c r="G450" s="777">
        <f>15000/10.764</f>
        <v>1393.5340022296546</v>
      </c>
      <c r="H450" s="694" t="s">
        <v>3620</v>
      </c>
      <c r="I450" s="694" t="s">
        <v>3924</v>
      </c>
      <c r="J450" s="726" t="s">
        <v>1737</v>
      </c>
      <c r="K450" s="595" t="s">
        <v>4013</v>
      </c>
      <c r="L450" s="694"/>
      <c r="M450" s="694"/>
      <c r="N450" s="739"/>
    </row>
    <row r="451" spans="1:14">
      <c r="A451" s="694"/>
      <c r="B451" s="706"/>
      <c r="C451" s="696"/>
      <c r="D451" s="511" t="s">
        <v>4022</v>
      </c>
      <c r="E451" s="696"/>
      <c r="F451" s="756"/>
      <c r="G451" s="777"/>
      <c r="H451" s="694"/>
      <c r="I451" s="694"/>
      <c r="J451" s="726"/>
      <c r="K451" s="595"/>
      <c r="L451" s="694"/>
      <c r="M451" s="694"/>
      <c r="N451" s="739"/>
    </row>
    <row r="452" spans="1:14">
      <c r="A452" s="694"/>
      <c r="B452" s="706"/>
      <c r="C452" s="696"/>
      <c r="D452" s="511" t="s">
        <v>4023</v>
      </c>
      <c r="E452" s="696"/>
      <c r="F452" s="756"/>
      <c r="G452" s="777"/>
      <c r="H452" s="694"/>
      <c r="I452" s="694"/>
      <c r="J452" s="726"/>
      <c r="K452" s="595"/>
      <c r="L452" s="694"/>
      <c r="M452" s="694"/>
      <c r="N452" s="739"/>
    </row>
    <row r="453" spans="1:14">
      <c r="A453" s="694"/>
      <c r="B453" s="706"/>
      <c r="C453" s="696"/>
      <c r="D453" s="511" t="s">
        <v>4024</v>
      </c>
      <c r="E453" s="696"/>
      <c r="F453" s="756"/>
      <c r="G453" s="777"/>
      <c r="H453" s="694"/>
      <c r="I453" s="694"/>
      <c r="J453" s="726"/>
      <c r="K453" s="595"/>
      <c r="L453" s="694"/>
      <c r="M453" s="694"/>
      <c r="N453" s="739"/>
    </row>
    <row r="454" spans="1:14">
      <c r="A454" s="694"/>
      <c r="B454" s="706"/>
      <c r="C454" s="696"/>
      <c r="D454" s="511" t="s">
        <v>4025</v>
      </c>
      <c r="E454" s="696"/>
      <c r="F454" s="756"/>
      <c r="G454" s="777"/>
      <c r="H454" s="694"/>
      <c r="I454" s="694"/>
      <c r="J454" s="726"/>
      <c r="K454" s="595"/>
      <c r="L454" s="694"/>
      <c r="M454" s="694"/>
      <c r="N454" s="739"/>
    </row>
    <row r="455" spans="1:14" ht="60">
      <c r="A455" s="694"/>
      <c r="B455" s="706"/>
      <c r="C455" s="696"/>
      <c r="D455" s="511" t="s">
        <v>4026</v>
      </c>
      <c r="E455" s="511" t="s">
        <v>4027</v>
      </c>
      <c r="F455" s="539">
        <v>140</v>
      </c>
      <c r="G455" s="543">
        <v>140</v>
      </c>
      <c r="H455" s="513" t="s">
        <v>2923</v>
      </c>
      <c r="I455" s="518" t="s">
        <v>3924</v>
      </c>
      <c r="J455" s="513" t="s">
        <v>1737</v>
      </c>
      <c r="K455" s="500" t="s">
        <v>3165</v>
      </c>
      <c r="L455" s="513" t="s">
        <v>4028</v>
      </c>
      <c r="M455" s="513">
        <v>214</v>
      </c>
      <c r="N455" s="513"/>
    </row>
    <row r="456" spans="1:14">
      <c r="A456" s="513">
        <v>22</v>
      </c>
      <c r="B456" s="706"/>
      <c r="C456" s="696"/>
      <c r="D456" s="511" t="s">
        <v>7136</v>
      </c>
      <c r="E456" s="696" t="s">
        <v>4029</v>
      </c>
      <c r="F456" s="756">
        <f>5600/10.764</f>
        <v>520.25269416573769</v>
      </c>
      <c r="G456" s="694">
        <v>520</v>
      </c>
      <c r="H456" s="694" t="s">
        <v>2937</v>
      </c>
      <c r="I456" s="694" t="s">
        <v>3924</v>
      </c>
      <c r="J456" s="726" t="s">
        <v>1737</v>
      </c>
      <c r="K456" s="595" t="s">
        <v>3159</v>
      </c>
      <c r="L456" s="694" t="s">
        <v>4030</v>
      </c>
      <c r="M456" s="694">
        <v>139</v>
      </c>
      <c r="N456" s="739" t="s">
        <v>4031</v>
      </c>
    </row>
    <row r="457" spans="1:14">
      <c r="A457" s="513">
        <v>23</v>
      </c>
      <c r="B457" s="706"/>
      <c r="C457" s="696"/>
      <c r="D457" s="511" t="s">
        <v>4032</v>
      </c>
      <c r="E457" s="696"/>
      <c r="F457" s="756"/>
      <c r="G457" s="694"/>
      <c r="H457" s="694"/>
      <c r="I457" s="694"/>
      <c r="J457" s="726"/>
      <c r="K457" s="595"/>
      <c r="L457" s="694"/>
      <c r="M457" s="694"/>
      <c r="N457" s="739"/>
    </row>
    <row r="458" spans="1:14" ht="30">
      <c r="A458" s="513">
        <v>24</v>
      </c>
      <c r="B458" s="706"/>
      <c r="C458" s="696"/>
      <c r="D458" s="511" t="s">
        <v>4033</v>
      </c>
      <c r="E458" s="511" t="s">
        <v>4034</v>
      </c>
      <c r="F458" s="540">
        <f>1800/10.764</f>
        <v>167.22408026755855</v>
      </c>
      <c r="G458" s="541">
        <v>167</v>
      </c>
      <c r="H458" s="513" t="s">
        <v>4035</v>
      </c>
      <c r="I458" s="694"/>
      <c r="J458" s="513" t="s">
        <v>1737</v>
      </c>
      <c r="K458" s="500" t="s">
        <v>2771</v>
      </c>
      <c r="L458" s="513" t="s">
        <v>4036</v>
      </c>
      <c r="M458" s="513">
        <v>31</v>
      </c>
      <c r="N458" s="739"/>
    </row>
    <row r="459" spans="1:14" ht="48">
      <c r="A459" s="513">
        <v>25</v>
      </c>
      <c r="B459" s="706"/>
      <c r="C459" s="696"/>
      <c r="D459" s="511" t="s">
        <v>4037</v>
      </c>
      <c r="E459" s="511" t="s">
        <v>4038</v>
      </c>
      <c r="F459" s="540">
        <f>1800/10.764</f>
        <v>167.22408026755855</v>
      </c>
      <c r="G459" s="541">
        <v>167</v>
      </c>
      <c r="H459" s="513" t="s">
        <v>2766</v>
      </c>
      <c r="I459" s="694"/>
      <c r="J459" s="513" t="s">
        <v>1737</v>
      </c>
      <c r="K459" s="500" t="s">
        <v>1734</v>
      </c>
      <c r="L459" s="513" t="s">
        <v>4039</v>
      </c>
      <c r="M459" s="513">
        <v>178</v>
      </c>
      <c r="N459" s="531"/>
    </row>
    <row r="460" spans="1:14" ht="45">
      <c r="A460" s="513">
        <v>26</v>
      </c>
      <c r="B460" s="706"/>
      <c r="C460" s="696"/>
      <c r="D460" s="511" t="s">
        <v>4040</v>
      </c>
      <c r="E460" s="511" t="s">
        <v>4041</v>
      </c>
      <c r="F460" s="540">
        <f>1800/10.764</f>
        <v>167.22408026755855</v>
      </c>
      <c r="G460" s="541">
        <v>167</v>
      </c>
      <c r="H460" s="513" t="s">
        <v>2950</v>
      </c>
      <c r="I460" s="694"/>
      <c r="J460" s="513" t="s">
        <v>1737</v>
      </c>
      <c r="K460" s="500" t="s">
        <v>3160</v>
      </c>
      <c r="L460" s="513" t="s">
        <v>4042</v>
      </c>
      <c r="M460" s="513">
        <v>173</v>
      </c>
      <c r="N460" s="531"/>
    </row>
    <row r="461" spans="1:14" ht="63">
      <c r="A461" s="513">
        <v>27</v>
      </c>
      <c r="B461" s="706"/>
      <c r="C461" s="696"/>
      <c r="D461" s="511" t="s">
        <v>4043</v>
      </c>
      <c r="E461" s="511" t="s">
        <v>4044</v>
      </c>
      <c r="F461" s="540">
        <f>2040/10.764</f>
        <v>189.52062430323301</v>
      </c>
      <c r="G461" s="541">
        <f>2040/10.764</f>
        <v>189.52062430323301</v>
      </c>
      <c r="H461" s="513" t="s">
        <v>2923</v>
      </c>
      <c r="I461" s="694"/>
      <c r="J461" s="513" t="s">
        <v>1737</v>
      </c>
      <c r="K461" s="500" t="s">
        <v>2924</v>
      </c>
      <c r="L461" s="513" t="s">
        <v>4045</v>
      </c>
      <c r="M461" s="513">
        <v>197</v>
      </c>
      <c r="N461" s="531"/>
    </row>
    <row r="462" spans="1:14">
      <c r="A462" s="513">
        <v>23</v>
      </c>
      <c r="B462" s="706"/>
      <c r="C462" s="696"/>
      <c r="D462" s="511" t="s">
        <v>7137</v>
      </c>
      <c r="E462" s="696" t="s">
        <v>4046</v>
      </c>
      <c r="F462" s="726">
        <v>1069</v>
      </c>
      <c r="G462" s="694">
        <v>951</v>
      </c>
      <c r="H462" s="694" t="s">
        <v>3214</v>
      </c>
      <c r="I462" s="694" t="s">
        <v>3924</v>
      </c>
      <c r="J462" s="726" t="s">
        <v>1737</v>
      </c>
      <c r="K462" s="595" t="s">
        <v>1789</v>
      </c>
      <c r="L462" s="763" t="s">
        <v>4047</v>
      </c>
      <c r="M462" s="694">
        <v>235</v>
      </c>
      <c r="N462" s="739"/>
    </row>
    <row r="463" spans="1:14">
      <c r="A463" s="513">
        <v>24</v>
      </c>
      <c r="B463" s="706"/>
      <c r="C463" s="696"/>
      <c r="D463" s="511" t="s">
        <v>4048</v>
      </c>
      <c r="E463" s="696"/>
      <c r="F463" s="726"/>
      <c r="G463" s="694"/>
      <c r="H463" s="694"/>
      <c r="I463" s="694"/>
      <c r="J463" s="726"/>
      <c r="K463" s="595"/>
      <c r="L463" s="763"/>
      <c r="M463" s="694"/>
      <c r="N463" s="739"/>
    </row>
    <row r="464" spans="1:14">
      <c r="A464" s="513">
        <v>25</v>
      </c>
      <c r="B464" s="706"/>
      <c r="C464" s="696"/>
      <c r="D464" s="511" t="s">
        <v>4049</v>
      </c>
      <c r="E464" s="696"/>
      <c r="F464" s="726"/>
      <c r="G464" s="694"/>
      <c r="H464" s="694"/>
      <c r="I464" s="694"/>
      <c r="J464" s="726"/>
      <c r="K464" s="595"/>
      <c r="L464" s="763"/>
      <c r="M464" s="694"/>
      <c r="N464" s="739"/>
    </row>
    <row r="465" spans="1:14" ht="75">
      <c r="A465" s="513">
        <v>26</v>
      </c>
      <c r="B465" s="706"/>
      <c r="C465" s="696"/>
      <c r="D465" s="511" t="s">
        <v>4050</v>
      </c>
      <c r="E465" s="511" t="s">
        <v>4051</v>
      </c>
      <c r="F465" s="539">
        <v>167</v>
      </c>
      <c r="G465" s="513">
        <v>133</v>
      </c>
      <c r="H465" s="513" t="s">
        <v>4052</v>
      </c>
      <c r="I465" s="694"/>
      <c r="J465" s="513" t="s">
        <v>1737</v>
      </c>
      <c r="K465" s="500" t="s">
        <v>4053</v>
      </c>
      <c r="L465" s="543" t="s">
        <v>4054</v>
      </c>
      <c r="M465" s="513">
        <v>119</v>
      </c>
      <c r="N465" s="531"/>
    </row>
    <row r="466" spans="1:14" ht="30">
      <c r="A466" s="513">
        <v>27</v>
      </c>
      <c r="B466" s="706"/>
      <c r="C466" s="696"/>
      <c r="D466" s="511" t="s">
        <v>4055</v>
      </c>
      <c r="E466" s="511" t="s">
        <v>4056</v>
      </c>
      <c r="F466" s="539">
        <v>167</v>
      </c>
      <c r="G466" s="513">
        <v>195</v>
      </c>
      <c r="H466" s="513" t="s">
        <v>2965</v>
      </c>
      <c r="I466" s="694"/>
      <c r="J466" s="513" t="s">
        <v>1737</v>
      </c>
      <c r="K466" s="500" t="s">
        <v>3475</v>
      </c>
      <c r="L466" s="543" t="s">
        <v>4057</v>
      </c>
      <c r="M466" s="513">
        <v>215</v>
      </c>
      <c r="N466" s="531"/>
    </row>
    <row r="467" spans="1:14" ht="90">
      <c r="A467" s="513">
        <v>28</v>
      </c>
      <c r="B467" s="706"/>
      <c r="C467" s="696"/>
      <c r="D467" s="511" t="s">
        <v>4058</v>
      </c>
      <c r="E467" s="511" t="s">
        <v>4059</v>
      </c>
      <c r="F467" s="539">
        <v>167</v>
      </c>
      <c r="G467" s="513">
        <v>144</v>
      </c>
      <c r="H467" s="513" t="s">
        <v>4060</v>
      </c>
      <c r="I467" s="694"/>
      <c r="J467" s="513" t="s">
        <v>1737</v>
      </c>
      <c r="K467" s="500" t="s">
        <v>2828</v>
      </c>
      <c r="L467" s="543" t="s">
        <v>4061</v>
      </c>
      <c r="M467" s="513">
        <v>74</v>
      </c>
      <c r="N467" s="531" t="s">
        <v>4031</v>
      </c>
    </row>
    <row r="468" spans="1:14">
      <c r="A468" s="694">
        <v>29</v>
      </c>
      <c r="B468" s="706"/>
      <c r="C468" s="696"/>
      <c r="D468" s="511" t="s">
        <v>7138</v>
      </c>
      <c r="E468" s="696" t="s">
        <v>4062</v>
      </c>
      <c r="F468" s="756">
        <v>1115.2</v>
      </c>
      <c r="G468" s="694">
        <v>1449</v>
      </c>
      <c r="H468" s="694" t="s">
        <v>2875</v>
      </c>
      <c r="I468" s="694" t="s">
        <v>3924</v>
      </c>
      <c r="J468" s="726" t="s">
        <v>1737</v>
      </c>
      <c r="K468" s="595" t="s">
        <v>2910</v>
      </c>
      <c r="L468" s="763" t="s">
        <v>4063</v>
      </c>
      <c r="M468" s="694">
        <v>291</v>
      </c>
      <c r="N468" s="739"/>
    </row>
    <row r="469" spans="1:14">
      <c r="A469" s="694"/>
      <c r="B469" s="706"/>
      <c r="C469" s="696"/>
      <c r="D469" s="511" t="s">
        <v>4064</v>
      </c>
      <c r="E469" s="696"/>
      <c r="F469" s="756"/>
      <c r="G469" s="694"/>
      <c r="H469" s="694"/>
      <c r="I469" s="694"/>
      <c r="J469" s="726"/>
      <c r="K469" s="595"/>
      <c r="L469" s="763"/>
      <c r="M469" s="694"/>
      <c r="N469" s="739"/>
    </row>
    <row r="470" spans="1:14">
      <c r="A470" s="694"/>
      <c r="B470" s="706"/>
      <c r="C470" s="696"/>
      <c r="D470" s="511" t="s">
        <v>4065</v>
      </c>
      <c r="E470" s="696"/>
      <c r="F470" s="756"/>
      <c r="G470" s="694"/>
      <c r="H470" s="694"/>
      <c r="I470" s="694"/>
      <c r="J470" s="726"/>
      <c r="K470" s="595"/>
      <c r="L470" s="763"/>
      <c r="M470" s="694"/>
      <c r="N470" s="739"/>
    </row>
    <row r="471" spans="1:14">
      <c r="A471" s="694"/>
      <c r="B471" s="706"/>
      <c r="C471" s="696"/>
      <c r="D471" s="511" t="s">
        <v>4066</v>
      </c>
      <c r="E471" s="696"/>
      <c r="F471" s="756"/>
      <c r="G471" s="694"/>
      <c r="H471" s="694"/>
      <c r="I471" s="694"/>
      <c r="J471" s="726"/>
      <c r="K471" s="595"/>
      <c r="L471" s="763"/>
      <c r="M471" s="694"/>
      <c r="N471" s="739"/>
    </row>
    <row r="472" spans="1:14">
      <c r="A472" s="694"/>
      <c r="B472" s="706"/>
      <c r="C472" s="696"/>
      <c r="D472" s="511" t="s">
        <v>4067</v>
      </c>
      <c r="E472" s="696"/>
      <c r="F472" s="756"/>
      <c r="G472" s="694"/>
      <c r="H472" s="694"/>
      <c r="I472" s="694"/>
      <c r="J472" s="726"/>
      <c r="K472" s="595"/>
      <c r="L472" s="763"/>
      <c r="M472" s="694"/>
      <c r="N472" s="739"/>
    </row>
    <row r="473" spans="1:14">
      <c r="A473" s="694"/>
      <c r="B473" s="706"/>
      <c r="C473" s="696"/>
      <c r="D473" s="511" t="s">
        <v>4068</v>
      </c>
      <c r="E473" s="696"/>
      <c r="F473" s="756"/>
      <c r="G473" s="694"/>
      <c r="H473" s="694"/>
      <c r="I473" s="694"/>
      <c r="J473" s="726"/>
      <c r="K473" s="595"/>
      <c r="L473" s="763"/>
      <c r="M473" s="694"/>
      <c r="N473" s="739"/>
    </row>
    <row r="474" spans="1:14" ht="30">
      <c r="A474" s="694">
        <v>30</v>
      </c>
      <c r="B474" s="706"/>
      <c r="C474" s="696"/>
      <c r="D474" s="511" t="s">
        <v>4069</v>
      </c>
      <c r="E474" s="696" t="s">
        <v>4070</v>
      </c>
      <c r="F474" s="756">
        <v>905</v>
      </c>
      <c r="G474" s="777">
        <v>767</v>
      </c>
      <c r="H474" s="513" t="s">
        <v>4071</v>
      </c>
      <c r="I474" s="694" t="s">
        <v>3924</v>
      </c>
      <c r="J474" s="539" t="s">
        <v>1737</v>
      </c>
      <c r="K474" s="500" t="s">
        <v>4072</v>
      </c>
      <c r="L474" s="513" t="s">
        <v>4073</v>
      </c>
      <c r="M474" s="694">
        <v>106</v>
      </c>
      <c r="N474" s="531"/>
    </row>
    <row r="475" spans="1:14" ht="90">
      <c r="A475" s="694"/>
      <c r="B475" s="706"/>
      <c r="C475" s="696"/>
      <c r="D475" s="511" t="s">
        <v>4074</v>
      </c>
      <c r="E475" s="696"/>
      <c r="F475" s="756"/>
      <c r="G475" s="777"/>
      <c r="H475" s="513" t="s">
        <v>4075</v>
      </c>
      <c r="I475" s="694"/>
      <c r="J475" s="539" t="s">
        <v>1737</v>
      </c>
      <c r="K475" s="500" t="s">
        <v>4076</v>
      </c>
      <c r="L475" s="513" t="s">
        <v>4077</v>
      </c>
      <c r="M475" s="694"/>
      <c r="N475" s="531" t="s">
        <v>4031</v>
      </c>
    </row>
    <row r="476" spans="1:14" ht="45">
      <c r="A476" s="694"/>
      <c r="B476" s="706"/>
      <c r="C476" s="696"/>
      <c r="D476" s="511" t="s">
        <v>4078</v>
      </c>
      <c r="E476" s="511" t="s">
        <v>4079</v>
      </c>
      <c r="F476" s="540">
        <v>170</v>
      </c>
      <c r="G476" s="541">
        <v>167.9</v>
      </c>
      <c r="H476" s="513" t="s">
        <v>4080</v>
      </c>
      <c r="I476" s="694"/>
      <c r="J476" s="539" t="s">
        <v>1737</v>
      </c>
      <c r="K476" s="500" t="s">
        <v>4081</v>
      </c>
      <c r="L476" s="513" t="s">
        <v>4082</v>
      </c>
      <c r="M476" s="513">
        <v>141</v>
      </c>
      <c r="N476" s="531"/>
    </row>
    <row r="477" spans="1:14" ht="75">
      <c r="A477" s="694"/>
      <c r="B477" s="706"/>
      <c r="C477" s="696"/>
      <c r="D477" s="511" t="s">
        <v>4083</v>
      </c>
      <c r="E477" s="511" t="s">
        <v>4084</v>
      </c>
      <c r="F477" s="540">
        <v>170</v>
      </c>
      <c r="G477" s="541">
        <v>157.9</v>
      </c>
      <c r="H477" s="513" t="s">
        <v>4085</v>
      </c>
      <c r="I477" s="694"/>
      <c r="J477" s="539" t="s">
        <v>1737</v>
      </c>
      <c r="K477" s="500" t="s">
        <v>4086</v>
      </c>
      <c r="L477" s="513" t="s">
        <v>4087</v>
      </c>
      <c r="M477" s="513">
        <v>129</v>
      </c>
      <c r="N477" s="531"/>
    </row>
    <row r="478" spans="1:14" ht="90">
      <c r="A478" s="694"/>
      <c r="B478" s="706"/>
      <c r="C478" s="696"/>
      <c r="D478" s="511" t="s">
        <v>4088</v>
      </c>
      <c r="E478" s="511" t="s">
        <v>4089</v>
      </c>
      <c r="F478" s="540">
        <v>170</v>
      </c>
      <c r="G478" s="541">
        <v>167.6</v>
      </c>
      <c r="H478" s="513" t="s">
        <v>4080</v>
      </c>
      <c r="I478" s="694"/>
      <c r="J478" s="539" t="s">
        <v>1737</v>
      </c>
      <c r="K478" s="500" t="s">
        <v>4090</v>
      </c>
      <c r="L478" s="513" t="s">
        <v>4091</v>
      </c>
      <c r="M478" s="513">
        <v>135</v>
      </c>
      <c r="N478" s="531"/>
    </row>
    <row r="479" spans="1:14" ht="90">
      <c r="A479" s="694"/>
      <c r="B479" s="706"/>
      <c r="C479" s="696"/>
      <c r="D479" s="511" t="s">
        <v>4092</v>
      </c>
      <c r="E479" s="511" t="s">
        <v>4093</v>
      </c>
      <c r="F479" s="540">
        <v>170</v>
      </c>
      <c r="G479" s="541">
        <v>68.7</v>
      </c>
      <c r="H479" s="542" t="s">
        <v>3418</v>
      </c>
      <c r="I479" s="694"/>
      <c r="J479" s="539" t="s">
        <v>1737</v>
      </c>
      <c r="K479" s="500" t="s">
        <v>3134</v>
      </c>
      <c r="L479" s="543" t="s">
        <v>4094</v>
      </c>
      <c r="M479" s="513">
        <v>32</v>
      </c>
      <c r="N479" s="531" t="s">
        <v>4031</v>
      </c>
    </row>
    <row r="480" spans="1:14">
      <c r="A480" s="694">
        <v>31</v>
      </c>
      <c r="B480" s="706"/>
      <c r="C480" s="696"/>
      <c r="D480" s="511" t="s">
        <v>6531</v>
      </c>
      <c r="E480" s="696" t="s">
        <v>4095</v>
      </c>
      <c r="F480" s="756">
        <f>4102/10.764</f>
        <v>381.08509847640283</v>
      </c>
      <c r="G480" s="777">
        <v>381</v>
      </c>
      <c r="H480" s="764" t="s">
        <v>4096</v>
      </c>
      <c r="I480" s="714" t="s">
        <v>4097</v>
      </c>
      <c r="J480" s="726" t="s">
        <v>1742</v>
      </c>
      <c r="K480" s="595" t="s">
        <v>4098</v>
      </c>
      <c r="L480" s="694" t="s">
        <v>4099</v>
      </c>
      <c r="M480" s="694">
        <v>172</v>
      </c>
      <c r="N480" s="739"/>
    </row>
    <row r="481" spans="1:14" ht="30">
      <c r="A481" s="694"/>
      <c r="B481" s="706"/>
      <c r="C481" s="696"/>
      <c r="D481" s="511" t="s">
        <v>4100</v>
      </c>
      <c r="E481" s="696"/>
      <c r="F481" s="756"/>
      <c r="G481" s="777"/>
      <c r="H481" s="694"/>
      <c r="I481" s="694"/>
      <c r="J481" s="726"/>
      <c r="K481" s="595"/>
      <c r="L481" s="694"/>
      <c r="M481" s="694"/>
      <c r="N481" s="739"/>
    </row>
    <row r="482" spans="1:14" ht="30">
      <c r="A482" s="694"/>
      <c r="B482" s="706"/>
      <c r="C482" s="696"/>
      <c r="D482" s="511" t="s">
        <v>4101</v>
      </c>
      <c r="E482" s="696"/>
      <c r="F482" s="756"/>
      <c r="G482" s="777"/>
      <c r="H482" s="694"/>
      <c r="I482" s="694"/>
      <c r="J482" s="726"/>
      <c r="K482" s="595"/>
      <c r="L482" s="694"/>
      <c r="M482" s="694"/>
      <c r="N482" s="739"/>
    </row>
    <row r="483" spans="1:14" ht="30">
      <c r="A483" s="694"/>
      <c r="B483" s="706"/>
      <c r="C483" s="696"/>
      <c r="D483" s="511" t="s">
        <v>4102</v>
      </c>
      <c r="E483" s="511" t="s">
        <v>4103</v>
      </c>
      <c r="F483" s="540">
        <f>1055/10.764</f>
        <v>98.011891490152365</v>
      </c>
      <c r="G483" s="541">
        <v>98</v>
      </c>
      <c r="H483" s="513" t="s">
        <v>4104</v>
      </c>
      <c r="I483" s="694"/>
      <c r="J483" s="539" t="s">
        <v>1742</v>
      </c>
      <c r="K483" s="500" t="s">
        <v>4105</v>
      </c>
      <c r="L483" s="513" t="s">
        <v>4106</v>
      </c>
      <c r="M483" s="513">
        <v>122</v>
      </c>
      <c r="N483" s="531"/>
    </row>
    <row r="484" spans="1:14" ht="60">
      <c r="A484" s="694"/>
      <c r="B484" s="706"/>
      <c r="C484" s="696"/>
      <c r="D484" s="511" t="s">
        <v>4107</v>
      </c>
      <c r="E484" s="511" t="s">
        <v>4108</v>
      </c>
      <c r="F484" s="540">
        <f>2479/10.764</f>
        <v>230.30471943515423</v>
      </c>
      <c r="G484" s="541">
        <f>2479/10.764</f>
        <v>230.30471943515423</v>
      </c>
      <c r="H484" s="513" t="s">
        <v>4109</v>
      </c>
      <c r="I484" s="694"/>
      <c r="J484" s="539" t="s">
        <v>1737</v>
      </c>
      <c r="K484" s="500" t="s">
        <v>4110</v>
      </c>
      <c r="L484" s="513" t="s">
        <v>4111</v>
      </c>
      <c r="M484" s="513">
        <v>178</v>
      </c>
      <c r="N484" s="531"/>
    </row>
    <row r="485" spans="1:14" ht="90">
      <c r="A485" s="694"/>
      <c r="B485" s="706"/>
      <c r="C485" s="696"/>
      <c r="D485" s="511" t="s">
        <v>4112</v>
      </c>
      <c r="E485" s="511" t="s">
        <v>4113</v>
      </c>
      <c r="F485" s="540">
        <f>2262/10.764</f>
        <v>210.1449275362319</v>
      </c>
      <c r="G485" s="541">
        <f>2262/10.764</f>
        <v>210.1449275362319</v>
      </c>
      <c r="H485" s="513" t="s">
        <v>4109</v>
      </c>
      <c r="I485" s="694"/>
      <c r="J485" s="539" t="s">
        <v>1737</v>
      </c>
      <c r="K485" s="500" t="s">
        <v>4110</v>
      </c>
      <c r="L485" s="513" t="s">
        <v>4114</v>
      </c>
      <c r="M485" s="513">
        <v>117</v>
      </c>
      <c r="N485" s="531"/>
    </row>
    <row r="486" spans="1:14" ht="120">
      <c r="A486" s="513">
        <v>32</v>
      </c>
      <c r="B486" s="706"/>
      <c r="C486" s="696" t="s">
        <v>6529</v>
      </c>
      <c r="D486" s="511" t="s">
        <v>4115</v>
      </c>
      <c r="E486" s="511" t="s">
        <v>4116</v>
      </c>
      <c r="F486" s="513">
        <v>1808.56</v>
      </c>
      <c r="G486" s="513">
        <v>1808.56</v>
      </c>
      <c r="H486" s="513" t="s">
        <v>4117</v>
      </c>
      <c r="I486" s="513" t="s">
        <v>4115</v>
      </c>
      <c r="J486" s="513" t="s">
        <v>1737</v>
      </c>
      <c r="K486" s="513" t="s">
        <v>4118</v>
      </c>
      <c r="L486" s="543">
        <v>382107</v>
      </c>
      <c r="M486" s="545">
        <f>L486/G486</f>
        <v>211.27692750033177</v>
      </c>
      <c r="N486" s="531"/>
    </row>
    <row r="487" spans="1:14" ht="105">
      <c r="A487" s="513">
        <v>33</v>
      </c>
      <c r="B487" s="706"/>
      <c r="C487" s="696"/>
      <c r="D487" s="511" t="s">
        <v>7139</v>
      </c>
      <c r="E487" s="511" t="s">
        <v>4119</v>
      </c>
      <c r="F487" s="513">
        <v>1372.82</v>
      </c>
      <c r="G487" s="513">
        <v>1372.82</v>
      </c>
      <c r="H487" s="542" t="s">
        <v>4120</v>
      </c>
      <c r="I487" s="518" t="s">
        <v>4097</v>
      </c>
      <c r="J487" s="513" t="s">
        <v>1737</v>
      </c>
      <c r="K487" s="513" t="s">
        <v>3996</v>
      </c>
      <c r="L487" s="543">
        <v>279871</v>
      </c>
      <c r="M487" s="545">
        <f t="shared" ref="M487:M506" si="7">L487/G487</f>
        <v>203.86576535889628</v>
      </c>
      <c r="N487" s="531"/>
    </row>
    <row r="488" spans="1:14" ht="75">
      <c r="A488" s="513">
        <v>34</v>
      </c>
      <c r="B488" s="706"/>
      <c r="C488" s="696"/>
      <c r="D488" s="511" t="s">
        <v>4121</v>
      </c>
      <c r="E488" s="511" t="s">
        <v>4122</v>
      </c>
      <c r="F488" s="513">
        <v>1384.16</v>
      </c>
      <c r="G488" s="513">
        <v>1384.16</v>
      </c>
      <c r="H488" s="542" t="s">
        <v>4123</v>
      </c>
      <c r="I488" s="518" t="s">
        <v>4097</v>
      </c>
      <c r="J488" s="513" t="s">
        <v>1737</v>
      </c>
      <c r="K488" s="513" t="s">
        <v>3996</v>
      </c>
      <c r="L488" s="543">
        <v>282622</v>
      </c>
      <c r="M488" s="545">
        <f t="shared" si="7"/>
        <v>204.18304242284128</v>
      </c>
      <c r="N488" s="531"/>
    </row>
    <row r="489" spans="1:14" ht="60">
      <c r="A489" s="513">
        <v>35</v>
      </c>
      <c r="B489" s="706"/>
      <c r="C489" s="696"/>
      <c r="D489" s="499" t="s">
        <v>4124</v>
      </c>
      <c r="E489" s="511" t="s">
        <v>4125</v>
      </c>
      <c r="F489" s="513">
        <v>1117.81</v>
      </c>
      <c r="G489" s="513">
        <v>1117.81</v>
      </c>
      <c r="H489" s="542" t="s">
        <v>4126</v>
      </c>
      <c r="I489" s="518" t="s">
        <v>4097</v>
      </c>
      <c r="J489" s="513" t="s">
        <v>1737</v>
      </c>
      <c r="K489" s="513" t="s">
        <v>4127</v>
      </c>
      <c r="L489" s="543">
        <f>179093+189941</f>
        <v>369034</v>
      </c>
      <c r="M489" s="545">
        <f t="shared" si="7"/>
        <v>330.14018482568594</v>
      </c>
      <c r="N489" s="531"/>
    </row>
    <row r="490" spans="1:14" ht="60">
      <c r="A490" s="513">
        <v>36</v>
      </c>
      <c r="B490" s="706"/>
      <c r="C490" s="696"/>
      <c r="D490" s="499" t="s">
        <v>4128</v>
      </c>
      <c r="E490" s="511" t="s">
        <v>4129</v>
      </c>
      <c r="F490" s="545">
        <v>752.7</v>
      </c>
      <c r="G490" s="545">
        <v>752.7</v>
      </c>
      <c r="H490" s="513" t="s">
        <v>4130</v>
      </c>
      <c r="I490" s="694" t="s">
        <v>4097</v>
      </c>
      <c r="J490" s="513" t="s">
        <v>1737</v>
      </c>
      <c r="K490" s="513" t="s">
        <v>4131</v>
      </c>
      <c r="L490" s="543">
        <v>77000</v>
      </c>
      <c r="M490" s="545">
        <f t="shared" si="7"/>
        <v>102.29839245383286</v>
      </c>
      <c r="N490" s="531"/>
    </row>
    <row r="491" spans="1:14" ht="60">
      <c r="A491" s="513">
        <v>37</v>
      </c>
      <c r="B491" s="706"/>
      <c r="C491" s="696"/>
      <c r="D491" s="499" t="s">
        <v>4132</v>
      </c>
      <c r="E491" s="511" t="s">
        <v>4133</v>
      </c>
      <c r="F491" s="513">
        <v>158.86000000000001</v>
      </c>
      <c r="G491" s="513">
        <v>158.86000000000001</v>
      </c>
      <c r="H491" s="542" t="s">
        <v>4134</v>
      </c>
      <c r="I491" s="694"/>
      <c r="J491" s="513" t="s">
        <v>1737</v>
      </c>
      <c r="K491" s="513" t="s">
        <v>4135</v>
      </c>
      <c r="L491" s="543">
        <v>16500</v>
      </c>
      <c r="M491" s="545">
        <f t="shared" si="7"/>
        <v>103.86503839858995</v>
      </c>
      <c r="N491" s="531"/>
    </row>
    <row r="492" spans="1:14" ht="60">
      <c r="A492" s="513">
        <v>38</v>
      </c>
      <c r="B492" s="706"/>
      <c r="C492" s="696"/>
      <c r="D492" s="499" t="s">
        <v>4136</v>
      </c>
      <c r="E492" s="511" t="s">
        <v>4137</v>
      </c>
      <c r="F492" s="513">
        <v>118.54</v>
      </c>
      <c r="G492" s="513">
        <v>118.54</v>
      </c>
      <c r="H492" s="513" t="s">
        <v>4138</v>
      </c>
      <c r="I492" s="694"/>
      <c r="J492" s="513" t="s">
        <v>1737</v>
      </c>
      <c r="K492" s="513" t="s">
        <v>4139</v>
      </c>
      <c r="L492" s="543">
        <v>13900</v>
      </c>
      <c r="M492" s="545">
        <f t="shared" si="7"/>
        <v>117.25999662561161</v>
      </c>
      <c r="N492" s="531"/>
    </row>
    <row r="493" spans="1:14" ht="75">
      <c r="A493" s="513">
        <v>39</v>
      </c>
      <c r="B493" s="706"/>
      <c r="C493" s="696"/>
      <c r="D493" s="499" t="s">
        <v>4140</v>
      </c>
      <c r="E493" s="511" t="s">
        <v>4141</v>
      </c>
      <c r="F493" s="513">
        <v>143.07</v>
      </c>
      <c r="G493" s="513">
        <v>143.07</v>
      </c>
      <c r="H493" s="542" t="s">
        <v>4142</v>
      </c>
      <c r="I493" s="694"/>
      <c r="J493" s="513" t="s">
        <v>1737</v>
      </c>
      <c r="K493" s="513" t="s">
        <v>4143</v>
      </c>
      <c r="L493" s="543">
        <v>20500</v>
      </c>
      <c r="M493" s="545">
        <f t="shared" si="7"/>
        <v>143.28650311036557</v>
      </c>
      <c r="N493" s="531"/>
    </row>
    <row r="494" spans="1:14" ht="75">
      <c r="A494" s="513">
        <v>40</v>
      </c>
      <c r="B494" s="706"/>
      <c r="C494" s="696"/>
      <c r="D494" s="499" t="s">
        <v>4144</v>
      </c>
      <c r="E494" s="511" t="s">
        <v>4145</v>
      </c>
      <c r="F494" s="545">
        <v>200.4</v>
      </c>
      <c r="G494" s="545">
        <v>200.4</v>
      </c>
      <c r="H494" s="542" t="s">
        <v>4146</v>
      </c>
      <c r="I494" s="694"/>
      <c r="J494" s="513" t="s">
        <v>1737</v>
      </c>
      <c r="K494" s="513" t="s">
        <v>4147</v>
      </c>
      <c r="L494" s="543">
        <v>23500</v>
      </c>
      <c r="M494" s="545">
        <f t="shared" si="7"/>
        <v>117.26546906187625</v>
      </c>
      <c r="N494" s="531"/>
    </row>
    <row r="495" spans="1:14" ht="105">
      <c r="A495" s="513">
        <v>41</v>
      </c>
      <c r="B495" s="706"/>
      <c r="C495" s="696"/>
      <c r="D495" s="511" t="s">
        <v>4148</v>
      </c>
      <c r="E495" s="511" t="s">
        <v>4149</v>
      </c>
      <c r="F495" s="513">
        <v>929.03</v>
      </c>
      <c r="G495" s="513">
        <v>929.03</v>
      </c>
      <c r="H495" s="513" t="s">
        <v>4150</v>
      </c>
      <c r="I495" s="694" t="s">
        <v>4097</v>
      </c>
      <c r="J495" s="513" t="s">
        <v>1737</v>
      </c>
      <c r="K495" s="513" t="s">
        <v>4147</v>
      </c>
      <c r="L495" s="543">
        <v>255200</v>
      </c>
      <c r="M495" s="545">
        <f t="shared" si="7"/>
        <v>274.69511210617526</v>
      </c>
      <c r="N495" s="531"/>
    </row>
    <row r="496" spans="1:14" ht="120">
      <c r="A496" s="513">
        <v>42</v>
      </c>
      <c r="B496" s="706"/>
      <c r="C496" s="696"/>
      <c r="D496" s="511" t="s">
        <v>4151</v>
      </c>
      <c r="E496" s="511" t="s">
        <v>4152</v>
      </c>
      <c r="F496" s="513">
        <v>123.78</v>
      </c>
      <c r="G496" s="513">
        <v>123.78</v>
      </c>
      <c r="H496" s="513" t="s">
        <v>4153</v>
      </c>
      <c r="I496" s="694"/>
      <c r="J496" s="513" t="s">
        <v>1737</v>
      </c>
      <c r="K496" s="513" t="s">
        <v>4154</v>
      </c>
      <c r="L496" s="543">
        <v>8530</v>
      </c>
      <c r="M496" s="545">
        <f t="shared" si="7"/>
        <v>68.912586847632895</v>
      </c>
      <c r="N496" s="531"/>
    </row>
    <row r="497" spans="1:14" ht="120">
      <c r="A497" s="513">
        <v>43</v>
      </c>
      <c r="B497" s="706"/>
      <c r="C497" s="696"/>
      <c r="D497" s="511" t="s">
        <v>4155</v>
      </c>
      <c r="E497" s="511" t="s">
        <v>4156</v>
      </c>
      <c r="F497" s="513">
        <v>88.25</v>
      </c>
      <c r="G497" s="513">
        <v>88.25</v>
      </c>
      <c r="H497" s="513" t="s">
        <v>4157</v>
      </c>
      <c r="I497" s="694"/>
      <c r="J497" s="513" t="s">
        <v>1737</v>
      </c>
      <c r="K497" s="513" t="s">
        <v>4158</v>
      </c>
      <c r="L497" s="543">
        <v>2280</v>
      </c>
      <c r="M497" s="545">
        <f t="shared" si="7"/>
        <v>25.835694050991503</v>
      </c>
      <c r="N497" s="531"/>
    </row>
    <row r="498" spans="1:14" ht="75">
      <c r="A498" s="513">
        <v>44</v>
      </c>
      <c r="B498" s="706"/>
      <c r="C498" s="696"/>
      <c r="D498" s="511" t="s">
        <v>4159</v>
      </c>
      <c r="E498" s="511" t="s">
        <v>4160</v>
      </c>
      <c r="F498" s="513">
        <v>912.96</v>
      </c>
      <c r="G498" s="513">
        <v>912.96</v>
      </c>
      <c r="H498" s="500" t="s">
        <v>4161</v>
      </c>
      <c r="I498" s="714" t="s">
        <v>4097</v>
      </c>
      <c r="J498" s="513" t="s">
        <v>1737</v>
      </c>
      <c r="K498" s="513" t="s">
        <v>4162</v>
      </c>
      <c r="L498" s="543">
        <v>125000</v>
      </c>
      <c r="M498" s="545">
        <f t="shared" si="7"/>
        <v>136.91728005608132</v>
      </c>
      <c r="N498" s="531"/>
    </row>
    <row r="499" spans="1:14" ht="75">
      <c r="A499" s="513">
        <v>45</v>
      </c>
      <c r="B499" s="706"/>
      <c r="C499" s="696"/>
      <c r="D499" s="511" t="s">
        <v>4163</v>
      </c>
      <c r="E499" s="511" t="s">
        <v>4164</v>
      </c>
      <c r="F499" s="513">
        <v>120.77</v>
      </c>
      <c r="G499" s="513">
        <v>120.77</v>
      </c>
      <c r="H499" s="500" t="s">
        <v>4165</v>
      </c>
      <c r="I499" s="694"/>
      <c r="J499" s="513" t="s">
        <v>1737</v>
      </c>
      <c r="K499" s="513" t="s">
        <v>4166</v>
      </c>
      <c r="L499" s="543">
        <v>15000</v>
      </c>
      <c r="M499" s="545">
        <f t="shared" si="7"/>
        <v>124.20303055394552</v>
      </c>
      <c r="N499" s="531"/>
    </row>
    <row r="500" spans="1:14" ht="75">
      <c r="A500" s="513">
        <v>46</v>
      </c>
      <c r="B500" s="706"/>
      <c r="C500" s="696"/>
      <c r="D500" s="511" t="s">
        <v>4167</v>
      </c>
      <c r="E500" s="511" t="s">
        <v>4168</v>
      </c>
      <c r="F500" s="513">
        <v>120.77</v>
      </c>
      <c r="G500" s="513">
        <v>120.77</v>
      </c>
      <c r="H500" s="500" t="s">
        <v>4169</v>
      </c>
      <c r="I500" s="694"/>
      <c r="J500" s="513" t="s">
        <v>1737</v>
      </c>
      <c r="K500" s="513" t="s">
        <v>4166</v>
      </c>
      <c r="L500" s="543">
        <v>19000</v>
      </c>
      <c r="M500" s="545">
        <f t="shared" si="7"/>
        <v>157.32383870166433</v>
      </c>
      <c r="N500" s="531"/>
    </row>
    <row r="501" spans="1:14" ht="60">
      <c r="A501" s="513">
        <v>47</v>
      </c>
      <c r="B501" s="706"/>
      <c r="C501" s="696"/>
      <c r="D501" s="511" t="s">
        <v>4170</v>
      </c>
      <c r="E501" s="511" t="s">
        <v>4171</v>
      </c>
      <c r="F501" s="513">
        <v>139.35</v>
      </c>
      <c r="G501" s="513">
        <v>139.35</v>
      </c>
      <c r="H501" s="500" t="s">
        <v>4172</v>
      </c>
      <c r="I501" s="694"/>
      <c r="J501" s="513" t="s">
        <v>1737</v>
      </c>
      <c r="K501" s="513" t="s">
        <v>4173</v>
      </c>
      <c r="L501" s="543">
        <v>21000</v>
      </c>
      <c r="M501" s="545">
        <f t="shared" si="7"/>
        <v>150.69967707212058</v>
      </c>
      <c r="N501" s="531"/>
    </row>
    <row r="502" spans="1:14" ht="75">
      <c r="A502" s="513">
        <v>48</v>
      </c>
      <c r="B502" s="706"/>
      <c r="C502" s="696"/>
      <c r="D502" s="511" t="s">
        <v>4174</v>
      </c>
      <c r="E502" s="511" t="s">
        <v>4175</v>
      </c>
      <c r="F502" s="513">
        <v>141.21</v>
      </c>
      <c r="G502" s="513">
        <v>141.21</v>
      </c>
      <c r="H502" s="500" t="s">
        <v>4176</v>
      </c>
      <c r="I502" s="694"/>
      <c r="J502" s="513" t="s">
        <v>1737</v>
      </c>
      <c r="K502" s="513" t="s">
        <v>4177</v>
      </c>
      <c r="L502" s="543">
        <v>18500</v>
      </c>
      <c r="M502" s="545">
        <f t="shared" si="7"/>
        <v>131.01055166064725</v>
      </c>
      <c r="N502" s="531"/>
    </row>
    <row r="503" spans="1:14" ht="60">
      <c r="A503" s="513">
        <v>49</v>
      </c>
      <c r="B503" s="706"/>
      <c r="C503" s="696"/>
      <c r="D503" s="511" t="s">
        <v>4178</v>
      </c>
      <c r="E503" s="511" t="s">
        <v>4179</v>
      </c>
      <c r="F503" s="513">
        <v>1035.8599999999999</v>
      </c>
      <c r="G503" s="513">
        <v>1035.8599999999999</v>
      </c>
      <c r="H503" s="513" t="s">
        <v>4180</v>
      </c>
      <c r="I503" s="714" t="s">
        <v>4097</v>
      </c>
      <c r="J503" s="513" t="s">
        <v>1737</v>
      </c>
      <c r="K503" s="513" t="s">
        <v>4181</v>
      </c>
      <c r="L503" s="543">
        <v>166850</v>
      </c>
      <c r="M503" s="545">
        <f t="shared" si="7"/>
        <v>161.07389029405519</v>
      </c>
      <c r="N503" s="531"/>
    </row>
    <row r="504" spans="1:14" ht="75">
      <c r="A504" s="513">
        <v>50</v>
      </c>
      <c r="B504" s="706"/>
      <c r="C504" s="696"/>
      <c r="D504" s="511" t="s">
        <v>4182</v>
      </c>
      <c r="E504" s="511" t="s">
        <v>4183</v>
      </c>
      <c r="F504" s="513">
        <v>165.27</v>
      </c>
      <c r="G504" s="513">
        <v>165.27</v>
      </c>
      <c r="H504" s="513" t="s">
        <v>4184</v>
      </c>
      <c r="I504" s="694"/>
      <c r="J504" s="513" t="s">
        <v>1737</v>
      </c>
      <c r="K504" s="513" t="s">
        <v>4185</v>
      </c>
      <c r="L504" s="543">
        <v>16011</v>
      </c>
      <c r="M504" s="545">
        <f t="shared" si="7"/>
        <v>96.877836267925204</v>
      </c>
      <c r="N504" s="531"/>
    </row>
    <row r="505" spans="1:14" ht="75">
      <c r="A505" s="513">
        <v>51</v>
      </c>
      <c r="B505" s="706"/>
      <c r="C505" s="696"/>
      <c r="D505" s="511" t="s">
        <v>4186</v>
      </c>
      <c r="E505" s="511" t="s">
        <v>4187</v>
      </c>
      <c r="F505" s="513">
        <v>131.36000000000001</v>
      </c>
      <c r="G505" s="513">
        <v>131.36000000000001</v>
      </c>
      <c r="H505" s="513" t="s">
        <v>4188</v>
      </c>
      <c r="I505" s="694"/>
      <c r="J505" s="513" t="s">
        <v>1737</v>
      </c>
      <c r="K505" s="513" t="s">
        <v>3215</v>
      </c>
      <c r="L505" s="543">
        <v>15420</v>
      </c>
      <c r="M505" s="545">
        <f t="shared" si="7"/>
        <v>117.38733252131546</v>
      </c>
      <c r="N505" s="531"/>
    </row>
    <row r="506" spans="1:14" ht="75">
      <c r="A506" s="513">
        <v>52</v>
      </c>
      <c r="B506" s="706"/>
      <c r="C506" s="696"/>
      <c r="D506" s="511" t="s">
        <v>4189</v>
      </c>
      <c r="E506" s="511" t="s">
        <v>4190</v>
      </c>
      <c r="F506" s="513">
        <v>105.82</v>
      </c>
      <c r="G506" s="513">
        <v>105.82</v>
      </c>
      <c r="H506" s="513" t="s">
        <v>4191</v>
      </c>
      <c r="I506" s="694"/>
      <c r="J506" s="513" t="s">
        <v>1737</v>
      </c>
      <c r="K506" s="513" t="s">
        <v>3996</v>
      </c>
      <c r="L506" s="543">
        <v>16516</v>
      </c>
      <c r="M506" s="545">
        <f t="shared" si="7"/>
        <v>156.07635607635609</v>
      </c>
      <c r="N506" s="531"/>
    </row>
    <row r="507" spans="1:14" ht="150">
      <c r="A507" s="513">
        <v>53</v>
      </c>
      <c r="B507" s="706"/>
      <c r="C507" s="511" t="s">
        <v>6530</v>
      </c>
      <c r="D507" s="511" t="s">
        <v>4192</v>
      </c>
      <c r="E507" s="511" t="s">
        <v>4193</v>
      </c>
      <c r="F507" s="513"/>
      <c r="G507" s="513">
        <v>2184.2399999999998</v>
      </c>
      <c r="H507" s="513" t="s">
        <v>4194</v>
      </c>
      <c r="I507" s="513" t="s">
        <v>4195</v>
      </c>
      <c r="J507" s="513" t="s">
        <v>1737</v>
      </c>
      <c r="K507" s="513" t="s">
        <v>3267</v>
      </c>
      <c r="L507" s="543">
        <v>750000</v>
      </c>
      <c r="M507" s="513">
        <v>343.37</v>
      </c>
      <c r="N507" s="531"/>
    </row>
    <row r="508" spans="1:14" ht="150">
      <c r="A508" s="513">
        <v>54</v>
      </c>
      <c r="B508" s="706"/>
      <c r="C508" s="511" t="s">
        <v>6530</v>
      </c>
      <c r="D508" s="511" t="s">
        <v>4196</v>
      </c>
      <c r="E508" s="511" t="s">
        <v>4197</v>
      </c>
      <c r="F508" s="513"/>
      <c r="G508" s="513">
        <v>806.4</v>
      </c>
      <c r="H508" s="513" t="s">
        <v>4198</v>
      </c>
      <c r="I508" s="513" t="s">
        <v>4195</v>
      </c>
      <c r="J508" s="513" t="s">
        <v>1737</v>
      </c>
      <c r="K508" s="513" t="s">
        <v>3275</v>
      </c>
      <c r="L508" s="543">
        <v>104000</v>
      </c>
      <c r="M508" s="513">
        <v>128.97</v>
      </c>
      <c r="N508" s="531"/>
    </row>
    <row r="509" spans="1:14" ht="75">
      <c r="A509" s="513">
        <v>55</v>
      </c>
      <c r="B509" s="706"/>
      <c r="C509" s="511" t="s">
        <v>4199</v>
      </c>
      <c r="D509" s="511" t="s">
        <v>4200</v>
      </c>
      <c r="E509" s="511" t="s">
        <v>4201</v>
      </c>
      <c r="F509" s="513" t="s">
        <v>4202</v>
      </c>
      <c r="G509" s="513" t="s">
        <v>1597</v>
      </c>
      <c r="H509" s="513" t="s">
        <v>4203</v>
      </c>
      <c r="I509" s="513" t="s">
        <v>4204</v>
      </c>
      <c r="J509" s="513" t="s">
        <v>1737</v>
      </c>
      <c r="K509" s="513" t="s">
        <v>4205</v>
      </c>
      <c r="L509" s="513" t="s">
        <v>4206</v>
      </c>
      <c r="M509" s="513" t="s">
        <v>1597</v>
      </c>
      <c r="N509" s="531" t="s">
        <v>4207</v>
      </c>
    </row>
    <row r="510" spans="1:14" ht="90">
      <c r="A510" s="513">
        <v>56</v>
      </c>
      <c r="B510" s="706"/>
      <c r="C510" s="511" t="s">
        <v>4208</v>
      </c>
      <c r="D510" s="511" t="s">
        <v>4209</v>
      </c>
      <c r="E510" s="511" t="s">
        <v>4210</v>
      </c>
      <c r="F510" s="513" t="s">
        <v>620</v>
      </c>
      <c r="G510" s="513" t="s">
        <v>4211</v>
      </c>
      <c r="H510" s="513" t="s">
        <v>4212</v>
      </c>
      <c r="I510" s="513" t="s">
        <v>4213</v>
      </c>
      <c r="J510" s="513" t="s">
        <v>1737</v>
      </c>
      <c r="K510" s="544" t="s">
        <v>4214</v>
      </c>
      <c r="L510" s="513" t="s">
        <v>4215</v>
      </c>
      <c r="M510" s="513" t="s">
        <v>620</v>
      </c>
      <c r="N510" s="531" t="s">
        <v>4216</v>
      </c>
    </row>
    <row r="511" spans="1:14" ht="90">
      <c r="A511" s="513">
        <v>57</v>
      </c>
      <c r="B511" s="706"/>
      <c r="C511" s="511" t="s">
        <v>4217</v>
      </c>
      <c r="D511" s="511" t="s">
        <v>4218</v>
      </c>
      <c r="E511" s="511" t="s">
        <v>4219</v>
      </c>
      <c r="F511" s="513" t="s">
        <v>4220</v>
      </c>
      <c r="G511" s="513" t="s">
        <v>2069</v>
      </c>
      <c r="H511" s="513" t="s">
        <v>4221</v>
      </c>
      <c r="I511" s="513" t="s">
        <v>4213</v>
      </c>
      <c r="J511" s="513" t="s">
        <v>3205</v>
      </c>
      <c r="K511" s="544" t="s">
        <v>4222</v>
      </c>
      <c r="L511" s="513" t="s">
        <v>4223</v>
      </c>
      <c r="M511" s="513" t="s">
        <v>620</v>
      </c>
      <c r="N511" s="531" t="s">
        <v>4224</v>
      </c>
    </row>
    <row r="512" spans="1:14" ht="90">
      <c r="A512" s="513">
        <v>58</v>
      </c>
      <c r="B512" s="706"/>
      <c r="C512" s="511" t="s">
        <v>2251</v>
      </c>
      <c r="D512" s="511" t="s">
        <v>4225</v>
      </c>
      <c r="E512" s="511" t="s">
        <v>4226</v>
      </c>
      <c r="F512" s="513" t="s">
        <v>4227</v>
      </c>
      <c r="G512" s="513"/>
      <c r="H512" s="513" t="s">
        <v>4228</v>
      </c>
      <c r="I512" s="513" t="s">
        <v>4229</v>
      </c>
      <c r="J512" s="513" t="s">
        <v>1737</v>
      </c>
      <c r="K512" s="513" t="s">
        <v>1728</v>
      </c>
      <c r="L512" s="513" t="s">
        <v>4230</v>
      </c>
      <c r="M512" s="513" t="s">
        <v>4231</v>
      </c>
      <c r="N512" s="193" t="s">
        <v>454</v>
      </c>
    </row>
    <row r="513" spans="1:14">
      <c r="A513" s="775" t="s">
        <v>4232</v>
      </c>
      <c r="B513" s="775"/>
      <c r="C513" s="775"/>
      <c r="D513" s="775"/>
      <c r="E513" s="775"/>
      <c r="F513" s="775"/>
      <c r="G513" s="775"/>
      <c r="H513" s="775"/>
      <c r="I513" s="775"/>
      <c r="J513" s="775"/>
      <c r="K513" s="775"/>
      <c r="L513" s="775"/>
      <c r="M513" s="775"/>
      <c r="N513" s="775"/>
    </row>
    <row r="514" spans="1:14">
      <c r="A514" s="776" t="s">
        <v>4233</v>
      </c>
      <c r="B514" s="776"/>
      <c r="C514" s="776"/>
      <c r="D514" s="776"/>
      <c r="E514" s="776"/>
      <c r="F514" s="776"/>
      <c r="G514" s="776"/>
      <c r="H514" s="776"/>
      <c r="I514" s="776"/>
      <c r="J514" s="776"/>
      <c r="K514" s="776"/>
      <c r="L514" s="776"/>
      <c r="M514" s="776"/>
      <c r="N514" s="776"/>
    </row>
    <row r="515" spans="1:14">
      <c r="A515" s="795"/>
      <c r="B515" s="796"/>
      <c r="C515" s="796"/>
      <c r="D515" s="796"/>
      <c r="E515" s="796"/>
      <c r="F515" s="796"/>
      <c r="G515" s="796"/>
      <c r="H515" s="796"/>
      <c r="I515" s="796"/>
      <c r="J515" s="796"/>
      <c r="K515" s="796"/>
      <c r="L515" s="796"/>
      <c r="M515" s="796"/>
      <c r="N515" s="797"/>
    </row>
    <row r="516" spans="1:14" ht="22.5">
      <c r="A516" s="700" t="s">
        <v>663</v>
      </c>
      <c r="B516" s="700"/>
      <c r="C516" s="700"/>
      <c r="D516" s="700"/>
      <c r="E516" s="700"/>
      <c r="F516" s="700"/>
      <c r="G516" s="700"/>
      <c r="H516" s="700"/>
      <c r="I516" s="700"/>
      <c r="J516" s="700"/>
      <c r="K516" s="700"/>
      <c r="L516" s="700"/>
      <c r="M516" s="700"/>
      <c r="N516" s="700"/>
    </row>
    <row r="517" spans="1:14" ht="20.25">
      <c r="A517" s="761" t="s">
        <v>2669</v>
      </c>
      <c r="B517" s="762"/>
      <c r="C517" s="762"/>
      <c r="D517" s="762"/>
      <c r="E517" s="762"/>
      <c r="F517" s="762"/>
      <c r="G517" s="762"/>
      <c r="H517" s="762"/>
      <c r="I517" s="762"/>
      <c r="J517" s="762"/>
      <c r="K517" s="762"/>
      <c r="L517" s="762"/>
      <c r="M517" s="762"/>
      <c r="N517" s="762"/>
    </row>
    <row r="518" spans="1:14" ht="71.25">
      <c r="A518" s="35" t="s">
        <v>0</v>
      </c>
      <c r="B518" s="19" t="s">
        <v>1616</v>
      </c>
      <c r="C518" s="35" t="s">
        <v>1676</v>
      </c>
      <c r="D518" s="18" t="s">
        <v>1677</v>
      </c>
      <c r="E518" s="18" t="s">
        <v>1678</v>
      </c>
      <c r="F518" s="19" t="s">
        <v>2670</v>
      </c>
      <c r="G518" s="19" t="s">
        <v>2671</v>
      </c>
      <c r="H518" s="19" t="s">
        <v>1679</v>
      </c>
      <c r="I518" s="19" t="s">
        <v>1680</v>
      </c>
      <c r="J518" s="19" t="s">
        <v>1681</v>
      </c>
      <c r="K518" s="19" t="s">
        <v>1682</v>
      </c>
      <c r="L518" s="19" t="s">
        <v>1683</v>
      </c>
      <c r="M518" s="19" t="s">
        <v>1684</v>
      </c>
      <c r="N518" s="19" t="s">
        <v>1685</v>
      </c>
    </row>
    <row r="519" spans="1:14">
      <c r="A519" s="35">
        <v>1</v>
      </c>
      <c r="B519" s="35">
        <v>2</v>
      </c>
      <c r="C519" s="35">
        <v>3</v>
      </c>
      <c r="D519" s="35">
        <v>4</v>
      </c>
      <c r="E519" s="35">
        <v>5</v>
      </c>
      <c r="F519" s="35">
        <v>6</v>
      </c>
      <c r="G519" s="35">
        <v>7</v>
      </c>
      <c r="H519" s="35">
        <v>8</v>
      </c>
      <c r="I519" s="19">
        <v>9</v>
      </c>
      <c r="J519" s="35">
        <v>10</v>
      </c>
      <c r="K519" s="35">
        <v>11</v>
      </c>
      <c r="L519" s="35">
        <v>12</v>
      </c>
      <c r="M519" s="35">
        <v>13</v>
      </c>
      <c r="N519" s="35">
        <v>14</v>
      </c>
    </row>
    <row r="520" spans="1:14" ht="75">
      <c r="A520" s="152">
        <v>1</v>
      </c>
      <c r="B520" s="696" t="s">
        <v>2614</v>
      </c>
      <c r="C520" s="696" t="s">
        <v>675</v>
      </c>
      <c r="D520" s="148" t="s">
        <v>4357</v>
      </c>
      <c r="E520" s="148" t="s">
        <v>4358</v>
      </c>
      <c r="F520" s="152">
        <v>1373.1</v>
      </c>
      <c r="G520" s="152">
        <v>1537.54</v>
      </c>
      <c r="H520" s="152" t="s">
        <v>4359</v>
      </c>
      <c r="I520" s="694" t="s">
        <v>4360</v>
      </c>
      <c r="J520" s="152" t="s">
        <v>4345</v>
      </c>
      <c r="K520" s="152" t="s">
        <v>2910</v>
      </c>
      <c r="L520" s="152" t="s">
        <v>4361</v>
      </c>
      <c r="M520" s="152">
        <v>200.9</v>
      </c>
      <c r="N520" s="152"/>
    </row>
    <row r="521" spans="1:14" ht="105">
      <c r="A521" s="152">
        <v>2</v>
      </c>
      <c r="B521" s="696"/>
      <c r="C521" s="696"/>
      <c r="D521" s="148" t="s">
        <v>4362</v>
      </c>
      <c r="E521" s="148" t="s">
        <v>4363</v>
      </c>
      <c r="F521" s="152">
        <v>169</v>
      </c>
      <c r="G521" s="152" t="s">
        <v>17</v>
      </c>
      <c r="H521" s="152" t="s">
        <v>4364</v>
      </c>
      <c r="I521" s="694"/>
      <c r="J521" s="152" t="s">
        <v>4345</v>
      </c>
      <c r="K521" s="152" t="s">
        <v>4365</v>
      </c>
      <c r="L521" s="152" t="s">
        <v>4366</v>
      </c>
      <c r="M521" s="152">
        <v>325.44</v>
      </c>
      <c r="N521" s="152"/>
    </row>
    <row r="522" spans="1:14" ht="375">
      <c r="A522" s="152">
        <v>3</v>
      </c>
      <c r="B522" s="696"/>
      <c r="C522" s="696"/>
      <c r="D522" s="148" t="s">
        <v>4367</v>
      </c>
      <c r="E522" s="148" t="s">
        <v>4368</v>
      </c>
      <c r="F522" s="152">
        <v>137.12</v>
      </c>
      <c r="G522" s="152" t="s">
        <v>17</v>
      </c>
      <c r="H522" s="152" t="s">
        <v>6532</v>
      </c>
      <c r="I522" s="694"/>
      <c r="J522" s="152" t="s">
        <v>4354</v>
      </c>
      <c r="K522" s="152" t="s">
        <v>4369</v>
      </c>
      <c r="L522" s="152" t="s">
        <v>4370</v>
      </c>
      <c r="M522" s="152">
        <v>233.81</v>
      </c>
      <c r="N522" s="152" t="s">
        <v>4371</v>
      </c>
    </row>
    <row r="523" spans="1:14" ht="105">
      <c r="A523" s="152">
        <v>4</v>
      </c>
      <c r="B523" s="696"/>
      <c r="C523" s="696"/>
      <c r="D523" s="148" t="s">
        <v>4372</v>
      </c>
      <c r="E523" s="148" t="s">
        <v>4373</v>
      </c>
      <c r="F523" s="152">
        <v>153.91999999999999</v>
      </c>
      <c r="G523" s="152">
        <v>187.31</v>
      </c>
      <c r="H523" s="152" t="s">
        <v>4374</v>
      </c>
      <c r="I523" s="694"/>
      <c r="J523" s="152" t="s">
        <v>4375</v>
      </c>
      <c r="K523" s="152" t="s">
        <v>4376</v>
      </c>
      <c r="L523" s="152">
        <v>45884</v>
      </c>
      <c r="M523" s="152">
        <v>244.96</v>
      </c>
      <c r="N523" s="152" t="s">
        <v>4371</v>
      </c>
    </row>
    <row r="524" spans="1:14" ht="120">
      <c r="A524" s="152">
        <v>5</v>
      </c>
      <c r="B524" s="696"/>
      <c r="C524" s="696"/>
      <c r="D524" s="148" t="s">
        <v>4377</v>
      </c>
      <c r="E524" s="148" t="s">
        <v>4378</v>
      </c>
      <c r="F524" s="152">
        <v>98.2</v>
      </c>
      <c r="G524" s="152">
        <v>167.22</v>
      </c>
      <c r="H524" s="152" t="s">
        <v>4379</v>
      </c>
      <c r="I524" s="694"/>
      <c r="J524" s="152" t="s">
        <v>4375</v>
      </c>
      <c r="K524" s="152" t="s">
        <v>4380</v>
      </c>
      <c r="L524" s="152">
        <v>13000</v>
      </c>
      <c r="M524" s="152">
        <v>77.739999999999995</v>
      </c>
      <c r="N524" s="152" t="s">
        <v>4371</v>
      </c>
    </row>
    <row r="525" spans="1:14" ht="60">
      <c r="A525" s="152">
        <v>6</v>
      </c>
      <c r="B525" s="752" t="s">
        <v>4356</v>
      </c>
      <c r="C525" s="752" t="s">
        <v>692</v>
      </c>
      <c r="D525" s="148" t="s">
        <v>4381</v>
      </c>
      <c r="E525" s="148" t="s">
        <v>4382</v>
      </c>
      <c r="F525" s="152">
        <v>8719</v>
      </c>
      <c r="G525" s="152">
        <v>8719</v>
      </c>
      <c r="H525" s="152" t="s">
        <v>4383</v>
      </c>
      <c r="I525" s="152" t="s">
        <v>4384</v>
      </c>
      <c r="J525" s="152" t="s">
        <v>4385</v>
      </c>
      <c r="K525" s="152" t="s">
        <v>4386</v>
      </c>
      <c r="L525" s="152" t="s">
        <v>4387</v>
      </c>
      <c r="M525" s="152" t="s">
        <v>17</v>
      </c>
      <c r="N525" s="152" t="s">
        <v>35</v>
      </c>
    </row>
    <row r="526" spans="1:14" ht="90">
      <c r="A526" s="152">
        <v>7</v>
      </c>
      <c r="B526" s="753"/>
      <c r="C526" s="753"/>
      <c r="D526" s="148" t="s">
        <v>4388</v>
      </c>
      <c r="E526" s="148" t="s">
        <v>4389</v>
      </c>
      <c r="F526" s="152">
        <v>502</v>
      </c>
      <c r="G526" s="152">
        <v>276</v>
      </c>
      <c r="H526" s="152" t="s">
        <v>4390</v>
      </c>
      <c r="I526" s="152" t="s">
        <v>1702</v>
      </c>
      <c r="J526" s="152" t="s">
        <v>4385</v>
      </c>
      <c r="K526" s="152" t="s">
        <v>4391</v>
      </c>
      <c r="L526" s="152" t="s">
        <v>4392</v>
      </c>
      <c r="M526" s="152" t="s">
        <v>17</v>
      </c>
      <c r="N526" s="152" t="s">
        <v>35</v>
      </c>
    </row>
    <row r="527" spans="1:14" ht="60">
      <c r="A527" s="152">
        <v>8</v>
      </c>
      <c r="B527" s="753"/>
      <c r="C527" s="753"/>
      <c r="D527" s="148" t="s">
        <v>4393</v>
      </c>
      <c r="E527" s="148" t="s">
        <v>4394</v>
      </c>
      <c r="F527" s="152">
        <v>230</v>
      </c>
      <c r="G527" s="152">
        <v>90</v>
      </c>
      <c r="H527" s="152" t="s">
        <v>4395</v>
      </c>
      <c r="I527" s="152" t="s">
        <v>1702</v>
      </c>
      <c r="J527" s="152" t="s">
        <v>4396</v>
      </c>
      <c r="K527" s="152" t="s">
        <v>4139</v>
      </c>
      <c r="L527" s="152" t="s">
        <v>4397</v>
      </c>
      <c r="M527" s="152" t="s">
        <v>17</v>
      </c>
      <c r="N527" s="152" t="s">
        <v>35</v>
      </c>
    </row>
    <row r="528" spans="1:14" ht="105">
      <c r="A528" s="152">
        <v>9</v>
      </c>
      <c r="B528" s="753"/>
      <c r="C528" s="753"/>
      <c r="D528" s="32" t="s">
        <v>4398</v>
      </c>
      <c r="E528" s="32" t="s">
        <v>4399</v>
      </c>
      <c r="F528" s="152">
        <v>38.64</v>
      </c>
      <c r="G528" s="152">
        <v>38.64</v>
      </c>
      <c r="H528" s="152" t="s">
        <v>6533</v>
      </c>
      <c r="I528" s="152" t="s">
        <v>1702</v>
      </c>
      <c r="J528" s="152" t="s">
        <v>4401</v>
      </c>
      <c r="K528" s="152" t="s">
        <v>4139</v>
      </c>
      <c r="L528" s="152">
        <v>12480</v>
      </c>
      <c r="M528" s="152" t="s">
        <v>17</v>
      </c>
      <c r="N528" s="128" t="s">
        <v>4402</v>
      </c>
    </row>
    <row r="529" spans="1:14" ht="105">
      <c r="A529" s="152">
        <v>10</v>
      </c>
      <c r="B529" s="753"/>
      <c r="C529" s="753"/>
      <c r="D529" s="148" t="s">
        <v>4403</v>
      </c>
      <c r="E529" s="148" t="s">
        <v>4399</v>
      </c>
      <c r="F529" s="152">
        <v>38.64</v>
      </c>
      <c r="G529" s="152">
        <v>38.64</v>
      </c>
      <c r="H529" s="152" t="s">
        <v>6533</v>
      </c>
      <c r="I529" s="152" t="s">
        <v>1702</v>
      </c>
      <c r="J529" s="152" t="s">
        <v>4401</v>
      </c>
      <c r="K529" s="152" t="s">
        <v>4139</v>
      </c>
      <c r="L529" s="152">
        <v>12480</v>
      </c>
      <c r="M529" s="152" t="s">
        <v>17</v>
      </c>
      <c r="N529" s="152" t="s">
        <v>4402</v>
      </c>
    </row>
    <row r="530" spans="1:14" ht="90">
      <c r="A530" s="152">
        <v>11</v>
      </c>
      <c r="B530" s="753"/>
      <c r="C530" s="753"/>
      <c r="D530" s="148" t="s">
        <v>4404</v>
      </c>
      <c r="E530" s="148" t="s">
        <v>4405</v>
      </c>
      <c r="F530" s="152">
        <v>88.25</v>
      </c>
      <c r="G530" s="152">
        <v>88.25</v>
      </c>
      <c r="H530" s="152" t="s">
        <v>4400</v>
      </c>
      <c r="I530" s="152" t="s">
        <v>1702</v>
      </c>
      <c r="J530" s="152" t="s">
        <v>4401</v>
      </c>
      <c r="K530" s="152" t="s">
        <v>4139</v>
      </c>
      <c r="L530" s="152">
        <v>15585</v>
      </c>
      <c r="M530" s="152" t="s">
        <v>17</v>
      </c>
      <c r="N530" s="152" t="s">
        <v>4402</v>
      </c>
    </row>
    <row r="531" spans="1:14" ht="90">
      <c r="A531" s="152">
        <v>12</v>
      </c>
      <c r="B531" s="753"/>
      <c r="C531" s="753"/>
      <c r="D531" s="148" t="s">
        <v>4406</v>
      </c>
      <c r="E531" s="148" t="s">
        <v>4407</v>
      </c>
      <c r="F531" s="152">
        <v>278.7</v>
      </c>
      <c r="G531" s="152">
        <v>112</v>
      </c>
      <c r="H531" s="152" t="s">
        <v>4400</v>
      </c>
      <c r="I531" s="152" t="s">
        <v>1702</v>
      </c>
      <c r="J531" s="152" t="s">
        <v>4401</v>
      </c>
      <c r="K531" s="152" t="s">
        <v>4139</v>
      </c>
      <c r="L531" s="152">
        <v>13000</v>
      </c>
      <c r="M531" s="152" t="s">
        <v>17</v>
      </c>
      <c r="N531" s="152" t="s">
        <v>4402</v>
      </c>
    </row>
    <row r="532" spans="1:14" ht="90">
      <c r="A532" s="152">
        <v>13</v>
      </c>
      <c r="B532" s="754"/>
      <c r="C532" s="754"/>
      <c r="D532" s="148" t="s">
        <v>4408</v>
      </c>
      <c r="E532" s="148" t="s">
        <v>4409</v>
      </c>
      <c r="F532" s="152">
        <v>92.9</v>
      </c>
      <c r="G532" s="152">
        <v>92.9</v>
      </c>
      <c r="H532" s="152" t="s">
        <v>4400</v>
      </c>
      <c r="I532" s="152" t="s">
        <v>1702</v>
      </c>
      <c r="J532" s="152" t="s">
        <v>4401</v>
      </c>
      <c r="K532" s="152" t="s">
        <v>4139</v>
      </c>
      <c r="L532" s="152">
        <v>10000</v>
      </c>
      <c r="M532" s="152" t="s">
        <v>17</v>
      </c>
      <c r="N532" s="152" t="s">
        <v>4402</v>
      </c>
    </row>
    <row r="533" spans="1:14" ht="45">
      <c r="A533" s="152">
        <v>14</v>
      </c>
      <c r="B533" s="696" t="s">
        <v>4356</v>
      </c>
      <c r="C533" s="747" t="s">
        <v>749</v>
      </c>
      <c r="D533" s="148" t="s">
        <v>4410</v>
      </c>
      <c r="E533" s="148" t="s">
        <v>4411</v>
      </c>
      <c r="F533" s="152">
        <v>448.87</v>
      </c>
      <c r="G533" s="152">
        <v>633.04</v>
      </c>
      <c r="H533" s="152" t="s">
        <v>4080</v>
      </c>
      <c r="I533" s="152" t="s">
        <v>4412</v>
      </c>
      <c r="J533" s="152" t="s">
        <v>2980</v>
      </c>
      <c r="K533" s="152" t="s">
        <v>4413</v>
      </c>
      <c r="L533" s="152" t="s">
        <v>4414</v>
      </c>
      <c r="M533" s="152" t="s">
        <v>4415</v>
      </c>
      <c r="N533" s="66" t="s">
        <v>902</v>
      </c>
    </row>
    <row r="534" spans="1:14" ht="45">
      <c r="A534" s="152">
        <v>15</v>
      </c>
      <c r="B534" s="696"/>
      <c r="C534" s="748"/>
      <c r="D534" s="148" t="s">
        <v>4416</v>
      </c>
      <c r="E534" s="148" t="s">
        <v>4417</v>
      </c>
      <c r="F534" s="152">
        <v>538.28</v>
      </c>
      <c r="G534" s="152">
        <v>517.47</v>
      </c>
      <c r="H534" s="152" t="s">
        <v>4080</v>
      </c>
      <c r="I534" s="152" t="s">
        <v>4418</v>
      </c>
      <c r="J534" s="152" t="s">
        <v>2980</v>
      </c>
      <c r="K534" s="152" t="s">
        <v>4081</v>
      </c>
      <c r="L534" s="152" t="s">
        <v>4419</v>
      </c>
      <c r="M534" s="152" t="s">
        <v>4420</v>
      </c>
      <c r="N534" s="66" t="s">
        <v>902</v>
      </c>
    </row>
    <row r="535" spans="1:14" ht="45">
      <c r="A535" s="152">
        <v>16</v>
      </c>
      <c r="B535" s="696"/>
      <c r="C535" s="748"/>
      <c r="D535" s="148" t="s">
        <v>4421</v>
      </c>
      <c r="E535" s="148" t="s">
        <v>4422</v>
      </c>
      <c r="F535" s="152">
        <v>114.92</v>
      </c>
      <c r="G535" s="152">
        <v>114.92</v>
      </c>
      <c r="H535" s="152" t="s">
        <v>2792</v>
      </c>
      <c r="I535" s="152" t="s">
        <v>4418</v>
      </c>
      <c r="J535" s="152" t="s">
        <v>2980</v>
      </c>
      <c r="K535" s="152" t="s">
        <v>4423</v>
      </c>
      <c r="L535" s="152" t="s">
        <v>4424</v>
      </c>
      <c r="M535" s="152" t="s">
        <v>4425</v>
      </c>
      <c r="N535" s="66" t="s">
        <v>902</v>
      </c>
    </row>
    <row r="536" spans="1:14" ht="60">
      <c r="A536" s="152">
        <v>17</v>
      </c>
      <c r="B536" s="696"/>
      <c r="C536" s="748"/>
      <c r="D536" s="148" t="s">
        <v>4426</v>
      </c>
      <c r="E536" s="148" t="s">
        <v>4427</v>
      </c>
      <c r="F536" s="152">
        <v>12.35</v>
      </c>
      <c r="G536" s="152">
        <v>59.85</v>
      </c>
      <c r="H536" s="152"/>
      <c r="I536" s="152"/>
      <c r="J536" s="152" t="s">
        <v>4428</v>
      </c>
      <c r="K536" s="152">
        <v>2021</v>
      </c>
      <c r="L536" s="152" t="s">
        <v>2877</v>
      </c>
      <c r="M536" s="152" t="s">
        <v>4429</v>
      </c>
      <c r="N536" s="152"/>
    </row>
    <row r="537" spans="1:14" ht="60">
      <c r="A537" s="152">
        <v>18</v>
      </c>
      <c r="B537" s="696"/>
      <c r="C537" s="748"/>
      <c r="D537" s="148" t="s">
        <v>4430</v>
      </c>
      <c r="E537" s="148" t="s">
        <v>4431</v>
      </c>
      <c r="F537" s="152">
        <v>110.9</v>
      </c>
      <c r="G537" s="152">
        <v>158.4</v>
      </c>
      <c r="H537" s="152"/>
      <c r="I537" s="152"/>
      <c r="J537" s="152" t="s">
        <v>4432</v>
      </c>
      <c r="K537" s="152" t="s">
        <v>4433</v>
      </c>
      <c r="L537" s="152" t="s">
        <v>4434</v>
      </c>
      <c r="M537" s="152"/>
      <c r="N537" s="152"/>
    </row>
    <row r="538" spans="1:14" ht="75">
      <c r="A538" s="152">
        <v>19</v>
      </c>
      <c r="B538" s="696"/>
      <c r="C538" s="748"/>
      <c r="D538" s="148" t="s">
        <v>4435</v>
      </c>
      <c r="E538" s="148" t="s">
        <v>4436</v>
      </c>
      <c r="F538" s="152">
        <v>82.1</v>
      </c>
      <c r="G538" s="152">
        <v>129.6</v>
      </c>
      <c r="H538" s="152"/>
      <c r="I538" s="152"/>
      <c r="J538" s="152" t="s">
        <v>4437</v>
      </c>
      <c r="K538" s="152" t="s">
        <v>4438</v>
      </c>
      <c r="L538" s="152" t="s">
        <v>4439</v>
      </c>
      <c r="M538" s="152"/>
      <c r="N538" s="152"/>
    </row>
    <row r="539" spans="1:14" ht="30">
      <c r="A539" s="152">
        <v>20</v>
      </c>
      <c r="B539" s="696"/>
      <c r="C539" s="748"/>
      <c r="D539" s="148" t="s">
        <v>4440</v>
      </c>
      <c r="E539" s="148" t="s">
        <v>4441</v>
      </c>
      <c r="F539" s="152">
        <v>86.42</v>
      </c>
      <c r="G539" s="152">
        <v>133.91999999999999</v>
      </c>
      <c r="H539" s="152"/>
      <c r="I539" s="152"/>
      <c r="J539" s="152" t="s">
        <v>4442</v>
      </c>
      <c r="K539" s="152" t="s">
        <v>4443</v>
      </c>
      <c r="L539" s="152" t="s">
        <v>4444</v>
      </c>
      <c r="M539" s="152"/>
      <c r="N539" s="152"/>
    </row>
    <row r="540" spans="1:14" ht="90">
      <c r="A540" s="152">
        <v>21</v>
      </c>
      <c r="B540" s="152"/>
      <c r="C540" s="748"/>
      <c r="D540" s="270" t="s">
        <v>4445</v>
      </c>
      <c r="E540" s="148" t="s">
        <v>4446</v>
      </c>
      <c r="F540" s="152" t="s">
        <v>4447</v>
      </c>
      <c r="G540" s="152" t="s">
        <v>4447</v>
      </c>
      <c r="H540" s="152" t="s">
        <v>4448</v>
      </c>
      <c r="I540" s="152" t="s">
        <v>4449</v>
      </c>
      <c r="J540" s="152" t="s">
        <v>2980</v>
      </c>
      <c r="K540" s="152" t="s">
        <v>4450</v>
      </c>
      <c r="L540" s="152" t="s">
        <v>1900</v>
      </c>
      <c r="M540" s="152">
        <v>683.32</v>
      </c>
      <c r="N540" s="152" t="s">
        <v>748</v>
      </c>
    </row>
    <row r="541" spans="1:14" ht="90">
      <c r="A541" s="152">
        <v>22</v>
      </c>
      <c r="B541" s="152"/>
      <c r="C541" s="749"/>
      <c r="D541" s="148" t="s">
        <v>4451</v>
      </c>
      <c r="E541" s="148" t="s">
        <v>4446</v>
      </c>
      <c r="F541" s="152" t="s">
        <v>4447</v>
      </c>
      <c r="G541" s="152" t="s">
        <v>4447</v>
      </c>
      <c r="H541" s="152" t="s">
        <v>4452</v>
      </c>
      <c r="I541" s="152" t="s">
        <v>4449</v>
      </c>
      <c r="J541" s="152" t="s">
        <v>2980</v>
      </c>
      <c r="K541" s="152" t="s">
        <v>4453</v>
      </c>
      <c r="L541" s="152" t="s">
        <v>4454</v>
      </c>
      <c r="M541" s="152">
        <v>617.13</v>
      </c>
      <c r="N541" s="152" t="s">
        <v>748</v>
      </c>
    </row>
    <row r="542" spans="1:14" ht="75">
      <c r="A542" s="152">
        <v>23</v>
      </c>
      <c r="B542" s="747" t="s">
        <v>4356</v>
      </c>
      <c r="C542" s="747" t="s">
        <v>781</v>
      </c>
      <c r="D542" s="34" t="s">
        <v>4455</v>
      </c>
      <c r="E542" s="34" t="s">
        <v>4456</v>
      </c>
      <c r="F542" s="153" t="s">
        <v>35</v>
      </c>
      <c r="G542" s="153">
        <v>2426.63</v>
      </c>
      <c r="H542" s="153" t="s">
        <v>4457</v>
      </c>
      <c r="I542" s="200" t="s">
        <v>1702</v>
      </c>
      <c r="J542" s="149" t="s">
        <v>4458</v>
      </c>
      <c r="K542" s="153" t="s">
        <v>4459</v>
      </c>
      <c r="L542" s="201">
        <v>495000</v>
      </c>
      <c r="M542" s="202">
        <v>203.99</v>
      </c>
      <c r="N542" s="201"/>
    </row>
    <row r="543" spans="1:14" ht="90">
      <c r="A543" s="152">
        <v>24</v>
      </c>
      <c r="B543" s="748"/>
      <c r="C543" s="748"/>
      <c r="D543" s="195" t="s">
        <v>4460</v>
      </c>
      <c r="E543" s="195" t="s">
        <v>4461</v>
      </c>
      <c r="F543" s="153" t="s">
        <v>35</v>
      </c>
      <c r="G543" s="153">
        <v>640.13</v>
      </c>
      <c r="H543" s="153" t="s">
        <v>4462</v>
      </c>
      <c r="I543" s="200" t="s">
        <v>1702</v>
      </c>
      <c r="J543" s="153" t="s">
        <v>4463</v>
      </c>
      <c r="K543" s="199" t="s">
        <v>4464</v>
      </c>
      <c r="L543" s="196">
        <v>150000</v>
      </c>
      <c r="M543" s="203">
        <v>234.33</v>
      </c>
      <c r="N543" s="201"/>
    </row>
    <row r="544" spans="1:14" ht="75">
      <c r="A544" s="152">
        <v>25</v>
      </c>
      <c r="B544" s="748"/>
      <c r="C544" s="748"/>
      <c r="D544" s="195" t="s">
        <v>4465</v>
      </c>
      <c r="E544" s="195" t="s">
        <v>4466</v>
      </c>
      <c r="F544" s="153" t="s">
        <v>35</v>
      </c>
      <c r="G544" s="153">
        <v>449.28</v>
      </c>
      <c r="H544" s="153" t="s">
        <v>4467</v>
      </c>
      <c r="I544" s="200" t="s">
        <v>1702</v>
      </c>
      <c r="J544" s="150" t="s">
        <v>4468</v>
      </c>
      <c r="K544" s="153" t="s">
        <v>4469</v>
      </c>
      <c r="L544" s="196">
        <v>58032</v>
      </c>
      <c r="M544" s="197">
        <v>129.16999999999999</v>
      </c>
      <c r="N544" s="196"/>
    </row>
    <row r="545" spans="1:14" ht="90">
      <c r="A545" s="152">
        <v>26</v>
      </c>
      <c r="B545" s="748"/>
      <c r="C545" s="748"/>
      <c r="D545" s="34" t="s">
        <v>4470</v>
      </c>
      <c r="E545" s="34" t="s">
        <v>4471</v>
      </c>
      <c r="F545" s="153" t="s">
        <v>35</v>
      </c>
      <c r="G545" s="153">
        <v>503.06</v>
      </c>
      <c r="H545" s="153" t="s">
        <v>4472</v>
      </c>
      <c r="I545" s="200" t="s">
        <v>1702</v>
      </c>
      <c r="J545" s="153" t="s">
        <v>4473</v>
      </c>
      <c r="K545" s="153" t="s">
        <v>4474</v>
      </c>
      <c r="L545" s="201">
        <v>95962</v>
      </c>
      <c r="M545" s="204">
        <v>190.76</v>
      </c>
      <c r="N545" s="201"/>
    </row>
    <row r="546" spans="1:14" ht="90">
      <c r="A546" s="152">
        <v>27</v>
      </c>
      <c r="B546" s="748"/>
      <c r="C546" s="748"/>
      <c r="D546" s="34" t="s">
        <v>4475</v>
      </c>
      <c r="E546" s="34" t="s">
        <v>4476</v>
      </c>
      <c r="F546" s="153" t="s">
        <v>35</v>
      </c>
      <c r="G546" s="153">
        <v>119.47</v>
      </c>
      <c r="H546" s="153" t="s">
        <v>4477</v>
      </c>
      <c r="I546" s="200" t="s">
        <v>1702</v>
      </c>
      <c r="J546" s="153" t="s">
        <v>4478</v>
      </c>
      <c r="K546" s="153" t="s">
        <v>4479</v>
      </c>
      <c r="L546" s="201">
        <v>16500</v>
      </c>
      <c r="M546" s="204">
        <v>12.835000000000001</v>
      </c>
      <c r="N546" s="201"/>
    </row>
    <row r="547" spans="1:14" ht="75">
      <c r="A547" s="152">
        <v>28</v>
      </c>
      <c r="B547" s="748"/>
      <c r="C547" s="748"/>
      <c r="D547" s="34" t="s">
        <v>4480</v>
      </c>
      <c r="E547" s="198" t="s">
        <v>4481</v>
      </c>
      <c r="F547" s="205" t="s">
        <v>35</v>
      </c>
      <c r="G547" s="153">
        <v>116.13</v>
      </c>
      <c r="H547" s="153" t="s">
        <v>4482</v>
      </c>
      <c r="I547" s="200" t="s">
        <v>1702</v>
      </c>
      <c r="J547" s="153" t="s">
        <v>4483</v>
      </c>
      <c r="K547" s="153" t="s">
        <v>4484</v>
      </c>
      <c r="L547" s="201">
        <v>9455</v>
      </c>
      <c r="M547" s="204">
        <v>81.42</v>
      </c>
      <c r="N547" s="201"/>
    </row>
    <row r="548" spans="1:14" ht="75">
      <c r="A548" s="152">
        <v>29</v>
      </c>
      <c r="B548" s="748"/>
      <c r="C548" s="748"/>
      <c r="D548" s="195" t="s">
        <v>4485</v>
      </c>
      <c r="E548" s="198" t="s">
        <v>4486</v>
      </c>
      <c r="F548" s="153">
        <v>154</v>
      </c>
      <c r="G548" s="153" t="s">
        <v>35</v>
      </c>
      <c r="H548" s="153" t="s">
        <v>4487</v>
      </c>
      <c r="I548" s="200" t="s">
        <v>1702</v>
      </c>
      <c r="J548" s="153" t="s">
        <v>4488</v>
      </c>
      <c r="K548" s="153" t="s">
        <v>4489</v>
      </c>
      <c r="L548" s="201">
        <v>15584</v>
      </c>
      <c r="M548" s="204">
        <v>101.19</v>
      </c>
      <c r="N548" s="201"/>
    </row>
    <row r="549" spans="1:14" ht="75">
      <c r="A549" s="152">
        <v>30</v>
      </c>
      <c r="B549" s="748"/>
      <c r="C549" s="748"/>
      <c r="D549" s="34" t="s">
        <v>4490</v>
      </c>
      <c r="E549" s="198" t="s">
        <v>4491</v>
      </c>
      <c r="F549" s="153" t="s">
        <v>35</v>
      </c>
      <c r="G549" s="153">
        <v>181</v>
      </c>
      <c r="H549" s="153" t="s">
        <v>4492</v>
      </c>
      <c r="I549" s="200" t="s">
        <v>1702</v>
      </c>
      <c r="J549" s="153" t="s">
        <v>4493</v>
      </c>
      <c r="K549" s="153" t="s">
        <v>4494</v>
      </c>
      <c r="L549" s="201">
        <v>28500</v>
      </c>
      <c r="M549" s="204">
        <v>157.46</v>
      </c>
      <c r="N549" s="201"/>
    </row>
    <row r="550" spans="1:14" ht="75">
      <c r="A550" s="152">
        <v>31</v>
      </c>
      <c r="B550" s="748"/>
      <c r="C550" s="748"/>
      <c r="D550" s="34" t="s">
        <v>4495</v>
      </c>
      <c r="E550" s="198" t="s">
        <v>4496</v>
      </c>
      <c r="F550" s="153" t="s">
        <v>35</v>
      </c>
      <c r="G550" s="153">
        <v>185.81</v>
      </c>
      <c r="H550" s="153" t="s">
        <v>4497</v>
      </c>
      <c r="I550" s="200" t="s">
        <v>1702</v>
      </c>
      <c r="J550" s="153" t="s">
        <v>4295</v>
      </c>
      <c r="K550" s="153" t="s">
        <v>3475</v>
      </c>
      <c r="L550" s="201">
        <v>14000</v>
      </c>
      <c r="M550" s="204">
        <v>75.349999999999994</v>
      </c>
      <c r="N550" s="201"/>
    </row>
    <row r="551" spans="1:14" ht="75">
      <c r="A551" s="152">
        <v>32</v>
      </c>
      <c r="B551" s="748"/>
      <c r="C551" s="748"/>
      <c r="D551" s="34" t="s">
        <v>4498</v>
      </c>
      <c r="E551" s="198" t="s">
        <v>4499</v>
      </c>
      <c r="F551" s="153" t="s">
        <v>35</v>
      </c>
      <c r="G551" s="153">
        <v>111.48</v>
      </c>
      <c r="H551" s="153" t="s">
        <v>4500</v>
      </c>
      <c r="I551" s="200" t="s">
        <v>1702</v>
      </c>
      <c r="J551" s="153" t="s">
        <v>4501</v>
      </c>
      <c r="K551" s="153" t="s">
        <v>4502</v>
      </c>
      <c r="L551" s="201">
        <v>25500</v>
      </c>
      <c r="M551" s="204">
        <v>228.74</v>
      </c>
      <c r="N551" s="201"/>
    </row>
    <row r="552" spans="1:14" ht="90">
      <c r="A552" s="152">
        <v>33</v>
      </c>
      <c r="B552" s="748"/>
      <c r="C552" s="748"/>
      <c r="D552" s="34" t="s">
        <v>4503</v>
      </c>
      <c r="E552" s="198" t="s">
        <v>4504</v>
      </c>
      <c r="F552" s="153">
        <v>132</v>
      </c>
      <c r="G552" s="153" t="s">
        <v>35</v>
      </c>
      <c r="H552" s="153" t="s">
        <v>4505</v>
      </c>
      <c r="I552" s="200" t="s">
        <v>1702</v>
      </c>
      <c r="J552" s="153" t="s">
        <v>4506</v>
      </c>
      <c r="K552" s="153" t="s">
        <v>4453</v>
      </c>
      <c r="L552" s="201">
        <v>14500</v>
      </c>
      <c r="M552" s="204">
        <v>109.85</v>
      </c>
      <c r="N552" s="201"/>
    </row>
    <row r="553" spans="1:14" ht="75">
      <c r="A553" s="152">
        <v>34</v>
      </c>
      <c r="B553" s="748"/>
      <c r="C553" s="748"/>
      <c r="D553" s="34" t="s">
        <v>4507</v>
      </c>
      <c r="E553" s="34" t="s">
        <v>4508</v>
      </c>
      <c r="F553" s="153" t="s">
        <v>35</v>
      </c>
      <c r="G553" s="153">
        <v>190</v>
      </c>
      <c r="H553" s="153" t="s">
        <v>4509</v>
      </c>
      <c r="I553" s="200" t="s">
        <v>1702</v>
      </c>
      <c r="J553" s="153" t="s">
        <v>4510</v>
      </c>
      <c r="K553" s="153" t="s">
        <v>4511</v>
      </c>
      <c r="L553" s="201">
        <v>25000</v>
      </c>
      <c r="M553" s="204">
        <v>131.57</v>
      </c>
      <c r="N553" s="201"/>
    </row>
    <row r="554" spans="1:14" ht="75">
      <c r="A554" s="152">
        <v>35</v>
      </c>
      <c r="B554" s="749"/>
      <c r="C554" s="749"/>
      <c r="D554" s="34" t="s">
        <v>4512</v>
      </c>
      <c r="E554" s="34" t="s">
        <v>4513</v>
      </c>
      <c r="F554" s="153" t="s">
        <v>35</v>
      </c>
      <c r="G554" s="153">
        <v>171.87</v>
      </c>
      <c r="H554" s="153" t="s">
        <v>4514</v>
      </c>
      <c r="I554" s="200" t="s">
        <v>1702</v>
      </c>
      <c r="J554" s="153" t="s">
        <v>4295</v>
      </c>
      <c r="K554" s="153" t="s">
        <v>3475</v>
      </c>
      <c r="L554" s="201">
        <v>23000</v>
      </c>
      <c r="M554" s="204">
        <v>133.82</v>
      </c>
      <c r="N554" s="201"/>
    </row>
    <row r="555" spans="1:14" ht="105">
      <c r="A555" s="152">
        <v>36</v>
      </c>
      <c r="B555" s="747" t="s">
        <v>4356</v>
      </c>
      <c r="C555" s="747" t="s">
        <v>802</v>
      </c>
      <c r="D555" s="148" t="s">
        <v>6535</v>
      </c>
      <c r="E555" s="148" t="s">
        <v>4515</v>
      </c>
      <c r="F555" s="152">
        <v>453.83</v>
      </c>
      <c r="G555" s="152">
        <v>241.35</v>
      </c>
      <c r="H555" s="152" t="s">
        <v>4516</v>
      </c>
      <c r="I555" s="152" t="s">
        <v>1702</v>
      </c>
      <c r="J555" s="152" t="s">
        <v>2980</v>
      </c>
      <c r="K555" s="152" t="s">
        <v>1907</v>
      </c>
      <c r="L555" s="86">
        <v>45000</v>
      </c>
      <c r="M555" s="152">
        <v>64.73</v>
      </c>
      <c r="N555" s="152"/>
    </row>
    <row r="556" spans="1:14" ht="90">
      <c r="A556" s="152">
        <v>37</v>
      </c>
      <c r="B556" s="749"/>
      <c r="C556" s="749"/>
      <c r="D556" s="148" t="s">
        <v>6534</v>
      </c>
      <c r="E556" s="148" t="s">
        <v>4517</v>
      </c>
      <c r="F556" s="152">
        <v>144</v>
      </c>
      <c r="G556" s="152">
        <v>144</v>
      </c>
      <c r="H556" s="152" t="s">
        <v>4518</v>
      </c>
      <c r="I556" s="152" t="s">
        <v>1702</v>
      </c>
      <c r="J556" s="152" t="s">
        <v>2980</v>
      </c>
      <c r="K556" s="152" t="s">
        <v>4519</v>
      </c>
      <c r="L556" s="86">
        <v>14942</v>
      </c>
      <c r="M556" s="152">
        <v>103.76</v>
      </c>
      <c r="N556" s="152"/>
    </row>
    <row r="557" spans="1:14" s="785" customFormat="1"/>
    <row r="558" spans="1:14" ht="22.5">
      <c r="A558" s="759" t="s">
        <v>664</v>
      </c>
      <c r="B558" s="760"/>
      <c r="C558" s="760"/>
      <c r="D558" s="760"/>
      <c r="E558" s="760"/>
      <c r="F558" s="760"/>
      <c r="G558" s="760"/>
      <c r="H558" s="760"/>
      <c r="I558" s="760"/>
      <c r="J558" s="760"/>
      <c r="K558" s="760"/>
      <c r="L558" s="760"/>
      <c r="M558" s="760"/>
      <c r="N558" s="760"/>
    </row>
    <row r="559" spans="1:14" ht="20.25">
      <c r="A559" s="761" t="s">
        <v>2669</v>
      </c>
      <c r="B559" s="762"/>
      <c r="C559" s="762"/>
      <c r="D559" s="762"/>
      <c r="E559" s="762"/>
      <c r="F559" s="762"/>
      <c r="G559" s="762"/>
      <c r="H559" s="762"/>
      <c r="I559" s="762"/>
      <c r="J559" s="762"/>
      <c r="K559" s="762"/>
      <c r="L559" s="762"/>
      <c r="M559" s="762"/>
      <c r="N559" s="762"/>
    </row>
    <row r="560" spans="1:14" ht="71.25">
      <c r="A560" s="35" t="s">
        <v>0</v>
      </c>
      <c r="B560" s="19" t="s">
        <v>1616</v>
      </c>
      <c r="C560" s="35" t="s">
        <v>1676</v>
      </c>
      <c r="D560" s="18" t="s">
        <v>1677</v>
      </c>
      <c r="E560" s="18" t="s">
        <v>1678</v>
      </c>
      <c r="F560" s="19" t="s">
        <v>2670</v>
      </c>
      <c r="G560" s="19" t="s">
        <v>2671</v>
      </c>
      <c r="H560" s="19" t="s">
        <v>1679</v>
      </c>
      <c r="I560" s="19" t="s">
        <v>1680</v>
      </c>
      <c r="J560" s="19" t="s">
        <v>1681</v>
      </c>
      <c r="K560" s="19" t="s">
        <v>1682</v>
      </c>
      <c r="L560" s="19" t="s">
        <v>1683</v>
      </c>
      <c r="M560" s="19" t="s">
        <v>1684</v>
      </c>
      <c r="N560" s="19" t="s">
        <v>1685</v>
      </c>
    </row>
    <row r="561" spans="1:14">
      <c r="A561" s="35">
        <v>1</v>
      </c>
      <c r="B561" s="35">
        <v>2</v>
      </c>
      <c r="C561" s="35">
        <v>3</v>
      </c>
      <c r="D561" s="35">
        <v>4</v>
      </c>
      <c r="E561" s="35">
        <v>5</v>
      </c>
      <c r="F561" s="35">
        <v>6</v>
      </c>
      <c r="G561" s="35">
        <v>7</v>
      </c>
      <c r="H561" s="35">
        <v>8</v>
      </c>
      <c r="I561" s="19">
        <v>9</v>
      </c>
      <c r="J561" s="35">
        <v>10</v>
      </c>
      <c r="K561" s="35">
        <v>11</v>
      </c>
      <c r="L561" s="35">
        <v>12</v>
      </c>
      <c r="M561" s="35">
        <v>13</v>
      </c>
      <c r="N561" s="35">
        <v>14</v>
      </c>
    </row>
    <row r="562" spans="1:14" ht="45">
      <c r="A562" s="275">
        <v>1</v>
      </c>
      <c r="B562" s="747" t="s">
        <v>7323</v>
      </c>
      <c r="C562" s="696" t="s">
        <v>6469</v>
      </c>
      <c r="D562" s="274" t="s">
        <v>7191</v>
      </c>
      <c r="E562" s="274" t="s">
        <v>7192</v>
      </c>
      <c r="F562" s="275">
        <v>814.3</v>
      </c>
      <c r="G562" s="275"/>
      <c r="H562" s="275">
        <v>2020</v>
      </c>
      <c r="I562" s="275"/>
      <c r="J562" s="275"/>
      <c r="K562" s="275"/>
      <c r="L562" s="275">
        <v>177053</v>
      </c>
      <c r="M562" s="275"/>
      <c r="N562" s="275"/>
    </row>
    <row r="563" spans="1:14" ht="30">
      <c r="A563" s="275">
        <v>2</v>
      </c>
      <c r="B563" s="748"/>
      <c r="C563" s="696"/>
      <c r="D563" s="274" t="s">
        <v>7193</v>
      </c>
      <c r="E563" s="274" t="s">
        <v>7194</v>
      </c>
      <c r="F563" s="275">
        <v>572.09</v>
      </c>
      <c r="G563" s="275"/>
      <c r="H563" s="275" t="s">
        <v>6304</v>
      </c>
      <c r="I563" s="275"/>
      <c r="J563" s="275" t="s">
        <v>1733</v>
      </c>
      <c r="K563" s="275"/>
      <c r="L563" s="275">
        <v>25192</v>
      </c>
      <c r="M563" s="275"/>
      <c r="N563" s="275"/>
    </row>
    <row r="564" spans="1:14" ht="30">
      <c r="A564" s="275">
        <v>3</v>
      </c>
      <c r="B564" s="748"/>
      <c r="C564" s="696"/>
      <c r="D564" s="274" t="s">
        <v>7195</v>
      </c>
      <c r="E564" s="274" t="s">
        <v>7196</v>
      </c>
      <c r="F564" s="275">
        <v>79.02</v>
      </c>
      <c r="G564" s="275"/>
      <c r="H564" s="275" t="s">
        <v>7197</v>
      </c>
      <c r="I564" s="275"/>
      <c r="J564" s="275" t="s">
        <v>1703</v>
      </c>
      <c r="K564" s="275"/>
      <c r="L564" s="275">
        <v>10300</v>
      </c>
      <c r="M564" s="275"/>
      <c r="N564" s="275"/>
    </row>
    <row r="565" spans="1:14" ht="30">
      <c r="A565" s="275">
        <v>4</v>
      </c>
      <c r="B565" s="748"/>
      <c r="C565" s="696"/>
      <c r="D565" s="274" t="s">
        <v>7198</v>
      </c>
      <c r="E565" s="274" t="s">
        <v>7199</v>
      </c>
      <c r="F565" s="275">
        <v>116.09</v>
      </c>
      <c r="G565" s="275"/>
      <c r="H565" s="275" t="s">
        <v>4075</v>
      </c>
      <c r="I565" s="275"/>
      <c r="J565" s="275" t="s">
        <v>1737</v>
      </c>
      <c r="K565" s="275"/>
      <c r="L565" s="275">
        <v>10000</v>
      </c>
      <c r="M565" s="275"/>
      <c r="N565" s="275" t="s">
        <v>7200</v>
      </c>
    </row>
    <row r="566" spans="1:14" ht="135">
      <c r="A566" s="275">
        <v>5</v>
      </c>
      <c r="B566" s="748"/>
      <c r="C566" s="747" t="s">
        <v>7213</v>
      </c>
      <c r="D566" s="274" t="s">
        <v>7214</v>
      </c>
      <c r="E566" s="274" t="s">
        <v>7215</v>
      </c>
      <c r="F566" s="276">
        <v>287.52999999999997</v>
      </c>
      <c r="G566" s="277"/>
      <c r="H566" s="275" t="s">
        <v>7218</v>
      </c>
      <c r="I566" s="19"/>
      <c r="J566" s="276" t="s">
        <v>2980</v>
      </c>
      <c r="K566" s="276" t="s">
        <v>7220</v>
      </c>
      <c r="L566" s="278" t="s">
        <v>7222</v>
      </c>
      <c r="M566" s="299">
        <v>763.45</v>
      </c>
      <c r="N566" s="277"/>
    </row>
    <row r="567" spans="1:14" ht="195">
      <c r="A567" s="275">
        <v>6</v>
      </c>
      <c r="B567" s="748"/>
      <c r="C567" s="748"/>
      <c r="D567" s="274" t="s">
        <v>7216</v>
      </c>
      <c r="E567" s="274" t="s">
        <v>7217</v>
      </c>
      <c r="F567" s="275">
        <v>747.7</v>
      </c>
      <c r="G567" s="277"/>
      <c r="H567" s="275" t="s">
        <v>7219</v>
      </c>
      <c r="I567" s="19"/>
      <c r="J567" s="276" t="s">
        <v>2980</v>
      </c>
      <c r="K567" s="275" t="s">
        <v>7221</v>
      </c>
      <c r="L567" s="278" t="s">
        <v>7223</v>
      </c>
      <c r="M567" s="278" t="s">
        <v>7224</v>
      </c>
      <c r="N567" s="275" t="s">
        <v>7225</v>
      </c>
    </row>
    <row r="568" spans="1:14" ht="120">
      <c r="A568" s="316"/>
      <c r="B568" s="748"/>
      <c r="C568" s="748"/>
      <c r="D568" s="317" t="s">
        <v>7518</v>
      </c>
      <c r="E568" s="317" t="s">
        <v>7507</v>
      </c>
      <c r="F568" s="315">
        <v>390.42</v>
      </c>
      <c r="G568" s="315">
        <v>390.42</v>
      </c>
      <c r="H568" s="316" t="s">
        <v>7508</v>
      </c>
      <c r="I568" s="319"/>
      <c r="J568" s="315" t="s">
        <v>2980</v>
      </c>
      <c r="K568" s="315" t="s">
        <v>7509</v>
      </c>
      <c r="L568" s="318" t="s">
        <v>7510</v>
      </c>
      <c r="M568" s="318" t="s">
        <v>7511</v>
      </c>
      <c r="N568" s="316" t="s">
        <v>7512</v>
      </c>
    </row>
    <row r="569" spans="1:14" ht="120">
      <c r="A569" s="316"/>
      <c r="B569" s="748"/>
      <c r="C569" s="749"/>
      <c r="D569" s="317" t="s">
        <v>7519</v>
      </c>
      <c r="E569" s="317" t="s">
        <v>7513</v>
      </c>
      <c r="F569" s="315">
        <v>288.25</v>
      </c>
      <c r="G569" s="315">
        <v>306.39</v>
      </c>
      <c r="H569" s="316" t="s">
        <v>7514</v>
      </c>
      <c r="I569" s="319"/>
      <c r="J569" s="315" t="s">
        <v>2980</v>
      </c>
      <c r="K569" s="315" t="s">
        <v>3143</v>
      </c>
      <c r="L569" s="31" t="s">
        <v>7515</v>
      </c>
      <c r="M569" s="318" t="s">
        <v>7516</v>
      </c>
      <c r="N569" s="316" t="s">
        <v>7517</v>
      </c>
    </row>
    <row r="570" spans="1:14" ht="90">
      <c r="A570" s="275">
        <v>7</v>
      </c>
      <c r="B570" s="748"/>
      <c r="C570" s="274" t="s">
        <v>7242</v>
      </c>
      <c r="D570" s="274" t="s">
        <v>7243</v>
      </c>
      <c r="E570" s="274" t="s">
        <v>7244</v>
      </c>
      <c r="F570" s="275">
        <v>450</v>
      </c>
      <c r="G570" s="275">
        <v>580</v>
      </c>
      <c r="H570" s="275" t="s">
        <v>7245</v>
      </c>
      <c r="I570" s="275" t="s">
        <v>7246</v>
      </c>
      <c r="J570" s="275" t="s">
        <v>7247</v>
      </c>
      <c r="K570" s="275" t="s">
        <v>7248</v>
      </c>
      <c r="L570" s="275" t="s">
        <v>7249</v>
      </c>
      <c r="M570" s="275" t="s">
        <v>7250</v>
      </c>
      <c r="N570" s="275" t="s">
        <v>7251</v>
      </c>
    </row>
    <row r="571" spans="1:14" ht="90">
      <c r="A571" s="275">
        <v>8</v>
      </c>
      <c r="B571" s="748"/>
      <c r="C571" s="274" t="s">
        <v>7242</v>
      </c>
      <c r="D571" s="274" t="s">
        <v>7252</v>
      </c>
      <c r="E571" s="274" t="s">
        <v>7253</v>
      </c>
      <c r="F571" s="275">
        <v>85</v>
      </c>
      <c r="G571" s="275">
        <v>90</v>
      </c>
      <c r="H571" s="275" t="s">
        <v>7254</v>
      </c>
      <c r="I571" s="275" t="s">
        <v>7246</v>
      </c>
      <c r="J571" s="275" t="s">
        <v>4530</v>
      </c>
      <c r="K571" s="275" t="s">
        <v>5940</v>
      </c>
      <c r="L571" s="275" t="s">
        <v>7255</v>
      </c>
      <c r="M571" s="275" t="s">
        <v>7256</v>
      </c>
      <c r="N571" s="275" t="s">
        <v>7257</v>
      </c>
    </row>
    <row r="572" spans="1:14" ht="75">
      <c r="A572" s="275">
        <v>9</v>
      </c>
      <c r="B572" s="748"/>
      <c r="C572" s="274" t="s">
        <v>7242</v>
      </c>
      <c r="D572" s="274" t="s">
        <v>7258</v>
      </c>
      <c r="E572" s="274" t="s">
        <v>7259</v>
      </c>
      <c r="F572" s="275">
        <v>371.61</v>
      </c>
      <c r="G572" s="275">
        <v>505.56</v>
      </c>
      <c r="H572" s="275" t="s">
        <v>7260</v>
      </c>
      <c r="I572" s="275" t="s">
        <v>7246</v>
      </c>
      <c r="J572" s="275" t="s">
        <v>4530</v>
      </c>
      <c r="K572" s="275" t="s">
        <v>1743</v>
      </c>
      <c r="L572" s="275" t="s">
        <v>7261</v>
      </c>
      <c r="M572" s="275" t="s">
        <v>7262</v>
      </c>
      <c r="N572" s="275"/>
    </row>
    <row r="573" spans="1:14" ht="90">
      <c r="A573" s="275">
        <v>10</v>
      </c>
      <c r="B573" s="748"/>
      <c r="C573" s="274" t="s">
        <v>7242</v>
      </c>
      <c r="D573" s="274" t="s">
        <v>7263</v>
      </c>
      <c r="E573" s="274" t="s">
        <v>7264</v>
      </c>
      <c r="F573" s="275">
        <v>187.81</v>
      </c>
      <c r="G573" s="275">
        <v>278.27999999999997</v>
      </c>
      <c r="H573" s="275" t="s">
        <v>7265</v>
      </c>
      <c r="I573" s="275" t="s">
        <v>7246</v>
      </c>
      <c r="J573" s="275" t="s">
        <v>4530</v>
      </c>
      <c r="K573" s="275" t="s">
        <v>7266</v>
      </c>
      <c r="L573" s="275" t="s">
        <v>7267</v>
      </c>
      <c r="M573" s="275" t="s">
        <v>7268</v>
      </c>
      <c r="N573" s="275" t="s">
        <v>7269</v>
      </c>
    </row>
    <row r="574" spans="1:14" ht="75">
      <c r="A574" s="275">
        <v>11</v>
      </c>
      <c r="B574" s="748"/>
      <c r="C574" s="274" t="s">
        <v>7242</v>
      </c>
      <c r="D574" s="274" t="s">
        <v>7270</v>
      </c>
      <c r="E574" s="274" t="s">
        <v>7271</v>
      </c>
      <c r="F574" s="23">
        <v>97</v>
      </c>
      <c r="G574" s="275">
        <v>133.80000000000001</v>
      </c>
      <c r="H574" s="275" t="s">
        <v>7272</v>
      </c>
      <c r="I574" s="275" t="s">
        <v>7246</v>
      </c>
      <c r="J574" s="275" t="s">
        <v>2980</v>
      </c>
      <c r="K574" s="275" t="s">
        <v>2771</v>
      </c>
      <c r="L574" s="275" t="s">
        <v>7273</v>
      </c>
      <c r="M574" s="275" t="s">
        <v>7274</v>
      </c>
      <c r="N574" s="275" t="s">
        <v>7275</v>
      </c>
    </row>
    <row r="575" spans="1:14" ht="105">
      <c r="A575" s="275">
        <v>12</v>
      </c>
      <c r="B575" s="748"/>
      <c r="C575" s="274" t="s">
        <v>7242</v>
      </c>
      <c r="D575" s="274" t="s">
        <v>7276</v>
      </c>
      <c r="E575" s="274" t="s">
        <v>7277</v>
      </c>
      <c r="F575" s="275">
        <v>104.05</v>
      </c>
      <c r="G575" s="275">
        <v>130.41999999999999</v>
      </c>
      <c r="H575" s="275" t="s">
        <v>7278</v>
      </c>
      <c r="I575" s="275" t="s">
        <v>7246</v>
      </c>
      <c r="J575" s="275" t="s">
        <v>4530</v>
      </c>
      <c r="K575" s="275" t="s">
        <v>7279</v>
      </c>
      <c r="L575" s="275" t="s">
        <v>7280</v>
      </c>
      <c r="M575" s="275" t="s">
        <v>7281</v>
      </c>
      <c r="N575" s="275"/>
    </row>
    <row r="576" spans="1:14" ht="105">
      <c r="A576" s="275">
        <v>13</v>
      </c>
      <c r="B576" s="748"/>
      <c r="C576" s="274" t="s">
        <v>7242</v>
      </c>
      <c r="D576" s="274" t="s">
        <v>7282</v>
      </c>
      <c r="E576" s="274" t="s">
        <v>7283</v>
      </c>
      <c r="F576" s="275">
        <v>201.79</v>
      </c>
      <c r="G576" s="275">
        <v>202.09</v>
      </c>
      <c r="H576" s="275" t="s">
        <v>7284</v>
      </c>
      <c r="I576" s="275" t="s">
        <v>7246</v>
      </c>
      <c r="J576" s="275" t="s">
        <v>4530</v>
      </c>
      <c r="K576" s="275" t="s">
        <v>2771</v>
      </c>
      <c r="L576" s="275" t="s">
        <v>7285</v>
      </c>
      <c r="M576" s="275" t="s">
        <v>7286</v>
      </c>
      <c r="N576" s="275"/>
    </row>
    <row r="577" spans="1:14" ht="105">
      <c r="A577" s="275">
        <v>14</v>
      </c>
      <c r="B577" s="748"/>
      <c r="C577" s="274" t="s">
        <v>7242</v>
      </c>
      <c r="D577" s="274" t="s">
        <v>7287</v>
      </c>
      <c r="E577" s="274" t="s">
        <v>7288</v>
      </c>
      <c r="F577" s="275">
        <v>185.16</v>
      </c>
      <c r="G577" s="275">
        <v>174.65</v>
      </c>
      <c r="H577" s="275" t="s">
        <v>7289</v>
      </c>
      <c r="I577" s="275" t="s">
        <v>7246</v>
      </c>
      <c r="J577" s="275" t="s">
        <v>4530</v>
      </c>
      <c r="K577" s="275" t="s">
        <v>1734</v>
      </c>
      <c r="L577" s="275" t="s">
        <v>7290</v>
      </c>
      <c r="M577" s="275" t="s">
        <v>7291</v>
      </c>
      <c r="N577" s="275"/>
    </row>
    <row r="578" spans="1:14" ht="105">
      <c r="A578" s="275">
        <v>15</v>
      </c>
      <c r="B578" s="748"/>
      <c r="C578" s="274" t="s">
        <v>7242</v>
      </c>
      <c r="D578" s="274" t="s">
        <v>7292</v>
      </c>
      <c r="E578" s="274" t="s">
        <v>7293</v>
      </c>
      <c r="F578" s="275">
        <v>89.84</v>
      </c>
      <c r="G578" s="275">
        <v>107.75</v>
      </c>
      <c r="H578" s="275" t="s">
        <v>7294</v>
      </c>
      <c r="I578" s="275" t="s">
        <v>7246</v>
      </c>
      <c r="J578" s="275" t="s">
        <v>4530</v>
      </c>
      <c r="K578" s="275" t="s">
        <v>1883</v>
      </c>
      <c r="L578" s="275" t="s">
        <v>7295</v>
      </c>
      <c r="M578" s="275" t="s">
        <v>7296</v>
      </c>
      <c r="N578" s="275"/>
    </row>
    <row r="579" spans="1:14" ht="90">
      <c r="A579" s="275">
        <v>16</v>
      </c>
      <c r="B579" s="748"/>
      <c r="C579" s="274" t="s">
        <v>7242</v>
      </c>
      <c r="D579" s="274" t="s">
        <v>7297</v>
      </c>
      <c r="E579" s="274" t="s">
        <v>7298</v>
      </c>
      <c r="F579" s="275">
        <v>325.72000000000003</v>
      </c>
      <c r="G579" s="275">
        <v>326.06</v>
      </c>
      <c r="H579" s="275" t="s">
        <v>7299</v>
      </c>
      <c r="I579" s="275" t="s">
        <v>7246</v>
      </c>
      <c r="J579" s="275" t="s">
        <v>4530</v>
      </c>
      <c r="K579" s="275" t="s">
        <v>5509</v>
      </c>
      <c r="L579" s="275" t="s">
        <v>7300</v>
      </c>
      <c r="M579" s="275" t="s">
        <v>7301</v>
      </c>
      <c r="N579" s="275"/>
    </row>
    <row r="580" spans="1:14" ht="75">
      <c r="A580" s="275">
        <v>17</v>
      </c>
      <c r="B580" s="748"/>
      <c r="C580" s="274" t="s">
        <v>7242</v>
      </c>
      <c r="D580" s="274" t="s">
        <v>7302</v>
      </c>
      <c r="E580" s="274" t="s">
        <v>7298</v>
      </c>
      <c r="F580" s="275">
        <v>92.9</v>
      </c>
      <c r="G580" s="275">
        <v>113.92</v>
      </c>
      <c r="H580" s="275" t="s">
        <v>7303</v>
      </c>
      <c r="I580" s="275" t="s">
        <v>7246</v>
      </c>
      <c r="J580" s="275" t="s">
        <v>4530</v>
      </c>
      <c r="K580" s="275" t="s">
        <v>3494</v>
      </c>
      <c r="L580" s="275" t="s">
        <v>7304</v>
      </c>
      <c r="M580" s="275" t="s">
        <v>7305</v>
      </c>
      <c r="N580" s="275"/>
    </row>
    <row r="581" spans="1:14" ht="225">
      <c r="A581" s="275">
        <v>18</v>
      </c>
      <c r="B581" s="748"/>
      <c r="C581" s="274" t="s">
        <v>7242</v>
      </c>
      <c r="D581" s="274" t="s">
        <v>7306</v>
      </c>
      <c r="E581" s="274" t="s">
        <v>7307</v>
      </c>
      <c r="F581" s="275">
        <v>525.45000000000005</v>
      </c>
      <c r="G581" s="275">
        <v>497.58</v>
      </c>
      <c r="H581" s="275" t="s">
        <v>7308</v>
      </c>
      <c r="I581" s="275" t="s">
        <v>7246</v>
      </c>
      <c r="J581" s="275" t="s">
        <v>2980</v>
      </c>
      <c r="K581" s="275" t="s">
        <v>3008</v>
      </c>
      <c r="L581" s="275" t="s">
        <v>7309</v>
      </c>
      <c r="M581" s="275" t="s">
        <v>7310</v>
      </c>
      <c r="N581" s="275"/>
    </row>
    <row r="582" spans="1:14" ht="120">
      <c r="A582" s="275">
        <v>19</v>
      </c>
      <c r="B582" s="748"/>
      <c r="C582" s="274" t="s">
        <v>7242</v>
      </c>
      <c r="D582" s="274" t="s">
        <v>7311</v>
      </c>
      <c r="E582" s="274" t="s">
        <v>7312</v>
      </c>
      <c r="F582" s="275">
        <v>95.08</v>
      </c>
      <c r="G582" s="275">
        <v>95.08</v>
      </c>
      <c r="H582" s="275" t="s">
        <v>7313</v>
      </c>
      <c r="I582" s="275" t="s">
        <v>7246</v>
      </c>
      <c r="J582" s="275" t="s">
        <v>2980</v>
      </c>
      <c r="K582" s="275" t="s">
        <v>3574</v>
      </c>
      <c r="L582" s="275" t="s">
        <v>7314</v>
      </c>
      <c r="M582" s="275" t="s">
        <v>7315</v>
      </c>
      <c r="N582" s="275"/>
    </row>
    <row r="583" spans="1:14" ht="60">
      <c r="A583" s="275">
        <v>20</v>
      </c>
      <c r="B583" s="748"/>
      <c r="C583" s="274" t="s">
        <v>7242</v>
      </c>
      <c r="D583" s="274" t="s">
        <v>7316</v>
      </c>
      <c r="E583" s="274" t="s">
        <v>7317</v>
      </c>
      <c r="F583" s="275" t="s">
        <v>17</v>
      </c>
      <c r="G583" s="275">
        <v>30</v>
      </c>
      <c r="H583" s="275" t="s">
        <v>17</v>
      </c>
      <c r="I583" s="275" t="s">
        <v>17</v>
      </c>
      <c r="J583" s="275" t="s">
        <v>17</v>
      </c>
      <c r="K583" s="275" t="s">
        <v>748</v>
      </c>
      <c r="L583" s="275" t="s">
        <v>7318</v>
      </c>
      <c r="M583" s="275" t="s">
        <v>35</v>
      </c>
      <c r="N583" s="275"/>
    </row>
    <row r="584" spans="1:14" ht="90">
      <c r="A584" s="275">
        <v>21</v>
      </c>
      <c r="B584" s="748"/>
      <c r="C584" s="274" t="s">
        <v>7242</v>
      </c>
      <c r="D584" s="274" t="s">
        <v>7319</v>
      </c>
      <c r="E584" s="274" t="s">
        <v>7320</v>
      </c>
      <c r="F584" s="275">
        <v>139.5</v>
      </c>
      <c r="G584" s="275">
        <v>139.5</v>
      </c>
      <c r="H584" s="275" t="s">
        <v>17</v>
      </c>
      <c r="I584" s="275" t="s">
        <v>7246</v>
      </c>
      <c r="J584" s="275" t="s">
        <v>4530</v>
      </c>
      <c r="K584" s="275" t="s">
        <v>7321</v>
      </c>
      <c r="L584" s="275" t="s">
        <v>7322</v>
      </c>
      <c r="M584" s="275">
        <v>112.9</v>
      </c>
      <c r="N584" s="275"/>
    </row>
    <row r="585" spans="1:14" ht="30">
      <c r="A585" s="275">
        <v>22</v>
      </c>
      <c r="B585" s="749"/>
      <c r="C585" s="274" t="s">
        <v>7186</v>
      </c>
      <c r="D585" s="694" t="s">
        <v>87</v>
      </c>
      <c r="E585" s="694"/>
      <c r="F585" s="694"/>
      <c r="G585" s="694"/>
      <c r="H585" s="694"/>
      <c r="I585" s="694"/>
      <c r="J585" s="694"/>
      <c r="K585" s="694"/>
      <c r="L585" s="694"/>
      <c r="M585" s="694"/>
      <c r="N585" s="694"/>
    </row>
    <row r="586" spans="1:14">
      <c r="A586" s="758"/>
      <c r="B586" s="758"/>
      <c r="C586" s="758"/>
      <c r="D586" s="758"/>
      <c r="E586" s="758"/>
      <c r="F586" s="758"/>
      <c r="G586" s="758"/>
      <c r="H586" s="758"/>
      <c r="I586" s="758"/>
      <c r="J586" s="758"/>
      <c r="K586" s="758"/>
      <c r="L586" s="758"/>
      <c r="M586" s="758"/>
      <c r="N586" s="758"/>
    </row>
    <row r="587" spans="1:14" ht="22.5">
      <c r="A587" s="759" t="s">
        <v>665</v>
      </c>
      <c r="B587" s="760"/>
      <c r="C587" s="760"/>
      <c r="D587" s="760"/>
      <c r="E587" s="760"/>
      <c r="F587" s="760"/>
      <c r="G587" s="760"/>
      <c r="H587" s="760"/>
      <c r="I587" s="760"/>
      <c r="J587" s="760"/>
      <c r="K587" s="760"/>
      <c r="L587" s="760"/>
      <c r="M587" s="760"/>
      <c r="N587" s="760"/>
    </row>
    <row r="588" spans="1:14" ht="20.25">
      <c r="A588" s="761" t="s">
        <v>2669</v>
      </c>
      <c r="B588" s="762"/>
      <c r="C588" s="762"/>
      <c r="D588" s="762"/>
      <c r="E588" s="762"/>
      <c r="F588" s="762"/>
      <c r="G588" s="762"/>
      <c r="H588" s="762"/>
      <c r="I588" s="762"/>
      <c r="J588" s="762"/>
      <c r="K588" s="762"/>
      <c r="L588" s="762"/>
      <c r="M588" s="762"/>
      <c r="N588" s="762"/>
    </row>
    <row r="589" spans="1:14" ht="71.25">
      <c r="A589" s="35" t="s">
        <v>0</v>
      </c>
      <c r="B589" s="19" t="s">
        <v>1616</v>
      </c>
      <c r="C589" s="35" t="s">
        <v>1676</v>
      </c>
      <c r="D589" s="18" t="s">
        <v>1677</v>
      </c>
      <c r="E589" s="18" t="s">
        <v>1678</v>
      </c>
      <c r="F589" s="19" t="s">
        <v>2670</v>
      </c>
      <c r="G589" s="19" t="s">
        <v>2671</v>
      </c>
      <c r="H589" s="19" t="s">
        <v>1679</v>
      </c>
      <c r="I589" s="19" t="s">
        <v>1680</v>
      </c>
      <c r="J589" s="19" t="s">
        <v>1681</v>
      </c>
      <c r="K589" s="19" t="s">
        <v>1682</v>
      </c>
      <c r="L589" s="19" t="s">
        <v>1683</v>
      </c>
      <c r="M589" s="19" t="s">
        <v>1684</v>
      </c>
      <c r="N589" s="19" t="s">
        <v>1685</v>
      </c>
    </row>
    <row r="590" spans="1:14">
      <c r="A590" s="35">
        <v>1</v>
      </c>
      <c r="B590" s="35">
        <v>2</v>
      </c>
      <c r="C590" s="35">
        <v>3</v>
      </c>
      <c r="D590" s="35">
        <v>4</v>
      </c>
      <c r="E590" s="35">
        <v>5</v>
      </c>
      <c r="F590" s="35">
        <v>6</v>
      </c>
      <c r="G590" s="35">
        <v>7</v>
      </c>
      <c r="H590" s="35">
        <v>8</v>
      </c>
      <c r="I590" s="19">
        <v>9</v>
      </c>
      <c r="J590" s="35">
        <v>10</v>
      </c>
      <c r="K590" s="35">
        <v>11</v>
      </c>
      <c r="L590" s="35">
        <v>12</v>
      </c>
      <c r="M590" s="35">
        <v>13</v>
      </c>
      <c r="N590" s="35">
        <v>14</v>
      </c>
    </row>
    <row r="591" spans="1:14" ht="45">
      <c r="A591" s="151">
        <v>1</v>
      </c>
      <c r="B591" s="565" t="s">
        <v>2615</v>
      </c>
      <c r="C591" s="42" t="s">
        <v>4520</v>
      </c>
      <c r="D591" s="42" t="s">
        <v>4521</v>
      </c>
      <c r="E591" s="42" t="s">
        <v>4522</v>
      </c>
      <c r="F591" s="151">
        <v>416.7</v>
      </c>
      <c r="G591" s="151">
        <v>416.7</v>
      </c>
      <c r="H591" s="151" t="s">
        <v>4523</v>
      </c>
      <c r="I591" s="151" t="s">
        <v>1702</v>
      </c>
      <c r="J591" s="151" t="s">
        <v>1783</v>
      </c>
      <c r="K591" s="151" t="s">
        <v>4524</v>
      </c>
      <c r="L591" s="187">
        <v>155270</v>
      </c>
      <c r="M591" s="151"/>
      <c r="N591" s="151" t="s">
        <v>17</v>
      </c>
    </row>
    <row r="592" spans="1:14" ht="60">
      <c r="A592" s="151">
        <v>2</v>
      </c>
      <c r="B592" s="566"/>
      <c r="C592" s="42" t="s">
        <v>4520</v>
      </c>
      <c r="D592" s="42" t="s">
        <v>4525</v>
      </c>
      <c r="E592" s="42" t="s">
        <v>4526</v>
      </c>
      <c r="F592" s="151">
        <v>465</v>
      </c>
      <c r="G592" s="151">
        <v>465</v>
      </c>
      <c r="H592" s="151" t="s">
        <v>4527</v>
      </c>
      <c r="I592" s="151" t="s">
        <v>1702</v>
      </c>
      <c r="J592" s="151" t="s">
        <v>17</v>
      </c>
      <c r="K592" s="151" t="s">
        <v>17</v>
      </c>
      <c r="L592" s="151" t="s">
        <v>17</v>
      </c>
      <c r="M592" s="151" t="s">
        <v>17</v>
      </c>
      <c r="N592" s="151" t="s">
        <v>17</v>
      </c>
    </row>
    <row r="593" spans="1:14" ht="45">
      <c r="A593" s="151">
        <v>3</v>
      </c>
      <c r="B593" s="566"/>
      <c r="C593" s="42" t="s">
        <v>4520</v>
      </c>
      <c r="D593" s="42" t="s">
        <v>4528</v>
      </c>
      <c r="E593" s="42" t="s">
        <v>4529</v>
      </c>
      <c r="F593" s="151">
        <v>232.25</v>
      </c>
      <c r="G593" s="151">
        <v>171.87</v>
      </c>
      <c r="H593" s="151" t="s">
        <v>4395</v>
      </c>
      <c r="I593" s="151" t="s">
        <v>1702</v>
      </c>
      <c r="J593" s="151" t="s">
        <v>4530</v>
      </c>
      <c r="K593" s="151" t="s">
        <v>4531</v>
      </c>
      <c r="L593" s="187" t="s">
        <v>4532</v>
      </c>
      <c r="M593" s="151" t="s">
        <v>4533</v>
      </c>
      <c r="N593" s="151" t="s">
        <v>17</v>
      </c>
    </row>
    <row r="594" spans="1:14" ht="60">
      <c r="A594" s="151">
        <v>4</v>
      </c>
      <c r="B594" s="566"/>
      <c r="C594" s="42" t="s">
        <v>4520</v>
      </c>
      <c r="D594" s="42" t="s">
        <v>4534</v>
      </c>
      <c r="E594" s="42" t="s">
        <v>4526</v>
      </c>
      <c r="F594" s="151">
        <v>465</v>
      </c>
      <c r="G594" s="151">
        <v>465</v>
      </c>
      <c r="H594" s="151" t="s">
        <v>4527</v>
      </c>
      <c r="I594" s="151" t="s">
        <v>1702</v>
      </c>
      <c r="J594" s="151" t="s">
        <v>17</v>
      </c>
      <c r="K594" s="151" t="s">
        <v>17</v>
      </c>
      <c r="L594" s="151" t="s">
        <v>17</v>
      </c>
      <c r="M594" s="151" t="s">
        <v>17</v>
      </c>
      <c r="N594" s="151" t="s">
        <v>17</v>
      </c>
    </row>
    <row r="595" spans="1:14" ht="60">
      <c r="A595" s="151">
        <v>5</v>
      </c>
      <c r="B595" s="566"/>
      <c r="C595" s="42" t="s">
        <v>4520</v>
      </c>
      <c r="D595" s="42" t="s">
        <v>4535</v>
      </c>
      <c r="E595" s="42" t="s">
        <v>4526</v>
      </c>
      <c r="F595" s="151">
        <v>434</v>
      </c>
      <c r="G595" s="151">
        <v>434</v>
      </c>
      <c r="H595" s="151" t="s">
        <v>4395</v>
      </c>
      <c r="I595" s="151" t="s">
        <v>1702</v>
      </c>
      <c r="J595" s="151" t="s">
        <v>17</v>
      </c>
      <c r="K595" s="151" t="s">
        <v>17</v>
      </c>
      <c r="L595" s="151" t="s">
        <v>17</v>
      </c>
      <c r="M595" s="151" t="s">
        <v>17</v>
      </c>
      <c r="N595" s="151" t="s">
        <v>17</v>
      </c>
    </row>
    <row r="596" spans="1:14" ht="60">
      <c r="A596" s="151">
        <v>6</v>
      </c>
      <c r="B596" s="566"/>
      <c r="C596" s="42" t="s">
        <v>4520</v>
      </c>
      <c r="D596" s="42" t="s">
        <v>4536</v>
      </c>
      <c r="E596" s="42" t="s">
        <v>4537</v>
      </c>
      <c r="F596" s="151" t="s">
        <v>17</v>
      </c>
      <c r="G596" s="151">
        <v>236.74</v>
      </c>
      <c r="H596" s="151" t="s">
        <v>4538</v>
      </c>
      <c r="I596" s="151" t="s">
        <v>1702</v>
      </c>
      <c r="J596" s="151" t="s">
        <v>4539</v>
      </c>
      <c r="K596" s="151" t="s">
        <v>3275</v>
      </c>
      <c r="L596" s="151" t="s">
        <v>4540</v>
      </c>
      <c r="M596" s="151"/>
      <c r="N596" s="151" t="s">
        <v>17</v>
      </c>
    </row>
    <row r="597" spans="1:14" ht="45">
      <c r="A597" s="151">
        <v>7</v>
      </c>
      <c r="B597" s="566"/>
      <c r="C597" s="42" t="s">
        <v>4520</v>
      </c>
      <c r="D597" s="52" t="s">
        <v>4541</v>
      </c>
      <c r="E597" s="52" t="s">
        <v>4542</v>
      </c>
      <c r="F597" s="151" t="s">
        <v>17</v>
      </c>
      <c r="G597" s="49">
        <v>113</v>
      </c>
      <c r="H597" s="49" t="s">
        <v>17</v>
      </c>
      <c r="I597" s="151" t="s">
        <v>1702</v>
      </c>
      <c r="J597" s="113" t="s">
        <v>4543</v>
      </c>
      <c r="K597" s="113" t="s">
        <v>2875</v>
      </c>
      <c r="L597" s="113">
        <v>11800</v>
      </c>
      <c r="M597" s="49"/>
      <c r="N597" s="151" t="s">
        <v>17</v>
      </c>
    </row>
    <row r="598" spans="1:14" ht="45">
      <c r="A598" s="151">
        <v>8</v>
      </c>
      <c r="B598" s="566"/>
      <c r="C598" s="42" t="s">
        <v>4520</v>
      </c>
      <c r="D598" s="52" t="s">
        <v>4544</v>
      </c>
      <c r="E598" s="52" t="s">
        <v>4545</v>
      </c>
      <c r="F598" s="151" t="s">
        <v>17</v>
      </c>
      <c r="G598" s="49">
        <v>79.25</v>
      </c>
      <c r="H598" s="49" t="s">
        <v>4546</v>
      </c>
      <c r="I598" s="151" t="s">
        <v>1702</v>
      </c>
      <c r="J598" s="113" t="s">
        <v>4547</v>
      </c>
      <c r="K598" s="113" t="s">
        <v>4548</v>
      </c>
      <c r="L598" s="113">
        <v>32000</v>
      </c>
      <c r="M598" s="49"/>
      <c r="N598" s="151" t="s">
        <v>17</v>
      </c>
    </row>
    <row r="599" spans="1:14" ht="60">
      <c r="A599" s="151">
        <v>9</v>
      </c>
      <c r="B599" s="566"/>
      <c r="C599" s="42" t="s">
        <v>4520</v>
      </c>
      <c r="D599" s="52" t="s">
        <v>4549</v>
      </c>
      <c r="E599" s="52" t="s">
        <v>4550</v>
      </c>
      <c r="F599" s="151" t="s">
        <v>17</v>
      </c>
      <c r="G599" s="113">
        <v>133.36000000000001</v>
      </c>
      <c r="H599" s="113" t="s">
        <v>4546</v>
      </c>
      <c r="I599" s="151" t="s">
        <v>1702</v>
      </c>
      <c r="J599" s="113" t="s">
        <v>4547</v>
      </c>
      <c r="K599" s="113" t="s">
        <v>4548</v>
      </c>
      <c r="L599" s="206">
        <v>25000</v>
      </c>
      <c r="M599" s="49"/>
      <c r="N599" s="151" t="s">
        <v>17</v>
      </c>
    </row>
    <row r="600" spans="1:14" ht="45">
      <c r="A600" s="151">
        <v>10</v>
      </c>
      <c r="B600" s="566"/>
      <c r="C600" s="42" t="s">
        <v>4520</v>
      </c>
      <c r="D600" s="52" t="s">
        <v>4551</v>
      </c>
      <c r="E600" s="52" t="s">
        <v>4552</v>
      </c>
      <c r="F600" s="151" t="s">
        <v>17</v>
      </c>
      <c r="G600" s="113">
        <v>114.97</v>
      </c>
      <c r="H600" s="113" t="s">
        <v>4546</v>
      </c>
      <c r="I600" s="151" t="s">
        <v>1702</v>
      </c>
      <c r="J600" s="113" t="s">
        <v>4547</v>
      </c>
      <c r="K600" s="113" t="s">
        <v>4548</v>
      </c>
      <c r="L600" s="206">
        <v>29500</v>
      </c>
      <c r="M600" s="49"/>
      <c r="N600" s="151" t="s">
        <v>17</v>
      </c>
    </row>
    <row r="601" spans="1:14" ht="45">
      <c r="A601" s="151">
        <v>11</v>
      </c>
      <c r="B601" s="566"/>
      <c r="C601" s="42" t="s">
        <v>4520</v>
      </c>
      <c r="D601" s="52" t="s">
        <v>4553</v>
      </c>
      <c r="E601" s="52" t="s">
        <v>4554</v>
      </c>
      <c r="F601" s="151" t="s">
        <v>17</v>
      </c>
      <c r="G601" s="113">
        <v>83.6</v>
      </c>
      <c r="H601" s="113" t="s">
        <v>4546</v>
      </c>
      <c r="I601" s="151" t="s">
        <v>1702</v>
      </c>
      <c r="J601" s="113" t="s">
        <v>4547</v>
      </c>
      <c r="K601" s="113" t="s">
        <v>4548</v>
      </c>
      <c r="L601" s="206">
        <v>18000</v>
      </c>
      <c r="M601" s="49"/>
      <c r="N601" s="151" t="s">
        <v>17</v>
      </c>
    </row>
    <row r="602" spans="1:14" ht="75">
      <c r="A602" s="151">
        <v>12</v>
      </c>
      <c r="B602" s="566"/>
      <c r="C602" s="42" t="s">
        <v>4520</v>
      </c>
      <c r="D602" s="52" t="s">
        <v>4555</v>
      </c>
      <c r="E602" s="52" t="s">
        <v>4556</v>
      </c>
      <c r="F602" s="49">
        <v>94.48</v>
      </c>
      <c r="G602" s="49">
        <v>94.48</v>
      </c>
      <c r="H602" s="49" t="s">
        <v>2113</v>
      </c>
      <c r="I602" s="151" t="s">
        <v>1702</v>
      </c>
      <c r="J602" s="49" t="s">
        <v>17</v>
      </c>
      <c r="K602" s="49" t="s">
        <v>17</v>
      </c>
      <c r="L602" s="49" t="s">
        <v>4557</v>
      </c>
      <c r="M602" s="49"/>
      <c r="N602" s="151" t="s">
        <v>17</v>
      </c>
    </row>
    <row r="603" spans="1:14" ht="60">
      <c r="A603" s="151">
        <v>13</v>
      </c>
      <c r="B603" s="566"/>
      <c r="C603" s="42" t="s">
        <v>4520</v>
      </c>
      <c r="D603" s="52" t="s">
        <v>4558</v>
      </c>
      <c r="E603" s="52" t="s">
        <v>4559</v>
      </c>
      <c r="F603" s="49">
        <v>103.12</v>
      </c>
      <c r="G603" s="49">
        <v>103.12</v>
      </c>
      <c r="H603" s="49" t="s">
        <v>4560</v>
      </c>
      <c r="I603" s="151" t="s">
        <v>1702</v>
      </c>
      <c r="J603" s="49" t="s">
        <v>17</v>
      </c>
      <c r="K603" s="49" t="s">
        <v>17</v>
      </c>
      <c r="L603" s="49" t="s">
        <v>4561</v>
      </c>
      <c r="M603" s="49"/>
      <c r="N603" s="151" t="s">
        <v>17</v>
      </c>
    </row>
    <row r="604" spans="1:14" ht="75">
      <c r="A604" s="151">
        <v>14</v>
      </c>
      <c r="B604" s="566"/>
      <c r="C604" s="42" t="s">
        <v>4520</v>
      </c>
      <c r="D604" s="52" t="s">
        <v>4562</v>
      </c>
      <c r="E604" s="52" t="s">
        <v>4563</v>
      </c>
      <c r="F604" s="49">
        <v>89.18</v>
      </c>
      <c r="G604" s="49">
        <v>89.18</v>
      </c>
      <c r="H604" s="49" t="s">
        <v>4564</v>
      </c>
      <c r="I604" s="151" t="s">
        <v>1702</v>
      </c>
      <c r="J604" s="49" t="s">
        <v>17</v>
      </c>
      <c r="K604" s="49" t="s">
        <v>17</v>
      </c>
      <c r="L604" s="49" t="s">
        <v>4565</v>
      </c>
      <c r="M604" s="49"/>
      <c r="N604" s="151" t="s">
        <v>17</v>
      </c>
    </row>
    <row r="605" spans="1:14" ht="120">
      <c r="A605" s="151">
        <v>15</v>
      </c>
      <c r="B605" s="566"/>
      <c r="C605" s="42" t="s">
        <v>4566</v>
      </c>
      <c r="D605" s="42" t="s">
        <v>4567</v>
      </c>
      <c r="E605" s="42" t="s">
        <v>4568</v>
      </c>
      <c r="F605" s="151">
        <v>365.66</v>
      </c>
      <c r="G605" s="151">
        <v>365.66</v>
      </c>
      <c r="H605" s="151" t="s">
        <v>4569</v>
      </c>
      <c r="I605" s="151" t="s">
        <v>4570</v>
      </c>
      <c r="J605" s="151" t="s">
        <v>4571</v>
      </c>
      <c r="K605" s="151" t="s">
        <v>3144</v>
      </c>
      <c r="L605" s="151" t="s">
        <v>4572</v>
      </c>
      <c r="M605" s="151"/>
      <c r="N605" s="151"/>
    </row>
    <row r="606" spans="1:14" ht="90">
      <c r="A606" s="151">
        <v>16</v>
      </c>
      <c r="B606" s="566"/>
      <c r="C606" s="42" t="s">
        <v>4566</v>
      </c>
      <c r="D606" s="42" t="s">
        <v>4573</v>
      </c>
      <c r="E606" s="42" t="s">
        <v>4568</v>
      </c>
      <c r="F606" s="151">
        <v>222.03</v>
      </c>
      <c r="G606" s="151">
        <v>222.03</v>
      </c>
      <c r="H606" s="151" t="s">
        <v>4574</v>
      </c>
      <c r="I606" s="151" t="s">
        <v>4570</v>
      </c>
      <c r="J606" s="151" t="s">
        <v>4575</v>
      </c>
      <c r="K606" s="151" t="s">
        <v>4576</v>
      </c>
      <c r="L606" s="151" t="s">
        <v>4577</v>
      </c>
      <c r="M606" s="151"/>
      <c r="N606" s="151"/>
    </row>
    <row r="607" spans="1:14" ht="105">
      <c r="A607" s="151">
        <v>17</v>
      </c>
      <c r="B607" s="566"/>
      <c r="C607" s="42" t="s">
        <v>4566</v>
      </c>
      <c r="D607" s="42" t="s">
        <v>4578</v>
      </c>
      <c r="E607" s="42" t="s">
        <v>4579</v>
      </c>
      <c r="F607" s="151">
        <v>135.63</v>
      </c>
      <c r="G607" s="151">
        <v>135.63</v>
      </c>
      <c r="H607" s="151" t="s">
        <v>4580</v>
      </c>
      <c r="I607" s="151" t="s">
        <v>4570</v>
      </c>
      <c r="J607" s="151" t="s">
        <v>4581</v>
      </c>
      <c r="K607" s="151" t="s">
        <v>1914</v>
      </c>
      <c r="L607" s="151" t="s">
        <v>4582</v>
      </c>
      <c r="M607" s="151"/>
      <c r="N607" s="151"/>
    </row>
    <row r="608" spans="1:14" ht="120">
      <c r="A608" s="151">
        <v>18</v>
      </c>
      <c r="B608" s="566"/>
      <c r="C608" s="42" t="s">
        <v>4566</v>
      </c>
      <c r="D608" s="42" t="s">
        <v>4583</v>
      </c>
      <c r="E608" s="42" t="s">
        <v>4584</v>
      </c>
      <c r="F608" s="151">
        <v>263.64999999999998</v>
      </c>
      <c r="G608" s="151">
        <v>263.64999999999998</v>
      </c>
      <c r="H608" s="151" t="s">
        <v>4585</v>
      </c>
      <c r="I608" s="151" t="s">
        <v>4570</v>
      </c>
      <c r="J608" s="151" t="s">
        <v>4586</v>
      </c>
      <c r="K608" s="151" t="s">
        <v>4072</v>
      </c>
      <c r="L608" s="151" t="s">
        <v>1900</v>
      </c>
      <c r="M608" s="151"/>
      <c r="N608" s="151"/>
    </row>
    <row r="609" spans="1:14" ht="45">
      <c r="A609" s="151">
        <v>19</v>
      </c>
      <c r="B609" s="566"/>
      <c r="C609" s="42" t="s">
        <v>4566</v>
      </c>
      <c r="D609" s="42" t="s">
        <v>4587</v>
      </c>
      <c r="E609" s="42" t="s">
        <v>4588</v>
      </c>
      <c r="F609" s="151">
        <v>1300</v>
      </c>
      <c r="G609" s="151">
        <v>1300</v>
      </c>
      <c r="H609" s="151" t="s">
        <v>2766</v>
      </c>
      <c r="I609" s="151" t="s">
        <v>4570</v>
      </c>
      <c r="J609" s="151" t="s">
        <v>4589</v>
      </c>
      <c r="K609" s="151" t="s">
        <v>3695</v>
      </c>
      <c r="L609" s="151" t="s">
        <v>4590</v>
      </c>
      <c r="M609" s="151"/>
      <c r="N609" s="207" t="s">
        <v>4591</v>
      </c>
    </row>
    <row r="610" spans="1:14" ht="45">
      <c r="A610" s="151">
        <v>20</v>
      </c>
      <c r="B610" s="566"/>
      <c r="C610" s="42" t="s">
        <v>4566</v>
      </c>
      <c r="D610" s="42" t="s">
        <v>4592</v>
      </c>
      <c r="E610" s="42" t="s">
        <v>4593</v>
      </c>
      <c r="F610" s="151">
        <v>1960</v>
      </c>
      <c r="G610" s="151">
        <v>1960</v>
      </c>
      <c r="H610" s="151" t="s">
        <v>4594</v>
      </c>
      <c r="I610" s="151" t="s">
        <v>4570</v>
      </c>
      <c r="J610" s="151"/>
      <c r="K610" s="151"/>
      <c r="L610" s="151"/>
      <c r="M610" s="151"/>
      <c r="N610" s="207" t="s">
        <v>4591</v>
      </c>
    </row>
    <row r="611" spans="1:14" ht="60">
      <c r="A611" s="151">
        <v>21</v>
      </c>
      <c r="B611" s="566"/>
      <c r="C611" s="42" t="s">
        <v>4566</v>
      </c>
      <c r="D611" s="42" t="s">
        <v>4595</v>
      </c>
      <c r="E611" s="42" t="s">
        <v>4596</v>
      </c>
      <c r="F611" s="151">
        <v>116.63</v>
      </c>
      <c r="G611" s="151"/>
      <c r="H611" s="151" t="s">
        <v>4597</v>
      </c>
      <c r="I611" s="151" t="s">
        <v>4570</v>
      </c>
      <c r="J611" s="151" t="s">
        <v>1703</v>
      </c>
      <c r="K611" s="151" t="s">
        <v>4598</v>
      </c>
      <c r="L611" s="151" t="s">
        <v>4599</v>
      </c>
      <c r="M611" s="151" t="s">
        <v>4600</v>
      </c>
      <c r="N611" s="207"/>
    </row>
    <row r="612" spans="1:14" ht="45">
      <c r="A612" s="151">
        <v>22</v>
      </c>
      <c r="B612" s="566"/>
      <c r="C612" s="42" t="s">
        <v>4566</v>
      </c>
      <c r="D612" s="42" t="s">
        <v>4601</v>
      </c>
      <c r="E612" s="42" t="s">
        <v>4602</v>
      </c>
      <c r="F612" s="151">
        <v>160.54</v>
      </c>
      <c r="G612" s="151"/>
      <c r="H612" s="151" t="s">
        <v>4603</v>
      </c>
      <c r="I612" s="151" t="s">
        <v>4570</v>
      </c>
      <c r="J612" s="151" t="s">
        <v>1703</v>
      </c>
      <c r="K612" s="151" t="s">
        <v>1743</v>
      </c>
      <c r="L612" s="151" t="s">
        <v>4604</v>
      </c>
      <c r="M612" s="151" t="s">
        <v>4605</v>
      </c>
      <c r="N612" s="207"/>
    </row>
    <row r="613" spans="1:14" ht="45">
      <c r="A613" s="151">
        <v>23</v>
      </c>
      <c r="B613" s="566"/>
      <c r="C613" s="42" t="s">
        <v>4566</v>
      </c>
      <c r="D613" s="42" t="s">
        <v>4606</v>
      </c>
      <c r="E613" s="42" t="s">
        <v>4607</v>
      </c>
      <c r="F613" s="151">
        <v>123.38</v>
      </c>
      <c r="G613" s="151">
        <v>123.38</v>
      </c>
      <c r="H613" s="151" t="s">
        <v>4608</v>
      </c>
      <c r="I613" s="151" t="s">
        <v>4570</v>
      </c>
      <c r="J613" s="151" t="s">
        <v>1703</v>
      </c>
      <c r="K613" s="151" t="s">
        <v>3144</v>
      </c>
      <c r="L613" s="151" t="s">
        <v>4609</v>
      </c>
      <c r="M613" s="151" t="s">
        <v>4610</v>
      </c>
      <c r="N613" s="207"/>
    </row>
    <row r="614" spans="1:14" ht="60">
      <c r="A614" s="151">
        <v>24</v>
      </c>
      <c r="B614" s="566"/>
      <c r="C614" s="42" t="s">
        <v>2589</v>
      </c>
      <c r="D614" s="42" t="s">
        <v>4611</v>
      </c>
      <c r="E614" s="42" t="s">
        <v>4612</v>
      </c>
      <c r="F614" s="151">
        <v>1450</v>
      </c>
      <c r="G614" s="151">
        <v>1450</v>
      </c>
      <c r="H614" s="151" t="s">
        <v>4613</v>
      </c>
      <c r="I614" s="151" t="s">
        <v>1702</v>
      </c>
      <c r="J614" s="151" t="s">
        <v>1783</v>
      </c>
      <c r="K614" s="151" t="s">
        <v>4614</v>
      </c>
      <c r="L614" s="151" t="s">
        <v>4615</v>
      </c>
      <c r="M614" s="151" t="s">
        <v>1995</v>
      </c>
      <c r="N614" s="151" t="s">
        <v>1995</v>
      </c>
    </row>
    <row r="615" spans="1:14" ht="75">
      <c r="A615" s="151">
        <v>25</v>
      </c>
      <c r="B615" s="566"/>
      <c r="C615" s="42" t="s">
        <v>2589</v>
      </c>
      <c r="D615" s="42" t="s">
        <v>4616</v>
      </c>
      <c r="E615" s="42" t="s">
        <v>4617</v>
      </c>
      <c r="F615" s="151">
        <v>190</v>
      </c>
      <c r="G615" s="151">
        <v>190</v>
      </c>
      <c r="H615" s="151" t="s">
        <v>4618</v>
      </c>
      <c r="I615" s="151" t="s">
        <v>1702</v>
      </c>
      <c r="J615" s="151" t="s">
        <v>1783</v>
      </c>
      <c r="K615" s="151" t="s">
        <v>4619</v>
      </c>
      <c r="L615" s="151" t="s">
        <v>4620</v>
      </c>
      <c r="M615" s="151" t="s">
        <v>4621</v>
      </c>
      <c r="N615" s="151" t="s">
        <v>1995</v>
      </c>
    </row>
    <row r="616" spans="1:14" ht="75">
      <c r="A616" s="151">
        <v>26</v>
      </c>
      <c r="B616" s="566"/>
      <c r="C616" s="42" t="s">
        <v>2589</v>
      </c>
      <c r="D616" s="42" t="s">
        <v>4622</v>
      </c>
      <c r="E616" s="42" t="s">
        <v>4623</v>
      </c>
      <c r="F616" s="151">
        <v>154.80000000000001</v>
      </c>
      <c r="G616" s="151" t="s">
        <v>1280</v>
      </c>
      <c r="H616" s="151" t="s">
        <v>1996</v>
      </c>
      <c r="I616" s="151" t="s">
        <v>1702</v>
      </c>
      <c r="J616" s="151" t="s">
        <v>1783</v>
      </c>
      <c r="K616" s="151" t="s">
        <v>1995</v>
      </c>
      <c r="L616" s="151" t="s">
        <v>4624</v>
      </c>
      <c r="M616" s="151" t="s">
        <v>1995</v>
      </c>
      <c r="N616" s="207" t="s">
        <v>4625</v>
      </c>
    </row>
    <row r="617" spans="1:14" ht="60">
      <c r="A617" s="151">
        <v>27</v>
      </c>
      <c r="B617" s="566"/>
      <c r="C617" s="42" t="s">
        <v>2589</v>
      </c>
      <c r="D617" s="42" t="s">
        <v>4626</v>
      </c>
      <c r="E617" s="42" t="s">
        <v>4627</v>
      </c>
      <c r="F617" s="151">
        <v>372</v>
      </c>
      <c r="G617" s="151">
        <v>372</v>
      </c>
      <c r="H617" s="151" t="s">
        <v>4628</v>
      </c>
      <c r="I617" s="151" t="s">
        <v>1702</v>
      </c>
      <c r="J617" s="151" t="s">
        <v>1783</v>
      </c>
      <c r="K617" s="151" t="s">
        <v>4629</v>
      </c>
      <c r="L617" s="151" t="s">
        <v>4630</v>
      </c>
      <c r="M617" s="151" t="s">
        <v>4631</v>
      </c>
      <c r="N617" s="207"/>
    </row>
    <row r="618" spans="1:14" ht="45">
      <c r="A618" s="151">
        <v>28</v>
      </c>
      <c r="B618" s="566"/>
      <c r="C618" s="42" t="s">
        <v>2589</v>
      </c>
      <c r="D618" s="42" t="s">
        <v>4632</v>
      </c>
      <c r="E618" s="42" t="s">
        <v>4633</v>
      </c>
      <c r="F618" s="151">
        <v>148</v>
      </c>
      <c r="G618" s="151">
        <v>116</v>
      </c>
      <c r="H618" s="151" t="s">
        <v>2817</v>
      </c>
      <c r="I618" s="151" t="s">
        <v>1702</v>
      </c>
      <c r="J618" s="151" t="s">
        <v>1783</v>
      </c>
      <c r="K618" s="151" t="s">
        <v>4139</v>
      </c>
      <c r="L618" s="151" t="s">
        <v>4634</v>
      </c>
      <c r="M618" s="151" t="s">
        <v>17</v>
      </c>
      <c r="N618" s="207"/>
    </row>
    <row r="619" spans="1:14" ht="45">
      <c r="A619" s="151">
        <v>29</v>
      </c>
      <c r="B619" s="566"/>
      <c r="C619" s="42" t="s">
        <v>2589</v>
      </c>
      <c r="D619" s="42" t="s">
        <v>4635</v>
      </c>
      <c r="E619" s="42" t="s">
        <v>4636</v>
      </c>
      <c r="F619" s="151">
        <v>148</v>
      </c>
      <c r="G619" s="151">
        <v>80</v>
      </c>
      <c r="H619" s="151" t="s">
        <v>4637</v>
      </c>
      <c r="I619" s="151" t="s">
        <v>1702</v>
      </c>
      <c r="J619" s="151" t="s">
        <v>1783</v>
      </c>
      <c r="K619" s="151" t="s">
        <v>3314</v>
      </c>
      <c r="L619" s="151" t="s">
        <v>4638</v>
      </c>
      <c r="M619" s="151" t="s">
        <v>17</v>
      </c>
      <c r="N619" s="207"/>
    </row>
    <row r="620" spans="1:14" ht="60">
      <c r="A620" s="151">
        <v>30</v>
      </c>
      <c r="B620" s="566"/>
      <c r="C620" s="42" t="s">
        <v>2589</v>
      </c>
      <c r="D620" s="42" t="s">
        <v>4639</v>
      </c>
      <c r="E620" s="42" t="s">
        <v>4640</v>
      </c>
      <c r="F620" s="151">
        <v>150</v>
      </c>
      <c r="G620" s="151">
        <v>121</v>
      </c>
      <c r="H620" s="151" t="s">
        <v>3503</v>
      </c>
      <c r="I620" s="151" t="s">
        <v>1702</v>
      </c>
      <c r="J620" s="151" t="s">
        <v>1783</v>
      </c>
      <c r="K620" s="151" t="s">
        <v>3494</v>
      </c>
      <c r="L620" s="151" t="s">
        <v>4641</v>
      </c>
      <c r="M620" s="151" t="s">
        <v>17</v>
      </c>
      <c r="N620" s="207"/>
    </row>
    <row r="621" spans="1:14" ht="45">
      <c r="A621" s="151">
        <v>31</v>
      </c>
      <c r="B621" s="566"/>
      <c r="C621" s="42" t="s">
        <v>2589</v>
      </c>
      <c r="D621" s="42" t="s">
        <v>4642</v>
      </c>
      <c r="E621" s="42" t="s">
        <v>4643</v>
      </c>
      <c r="F621" s="151">
        <v>288.01</v>
      </c>
      <c r="G621" s="151" t="s">
        <v>1280</v>
      </c>
      <c r="H621" s="151" t="s">
        <v>3760</v>
      </c>
      <c r="I621" s="151" t="s">
        <v>1702</v>
      </c>
      <c r="J621" s="151" t="s">
        <v>1783</v>
      </c>
      <c r="K621" s="151" t="s">
        <v>3763</v>
      </c>
      <c r="L621" s="151" t="s">
        <v>4644</v>
      </c>
      <c r="M621" s="151" t="s">
        <v>1995</v>
      </c>
      <c r="N621" s="207" t="s">
        <v>4645</v>
      </c>
    </row>
    <row r="622" spans="1:14" ht="75">
      <c r="A622" s="151">
        <v>32</v>
      </c>
      <c r="B622" s="566"/>
      <c r="C622" s="42" t="s">
        <v>2589</v>
      </c>
      <c r="D622" s="42" t="s">
        <v>4646</v>
      </c>
      <c r="E622" s="42" t="s">
        <v>4643</v>
      </c>
      <c r="F622" s="151">
        <v>82.141999999999996</v>
      </c>
      <c r="G622" s="151" t="s">
        <v>1280</v>
      </c>
      <c r="H622" s="151" t="s">
        <v>3187</v>
      </c>
      <c r="I622" s="151" t="s">
        <v>1702</v>
      </c>
      <c r="J622" s="151" t="s">
        <v>1783</v>
      </c>
      <c r="K622" s="151" t="s">
        <v>2759</v>
      </c>
      <c r="L622" s="151" t="s">
        <v>4647</v>
      </c>
      <c r="M622" s="151" t="s">
        <v>1995</v>
      </c>
      <c r="N622" s="207" t="s">
        <v>4648</v>
      </c>
    </row>
    <row r="623" spans="1:14" ht="60">
      <c r="A623" s="151">
        <v>33</v>
      </c>
      <c r="B623" s="566"/>
      <c r="C623" s="42" t="s">
        <v>2589</v>
      </c>
      <c r="D623" s="42" t="s">
        <v>4649</v>
      </c>
      <c r="E623" s="42" t="s">
        <v>1280</v>
      </c>
      <c r="F623" s="151" t="s">
        <v>1282</v>
      </c>
      <c r="G623" s="151" t="s">
        <v>1280</v>
      </c>
      <c r="H623" s="151" t="s">
        <v>1996</v>
      </c>
      <c r="I623" s="151" t="s">
        <v>1996</v>
      </c>
      <c r="J623" s="151" t="s">
        <v>1280</v>
      </c>
      <c r="K623" s="151" t="s">
        <v>1280</v>
      </c>
      <c r="L623" s="151" t="s">
        <v>1280</v>
      </c>
      <c r="M623" s="151" t="s">
        <v>1995</v>
      </c>
      <c r="N623" s="207" t="s">
        <v>4650</v>
      </c>
    </row>
    <row r="624" spans="1:14" ht="45">
      <c r="A624" s="151">
        <v>34</v>
      </c>
      <c r="B624" s="566"/>
      <c r="C624" s="42" t="s">
        <v>2589</v>
      </c>
      <c r="D624" s="42" t="s">
        <v>4651</v>
      </c>
      <c r="E624" s="42" t="s">
        <v>4652</v>
      </c>
      <c r="F624" s="151">
        <v>207.999</v>
      </c>
      <c r="G624" s="151" t="s">
        <v>1280</v>
      </c>
      <c r="H624" s="151" t="s">
        <v>2766</v>
      </c>
      <c r="I624" s="151" t="s">
        <v>1702</v>
      </c>
      <c r="J624" s="151" t="s">
        <v>1783</v>
      </c>
      <c r="K624" s="151" t="s">
        <v>1734</v>
      </c>
      <c r="L624" s="151" t="s">
        <v>4653</v>
      </c>
      <c r="M624" s="151" t="s">
        <v>1995</v>
      </c>
      <c r="N624" s="151" t="s">
        <v>1996</v>
      </c>
    </row>
    <row r="625" spans="1:14" ht="90">
      <c r="A625" s="151">
        <v>35</v>
      </c>
      <c r="B625" s="566"/>
      <c r="C625" s="42" t="s">
        <v>2589</v>
      </c>
      <c r="D625" s="42" t="s">
        <v>4654</v>
      </c>
      <c r="E625" s="42" t="s">
        <v>4655</v>
      </c>
      <c r="F625" s="151">
        <v>37.871000000000002</v>
      </c>
      <c r="G625" s="151" t="s">
        <v>1280</v>
      </c>
      <c r="H625" s="151" t="s">
        <v>4656</v>
      </c>
      <c r="I625" s="151" t="s">
        <v>1702</v>
      </c>
      <c r="J625" s="151" t="s">
        <v>4657</v>
      </c>
      <c r="K625" s="151" t="s">
        <v>3503</v>
      </c>
      <c r="L625" s="151" t="s">
        <v>4658</v>
      </c>
      <c r="M625" s="151" t="s">
        <v>1995</v>
      </c>
      <c r="N625" s="207" t="s">
        <v>4659</v>
      </c>
    </row>
    <row r="626" spans="1:14" ht="90">
      <c r="A626" s="151">
        <v>36</v>
      </c>
      <c r="B626" s="566"/>
      <c r="C626" s="42" t="s">
        <v>2589</v>
      </c>
      <c r="D626" s="42" t="s">
        <v>4660</v>
      </c>
      <c r="E626" s="42" t="s">
        <v>1280</v>
      </c>
      <c r="F626" s="151" t="s">
        <v>1282</v>
      </c>
      <c r="G626" s="151" t="s">
        <v>1280</v>
      </c>
      <c r="H626" s="151" t="s">
        <v>1996</v>
      </c>
      <c r="I626" s="151" t="s">
        <v>1996</v>
      </c>
      <c r="J626" s="151" t="s">
        <v>1280</v>
      </c>
      <c r="K626" s="151" t="s">
        <v>1280</v>
      </c>
      <c r="L626" s="151" t="s">
        <v>1280</v>
      </c>
      <c r="M626" s="151" t="s">
        <v>1995</v>
      </c>
      <c r="N626" s="207" t="s">
        <v>4661</v>
      </c>
    </row>
    <row r="627" spans="1:14" ht="45">
      <c r="A627" s="151">
        <v>37</v>
      </c>
      <c r="B627" s="566"/>
      <c r="C627" s="42" t="s">
        <v>2589</v>
      </c>
      <c r="D627" s="42" t="s">
        <v>4662</v>
      </c>
      <c r="E627" s="42" t="s">
        <v>4663</v>
      </c>
      <c r="F627" s="151">
        <v>951.87</v>
      </c>
      <c r="G627" s="151">
        <v>951.87</v>
      </c>
      <c r="H627" s="151" t="s">
        <v>4664</v>
      </c>
      <c r="I627" s="151" t="s">
        <v>1702</v>
      </c>
      <c r="J627" s="151" t="s">
        <v>1783</v>
      </c>
      <c r="K627" s="151" t="s">
        <v>3574</v>
      </c>
      <c r="L627" s="151" t="s">
        <v>4665</v>
      </c>
      <c r="M627" s="151" t="s">
        <v>1282</v>
      </c>
      <c r="N627" s="151" t="s">
        <v>1282</v>
      </c>
    </row>
    <row r="628" spans="1:14" ht="45">
      <c r="A628" s="151">
        <v>38</v>
      </c>
      <c r="B628" s="566"/>
      <c r="C628" s="42" t="s">
        <v>2589</v>
      </c>
      <c r="D628" s="42" t="s">
        <v>4666</v>
      </c>
      <c r="E628" s="42" t="s">
        <v>4667</v>
      </c>
      <c r="F628" s="151">
        <v>98.4</v>
      </c>
      <c r="G628" s="151">
        <v>98.4</v>
      </c>
      <c r="H628" s="151" t="s">
        <v>4668</v>
      </c>
      <c r="I628" s="151" t="s">
        <v>1702</v>
      </c>
      <c r="J628" s="151" t="s">
        <v>1783</v>
      </c>
      <c r="K628" s="151" t="s">
        <v>3209</v>
      </c>
      <c r="L628" s="151" t="s">
        <v>4669</v>
      </c>
      <c r="M628" s="151" t="s">
        <v>1282</v>
      </c>
      <c r="N628" s="151" t="s">
        <v>1282</v>
      </c>
    </row>
    <row r="629" spans="1:14" ht="45">
      <c r="A629" s="151">
        <v>39</v>
      </c>
      <c r="B629" s="566"/>
      <c r="C629" s="42" t="s">
        <v>2589</v>
      </c>
      <c r="D629" s="42" t="s">
        <v>4670</v>
      </c>
      <c r="E629" s="42" t="s">
        <v>4671</v>
      </c>
      <c r="F629" s="151">
        <v>209.27</v>
      </c>
      <c r="G629" s="151">
        <v>209.27</v>
      </c>
      <c r="H629" s="151" t="s">
        <v>4672</v>
      </c>
      <c r="I629" s="151" t="s">
        <v>1702</v>
      </c>
      <c r="J629" s="151" t="s">
        <v>1783</v>
      </c>
      <c r="K629" s="151" t="s">
        <v>2766</v>
      </c>
      <c r="L629" s="151" t="s">
        <v>4673</v>
      </c>
      <c r="M629" s="151" t="s">
        <v>1282</v>
      </c>
      <c r="N629" s="151" t="s">
        <v>4674</v>
      </c>
    </row>
    <row r="630" spans="1:14" ht="60">
      <c r="A630" s="151">
        <v>40</v>
      </c>
      <c r="B630" s="566"/>
      <c r="C630" s="42" t="s">
        <v>2530</v>
      </c>
      <c r="D630" s="42" t="s">
        <v>4675</v>
      </c>
      <c r="E630" s="42" t="s">
        <v>4676</v>
      </c>
      <c r="F630" s="151">
        <v>65.03</v>
      </c>
      <c r="G630" s="151">
        <v>65.03</v>
      </c>
      <c r="H630" s="151" t="s">
        <v>4677</v>
      </c>
      <c r="I630" s="151" t="s">
        <v>1702</v>
      </c>
      <c r="J630" s="151" t="s">
        <v>4678</v>
      </c>
      <c r="K630" s="151" t="s">
        <v>1789</v>
      </c>
      <c r="L630" s="151">
        <v>14000</v>
      </c>
      <c r="M630" s="151">
        <v>215</v>
      </c>
      <c r="N630" s="151"/>
    </row>
    <row r="631" spans="1:14" ht="60">
      <c r="A631" s="151">
        <v>41</v>
      </c>
      <c r="B631" s="566"/>
      <c r="C631" s="42" t="s">
        <v>2530</v>
      </c>
      <c r="D631" s="42" t="s">
        <v>4679</v>
      </c>
      <c r="E631" s="42" t="s">
        <v>4680</v>
      </c>
      <c r="F631" s="151">
        <v>155.4</v>
      </c>
      <c r="G631" s="151">
        <v>155.4</v>
      </c>
      <c r="H631" s="151" t="s">
        <v>4681</v>
      </c>
      <c r="I631" s="151" t="s">
        <v>1702</v>
      </c>
      <c r="J631" s="151" t="s">
        <v>1742</v>
      </c>
      <c r="K631" s="151" t="s">
        <v>4682</v>
      </c>
      <c r="L631" s="151">
        <v>9048</v>
      </c>
      <c r="M631" s="151">
        <v>58</v>
      </c>
      <c r="N631" s="151"/>
    </row>
    <row r="632" spans="1:14" ht="60">
      <c r="A632" s="151">
        <v>42</v>
      </c>
      <c r="B632" s="566"/>
      <c r="C632" s="42" t="s">
        <v>2530</v>
      </c>
      <c r="D632" s="42" t="s">
        <v>4683</v>
      </c>
      <c r="E632" s="42" t="s">
        <v>4684</v>
      </c>
      <c r="F632" s="151">
        <v>86.82</v>
      </c>
      <c r="G632" s="151">
        <v>86.82</v>
      </c>
      <c r="H632" s="151" t="s">
        <v>4685</v>
      </c>
      <c r="I632" s="151" t="s">
        <v>1702</v>
      </c>
      <c r="J632" s="151" t="s">
        <v>1737</v>
      </c>
      <c r="K632" s="151" t="s">
        <v>4686</v>
      </c>
      <c r="L632" s="151">
        <v>14500</v>
      </c>
      <c r="M632" s="151">
        <v>167</v>
      </c>
      <c r="N632" s="207"/>
    </row>
    <row r="633" spans="1:14" ht="60">
      <c r="A633" s="151">
        <v>43</v>
      </c>
      <c r="B633" s="566"/>
      <c r="C633" s="42" t="s">
        <v>2530</v>
      </c>
      <c r="D633" s="42" t="s">
        <v>4687</v>
      </c>
      <c r="E633" s="42" t="s">
        <v>4688</v>
      </c>
      <c r="F633" s="151">
        <v>562.84</v>
      </c>
      <c r="G633" s="151">
        <v>358.65</v>
      </c>
      <c r="H633" s="151" t="s">
        <v>4689</v>
      </c>
      <c r="I633" s="151" t="s">
        <v>1702</v>
      </c>
      <c r="J633" s="151" t="s">
        <v>4678</v>
      </c>
      <c r="K633" s="151" t="s">
        <v>1734</v>
      </c>
      <c r="L633" s="151" t="s">
        <v>4690</v>
      </c>
      <c r="M633" s="151">
        <v>236.47</v>
      </c>
      <c r="N633" s="207"/>
    </row>
    <row r="634" spans="1:14" ht="90">
      <c r="A634" s="151">
        <v>44</v>
      </c>
      <c r="B634" s="566"/>
      <c r="C634" s="42" t="s">
        <v>2530</v>
      </c>
      <c r="D634" s="42" t="s">
        <v>4691</v>
      </c>
      <c r="E634" s="42" t="s">
        <v>4692</v>
      </c>
      <c r="F634" s="151">
        <v>187.38</v>
      </c>
      <c r="G634" s="151">
        <v>187.38</v>
      </c>
      <c r="H634" s="151" t="s">
        <v>4693</v>
      </c>
      <c r="I634" s="151" t="s">
        <v>1702</v>
      </c>
      <c r="J634" s="151" t="s">
        <v>1742</v>
      </c>
      <c r="K634" s="151" t="s">
        <v>1743</v>
      </c>
      <c r="L634" s="187">
        <v>8840</v>
      </c>
      <c r="M634" s="151">
        <v>47.17</v>
      </c>
      <c r="N634" s="207"/>
    </row>
    <row r="635" spans="1:14" ht="90">
      <c r="A635" s="151">
        <v>45</v>
      </c>
      <c r="B635" s="566"/>
      <c r="C635" s="42" t="s">
        <v>2530</v>
      </c>
      <c r="D635" s="42" t="s">
        <v>4694</v>
      </c>
      <c r="E635" s="42" t="s">
        <v>4695</v>
      </c>
      <c r="F635" s="151">
        <v>186.58</v>
      </c>
      <c r="G635" s="151">
        <v>186.58</v>
      </c>
      <c r="H635" s="151" t="s">
        <v>4696</v>
      </c>
      <c r="I635" s="151" t="s">
        <v>1702</v>
      </c>
      <c r="J635" s="151" t="s">
        <v>3796</v>
      </c>
      <c r="K635" s="151" t="s">
        <v>4697</v>
      </c>
      <c r="L635" s="187">
        <v>17538</v>
      </c>
      <c r="M635" s="151">
        <v>93.99</v>
      </c>
      <c r="N635" s="207"/>
    </row>
    <row r="636" spans="1:14" ht="105">
      <c r="A636" s="151">
        <v>46</v>
      </c>
      <c r="B636" s="566"/>
      <c r="C636" s="42" t="s">
        <v>2530</v>
      </c>
      <c r="D636" s="42" t="s">
        <v>4698</v>
      </c>
      <c r="E636" s="42" t="s">
        <v>4699</v>
      </c>
      <c r="F636" s="151">
        <v>167.22</v>
      </c>
      <c r="G636" s="151">
        <v>167.22</v>
      </c>
      <c r="H636" s="151" t="s">
        <v>4700</v>
      </c>
      <c r="I636" s="151" t="s">
        <v>1702</v>
      </c>
      <c r="J636" s="151" t="s">
        <v>1737</v>
      </c>
      <c r="K636" s="151" t="s">
        <v>4701</v>
      </c>
      <c r="L636" s="187">
        <v>37366</v>
      </c>
      <c r="M636" s="151">
        <v>223.45</v>
      </c>
      <c r="N636" s="151"/>
    </row>
    <row r="637" spans="1:14" ht="60">
      <c r="A637" s="151">
        <v>47</v>
      </c>
      <c r="B637" s="566"/>
      <c r="C637" s="42" t="s">
        <v>2530</v>
      </c>
      <c r="D637" s="42" t="s">
        <v>4702</v>
      </c>
      <c r="E637" s="42" t="s">
        <v>4703</v>
      </c>
      <c r="F637" s="151">
        <v>312</v>
      </c>
      <c r="G637" s="151">
        <v>312</v>
      </c>
      <c r="H637" s="151" t="s">
        <v>4704</v>
      </c>
      <c r="I637" s="151" t="s">
        <v>1702</v>
      </c>
      <c r="J637" s="151" t="s">
        <v>1737</v>
      </c>
      <c r="K637" s="151" t="s">
        <v>1734</v>
      </c>
      <c r="L637" s="187">
        <v>55264</v>
      </c>
      <c r="M637" s="151">
        <v>177.13</v>
      </c>
      <c r="N637" s="151"/>
    </row>
    <row r="638" spans="1:14" ht="60">
      <c r="A638" s="151">
        <v>48</v>
      </c>
      <c r="B638" s="566"/>
      <c r="C638" s="42" t="s">
        <v>2530</v>
      </c>
      <c r="D638" s="42" t="s">
        <v>4705</v>
      </c>
      <c r="E638" s="42" t="s">
        <v>4706</v>
      </c>
      <c r="F638" s="151">
        <v>167.22499999999999</v>
      </c>
      <c r="G638" s="151">
        <v>167.22499999999999</v>
      </c>
      <c r="H638" s="151" t="s">
        <v>4707</v>
      </c>
      <c r="I638" s="151" t="s">
        <v>1702</v>
      </c>
      <c r="J638" s="151" t="s">
        <v>1737</v>
      </c>
      <c r="K638" s="151" t="s">
        <v>3475</v>
      </c>
      <c r="L638" s="187">
        <v>27910</v>
      </c>
      <c r="M638" s="151">
        <v>167</v>
      </c>
      <c r="N638" s="151"/>
    </row>
    <row r="639" spans="1:14" ht="45">
      <c r="A639" s="151">
        <v>49</v>
      </c>
      <c r="B639" s="566"/>
      <c r="C639" s="42" t="s">
        <v>4708</v>
      </c>
      <c r="D639" s="42" t="s">
        <v>4709</v>
      </c>
      <c r="E639" s="42" t="s">
        <v>4710</v>
      </c>
      <c r="F639" s="151">
        <v>481.04</v>
      </c>
      <c r="G639" s="151"/>
      <c r="H639" s="151"/>
      <c r="I639" s="151"/>
      <c r="J639" s="151"/>
      <c r="K639" s="151"/>
      <c r="L639" s="151"/>
      <c r="M639" s="151"/>
      <c r="N639" s="151"/>
    </row>
    <row r="640" spans="1:14" ht="45">
      <c r="A640" s="151">
        <v>50</v>
      </c>
      <c r="B640" s="566"/>
      <c r="C640" s="42" t="s">
        <v>4708</v>
      </c>
      <c r="D640" s="42" t="s">
        <v>4711</v>
      </c>
      <c r="E640" s="42" t="s">
        <v>4712</v>
      </c>
      <c r="F640" s="151">
        <v>601.39</v>
      </c>
      <c r="G640" s="151"/>
      <c r="H640" s="151"/>
      <c r="I640" s="151"/>
      <c r="J640" s="151"/>
      <c r="K640" s="151"/>
      <c r="L640" s="151"/>
      <c r="M640" s="151"/>
      <c r="N640" s="151" t="s">
        <v>4713</v>
      </c>
    </row>
    <row r="641" spans="1:14" ht="45">
      <c r="A641" s="151">
        <v>51</v>
      </c>
      <c r="B641" s="566"/>
      <c r="C641" s="42" t="s">
        <v>4708</v>
      </c>
      <c r="D641" s="42" t="s">
        <v>4714</v>
      </c>
      <c r="E641" s="42" t="s">
        <v>4715</v>
      </c>
      <c r="F641" s="151"/>
      <c r="G641" s="151"/>
      <c r="H641" s="151"/>
      <c r="I641" s="151"/>
      <c r="J641" s="151"/>
      <c r="K641" s="151"/>
      <c r="L641" s="151"/>
      <c r="M641" s="151"/>
      <c r="N641" s="151" t="s">
        <v>4716</v>
      </c>
    </row>
    <row r="642" spans="1:14" ht="45">
      <c r="A642" s="151">
        <v>52</v>
      </c>
      <c r="B642" s="566"/>
      <c r="C642" s="42" t="s">
        <v>4708</v>
      </c>
      <c r="D642" s="42" t="s">
        <v>4717</v>
      </c>
      <c r="E642" s="42" t="s">
        <v>4718</v>
      </c>
      <c r="F642" s="151">
        <v>275.48</v>
      </c>
      <c r="G642" s="151"/>
      <c r="H642" s="151"/>
      <c r="I642" s="151"/>
      <c r="J642" s="151"/>
      <c r="K642" s="151"/>
      <c r="L642" s="151"/>
      <c r="M642" s="151"/>
      <c r="N642" s="151" t="s">
        <v>4719</v>
      </c>
    </row>
    <row r="643" spans="1:14" ht="120">
      <c r="A643" s="151">
        <v>53</v>
      </c>
      <c r="B643" s="566"/>
      <c r="C643" s="42" t="s">
        <v>4720</v>
      </c>
      <c r="D643" s="42" t="s">
        <v>4721</v>
      </c>
      <c r="E643" s="42" t="s">
        <v>4721</v>
      </c>
      <c r="F643" s="151">
        <v>401.32</v>
      </c>
      <c r="G643" s="151">
        <v>392.83</v>
      </c>
      <c r="H643" s="151" t="s">
        <v>3620</v>
      </c>
      <c r="I643" s="151" t="s">
        <v>17</v>
      </c>
      <c r="J643" s="151" t="s">
        <v>4722</v>
      </c>
      <c r="K643" s="151" t="s">
        <v>3757</v>
      </c>
      <c r="L643" s="151" t="s">
        <v>4723</v>
      </c>
      <c r="M643" s="151" t="s">
        <v>515</v>
      </c>
      <c r="N643" s="151" t="s">
        <v>17</v>
      </c>
    </row>
    <row r="644" spans="1:14" ht="120">
      <c r="A644" s="151">
        <v>54</v>
      </c>
      <c r="B644" s="566"/>
      <c r="C644" s="42" t="s">
        <v>4720</v>
      </c>
      <c r="D644" s="42" t="s">
        <v>4724</v>
      </c>
      <c r="E644" s="42" t="s">
        <v>4724</v>
      </c>
      <c r="F644" s="151">
        <v>0</v>
      </c>
      <c r="G644" s="151">
        <v>1103.44</v>
      </c>
      <c r="H644" s="151" t="s">
        <v>4725</v>
      </c>
      <c r="I644" s="151" t="s">
        <v>4726</v>
      </c>
      <c r="J644" s="151" t="s">
        <v>4727</v>
      </c>
      <c r="K644" s="151" t="s">
        <v>4728</v>
      </c>
      <c r="L644" s="151">
        <v>381000</v>
      </c>
      <c r="M644" s="151" t="s">
        <v>515</v>
      </c>
      <c r="N644" s="151" t="s">
        <v>17</v>
      </c>
    </row>
    <row r="645" spans="1:14" ht="44.25" customHeight="1">
      <c r="A645" s="151">
        <v>55</v>
      </c>
      <c r="B645" s="567"/>
      <c r="C645" s="42" t="s">
        <v>4729</v>
      </c>
      <c r="D645" s="42" t="s">
        <v>4730</v>
      </c>
      <c r="E645" s="42" t="s">
        <v>4731</v>
      </c>
      <c r="F645" s="151">
        <v>1250.3800000000001</v>
      </c>
      <c r="G645" s="151">
        <v>1532.9</v>
      </c>
      <c r="H645" s="151" t="s">
        <v>2771</v>
      </c>
      <c r="I645" s="151" t="s">
        <v>1702</v>
      </c>
      <c r="J645" s="151" t="s">
        <v>4732</v>
      </c>
      <c r="K645" s="151" t="s">
        <v>3703</v>
      </c>
      <c r="L645" s="151" t="s">
        <v>4733</v>
      </c>
      <c r="M645" s="151" t="s">
        <v>4734</v>
      </c>
      <c r="N645" s="151" t="s">
        <v>17</v>
      </c>
    </row>
    <row r="646" spans="1:14" s="785" customFormat="1"/>
    <row r="647" spans="1:14" ht="22.5">
      <c r="A647" s="759" t="s">
        <v>666</v>
      </c>
      <c r="B647" s="760"/>
      <c r="C647" s="760"/>
      <c r="D647" s="760"/>
      <c r="E647" s="760"/>
      <c r="F647" s="760"/>
      <c r="G647" s="760"/>
      <c r="H647" s="760"/>
      <c r="I647" s="760"/>
      <c r="J647" s="760"/>
      <c r="K647" s="760"/>
      <c r="L647" s="760"/>
      <c r="M647" s="760"/>
      <c r="N647" s="760"/>
    </row>
    <row r="648" spans="1:14" ht="20.25">
      <c r="A648" s="761" t="s">
        <v>2669</v>
      </c>
      <c r="B648" s="762"/>
      <c r="C648" s="762"/>
      <c r="D648" s="762"/>
      <c r="E648" s="762"/>
      <c r="F648" s="762"/>
      <c r="G648" s="762"/>
      <c r="H648" s="762"/>
      <c r="I648" s="762"/>
      <c r="J648" s="762"/>
      <c r="K648" s="762"/>
      <c r="L648" s="762"/>
      <c r="M648" s="762"/>
      <c r="N648" s="762"/>
    </row>
    <row r="649" spans="1:14" ht="71.25">
      <c r="A649" s="35" t="s">
        <v>0</v>
      </c>
      <c r="B649" s="19" t="s">
        <v>1616</v>
      </c>
      <c r="C649" s="35" t="s">
        <v>1676</v>
      </c>
      <c r="D649" s="18" t="s">
        <v>1677</v>
      </c>
      <c r="E649" s="18" t="s">
        <v>1678</v>
      </c>
      <c r="F649" s="19" t="s">
        <v>2670</v>
      </c>
      <c r="G649" s="19" t="s">
        <v>2671</v>
      </c>
      <c r="H649" s="19" t="s">
        <v>1679</v>
      </c>
      <c r="I649" s="19" t="s">
        <v>1680</v>
      </c>
      <c r="J649" s="19" t="s">
        <v>1681</v>
      </c>
      <c r="K649" s="19" t="s">
        <v>1682</v>
      </c>
      <c r="L649" s="19" t="s">
        <v>1683</v>
      </c>
      <c r="M649" s="19" t="s">
        <v>1684</v>
      </c>
      <c r="N649" s="19" t="s">
        <v>1685</v>
      </c>
    </row>
    <row r="650" spans="1:14">
      <c r="A650" s="35">
        <v>1</v>
      </c>
      <c r="B650" s="35">
        <v>2</v>
      </c>
      <c r="C650" s="35">
        <v>3</v>
      </c>
      <c r="D650" s="35">
        <v>4</v>
      </c>
      <c r="E650" s="35">
        <v>5</v>
      </c>
      <c r="F650" s="35">
        <v>6</v>
      </c>
      <c r="G650" s="35">
        <v>7</v>
      </c>
      <c r="H650" s="35">
        <v>8</v>
      </c>
      <c r="I650" s="19">
        <v>9</v>
      </c>
      <c r="J650" s="35">
        <v>10</v>
      </c>
      <c r="K650" s="35">
        <v>11</v>
      </c>
      <c r="L650" s="35">
        <v>12</v>
      </c>
      <c r="M650" s="35">
        <v>13</v>
      </c>
      <c r="N650" s="35">
        <v>14</v>
      </c>
    </row>
    <row r="651" spans="1:14" ht="75">
      <c r="A651" s="188">
        <v>1</v>
      </c>
      <c r="B651" s="792" t="s">
        <v>2603</v>
      </c>
      <c r="C651" s="792" t="s">
        <v>808</v>
      </c>
      <c r="D651" s="156" t="s">
        <v>4234</v>
      </c>
      <c r="E651" s="168" t="s">
        <v>4235</v>
      </c>
      <c r="F651" s="188"/>
      <c r="G651" s="162">
        <v>3127.48</v>
      </c>
      <c r="H651" s="162" t="s">
        <v>2792</v>
      </c>
      <c r="I651" s="162"/>
      <c r="J651" s="162" t="s">
        <v>4236</v>
      </c>
      <c r="K651" s="162" t="s">
        <v>3144</v>
      </c>
      <c r="L651" s="162" t="s">
        <v>4237</v>
      </c>
      <c r="M651" s="212">
        <f>2580000/3127.48</f>
        <v>824.94532339135662</v>
      </c>
      <c r="N651" s="188"/>
    </row>
    <row r="652" spans="1:14" ht="60">
      <c r="A652" s="162">
        <v>2</v>
      </c>
      <c r="B652" s="793"/>
      <c r="C652" s="793"/>
      <c r="D652" s="157" t="s">
        <v>4238</v>
      </c>
      <c r="E652" s="160" t="s">
        <v>4239</v>
      </c>
      <c r="F652" s="162"/>
      <c r="G652" s="162">
        <v>390.19</v>
      </c>
      <c r="H652" s="162" t="s">
        <v>2875</v>
      </c>
      <c r="I652" s="162"/>
      <c r="J652" s="162" t="s">
        <v>3619</v>
      </c>
      <c r="K652" s="162" t="s">
        <v>2996</v>
      </c>
      <c r="L652" s="162" t="s">
        <v>4240</v>
      </c>
      <c r="M652" s="212">
        <f>180209/390.19</f>
        <v>461.84935544222049</v>
      </c>
      <c r="N652" s="162"/>
    </row>
    <row r="653" spans="1:14" ht="60">
      <c r="A653" s="162">
        <v>3</v>
      </c>
      <c r="B653" s="793"/>
      <c r="C653" s="794"/>
      <c r="D653" s="157" t="s">
        <v>4241</v>
      </c>
      <c r="E653" s="160" t="s">
        <v>4242</v>
      </c>
      <c r="F653" s="162"/>
      <c r="G653" s="162">
        <v>173.49</v>
      </c>
      <c r="H653" s="162" t="s">
        <v>4243</v>
      </c>
      <c r="I653" s="162"/>
      <c r="J653" s="162" t="s">
        <v>4236</v>
      </c>
      <c r="K653" s="162" t="s">
        <v>2996</v>
      </c>
      <c r="L653" s="162" t="s">
        <v>4244</v>
      </c>
      <c r="M653" s="212">
        <f>131480/173.49</f>
        <v>757.85347858666205</v>
      </c>
      <c r="N653" s="162"/>
    </row>
    <row r="654" spans="1:14" ht="60">
      <c r="A654" s="161">
        <v>4</v>
      </c>
      <c r="B654" s="793"/>
      <c r="C654" s="696" t="s">
        <v>4245</v>
      </c>
      <c r="D654" s="164" t="s">
        <v>4246</v>
      </c>
      <c r="E654" s="164" t="s">
        <v>4247</v>
      </c>
      <c r="F654" s="166">
        <v>2787.09</v>
      </c>
      <c r="G654" s="161">
        <v>3519.15</v>
      </c>
      <c r="H654" s="166" t="s">
        <v>4248</v>
      </c>
      <c r="I654" s="161" t="s">
        <v>3315</v>
      </c>
      <c r="J654" s="161" t="s">
        <v>4249</v>
      </c>
      <c r="K654" s="161" t="s">
        <v>4250</v>
      </c>
      <c r="L654" s="161">
        <v>1782000</v>
      </c>
      <c r="M654" s="161">
        <f>L654/F654</f>
        <v>639.37655404023553</v>
      </c>
      <c r="N654" s="161"/>
    </row>
    <row r="655" spans="1:14" ht="60">
      <c r="A655" s="161">
        <v>5</v>
      </c>
      <c r="B655" s="793"/>
      <c r="C655" s="696"/>
      <c r="D655" s="160" t="s">
        <v>4251</v>
      </c>
      <c r="E655" s="160" t="s">
        <v>4252</v>
      </c>
      <c r="F655" s="161">
        <v>136.6</v>
      </c>
      <c r="G655" s="161">
        <v>212.5</v>
      </c>
      <c r="H655" s="161" t="s">
        <v>4253</v>
      </c>
      <c r="I655" s="694" t="s">
        <v>2898</v>
      </c>
      <c r="J655" s="161" t="s">
        <v>4249</v>
      </c>
      <c r="K655" s="161" t="s">
        <v>4250</v>
      </c>
      <c r="L655" s="161">
        <v>17588</v>
      </c>
      <c r="M655" s="161">
        <f>L655/F655</f>
        <v>128.75549048316253</v>
      </c>
      <c r="N655" s="161"/>
    </row>
    <row r="656" spans="1:14" ht="45">
      <c r="A656" s="161">
        <v>6</v>
      </c>
      <c r="B656" s="793"/>
      <c r="C656" s="696"/>
      <c r="D656" s="160" t="s">
        <v>4254</v>
      </c>
      <c r="E656" s="160" t="s">
        <v>4255</v>
      </c>
      <c r="F656" s="161">
        <v>75.400000000000006</v>
      </c>
      <c r="G656" s="161">
        <v>75.400000000000006</v>
      </c>
      <c r="H656" s="161" t="s">
        <v>2766</v>
      </c>
      <c r="I656" s="694"/>
      <c r="J656" s="161" t="s">
        <v>4256</v>
      </c>
      <c r="K656" s="161" t="s">
        <v>1734</v>
      </c>
      <c r="L656" s="161">
        <v>17400</v>
      </c>
      <c r="M656" s="161">
        <f t="shared" ref="M656:M659" si="8">L656/F656</f>
        <v>230.76923076923075</v>
      </c>
      <c r="N656" s="161"/>
    </row>
    <row r="657" spans="1:14" ht="60">
      <c r="A657" s="161">
        <v>7</v>
      </c>
      <c r="B657" s="793"/>
      <c r="C657" s="696"/>
      <c r="D657" s="160" t="s">
        <v>4257</v>
      </c>
      <c r="E657" s="160" t="s">
        <v>4258</v>
      </c>
      <c r="F657" s="161">
        <v>375</v>
      </c>
      <c r="G657" s="161">
        <v>450</v>
      </c>
      <c r="H657" s="161">
        <v>1959</v>
      </c>
      <c r="I657" s="694"/>
      <c r="J657" s="161" t="s">
        <v>17</v>
      </c>
      <c r="K657" s="161" t="s">
        <v>17</v>
      </c>
      <c r="L657" s="161">
        <v>1500</v>
      </c>
      <c r="M657" s="161">
        <f t="shared" si="8"/>
        <v>4</v>
      </c>
      <c r="N657" s="161"/>
    </row>
    <row r="658" spans="1:14" ht="45">
      <c r="A658" s="161">
        <v>8</v>
      </c>
      <c r="B658" s="793"/>
      <c r="C658" s="696"/>
      <c r="D658" s="160" t="s">
        <v>4259</v>
      </c>
      <c r="E658" s="160" t="s">
        <v>4260</v>
      </c>
      <c r="F658" s="161">
        <v>128.19999999999999</v>
      </c>
      <c r="G658" s="161">
        <v>128.19999999999999</v>
      </c>
      <c r="H658" s="161" t="s">
        <v>4261</v>
      </c>
      <c r="I658" s="694"/>
      <c r="J658" s="161" t="s">
        <v>4262</v>
      </c>
      <c r="K658" s="161" t="s">
        <v>3309</v>
      </c>
      <c r="L658" s="161">
        <v>38640</v>
      </c>
      <c r="M658" s="161">
        <f t="shared" si="8"/>
        <v>301.40405616224649</v>
      </c>
      <c r="N658" s="161"/>
    </row>
    <row r="659" spans="1:14" ht="30">
      <c r="A659" s="161">
        <v>9</v>
      </c>
      <c r="B659" s="793"/>
      <c r="C659" s="696"/>
      <c r="D659" s="160" t="s">
        <v>4263</v>
      </c>
      <c r="E659" s="160" t="s">
        <v>4264</v>
      </c>
      <c r="F659" s="161">
        <v>135.66</v>
      </c>
      <c r="G659" s="161">
        <v>135.66</v>
      </c>
      <c r="H659" s="161" t="s">
        <v>2881</v>
      </c>
      <c r="I659" s="694"/>
      <c r="J659" s="161" t="s">
        <v>4265</v>
      </c>
      <c r="K659" s="161" t="s">
        <v>1911</v>
      </c>
      <c r="L659" s="161">
        <v>30500</v>
      </c>
      <c r="M659" s="161">
        <f t="shared" si="8"/>
        <v>224.82677281438893</v>
      </c>
      <c r="N659" s="161"/>
    </row>
    <row r="660" spans="1:14" ht="90">
      <c r="A660" s="161">
        <v>10</v>
      </c>
      <c r="B660" s="793"/>
      <c r="C660" s="747" t="s">
        <v>4266</v>
      </c>
      <c r="D660" s="168" t="s">
        <v>4267</v>
      </c>
      <c r="E660" s="168" t="s">
        <v>4268</v>
      </c>
      <c r="F660" s="161">
        <v>110.46</v>
      </c>
      <c r="G660" s="161"/>
      <c r="H660" s="170" t="s">
        <v>4269</v>
      </c>
      <c r="I660" s="161" t="s">
        <v>4270</v>
      </c>
      <c r="J660" s="170" t="s">
        <v>4271</v>
      </c>
      <c r="K660" s="170" t="s">
        <v>3599</v>
      </c>
      <c r="L660" s="170">
        <v>11971</v>
      </c>
      <c r="M660" s="176">
        <f>L660/F660</f>
        <v>108.37407206228499</v>
      </c>
      <c r="N660" s="161"/>
    </row>
    <row r="661" spans="1:14" ht="60">
      <c r="A661" s="161">
        <v>11</v>
      </c>
      <c r="B661" s="793"/>
      <c r="C661" s="748"/>
      <c r="D661" s="168" t="s">
        <v>4272</v>
      </c>
      <c r="E661" s="168" t="s">
        <v>4273</v>
      </c>
      <c r="F661" s="161">
        <v>139.9</v>
      </c>
      <c r="G661" s="161">
        <v>148.24</v>
      </c>
      <c r="H661" s="170" t="s">
        <v>4274</v>
      </c>
      <c r="I661" s="161" t="s">
        <v>4275</v>
      </c>
      <c r="J661" s="170" t="s">
        <v>4276</v>
      </c>
      <c r="K661" s="170" t="s">
        <v>3624</v>
      </c>
      <c r="L661" s="170">
        <v>4280</v>
      </c>
      <c r="M661" s="176">
        <f t="shared" ref="M661:M672" si="9">L661/F661</f>
        <v>30.593280914939243</v>
      </c>
      <c r="N661" s="161"/>
    </row>
    <row r="662" spans="1:14" ht="60">
      <c r="A662" s="161">
        <v>12</v>
      </c>
      <c r="B662" s="793"/>
      <c r="C662" s="748"/>
      <c r="D662" s="168" t="s">
        <v>4277</v>
      </c>
      <c r="E662" s="168" t="s">
        <v>4278</v>
      </c>
      <c r="F662" s="161">
        <v>270.61</v>
      </c>
      <c r="G662" s="161"/>
      <c r="H662" s="170" t="s">
        <v>4279</v>
      </c>
      <c r="I662" s="161" t="s">
        <v>4280</v>
      </c>
      <c r="J662" s="170" t="s">
        <v>4281</v>
      </c>
      <c r="K662" s="170" t="s">
        <v>3002</v>
      </c>
      <c r="L662" s="170">
        <v>147750</v>
      </c>
      <c r="M662" s="176">
        <f t="shared" si="9"/>
        <v>545.98869221388713</v>
      </c>
      <c r="N662" s="161"/>
    </row>
    <row r="663" spans="1:14" ht="60">
      <c r="A663" s="161">
        <v>13</v>
      </c>
      <c r="B663" s="793"/>
      <c r="C663" s="748"/>
      <c r="D663" s="34" t="s">
        <v>4282</v>
      </c>
      <c r="E663" s="168" t="s">
        <v>4283</v>
      </c>
      <c r="F663" s="161">
        <v>416.2</v>
      </c>
      <c r="G663" s="161"/>
      <c r="H663" s="165" t="s">
        <v>4284</v>
      </c>
      <c r="I663" s="161" t="s">
        <v>4280</v>
      </c>
      <c r="J663" s="165" t="s">
        <v>4285</v>
      </c>
      <c r="K663" s="165" t="s">
        <v>2972</v>
      </c>
      <c r="L663" s="165">
        <v>142732</v>
      </c>
      <c r="M663" s="176">
        <f t="shared" si="9"/>
        <v>342.9408938010572</v>
      </c>
      <c r="N663" s="161"/>
    </row>
    <row r="664" spans="1:14" ht="60">
      <c r="A664" s="161">
        <v>14</v>
      </c>
      <c r="B664" s="793"/>
      <c r="C664" s="748"/>
      <c r="D664" s="34" t="s">
        <v>4286</v>
      </c>
      <c r="E664" s="168" t="s">
        <v>4287</v>
      </c>
      <c r="F664" s="161">
        <v>348.39</v>
      </c>
      <c r="G664" s="161"/>
      <c r="H664" s="165" t="s">
        <v>3187</v>
      </c>
      <c r="I664" s="161" t="s">
        <v>4280</v>
      </c>
      <c r="J664" s="165" t="s">
        <v>4288</v>
      </c>
      <c r="K664" s="165" t="s">
        <v>3209</v>
      </c>
      <c r="L664" s="165">
        <v>141750</v>
      </c>
      <c r="M664" s="176">
        <v>40.82</v>
      </c>
      <c r="N664" s="161"/>
    </row>
    <row r="665" spans="1:14" ht="75">
      <c r="A665" s="161">
        <v>15</v>
      </c>
      <c r="B665" s="793"/>
      <c r="C665" s="748"/>
      <c r="D665" s="34" t="s">
        <v>4289</v>
      </c>
      <c r="E665" s="168" t="s">
        <v>4290</v>
      </c>
      <c r="F665" s="170">
        <v>260</v>
      </c>
      <c r="G665" s="170">
        <v>327.19</v>
      </c>
      <c r="H665" s="165" t="s">
        <v>4291</v>
      </c>
      <c r="I665" s="161" t="s">
        <v>4280</v>
      </c>
      <c r="J665" s="165" t="s">
        <v>4292</v>
      </c>
      <c r="K665" s="165" t="s">
        <v>3164</v>
      </c>
      <c r="L665" s="165">
        <v>27333</v>
      </c>
      <c r="M665" s="176">
        <v>83.53</v>
      </c>
      <c r="N665" s="161"/>
    </row>
    <row r="666" spans="1:14" ht="45">
      <c r="A666" s="161">
        <v>16</v>
      </c>
      <c r="B666" s="793"/>
      <c r="C666" s="748"/>
      <c r="D666" s="34" t="s">
        <v>4293</v>
      </c>
      <c r="E666" s="168" t="s">
        <v>4294</v>
      </c>
      <c r="F666" s="161">
        <v>98.1</v>
      </c>
      <c r="G666" s="161">
        <v>98.1</v>
      </c>
      <c r="H666" s="165" t="s">
        <v>2965</v>
      </c>
      <c r="I666" s="161" t="s">
        <v>4280</v>
      </c>
      <c r="J666" s="165" t="s">
        <v>4295</v>
      </c>
      <c r="K666" s="165" t="s">
        <v>2967</v>
      </c>
      <c r="L666" s="165">
        <v>8448</v>
      </c>
      <c r="M666" s="176">
        <f t="shared" si="9"/>
        <v>86.116207951070336</v>
      </c>
      <c r="N666" s="161"/>
    </row>
    <row r="667" spans="1:14" ht="90">
      <c r="A667" s="161">
        <v>17</v>
      </c>
      <c r="B667" s="793"/>
      <c r="C667" s="748"/>
      <c r="D667" s="34" t="s">
        <v>4296</v>
      </c>
      <c r="E667" s="168" t="s">
        <v>4297</v>
      </c>
      <c r="F667" s="161">
        <v>195.09</v>
      </c>
      <c r="G667" s="161">
        <v>195.09</v>
      </c>
      <c r="H667" s="165" t="s">
        <v>4298</v>
      </c>
      <c r="I667" s="161" t="s">
        <v>4280</v>
      </c>
      <c r="J667" s="165" t="s">
        <v>3565</v>
      </c>
      <c r="K667" s="165" t="s">
        <v>3275</v>
      </c>
      <c r="L667" s="165">
        <v>14500</v>
      </c>
      <c r="M667" s="176">
        <f t="shared" si="9"/>
        <v>74.324670664821369</v>
      </c>
      <c r="N667" s="161"/>
    </row>
    <row r="668" spans="1:14" ht="75">
      <c r="A668" s="161">
        <v>18</v>
      </c>
      <c r="B668" s="793"/>
      <c r="C668" s="748"/>
      <c r="D668" s="168" t="s">
        <v>4299</v>
      </c>
      <c r="E668" s="168" t="s">
        <v>4300</v>
      </c>
      <c r="F668" s="161">
        <v>66.41</v>
      </c>
      <c r="G668" s="161">
        <v>132.82</v>
      </c>
      <c r="H668" s="170" t="s">
        <v>4301</v>
      </c>
      <c r="I668" s="161" t="s">
        <v>4280</v>
      </c>
      <c r="J668" s="170" t="s">
        <v>4302</v>
      </c>
      <c r="K668" s="170" t="s">
        <v>4303</v>
      </c>
      <c r="L668" s="170">
        <v>40000</v>
      </c>
      <c r="M668" s="176">
        <v>301.16000000000003</v>
      </c>
      <c r="N668" s="161"/>
    </row>
    <row r="669" spans="1:14" ht="75">
      <c r="A669" s="161">
        <v>19</v>
      </c>
      <c r="B669" s="793"/>
      <c r="C669" s="748"/>
      <c r="D669" s="168" t="s">
        <v>4304</v>
      </c>
      <c r="E669" s="168" t="s">
        <v>4305</v>
      </c>
      <c r="F669" s="161">
        <v>187.75</v>
      </c>
      <c r="G669" s="161">
        <v>375.5</v>
      </c>
      <c r="H669" s="170" t="s">
        <v>1926</v>
      </c>
      <c r="I669" s="161" t="s">
        <v>4280</v>
      </c>
      <c r="J669" s="170" t="s">
        <v>4249</v>
      </c>
      <c r="K669" s="170" t="s">
        <v>4306</v>
      </c>
      <c r="L669" s="170">
        <v>16150</v>
      </c>
      <c r="M669" s="176">
        <v>43.1</v>
      </c>
      <c r="N669" s="161"/>
    </row>
    <row r="670" spans="1:14" ht="60">
      <c r="A670" s="161">
        <v>20</v>
      </c>
      <c r="B670" s="793"/>
      <c r="C670" s="748"/>
      <c r="D670" s="168" t="s">
        <v>4307</v>
      </c>
      <c r="E670" s="168" t="s">
        <v>4308</v>
      </c>
      <c r="F670" s="161">
        <v>195.09</v>
      </c>
      <c r="G670" s="161">
        <v>195.09</v>
      </c>
      <c r="H670" s="170" t="s">
        <v>4309</v>
      </c>
      <c r="I670" s="161" t="s">
        <v>4280</v>
      </c>
      <c r="J670" s="170" t="s">
        <v>3915</v>
      </c>
      <c r="K670" s="170" t="s">
        <v>1766</v>
      </c>
      <c r="L670" s="170">
        <v>14500</v>
      </c>
      <c r="M670" s="176">
        <f t="shared" si="9"/>
        <v>74.324670664821369</v>
      </c>
      <c r="N670" s="161"/>
    </row>
    <row r="671" spans="1:14" ht="90">
      <c r="A671" s="161">
        <v>21</v>
      </c>
      <c r="B671" s="793"/>
      <c r="C671" s="748"/>
      <c r="D671" s="168" t="s">
        <v>4310</v>
      </c>
      <c r="E671" s="168" t="s">
        <v>4311</v>
      </c>
      <c r="F671" s="161">
        <v>116.21</v>
      </c>
      <c r="G671" s="161">
        <v>116.21</v>
      </c>
      <c r="H671" s="170" t="s">
        <v>4312</v>
      </c>
      <c r="I671" s="161" t="s">
        <v>4280</v>
      </c>
      <c r="J671" s="170" t="s">
        <v>3915</v>
      </c>
      <c r="K671" s="188" t="s">
        <v>1766</v>
      </c>
      <c r="L671" s="170">
        <v>15000</v>
      </c>
      <c r="M671" s="176">
        <f t="shared" si="9"/>
        <v>129.07667154289649</v>
      </c>
      <c r="N671" s="161"/>
    </row>
    <row r="672" spans="1:14" ht="60">
      <c r="A672" s="161">
        <v>22</v>
      </c>
      <c r="B672" s="793"/>
      <c r="C672" s="749"/>
      <c r="D672" s="160" t="s">
        <v>4313</v>
      </c>
      <c r="E672" s="160" t="s">
        <v>4314</v>
      </c>
      <c r="F672" s="161">
        <v>92.903000000000006</v>
      </c>
      <c r="G672" s="161">
        <v>92.903000000000006</v>
      </c>
      <c r="H672" s="161" t="s">
        <v>2986</v>
      </c>
      <c r="I672" s="161" t="s">
        <v>4280</v>
      </c>
      <c r="J672" s="170" t="s">
        <v>4315</v>
      </c>
      <c r="K672" s="170" t="s">
        <v>4316</v>
      </c>
      <c r="L672" s="161">
        <v>15000</v>
      </c>
      <c r="M672" s="176">
        <f t="shared" si="9"/>
        <v>161.45872576773624</v>
      </c>
      <c r="N672" s="161"/>
    </row>
    <row r="673" spans="1:14" ht="45">
      <c r="A673" s="161">
        <v>23</v>
      </c>
      <c r="B673" s="793"/>
      <c r="C673" s="160" t="s">
        <v>4317</v>
      </c>
      <c r="D673" s="160" t="s">
        <v>4317</v>
      </c>
      <c r="E673" s="160" t="s">
        <v>4318</v>
      </c>
      <c r="F673" s="161">
        <v>1049.06</v>
      </c>
      <c r="G673" s="161">
        <v>1811.61</v>
      </c>
      <c r="H673" s="161" t="s">
        <v>4319</v>
      </c>
      <c r="I673" s="169" t="s">
        <v>1702</v>
      </c>
      <c r="J673" s="161" t="s">
        <v>1737</v>
      </c>
      <c r="K673" s="161" t="s">
        <v>4320</v>
      </c>
      <c r="L673" s="161" t="s">
        <v>4321</v>
      </c>
      <c r="M673" s="161" t="s">
        <v>4322</v>
      </c>
      <c r="N673" s="161"/>
    </row>
    <row r="674" spans="1:14" ht="75">
      <c r="A674" s="161">
        <v>24</v>
      </c>
      <c r="B674" s="793"/>
      <c r="C674" s="160" t="s">
        <v>4323</v>
      </c>
      <c r="D674" s="160" t="s">
        <v>4324</v>
      </c>
      <c r="E674" s="160" t="s">
        <v>4325</v>
      </c>
      <c r="F674" s="161" t="s">
        <v>4326</v>
      </c>
      <c r="G674" s="161">
        <v>703.5</v>
      </c>
      <c r="H674" s="161" t="s">
        <v>4327</v>
      </c>
      <c r="I674" s="161" t="s">
        <v>4328</v>
      </c>
      <c r="J674" s="161" t="s">
        <v>1737</v>
      </c>
      <c r="K674" s="161" t="s">
        <v>4329</v>
      </c>
      <c r="L674" s="190">
        <v>351000</v>
      </c>
      <c r="M674" s="161">
        <v>609.38</v>
      </c>
      <c r="N674" s="161" t="s">
        <v>193</v>
      </c>
    </row>
    <row r="675" spans="1:14" ht="45">
      <c r="A675" s="161">
        <v>25</v>
      </c>
      <c r="B675" s="793"/>
      <c r="C675" s="157" t="s">
        <v>4330</v>
      </c>
      <c r="D675" s="160" t="s">
        <v>4331</v>
      </c>
      <c r="E675" s="160" t="s">
        <v>4332</v>
      </c>
      <c r="F675" s="161">
        <v>474.81</v>
      </c>
      <c r="G675" s="161">
        <v>561</v>
      </c>
      <c r="H675" s="161" t="s">
        <v>4333</v>
      </c>
      <c r="I675" s="161" t="s">
        <v>4334</v>
      </c>
      <c r="J675" s="161" t="s">
        <v>4335</v>
      </c>
      <c r="K675" s="161" t="s">
        <v>4336</v>
      </c>
      <c r="L675" s="161">
        <v>97753</v>
      </c>
      <c r="M675" s="161">
        <v>174</v>
      </c>
      <c r="N675" s="161"/>
    </row>
    <row r="676" spans="1:14" ht="60">
      <c r="A676" s="161">
        <v>26</v>
      </c>
      <c r="B676" s="793"/>
      <c r="C676" s="157" t="s">
        <v>4337</v>
      </c>
      <c r="D676" s="160" t="s">
        <v>4338</v>
      </c>
      <c r="E676" s="160" t="s">
        <v>4339</v>
      </c>
      <c r="F676" s="161">
        <v>2700</v>
      </c>
      <c r="G676" s="161">
        <v>2700</v>
      </c>
      <c r="H676" s="161" t="s">
        <v>1789</v>
      </c>
      <c r="I676" s="161" t="s">
        <v>4340</v>
      </c>
      <c r="J676" s="161" t="s">
        <v>1835</v>
      </c>
      <c r="K676" s="161" t="s">
        <v>518</v>
      </c>
      <c r="L676" s="161">
        <v>27000</v>
      </c>
      <c r="M676" s="161">
        <v>10</v>
      </c>
      <c r="N676" s="161"/>
    </row>
    <row r="677" spans="1:14" ht="45">
      <c r="A677" s="161">
        <v>27</v>
      </c>
      <c r="B677" s="793"/>
      <c r="C677" s="747" t="s">
        <v>4341</v>
      </c>
      <c r="D677" s="160" t="s">
        <v>4342</v>
      </c>
      <c r="E677" s="160" t="s">
        <v>4343</v>
      </c>
      <c r="F677" s="161">
        <v>418</v>
      </c>
      <c r="G677" s="161">
        <v>418</v>
      </c>
      <c r="H677" s="161" t="s">
        <v>3164</v>
      </c>
      <c r="I677" s="161" t="s">
        <v>4344</v>
      </c>
      <c r="J677" s="161" t="s">
        <v>4345</v>
      </c>
      <c r="K677" s="161" t="s">
        <v>4346</v>
      </c>
      <c r="L677" s="161">
        <v>112500</v>
      </c>
      <c r="M677" s="211">
        <v>269.10000000000002</v>
      </c>
      <c r="N677" s="161"/>
    </row>
    <row r="678" spans="1:14" ht="60">
      <c r="A678" s="161">
        <v>28</v>
      </c>
      <c r="B678" s="793"/>
      <c r="C678" s="748"/>
      <c r="D678" s="160" t="s">
        <v>4347</v>
      </c>
      <c r="E678" s="160" t="s">
        <v>4348</v>
      </c>
      <c r="F678" s="161">
        <v>386</v>
      </c>
      <c r="G678" s="161">
        <v>272</v>
      </c>
      <c r="H678" s="161" t="s">
        <v>4349</v>
      </c>
      <c r="I678" s="161" t="s">
        <v>4344</v>
      </c>
      <c r="J678" s="161" t="s">
        <v>1835</v>
      </c>
      <c r="K678" s="161" t="s">
        <v>4350</v>
      </c>
      <c r="L678" s="161">
        <v>17000</v>
      </c>
      <c r="M678" s="161" t="s">
        <v>4351</v>
      </c>
      <c r="N678" s="161"/>
    </row>
    <row r="679" spans="1:14" ht="60">
      <c r="A679" s="161">
        <v>29</v>
      </c>
      <c r="B679" s="794"/>
      <c r="C679" s="749"/>
      <c r="D679" s="160" t="s">
        <v>4347</v>
      </c>
      <c r="E679" s="160" t="s">
        <v>4352</v>
      </c>
      <c r="F679" s="161">
        <v>371.3</v>
      </c>
      <c r="G679" s="161">
        <v>232</v>
      </c>
      <c r="H679" s="161" t="s">
        <v>4353</v>
      </c>
      <c r="I679" s="161" t="s">
        <v>4344</v>
      </c>
      <c r="J679" s="161" t="s">
        <v>4354</v>
      </c>
      <c r="K679" s="161" t="s">
        <v>4355</v>
      </c>
      <c r="L679" s="161">
        <v>10200</v>
      </c>
      <c r="M679" s="161">
        <v>27.47</v>
      </c>
      <c r="N679" s="161"/>
    </row>
    <row r="680" spans="1:14" s="785" customFormat="1"/>
    <row r="681" spans="1:14" ht="22.5">
      <c r="A681" s="759" t="s">
        <v>667</v>
      </c>
      <c r="B681" s="760"/>
      <c r="C681" s="760"/>
      <c r="D681" s="760"/>
      <c r="E681" s="760"/>
      <c r="F681" s="760"/>
      <c r="G681" s="760"/>
      <c r="H681" s="760"/>
      <c r="I681" s="760"/>
      <c r="J681" s="760"/>
      <c r="K681" s="760"/>
      <c r="L681" s="760"/>
      <c r="M681" s="760"/>
      <c r="N681" s="760"/>
    </row>
    <row r="682" spans="1:14" ht="20.25">
      <c r="A682" s="761" t="s">
        <v>2669</v>
      </c>
      <c r="B682" s="762"/>
      <c r="C682" s="762"/>
      <c r="D682" s="762"/>
      <c r="E682" s="762"/>
      <c r="F682" s="762"/>
      <c r="G682" s="762"/>
      <c r="H682" s="762"/>
      <c r="I682" s="762"/>
      <c r="J682" s="762"/>
      <c r="K682" s="762"/>
      <c r="L682" s="762"/>
      <c r="M682" s="762"/>
      <c r="N682" s="762"/>
    </row>
    <row r="683" spans="1:14" ht="71.25">
      <c r="A683" s="35" t="s">
        <v>0</v>
      </c>
      <c r="B683" s="19" t="s">
        <v>1616</v>
      </c>
      <c r="C683" s="35" t="s">
        <v>1676</v>
      </c>
      <c r="D683" s="18" t="s">
        <v>1677</v>
      </c>
      <c r="E683" s="18" t="s">
        <v>1678</v>
      </c>
      <c r="F683" s="19" t="s">
        <v>2670</v>
      </c>
      <c r="G683" s="19" t="s">
        <v>2671</v>
      </c>
      <c r="H683" s="19" t="s">
        <v>1679</v>
      </c>
      <c r="I683" s="19" t="s">
        <v>1680</v>
      </c>
      <c r="J683" s="19" t="s">
        <v>1681</v>
      </c>
      <c r="K683" s="19" t="s">
        <v>1682</v>
      </c>
      <c r="L683" s="19" t="s">
        <v>1683</v>
      </c>
      <c r="M683" s="19" t="s">
        <v>1684</v>
      </c>
      <c r="N683" s="19" t="s">
        <v>1685</v>
      </c>
    </row>
    <row r="684" spans="1:14">
      <c r="A684" s="35">
        <v>1</v>
      </c>
      <c r="B684" s="35">
        <v>2</v>
      </c>
      <c r="C684" s="35">
        <v>3</v>
      </c>
      <c r="D684" s="35">
        <v>4</v>
      </c>
      <c r="E684" s="35">
        <v>5</v>
      </c>
      <c r="F684" s="35">
        <v>6</v>
      </c>
      <c r="G684" s="35">
        <v>7</v>
      </c>
      <c r="H684" s="35">
        <v>8</v>
      </c>
      <c r="I684" s="19">
        <v>9</v>
      </c>
      <c r="J684" s="35">
        <v>10</v>
      </c>
      <c r="K684" s="35">
        <v>11</v>
      </c>
      <c r="L684" s="35">
        <v>12</v>
      </c>
      <c r="M684" s="35">
        <v>13</v>
      </c>
      <c r="N684" s="35">
        <v>14</v>
      </c>
    </row>
    <row r="685" spans="1:14" ht="105">
      <c r="A685" s="161">
        <v>1</v>
      </c>
      <c r="B685" s="786" t="s">
        <v>4735</v>
      </c>
      <c r="C685" s="160" t="s">
        <v>1006</v>
      </c>
      <c r="D685" s="160" t="s">
        <v>4736</v>
      </c>
      <c r="E685" s="160" t="s">
        <v>4737</v>
      </c>
      <c r="F685" s="161">
        <v>2243</v>
      </c>
      <c r="G685" s="161">
        <v>2914.92</v>
      </c>
      <c r="H685" s="161" t="s">
        <v>4738</v>
      </c>
      <c r="I685" s="161" t="s">
        <v>1702</v>
      </c>
      <c r="J685" s="161">
        <v>3</v>
      </c>
      <c r="K685" s="161" t="s">
        <v>1755</v>
      </c>
      <c r="L685" s="161" t="s">
        <v>4739</v>
      </c>
      <c r="M685" s="161" t="s">
        <v>4740</v>
      </c>
      <c r="N685" s="161"/>
    </row>
    <row r="686" spans="1:14" ht="90">
      <c r="A686" s="161">
        <v>2</v>
      </c>
      <c r="B686" s="787"/>
      <c r="C686" s="160" t="s">
        <v>1006</v>
      </c>
      <c r="D686" s="160" t="s">
        <v>4741</v>
      </c>
      <c r="E686" s="160" t="s">
        <v>4742</v>
      </c>
      <c r="F686" s="161">
        <v>2546</v>
      </c>
      <c r="G686" s="161">
        <v>3219.08</v>
      </c>
      <c r="H686" s="161" t="s">
        <v>4743</v>
      </c>
      <c r="I686" s="161" t="s">
        <v>1702</v>
      </c>
      <c r="J686" s="161">
        <v>3</v>
      </c>
      <c r="K686" s="161" t="s">
        <v>1801</v>
      </c>
      <c r="L686" s="161" t="s">
        <v>4744</v>
      </c>
      <c r="M686" s="161" t="s">
        <v>4745</v>
      </c>
      <c r="N686" s="161"/>
    </row>
    <row r="687" spans="1:14" ht="75">
      <c r="A687" s="161">
        <v>3</v>
      </c>
      <c r="B687" s="787"/>
      <c r="C687" s="160" t="s">
        <v>1006</v>
      </c>
      <c r="D687" s="160" t="s">
        <v>2176</v>
      </c>
      <c r="E687" s="160" t="s">
        <v>985</v>
      </c>
      <c r="F687" s="161">
        <v>650</v>
      </c>
      <c r="G687" s="161">
        <v>1013.32</v>
      </c>
      <c r="H687" s="161" t="s">
        <v>4746</v>
      </c>
      <c r="I687" s="161" t="s">
        <v>1702</v>
      </c>
      <c r="J687" s="161">
        <v>99</v>
      </c>
      <c r="K687" s="161" t="s">
        <v>4747</v>
      </c>
      <c r="L687" s="161" t="s">
        <v>2177</v>
      </c>
      <c r="M687" s="161" t="s">
        <v>4748</v>
      </c>
      <c r="N687" s="161"/>
    </row>
    <row r="688" spans="1:14" ht="165">
      <c r="A688" s="92">
        <v>4</v>
      </c>
      <c r="B688" s="787"/>
      <c r="C688" s="765" t="s">
        <v>4749</v>
      </c>
      <c r="D688" s="158" t="s">
        <v>4750</v>
      </c>
      <c r="E688" s="158" t="s">
        <v>4751</v>
      </c>
      <c r="F688" s="92">
        <v>147</v>
      </c>
      <c r="G688" s="92">
        <v>147</v>
      </c>
      <c r="H688" s="92" t="s">
        <v>4752</v>
      </c>
      <c r="I688" s="92" t="s">
        <v>4753</v>
      </c>
      <c r="J688" s="92" t="s">
        <v>1737</v>
      </c>
      <c r="K688" s="92" t="s">
        <v>4754</v>
      </c>
      <c r="L688" s="92">
        <v>6762</v>
      </c>
      <c r="M688" s="92">
        <v>46</v>
      </c>
      <c r="N688" s="95" t="s">
        <v>4755</v>
      </c>
    </row>
    <row r="689" spans="1:14" ht="120">
      <c r="A689" s="92">
        <v>5</v>
      </c>
      <c r="B689" s="787"/>
      <c r="C689" s="766"/>
      <c r="D689" s="158" t="s">
        <v>4756</v>
      </c>
      <c r="E689" s="158" t="s">
        <v>4757</v>
      </c>
      <c r="F689" s="92">
        <v>496.1</v>
      </c>
      <c r="G689" s="92">
        <v>496.1</v>
      </c>
      <c r="H689" s="92" t="s">
        <v>4758</v>
      </c>
      <c r="I689" s="92" t="s">
        <v>4759</v>
      </c>
      <c r="J689" s="92" t="s">
        <v>1742</v>
      </c>
      <c r="K689" s="92" t="s">
        <v>2766</v>
      </c>
      <c r="L689" s="92">
        <v>226950</v>
      </c>
      <c r="M689" s="92">
        <v>457.46</v>
      </c>
      <c r="N689" s="95" t="s">
        <v>4760</v>
      </c>
    </row>
    <row r="690" spans="1:14" ht="60">
      <c r="A690" s="92">
        <v>6</v>
      </c>
      <c r="B690" s="787"/>
      <c r="C690" s="766"/>
      <c r="D690" s="713" t="s">
        <v>4761</v>
      </c>
      <c r="E690" s="158" t="s">
        <v>4762</v>
      </c>
      <c r="F690" s="92">
        <v>232.25</v>
      </c>
      <c r="G690" s="92">
        <v>232.25</v>
      </c>
      <c r="H690" s="92" t="s">
        <v>4763</v>
      </c>
      <c r="I690" s="92" t="s">
        <v>4764</v>
      </c>
      <c r="J690" s="92" t="s">
        <v>1742</v>
      </c>
      <c r="K690" s="92" t="s">
        <v>4765</v>
      </c>
      <c r="L690" s="92">
        <v>103250</v>
      </c>
      <c r="M690" s="92">
        <v>444.56</v>
      </c>
      <c r="N690" s="95" t="s">
        <v>4760</v>
      </c>
    </row>
    <row r="691" spans="1:14" ht="105">
      <c r="A691" s="92">
        <v>7</v>
      </c>
      <c r="B691" s="787"/>
      <c r="C691" s="766"/>
      <c r="D691" s="713"/>
      <c r="E691" s="158" t="s">
        <v>4766</v>
      </c>
      <c r="F691" s="92">
        <v>49.98</v>
      </c>
      <c r="G691" s="92">
        <v>49.98</v>
      </c>
      <c r="H691" s="92" t="s">
        <v>4767</v>
      </c>
      <c r="I691" s="92" t="s">
        <v>4759</v>
      </c>
      <c r="J691" s="92" t="s">
        <v>1742</v>
      </c>
      <c r="K691" s="92" t="s">
        <v>4768</v>
      </c>
      <c r="L691" s="92">
        <v>14795</v>
      </c>
      <c r="M691" s="92">
        <v>296</v>
      </c>
      <c r="N691" s="95" t="s">
        <v>4760</v>
      </c>
    </row>
    <row r="692" spans="1:14" ht="135">
      <c r="A692" s="92">
        <v>8</v>
      </c>
      <c r="B692" s="787"/>
      <c r="C692" s="767"/>
      <c r="D692" s="158" t="s">
        <v>4769</v>
      </c>
      <c r="E692" s="158" t="s">
        <v>4770</v>
      </c>
      <c r="F692" s="92">
        <v>237.36</v>
      </c>
      <c r="G692" s="92">
        <v>237.36</v>
      </c>
      <c r="H692" s="92" t="s">
        <v>4771</v>
      </c>
      <c r="I692" s="92" t="s">
        <v>4759</v>
      </c>
      <c r="J692" s="92" t="s">
        <v>1742</v>
      </c>
      <c r="K692" s="92" t="s">
        <v>2766</v>
      </c>
      <c r="L692" s="92">
        <v>128132</v>
      </c>
      <c r="M692" s="92">
        <v>539.82000000000005</v>
      </c>
      <c r="N692" s="95" t="s">
        <v>4760</v>
      </c>
    </row>
    <row r="693" spans="1:14" ht="240">
      <c r="A693" s="161">
        <v>9</v>
      </c>
      <c r="B693" s="787"/>
      <c r="C693" s="696" t="s">
        <v>2178</v>
      </c>
      <c r="D693" s="160" t="s">
        <v>4772</v>
      </c>
      <c r="E693" s="160" t="s">
        <v>4773</v>
      </c>
      <c r="F693" s="161" t="s">
        <v>4774</v>
      </c>
      <c r="G693" s="161" t="s">
        <v>4775</v>
      </c>
      <c r="H693" s="161" t="s">
        <v>4776</v>
      </c>
      <c r="I693" s="161" t="s">
        <v>4777</v>
      </c>
      <c r="J693" s="161" t="s">
        <v>4778</v>
      </c>
      <c r="K693" s="161" t="s">
        <v>3159</v>
      </c>
      <c r="L693" s="161" t="s">
        <v>4779</v>
      </c>
      <c r="M693" s="161" t="s">
        <v>4780</v>
      </c>
      <c r="N693" s="272" t="s">
        <v>4781</v>
      </c>
    </row>
    <row r="694" spans="1:14" ht="273" customHeight="1">
      <c r="A694" s="161">
        <v>10</v>
      </c>
      <c r="B694" s="787"/>
      <c r="C694" s="696"/>
      <c r="D694" s="160" t="s">
        <v>4782</v>
      </c>
      <c r="E694" s="160" t="s">
        <v>4783</v>
      </c>
      <c r="F694" s="161">
        <v>412.71</v>
      </c>
      <c r="G694" s="161">
        <v>463.79</v>
      </c>
      <c r="H694" s="161" t="s">
        <v>4784</v>
      </c>
      <c r="I694" s="161" t="s">
        <v>4785</v>
      </c>
      <c r="J694" s="161" t="s">
        <v>4786</v>
      </c>
      <c r="K694" s="161" t="s">
        <v>3494</v>
      </c>
      <c r="L694" s="161" t="s">
        <v>4787</v>
      </c>
      <c r="M694" s="161" t="s">
        <v>4788</v>
      </c>
      <c r="N694" s="219" t="s">
        <v>454</v>
      </c>
    </row>
    <row r="695" spans="1:14" ht="195">
      <c r="A695" s="92">
        <v>11</v>
      </c>
      <c r="B695" s="787"/>
      <c r="C695" s="160" t="s">
        <v>4789</v>
      </c>
      <c r="D695" s="160" t="s">
        <v>4790</v>
      </c>
      <c r="E695" s="160" t="s">
        <v>4791</v>
      </c>
      <c r="F695" s="161">
        <v>2902.14</v>
      </c>
      <c r="G695" s="161" t="s">
        <v>17</v>
      </c>
      <c r="H695" s="161" t="s">
        <v>4792</v>
      </c>
      <c r="I695" s="161" t="s">
        <v>389</v>
      </c>
      <c r="J695" s="161" t="s">
        <v>4793</v>
      </c>
      <c r="K695" s="161" t="s">
        <v>4794</v>
      </c>
      <c r="L695" s="161">
        <v>5093255</v>
      </c>
      <c r="M695" s="161">
        <v>1755</v>
      </c>
      <c r="N695" s="739" t="s">
        <v>4795</v>
      </c>
    </row>
    <row r="696" spans="1:14" ht="169.5" customHeight="1">
      <c r="A696" s="92">
        <v>12</v>
      </c>
      <c r="B696" s="787"/>
      <c r="C696" s="160" t="s">
        <v>4789</v>
      </c>
      <c r="D696" s="160" t="s">
        <v>4790</v>
      </c>
      <c r="E696" s="160" t="s">
        <v>4796</v>
      </c>
      <c r="F696" s="161">
        <v>1894.4</v>
      </c>
      <c r="G696" s="161" t="s">
        <v>17</v>
      </c>
      <c r="H696" s="161" t="s">
        <v>4797</v>
      </c>
      <c r="I696" s="161" t="s">
        <v>389</v>
      </c>
      <c r="J696" s="161" t="s">
        <v>4798</v>
      </c>
      <c r="K696" s="161" t="s">
        <v>4799</v>
      </c>
      <c r="L696" s="161">
        <v>3324672</v>
      </c>
      <c r="M696" s="161">
        <v>1755</v>
      </c>
      <c r="N696" s="739"/>
    </row>
    <row r="697" spans="1:14" ht="75">
      <c r="A697" s="92">
        <v>13</v>
      </c>
      <c r="B697" s="787"/>
      <c r="C697" s="160" t="s">
        <v>4789</v>
      </c>
      <c r="D697" s="696" t="s">
        <v>4800</v>
      </c>
      <c r="E697" s="160" t="s">
        <v>4801</v>
      </c>
      <c r="F697" s="161">
        <v>459.38</v>
      </c>
      <c r="G697" s="161" t="s">
        <v>17</v>
      </c>
      <c r="H697" s="161" t="s">
        <v>17</v>
      </c>
      <c r="I697" s="161" t="s">
        <v>389</v>
      </c>
      <c r="J697" s="161" t="s">
        <v>389</v>
      </c>
      <c r="K697" s="161" t="s">
        <v>389</v>
      </c>
      <c r="L697" s="161">
        <v>67299</v>
      </c>
      <c r="M697" s="161">
        <v>146</v>
      </c>
      <c r="N697" s="739" t="s">
        <v>4802</v>
      </c>
    </row>
    <row r="698" spans="1:14" ht="75">
      <c r="A698" s="92">
        <v>14</v>
      </c>
      <c r="B698" s="787"/>
      <c r="C698" s="160" t="s">
        <v>4789</v>
      </c>
      <c r="D698" s="696"/>
      <c r="E698" s="160" t="s">
        <v>4803</v>
      </c>
      <c r="F698" s="161">
        <v>432.38</v>
      </c>
      <c r="G698" s="161" t="s">
        <v>17</v>
      </c>
      <c r="H698" s="161" t="s">
        <v>17</v>
      </c>
      <c r="I698" s="161" t="s">
        <v>389</v>
      </c>
      <c r="J698" s="161" t="s">
        <v>389</v>
      </c>
      <c r="K698" s="161" t="s">
        <v>389</v>
      </c>
      <c r="L698" s="161">
        <v>63344</v>
      </c>
      <c r="M698" s="161">
        <v>146</v>
      </c>
      <c r="N698" s="739"/>
    </row>
    <row r="699" spans="1:14" ht="60">
      <c r="A699" s="92">
        <v>15</v>
      </c>
      <c r="B699" s="787"/>
      <c r="C699" s="160" t="s">
        <v>4789</v>
      </c>
      <c r="D699" s="696" t="s">
        <v>4804</v>
      </c>
      <c r="E699" s="160" t="s">
        <v>4805</v>
      </c>
      <c r="F699" s="161">
        <v>407.87</v>
      </c>
      <c r="G699" s="161" t="s">
        <v>17</v>
      </c>
      <c r="H699" s="161" t="s">
        <v>17</v>
      </c>
      <c r="I699" s="161" t="s">
        <v>389</v>
      </c>
      <c r="J699" s="161" t="s">
        <v>4806</v>
      </c>
      <c r="K699" s="161" t="s">
        <v>4807</v>
      </c>
      <c r="L699" s="161">
        <v>399219</v>
      </c>
      <c r="M699" s="161">
        <v>979</v>
      </c>
      <c r="N699" s="271" t="s">
        <v>389</v>
      </c>
    </row>
    <row r="700" spans="1:14" ht="60">
      <c r="A700" s="92">
        <v>16</v>
      </c>
      <c r="B700" s="787"/>
      <c r="C700" s="160" t="s">
        <v>4789</v>
      </c>
      <c r="D700" s="696"/>
      <c r="E700" s="160" t="s">
        <v>4808</v>
      </c>
      <c r="F700" s="161">
        <v>334.71</v>
      </c>
      <c r="G700" s="161" t="s">
        <v>17</v>
      </c>
      <c r="H700" s="161" t="s">
        <v>17</v>
      </c>
      <c r="I700" s="161" t="s">
        <v>389</v>
      </c>
      <c r="J700" s="161" t="s">
        <v>4806</v>
      </c>
      <c r="K700" s="161" t="s">
        <v>4807</v>
      </c>
      <c r="L700" s="161">
        <v>327504</v>
      </c>
      <c r="M700" s="161">
        <v>979</v>
      </c>
      <c r="N700" s="271" t="s">
        <v>389</v>
      </c>
    </row>
    <row r="701" spans="1:14" ht="75">
      <c r="A701" s="161">
        <v>17</v>
      </c>
      <c r="B701" s="787"/>
      <c r="C701" s="160" t="s">
        <v>4789</v>
      </c>
      <c r="D701" s="160" t="s">
        <v>4809</v>
      </c>
      <c r="E701" s="160" t="s">
        <v>4810</v>
      </c>
      <c r="F701" s="161">
        <v>2191.75</v>
      </c>
      <c r="G701" s="161" t="s">
        <v>17</v>
      </c>
      <c r="H701" s="161" t="s">
        <v>17</v>
      </c>
      <c r="I701" s="161" t="s">
        <v>389</v>
      </c>
      <c r="J701" s="161" t="s">
        <v>389</v>
      </c>
      <c r="K701" s="161" t="s">
        <v>389</v>
      </c>
      <c r="L701" s="190">
        <v>51556</v>
      </c>
      <c r="M701" s="161">
        <v>24</v>
      </c>
      <c r="N701" s="270" t="s">
        <v>4811</v>
      </c>
    </row>
    <row r="702" spans="1:14" ht="105">
      <c r="A702" s="161">
        <v>18</v>
      </c>
      <c r="B702" s="787"/>
      <c r="C702" s="160" t="s">
        <v>4812</v>
      </c>
      <c r="D702" s="160" t="s">
        <v>4813</v>
      </c>
      <c r="E702" s="160" t="s">
        <v>4814</v>
      </c>
      <c r="F702" s="161" t="s">
        <v>352</v>
      </c>
      <c r="G702" s="161" t="s">
        <v>4815</v>
      </c>
      <c r="H702" s="161" t="s">
        <v>4816</v>
      </c>
      <c r="I702" s="161" t="s">
        <v>4817</v>
      </c>
      <c r="J702" s="161" t="s">
        <v>4818</v>
      </c>
      <c r="K702" s="161" t="s">
        <v>4819</v>
      </c>
      <c r="L702" s="161" t="s">
        <v>4820</v>
      </c>
      <c r="M702" s="161">
        <v>1492.28</v>
      </c>
      <c r="N702" s="95" t="s">
        <v>4821</v>
      </c>
    </row>
    <row r="703" spans="1:14" ht="180">
      <c r="A703" s="92">
        <v>19</v>
      </c>
      <c r="B703" s="787"/>
      <c r="C703" s="160" t="s">
        <v>4822</v>
      </c>
      <c r="D703" s="160" t="s">
        <v>4823</v>
      </c>
      <c r="E703" s="160" t="s">
        <v>4824</v>
      </c>
      <c r="F703" s="161">
        <v>1200</v>
      </c>
      <c r="G703" s="194" t="s">
        <v>454</v>
      </c>
      <c r="H703" s="161" t="s">
        <v>4825</v>
      </c>
      <c r="I703" s="194" t="s">
        <v>454</v>
      </c>
      <c r="J703" s="194" t="s">
        <v>454</v>
      </c>
      <c r="K703" s="194" t="s">
        <v>454</v>
      </c>
      <c r="L703" s="161" t="s">
        <v>4826</v>
      </c>
      <c r="M703" s="194" t="s">
        <v>4827</v>
      </c>
      <c r="N703" s="95" t="s">
        <v>4828</v>
      </c>
    </row>
    <row r="704" spans="1:14" ht="60">
      <c r="A704" s="92">
        <v>20</v>
      </c>
      <c r="B704" s="787"/>
      <c r="C704" s="269" t="s">
        <v>893</v>
      </c>
      <c r="D704" s="217" t="s">
        <v>4829</v>
      </c>
      <c r="E704" s="218" t="s">
        <v>4830</v>
      </c>
      <c r="F704" s="215">
        <v>1379.61</v>
      </c>
      <c r="G704" s="215">
        <v>1931.454</v>
      </c>
      <c r="H704" s="119" t="s">
        <v>4831</v>
      </c>
      <c r="I704" s="119" t="s">
        <v>4832</v>
      </c>
      <c r="J704" s="119" t="s">
        <v>4833</v>
      </c>
      <c r="K704" s="119" t="s">
        <v>4834</v>
      </c>
      <c r="L704" s="119" t="s">
        <v>4835</v>
      </c>
      <c r="M704" s="119">
        <v>1268.5999999999999</v>
      </c>
      <c r="N704" s="220" t="s">
        <v>4836</v>
      </c>
    </row>
    <row r="705" spans="1:14" ht="409.5">
      <c r="A705" s="92">
        <v>21</v>
      </c>
      <c r="B705" s="787"/>
      <c r="C705" s="160" t="s">
        <v>904</v>
      </c>
      <c r="D705" s="160" t="s">
        <v>4837</v>
      </c>
      <c r="E705" s="160" t="s">
        <v>4838</v>
      </c>
      <c r="F705" s="92" t="s">
        <v>1293</v>
      </c>
      <c r="G705" s="92" t="s">
        <v>1293</v>
      </c>
      <c r="H705" s="161" t="s">
        <v>1293</v>
      </c>
      <c r="I705" s="161" t="s">
        <v>1293</v>
      </c>
      <c r="J705" s="161" t="s">
        <v>1293</v>
      </c>
      <c r="K705" s="161" t="s">
        <v>1293</v>
      </c>
      <c r="L705" s="161" t="s">
        <v>1293</v>
      </c>
      <c r="M705" s="161" t="s">
        <v>1293</v>
      </c>
      <c r="N705" s="221" t="s">
        <v>4839</v>
      </c>
    </row>
    <row r="706" spans="1:14" ht="210">
      <c r="A706" s="161">
        <v>22</v>
      </c>
      <c r="B706" s="787"/>
      <c r="C706" s="160" t="s">
        <v>4840</v>
      </c>
      <c r="D706" s="160" t="s">
        <v>4841</v>
      </c>
      <c r="E706" s="160" t="s">
        <v>4842</v>
      </c>
      <c r="F706" s="161"/>
      <c r="G706" s="161" t="s">
        <v>4843</v>
      </c>
      <c r="H706" s="161" t="s">
        <v>485</v>
      </c>
      <c r="I706" s="161" t="s">
        <v>4844</v>
      </c>
      <c r="J706" s="161" t="s">
        <v>4845</v>
      </c>
      <c r="K706" s="161" t="s">
        <v>4846</v>
      </c>
      <c r="L706" s="214" t="s">
        <v>4847</v>
      </c>
      <c r="M706" s="161" t="s">
        <v>4848</v>
      </c>
      <c r="N706" s="95" t="s">
        <v>4849</v>
      </c>
    </row>
    <row r="707" spans="1:14" ht="270">
      <c r="A707" s="161">
        <v>23</v>
      </c>
      <c r="B707" s="787"/>
      <c r="C707" s="160" t="s">
        <v>4840</v>
      </c>
      <c r="D707" s="160" t="s">
        <v>4850</v>
      </c>
      <c r="E707" s="160" t="s">
        <v>4851</v>
      </c>
      <c r="F707" s="161" t="s">
        <v>4852</v>
      </c>
      <c r="G707" s="161"/>
      <c r="H707" s="161" t="s">
        <v>4853</v>
      </c>
      <c r="I707" s="161" t="s">
        <v>4854</v>
      </c>
      <c r="J707" s="161" t="s">
        <v>4855</v>
      </c>
      <c r="K707" s="161" t="s">
        <v>389</v>
      </c>
      <c r="L707" s="161" t="s">
        <v>4856</v>
      </c>
      <c r="M707" s="161"/>
      <c r="N707" s="192" t="s">
        <v>4857</v>
      </c>
    </row>
    <row r="708" spans="1:14" ht="79.5" customHeight="1">
      <c r="A708" s="92">
        <v>24</v>
      </c>
      <c r="B708" s="787"/>
      <c r="C708" s="160" t="s">
        <v>4858</v>
      </c>
      <c r="D708" s="160" t="s">
        <v>4859</v>
      </c>
      <c r="E708" s="618" t="s">
        <v>87</v>
      </c>
      <c r="F708" s="619"/>
      <c r="G708" s="619"/>
      <c r="H708" s="619"/>
      <c r="I708" s="619"/>
      <c r="J708" s="619"/>
      <c r="K708" s="619"/>
      <c r="L708" s="619"/>
      <c r="M708" s="619"/>
      <c r="N708" s="620"/>
    </row>
    <row r="709" spans="1:14" ht="150">
      <c r="A709" s="92">
        <v>25</v>
      </c>
      <c r="B709" s="787"/>
      <c r="C709" s="160" t="s">
        <v>4860</v>
      </c>
      <c r="D709" s="160" t="s">
        <v>4861</v>
      </c>
      <c r="E709" s="160" t="s">
        <v>4862</v>
      </c>
      <c r="F709" s="161" t="s">
        <v>4863</v>
      </c>
      <c r="G709" s="161" t="s">
        <v>4864</v>
      </c>
      <c r="H709" s="161" t="s">
        <v>4865</v>
      </c>
      <c r="I709" s="161" t="s">
        <v>4866</v>
      </c>
      <c r="J709" s="161" t="s">
        <v>4867</v>
      </c>
      <c r="K709" s="161" t="s">
        <v>3159</v>
      </c>
      <c r="L709" s="161" t="s">
        <v>4868</v>
      </c>
      <c r="M709" s="161" t="s">
        <v>4869</v>
      </c>
      <c r="N709" s="192" t="s">
        <v>4870</v>
      </c>
    </row>
    <row r="710" spans="1:14" ht="180">
      <c r="A710" s="92">
        <v>26</v>
      </c>
      <c r="B710" s="787"/>
      <c r="C710" s="160" t="s">
        <v>4871</v>
      </c>
      <c r="D710" s="160" t="s">
        <v>4872</v>
      </c>
      <c r="E710" s="160" t="s">
        <v>4872</v>
      </c>
      <c r="F710" s="161" t="s">
        <v>4873</v>
      </c>
      <c r="G710" s="161" t="s">
        <v>4874</v>
      </c>
      <c r="H710" s="161" t="s">
        <v>4875</v>
      </c>
      <c r="I710" s="161" t="s">
        <v>4876</v>
      </c>
      <c r="J710" s="161" t="s">
        <v>4877</v>
      </c>
      <c r="K710" s="161" t="s">
        <v>3143</v>
      </c>
      <c r="L710" s="161" t="s">
        <v>4878</v>
      </c>
      <c r="M710" s="161" t="s">
        <v>4879</v>
      </c>
      <c r="N710" s="192" t="s">
        <v>4880</v>
      </c>
    </row>
    <row r="711" spans="1:14" ht="120">
      <c r="A711" s="92">
        <v>27</v>
      </c>
      <c r="B711" s="787"/>
      <c r="C711" s="160" t="s">
        <v>4881</v>
      </c>
      <c r="D711" s="160" t="s">
        <v>4882</v>
      </c>
      <c r="E711" s="160" t="s">
        <v>4883</v>
      </c>
      <c r="F711" s="161" t="s">
        <v>4884</v>
      </c>
      <c r="G711" s="161" t="s">
        <v>4885</v>
      </c>
      <c r="H711" s="752" t="s">
        <v>4886</v>
      </c>
      <c r="I711" s="161" t="s">
        <v>4887</v>
      </c>
      <c r="J711" s="161" t="s">
        <v>2990</v>
      </c>
      <c r="K711" s="161" t="s">
        <v>1766</v>
      </c>
      <c r="L711" s="161" t="s">
        <v>4888</v>
      </c>
      <c r="M711" s="161" t="s">
        <v>4889</v>
      </c>
      <c r="N711" s="192" t="s">
        <v>4890</v>
      </c>
    </row>
    <row r="712" spans="1:14">
      <c r="A712" s="788">
        <v>28</v>
      </c>
      <c r="B712" s="787"/>
      <c r="C712" s="748" t="s">
        <v>4881</v>
      </c>
      <c r="D712" s="748" t="s">
        <v>4891</v>
      </c>
      <c r="E712" s="748" t="s">
        <v>4883</v>
      </c>
      <c r="F712" s="752" t="s">
        <v>4884</v>
      </c>
      <c r="G712" s="752" t="s">
        <v>4892</v>
      </c>
      <c r="H712" s="753"/>
      <c r="I712" s="694" t="s">
        <v>4887</v>
      </c>
      <c r="J712" s="753" t="s">
        <v>4893</v>
      </c>
      <c r="K712" s="753" t="s">
        <v>1808</v>
      </c>
      <c r="L712" s="753" t="s">
        <v>4894</v>
      </c>
      <c r="M712" s="752" t="s">
        <v>4889</v>
      </c>
      <c r="N712" s="799" t="s">
        <v>4890</v>
      </c>
    </row>
    <row r="713" spans="1:14">
      <c r="A713" s="789"/>
      <c r="B713" s="787"/>
      <c r="C713" s="749"/>
      <c r="D713" s="749"/>
      <c r="E713" s="749"/>
      <c r="F713" s="754"/>
      <c r="G713" s="754"/>
      <c r="H713" s="754"/>
      <c r="I713" s="694"/>
      <c r="J713" s="754"/>
      <c r="K713" s="754"/>
      <c r="L713" s="754"/>
      <c r="M713" s="754"/>
      <c r="N713" s="800"/>
    </row>
    <row r="714" spans="1:14" ht="180">
      <c r="A714" s="92">
        <v>29</v>
      </c>
      <c r="B714" s="787"/>
      <c r="C714" s="160" t="s">
        <v>4860</v>
      </c>
      <c r="D714" s="160" t="s">
        <v>4895</v>
      </c>
      <c r="E714" s="160" t="s">
        <v>4896</v>
      </c>
      <c r="F714" s="161" t="s">
        <v>4897</v>
      </c>
      <c r="G714" s="161" t="s">
        <v>4898</v>
      </c>
      <c r="H714" s="161" t="s">
        <v>4899</v>
      </c>
      <c r="I714" s="161" t="s">
        <v>4887</v>
      </c>
      <c r="J714" s="161" t="s">
        <v>4900</v>
      </c>
      <c r="K714" s="161" t="s">
        <v>2766</v>
      </c>
      <c r="L714" s="161" t="s">
        <v>4901</v>
      </c>
      <c r="M714" s="161" t="s">
        <v>4902</v>
      </c>
      <c r="N714" s="192" t="s">
        <v>4903</v>
      </c>
    </row>
    <row r="715" spans="1:14" ht="180">
      <c r="A715" s="92">
        <v>30</v>
      </c>
      <c r="B715" s="787"/>
      <c r="C715" s="160" t="s">
        <v>4860</v>
      </c>
      <c r="D715" s="160" t="s">
        <v>4904</v>
      </c>
      <c r="E715" s="160" t="s">
        <v>4905</v>
      </c>
      <c r="F715" s="161" t="s">
        <v>4906</v>
      </c>
      <c r="G715" s="161" t="s">
        <v>4907</v>
      </c>
      <c r="H715" s="161" t="s">
        <v>4908</v>
      </c>
      <c r="I715" s="161" t="s">
        <v>4909</v>
      </c>
      <c r="J715" s="161" t="s">
        <v>4910</v>
      </c>
      <c r="K715" s="161" t="s">
        <v>1734</v>
      </c>
      <c r="L715" s="161" t="s">
        <v>4911</v>
      </c>
      <c r="M715" s="161" t="s">
        <v>4912</v>
      </c>
      <c r="N715" s="192"/>
    </row>
    <row r="716" spans="1:14" ht="90">
      <c r="A716" s="92">
        <v>31</v>
      </c>
      <c r="B716" s="787"/>
      <c r="C716" s="160" t="s">
        <v>913</v>
      </c>
      <c r="D716" s="160" t="s">
        <v>4913</v>
      </c>
      <c r="E716" s="160" t="s">
        <v>4914</v>
      </c>
      <c r="F716" s="161">
        <v>1894.61</v>
      </c>
      <c r="G716" s="161">
        <v>2273.5</v>
      </c>
      <c r="H716" s="161" t="s">
        <v>4915</v>
      </c>
      <c r="I716" s="161" t="s">
        <v>4916</v>
      </c>
      <c r="J716" s="161" t="s">
        <v>1703</v>
      </c>
      <c r="K716" s="191">
        <v>43475</v>
      </c>
      <c r="L716" s="161" t="s">
        <v>4917</v>
      </c>
      <c r="M716" s="161" t="s">
        <v>4918</v>
      </c>
      <c r="N716" s="192" t="s">
        <v>4919</v>
      </c>
    </row>
    <row r="717" spans="1:14" ht="195">
      <c r="A717" s="92">
        <v>32</v>
      </c>
      <c r="B717" s="787"/>
      <c r="C717" s="158" t="s">
        <v>914</v>
      </c>
      <c r="D717" s="158" t="s">
        <v>4920</v>
      </c>
      <c r="E717" s="158" t="s">
        <v>4921</v>
      </c>
      <c r="F717" s="92" t="s">
        <v>4922</v>
      </c>
      <c r="G717" s="94" t="s">
        <v>454</v>
      </c>
      <c r="H717" s="94" t="s">
        <v>454</v>
      </c>
      <c r="I717" s="94" t="s">
        <v>454</v>
      </c>
      <c r="J717" s="94" t="s">
        <v>454</v>
      </c>
      <c r="K717" s="94" t="s">
        <v>454</v>
      </c>
      <c r="L717" s="94" t="s">
        <v>454</v>
      </c>
      <c r="M717" s="94" t="s">
        <v>454</v>
      </c>
      <c r="N717" s="95" t="s">
        <v>4923</v>
      </c>
    </row>
    <row r="718" spans="1:14" ht="105">
      <c r="A718" s="92">
        <v>33</v>
      </c>
      <c r="B718" s="787"/>
      <c r="C718" s="158" t="s">
        <v>915</v>
      </c>
      <c r="D718" s="158" t="s">
        <v>4924</v>
      </c>
      <c r="E718" s="158" t="s">
        <v>4921</v>
      </c>
      <c r="F718" s="94" t="s">
        <v>454</v>
      </c>
      <c r="G718" s="94" t="s">
        <v>454</v>
      </c>
      <c r="H718" s="94" t="s">
        <v>454</v>
      </c>
      <c r="I718" s="94" t="s">
        <v>454</v>
      </c>
      <c r="J718" s="94" t="s">
        <v>454</v>
      </c>
      <c r="K718" s="94" t="s">
        <v>454</v>
      </c>
      <c r="L718" s="94" t="s">
        <v>454</v>
      </c>
      <c r="M718" s="94" t="s">
        <v>454</v>
      </c>
      <c r="N718" s="95" t="s">
        <v>4925</v>
      </c>
    </row>
    <row r="719" spans="1:14" ht="75">
      <c r="A719" s="216">
        <v>34</v>
      </c>
      <c r="B719" s="787"/>
      <c r="C719" s="158" t="s">
        <v>916</v>
      </c>
      <c r="D719" s="158" t="s">
        <v>4926</v>
      </c>
      <c r="E719" s="158" t="s">
        <v>4927</v>
      </c>
      <c r="F719" s="94" t="s">
        <v>454</v>
      </c>
      <c r="G719" s="94" t="s">
        <v>454</v>
      </c>
      <c r="H719" s="94" t="s">
        <v>454</v>
      </c>
      <c r="I719" s="94" t="s">
        <v>454</v>
      </c>
      <c r="J719" s="94" t="s">
        <v>454</v>
      </c>
      <c r="K719" s="94" t="s">
        <v>454</v>
      </c>
      <c r="L719" s="94" t="s">
        <v>454</v>
      </c>
      <c r="M719" s="94" t="s">
        <v>454</v>
      </c>
      <c r="N719" s="95" t="s">
        <v>4928</v>
      </c>
    </row>
    <row r="720" spans="1:14" ht="105">
      <c r="A720" s="216">
        <v>35</v>
      </c>
      <c r="B720" s="787"/>
      <c r="C720" s="158" t="s">
        <v>917</v>
      </c>
      <c r="D720" s="158" t="s">
        <v>4929</v>
      </c>
      <c r="E720" s="158" t="s">
        <v>4921</v>
      </c>
      <c r="F720" s="94" t="s">
        <v>454</v>
      </c>
      <c r="G720" s="94" t="s">
        <v>454</v>
      </c>
      <c r="H720" s="94" t="s">
        <v>454</v>
      </c>
      <c r="I720" s="94" t="s">
        <v>454</v>
      </c>
      <c r="J720" s="94" t="s">
        <v>454</v>
      </c>
      <c r="K720" s="94" t="s">
        <v>454</v>
      </c>
      <c r="L720" s="94" t="s">
        <v>454</v>
      </c>
      <c r="M720" s="94" t="s">
        <v>454</v>
      </c>
      <c r="N720" s="95" t="s">
        <v>4925</v>
      </c>
    </row>
    <row r="721" spans="1:14" ht="60">
      <c r="A721" s="216">
        <v>36</v>
      </c>
      <c r="B721" s="787"/>
      <c r="C721" s="158" t="s">
        <v>918</v>
      </c>
      <c r="D721" s="158" t="s">
        <v>4930</v>
      </c>
      <c r="E721" s="158" t="s">
        <v>4931</v>
      </c>
      <c r="F721" s="772" t="s">
        <v>87</v>
      </c>
      <c r="G721" s="773"/>
      <c r="H721" s="773"/>
      <c r="I721" s="773"/>
      <c r="J721" s="773"/>
      <c r="K721" s="773"/>
      <c r="L721" s="773"/>
      <c r="M721" s="773"/>
      <c r="N721" s="774"/>
    </row>
    <row r="722" spans="1:14" ht="105">
      <c r="A722" s="216">
        <v>37</v>
      </c>
      <c r="B722" s="787"/>
      <c r="C722" s="158" t="s">
        <v>919</v>
      </c>
      <c r="D722" s="158" t="s">
        <v>4932</v>
      </c>
      <c r="E722" s="160" t="s">
        <v>4933</v>
      </c>
      <c r="F722" s="772" t="s">
        <v>87</v>
      </c>
      <c r="G722" s="773"/>
      <c r="H722" s="773"/>
      <c r="I722" s="773"/>
      <c r="J722" s="773"/>
      <c r="K722" s="773"/>
      <c r="L722" s="773"/>
      <c r="M722" s="773"/>
      <c r="N722" s="774"/>
    </row>
    <row r="723" spans="1:14" ht="225">
      <c r="A723" s="92">
        <v>38</v>
      </c>
      <c r="B723" s="787"/>
      <c r="C723" s="159" t="s">
        <v>4934</v>
      </c>
      <c r="D723" s="159" t="s">
        <v>4935</v>
      </c>
      <c r="E723" s="159" t="s">
        <v>4936</v>
      </c>
      <c r="F723" s="102">
        <v>3724</v>
      </c>
      <c r="G723" s="102">
        <v>3973</v>
      </c>
      <c r="H723" s="102" t="s">
        <v>4937</v>
      </c>
      <c r="I723" s="102" t="s">
        <v>4938</v>
      </c>
      <c r="J723" s="102" t="s">
        <v>1783</v>
      </c>
      <c r="K723" s="102" t="s">
        <v>4939</v>
      </c>
      <c r="L723" s="102" t="s">
        <v>4940</v>
      </c>
      <c r="M723" s="92">
        <v>3552.1849999999999</v>
      </c>
      <c r="N723" s="102" t="s">
        <v>4941</v>
      </c>
    </row>
    <row r="724" spans="1:14" ht="75">
      <c r="A724" s="92">
        <v>39</v>
      </c>
      <c r="B724" s="787"/>
      <c r="C724" s="158" t="s">
        <v>4942</v>
      </c>
      <c r="D724" s="158" t="s">
        <v>4943</v>
      </c>
      <c r="E724" s="158" t="s">
        <v>4944</v>
      </c>
      <c r="F724" s="213">
        <v>405.8</v>
      </c>
      <c r="G724" s="92" t="s">
        <v>4945</v>
      </c>
      <c r="H724" s="772" t="s">
        <v>4946</v>
      </c>
      <c r="I724" s="773"/>
      <c r="J724" s="773"/>
      <c r="K724" s="774"/>
      <c r="L724" s="772" t="s">
        <v>4947</v>
      </c>
      <c r="M724" s="774"/>
      <c r="N724" s="92"/>
    </row>
    <row r="725" spans="1:14" ht="165">
      <c r="A725" s="92"/>
      <c r="B725" s="787"/>
      <c r="C725" s="158" t="s">
        <v>4948</v>
      </c>
      <c r="D725" s="158" t="s">
        <v>4949</v>
      </c>
      <c r="E725" s="158" t="s">
        <v>4950</v>
      </c>
      <c r="F725" s="213">
        <v>120.77</v>
      </c>
      <c r="G725" s="92" t="s">
        <v>4951</v>
      </c>
      <c r="H725" s="92"/>
      <c r="I725" s="92"/>
      <c r="J725" s="92"/>
      <c r="K725" s="92"/>
      <c r="L725" s="92"/>
      <c r="M725" s="92"/>
      <c r="N725" s="92" t="s">
        <v>4952</v>
      </c>
    </row>
    <row r="726" spans="1:14" ht="45">
      <c r="A726" s="92">
        <v>40</v>
      </c>
      <c r="B726" s="787"/>
      <c r="C726" s="160" t="s">
        <v>4953</v>
      </c>
      <c r="D726" s="160" t="s">
        <v>4954</v>
      </c>
      <c r="E726" s="160" t="s">
        <v>4955</v>
      </c>
      <c r="F726" s="161" t="s">
        <v>352</v>
      </c>
      <c r="G726" s="161">
        <v>315</v>
      </c>
      <c r="H726" s="161" t="s">
        <v>4956</v>
      </c>
      <c r="I726" s="161" t="s">
        <v>1702</v>
      </c>
      <c r="J726" s="161" t="s">
        <v>1742</v>
      </c>
      <c r="K726" s="161" t="s">
        <v>4957</v>
      </c>
      <c r="L726" s="161" t="s">
        <v>4958</v>
      </c>
      <c r="M726" s="161">
        <v>458.05</v>
      </c>
      <c r="N726" s="92"/>
    </row>
    <row r="727" spans="1:14" ht="60">
      <c r="A727" s="92">
        <v>41</v>
      </c>
      <c r="B727" s="787"/>
      <c r="C727" s="160" t="s">
        <v>4953</v>
      </c>
      <c r="D727" s="160" t="s">
        <v>4959</v>
      </c>
      <c r="E727" s="160" t="s">
        <v>4960</v>
      </c>
      <c r="F727" s="161" t="s">
        <v>352</v>
      </c>
      <c r="G727" s="161">
        <v>85</v>
      </c>
      <c r="H727" s="161" t="s">
        <v>4961</v>
      </c>
      <c r="I727" s="161" t="s">
        <v>1702</v>
      </c>
      <c r="J727" s="161" t="s">
        <v>1742</v>
      </c>
      <c r="K727" s="161" t="s">
        <v>4962</v>
      </c>
      <c r="L727" s="161" t="s">
        <v>4963</v>
      </c>
      <c r="M727" s="161" t="s">
        <v>4964</v>
      </c>
      <c r="N727" s="92"/>
    </row>
    <row r="728" spans="1:14" ht="60">
      <c r="A728" s="92">
        <v>42</v>
      </c>
      <c r="B728" s="787"/>
      <c r="C728" s="160" t="s">
        <v>4953</v>
      </c>
      <c r="D728" s="160" t="s">
        <v>4959</v>
      </c>
      <c r="E728" s="160" t="s">
        <v>4965</v>
      </c>
      <c r="F728" s="161" t="s">
        <v>352</v>
      </c>
      <c r="G728" s="161">
        <v>474</v>
      </c>
      <c r="H728" s="161" t="s">
        <v>4961</v>
      </c>
      <c r="I728" s="161" t="s">
        <v>1702</v>
      </c>
      <c r="J728" s="161" t="s">
        <v>1742</v>
      </c>
      <c r="K728" s="161" t="s">
        <v>4966</v>
      </c>
      <c r="L728" s="161" t="s">
        <v>4967</v>
      </c>
      <c r="M728" s="161" t="s">
        <v>4968</v>
      </c>
      <c r="N728" s="92"/>
    </row>
    <row r="729" spans="1:14" ht="45">
      <c r="A729" s="92">
        <v>43</v>
      </c>
      <c r="B729" s="787"/>
      <c r="C729" s="160" t="s">
        <v>4969</v>
      </c>
      <c r="D729" s="160" t="s">
        <v>4970</v>
      </c>
      <c r="E729" s="160" t="s">
        <v>4971</v>
      </c>
      <c r="F729" s="161" t="s">
        <v>352</v>
      </c>
      <c r="G729" s="161">
        <v>315</v>
      </c>
      <c r="H729" s="161" t="s">
        <v>4956</v>
      </c>
      <c r="I729" s="161" t="s">
        <v>1702</v>
      </c>
      <c r="J729" s="161" t="s">
        <v>1742</v>
      </c>
      <c r="K729" s="161" t="s">
        <v>4957</v>
      </c>
      <c r="L729" s="161" t="s">
        <v>4958</v>
      </c>
      <c r="M729" s="161">
        <v>458.05</v>
      </c>
      <c r="N729" s="92" t="s">
        <v>4972</v>
      </c>
    </row>
    <row r="730" spans="1:14" ht="90">
      <c r="A730" s="92">
        <v>44</v>
      </c>
      <c r="B730" s="787"/>
      <c r="C730" s="158" t="s">
        <v>1025</v>
      </c>
      <c r="D730" s="160" t="s">
        <v>4973</v>
      </c>
      <c r="E730" s="158" t="s">
        <v>4974</v>
      </c>
      <c r="F730" s="161" t="s">
        <v>4975</v>
      </c>
      <c r="G730" s="161" t="s">
        <v>193</v>
      </c>
      <c r="H730" s="161"/>
      <c r="I730" s="161"/>
      <c r="J730" s="161" t="s">
        <v>4976</v>
      </c>
      <c r="K730" s="161">
        <v>12000</v>
      </c>
      <c r="L730" s="161">
        <f>SUM(K730/12)</f>
        <v>1000</v>
      </c>
      <c r="M730" s="176">
        <f>SUM(L730/277)</f>
        <v>3.6101083032490973</v>
      </c>
      <c r="N730" s="194" t="s">
        <v>454</v>
      </c>
    </row>
    <row r="731" spans="1:14" ht="409.5">
      <c r="A731" s="92">
        <v>45</v>
      </c>
      <c r="B731" s="787"/>
      <c r="C731" s="158" t="s">
        <v>1025</v>
      </c>
      <c r="D731" s="160" t="s">
        <v>4977</v>
      </c>
      <c r="E731" s="158" t="s">
        <v>4978</v>
      </c>
      <c r="F731" s="161" t="s">
        <v>4979</v>
      </c>
      <c r="G731" s="161">
        <v>1972</v>
      </c>
      <c r="H731" s="161"/>
      <c r="I731" s="161"/>
      <c r="J731" s="161" t="s">
        <v>4980</v>
      </c>
      <c r="K731" s="161">
        <v>520000</v>
      </c>
      <c r="L731" s="161">
        <f>SUM(K731/12)</f>
        <v>43333.333333333336</v>
      </c>
      <c r="M731" s="176">
        <f>SUM(L731/1677.92)</f>
        <v>25.825625377451448</v>
      </c>
      <c r="N731" s="161" t="s">
        <v>4981</v>
      </c>
    </row>
    <row r="732" spans="1:14" ht="105">
      <c r="A732" s="92">
        <v>46</v>
      </c>
      <c r="B732" s="787"/>
      <c r="C732" s="158" t="s">
        <v>1025</v>
      </c>
      <c r="D732" s="160" t="s">
        <v>4982</v>
      </c>
      <c r="E732" s="158" t="s">
        <v>4983</v>
      </c>
      <c r="F732" s="752" t="s">
        <v>4984</v>
      </c>
      <c r="G732" s="790" t="s">
        <v>454</v>
      </c>
      <c r="H732" s="752">
        <v>1968</v>
      </c>
      <c r="I732" s="752" t="s">
        <v>4985</v>
      </c>
      <c r="J732" s="752" t="s">
        <v>403</v>
      </c>
      <c r="K732" s="798">
        <v>50844</v>
      </c>
      <c r="L732" s="752">
        <v>118200000</v>
      </c>
      <c r="M732" s="752">
        <f t="shared" ref="M732" si="10">SUM(L732/12)</f>
        <v>9850000</v>
      </c>
      <c r="N732" s="752" t="s">
        <v>4986</v>
      </c>
    </row>
    <row r="733" spans="1:14" ht="45">
      <c r="A733" s="92">
        <v>47</v>
      </c>
      <c r="B733" s="787"/>
      <c r="C733" s="158" t="s">
        <v>1025</v>
      </c>
      <c r="D733" s="160" t="s">
        <v>4987</v>
      </c>
      <c r="E733" s="158" t="s">
        <v>4988</v>
      </c>
      <c r="F733" s="753"/>
      <c r="G733" s="791"/>
      <c r="H733" s="753"/>
      <c r="I733" s="753"/>
      <c r="J733" s="753"/>
      <c r="K733" s="753"/>
      <c r="L733" s="753"/>
      <c r="M733" s="753"/>
      <c r="N733" s="753"/>
    </row>
    <row r="734" spans="1:14" ht="45">
      <c r="A734" s="92">
        <v>48</v>
      </c>
      <c r="B734" s="787"/>
      <c r="C734" s="158" t="s">
        <v>1025</v>
      </c>
      <c r="D734" s="160" t="s">
        <v>4989</v>
      </c>
      <c r="E734" s="158" t="s">
        <v>4988</v>
      </c>
      <c r="F734" s="753"/>
      <c r="G734" s="791"/>
      <c r="H734" s="753"/>
      <c r="I734" s="753"/>
      <c r="J734" s="753"/>
      <c r="K734" s="753"/>
      <c r="L734" s="753"/>
      <c r="M734" s="753"/>
      <c r="N734" s="753"/>
    </row>
    <row r="735" spans="1:14" ht="45">
      <c r="A735" s="311">
        <v>49</v>
      </c>
      <c r="B735" s="787"/>
      <c r="C735" s="309" t="s">
        <v>1025</v>
      </c>
      <c r="D735" s="308" t="s">
        <v>4990</v>
      </c>
      <c r="E735" s="309" t="s">
        <v>4991</v>
      </c>
      <c r="F735" s="753"/>
      <c r="G735" s="791"/>
      <c r="H735" s="753"/>
      <c r="I735" s="753"/>
      <c r="J735" s="753"/>
      <c r="K735" s="753"/>
      <c r="L735" s="753"/>
      <c r="M735" s="753"/>
      <c r="N735" s="753"/>
    </row>
    <row r="736" spans="1:14" s="552" customFormat="1">
      <c r="A736" s="743"/>
      <c r="B736" s="743"/>
      <c r="C736" s="743"/>
      <c r="D736" s="743"/>
      <c r="E736" s="743"/>
      <c r="F736" s="743"/>
      <c r="G736" s="743"/>
      <c r="H736" s="743"/>
      <c r="I736" s="743"/>
      <c r="J736" s="743"/>
      <c r="K736" s="743"/>
      <c r="L736" s="743"/>
      <c r="M736" s="743"/>
      <c r="N736" s="743"/>
    </row>
    <row r="737" spans="1:14" ht="22.5">
      <c r="A737" s="750" t="s">
        <v>668</v>
      </c>
      <c r="B737" s="751"/>
      <c r="C737" s="751"/>
      <c r="D737" s="751"/>
      <c r="E737" s="751"/>
      <c r="F737" s="751"/>
      <c r="G737" s="751"/>
      <c r="H737" s="751"/>
      <c r="I737" s="751"/>
      <c r="J737" s="751"/>
      <c r="K737" s="751"/>
      <c r="L737" s="751"/>
      <c r="M737" s="751"/>
      <c r="N737" s="751"/>
    </row>
    <row r="738" spans="1:14" ht="20.25">
      <c r="A738" s="761" t="s">
        <v>2669</v>
      </c>
      <c r="B738" s="762"/>
      <c r="C738" s="762"/>
      <c r="D738" s="762"/>
      <c r="E738" s="762"/>
      <c r="F738" s="762"/>
      <c r="G738" s="762"/>
      <c r="H738" s="762"/>
      <c r="I738" s="762"/>
      <c r="J738" s="762"/>
      <c r="K738" s="762"/>
      <c r="L738" s="762"/>
      <c r="M738" s="762"/>
      <c r="N738" s="762"/>
    </row>
    <row r="739" spans="1:14" ht="71.25">
      <c r="A739" s="35" t="s">
        <v>0</v>
      </c>
      <c r="B739" s="19" t="s">
        <v>1616</v>
      </c>
      <c r="C739" s="35" t="s">
        <v>1676</v>
      </c>
      <c r="D739" s="18" t="s">
        <v>1677</v>
      </c>
      <c r="E739" s="18" t="s">
        <v>1678</v>
      </c>
      <c r="F739" s="19" t="s">
        <v>2670</v>
      </c>
      <c r="G739" s="19" t="s">
        <v>2671</v>
      </c>
      <c r="H739" s="19" t="s">
        <v>1679</v>
      </c>
      <c r="I739" s="19" t="s">
        <v>1680</v>
      </c>
      <c r="J739" s="19" t="s">
        <v>1681</v>
      </c>
      <c r="K739" s="19" t="s">
        <v>1682</v>
      </c>
      <c r="L739" s="19" t="s">
        <v>1683</v>
      </c>
      <c r="M739" s="19" t="s">
        <v>1684</v>
      </c>
      <c r="N739" s="19" t="s">
        <v>1685</v>
      </c>
    </row>
    <row r="740" spans="1:14">
      <c r="A740" s="35">
        <v>1</v>
      </c>
      <c r="B740" s="35">
        <v>2</v>
      </c>
      <c r="C740" s="35">
        <v>3</v>
      </c>
      <c r="D740" s="35">
        <v>4</v>
      </c>
      <c r="E740" s="35">
        <v>5</v>
      </c>
      <c r="F740" s="35">
        <v>6</v>
      </c>
      <c r="G740" s="35">
        <v>7</v>
      </c>
      <c r="H740" s="35">
        <v>8</v>
      </c>
      <c r="I740" s="19">
        <v>9</v>
      </c>
      <c r="J740" s="35">
        <v>10</v>
      </c>
      <c r="K740" s="35">
        <v>11</v>
      </c>
      <c r="L740" s="35">
        <v>12</v>
      </c>
      <c r="M740" s="35">
        <v>13</v>
      </c>
      <c r="N740" s="35">
        <v>14</v>
      </c>
    </row>
    <row r="741" spans="1:14" ht="120">
      <c r="A741" s="161">
        <v>1</v>
      </c>
      <c r="B741" s="747" t="s">
        <v>2618</v>
      </c>
      <c r="C741" s="747" t="s">
        <v>5020</v>
      </c>
      <c r="D741" s="160" t="s">
        <v>4992</v>
      </c>
      <c r="E741" s="160" t="s">
        <v>4993</v>
      </c>
      <c r="F741" s="161" t="s">
        <v>4994</v>
      </c>
      <c r="G741" s="161" t="s">
        <v>4994</v>
      </c>
      <c r="H741" s="161" t="s">
        <v>4995</v>
      </c>
      <c r="I741" s="161" t="s">
        <v>4996</v>
      </c>
      <c r="J741" s="161" t="s">
        <v>4997</v>
      </c>
      <c r="K741" s="191">
        <v>44378</v>
      </c>
      <c r="L741" s="161" t="s">
        <v>4998</v>
      </c>
      <c r="M741" s="161" t="s">
        <v>4999</v>
      </c>
      <c r="N741" s="161"/>
    </row>
    <row r="742" spans="1:14" ht="105">
      <c r="A742" s="161">
        <v>2</v>
      </c>
      <c r="B742" s="748"/>
      <c r="C742" s="748"/>
      <c r="D742" s="160" t="s">
        <v>5000</v>
      </c>
      <c r="E742" s="160" t="s">
        <v>5001</v>
      </c>
      <c r="F742" s="161" t="s">
        <v>5002</v>
      </c>
      <c r="G742" s="161" t="s">
        <v>5002</v>
      </c>
      <c r="H742" s="161" t="s">
        <v>5003</v>
      </c>
      <c r="I742" s="161" t="s">
        <v>4996</v>
      </c>
      <c r="J742" s="161" t="s">
        <v>5004</v>
      </c>
      <c r="K742" s="191">
        <v>43922</v>
      </c>
      <c r="L742" s="161" t="s">
        <v>5005</v>
      </c>
      <c r="M742" s="161" t="s">
        <v>4999</v>
      </c>
      <c r="N742" s="161" t="s">
        <v>5006</v>
      </c>
    </row>
    <row r="743" spans="1:14" ht="75">
      <c r="A743" s="161">
        <v>3</v>
      </c>
      <c r="B743" s="748"/>
      <c r="C743" s="748"/>
      <c r="D743" s="160" t="s">
        <v>5007</v>
      </c>
      <c r="E743" s="160" t="s">
        <v>5008</v>
      </c>
      <c r="F743" s="161" t="s">
        <v>5009</v>
      </c>
      <c r="G743" s="161" t="s">
        <v>5009</v>
      </c>
      <c r="H743" s="161" t="s">
        <v>5010</v>
      </c>
      <c r="I743" s="161" t="s">
        <v>4996</v>
      </c>
      <c r="J743" s="161" t="s">
        <v>5011</v>
      </c>
      <c r="K743" s="191">
        <v>44805</v>
      </c>
      <c r="L743" s="161" t="s">
        <v>5012</v>
      </c>
      <c r="M743" s="161" t="s">
        <v>4999</v>
      </c>
      <c r="N743" s="161"/>
    </row>
    <row r="744" spans="1:14" ht="90">
      <c r="A744" s="161">
        <v>4</v>
      </c>
      <c r="B744" s="748"/>
      <c r="C744" s="748"/>
      <c r="D744" s="160" t="s">
        <v>5013</v>
      </c>
      <c r="E744" s="160" t="s">
        <v>5014</v>
      </c>
      <c r="F744" s="161" t="s">
        <v>5015</v>
      </c>
      <c r="G744" s="161" t="s">
        <v>5016</v>
      </c>
      <c r="H744" s="161" t="s">
        <v>5017</v>
      </c>
      <c r="I744" s="161" t="s">
        <v>4996</v>
      </c>
      <c r="J744" s="161" t="s">
        <v>5018</v>
      </c>
      <c r="K744" s="191">
        <v>44301</v>
      </c>
      <c r="L744" s="161" t="s">
        <v>5019</v>
      </c>
      <c r="M744" s="161" t="s">
        <v>4999</v>
      </c>
      <c r="N744" s="161"/>
    </row>
    <row r="745" spans="1:14" ht="210">
      <c r="A745" s="161">
        <v>5</v>
      </c>
      <c r="B745" s="748"/>
      <c r="C745" s="748"/>
      <c r="D745" s="160" t="s">
        <v>5021</v>
      </c>
      <c r="E745" s="160" t="s">
        <v>5022</v>
      </c>
      <c r="F745" s="161" t="s">
        <v>5023</v>
      </c>
      <c r="G745" s="161" t="s">
        <v>5023</v>
      </c>
      <c r="H745" s="161" t="s">
        <v>4166</v>
      </c>
      <c r="I745" s="161" t="s">
        <v>4996</v>
      </c>
      <c r="J745" s="161" t="s">
        <v>4396</v>
      </c>
      <c r="K745" s="161" t="s">
        <v>1899</v>
      </c>
      <c r="L745" s="161" t="s">
        <v>5024</v>
      </c>
      <c r="M745" s="161">
        <v>101.95</v>
      </c>
      <c r="N745" s="271" t="s">
        <v>5025</v>
      </c>
    </row>
    <row r="746" spans="1:14" ht="225">
      <c r="A746" s="161">
        <v>6</v>
      </c>
      <c r="B746" s="748"/>
      <c r="C746" s="748"/>
      <c r="D746" s="160" t="s">
        <v>5026</v>
      </c>
      <c r="E746" s="160" t="s">
        <v>5027</v>
      </c>
      <c r="F746" s="161" t="s">
        <v>5028</v>
      </c>
      <c r="G746" s="161" t="s">
        <v>5029</v>
      </c>
      <c r="H746" s="161" t="s">
        <v>4166</v>
      </c>
      <c r="I746" s="161" t="s">
        <v>4996</v>
      </c>
      <c r="J746" s="161" t="s">
        <v>4589</v>
      </c>
      <c r="K746" s="161" t="s">
        <v>2766</v>
      </c>
      <c r="L746" s="161" t="s">
        <v>5030</v>
      </c>
      <c r="M746" s="161">
        <f>12400/121.32</f>
        <v>102.20903395977581</v>
      </c>
      <c r="N746" s="161" t="s">
        <v>5031</v>
      </c>
    </row>
    <row r="747" spans="1:14" ht="225">
      <c r="A747" s="161">
        <v>7</v>
      </c>
      <c r="B747" s="748"/>
      <c r="C747" s="748"/>
      <c r="D747" s="160" t="s">
        <v>5032</v>
      </c>
      <c r="E747" s="160" t="s">
        <v>5033</v>
      </c>
      <c r="F747" s="161" t="s">
        <v>5034</v>
      </c>
      <c r="G747" s="161" t="s">
        <v>5034</v>
      </c>
      <c r="H747" s="161" t="s">
        <v>4166</v>
      </c>
      <c r="I747" s="161" t="s">
        <v>4996</v>
      </c>
      <c r="J747" s="161" t="s">
        <v>1714</v>
      </c>
      <c r="K747" s="161" t="s">
        <v>3002</v>
      </c>
      <c r="L747" s="161" t="s">
        <v>5035</v>
      </c>
      <c r="M747" s="161">
        <f>8000/172.61</f>
        <v>46.347256821736863</v>
      </c>
      <c r="N747" s="161" t="s">
        <v>5031</v>
      </c>
    </row>
    <row r="748" spans="1:14" ht="225">
      <c r="A748" s="161">
        <v>8</v>
      </c>
      <c r="B748" s="748"/>
      <c r="C748" s="749"/>
      <c r="D748" s="160" t="s">
        <v>5036</v>
      </c>
      <c r="E748" s="160" t="s">
        <v>5037</v>
      </c>
      <c r="F748" s="161" t="s">
        <v>5038</v>
      </c>
      <c r="G748" s="161" t="s">
        <v>5039</v>
      </c>
      <c r="H748" s="161" t="s">
        <v>4166</v>
      </c>
      <c r="I748" s="161" t="s">
        <v>4996</v>
      </c>
      <c r="J748" s="161" t="s">
        <v>4396</v>
      </c>
      <c r="K748" s="161" t="s">
        <v>5040</v>
      </c>
      <c r="L748" s="161" t="s">
        <v>5041</v>
      </c>
      <c r="M748" s="161">
        <v>164.41</v>
      </c>
      <c r="N748" s="161" t="s">
        <v>5042</v>
      </c>
    </row>
    <row r="749" spans="1:14" ht="123" customHeight="1">
      <c r="A749" s="161">
        <v>9</v>
      </c>
      <c r="B749" s="748"/>
      <c r="C749" s="752" t="s">
        <v>6537</v>
      </c>
      <c r="D749" s="160" t="s">
        <v>5043</v>
      </c>
      <c r="E749" s="160" t="s">
        <v>5044</v>
      </c>
      <c r="F749" s="161">
        <v>134.47</v>
      </c>
      <c r="G749" s="161">
        <v>134.47</v>
      </c>
      <c r="H749" s="161" t="s">
        <v>6536</v>
      </c>
      <c r="I749" s="161" t="s">
        <v>1702</v>
      </c>
      <c r="J749" s="161" t="s">
        <v>5045</v>
      </c>
      <c r="K749" s="161" t="s">
        <v>1899</v>
      </c>
      <c r="L749" s="161">
        <v>29747</v>
      </c>
      <c r="M749" s="161" t="s">
        <v>35</v>
      </c>
      <c r="N749" s="161" t="s">
        <v>5046</v>
      </c>
    </row>
    <row r="750" spans="1:14" ht="135">
      <c r="A750" s="161">
        <v>10</v>
      </c>
      <c r="B750" s="748"/>
      <c r="C750" s="753"/>
      <c r="D750" s="160" t="s">
        <v>5043</v>
      </c>
      <c r="E750" s="160" t="s">
        <v>5047</v>
      </c>
      <c r="F750" s="161">
        <v>520.25</v>
      </c>
      <c r="G750" s="161">
        <v>520.25</v>
      </c>
      <c r="H750" s="161" t="s">
        <v>5048</v>
      </c>
      <c r="I750" s="161" t="s">
        <v>1702</v>
      </c>
      <c r="J750" s="161" t="s">
        <v>5049</v>
      </c>
      <c r="K750" s="161" t="s">
        <v>3475</v>
      </c>
      <c r="L750" s="161">
        <v>120000</v>
      </c>
      <c r="M750" s="161" t="s">
        <v>35</v>
      </c>
      <c r="N750" s="161" t="s">
        <v>35</v>
      </c>
    </row>
    <row r="751" spans="1:14" ht="120">
      <c r="A751" s="161">
        <v>11</v>
      </c>
      <c r="B751" s="748"/>
      <c r="C751" s="753"/>
      <c r="D751" s="160" t="s">
        <v>5043</v>
      </c>
      <c r="E751" s="160" t="s">
        <v>5050</v>
      </c>
      <c r="F751" s="161">
        <v>113.06</v>
      </c>
      <c r="G751" s="161">
        <v>113.06</v>
      </c>
      <c r="H751" s="191" t="s">
        <v>5051</v>
      </c>
      <c r="I751" s="161" t="s">
        <v>1702</v>
      </c>
      <c r="J751" s="161" t="s">
        <v>5052</v>
      </c>
      <c r="K751" s="161" t="s">
        <v>1899</v>
      </c>
      <c r="L751" s="161">
        <v>14110</v>
      </c>
      <c r="M751" s="161" t="s">
        <v>35</v>
      </c>
      <c r="N751" s="161" t="s">
        <v>5053</v>
      </c>
    </row>
    <row r="752" spans="1:14" ht="135">
      <c r="A752" s="161">
        <v>12</v>
      </c>
      <c r="B752" s="748"/>
      <c r="C752" s="753"/>
      <c r="D752" s="160" t="s">
        <v>5043</v>
      </c>
      <c r="E752" s="160" t="s">
        <v>5054</v>
      </c>
      <c r="F752" s="161">
        <v>111.95</v>
      </c>
      <c r="G752" s="161">
        <v>111.95</v>
      </c>
      <c r="H752" s="191" t="s">
        <v>5055</v>
      </c>
      <c r="I752" s="161"/>
      <c r="J752" s="161" t="s">
        <v>5056</v>
      </c>
      <c r="K752" s="161" t="s">
        <v>1755</v>
      </c>
      <c r="L752" s="161">
        <v>15062</v>
      </c>
      <c r="M752" s="161" t="s">
        <v>35</v>
      </c>
      <c r="N752" s="161" t="s">
        <v>35</v>
      </c>
    </row>
    <row r="753" spans="1:14" ht="120">
      <c r="A753" s="161">
        <v>13</v>
      </c>
      <c r="B753" s="748"/>
      <c r="C753" s="753"/>
      <c r="D753" s="160" t="s">
        <v>5057</v>
      </c>
      <c r="E753" s="160" t="s">
        <v>5058</v>
      </c>
      <c r="F753" s="23">
        <v>96</v>
      </c>
      <c r="G753" s="161">
        <v>96</v>
      </c>
      <c r="H753" s="161" t="s">
        <v>5059</v>
      </c>
      <c r="I753" s="161" t="s">
        <v>1702</v>
      </c>
      <c r="J753" s="161" t="s">
        <v>5060</v>
      </c>
      <c r="K753" s="161" t="s">
        <v>5061</v>
      </c>
      <c r="L753" s="161">
        <v>9066</v>
      </c>
      <c r="M753" s="161" t="s">
        <v>35</v>
      </c>
      <c r="N753" s="161" t="s">
        <v>35</v>
      </c>
    </row>
    <row r="754" spans="1:14" ht="120">
      <c r="A754" s="161">
        <v>14</v>
      </c>
      <c r="B754" s="748"/>
      <c r="C754" s="753"/>
      <c r="D754" s="160" t="s">
        <v>5057</v>
      </c>
      <c r="E754" s="160" t="s">
        <v>5062</v>
      </c>
      <c r="F754" s="161">
        <v>102.06</v>
      </c>
      <c r="G754" s="161">
        <v>102.06</v>
      </c>
      <c r="H754" s="161" t="s">
        <v>5063</v>
      </c>
      <c r="I754" s="161" t="s">
        <v>1702</v>
      </c>
      <c r="J754" s="161" t="s">
        <v>5064</v>
      </c>
      <c r="K754" s="161" t="s">
        <v>5065</v>
      </c>
      <c r="L754" s="161">
        <v>10109</v>
      </c>
      <c r="M754" s="161" t="s">
        <v>35</v>
      </c>
      <c r="N754" s="161" t="s">
        <v>35</v>
      </c>
    </row>
    <row r="755" spans="1:14" ht="120">
      <c r="A755" s="161">
        <v>15</v>
      </c>
      <c r="B755" s="748"/>
      <c r="C755" s="753"/>
      <c r="D755" s="160" t="s">
        <v>5057</v>
      </c>
      <c r="E755" s="160" t="s">
        <v>5066</v>
      </c>
      <c r="F755" s="161">
        <v>101.48</v>
      </c>
      <c r="G755" s="161">
        <v>101.48</v>
      </c>
      <c r="H755" s="161" t="s">
        <v>5067</v>
      </c>
      <c r="I755" s="161" t="s">
        <v>1702</v>
      </c>
      <c r="J755" s="161" t="s">
        <v>5068</v>
      </c>
      <c r="K755" s="161" t="s">
        <v>5069</v>
      </c>
      <c r="L755" s="161">
        <v>13757</v>
      </c>
      <c r="M755" s="161" t="s">
        <v>35</v>
      </c>
      <c r="N755" s="161" t="s">
        <v>35</v>
      </c>
    </row>
    <row r="756" spans="1:14" ht="105">
      <c r="A756" s="161">
        <v>16</v>
      </c>
      <c r="B756" s="748"/>
      <c r="C756" s="754"/>
      <c r="D756" s="160" t="s">
        <v>5070</v>
      </c>
      <c r="E756" s="160" t="s">
        <v>5071</v>
      </c>
      <c r="F756" s="161" t="s">
        <v>5072</v>
      </c>
      <c r="G756" s="161" t="s">
        <v>5073</v>
      </c>
      <c r="H756" s="161" t="s">
        <v>5074</v>
      </c>
      <c r="I756" s="161" t="s">
        <v>4996</v>
      </c>
      <c r="J756" s="161" t="s">
        <v>4256</v>
      </c>
      <c r="K756" s="161" t="s">
        <v>1734</v>
      </c>
      <c r="L756" s="161" t="s">
        <v>5075</v>
      </c>
      <c r="M756" s="161" t="s">
        <v>5076</v>
      </c>
      <c r="N756" s="161" t="s">
        <v>35</v>
      </c>
    </row>
    <row r="757" spans="1:14" ht="270">
      <c r="A757" s="161">
        <v>17</v>
      </c>
      <c r="B757" s="748"/>
      <c r="C757" s="160" t="s">
        <v>5077</v>
      </c>
      <c r="D757" s="160" t="s">
        <v>5078</v>
      </c>
      <c r="E757" s="160" t="s">
        <v>5079</v>
      </c>
      <c r="F757" s="161">
        <v>1024.6300000000001</v>
      </c>
      <c r="G757" s="161">
        <v>838.82</v>
      </c>
      <c r="H757" s="161" t="s">
        <v>6538</v>
      </c>
      <c r="I757" s="161" t="s">
        <v>4996</v>
      </c>
      <c r="J757" s="161" t="s">
        <v>35</v>
      </c>
      <c r="K757" s="161" t="s">
        <v>35</v>
      </c>
      <c r="L757" s="161" t="s">
        <v>5080</v>
      </c>
      <c r="M757" s="161" t="s">
        <v>5081</v>
      </c>
      <c r="N757" s="161" t="s">
        <v>5082</v>
      </c>
    </row>
    <row r="758" spans="1:14" ht="75">
      <c r="A758" s="161">
        <v>18</v>
      </c>
      <c r="B758" s="748"/>
      <c r="C758" s="160" t="s">
        <v>5083</v>
      </c>
      <c r="D758" s="160" t="s">
        <v>5084</v>
      </c>
      <c r="E758" s="160" t="s">
        <v>5085</v>
      </c>
      <c r="F758" s="161" t="s">
        <v>5086</v>
      </c>
      <c r="G758" s="161" t="s">
        <v>5087</v>
      </c>
      <c r="H758" s="161" t="s">
        <v>5088</v>
      </c>
      <c r="I758" s="161" t="s">
        <v>5089</v>
      </c>
      <c r="J758" s="161" t="s">
        <v>4236</v>
      </c>
      <c r="K758" s="161" t="s">
        <v>5090</v>
      </c>
      <c r="L758" s="161" t="s">
        <v>5091</v>
      </c>
      <c r="M758" s="161" t="s">
        <v>5092</v>
      </c>
      <c r="N758" s="161" t="s">
        <v>5093</v>
      </c>
    </row>
    <row r="759" spans="1:14" ht="90">
      <c r="A759" s="161">
        <v>19</v>
      </c>
      <c r="B759" s="748"/>
      <c r="C759" s="160" t="s">
        <v>5094</v>
      </c>
      <c r="D759" s="160" t="s">
        <v>5095</v>
      </c>
      <c r="E759" s="160" t="s">
        <v>5096</v>
      </c>
      <c r="F759" s="161">
        <v>344.09</v>
      </c>
      <c r="G759" s="161">
        <v>465.51</v>
      </c>
      <c r="H759" s="161" t="s">
        <v>5097</v>
      </c>
      <c r="I759" s="161" t="s">
        <v>4996</v>
      </c>
      <c r="J759" s="170" t="s">
        <v>5098</v>
      </c>
      <c r="K759" s="170" t="s">
        <v>1734</v>
      </c>
      <c r="L759" s="161" t="s">
        <v>5099</v>
      </c>
      <c r="M759" s="161" t="s">
        <v>5100</v>
      </c>
      <c r="N759" s="161" t="s">
        <v>35</v>
      </c>
    </row>
    <row r="760" spans="1:14" ht="150">
      <c r="A760" s="161">
        <v>20</v>
      </c>
      <c r="B760" s="748"/>
      <c r="C760" s="160" t="s">
        <v>5094</v>
      </c>
      <c r="D760" s="160" t="s">
        <v>5101</v>
      </c>
      <c r="E760" s="160" t="s">
        <v>5102</v>
      </c>
      <c r="F760" s="161">
        <v>75.150000000000006</v>
      </c>
      <c r="G760" s="161">
        <v>101.45</v>
      </c>
      <c r="H760" s="161" t="s">
        <v>5103</v>
      </c>
      <c r="I760" s="161" t="s">
        <v>4996</v>
      </c>
      <c r="J760" s="170" t="s">
        <v>5104</v>
      </c>
      <c r="K760" s="170" t="s">
        <v>5105</v>
      </c>
      <c r="L760" s="161" t="s">
        <v>5106</v>
      </c>
      <c r="M760" s="161" t="s">
        <v>5107</v>
      </c>
      <c r="N760" s="161" t="s">
        <v>35</v>
      </c>
    </row>
    <row r="761" spans="1:14" ht="150">
      <c r="A761" s="161">
        <v>21</v>
      </c>
      <c r="B761" s="748"/>
      <c r="C761" s="160" t="s">
        <v>5094</v>
      </c>
      <c r="D761" s="160" t="s">
        <v>5108</v>
      </c>
      <c r="E761" s="160" t="s">
        <v>5109</v>
      </c>
      <c r="F761" s="161">
        <v>194.29</v>
      </c>
      <c r="G761" s="161">
        <v>262.3</v>
      </c>
      <c r="H761" s="161" t="s">
        <v>5110</v>
      </c>
      <c r="I761" s="161" t="s">
        <v>4996</v>
      </c>
      <c r="J761" s="170" t="s">
        <v>5111</v>
      </c>
      <c r="K761" s="170" t="s">
        <v>1769</v>
      </c>
      <c r="L761" s="161" t="s">
        <v>5112</v>
      </c>
      <c r="M761" s="161" t="s">
        <v>5113</v>
      </c>
      <c r="N761" s="161" t="s">
        <v>5114</v>
      </c>
    </row>
    <row r="762" spans="1:14" ht="150">
      <c r="A762" s="161">
        <v>22</v>
      </c>
      <c r="B762" s="748"/>
      <c r="C762" s="160" t="s">
        <v>5115</v>
      </c>
      <c r="D762" s="160" t="s">
        <v>5116</v>
      </c>
      <c r="E762" s="160" t="s">
        <v>5117</v>
      </c>
      <c r="F762" s="161">
        <v>185</v>
      </c>
      <c r="G762" s="161">
        <v>252.58</v>
      </c>
      <c r="H762" s="161" t="s">
        <v>5118</v>
      </c>
      <c r="I762" s="161" t="s">
        <v>4996</v>
      </c>
      <c r="J762" s="161" t="s">
        <v>5119</v>
      </c>
      <c r="K762" s="161" t="s">
        <v>5120</v>
      </c>
      <c r="L762" s="161" t="s">
        <v>5121</v>
      </c>
      <c r="M762" s="161" t="s">
        <v>5122</v>
      </c>
      <c r="N762" s="161" t="s">
        <v>35</v>
      </c>
    </row>
    <row r="763" spans="1:14" ht="135">
      <c r="A763" s="161">
        <v>23</v>
      </c>
      <c r="B763" s="748"/>
      <c r="C763" s="160" t="s">
        <v>5115</v>
      </c>
      <c r="D763" s="160" t="s">
        <v>5123</v>
      </c>
      <c r="E763" s="160" t="s">
        <v>5124</v>
      </c>
      <c r="F763" s="161">
        <v>63.96</v>
      </c>
      <c r="G763" s="161">
        <v>86.34</v>
      </c>
      <c r="H763" s="161" t="s">
        <v>5125</v>
      </c>
      <c r="I763" s="161" t="s">
        <v>4996</v>
      </c>
      <c r="J763" s="161" t="s">
        <v>5126</v>
      </c>
      <c r="K763" s="161" t="s">
        <v>5127</v>
      </c>
      <c r="L763" s="161" t="s">
        <v>5128</v>
      </c>
      <c r="M763" s="161" t="s">
        <v>5129</v>
      </c>
      <c r="N763" s="161" t="s">
        <v>35</v>
      </c>
    </row>
    <row r="764" spans="1:14" ht="135">
      <c r="A764" s="161">
        <v>24</v>
      </c>
      <c r="B764" s="748"/>
      <c r="C764" s="160" t="s">
        <v>5115</v>
      </c>
      <c r="D764" s="160" t="s">
        <v>5130</v>
      </c>
      <c r="E764" s="160" t="s">
        <v>5131</v>
      </c>
      <c r="F764" s="161">
        <v>85.17</v>
      </c>
      <c r="G764" s="161">
        <v>110.72</v>
      </c>
      <c r="H764" s="161" t="s">
        <v>5132</v>
      </c>
      <c r="I764" s="161" t="s">
        <v>4996</v>
      </c>
      <c r="J764" s="161" t="s">
        <v>5133</v>
      </c>
      <c r="K764" s="161" t="s">
        <v>5134</v>
      </c>
      <c r="L764" s="161" t="s">
        <v>5135</v>
      </c>
      <c r="M764" s="161" t="s">
        <v>5136</v>
      </c>
      <c r="N764" s="161" t="s">
        <v>35</v>
      </c>
    </row>
    <row r="765" spans="1:14" ht="90">
      <c r="A765" s="161">
        <v>25</v>
      </c>
      <c r="B765" s="748"/>
      <c r="C765" s="160" t="s">
        <v>5115</v>
      </c>
      <c r="D765" s="160" t="s">
        <v>5137</v>
      </c>
      <c r="E765" s="160" t="s">
        <v>5138</v>
      </c>
      <c r="F765" s="161">
        <v>597.38</v>
      </c>
      <c r="G765" s="161">
        <v>806.39</v>
      </c>
      <c r="H765" s="161" t="s">
        <v>5139</v>
      </c>
      <c r="I765" s="161" t="s">
        <v>4996</v>
      </c>
      <c r="J765" s="161" t="s">
        <v>5140</v>
      </c>
      <c r="K765" s="161" t="s">
        <v>5141</v>
      </c>
      <c r="L765" s="161" t="s">
        <v>5142</v>
      </c>
      <c r="M765" s="161" t="s">
        <v>5143</v>
      </c>
      <c r="N765" s="161" t="s">
        <v>35</v>
      </c>
    </row>
    <row r="766" spans="1:14" ht="90">
      <c r="A766" s="161">
        <v>26</v>
      </c>
      <c r="B766" s="748"/>
      <c r="C766" s="160" t="s">
        <v>5115</v>
      </c>
      <c r="D766" s="160" t="s">
        <v>5144</v>
      </c>
      <c r="E766" s="160" t="s">
        <v>5145</v>
      </c>
      <c r="F766" s="161">
        <v>67.12</v>
      </c>
      <c r="G766" s="161">
        <v>90.61</v>
      </c>
      <c r="H766" s="161" t="s">
        <v>5146</v>
      </c>
      <c r="I766" s="161" t="s">
        <v>4996</v>
      </c>
      <c r="J766" s="161" t="s">
        <v>5147</v>
      </c>
      <c r="K766" s="161" t="s">
        <v>2882</v>
      </c>
      <c r="L766" s="161" t="s">
        <v>5148</v>
      </c>
      <c r="M766" s="161" t="s">
        <v>5149</v>
      </c>
      <c r="N766" s="161" t="s">
        <v>35</v>
      </c>
    </row>
    <row r="767" spans="1:14" ht="90">
      <c r="A767" s="161">
        <v>27</v>
      </c>
      <c r="B767" s="748"/>
      <c r="C767" s="160" t="s">
        <v>5115</v>
      </c>
      <c r="D767" s="160" t="s">
        <v>5150</v>
      </c>
      <c r="E767" s="160" t="s">
        <v>5151</v>
      </c>
      <c r="F767" s="161">
        <v>51.77</v>
      </c>
      <c r="G767" s="161">
        <v>69.88</v>
      </c>
      <c r="H767" s="161" t="s">
        <v>5152</v>
      </c>
      <c r="I767" s="161" t="s">
        <v>4996</v>
      </c>
      <c r="J767" s="161" t="s">
        <v>5153</v>
      </c>
      <c r="K767" s="161" t="s">
        <v>5154</v>
      </c>
      <c r="L767" s="161" t="s">
        <v>5155</v>
      </c>
      <c r="M767" s="161" t="s">
        <v>5156</v>
      </c>
      <c r="N767" s="161" t="s">
        <v>35</v>
      </c>
    </row>
    <row r="768" spans="1:14" ht="90">
      <c r="A768" s="161">
        <v>28</v>
      </c>
      <c r="B768" s="748"/>
      <c r="C768" s="160" t="s">
        <v>5157</v>
      </c>
      <c r="D768" s="160" t="s">
        <v>5158</v>
      </c>
      <c r="E768" s="160" t="s">
        <v>5159</v>
      </c>
      <c r="F768" s="161">
        <v>118.44</v>
      </c>
      <c r="G768" s="161">
        <v>159.87</v>
      </c>
      <c r="H768" s="161" t="s">
        <v>5160</v>
      </c>
      <c r="I768" s="161" t="s">
        <v>4996</v>
      </c>
      <c r="J768" s="161" t="s">
        <v>5161</v>
      </c>
      <c r="K768" s="161" t="s">
        <v>5162</v>
      </c>
      <c r="L768" s="161" t="s">
        <v>5163</v>
      </c>
      <c r="M768" s="161" t="s">
        <v>5164</v>
      </c>
      <c r="N768" s="161" t="s">
        <v>35</v>
      </c>
    </row>
    <row r="769" spans="1:14" ht="90">
      <c r="A769" s="166">
        <v>29</v>
      </c>
      <c r="B769" s="748"/>
      <c r="C769" s="160" t="s">
        <v>5157</v>
      </c>
      <c r="D769" s="160" t="s">
        <v>5165</v>
      </c>
      <c r="E769" s="160" t="s">
        <v>5166</v>
      </c>
      <c r="F769" s="161">
        <v>76.5</v>
      </c>
      <c r="G769" s="161">
        <v>99.82</v>
      </c>
      <c r="H769" s="161" t="s">
        <v>5167</v>
      </c>
      <c r="I769" s="161" t="s">
        <v>4996</v>
      </c>
      <c r="J769" s="161" t="s">
        <v>5168</v>
      </c>
      <c r="K769" s="161" t="s">
        <v>1907</v>
      </c>
      <c r="L769" s="161" t="s">
        <v>5169</v>
      </c>
      <c r="M769" s="161" t="s">
        <v>5170</v>
      </c>
      <c r="N769" s="161" t="s">
        <v>35</v>
      </c>
    </row>
    <row r="770" spans="1:14" ht="60">
      <c r="A770" s="161">
        <v>30</v>
      </c>
      <c r="B770" s="748"/>
      <c r="C770" s="164" t="s">
        <v>1046</v>
      </c>
      <c r="D770" s="160" t="s">
        <v>5171</v>
      </c>
      <c r="E770" s="160" t="s">
        <v>5172</v>
      </c>
      <c r="F770" s="161">
        <v>638.91999999999996</v>
      </c>
      <c r="G770" s="161">
        <v>638.91999999999996</v>
      </c>
      <c r="H770" s="161" t="s">
        <v>2875</v>
      </c>
      <c r="I770" s="161" t="s">
        <v>4996</v>
      </c>
      <c r="J770" s="161" t="s">
        <v>5173</v>
      </c>
      <c r="K770" s="161" t="s">
        <v>2876</v>
      </c>
      <c r="L770" s="161">
        <v>121000</v>
      </c>
      <c r="M770" s="161">
        <v>189.38</v>
      </c>
      <c r="N770" s="161" t="s">
        <v>35</v>
      </c>
    </row>
    <row r="771" spans="1:14" ht="75">
      <c r="A771" s="161">
        <v>31</v>
      </c>
      <c r="B771" s="748"/>
      <c r="C771" s="164" t="s">
        <v>1046</v>
      </c>
      <c r="D771" s="160" t="s">
        <v>5174</v>
      </c>
      <c r="E771" s="160" t="s">
        <v>5175</v>
      </c>
      <c r="F771" s="161">
        <v>196.75</v>
      </c>
      <c r="G771" s="161">
        <v>196.75</v>
      </c>
      <c r="H771" s="161" t="s">
        <v>5176</v>
      </c>
      <c r="I771" s="161" t="s">
        <v>4996</v>
      </c>
      <c r="J771" s="161" t="s">
        <v>5177</v>
      </c>
      <c r="K771" s="161" t="s">
        <v>5178</v>
      </c>
      <c r="L771" s="161">
        <v>42950</v>
      </c>
      <c r="M771" s="161">
        <v>218.29</v>
      </c>
      <c r="N771" s="161" t="s">
        <v>35</v>
      </c>
    </row>
    <row r="772" spans="1:14" ht="60">
      <c r="A772" s="161">
        <v>32</v>
      </c>
      <c r="B772" s="748"/>
      <c r="C772" s="164" t="s">
        <v>1046</v>
      </c>
      <c r="D772" s="160" t="s">
        <v>5179</v>
      </c>
      <c r="E772" s="160" t="s">
        <v>5180</v>
      </c>
      <c r="F772" s="161">
        <v>114.52</v>
      </c>
      <c r="G772" s="161">
        <v>114.52</v>
      </c>
      <c r="H772" s="161" t="s">
        <v>5176</v>
      </c>
      <c r="I772" s="161" t="s">
        <v>4996</v>
      </c>
      <c r="J772" s="161" t="s">
        <v>5177</v>
      </c>
      <c r="K772" s="161" t="s">
        <v>1876</v>
      </c>
      <c r="L772" s="161">
        <v>25000</v>
      </c>
      <c r="M772" s="161">
        <v>218.3</v>
      </c>
      <c r="N772" s="161" t="s">
        <v>35</v>
      </c>
    </row>
    <row r="773" spans="1:14" ht="60">
      <c r="A773" s="161">
        <v>33</v>
      </c>
      <c r="B773" s="748"/>
      <c r="C773" s="164" t="s">
        <v>1046</v>
      </c>
      <c r="D773" s="160" t="s">
        <v>5181</v>
      </c>
      <c r="E773" s="160" t="s">
        <v>5180</v>
      </c>
      <c r="F773" s="161">
        <v>64.099999999999994</v>
      </c>
      <c r="G773" s="161">
        <v>64.099999999999994</v>
      </c>
      <c r="H773" s="161" t="s">
        <v>5176</v>
      </c>
      <c r="I773" s="161" t="s">
        <v>4996</v>
      </c>
      <c r="J773" s="161" t="s">
        <v>5177</v>
      </c>
      <c r="K773" s="161" t="s">
        <v>1876</v>
      </c>
      <c r="L773" s="161">
        <v>14000</v>
      </c>
      <c r="M773" s="161">
        <v>218.4</v>
      </c>
      <c r="N773" s="161" t="s">
        <v>35</v>
      </c>
    </row>
    <row r="774" spans="1:14" ht="30">
      <c r="A774" s="161">
        <v>34</v>
      </c>
      <c r="B774" s="748"/>
      <c r="C774" s="164" t="s">
        <v>1046</v>
      </c>
      <c r="D774" s="160" t="s">
        <v>5182</v>
      </c>
      <c r="E774" s="160" t="s">
        <v>5183</v>
      </c>
      <c r="F774" s="23">
        <v>93.14</v>
      </c>
      <c r="G774" s="161">
        <v>93.14</v>
      </c>
      <c r="H774" s="161" t="s">
        <v>5184</v>
      </c>
      <c r="I774" s="161" t="s">
        <v>4996</v>
      </c>
      <c r="J774" s="161" t="s">
        <v>5173</v>
      </c>
      <c r="K774" s="161" t="s">
        <v>1728</v>
      </c>
      <c r="L774" s="161">
        <v>21057</v>
      </c>
      <c r="M774" s="161">
        <v>226.07</v>
      </c>
      <c r="N774" s="161" t="s">
        <v>35</v>
      </c>
    </row>
    <row r="775" spans="1:14" ht="45">
      <c r="A775" s="161">
        <v>35</v>
      </c>
      <c r="B775" s="748"/>
      <c r="C775" s="164" t="s">
        <v>1046</v>
      </c>
      <c r="D775" s="160" t="s">
        <v>5185</v>
      </c>
      <c r="E775" s="160" t="s">
        <v>5186</v>
      </c>
      <c r="F775" s="161">
        <v>175.26</v>
      </c>
      <c r="G775" s="161">
        <v>175.26</v>
      </c>
      <c r="H775" s="161" t="s">
        <v>4395</v>
      </c>
      <c r="I775" s="161" t="s">
        <v>4996</v>
      </c>
      <c r="J775" s="161" t="s">
        <v>5173</v>
      </c>
      <c r="K775" s="161" t="s">
        <v>4531</v>
      </c>
      <c r="L775" s="161">
        <v>42430</v>
      </c>
      <c r="M775" s="161">
        <v>242.09</v>
      </c>
      <c r="N775" s="161" t="s">
        <v>35</v>
      </c>
    </row>
    <row r="776" spans="1:14" ht="45">
      <c r="A776" s="161">
        <v>36</v>
      </c>
      <c r="B776" s="748"/>
      <c r="C776" s="164" t="s">
        <v>1046</v>
      </c>
      <c r="D776" s="160" t="s">
        <v>5187</v>
      </c>
      <c r="E776" s="160" t="s">
        <v>5188</v>
      </c>
      <c r="F776" s="161">
        <v>132.91</v>
      </c>
      <c r="G776" s="161">
        <v>132.91</v>
      </c>
      <c r="H776" s="161" t="s">
        <v>5189</v>
      </c>
      <c r="I776" s="161" t="s">
        <v>4996</v>
      </c>
      <c r="J776" s="161" t="s">
        <v>5173</v>
      </c>
      <c r="K776" s="161" t="s">
        <v>2837</v>
      </c>
      <c r="L776" s="161">
        <v>23125</v>
      </c>
      <c r="M776" s="161">
        <v>173.98</v>
      </c>
      <c r="N776" s="161" t="s">
        <v>5190</v>
      </c>
    </row>
    <row r="777" spans="1:14" ht="45">
      <c r="A777" s="161">
        <v>37</v>
      </c>
      <c r="B777" s="748"/>
      <c r="C777" s="164" t="s">
        <v>1046</v>
      </c>
      <c r="D777" s="160" t="s">
        <v>5191</v>
      </c>
      <c r="E777" s="160" t="s">
        <v>5192</v>
      </c>
      <c r="F777" s="161">
        <v>69.67</v>
      </c>
      <c r="G777" s="161">
        <v>69.67</v>
      </c>
      <c r="H777" s="161" t="s">
        <v>5193</v>
      </c>
      <c r="I777" s="161" t="s">
        <v>4996</v>
      </c>
      <c r="J777" s="161" t="s">
        <v>5194</v>
      </c>
      <c r="K777" s="161" t="s">
        <v>5195</v>
      </c>
      <c r="L777" s="161">
        <v>15214</v>
      </c>
      <c r="M777" s="161">
        <v>218.37</v>
      </c>
      <c r="N777" s="161" t="s">
        <v>5190</v>
      </c>
    </row>
    <row r="778" spans="1:14" ht="60">
      <c r="A778" s="161">
        <v>38</v>
      </c>
      <c r="B778" s="748"/>
      <c r="C778" s="164" t="s">
        <v>1046</v>
      </c>
      <c r="D778" s="160" t="s">
        <v>5196</v>
      </c>
      <c r="E778" s="160" t="s">
        <v>5197</v>
      </c>
      <c r="F778" s="161">
        <v>143.1</v>
      </c>
      <c r="G778" s="161">
        <v>143.1</v>
      </c>
      <c r="H778" s="161" t="s">
        <v>5198</v>
      </c>
      <c r="I778" s="161" t="s">
        <v>4996</v>
      </c>
      <c r="J778" s="161" t="s">
        <v>5173</v>
      </c>
      <c r="K778" s="161" t="s">
        <v>5199</v>
      </c>
      <c r="L778" s="161">
        <v>26176</v>
      </c>
      <c r="M778" s="161">
        <v>182.92</v>
      </c>
      <c r="N778" s="161" t="s">
        <v>5190</v>
      </c>
    </row>
    <row r="779" spans="1:14" ht="255">
      <c r="A779" s="161">
        <v>39</v>
      </c>
      <c r="B779" s="749"/>
      <c r="C779" s="160" t="s">
        <v>5077</v>
      </c>
      <c r="D779" s="160" t="s">
        <v>5200</v>
      </c>
      <c r="E779" s="160" t="s">
        <v>5079</v>
      </c>
      <c r="F779" s="161">
        <v>1024.6300000000001</v>
      </c>
      <c r="G779" s="161">
        <v>838.82</v>
      </c>
      <c r="H779" s="161" t="s">
        <v>5201</v>
      </c>
      <c r="I779" s="161" t="s">
        <v>4996</v>
      </c>
      <c r="J779" s="169" t="s">
        <v>35</v>
      </c>
      <c r="K779" s="169" t="s">
        <v>35</v>
      </c>
      <c r="L779" s="161">
        <v>325044</v>
      </c>
      <c r="M779" s="161"/>
      <c r="N779" s="161" t="s">
        <v>5082</v>
      </c>
    </row>
    <row r="780" spans="1:14">
      <c r="A780" s="801"/>
      <c r="B780" s="758"/>
      <c r="C780" s="758"/>
      <c r="D780" s="758"/>
      <c r="E780" s="758"/>
      <c r="F780" s="758"/>
      <c r="G780" s="758"/>
      <c r="H780" s="758"/>
      <c r="I780" s="758"/>
      <c r="J780" s="758"/>
      <c r="K780" s="758"/>
      <c r="L780" s="758"/>
      <c r="M780" s="758"/>
      <c r="N780" s="802"/>
    </row>
    <row r="781" spans="1:14" ht="22.5">
      <c r="A781" s="759" t="s">
        <v>2674</v>
      </c>
      <c r="B781" s="760"/>
      <c r="C781" s="760"/>
      <c r="D781" s="760"/>
      <c r="E781" s="760"/>
      <c r="F781" s="760"/>
      <c r="G781" s="760"/>
      <c r="H781" s="760"/>
      <c r="I781" s="760"/>
      <c r="J781" s="760"/>
      <c r="K781" s="760"/>
      <c r="L781" s="760"/>
      <c r="M781" s="760"/>
      <c r="N781" s="760"/>
    </row>
    <row r="782" spans="1:14" ht="20.25">
      <c r="A782" s="761" t="s">
        <v>2669</v>
      </c>
      <c r="B782" s="762"/>
      <c r="C782" s="762"/>
      <c r="D782" s="762"/>
      <c r="E782" s="762"/>
      <c r="F782" s="762"/>
      <c r="G782" s="762"/>
      <c r="H782" s="762"/>
      <c r="I782" s="762"/>
      <c r="J782" s="762"/>
      <c r="K782" s="762"/>
      <c r="L782" s="762"/>
      <c r="M782" s="762"/>
      <c r="N782" s="762"/>
    </row>
    <row r="783" spans="1:14" ht="71.25">
      <c r="A783" s="35" t="s">
        <v>0</v>
      </c>
      <c r="B783" s="19" t="s">
        <v>1616</v>
      </c>
      <c r="C783" s="35" t="s">
        <v>1676</v>
      </c>
      <c r="D783" s="18" t="s">
        <v>1677</v>
      </c>
      <c r="E783" s="18" t="s">
        <v>1678</v>
      </c>
      <c r="F783" s="19" t="s">
        <v>2670</v>
      </c>
      <c r="G783" s="19" t="s">
        <v>2671</v>
      </c>
      <c r="H783" s="19" t="s">
        <v>1679</v>
      </c>
      <c r="I783" s="19" t="s">
        <v>1680</v>
      </c>
      <c r="J783" s="19" t="s">
        <v>1681</v>
      </c>
      <c r="K783" s="19" t="s">
        <v>1682</v>
      </c>
      <c r="L783" s="19" t="s">
        <v>1683</v>
      </c>
      <c r="M783" s="19" t="s">
        <v>1684</v>
      </c>
      <c r="N783" s="19" t="s">
        <v>1685</v>
      </c>
    </row>
    <row r="784" spans="1:14">
      <c r="A784" s="266">
        <v>1</v>
      </c>
      <c r="B784" s="266">
        <v>2</v>
      </c>
      <c r="C784" s="266">
        <v>3</v>
      </c>
      <c r="D784" s="266">
        <v>4</v>
      </c>
      <c r="E784" s="266">
        <v>5</v>
      </c>
      <c r="F784" s="266">
        <v>6</v>
      </c>
      <c r="G784" s="266">
        <v>7</v>
      </c>
      <c r="H784" s="266">
        <v>8</v>
      </c>
      <c r="I784" s="302">
        <v>9</v>
      </c>
      <c r="J784" s="266">
        <v>10</v>
      </c>
      <c r="K784" s="266">
        <v>11</v>
      </c>
      <c r="L784" s="266">
        <v>12</v>
      </c>
      <c r="M784" s="266">
        <v>13</v>
      </c>
      <c r="N784" s="266">
        <v>14</v>
      </c>
    </row>
    <row r="785" spans="1:14" ht="75">
      <c r="A785" s="290">
        <v>1</v>
      </c>
      <c r="B785" s="747" t="s">
        <v>7361</v>
      </c>
      <c r="C785" s="747" t="s">
        <v>7425</v>
      </c>
      <c r="D785" s="291" t="s">
        <v>7328</v>
      </c>
      <c r="E785" s="291" t="s">
        <v>7329</v>
      </c>
      <c r="F785" s="290" t="s">
        <v>17</v>
      </c>
      <c r="G785" s="290">
        <v>1984.5</v>
      </c>
      <c r="H785" s="290" t="s">
        <v>7330</v>
      </c>
      <c r="I785" s="290" t="s">
        <v>4384</v>
      </c>
      <c r="J785" s="290" t="s">
        <v>7331</v>
      </c>
      <c r="K785" s="297">
        <v>44197</v>
      </c>
      <c r="L785" s="290" t="s">
        <v>7332</v>
      </c>
      <c r="M785" s="290" t="s">
        <v>296</v>
      </c>
      <c r="N785" s="296"/>
    </row>
    <row r="786" spans="1:14" ht="45">
      <c r="A786" s="290">
        <v>2</v>
      </c>
      <c r="B786" s="748"/>
      <c r="C786" s="748"/>
      <c r="D786" s="291" t="s">
        <v>7333</v>
      </c>
      <c r="E786" s="291" t="s">
        <v>7334</v>
      </c>
      <c r="F786" s="290">
        <v>930</v>
      </c>
      <c r="G786" s="290">
        <v>930</v>
      </c>
      <c r="H786" s="290" t="s">
        <v>7335</v>
      </c>
      <c r="I786" s="290" t="s">
        <v>2898</v>
      </c>
      <c r="J786" s="290" t="s">
        <v>7336</v>
      </c>
      <c r="K786" s="290" t="s">
        <v>3126</v>
      </c>
      <c r="L786" s="290" t="s">
        <v>7337</v>
      </c>
      <c r="M786" s="290"/>
      <c r="N786" s="296"/>
    </row>
    <row r="787" spans="1:14" ht="60">
      <c r="A787" s="290">
        <v>3</v>
      </c>
      <c r="B787" s="748"/>
      <c r="C787" s="748"/>
      <c r="D787" s="291" t="s">
        <v>7338</v>
      </c>
      <c r="E787" s="291" t="s">
        <v>7339</v>
      </c>
      <c r="F787" s="290">
        <v>557.80999999999995</v>
      </c>
      <c r="G787" s="290">
        <v>502.02</v>
      </c>
      <c r="H787" s="290" t="s">
        <v>7340</v>
      </c>
      <c r="I787" s="290" t="s">
        <v>3039</v>
      </c>
      <c r="J787" s="290" t="s">
        <v>7341</v>
      </c>
      <c r="K787" s="290" t="s">
        <v>7342</v>
      </c>
      <c r="L787" s="290" t="s">
        <v>7343</v>
      </c>
      <c r="M787" s="290"/>
      <c r="N787" s="290" t="s">
        <v>7362</v>
      </c>
    </row>
    <row r="788" spans="1:14" ht="105">
      <c r="A788" s="290">
        <v>4</v>
      </c>
      <c r="B788" s="748"/>
      <c r="C788" s="748"/>
      <c r="D788" s="291" t="s">
        <v>7344</v>
      </c>
      <c r="E788" s="291" t="s">
        <v>7345</v>
      </c>
      <c r="F788" s="290" t="s">
        <v>7346</v>
      </c>
      <c r="G788" s="290" t="s">
        <v>7346</v>
      </c>
      <c r="H788" s="290" t="s">
        <v>7347</v>
      </c>
      <c r="I788" s="290" t="s">
        <v>1702</v>
      </c>
      <c r="J788" s="290" t="s">
        <v>7348</v>
      </c>
      <c r="K788" s="290" t="s">
        <v>3968</v>
      </c>
      <c r="L788" s="290" t="s">
        <v>7349</v>
      </c>
      <c r="M788" s="290"/>
      <c r="N788" s="296"/>
    </row>
    <row r="789" spans="1:14" ht="105">
      <c r="A789" s="290">
        <v>5</v>
      </c>
      <c r="B789" s="748"/>
      <c r="C789" s="748"/>
      <c r="D789" s="291" t="s">
        <v>7350</v>
      </c>
      <c r="E789" s="291" t="s">
        <v>7351</v>
      </c>
      <c r="F789" s="290" t="s">
        <v>7352</v>
      </c>
      <c r="G789" s="290" t="s">
        <v>7352</v>
      </c>
      <c r="H789" s="290" t="s">
        <v>7353</v>
      </c>
      <c r="I789" s="290" t="s">
        <v>1702</v>
      </c>
      <c r="J789" s="290" t="s">
        <v>7354</v>
      </c>
      <c r="K789" s="290" t="s">
        <v>4162</v>
      </c>
      <c r="L789" s="290" t="s">
        <v>7355</v>
      </c>
      <c r="M789" s="290"/>
      <c r="N789" s="296"/>
    </row>
    <row r="790" spans="1:14" ht="300">
      <c r="A790" s="290">
        <v>6</v>
      </c>
      <c r="B790" s="748"/>
      <c r="C790" s="749"/>
      <c r="D790" s="291" t="s">
        <v>7356</v>
      </c>
      <c r="E790" s="291" t="s">
        <v>7357</v>
      </c>
      <c r="F790" s="290">
        <v>210.34</v>
      </c>
      <c r="G790" s="290">
        <v>210.34</v>
      </c>
      <c r="H790" s="290" t="s">
        <v>17</v>
      </c>
      <c r="I790" s="290" t="s">
        <v>17</v>
      </c>
      <c r="J790" s="290" t="s">
        <v>7358</v>
      </c>
      <c r="K790" s="297">
        <v>43617</v>
      </c>
      <c r="L790" s="290" t="s">
        <v>7359</v>
      </c>
      <c r="M790" s="303"/>
      <c r="N790" s="290" t="s">
        <v>7360</v>
      </c>
    </row>
    <row r="791" spans="1:14" ht="120">
      <c r="A791" s="290">
        <v>7</v>
      </c>
      <c r="B791" s="748"/>
      <c r="C791" s="747" t="s">
        <v>7426</v>
      </c>
      <c r="D791" s="291" t="s">
        <v>7363</v>
      </c>
      <c r="E791" s="291" t="s">
        <v>7364</v>
      </c>
      <c r="F791" s="290">
        <v>23990.35</v>
      </c>
      <c r="G791" s="290">
        <v>23990.35</v>
      </c>
      <c r="H791" s="290" t="s">
        <v>7365</v>
      </c>
      <c r="I791" s="290" t="s">
        <v>4384</v>
      </c>
      <c r="J791" s="290" t="s">
        <v>1783</v>
      </c>
      <c r="K791" s="290" t="s">
        <v>7366</v>
      </c>
      <c r="L791" s="290" t="s">
        <v>7367</v>
      </c>
      <c r="M791" s="290">
        <v>23.55</v>
      </c>
      <c r="N791" s="290" t="s">
        <v>7368</v>
      </c>
    </row>
    <row r="792" spans="1:14" ht="90">
      <c r="A792" s="290">
        <v>8</v>
      </c>
      <c r="B792" s="748"/>
      <c r="C792" s="748"/>
      <c r="D792" s="291" t="s">
        <v>7369</v>
      </c>
      <c r="E792" s="291" t="s">
        <v>7370</v>
      </c>
      <c r="F792" s="290">
        <v>288</v>
      </c>
      <c r="G792" s="290">
        <v>288</v>
      </c>
      <c r="H792" s="290" t="s">
        <v>7371</v>
      </c>
      <c r="I792" s="290" t="s">
        <v>1702</v>
      </c>
      <c r="J792" s="290" t="s">
        <v>2980</v>
      </c>
      <c r="K792" s="290" t="s">
        <v>3638</v>
      </c>
      <c r="L792" s="290" t="s">
        <v>7372</v>
      </c>
      <c r="M792" s="290" t="s">
        <v>7373</v>
      </c>
      <c r="N792" s="290" t="s">
        <v>7374</v>
      </c>
    </row>
    <row r="793" spans="1:14" ht="90">
      <c r="A793" s="290">
        <v>9</v>
      </c>
      <c r="B793" s="748"/>
      <c r="C793" s="748"/>
      <c r="D793" s="291" t="s">
        <v>7375</v>
      </c>
      <c r="E793" s="291" t="s">
        <v>7376</v>
      </c>
      <c r="F793" s="290">
        <v>1600</v>
      </c>
      <c r="G793" s="290">
        <v>1600</v>
      </c>
      <c r="H793" s="290" t="s">
        <v>3631</v>
      </c>
      <c r="I793" s="290" t="s">
        <v>1702</v>
      </c>
      <c r="J793" s="290" t="s">
        <v>2980</v>
      </c>
      <c r="K793" s="290" t="s">
        <v>4511</v>
      </c>
      <c r="L793" s="290" t="s">
        <v>7377</v>
      </c>
      <c r="M793" s="290" t="s">
        <v>7378</v>
      </c>
      <c r="N793" s="290" t="s">
        <v>7374</v>
      </c>
    </row>
    <row r="794" spans="1:14" ht="105">
      <c r="A794" s="290">
        <v>10</v>
      </c>
      <c r="B794" s="748"/>
      <c r="C794" s="748"/>
      <c r="D794" s="291" t="s">
        <v>7379</v>
      </c>
      <c r="E794" s="291" t="s">
        <v>7380</v>
      </c>
      <c r="F794" s="290">
        <v>125.4</v>
      </c>
      <c r="G794" s="290">
        <v>256</v>
      </c>
      <c r="H794" s="290" t="s">
        <v>7381</v>
      </c>
      <c r="I794" s="290" t="s">
        <v>1702</v>
      </c>
      <c r="J794" s="290" t="s">
        <v>2980</v>
      </c>
      <c r="K794" s="290" t="s">
        <v>3574</v>
      </c>
      <c r="L794" s="290" t="s">
        <v>7382</v>
      </c>
      <c r="M794" s="290">
        <v>282.7</v>
      </c>
      <c r="N794" s="290" t="s">
        <v>7374</v>
      </c>
    </row>
    <row r="795" spans="1:14" ht="135" customHeight="1">
      <c r="A795" s="290">
        <v>11</v>
      </c>
      <c r="B795" s="748"/>
      <c r="C795" s="748"/>
      <c r="D795" s="291" t="s">
        <v>7383</v>
      </c>
      <c r="E795" s="291" t="s">
        <v>7384</v>
      </c>
      <c r="F795" s="290">
        <v>167.25</v>
      </c>
      <c r="G795" s="290">
        <v>167.25</v>
      </c>
      <c r="H795" s="290" t="s">
        <v>7385</v>
      </c>
      <c r="I795" s="290" t="s">
        <v>1702</v>
      </c>
      <c r="J795" s="290" t="s">
        <v>2980</v>
      </c>
      <c r="K795" s="290" t="s">
        <v>3574</v>
      </c>
      <c r="L795" s="290" t="s">
        <v>2883</v>
      </c>
      <c r="M795" s="290">
        <v>89.69</v>
      </c>
      <c r="N795" s="290" t="s">
        <v>7374</v>
      </c>
    </row>
    <row r="796" spans="1:14" ht="105">
      <c r="A796" s="290">
        <v>12</v>
      </c>
      <c r="B796" s="748"/>
      <c r="C796" s="748"/>
      <c r="D796" s="291" t="s">
        <v>7386</v>
      </c>
      <c r="E796" s="291" t="s">
        <v>7387</v>
      </c>
      <c r="F796" s="290">
        <v>190</v>
      </c>
      <c r="G796" s="290">
        <v>190</v>
      </c>
      <c r="H796" s="290" t="s">
        <v>7388</v>
      </c>
      <c r="I796" s="290" t="s">
        <v>1702</v>
      </c>
      <c r="J796" s="290" t="s">
        <v>2980</v>
      </c>
      <c r="K796" s="290" t="s">
        <v>3574</v>
      </c>
      <c r="L796" s="290" t="s">
        <v>7389</v>
      </c>
      <c r="M796" s="290">
        <v>210</v>
      </c>
      <c r="N796" s="290" t="s">
        <v>7374</v>
      </c>
    </row>
    <row r="797" spans="1:14" ht="135" customHeight="1">
      <c r="A797" s="290">
        <v>13</v>
      </c>
      <c r="B797" s="748"/>
      <c r="C797" s="748"/>
      <c r="D797" s="291" t="s">
        <v>7390</v>
      </c>
      <c r="E797" s="291" t="s">
        <v>7391</v>
      </c>
      <c r="F797" s="290">
        <v>465</v>
      </c>
      <c r="G797" s="290">
        <v>465</v>
      </c>
      <c r="H797" s="290" t="s">
        <v>7392</v>
      </c>
      <c r="I797" s="290" t="s">
        <v>1702</v>
      </c>
      <c r="J797" s="290" t="s">
        <v>2980</v>
      </c>
      <c r="K797" s="290" t="s">
        <v>2924</v>
      </c>
      <c r="L797" s="290" t="s">
        <v>7393</v>
      </c>
      <c r="M797" s="290">
        <v>155.47</v>
      </c>
      <c r="N797" s="290"/>
    </row>
    <row r="798" spans="1:14" ht="120" customHeight="1">
      <c r="A798" s="290">
        <v>14</v>
      </c>
      <c r="B798" s="748"/>
      <c r="C798" s="748"/>
      <c r="D798" s="291" t="s">
        <v>7394</v>
      </c>
      <c r="E798" s="291" t="s">
        <v>7395</v>
      </c>
      <c r="F798" s="290">
        <v>65</v>
      </c>
      <c r="G798" s="290">
        <v>65</v>
      </c>
      <c r="H798" s="290" t="s">
        <v>7396</v>
      </c>
      <c r="I798" s="290" t="s">
        <v>1702</v>
      </c>
      <c r="J798" s="290" t="s">
        <v>2980</v>
      </c>
      <c r="K798" s="290" t="s">
        <v>2837</v>
      </c>
      <c r="L798" s="290" t="s">
        <v>7397</v>
      </c>
      <c r="M798" s="290">
        <v>215.38</v>
      </c>
      <c r="N798" s="290" t="s">
        <v>7374</v>
      </c>
    </row>
    <row r="799" spans="1:14" ht="120" customHeight="1">
      <c r="A799" s="290">
        <v>15</v>
      </c>
      <c r="B799" s="748"/>
      <c r="C799" s="748"/>
      <c r="D799" s="291" t="s">
        <v>7398</v>
      </c>
      <c r="E799" s="291" t="s">
        <v>7399</v>
      </c>
      <c r="F799" s="290">
        <v>418.06</v>
      </c>
      <c r="G799" s="290">
        <v>418.06</v>
      </c>
      <c r="H799" s="290" t="s">
        <v>7400</v>
      </c>
      <c r="I799" s="290" t="s">
        <v>1702</v>
      </c>
      <c r="J799" s="290" t="s">
        <v>2980</v>
      </c>
      <c r="K799" s="290" t="s">
        <v>3574</v>
      </c>
      <c r="L799" s="290" t="s">
        <v>7401</v>
      </c>
      <c r="M799" s="290">
        <v>196.04</v>
      </c>
      <c r="N799" s="290" t="s">
        <v>7374</v>
      </c>
    </row>
    <row r="800" spans="1:14" ht="120" customHeight="1">
      <c r="A800" s="290">
        <v>16</v>
      </c>
      <c r="B800" s="748"/>
      <c r="C800" s="748"/>
      <c r="D800" s="291" t="s">
        <v>7402</v>
      </c>
      <c r="E800" s="291" t="s">
        <v>7403</v>
      </c>
      <c r="F800" s="290">
        <v>65.03</v>
      </c>
      <c r="G800" s="290">
        <v>65.03</v>
      </c>
      <c r="H800" s="290" t="s">
        <v>7404</v>
      </c>
      <c r="I800" s="290" t="s">
        <v>1702</v>
      </c>
      <c r="J800" s="290" t="s">
        <v>2980</v>
      </c>
      <c r="K800" s="290" t="s">
        <v>3574</v>
      </c>
      <c r="L800" s="290" t="s">
        <v>7405</v>
      </c>
      <c r="M800" s="290">
        <v>199.14</v>
      </c>
      <c r="N800" s="290" t="s">
        <v>7374</v>
      </c>
    </row>
    <row r="801" spans="1:14" ht="120" customHeight="1">
      <c r="A801" s="290">
        <v>17</v>
      </c>
      <c r="B801" s="748"/>
      <c r="C801" s="748"/>
      <c r="D801" s="291" t="s">
        <v>7406</v>
      </c>
      <c r="E801" s="291" t="s">
        <v>7407</v>
      </c>
      <c r="F801" s="290">
        <v>157.93</v>
      </c>
      <c r="G801" s="290">
        <v>157.93</v>
      </c>
      <c r="H801" s="290" t="s">
        <v>7408</v>
      </c>
      <c r="I801" s="290" t="s">
        <v>1702</v>
      </c>
      <c r="J801" s="290" t="s">
        <v>2980</v>
      </c>
      <c r="K801" s="290" t="s">
        <v>3574</v>
      </c>
      <c r="L801" s="290" t="s">
        <v>7409</v>
      </c>
      <c r="M801" s="290">
        <v>205.33</v>
      </c>
      <c r="N801" s="290" t="s">
        <v>7374</v>
      </c>
    </row>
    <row r="802" spans="1:14" ht="120">
      <c r="A802" s="290">
        <v>18</v>
      </c>
      <c r="B802" s="748"/>
      <c r="C802" s="748"/>
      <c r="D802" s="291" t="s">
        <v>7410</v>
      </c>
      <c r="E802" s="291" t="s">
        <v>7411</v>
      </c>
      <c r="F802" s="290">
        <v>63.17</v>
      </c>
      <c r="G802" s="290">
        <v>63.17</v>
      </c>
      <c r="H802" s="290" t="s">
        <v>7412</v>
      </c>
      <c r="I802" s="290" t="s">
        <v>1702</v>
      </c>
      <c r="J802" s="290" t="s">
        <v>2980</v>
      </c>
      <c r="K802" s="290" t="s">
        <v>3574</v>
      </c>
      <c r="L802" s="290" t="s">
        <v>7413</v>
      </c>
      <c r="M802" s="290">
        <v>193.76</v>
      </c>
      <c r="N802" s="290" t="s">
        <v>7374</v>
      </c>
    </row>
    <row r="803" spans="1:14" ht="120">
      <c r="A803" s="290">
        <v>19</v>
      </c>
      <c r="B803" s="748"/>
      <c r="C803" s="748"/>
      <c r="D803" s="291" t="s">
        <v>7414</v>
      </c>
      <c r="E803" s="291" t="s">
        <v>7415</v>
      </c>
      <c r="F803" s="290">
        <v>697</v>
      </c>
      <c r="G803" s="290">
        <v>697</v>
      </c>
      <c r="H803" s="290" t="s">
        <v>7416</v>
      </c>
      <c r="I803" s="290" t="s">
        <v>1702</v>
      </c>
      <c r="J803" s="290" t="s">
        <v>2980</v>
      </c>
      <c r="K803" s="290" t="s">
        <v>7417</v>
      </c>
      <c r="L803" s="290" t="s">
        <v>7418</v>
      </c>
      <c r="M803" s="290">
        <v>203.6</v>
      </c>
      <c r="N803" s="290"/>
    </row>
    <row r="804" spans="1:14" ht="105">
      <c r="A804" s="290">
        <v>20</v>
      </c>
      <c r="B804" s="748"/>
      <c r="C804" s="749"/>
      <c r="D804" s="291" t="s">
        <v>7419</v>
      </c>
      <c r="E804" s="291" t="s">
        <v>7420</v>
      </c>
      <c r="F804" s="290">
        <v>678</v>
      </c>
      <c r="G804" s="290">
        <v>678</v>
      </c>
      <c r="H804" s="290" t="s">
        <v>7421</v>
      </c>
      <c r="I804" s="290" t="s">
        <v>1702</v>
      </c>
      <c r="J804" s="290"/>
      <c r="K804" s="290" t="s">
        <v>7422</v>
      </c>
      <c r="L804" s="290" t="s">
        <v>7423</v>
      </c>
      <c r="M804" s="290">
        <v>70.95</v>
      </c>
      <c r="N804" s="290" t="s">
        <v>7424</v>
      </c>
    </row>
    <row r="805" spans="1:14" ht="75">
      <c r="A805" s="290">
        <v>21</v>
      </c>
      <c r="B805" s="748"/>
      <c r="C805" s="747" t="s">
        <v>7427</v>
      </c>
      <c r="D805" s="326" t="s">
        <v>7428</v>
      </c>
      <c r="E805" s="291" t="s">
        <v>7429</v>
      </c>
      <c r="F805" s="290">
        <v>5451</v>
      </c>
      <c r="G805" s="294">
        <v>5451</v>
      </c>
      <c r="H805" s="297" t="s">
        <v>35</v>
      </c>
      <c r="I805" s="290" t="s">
        <v>1702</v>
      </c>
      <c r="J805" s="289" t="s">
        <v>35</v>
      </c>
      <c r="K805" s="297" t="s">
        <v>35</v>
      </c>
      <c r="L805" s="290" t="s">
        <v>35</v>
      </c>
      <c r="M805" s="304" t="s">
        <v>35</v>
      </c>
      <c r="N805" s="10" t="s">
        <v>7430</v>
      </c>
    </row>
    <row r="806" spans="1:14" ht="60">
      <c r="A806" s="290">
        <v>22</v>
      </c>
      <c r="B806" s="748"/>
      <c r="C806" s="748"/>
      <c r="D806" s="326" t="s">
        <v>7431</v>
      </c>
      <c r="E806" s="291" t="s">
        <v>7432</v>
      </c>
      <c r="F806" s="290">
        <v>600</v>
      </c>
      <c r="G806" s="290">
        <v>600</v>
      </c>
      <c r="H806" s="297" t="s">
        <v>7433</v>
      </c>
      <c r="I806" s="290" t="s">
        <v>3169</v>
      </c>
      <c r="J806" s="290" t="s">
        <v>35</v>
      </c>
      <c r="K806" s="297" t="s">
        <v>4098</v>
      </c>
      <c r="L806" s="290" t="s">
        <v>7434</v>
      </c>
      <c r="M806" s="304" t="s">
        <v>7435</v>
      </c>
      <c r="N806" s="10"/>
    </row>
    <row r="807" spans="1:14" ht="45">
      <c r="A807" s="290">
        <v>23</v>
      </c>
      <c r="B807" s="748"/>
      <c r="C807" s="749"/>
      <c r="D807" s="326" t="s">
        <v>7436</v>
      </c>
      <c r="E807" s="291" t="s">
        <v>7437</v>
      </c>
      <c r="F807" s="295">
        <v>127.74</v>
      </c>
      <c r="G807" s="295">
        <v>127.74</v>
      </c>
      <c r="H807" s="297" t="s">
        <v>7433</v>
      </c>
      <c r="I807" s="290" t="s">
        <v>3169</v>
      </c>
      <c r="J807" s="290" t="s">
        <v>35</v>
      </c>
      <c r="K807" s="41" t="s">
        <v>35</v>
      </c>
      <c r="L807" s="289" t="s">
        <v>7438</v>
      </c>
      <c r="M807" s="254" t="s">
        <v>7439</v>
      </c>
      <c r="N807" s="303"/>
    </row>
    <row r="808" spans="1:14" ht="75">
      <c r="A808" s="290">
        <v>24</v>
      </c>
      <c r="B808" s="748"/>
      <c r="C808" s="752" t="s">
        <v>7440</v>
      </c>
      <c r="D808" s="291" t="s">
        <v>7441</v>
      </c>
      <c r="E808" s="291" t="s">
        <v>7442</v>
      </c>
      <c r="F808" s="291" t="s">
        <v>7443</v>
      </c>
      <c r="G808" s="293" t="s">
        <v>7444</v>
      </c>
      <c r="H808" s="305" t="s">
        <v>3126</v>
      </c>
      <c r="I808" s="291" t="s">
        <v>1702</v>
      </c>
      <c r="J808" s="292">
        <v>10</v>
      </c>
      <c r="K808" s="305" t="s">
        <v>1808</v>
      </c>
      <c r="L808" s="291" t="s">
        <v>7445</v>
      </c>
      <c r="M808" s="291" t="s">
        <v>7446</v>
      </c>
      <c r="N808" s="291"/>
    </row>
    <row r="809" spans="1:14" ht="60">
      <c r="A809" s="290">
        <v>25</v>
      </c>
      <c r="B809" s="748"/>
      <c r="C809" s="753"/>
      <c r="D809" s="291" t="s">
        <v>7447</v>
      </c>
      <c r="E809" s="291" t="s">
        <v>7448</v>
      </c>
      <c r="F809" s="291" t="s">
        <v>7449</v>
      </c>
      <c r="G809" s="291" t="s">
        <v>7449</v>
      </c>
      <c r="H809" s="305">
        <v>43191</v>
      </c>
      <c r="I809" s="291" t="s">
        <v>1702</v>
      </c>
      <c r="J809" s="291" t="s">
        <v>3694</v>
      </c>
      <c r="K809" s="305" t="s">
        <v>1734</v>
      </c>
      <c r="L809" s="291" t="s">
        <v>7450</v>
      </c>
      <c r="M809" s="291" t="s">
        <v>7451</v>
      </c>
      <c r="N809" s="291"/>
    </row>
    <row r="810" spans="1:14" ht="75">
      <c r="A810" s="290">
        <v>26</v>
      </c>
      <c r="B810" s="748"/>
      <c r="C810" s="754"/>
      <c r="D810" s="291" t="s">
        <v>7452</v>
      </c>
      <c r="E810" s="291" t="s">
        <v>7453</v>
      </c>
      <c r="F810" s="292" t="s">
        <v>7454</v>
      </c>
      <c r="G810" s="292" t="s">
        <v>7454</v>
      </c>
      <c r="H810" s="88">
        <v>43525</v>
      </c>
      <c r="I810" s="291" t="s">
        <v>1702</v>
      </c>
      <c r="J810" s="291" t="s">
        <v>3694</v>
      </c>
      <c r="K810" s="88">
        <v>44621</v>
      </c>
      <c r="L810" s="292" t="s">
        <v>7455</v>
      </c>
      <c r="M810" s="292" t="s">
        <v>7456</v>
      </c>
      <c r="N810" s="292"/>
    </row>
    <row r="811" spans="1:14" ht="195">
      <c r="A811" s="290">
        <v>27</v>
      </c>
      <c r="B811" s="749"/>
      <c r="C811" s="292" t="s">
        <v>7457</v>
      </c>
      <c r="D811" s="291" t="s">
        <v>7458</v>
      </c>
      <c r="E811" s="291" t="s">
        <v>7459</v>
      </c>
      <c r="F811" s="291">
        <v>8741.6640000000007</v>
      </c>
      <c r="G811" s="291" t="s">
        <v>7460</v>
      </c>
      <c r="H811" s="291" t="s">
        <v>7461</v>
      </c>
      <c r="I811" s="292" t="s">
        <v>7462</v>
      </c>
      <c r="J811" s="291" t="s">
        <v>7463</v>
      </c>
      <c r="K811" s="291" t="s">
        <v>7464</v>
      </c>
      <c r="L811" s="291" t="s">
        <v>7465</v>
      </c>
      <c r="M811" s="291" t="s">
        <v>7466</v>
      </c>
      <c r="N811" s="292"/>
    </row>
    <row r="812" spans="1:14">
      <c r="A812" s="290">
        <v>28</v>
      </c>
      <c r="B812" s="710" t="s">
        <v>7467</v>
      </c>
      <c r="C812" s="710"/>
      <c r="D812" s="710"/>
      <c r="E812" s="710"/>
      <c r="F812" s="710"/>
      <c r="G812" s="710"/>
      <c r="H812" s="710"/>
      <c r="I812" s="710"/>
      <c r="J812" s="710"/>
      <c r="K812" s="710"/>
      <c r="L812" s="710"/>
      <c r="M812" s="710"/>
      <c r="N812" s="710"/>
    </row>
    <row r="813" spans="1:14">
      <c r="A813" s="290">
        <v>29</v>
      </c>
      <c r="B813" s="710" t="s">
        <v>7468</v>
      </c>
      <c r="C813" s="710"/>
      <c r="D813" s="710"/>
      <c r="E813" s="710"/>
      <c r="F813" s="710"/>
      <c r="G813" s="710"/>
      <c r="H813" s="710"/>
      <c r="I813" s="710"/>
      <c r="J813" s="710"/>
      <c r="K813" s="710"/>
      <c r="L813" s="710"/>
      <c r="M813" s="710"/>
      <c r="N813" s="710"/>
    </row>
    <row r="814" spans="1:14">
      <c r="A814" s="758"/>
      <c r="B814" s="758"/>
      <c r="C814" s="758"/>
      <c r="D814" s="758"/>
      <c r="E814" s="758"/>
      <c r="F814" s="758"/>
      <c r="G814" s="758"/>
      <c r="H814" s="758"/>
      <c r="I814" s="758"/>
      <c r="J814" s="758"/>
      <c r="K814" s="758"/>
      <c r="L814" s="758"/>
      <c r="M814" s="758"/>
      <c r="N814" s="758"/>
    </row>
    <row r="815" spans="1:14" ht="22.5">
      <c r="A815" s="759" t="s">
        <v>670</v>
      </c>
      <c r="B815" s="760"/>
      <c r="C815" s="760"/>
      <c r="D815" s="760"/>
      <c r="E815" s="760"/>
      <c r="F815" s="760"/>
      <c r="G815" s="760"/>
      <c r="H815" s="760"/>
      <c r="I815" s="760"/>
      <c r="J815" s="760"/>
      <c r="K815" s="760"/>
      <c r="L815" s="760"/>
      <c r="M815" s="760"/>
      <c r="N815" s="760"/>
    </row>
    <row r="816" spans="1:14" ht="20.25">
      <c r="A816" s="761" t="s">
        <v>2669</v>
      </c>
      <c r="B816" s="762"/>
      <c r="C816" s="762"/>
      <c r="D816" s="762"/>
      <c r="E816" s="762"/>
      <c r="F816" s="762"/>
      <c r="G816" s="762"/>
      <c r="H816" s="762"/>
      <c r="I816" s="762"/>
      <c r="J816" s="762"/>
      <c r="K816" s="762"/>
      <c r="L816" s="762"/>
      <c r="M816" s="762"/>
      <c r="N816" s="762"/>
    </row>
    <row r="817" spans="1:14" ht="71.25">
      <c r="A817" s="35" t="s">
        <v>0</v>
      </c>
      <c r="B817" s="19" t="s">
        <v>1616</v>
      </c>
      <c r="C817" s="35" t="s">
        <v>1676</v>
      </c>
      <c r="D817" s="18" t="s">
        <v>1677</v>
      </c>
      <c r="E817" s="18" t="s">
        <v>1678</v>
      </c>
      <c r="F817" s="19" t="s">
        <v>2670</v>
      </c>
      <c r="G817" s="19" t="s">
        <v>2671</v>
      </c>
      <c r="H817" s="19" t="s">
        <v>1679</v>
      </c>
      <c r="I817" s="19" t="s">
        <v>1680</v>
      </c>
      <c r="J817" s="19" t="s">
        <v>1681</v>
      </c>
      <c r="K817" s="19" t="s">
        <v>1682</v>
      </c>
      <c r="L817" s="19" t="s">
        <v>1683</v>
      </c>
      <c r="M817" s="19" t="s">
        <v>1684</v>
      </c>
      <c r="N817" s="19" t="s">
        <v>1685</v>
      </c>
    </row>
    <row r="818" spans="1:14">
      <c r="A818" s="35">
        <v>1</v>
      </c>
      <c r="B818" s="35">
        <v>2</v>
      </c>
      <c r="C818" s="35">
        <v>3</v>
      </c>
      <c r="D818" s="35">
        <v>4</v>
      </c>
      <c r="E818" s="35">
        <v>5</v>
      </c>
      <c r="F818" s="35">
        <v>6</v>
      </c>
      <c r="G818" s="35">
        <v>7</v>
      </c>
      <c r="H818" s="35">
        <v>8</v>
      </c>
      <c r="I818" s="19">
        <v>9</v>
      </c>
      <c r="J818" s="35">
        <v>10</v>
      </c>
      <c r="K818" s="35">
        <v>11</v>
      </c>
      <c r="L818" s="35">
        <v>12</v>
      </c>
      <c r="M818" s="35">
        <v>13</v>
      </c>
      <c r="N818" s="35">
        <v>14</v>
      </c>
    </row>
    <row r="819" spans="1:14" ht="195">
      <c r="A819" s="161">
        <v>1</v>
      </c>
      <c r="B819" s="747" t="s">
        <v>2619</v>
      </c>
      <c r="C819" s="160" t="s">
        <v>5202</v>
      </c>
      <c r="D819" s="160" t="s">
        <v>5203</v>
      </c>
      <c r="E819" s="160" t="s">
        <v>5204</v>
      </c>
      <c r="F819" s="161" t="s">
        <v>5205</v>
      </c>
      <c r="G819" s="161"/>
      <c r="H819" s="161" t="s">
        <v>5206</v>
      </c>
      <c r="I819" s="161" t="s">
        <v>1702</v>
      </c>
      <c r="J819" s="161" t="s">
        <v>5207</v>
      </c>
      <c r="K819" s="161" t="s">
        <v>5208</v>
      </c>
      <c r="L819" s="161" t="s">
        <v>5209</v>
      </c>
      <c r="M819" s="161" t="s">
        <v>5210</v>
      </c>
      <c r="N819" s="161" t="s">
        <v>6542</v>
      </c>
    </row>
    <row r="820" spans="1:14" ht="195">
      <c r="A820" s="161">
        <v>2</v>
      </c>
      <c r="B820" s="748"/>
      <c r="C820" s="160" t="s">
        <v>5202</v>
      </c>
      <c r="D820" s="160" t="s">
        <v>5211</v>
      </c>
      <c r="E820" s="160" t="s">
        <v>5204</v>
      </c>
      <c r="F820" s="161" t="s">
        <v>5205</v>
      </c>
      <c r="G820" s="161"/>
      <c r="H820" s="161" t="s">
        <v>5206</v>
      </c>
      <c r="I820" s="161" t="s">
        <v>1702</v>
      </c>
      <c r="J820" s="161" t="s">
        <v>5207</v>
      </c>
      <c r="K820" s="161" t="s">
        <v>5208</v>
      </c>
      <c r="L820" s="161" t="s">
        <v>5209</v>
      </c>
      <c r="M820" s="161" t="s">
        <v>5210</v>
      </c>
      <c r="N820" s="161" t="s">
        <v>6542</v>
      </c>
    </row>
    <row r="821" spans="1:14" ht="150">
      <c r="A821" s="161">
        <v>3</v>
      </c>
      <c r="B821" s="748"/>
      <c r="C821" s="160" t="s">
        <v>5213</v>
      </c>
      <c r="D821" s="160" t="s">
        <v>5214</v>
      </c>
      <c r="E821" s="160" t="s">
        <v>5215</v>
      </c>
      <c r="F821" s="161" t="s">
        <v>352</v>
      </c>
      <c r="G821" s="161">
        <v>575.5</v>
      </c>
      <c r="H821" s="161" t="s">
        <v>5216</v>
      </c>
      <c r="I821" s="161" t="s">
        <v>5217</v>
      </c>
      <c r="J821" s="161" t="s">
        <v>1703</v>
      </c>
      <c r="K821" s="161" t="s">
        <v>5218</v>
      </c>
      <c r="L821" s="161" t="s">
        <v>5219</v>
      </c>
      <c r="M821" s="161">
        <v>242.1</v>
      </c>
      <c r="N821" s="194" t="s">
        <v>454</v>
      </c>
    </row>
    <row r="822" spans="1:14" ht="165">
      <c r="A822" s="161">
        <v>4</v>
      </c>
      <c r="B822" s="748"/>
      <c r="C822" s="160" t="s">
        <v>5213</v>
      </c>
      <c r="D822" s="160" t="s">
        <v>5220</v>
      </c>
      <c r="E822" s="160" t="s">
        <v>5221</v>
      </c>
      <c r="F822" s="161" t="s">
        <v>352</v>
      </c>
      <c r="G822" s="161">
        <v>63.86</v>
      </c>
      <c r="H822" s="161" t="s">
        <v>4656</v>
      </c>
      <c r="I822" s="161" t="s">
        <v>5222</v>
      </c>
      <c r="J822" s="161" t="s">
        <v>1714</v>
      </c>
      <c r="K822" s="161" t="s">
        <v>5223</v>
      </c>
      <c r="L822" s="161" t="s">
        <v>5224</v>
      </c>
      <c r="M822" s="161">
        <v>83.5</v>
      </c>
      <c r="N822" s="194" t="s">
        <v>454</v>
      </c>
    </row>
    <row r="823" spans="1:14" ht="180">
      <c r="A823" s="161">
        <v>5</v>
      </c>
      <c r="B823" s="748"/>
      <c r="C823" s="160" t="s">
        <v>5213</v>
      </c>
      <c r="D823" s="160" t="s">
        <v>5225</v>
      </c>
      <c r="E823" s="160" t="s">
        <v>5226</v>
      </c>
      <c r="F823" s="161" t="s">
        <v>352</v>
      </c>
      <c r="G823" s="161">
        <v>99.730999999999995</v>
      </c>
      <c r="H823" s="161" t="s">
        <v>5227</v>
      </c>
      <c r="I823" s="161" t="s">
        <v>5222</v>
      </c>
      <c r="J823" s="161" t="s">
        <v>1714</v>
      </c>
      <c r="K823" s="161" t="s">
        <v>5228</v>
      </c>
      <c r="L823" s="161" t="s">
        <v>3140</v>
      </c>
      <c r="M823" s="161">
        <v>130.35</v>
      </c>
      <c r="N823" s="194" t="s">
        <v>454</v>
      </c>
    </row>
    <row r="824" spans="1:14" ht="105">
      <c r="A824" s="92">
        <v>6</v>
      </c>
      <c r="B824" s="748"/>
      <c r="C824" s="158" t="s">
        <v>1303</v>
      </c>
      <c r="D824" s="160" t="s">
        <v>5229</v>
      </c>
      <c r="E824" s="158" t="s">
        <v>5230</v>
      </c>
      <c r="F824" s="92" t="s">
        <v>5231</v>
      </c>
      <c r="G824" s="92" t="s">
        <v>5231</v>
      </c>
      <c r="H824" s="223">
        <v>43172</v>
      </c>
      <c r="I824" s="92" t="s">
        <v>3718</v>
      </c>
      <c r="J824" s="92" t="s">
        <v>5232</v>
      </c>
      <c r="K824" s="223">
        <v>44268</v>
      </c>
      <c r="L824" s="92" t="s">
        <v>5233</v>
      </c>
      <c r="M824" s="92" t="s">
        <v>5234</v>
      </c>
      <c r="N824" s="92"/>
    </row>
    <row r="825" spans="1:14" ht="105">
      <c r="A825" s="162">
        <v>7</v>
      </c>
      <c r="B825" s="748"/>
      <c r="C825" s="747" t="s">
        <v>1137</v>
      </c>
      <c r="D825" s="747" t="s">
        <v>5235</v>
      </c>
      <c r="E825" s="160" t="s">
        <v>5236</v>
      </c>
      <c r="F825" s="161"/>
      <c r="G825" s="161">
        <v>456.62</v>
      </c>
      <c r="H825" s="161" t="s">
        <v>5237</v>
      </c>
      <c r="I825" s="161" t="s">
        <v>5238</v>
      </c>
      <c r="J825" s="161" t="s">
        <v>5239</v>
      </c>
      <c r="K825" s="161" t="s">
        <v>3475</v>
      </c>
      <c r="L825" s="161">
        <v>194353</v>
      </c>
      <c r="M825" s="161">
        <v>425.63</v>
      </c>
      <c r="N825" s="161"/>
    </row>
    <row r="826" spans="1:14" ht="20.25" customHeight="1">
      <c r="A826" s="163">
        <v>8</v>
      </c>
      <c r="B826" s="748"/>
      <c r="C826" s="748"/>
      <c r="D826" s="748"/>
      <c r="E826" s="160" t="s">
        <v>5240</v>
      </c>
      <c r="F826" s="161"/>
      <c r="G826" s="161">
        <v>179.86</v>
      </c>
      <c r="H826" s="694" t="s">
        <v>5241</v>
      </c>
      <c r="I826" s="694"/>
      <c r="J826" s="161" t="s">
        <v>5242</v>
      </c>
      <c r="K826" s="161" t="s">
        <v>1734</v>
      </c>
      <c r="L826" s="161">
        <v>76554</v>
      </c>
      <c r="M826" s="161">
        <v>425.63</v>
      </c>
      <c r="N826" s="161"/>
    </row>
    <row r="827" spans="1:14" ht="75">
      <c r="A827" s="162">
        <v>9</v>
      </c>
      <c r="B827" s="748"/>
      <c r="C827" s="748"/>
      <c r="D827" s="748"/>
      <c r="E827" s="160" t="s">
        <v>5243</v>
      </c>
      <c r="F827" s="161"/>
      <c r="G827" s="161">
        <v>360.56</v>
      </c>
      <c r="H827" s="694" t="s">
        <v>5241</v>
      </c>
      <c r="I827" s="694"/>
      <c r="J827" s="161" t="s">
        <v>5242</v>
      </c>
      <c r="K827" s="161" t="s">
        <v>1734</v>
      </c>
      <c r="L827" s="161">
        <v>153465</v>
      </c>
      <c r="M827" s="161">
        <v>425.63</v>
      </c>
      <c r="N827" s="161"/>
    </row>
    <row r="828" spans="1:14" ht="60">
      <c r="A828" s="163">
        <v>10</v>
      </c>
      <c r="B828" s="748"/>
      <c r="C828" s="748"/>
      <c r="D828" s="748"/>
      <c r="E828" s="160" t="s">
        <v>5244</v>
      </c>
      <c r="F828" s="161"/>
      <c r="G828" s="161">
        <v>180.05</v>
      </c>
      <c r="H828" s="694" t="s">
        <v>5241</v>
      </c>
      <c r="I828" s="694"/>
      <c r="J828" s="161" t="s">
        <v>5245</v>
      </c>
      <c r="K828" s="161" t="s">
        <v>3144</v>
      </c>
      <c r="L828" s="161">
        <v>91372</v>
      </c>
      <c r="M828" s="161">
        <v>425.63</v>
      </c>
      <c r="N828" s="161"/>
    </row>
    <row r="829" spans="1:14" ht="75">
      <c r="A829" s="162">
        <v>11</v>
      </c>
      <c r="B829" s="748"/>
      <c r="C829" s="749"/>
      <c r="D829" s="749"/>
      <c r="E829" s="160" t="s">
        <v>5246</v>
      </c>
      <c r="F829" s="161"/>
      <c r="G829" s="161">
        <v>195.1</v>
      </c>
      <c r="H829" s="694" t="s">
        <v>5241</v>
      </c>
      <c r="I829" s="694"/>
      <c r="J829" s="161" t="s">
        <v>5247</v>
      </c>
      <c r="K829" s="161" t="s">
        <v>1734</v>
      </c>
      <c r="L829" s="161">
        <v>73458</v>
      </c>
      <c r="M829" s="161">
        <v>425.63</v>
      </c>
      <c r="N829" s="161"/>
    </row>
    <row r="830" spans="1:14" ht="90">
      <c r="A830" s="163">
        <v>12</v>
      </c>
      <c r="B830" s="748"/>
      <c r="C830" s="160" t="s">
        <v>1137</v>
      </c>
      <c r="D830" s="160" t="s">
        <v>5248</v>
      </c>
      <c r="E830" s="160" t="s">
        <v>5249</v>
      </c>
      <c r="F830" s="161"/>
      <c r="G830" s="161">
        <v>489.13</v>
      </c>
      <c r="H830" s="161" t="s">
        <v>5250</v>
      </c>
      <c r="I830" s="161" t="s">
        <v>5251</v>
      </c>
      <c r="J830" s="161" t="s">
        <v>5252</v>
      </c>
      <c r="K830" s="161" t="s">
        <v>5253</v>
      </c>
      <c r="L830" s="161">
        <v>199861</v>
      </c>
      <c r="M830" s="161">
        <v>408.6</v>
      </c>
      <c r="N830" s="161"/>
    </row>
    <row r="831" spans="1:14" ht="105">
      <c r="A831" s="162">
        <v>13</v>
      </c>
      <c r="B831" s="748"/>
      <c r="C831" s="160" t="s">
        <v>1137</v>
      </c>
      <c r="D831" s="160" t="s">
        <v>5254</v>
      </c>
      <c r="E831" s="160" t="s">
        <v>5255</v>
      </c>
      <c r="F831" s="161"/>
      <c r="G831" s="161">
        <v>138.38</v>
      </c>
      <c r="H831" s="161" t="s">
        <v>5256</v>
      </c>
      <c r="I831" s="161" t="s">
        <v>5251</v>
      </c>
      <c r="J831" s="161" t="s">
        <v>5257</v>
      </c>
      <c r="K831" s="161" t="s">
        <v>1899</v>
      </c>
      <c r="L831" s="161">
        <v>27000</v>
      </c>
      <c r="M831" s="161">
        <v>195.11</v>
      </c>
      <c r="N831" s="161" t="s">
        <v>5258</v>
      </c>
    </row>
    <row r="832" spans="1:14" ht="105">
      <c r="A832" s="163">
        <v>14</v>
      </c>
      <c r="B832" s="748"/>
      <c r="C832" s="160" t="s">
        <v>1137</v>
      </c>
      <c r="D832" s="160" t="s">
        <v>5259</v>
      </c>
      <c r="E832" s="160" t="s">
        <v>5260</v>
      </c>
      <c r="F832" s="161"/>
      <c r="G832" s="161">
        <v>69.7</v>
      </c>
      <c r="H832" s="161" t="s">
        <v>5261</v>
      </c>
      <c r="I832" s="161" t="s">
        <v>5251</v>
      </c>
      <c r="J832" s="161" t="s">
        <v>5262</v>
      </c>
      <c r="K832" s="161" t="s">
        <v>5263</v>
      </c>
      <c r="L832" s="161">
        <v>10400</v>
      </c>
      <c r="M832" s="161">
        <v>149.21</v>
      </c>
      <c r="N832" s="161"/>
    </row>
    <row r="833" spans="1:14" ht="90">
      <c r="A833" s="162">
        <v>15</v>
      </c>
      <c r="B833" s="748"/>
      <c r="C833" s="160" t="s">
        <v>1137</v>
      </c>
      <c r="D833" s="160" t="s">
        <v>5264</v>
      </c>
      <c r="E833" s="160" t="s">
        <v>5265</v>
      </c>
      <c r="F833" s="161"/>
      <c r="G833" s="161">
        <v>151.51</v>
      </c>
      <c r="H833" s="161" t="s">
        <v>5266</v>
      </c>
      <c r="I833" s="161" t="s">
        <v>5267</v>
      </c>
      <c r="J833" s="161" t="s">
        <v>5268</v>
      </c>
      <c r="K833" s="161" t="s">
        <v>1907</v>
      </c>
      <c r="L833" s="161">
        <v>15250</v>
      </c>
      <c r="M833" s="161">
        <v>100.65</v>
      </c>
      <c r="N833" s="161"/>
    </row>
    <row r="834" spans="1:14" ht="105">
      <c r="A834" s="163">
        <v>16</v>
      </c>
      <c r="B834" s="748"/>
      <c r="C834" s="160" t="s">
        <v>1137</v>
      </c>
      <c r="D834" s="160" t="s">
        <v>5269</v>
      </c>
      <c r="E834" s="160" t="s">
        <v>5270</v>
      </c>
      <c r="F834" s="161"/>
      <c r="G834" s="161">
        <v>90.62</v>
      </c>
      <c r="H834" s="161" t="s">
        <v>5271</v>
      </c>
      <c r="I834" s="161" t="s">
        <v>5251</v>
      </c>
      <c r="J834" s="161" t="s">
        <v>5272</v>
      </c>
      <c r="K834" s="161" t="s">
        <v>2924</v>
      </c>
      <c r="L834" s="161">
        <v>9342</v>
      </c>
      <c r="M834" s="161">
        <v>103.08</v>
      </c>
      <c r="N834" s="161"/>
    </row>
    <row r="835" spans="1:14" ht="75">
      <c r="A835" s="162">
        <v>17</v>
      </c>
      <c r="B835" s="748"/>
      <c r="C835" s="160" t="s">
        <v>1137</v>
      </c>
      <c r="D835" s="160" t="s">
        <v>5273</v>
      </c>
      <c r="E835" s="160" t="s">
        <v>5274</v>
      </c>
      <c r="F835" s="161"/>
      <c r="G835" s="161">
        <v>83.67</v>
      </c>
      <c r="H835" s="161" t="s">
        <v>5275</v>
      </c>
      <c r="I835" s="161" t="s">
        <v>5251</v>
      </c>
      <c r="J835" s="161" t="s">
        <v>5276</v>
      </c>
      <c r="K835" s="161" t="s">
        <v>1907</v>
      </c>
      <c r="L835" s="161">
        <v>14500</v>
      </c>
      <c r="M835" s="161">
        <v>173.29</v>
      </c>
      <c r="N835" s="161"/>
    </row>
    <row r="836" spans="1:14" ht="120">
      <c r="A836" s="163">
        <v>18</v>
      </c>
      <c r="B836" s="748"/>
      <c r="C836" s="160" t="s">
        <v>1137</v>
      </c>
      <c r="D836" s="160" t="s">
        <v>5277</v>
      </c>
      <c r="E836" s="160" t="s">
        <v>5278</v>
      </c>
      <c r="F836" s="161"/>
      <c r="G836" s="161">
        <v>222.4</v>
      </c>
      <c r="H836" s="161" t="s">
        <v>5279</v>
      </c>
      <c r="I836" s="161" t="s">
        <v>5251</v>
      </c>
      <c r="J836" s="161" t="s">
        <v>5280</v>
      </c>
      <c r="K836" s="161" t="s">
        <v>5199</v>
      </c>
      <c r="L836" s="161">
        <v>53434</v>
      </c>
      <c r="M836" s="161">
        <v>240.26</v>
      </c>
      <c r="N836" s="161" t="s">
        <v>5281</v>
      </c>
    </row>
    <row r="837" spans="1:14" ht="57" customHeight="1">
      <c r="A837" s="162">
        <v>19</v>
      </c>
      <c r="B837" s="748"/>
      <c r="C837" s="765" t="s">
        <v>1147</v>
      </c>
      <c r="D837" s="160" t="s">
        <v>5282</v>
      </c>
      <c r="E837" s="160" t="s">
        <v>5283</v>
      </c>
      <c r="F837" s="161">
        <v>181.01</v>
      </c>
      <c r="G837" s="161" t="s">
        <v>17</v>
      </c>
      <c r="H837" s="161" t="s">
        <v>5284</v>
      </c>
      <c r="I837" s="161" t="s">
        <v>17</v>
      </c>
      <c r="J837" s="161" t="s">
        <v>5285</v>
      </c>
      <c r="K837" s="161" t="s">
        <v>5286</v>
      </c>
      <c r="L837" s="190">
        <v>33333</v>
      </c>
      <c r="M837" s="161">
        <v>185</v>
      </c>
      <c r="N837" s="161"/>
    </row>
    <row r="838" spans="1:14" ht="117.75" customHeight="1">
      <c r="A838" s="163">
        <v>20</v>
      </c>
      <c r="B838" s="748"/>
      <c r="C838" s="766"/>
      <c r="D838" s="160" t="s">
        <v>5287</v>
      </c>
      <c r="E838" s="160" t="s">
        <v>6539</v>
      </c>
      <c r="F838" s="161">
        <v>80</v>
      </c>
      <c r="G838" s="161" t="s">
        <v>17</v>
      </c>
      <c r="H838" s="161" t="s">
        <v>5288</v>
      </c>
      <c r="I838" s="161" t="s">
        <v>17</v>
      </c>
      <c r="J838" s="161" t="s">
        <v>17</v>
      </c>
      <c r="K838" s="161" t="s">
        <v>5289</v>
      </c>
      <c r="L838" s="161" t="s">
        <v>17</v>
      </c>
      <c r="M838" s="161" t="s">
        <v>17</v>
      </c>
      <c r="N838" s="161"/>
    </row>
    <row r="839" spans="1:14" ht="48">
      <c r="A839" s="162">
        <v>21</v>
      </c>
      <c r="B839" s="748"/>
      <c r="C839" s="766"/>
      <c r="D839" s="160" t="s">
        <v>5290</v>
      </c>
      <c r="E839" s="160" t="s">
        <v>6540</v>
      </c>
      <c r="F839" s="161">
        <v>70</v>
      </c>
      <c r="G839" s="161" t="s">
        <v>17</v>
      </c>
      <c r="H839" s="161" t="s">
        <v>3002</v>
      </c>
      <c r="I839" s="161" t="s">
        <v>2932</v>
      </c>
      <c r="J839" s="161" t="s">
        <v>5291</v>
      </c>
      <c r="K839" s="161" t="s">
        <v>1766</v>
      </c>
      <c r="L839" s="161" t="s">
        <v>5292</v>
      </c>
      <c r="M839" s="161">
        <v>357</v>
      </c>
      <c r="N839" s="161"/>
    </row>
    <row r="840" spans="1:14" ht="93">
      <c r="A840" s="163">
        <v>22</v>
      </c>
      <c r="B840" s="748"/>
      <c r="C840" s="766"/>
      <c r="D840" s="160" t="s">
        <v>5293</v>
      </c>
      <c r="E840" s="160" t="s">
        <v>6541</v>
      </c>
      <c r="F840" s="161">
        <v>654</v>
      </c>
      <c r="G840" s="161" t="s">
        <v>17</v>
      </c>
      <c r="H840" s="161" t="s">
        <v>5294</v>
      </c>
      <c r="I840" s="161" t="s">
        <v>2932</v>
      </c>
      <c r="J840" s="161" t="s">
        <v>5291</v>
      </c>
      <c r="K840" s="161" t="s">
        <v>2819</v>
      </c>
      <c r="L840" s="190">
        <v>252834</v>
      </c>
      <c r="M840" s="161">
        <v>386</v>
      </c>
      <c r="N840" s="161"/>
    </row>
    <row r="841" spans="1:14" ht="60">
      <c r="A841" s="301">
        <v>23</v>
      </c>
      <c r="B841" s="748"/>
      <c r="C841" s="766"/>
      <c r="D841" s="160" t="s">
        <v>5295</v>
      </c>
      <c r="E841" s="160" t="s">
        <v>5296</v>
      </c>
      <c r="F841" s="169">
        <v>96</v>
      </c>
      <c r="G841" s="161" t="s">
        <v>17</v>
      </c>
      <c r="H841" s="2">
        <v>39845</v>
      </c>
      <c r="I841" s="169" t="s">
        <v>17</v>
      </c>
      <c r="J841" s="161"/>
      <c r="K841" s="169" t="s">
        <v>5297</v>
      </c>
      <c r="L841" s="190">
        <v>8730</v>
      </c>
      <c r="M841" s="169">
        <v>91</v>
      </c>
      <c r="N841" s="161"/>
    </row>
    <row r="842" spans="1:14" ht="75">
      <c r="A842" s="301">
        <v>24</v>
      </c>
      <c r="B842" s="748"/>
      <c r="C842" s="767"/>
      <c r="D842" s="160" t="s">
        <v>5298</v>
      </c>
      <c r="E842" s="160" t="s">
        <v>5299</v>
      </c>
      <c r="F842" s="169">
        <v>95</v>
      </c>
      <c r="G842" s="161" t="s">
        <v>17</v>
      </c>
      <c r="H842" s="2">
        <v>41579</v>
      </c>
      <c r="I842" s="169" t="s">
        <v>17</v>
      </c>
      <c r="J842" s="161"/>
      <c r="K842" s="169" t="s">
        <v>5297</v>
      </c>
      <c r="L842" s="190">
        <v>10560</v>
      </c>
      <c r="M842" s="169">
        <v>111</v>
      </c>
      <c r="N842" s="161"/>
    </row>
    <row r="843" spans="1:14" ht="45.75" customHeight="1" thickBot="1">
      <c r="A843" s="162">
        <v>25</v>
      </c>
      <c r="B843" s="748"/>
      <c r="C843" s="160" t="s">
        <v>1153</v>
      </c>
      <c r="D843" s="160" t="s">
        <v>5300</v>
      </c>
      <c r="E843" s="167" t="s">
        <v>5301</v>
      </c>
      <c r="F843" s="161" t="s">
        <v>5302</v>
      </c>
      <c r="G843" s="161" t="s">
        <v>5302</v>
      </c>
      <c r="H843" s="224">
        <v>43410</v>
      </c>
      <c r="I843" s="161" t="s">
        <v>5303</v>
      </c>
      <c r="J843" s="161" t="s">
        <v>5304</v>
      </c>
      <c r="K843" s="230">
        <v>44506</v>
      </c>
      <c r="L843" s="58" t="s">
        <v>5305</v>
      </c>
      <c r="M843" s="161"/>
      <c r="N843" s="161"/>
    </row>
    <row r="844" spans="1:14" ht="409.6" thickBot="1">
      <c r="A844" s="301">
        <v>26</v>
      </c>
      <c r="B844" s="748"/>
      <c r="C844" s="160" t="s">
        <v>1153</v>
      </c>
      <c r="D844" s="160" t="s">
        <v>5300</v>
      </c>
      <c r="E844" s="167" t="s">
        <v>5306</v>
      </c>
      <c r="F844" s="161" t="s">
        <v>5307</v>
      </c>
      <c r="G844" s="161" t="s">
        <v>5307</v>
      </c>
      <c r="H844" s="225" t="s">
        <v>4060</v>
      </c>
      <c r="I844" s="161" t="s">
        <v>5303</v>
      </c>
      <c r="J844" s="154"/>
      <c r="K844" s="161"/>
      <c r="L844" s="161"/>
      <c r="M844" s="161"/>
      <c r="N844" s="161" t="s">
        <v>5308</v>
      </c>
    </row>
    <row r="845" spans="1:14" ht="150">
      <c r="A845" s="161">
        <v>27</v>
      </c>
      <c r="B845" s="748"/>
      <c r="C845" s="160" t="s">
        <v>1153</v>
      </c>
      <c r="D845" s="160" t="s">
        <v>5309</v>
      </c>
      <c r="E845" s="167" t="s">
        <v>5309</v>
      </c>
      <c r="F845" s="161" t="s">
        <v>5310</v>
      </c>
      <c r="G845" s="161" t="s">
        <v>5310</v>
      </c>
      <c r="H845" s="226" t="s">
        <v>5311</v>
      </c>
      <c r="I845" s="161" t="s">
        <v>5303</v>
      </c>
      <c r="J845" s="154"/>
      <c r="K845" s="161"/>
      <c r="L845" s="161"/>
      <c r="M845" s="161"/>
      <c r="N845" s="161" t="s">
        <v>5312</v>
      </c>
    </row>
    <row r="846" spans="1:14" ht="360">
      <c r="A846" s="161">
        <v>28</v>
      </c>
      <c r="B846" s="748"/>
      <c r="C846" s="160" t="s">
        <v>1153</v>
      </c>
      <c r="D846" s="160" t="s">
        <v>5313</v>
      </c>
      <c r="E846" s="167" t="s">
        <v>5314</v>
      </c>
      <c r="F846" s="161" t="s">
        <v>5315</v>
      </c>
      <c r="G846" s="154" t="s">
        <v>5315</v>
      </c>
      <c r="H846" s="223">
        <v>30956</v>
      </c>
      <c r="I846" s="155" t="s">
        <v>5303</v>
      </c>
      <c r="J846" s="161"/>
      <c r="K846" s="161"/>
      <c r="L846" s="161"/>
      <c r="M846" s="154"/>
      <c r="N846" s="161" t="s">
        <v>5316</v>
      </c>
    </row>
    <row r="847" spans="1:14" ht="105">
      <c r="A847" s="161">
        <v>29</v>
      </c>
      <c r="B847" s="749"/>
      <c r="C847" s="160" t="s">
        <v>1153</v>
      </c>
      <c r="D847" s="160" t="s">
        <v>5317</v>
      </c>
      <c r="E847" s="160" t="s">
        <v>5318</v>
      </c>
      <c r="F847" s="161" t="s">
        <v>5319</v>
      </c>
      <c r="G847" s="161" t="s">
        <v>5319</v>
      </c>
      <c r="H847" s="92" t="s">
        <v>2782</v>
      </c>
      <c r="I847" s="161" t="s">
        <v>5303</v>
      </c>
      <c r="J847" s="161"/>
      <c r="K847" s="161"/>
      <c r="L847" s="161"/>
      <c r="M847" s="161" t="s">
        <v>5320</v>
      </c>
      <c r="N847" s="161"/>
    </row>
    <row r="848" spans="1:14" ht="75">
      <c r="A848" s="227">
        <v>30</v>
      </c>
      <c r="B848" s="28" t="s">
        <v>1153</v>
      </c>
      <c r="C848" s="28" t="s">
        <v>5321</v>
      </c>
      <c r="D848" s="28" t="s">
        <v>5322</v>
      </c>
      <c r="E848" s="28" t="s">
        <v>5323</v>
      </c>
      <c r="F848" s="222">
        <v>508.37</v>
      </c>
      <c r="G848" s="222">
        <v>508.37</v>
      </c>
      <c r="H848" s="222" t="s">
        <v>2752</v>
      </c>
      <c r="I848" s="229" t="s">
        <v>5324</v>
      </c>
      <c r="J848" s="222" t="s">
        <v>5325</v>
      </c>
      <c r="K848" s="222" t="s">
        <v>5069</v>
      </c>
      <c r="L848" s="222">
        <v>149112</v>
      </c>
      <c r="M848" s="229" t="s">
        <v>748</v>
      </c>
      <c r="N848" s="228"/>
    </row>
    <row r="849" spans="1:14" ht="90">
      <c r="A849" s="161">
        <v>31</v>
      </c>
      <c r="B849" s="28" t="s">
        <v>1153</v>
      </c>
      <c r="C849" s="28" t="s">
        <v>5321</v>
      </c>
      <c r="D849" s="28" t="s">
        <v>5322</v>
      </c>
      <c r="E849" s="28" t="s">
        <v>5326</v>
      </c>
      <c r="F849" s="222" t="s">
        <v>5327</v>
      </c>
      <c r="G849" s="222" t="s">
        <v>5327</v>
      </c>
      <c r="H849" s="222" t="s">
        <v>5328</v>
      </c>
      <c r="I849" s="229" t="s">
        <v>5324</v>
      </c>
      <c r="J849" s="222" t="s">
        <v>5329</v>
      </c>
      <c r="K849" s="231">
        <v>44501</v>
      </c>
      <c r="L849" s="222">
        <v>28495</v>
      </c>
      <c r="M849" s="229" t="s">
        <v>748</v>
      </c>
      <c r="N849" s="228"/>
    </row>
    <row r="850" spans="1:14" ht="105">
      <c r="A850" s="227">
        <v>32</v>
      </c>
      <c r="B850" s="28" t="s">
        <v>1153</v>
      </c>
      <c r="C850" s="28" t="s">
        <v>5321</v>
      </c>
      <c r="D850" s="28" t="s">
        <v>5322</v>
      </c>
      <c r="E850" s="28" t="s">
        <v>5330</v>
      </c>
      <c r="F850" s="222" t="s">
        <v>5331</v>
      </c>
      <c r="G850" s="222" t="s">
        <v>5331</v>
      </c>
      <c r="H850" s="222" t="s">
        <v>5332</v>
      </c>
      <c r="I850" s="229" t="s">
        <v>5324</v>
      </c>
      <c r="J850" s="222" t="s">
        <v>5329</v>
      </c>
      <c r="K850" s="222" t="s">
        <v>3160</v>
      </c>
      <c r="L850" s="222">
        <v>2700</v>
      </c>
      <c r="M850" s="229" t="s">
        <v>748</v>
      </c>
      <c r="N850" s="228"/>
    </row>
    <row r="851" spans="1:14" ht="90">
      <c r="A851" s="161">
        <v>33</v>
      </c>
      <c r="B851" s="28" t="s">
        <v>1153</v>
      </c>
      <c r="C851" s="28" t="s">
        <v>5321</v>
      </c>
      <c r="D851" s="28" t="s">
        <v>5322</v>
      </c>
      <c r="E851" s="28" t="s">
        <v>5333</v>
      </c>
      <c r="F851" s="222" t="s">
        <v>5334</v>
      </c>
      <c r="G851" s="222" t="s">
        <v>5334</v>
      </c>
      <c r="H851" s="222" t="s">
        <v>5335</v>
      </c>
      <c r="I851" s="229" t="s">
        <v>5324</v>
      </c>
      <c r="J851" s="222" t="s">
        <v>5336</v>
      </c>
      <c r="K851" s="222" t="s">
        <v>5336</v>
      </c>
      <c r="L851" s="222" t="s">
        <v>5337</v>
      </c>
      <c r="M851" s="229" t="s">
        <v>748</v>
      </c>
      <c r="N851" s="228"/>
    </row>
    <row r="852" spans="1:14" ht="120">
      <c r="A852" s="227">
        <v>34</v>
      </c>
      <c r="B852" s="28" t="s">
        <v>1153</v>
      </c>
      <c r="C852" s="28" t="s">
        <v>5321</v>
      </c>
      <c r="D852" s="28" t="s">
        <v>5322</v>
      </c>
      <c r="E852" s="28" t="s">
        <v>5338</v>
      </c>
      <c r="F852" s="222" t="s">
        <v>5339</v>
      </c>
      <c r="G852" s="222" t="s">
        <v>5339</v>
      </c>
      <c r="H852" s="222" t="s">
        <v>3002</v>
      </c>
      <c r="I852" s="229" t="s">
        <v>5324</v>
      </c>
      <c r="J852" s="222" t="s">
        <v>5340</v>
      </c>
      <c r="K852" s="222" t="s">
        <v>1899</v>
      </c>
      <c r="L852" s="222" t="s">
        <v>5341</v>
      </c>
      <c r="M852" s="229" t="s">
        <v>748</v>
      </c>
      <c r="N852" s="228"/>
    </row>
    <row r="853" spans="1:14" ht="90">
      <c r="A853" s="161">
        <v>35</v>
      </c>
      <c r="B853" s="28" t="s">
        <v>1153</v>
      </c>
      <c r="C853" s="28" t="s">
        <v>5321</v>
      </c>
      <c r="D853" s="28" t="s">
        <v>5322</v>
      </c>
      <c r="E853" s="28" t="s">
        <v>5342</v>
      </c>
      <c r="F853" s="222" t="s">
        <v>5343</v>
      </c>
      <c r="G853" s="222" t="s">
        <v>5343</v>
      </c>
      <c r="H853" s="222">
        <v>1975</v>
      </c>
      <c r="I853" s="229" t="s">
        <v>5324</v>
      </c>
      <c r="J853" s="222" t="s">
        <v>5344</v>
      </c>
      <c r="K853" s="222" t="s">
        <v>2924</v>
      </c>
      <c r="L853" s="222">
        <v>24746</v>
      </c>
      <c r="M853" s="229" t="s">
        <v>748</v>
      </c>
      <c r="N853" s="228"/>
    </row>
    <row r="854" spans="1:14" ht="90">
      <c r="A854" s="227">
        <v>36</v>
      </c>
      <c r="B854" s="28" t="s">
        <v>1153</v>
      </c>
      <c r="C854" s="28" t="s">
        <v>5321</v>
      </c>
      <c r="D854" s="28" t="s">
        <v>5322</v>
      </c>
      <c r="E854" s="28" t="s">
        <v>5345</v>
      </c>
      <c r="F854" s="222" t="s">
        <v>5346</v>
      </c>
      <c r="G854" s="222" t="s">
        <v>5346</v>
      </c>
      <c r="H854" s="222" t="s">
        <v>2782</v>
      </c>
      <c r="I854" s="229" t="s">
        <v>5324</v>
      </c>
      <c r="J854" s="222" t="s">
        <v>5347</v>
      </c>
      <c r="K854" s="231">
        <v>44593</v>
      </c>
      <c r="L854" s="222">
        <v>7668</v>
      </c>
      <c r="M854" s="229" t="s">
        <v>748</v>
      </c>
      <c r="N854" s="228"/>
    </row>
    <row r="855" spans="1:14" ht="30">
      <c r="A855" s="161">
        <v>37</v>
      </c>
      <c r="B855" s="160" t="s">
        <v>5212</v>
      </c>
      <c r="C855" s="160" t="s">
        <v>5348</v>
      </c>
      <c r="D855" s="768" t="s">
        <v>7140</v>
      </c>
      <c r="E855" s="769"/>
      <c r="F855" s="769"/>
      <c r="G855" s="769"/>
      <c r="H855" s="769"/>
      <c r="I855" s="769"/>
      <c r="J855" s="769"/>
      <c r="K855" s="769"/>
      <c r="L855" s="769"/>
      <c r="M855" s="769"/>
      <c r="N855" s="770"/>
    </row>
    <row r="856" spans="1:14">
      <c r="A856" s="758"/>
      <c r="B856" s="758"/>
      <c r="C856" s="758"/>
      <c r="D856" s="758"/>
      <c r="E856" s="758"/>
      <c r="F856" s="758"/>
      <c r="G856" s="758"/>
      <c r="H856" s="758"/>
      <c r="I856" s="758"/>
      <c r="J856" s="758"/>
      <c r="K856" s="758"/>
      <c r="L856" s="758"/>
      <c r="M856" s="758"/>
      <c r="N856" s="758"/>
    </row>
    <row r="857" spans="1:14" ht="22.5">
      <c r="A857" s="759" t="s">
        <v>671</v>
      </c>
      <c r="B857" s="760"/>
      <c r="C857" s="760"/>
      <c r="D857" s="760"/>
      <c r="E857" s="760"/>
      <c r="F857" s="760"/>
      <c r="G857" s="760"/>
      <c r="H857" s="760"/>
      <c r="I857" s="760"/>
      <c r="J857" s="760"/>
      <c r="K857" s="760"/>
      <c r="L857" s="760"/>
      <c r="M857" s="760"/>
      <c r="N857" s="760"/>
    </row>
    <row r="858" spans="1:14" ht="20.25">
      <c r="A858" s="761" t="s">
        <v>2669</v>
      </c>
      <c r="B858" s="762"/>
      <c r="C858" s="762"/>
      <c r="D858" s="762"/>
      <c r="E858" s="762"/>
      <c r="F858" s="762"/>
      <c r="G858" s="762"/>
      <c r="H858" s="762"/>
      <c r="I858" s="762"/>
      <c r="J858" s="762"/>
      <c r="K858" s="762"/>
      <c r="L858" s="762"/>
      <c r="M858" s="762"/>
      <c r="N858" s="762"/>
    </row>
    <row r="859" spans="1:14" ht="71.25">
      <c r="A859" s="35" t="s">
        <v>0</v>
      </c>
      <c r="B859" s="19" t="s">
        <v>1616</v>
      </c>
      <c r="C859" s="35" t="s">
        <v>1676</v>
      </c>
      <c r="D859" s="18" t="s">
        <v>1677</v>
      </c>
      <c r="E859" s="18" t="s">
        <v>1678</v>
      </c>
      <c r="F859" s="19" t="s">
        <v>2670</v>
      </c>
      <c r="G859" s="19" t="s">
        <v>2671</v>
      </c>
      <c r="H859" s="19" t="s">
        <v>1679</v>
      </c>
      <c r="I859" s="19" t="s">
        <v>1680</v>
      </c>
      <c r="J859" s="19" t="s">
        <v>1681</v>
      </c>
      <c r="K859" s="19" t="s">
        <v>1682</v>
      </c>
      <c r="L859" s="19" t="s">
        <v>1683</v>
      </c>
      <c r="M859" s="19" t="s">
        <v>1684</v>
      </c>
      <c r="N859" s="19" t="s">
        <v>1685</v>
      </c>
    </row>
    <row r="860" spans="1:14">
      <c r="A860" s="35">
        <v>1</v>
      </c>
      <c r="B860" s="35">
        <v>2</v>
      </c>
      <c r="C860" s="35">
        <v>3</v>
      </c>
      <c r="D860" s="35">
        <v>4</v>
      </c>
      <c r="E860" s="35">
        <v>5</v>
      </c>
      <c r="F860" s="35">
        <v>6</v>
      </c>
      <c r="G860" s="35">
        <v>7</v>
      </c>
      <c r="H860" s="35">
        <v>8</v>
      </c>
      <c r="I860" s="19">
        <v>9</v>
      </c>
      <c r="J860" s="35">
        <v>10</v>
      </c>
      <c r="K860" s="35">
        <v>11</v>
      </c>
      <c r="L860" s="35">
        <v>12</v>
      </c>
      <c r="M860" s="35">
        <v>13</v>
      </c>
      <c r="N860" s="35">
        <v>14</v>
      </c>
    </row>
    <row r="861" spans="1:14" ht="120">
      <c r="A861" s="544">
        <v>1</v>
      </c>
      <c r="B861" s="710" t="s">
        <v>5349</v>
      </c>
      <c r="C861" s="710" t="s">
        <v>5350</v>
      </c>
      <c r="D861" s="519" t="s">
        <v>6543</v>
      </c>
      <c r="E861" s="519" t="s">
        <v>5351</v>
      </c>
      <c r="F861" s="544">
        <v>534.22</v>
      </c>
      <c r="G861" s="544">
        <v>667.46</v>
      </c>
      <c r="H861" s="544" t="s">
        <v>6554</v>
      </c>
      <c r="I861" s="544" t="s">
        <v>5352</v>
      </c>
      <c r="J861" s="544" t="s">
        <v>5353</v>
      </c>
      <c r="K861" s="544" t="s">
        <v>3574</v>
      </c>
      <c r="L861" s="544" t="s">
        <v>5354</v>
      </c>
      <c r="M861" s="544">
        <v>428.08</v>
      </c>
      <c r="N861" s="544"/>
    </row>
    <row r="862" spans="1:14" ht="135">
      <c r="A862" s="544">
        <v>2</v>
      </c>
      <c r="B862" s="710"/>
      <c r="C862" s="710"/>
      <c r="D862" s="519" t="s">
        <v>6544</v>
      </c>
      <c r="E862" s="519" t="s">
        <v>5355</v>
      </c>
      <c r="F862" s="544">
        <v>256.10000000000002</v>
      </c>
      <c r="G862" s="544">
        <v>320.12</v>
      </c>
      <c r="H862" s="544" t="s">
        <v>5356</v>
      </c>
      <c r="I862" s="544" t="s">
        <v>5357</v>
      </c>
      <c r="J862" s="544" t="s">
        <v>5358</v>
      </c>
      <c r="K862" s="544" t="s">
        <v>5359</v>
      </c>
      <c r="L862" s="544">
        <v>83750</v>
      </c>
      <c r="M862" s="544">
        <v>265.10000000000002</v>
      </c>
      <c r="N862" s="544"/>
    </row>
    <row r="863" spans="1:14" ht="105">
      <c r="A863" s="544">
        <v>3</v>
      </c>
      <c r="B863" s="710"/>
      <c r="C863" s="710"/>
      <c r="D863" s="519" t="s">
        <v>5360</v>
      </c>
      <c r="E863" s="519" t="s">
        <v>5361</v>
      </c>
      <c r="F863" s="544">
        <v>82.46</v>
      </c>
      <c r="G863" s="544">
        <v>103.07</v>
      </c>
      <c r="H863" s="544" t="s">
        <v>5362</v>
      </c>
      <c r="I863" s="544" t="s">
        <v>5363</v>
      </c>
      <c r="J863" s="544" t="s">
        <v>5364</v>
      </c>
      <c r="K863" s="544" t="s">
        <v>1883</v>
      </c>
      <c r="L863" s="544">
        <v>19096</v>
      </c>
      <c r="M863" s="544">
        <v>185.27</v>
      </c>
      <c r="N863" s="544"/>
    </row>
    <row r="864" spans="1:14" ht="120">
      <c r="A864" s="544">
        <v>4</v>
      </c>
      <c r="B864" s="710"/>
      <c r="C864" s="710"/>
      <c r="D864" s="519" t="s">
        <v>5365</v>
      </c>
      <c r="E864" s="519" t="s">
        <v>5366</v>
      </c>
      <c r="F864" s="544">
        <v>70.63</v>
      </c>
      <c r="G864" s="544">
        <v>88.29</v>
      </c>
      <c r="H864" s="544" t="s">
        <v>5367</v>
      </c>
      <c r="I864" s="544" t="s">
        <v>5357</v>
      </c>
      <c r="J864" s="544" t="s">
        <v>5368</v>
      </c>
      <c r="K864" s="544" t="s">
        <v>5369</v>
      </c>
      <c r="L864" s="544">
        <v>17100</v>
      </c>
      <c r="M864" s="544">
        <v>193.68</v>
      </c>
      <c r="N864" s="544"/>
    </row>
    <row r="865" spans="1:14" ht="105">
      <c r="A865" s="544">
        <v>5</v>
      </c>
      <c r="B865" s="710"/>
      <c r="C865" s="710"/>
      <c r="D865" s="519" t="s">
        <v>5370</v>
      </c>
      <c r="E865" s="519" t="s">
        <v>5371</v>
      </c>
      <c r="F865" s="544">
        <v>109.6</v>
      </c>
      <c r="G865" s="544">
        <v>137</v>
      </c>
      <c r="H865" s="544" t="s">
        <v>5372</v>
      </c>
      <c r="I865" s="544" t="s">
        <v>5357</v>
      </c>
      <c r="J865" s="544" t="s">
        <v>5373</v>
      </c>
      <c r="K865" s="544" t="s">
        <v>2972</v>
      </c>
      <c r="L865" s="544">
        <v>12452</v>
      </c>
      <c r="M865" s="544">
        <v>90.89</v>
      </c>
      <c r="N865" s="544"/>
    </row>
    <row r="866" spans="1:14" ht="120">
      <c r="A866" s="544">
        <v>6</v>
      </c>
      <c r="B866" s="710"/>
      <c r="C866" s="710"/>
      <c r="D866" s="519" t="s">
        <v>6556</v>
      </c>
      <c r="E866" s="519" t="s">
        <v>5374</v>
      </c>
      <c r="F866" s="544" t="s">
        <v>5375</v>
      </c>
      <c r="G866" s="544">
        <v>491.6</v>
      </c>
      <c r="H866" s="544" t="s">
        <v>5376</v>
      </c>
      <c r="I866" s="544" t="s">
        <v>5377</v>
      </c>
      <c r="J866" s="544"/>
      <c r="K866" s="544"/>
      <c r="L866" s="544">
        <v>158760</v>
      </c>
      <c r="M866" s="544">
        <v>322.94</v>
      </c>
      <c r="N866" s="544"/>
    </row>
    <row r="867" spans="1:14" ht="90">
      <c r="A867" s="544">
        <v>7</v>
      </c>
      <c r="B867" s="710"/>
      <c r="C867" s="710"/>
      <c r="D867" s="519" t="s">
        <v>5378</v>
      </c>
      <c r="E867" s="519" t="s">
        <v>5379</v>
      </c>
      <c r="F867" s="544">
        <v>83.12</v>
      </c>
      <c r="G867" s="544">
        <v>103.9</v>
      </c>
      <c r="H867" s="544" t="s">
        <v>5380</v>
      </c>
      <c r="I867" s="544" t="s">
        <v>5363</v>
      </c>
      <c r="J867" s="544" t="s">
        <v>3565</v>
      </c>
      <c r="K867" s="544" t="s">
        <v>3275</v>
      </c>
      <c r="L867" s="544">
        <v>18000</v>
      </c>
      <c r="M867" s="544">
        <v>173.24</v>
      </c>
      <c r="N867" s="544"/>
    </row>
    <row r="868" spans="1:14" ht="105">
      <c r="A868" s="544">
        <v>8</v>
      </c>
      <c r="B868" s="710"/>
      <c r="C868" s="710"/>
      <c r="D868" s="519" t="s">
        <v>5381</v>
      </c>
      <c r="E868" s="519" t="s">
        <v>5382</v>
      </c>
      <c r="F868" s="544">
        <v>71.739999999999995</v>
      </c>
      <c r="G868" s="544">
        <v>89.68</v>
      </c>
      <c r="H868" s="544" t="s">
        <v>5383</v>
      </c>
      <c r="I868" s="544" t="s">
        <v>5363</v>
      </c>
      <c r="J868" s="544" t="s">
        <v>5384</v>
      </c>
      <c r="K868" s="544" t="s">
        <v>5069</v>
      </c>
      <c r="L868" s="544">
        <v>8203</v>
      </c>
      <c r="M868" s="544">
        <v>91.46</v>
      </c>
      <c r="N868" s="544"/>
    </row>
    <row r="869" spans="1:14" ht="105">
      <c r="A869" s="544">
        <v>9</v>
      </c>
      <c r="B869" s="710"/>
      <c r="C869" s="710"/>
      <c r="D869" s="519" t="s">
        <v>5385</v>
      </c>
      <c r="E869" s="519" t="s">
        <v>5386</v>
      </c>
      <c r="F869" s="544">
        <v>85.74</v>
      </c>
      <c r="G869" s="544">
        <v>107.17</v>
      </c>
      <c r="H869" s="544" t="s">
        <v>5387</v>
      </c>
      <c r="I869" s="544" t="s">
        <v>5388</v>
      </c>
      <c r="J869" s="544" t="s">
        <v>5389</v>
      </c>
      <c r="K869" s="544" t="s">
        <v>1728</v>
      </c>
      <c r="L869" s="544">
        <v>13500</v>
      </c>
      <c r="M869" s="544">
        <v>125.97</v>
      </c>
      <c r="N869" s="544"/>
    </row>
    <row r="870" spans="1:14" ht="105">
      <c r="A870" s="544">
        <v>10</v>
      </c>
      <c r="B870" s="710"/>
      <c r="C870" s="710"/>
      <c r="D870" s="519" t="s">
        <v>5390</v>
      </c>
      <c r="E870" s="519" t="s">
        <v>5391</v>
      </c>
      <c r="F870" s="544">
        <v>610.1</v>
      </c>
      <c r="G870" s="544">
        <v>762.63</v>
      </c>
      <c r="H870" s="544" t="s">
        <v>5392</v>
      </c>
      <c r="I870" s="544" t="s">
        <v>5388</v>
      </c>
      <c r="J870" s="544" t="s">
        <v>5393</v>
      </c>
      <c r="K870" s="544" t="s">
        <v>2837</v>
      </c>
      <c r="L870" s="544" t="s">
        <v>5394</v>
      </c>
      <c r="M870" s="544">
        <v>166.7</v>
      </c>
      <c r="N870" s="544"/>
    </row>
    <row r="871" spans="1:14" ht="105">
      <c r="A871" s="544">
        <v>11</v>
      </c>
      <c r="B871" s="710"/>
      <c r="C871" s="710"/>
      <c r="D871" s="519" t="s">
        <v>5395</v>
      </c>
      <c r="E871" s="519" t="s">
        <v>5396</v>
      </c>
      <c r="F871" s="544">
        <v>90.54</v>
      </c>
      <c r="G871" s="544">
        <v>113.17</v>
      </c>
      <c r="H871" s="544" t="s">
        <v>5397</v>
      </c>
      <c r="I871" s="544" t="s">
        <v>5363</v>
      </c>
      <c r="J871" s="544" t="s">
        <v>4295</v>
      </c>
      <c r="K871" s="544" t="s">
        <v>3475</v>
      </c>
      <c r="L871" s="544">
        <v>9500</v>
      </c>
      <c r="M871" s="544">
        <v>83.94</v>
      </c>
      <c r="N871" s="544"/>
    </row>
    <row r="872" spans="1:14" ht="120">
      <c r="A872" s="544">
        <v>12</v>
      </c>
      <c r="B872" s="710"/>
      <c r="C872" s="710"/>
      <c r="D872" s="519" t="s">
        <v>5398</v>
      </c>
      <c r="E872" s="519" t="s">
        <v>5399</v>
      </c>
      <c r="F872" s="544">
        <v>111.48</v>
      </c>
      <c r="G872" s="544">
        <v>133.78</v>
      </c>
      <c r="H872" s="544" t="s">
        <v>5400</v>
      </c>
      <c r="I872" s="544" t="s">
        <v>5388</v>
      </c>
      <c r="J872" s="544" t="s">
        <v>5401</v>
      </c>
      <c r="K872" s="544" t="s">
        <v>5402</v>
      </c>
      <c r="L872" s="544">
        <v>12000</v>
      </c>
      <c r="M872" s="544">
        <v>89.7</v>
      </c>
      <c r="N872" s="544"/>
    </row>
    <row r="873" spans="1:14" ht="120">
      <c r="A873" s="544">
        <v>13</v>
      </c>
      <c r="B873" s="710"/>
      <c r="C873" s="710"/>
      <c r="D873" s="519" t="s">
        <v>5403</v>
      </c>
      <c r="E873" s="519" t="s">
        <v>5404</v>
      </c>
      <c r="F873" s="544">
        <v>89.2</v>
      </c>
      <c r="G873" s="544">
        <v>111.52</v>
      </c>
      <c r="H873" s="544" t="s">
        <v>5405</v>
      </c>
      <c r="I873" s="544" t="s">
        <v>5363</v>
      </c>
      <c r="J873" s="544" t="s">
        <v>5401</v>
      </c>
      <c r="K873" s="544" t="s">
        <v>5402</v>
      </c>
      <c r="L873" s="139">
        <v>20700</v>
      </c>
      <c r="M873" s="544">
        <v>185.61</v>
      </c>
      <c r="N873" s="544"/>
    </row>
    <row r="874" spans="1:14" ht="105">
      <c r="A874" s="544">
        <v>14</v>
      </c>
      <c r="B874" s="710"/>
      <c r="C874" s="710"/>
      <c r="D874" s="519" t="s">
        <v>5406</v>
      </c>
      <c r="E874" s="519" t="s">
        <v>5407</v>
      </c>
      <c r="F874" s="544">
        <v>331.04</v>
      </c>
      <c r="G874" s="544">
        <v>413.8</v>
      </c>
      <c r="H874" s="544" t="s">
        <v>5408</v>
      </c>
      <c r="I874" s="544" t="s">
        <v>5363</v>
      </c>
      <c r="J874" s="544" t="s">
        <v>5409</v>
      </c>
      <c r="K874" s="544" t="s">
        <v>3574</v>
      </c>
      <c r="L874" s="139">
        <v>133575</v>
      </c>
      <c r="M874" s="544">
        <v>322.8</v>
      </c>
      <c r="N874" s="544"/>
    </row>
    <row r="875" spans="1:14" ht="105">
      <c r="A875" s="544">
        <v>15</v>
      </c>
      <c r="B875" s="710"/>
      <c r="C875" s="710"/>
      <c r="D875" s="519" t="s">
        <v>5410</v>
      </c>
      <c r="E875" s="519" t="s">
        <v>5411</v>
      </c>
      <c r="F875" s="544">
        <v>74.349999999999994</v>
      </c>
      <c r="G875" s="544">
        <v>92.94</v>
      </c>
      <c r="H875" s="544" t="s">
        <v>5412</v>
      </c>
      <c r="I875" s="544" t="s">
        <v>5363</v>
      </c>
      <c r="J875" s="544" t="s">
        <v>5413</v>
      </c>
      <c r="K875" s="544" t="s">
        <v>5414</v>
      </c>
      <c r="L875" s="544">
        <v>15631</v>
      </c>
      <c r="M875" s="544">
        <v>168.18</v>
      </c>
      <c r="N875" s="544"/>
    </row>
    <row r="876" spans="1:14" ht="105">
      <c r="A876" s="544">
        <v>16</v>
      </c>
      <c r="B876" s="710"/>
      <c r="C876" s="710"/>
      <c r="D876" s="519" t="s">
        <v>5415</v>
      </c>
      <c r="E876" s="519" t="s">
        <v>5416</v>
      </c>
      <c r="F876" s="544">
        <v>81.78</v>
      </c>
      <c r="G876" s="544">
        <v>102.23</v>
      </c>
      <c r="H876" s="544" t="s">
        <v>5417</v>
      </c>
      <c r="I876" s="544" t="s">
        <v>5363</v>
      </c>
      <c r="J876" s="544" t="s">
        <v>5418</v>
      </c>
      <c r="K876" s="544" t="s">
        <v>5419</v>
      </c>
      <c r="L876" s="544">
        <v>19800</v>
      </c>
      <c r="M876" s="544">
        <v>193.68</v>
      </c>
      <c r="N876" s="544"/>
    </row>
    <row r="877" spans="1:14" ht="105">
      <c r="A877" s="544">
        <v>17</v>
      </c>
      <c r="B877" s="710"/>
      <c r="C877" s="710"/>
      <c r="D877" s="519" t="s">
        <v>5420</v>
      </c>
      <c r="E877" s="519" t="s">
        <v>5421</v>
      </c>
      <c r="F877" s="544">
        <v>66.91</v>
      </c>
      <c r="G877" s="544">
        <v>83.64</v>
      </c>
      <c r="H877" s="544" t="s">
        <v>5422</v>
      </c>
      <c r="I877" s="544" t="s">
        <v>5363</v>
      </c>
      <c r="J877" s="544" t="s">
        <v>5423</v>
      </c>
      <c r="K877" s="544" t="s">
        <v>5424</v>
      </c>
      <c r="L877" s="544">
        <v>10800</v>
      </c>
      <c r="M877" s="544">
        <v>129.12</v>
      </c>
      <c r="N877" s="544"/>
    </row>
    <row r="878" spans="1:14" ht="105">
      <c r="A878" s="544">
        <v>18</v>
      </c>
      <c r="B878" s="710"/>
      <c r="C878" s="519" t="s">
        <v>5425</v>
      </c>
      <c r="D878" s="519" t="s">
        <v>5426</v>
      </c>
      <c r="E878" s="519" t="s">
        <v>5427</v>
      </c>
      <c r="F878" s="544" t="s">
        <v>5428</v>
      </c>
      <c r="G878" s="544" t="s">
        <v>2923</v>
      </c>
      <c r="H878" s="544" t="s">
        <v>5429</v>
      </c>
      <c r="I878" s="544" t="s">
        <v>1737</v>
      </c>
      <c r="J878" s="544" t="s">
        <v>3165</v>
      </c>
      <c r="K878" s="544" t="s">
        <v>5430</v>
      </c>
      <c r="L878" s="544"/>
      <c r="M878" s="544"/>
      <c r="N878" s="544"/>
    </row>
    <row r="879" spans="1:14" ht="30">
      <c r="A879" s="544">
        <v>19</v>
      </c>
      <c r="B879" s="710"/>
      <c r="C879" s="519" t="s">
        <v>5425</v>
      </c>
      <c r="D879" s="519" t="s">
        <v>6555</v>
      </c>
      <c r="E879" s="519" t="s">
        <v>5431</v>
      </c>
      <c r="F879" s="544">
        <v>67.67</v>
      </c>
      <c r="G879" s="544">
        <v>81.05</v>
      </c>
      <c r="H879" s="544" t="s">
        <v>3126</v>
      </c>
      <c r="I879" s="544" t="s">
        <v>6557</v>
      </c>
      <c r="J879" s="544" t="s">
        <v>1742</v>
      </c>
      <c r="K879" s="544" t="s">
        <v>5433</v>
      </c>
      <c r="L879" s="544" t="s">
        <v>5434</v>
      </c>
      <c r="M879" s="544">
        <v>185.07</v>
      </c>
      <c r="N879" s="544"/>
    </row>
    <row r="880" spans="1:14" ht="165">
      <c r="A880" s="544">
        <v>20</v>
      </c>
      <c r="B880" s="710"/>
      <c r="C880" s="519" t="s">
        <v>5425</v>
      </c>
      <c r="D880" s="519" t="s">
        <v>5435</v>
      </c>
      <c r="E880" s="519" t="s">
        <v>5436</v>
      </c>
      <c r="F880" s="544" t="s">
        <v>5437</v>
      </c>
      <c r="G880" s="544" t="s">
        <v>5437</v>
      </c>
      <c r="H880" s="544" t="s">
        <v>5438</v>
      </c>
      <c r="I880" s="544" t="s">
        <v>5439</v>
      </c>
      <c r="J880" s="544" t="s">
        <v>1737</v>
      </c>
      <c r="K880" s="544" t="s">
        <v>5440</v>
      </c>
      <c r="L880" s="544" t="s">
        <v>5441</v>
      </c>
      <c r="M880" s="544">
        <v>132.31</v>
      </c>
      <c r="N880" s="544"/>
    </row>
    <row r="881" spans="1:14" ht="60">
      <c r="A881" s="544">
        <v>21</v>
      </c>
      <c r="B881" s="710"/>
      <c r="C881" s="519" t="s">
        <v>5425</v>
      </c>
      <c r="D881" s="519" t="s">
        <v>5442</v>
      </c>
      <c r="E881" s="519" t="s">
        <v>5443</v>
      </c>
      <c r="F881" s="544">
        <v>173</v>
      </c>
      <c r="G881" s="544">
        <v>213</v>
      </c>
      <c r="H881" s="544" t="s">
        <v>2937</v>
      </c>
      <c r="I881" s="544" t="s">
        <v>5444</v>
      </c>
      <c r="J881" s="544" t="s">
        <v>5445</v>
      </c>
      <c r="K881" s="544" t="s">
        <v>2766</v>
      </c>
      <c r="L881" s="544" t="s">
        <v>5446</v>
      </c>
      <c r="M881" s="544">
        <v>140.12</v>
      </c>
      <c r="N881" s="544"/>
    </row>
    <row r="882" spans="1:14" ht="60">
      <c r="A882" s="544">
        <v>22</v>
      </c>
      <c r="B882" s="710"/>
      <c r="C882" s="519" t="s">
        <v>5425</v>
      </c>
      <c r="D882" s="519" t="s">
        <v>5447</v>
      </c>
      <c r="E882" s="519" t="s">
        <v>5448</v>
      </c>
      <c r="F882" s="544">
        <v>96.9</v>
      </c>
      <c r="G882" s="544">
        <v>120</v>
      </c>
      <c r="H882" s="544" t="s">
        <v>3002</v>
      </c>
      <c r="I882" s="544" t="s">
        <v>5444</v>
      </c>
      <c r="J882" s="544" t="s">
        <v>1737</v>
      </c>
      <c r="K882" s="544" t="s">
        <v>5449</v>
      </c>
      <c r="L882" s="544" t="s">
        <v>5450</v>
      </c>
      <c r="M882" s="544">
        <v>128.86000000000001</v>
      </c>
      <c r="N882" s="544"/>
    </row>
    <row r="883" spans="1:14" ht="30">
      <c r="A883" s="544">
        <v>23</v>
      </c>
      <c r="B883" s="710"/>
      <c r="C883" s="519" t="s">
        <v>5425</v>
      </c>
      <c r="D883" s="519" t="s">
        <v>5451</v>
      </c>
      <c r="E883" s="519" t="s">
        <v>5452</v>
      </c>
      <c r="F883" s="544">
        <v>90.76</v>
      </c>
      <c r="G883" s="544">
        <v>110</v>
      </c>
      <c r="H883" s="544" t="s">
        <v>5453</v>
      </c>
      <c r="I883" s="544" t="s">
        <v>5238</v>
      </c>
      <c r="J883" s="544" t="s">
        <v>1737</v>
      </c>
      <c r="K883" s="544" t="s">
        <v>5454</v>
      </c>
      <c r="L883" s="544" t="s">
        <v>5455</v>
      </c>
      <c r="M883" s="544">
        <v>187.3</v>
      </c>
      <c r="N883" s="544"/>
    </row>
    <row r="884" spans="1:14" ht="30">
      <c r="A884" s="544">
        <v>24</v>
      </c>
      <c r="B884" s="710"/>
      <c r="C884" s="519" t="s">
        <v>5425</v>
      </c>
      <c r="D884" s="519" t="s">
        <v>5456</v>
      </c>
      <c r="E884" s="519"/>
      <c r="F884" s="544"/>
      <c r="G884" s="544"/>
      <c r="H884" s="544" t="s">
        <v>5453</v>
      </c>
      <c r="I884" s="544" t="s">
        <v>5238</v>
      </c>
      <c r="J884" s="544" t="s">
        <v>1703</v>
      </c>
      <c r="K884" s="544" t="s">
        <v>5454</v>
      </c>
      <c r="L884" s="544" t="s">
        <v>2920</v>
      </c>
      <c r="M884" s="544"/>
      <c r="N884" s="544"/>
    </row>
    <row r="885" spans="1:14" ht="60">
      <c r="A885" s="544">
        <v>25</v>
      </c>
      <c r="B885" s="710"/>
      <c r="C885" s="519" t="s">
        <v>5425</v>
      </c>
      <c r="D885" s="519" t="s">
        <v>5457</v>
      </c>
      <c r="E885" s="519" t="s">
        <v>5458</v>
      </c>
      <c r="F885" s="544" t="s">
        <v>5459</v>
      </c>
      <c r="G885" s="544"/>
      <c r="H885" s="544" t="s">
        <v>1926</v>
      </c>
      <c r="I885" s="544" t="s">
        <v>5432</v>
      </c>
      <c r="J885" s="544" t="s">
        <v>1737</v>
      </c>
      <c r="K885" s="544" t="s">
        <v>4306</v>
      </c>
      <c r="L885" s="544" t="s">
        <v>5460</v>
      </c>
      <c r="M885" s="544"/>
      <c r="N885" s="544"/>
    </row>
    <row r="886" spans="1:14" ht="90">
      <c r="A886" s="544">
        <v>26</v>
      </c>
      <c r="B886" s="710"/>
      <c r="C886" s="519" t="s">
        <v>5425</v>
      </c>
      <c r="D886" s="519" t="s">
        <v>5461</v>
      </c>
      <c r="E886" s="519" t="s">
        <v>5462</v>
      </c>
      <c r="F886" s="544" t="s">
        <v>5463</v>
      </c>
      <c r="G886" s="544"/>
      <c r="H886" s="544"/>
      <c r="I886" s="544"/>
      <c r="J886" s="544"/>
      <c r="K886" s="544"/>
      <c r="L886" s="544"/>
      <c r="M886" s="544"/>
      <c r="N886" s="111" t="s">
        <v>5464</v>
      </c>
    </row>
    <row r="887" spans="1:14" ht="90">
      <c r="A887" s="544">
        <v>27</v>
      </c>
      <c r="B887" s="710"/>
      <c r="C887" s="519" t="s">
        <v>5425</v>
      </c>
      <c r="D887" s="519" t="s">
        <v>5465</v>
      </c>
      <c r="E887" s="519" t="s">
        <v>5466</v>
      </c>
      <c r="F887" s="544" t="s">
        <v>5467</v>
      </c>
      <c r="G887" s="544"/>
      <c r="H887" s="544" t="s">
        <v>3164</v>
      </c>
      <c r="I887" s="544" t="s">
        <v>5468</v>
      </c>
      <c r="J887" s="544" t="s">
        <v>1737</v>
      </c>
      <c r="K887" s="544" t="s">
        <v>2819</v>
      </c>
      <c r="L887" s="544" t="s">
        <v>5469</v>
      </c>
      <c r="M887" s="544"/>
      <c r="N887" s="544"/>
    </row>
    <row r="888" spans="1:14" ht="45">
      <c r="A888" s="544">
        <v>28</v>
      </c>
      <c r="B888" s="710"/>
      <c r="C888" s="519" t="s">
        <v>5425</v>
      </c>
      <c r="D888" s="519" t="s">
        <v>5470</v>
      </c>
      <c r="E888" s="519" t="s">
        <v>5471</v>
      </c>
      <c r="F888" s="544" t="s">
        <v>5472</v>
      </c>
      <c r="G888" s="544"/>
      <c r="H888" s="544" t="s">
        <v>2759</v>
      </c>
      <c r="I888" s="544" t="s">
        <v>5468</v>
      </c>
      <c r="J888" s="544" t="s">
        <v>1737</v>
      </c>
      <c r="K888" s="544" t="s">
        <v>3719</v>
      </c>
      <c r="L888" s="544" t="s">
        <v>5473</v>
      </c>
      <c r="M888" s="544"/>
      <c r="N888" s="544"/>
    </row>
    <row r="889" spans="1:14" ht="150">
      <c r="A889" s="544">
        <v>29</v>
      </c>
      <c r="B889" s="710"/>
      <c r="C889" s="519" t="s">
        <v>5425</v>
      </c>
      <c r="D889" s="519" t="s">
        <v>5474</v>
      </c>
      <c r="E889" s="519" t="s">
        <v>5475</v>
      </c>
      <c r="F889" s="544" t="s">
        <v>5476</v>
      </c>
      <c r="G889" s="544"/>
      <c r="H889" s="544" t="s">
        <v>5477</v>
      </c>
      <c r="I889" s="544" t="s">
        <v>5478</v>
      </c>
      <c r="J889" s="544" t="s">
        <v>1737</v>
      </c>
      <c r="K889" s="544" t="s">
        <v>5061</v>
      </c>
      <c r="L889" s="544" t="s">
        <v>5479</v>
      </c>
      <c r="M889" s="544"/>
      <c r="N889" s="544"/>
    </row>
    <row r="890" spans="1:14" ht="120">
      <c r="A890" s="544">
        <v>30</v>
      </c>
      <c r="B890" s="710"/>
      <c r="C890" s="519" t="s">
        <v>5480</v>
      </c>
      <c r="D890" s="519" t="s">
        <v>5481</v>
      </c>
      <c r="E890" s="519" t="s">
        <v>5482</v>
      </c>
      <c r="F890" s="232" t="s">
        <v>5483</v>
      </c>
      <c r="G890" s="544">
        <v>3963</v>
      </c>
      <c r="H890" s="233" t="s">
        <v>5484</v>
      </c>
      <c r="I890" s="232" t="s">
        <v>1702</v>
      </c>
      <c r="J890" s="544" t="s">
        <v>5485</v>
      </c>
      <c r="K890" s="57">
        <v>44197</v>
      </c>
      <c r="L890" s="139">
        <v>50000</v>
      </c>
      <c r="M890" s="44">
        <f>L890/G890</f>
        <v>12.616704516780217</v>
      </c>
      <c r="N890" s="544" t="s">
        <v>35</v>
      </c>
    </row>
    <row r="891" spans="1:14" ht="105">
      <c r="A891" s="544">
        <v>31</v>
      </c>
      <c r="B891" s="710"/>
      <c r="C891" s="519" t="s">
        <v>5480</v>
      </c>
      <c r="D891" s="519" t="s">
        <v>5486</v>
      </c>
      <c r="E891" s="519" t="s">
        <v>5487</v>
      </c>
      <c r="F891" s="232">
        <v>2234.5300000000002</v>
      </c>
      <c r="G891" s="544">
        <v>2903.05</v>
      </c>
      <c r="H891" s="233" t="s">
        <v>5488</v>
      </c>
      <c r="I891" s="232" t="s">
        <v>1702</v>
      </c>
      <c r="J891" s="544" t="s">
        <v>5489</v>
      </c>
      <c r="K891" s="57">
        <v>44440</v>
      </c>
      <c r="L891" s="139">
        <v>35500</v>
      </c>
      <c r="M891" s="44">
        <f t="shared" ref="M891:M892" si="11">L891/G891</f>
        <v>12.228518282495996</v>
      </c>
      <c r="N891" s="544" t="s">
        <v>35</v>
      </c>
    </row>
    <row r="892" spans="1:14" ht="105">
      <c r="A892" s="544">
        <v>32</v>
      </c>
      <c r="B892" s="710"/>
      <c r="C892" s="519" t="s">
        <v>5480</v>
      </c>
      <c r="D892" s="519" t="s">
        <v>5490</v>
      </c>
      <c r="E892" s="519" t="s">
        <v>5491</v>
      </c>
      <c r="F892" s="232" t="s">
        <v>5483</v>
      </c>
      <c r="G892" s="544">
        <v>2783</v>
      </c>
      <c r="H892" s="233" t="s">
        <v>5492</v>
      </c>
      <c r="I892" s="232" t="s">
        <v>1702</v>
      </c>
      <c r="J892" s="544" t="s">
        <v>5489</v>
      </c>
      <c r="K892" s="57">
        <v>44440</v>
      </c>
      <c r="L892" s="139">
        <v>55000</v>
      </c>
      <c r="M892" s="44">
        <f t="shared" si="11"/>
        <v>19.762845849802371</v>
      </c>
      <c r="N892" s="544" t="s">
        <v>35</v>
      </c>
    </row>
    <row r="893" spans="1:14" ht="195">
      <c r="A893" s="544">
        <v>33</v>
      </c>
      <c r="B893" s="710"/>
      <c r="C893" s="519" t="s">
        <v>5493</v>
      </c>
      <c r="D893" s="519" t="s">
        <v>5494</v>
      </c>
      <c r="E893" s="519" t="s">
        <v>5495</v>
      </c>
      <c r="F893" s="544">
        <v>558.79</v>
      </c>
      <c r="G893" s="544">
        <v>808.7</v>
      </c>
      <c r="H893" s="544" t="s">
        <v>5496</v>
      </c>
      <c r="I893" s="544" t="s">
        <v>5497</v>
      </c>
      <c r="J893" s="544" t="s">
        <v>5177</v>
      </c>
      <c r="K893" s="544" t="s">
        <v>5498</v>
      </c>
      <c r="L893" s="544" t="s">
        <v>5499</v>
      </c>
      <c r="M893" s="544" t="s">
        <v>5500</v>
      </c>
      <c r="N893" s="544" t="s">
        <v>620</v>
      </c>
    </row>
    <row r="894" spans="1:14" ht="105">
      <c r="A894" s="544">
        <v>34</v>
      </c>
      <c r="B894" s="710"/>
      <c r="C894" s="519" t="s">
        <v>5493</v>
      </c>
      <c r="D894" s="519" t="s">
        <v>5501</v>
      </c>
      <c r="E894" s="519" t="s">
        <v>5502</v>
      </c>
      <c r="F894" s="544">
        <v>2307.0309999999999</v>
      </c>
      <c r="G894" s="544">
        <v>2316.48</v>
      </c>
      <c r="H894" s="307" t="s">
        <v>5503</v>
      </c>
      <c r="I894" s="307" t="s">
        <v>5504</v>
      </c>
      <c r="J894" s="544" t="s">
        <v>1714</v>
      </c>
      <c r="K894" s="307" t="s">
        <v>2986</v>
      </c>
      <c r="L894" s="544" t="s">
        <v>5505</v>
      </c>
      <c r="M894" s="544">
        <v>55.43</v>
      </c>
      <c r="N894" s="544"/>
    </row>
    <row r="895" spans="1:14" ht="138">
      <c r="A895" s="544">
        <v>35</v>
      </c>
      <c r="B895" s="710"/>
      <c r="C895" s="519" t="s">
        <v>5493</v>
      </c>
      <c r="D895" s="519" t="s">
        <v>6545</v>
      </c>
      <c r="E895" s="519" t="s">
        <v>6546</v>
      </c>
      <c r="F895" s="544">
        <v>1153.3630000000001</v>
      </c>
      <c r="G895" s="307">
        <v>1158.24</v>
      </c>
      <c r="H895" s="544" t="s">
        <v>5503</v>
      </c>
      <c r="I895" s="307" t="s">
        <v>5504</v>
      </c>
      <c r="J895" s="544" t="s">
        <v>1714</v>
      </c>
      <c r="K895" s="307" t="s">
        <v>2986</v>
      </c>
      <c r="L895" s="544" t="s">
        <v>5506</v>
      </c>
      <c r="M895" s="544">
        <v>55.43</v>
      </c>
      <c r="N895" s="544"/>
    </row>
    <row r="896" spans="1:14" ht="120">
      <c r="A896" s="544">
        <v>36</v>
      </c>
      <c r="B896" s="710"/>
      <c r="C896" s="519" t="s">
        <v>5493</v>
      </c>
      <c r="D896" s="519" t="s">
        <v>5507</v>
      </c>
      <c r="E896" s="519" t="s">
        <v>5508</v>
      </c>
      <c r="F896" s="544" t="s">
        <v>6549</v>
      </c>
      <c r="G896" s="544"/>
      <c r="H896" s="544" t="s">
        <v>5509</v>
      </c>
      <c r="I896" s="544" t="s">
        <v>6550</v>
      </c>
      <c r="J896" s="544" t="s">
        <v>5173</v>
      </c>
      <c r="K896" s="544" t="s">
        <v>2837</v>
      </c>
      <c r="L896" s="544" t="s">
        <v>6552</v>
      </c>
      <c r="M896" s="19"/>
      <c r="N896" s="19"/>
    </row>
    <row r="897" spans="1:14" ht="75">
      <c r="A897" s="544">
        <v>37</v>
      </c>
      <c r="B897" s="710"/>
      <c r="C897" s="519" t="s">
        <v>5493</v>
      </c>
      <c r="D897" s="519" t="s">
        <v>5510</v>
      </c>
      <c r="E897" s="519" t="s">
        <v>5511</v>
      </c>
      <c r="F897" s="544" t="s">
        <v>6551</v>
      </c>
      <c r="G897" s="544"/>
      <c r="H897" s="544" t="s">
        <v>2759</v>
      </c>
      <c r="I897" s="544" t="s">
        <v>5512</v>
      </c>
      <c r="J897" s="544" t="s">
        <v>5173</v>
      </c>
      <c r="K897" s="544" t="s">
        <v>3079</v>
      </c>
      <c r="L897" s="544" t="s">
        <v>6553</v>
      </c>
      <c r="M897" s="544"/>
      <c r="N897" s="544"/>
    </row>
    <row r="898" spans="1:14" ht="105">
      <c r="A898" s="544">
        <v>38</v>
      </c>
      <c r="B898" s="710"/>
      <c r="C898" s="519" t="s">
        <v>5493</v>
      </c>
      <c r="D898" s="519" t="s">
        <v>5513</v>
      </c>
      <c r="E898" s="519" t="s">
        <v>5514</v>
      </c>
      <c r="F898" s="544">
        <v>1879.7070000000001</v>
      </c>
      <c r="G898" s="544">
        <v>2195.2800000000002</v>
      </c>
      <c r="H898" s="544" t="s">
        <v>5515</v>
      </c>
      <c r="I898" s="544" t="s">
        <v>5516</v>
      </c>
      <c r="J898" s="544" t="s">
        <v>5517</v>
      </c>
      <c r="K898" s="544" t="s">
        <v>5518</v>
      </c>
      <c r="L898" s="544" t="s">
        <v>5519</v>
      </c>
      <c r="M898" s="544">
        <v>191.06</v>
      </c>
      <c r="N898" s="544"/>
    </row>
    <row r="899" spans="1:14" ht="150">
      <c r="A899" s="544">
        <v>39</v>
      </c>
      <c r="B899" s="710"/>
      <c r="C899" s="519" t="s">
        <v>5493</v>
      </c>
      <c r="D899" s="519" t="s">
        <v>5520</v>
      </c>
      <c r="E899" s="519" t="s">
        <v>5521</v>
      </c>
      <c r="F899" s="544" t="s">
        <v>5522</v>
      </c>
      <c r="G899" s="544"/>
      <c r="H899" s="544" t="s">
        <v>5523</v>
      </c>
      <c r="I899" s="544" t="s">
        <v>5524</v>
      </c>
      <c r="J899" s="544" t="s">
        <v>1783</v>
      </c>
      <c r="K899" s="544" t="s">
        <v>5525</v>
      </c>
      <c r="L899" s="544" t="s">
        <v>5526</v>
      </c>
      <c r="M899" s="544"/>
      <c r="N899" s="544"/>
    </row>
    <row r="900" spans="1:14" ht="150">
      <c r="A900" s="544">
        <v>40</v>
      </c>
      <c r="B900" s="710"/>
      <c r="C900" s="519" t="s">
        <v>5493</v>
      </c>
      <c r="D900" s="519" t="s">
        <v>5527</v>
      </c>
      <c r="E900" s="519" t="s">
        <v>5521</v>
      </c>
      <c r="F900" s="544" t="s">
        <v>5528</v>
      </c>
      <c r="G900" s="544"/>
      <c r="H900" s="544" t="s">
        <v>5523</v>
      </c>
      <c r="I900" s="544" t="s">
        <v>5524</v>
      </c>
      <c r="J900" s="544" t="s">
        <v>1783</v>
      </c>
      <c r="K900" s="544" t="s">
        <v>5529</v>
      </c>
      <c r="L900" s="544">
        <v>67543</v>
      </c>
      <c r="M900" s="544"/>
      <c r="N900" s="544"/>
    </row>
    <row r="901" spans="1:14" ht="150">
      <c r="A901" s="544">
        <v>41</v>
      </c>
      <c r="B901" s="710"/>
      <c r="C901" s="519" t="s">
        <v>5493</v>
      </c>
      <c r="D901" s="519" t="s">
        <v>5530</v>
      </c>
      <c r="E901" s="519" t="s">
        <v>5521</v>
      </c>
      <c r="F901" s="544" t="s">
        <v>5531</v>
      </c>
      <c r="G901" s="544"/>
      <c r="H901" s="544" t="s">
        <v>5523</v>
      </c>
      <c r="I901" s="544" t="s">
        <v>5524</v>
      </c>
      <c r="J901" s="544" t="s">
        <v>1783</v>
      </c>
      <c r="K901" s="544" t="s">
        <v>5529</v>
      </c>
      <c r="L901" s="544">
        <v>64939</v>
      </c>
      <c r="M901" s="544"/>
      <c r="N901" s="544"/>
    </row>
    <row r="902" spans="1:14" ht="150">
      <c r="A902" s="544">
        <v>42</v>
      </c>
      <c r="B902" s="710"/>
      <c r="C902" s="519" t="s">
        <v>5493</v>
      </c>
      <c r="D902" s="519" t="s">
        <v>5532</v>
      </c>
      <c r="E902" s="519" t="s">
        <v>5521</v>
      </c>
      <c r="F902" s="544" t="s">
        <v>5533</v>
      </c>
      <c r="G902" s="544"/>
      <c r="H902" s="544" t="s">
        <v>5534</v>
      </c>
      <c r="I902" s="544" t="s">
        <v>5524</v>
      </c>
      <c r="J902" s="544" t="s">
        <v>1783</v>
      </c>
      <c r="K902" s="544" t="s">
        <v>5535</v>
      </c>
      <c r="L902" s="544">
        <v>64939</v>
      </c>
      <c r="M902" s="544"/>
      <c r="N902" s="544"/>
    </row>
    <row r="903" spans="1:14" ht="150">
      <c r="A903" s="544">
        <v>43</v>
      </c>
      <c r="B903" s="710"/>
      <c r="C903" s="519" t="s">
        <v>5493</v>
      </c>
      <c r="D903" s="519" t="s">
        <v>5536</v>
      </c>
      <c r="E903" s="519" t="s">
        <v>5521</v>
      </c>
      <c r="F903" s="544" t="s">
        <v>5533</v>
      </c>
      <c r="G903" s="544"/>
      <c r="H903" s="544" t="s">
        <v>5534</v>
      </c>
      <c r="I903" s="544" t="s">
        <v>5524</v>
      </c>
      <c r="J903" s="544" t="s">
        <v>1783</v>
      </c>
      <c r="K903" s="544" t="s">
        <v>5535</v>
      </c>
      <c r="L903" s="544">
        <v>30830</v>
      </c>
      <c r="M903" s="544"/>
      <c r="N903" s="544"/>
    </row>
    <row r="904" spans="1:14" ht="150">
      <c r="A904" s="544">
        <v>44</v>
      </c>
      <c r="B904" s="710"/>
      <c r="C904" s="519" t="s">
        <v>5493</v>
      </c>
      <c r="D904" s="519" t="s">
        <v>5537</v>
      </c>
      <c r="E904" s="519" t="s">
        <v>5538</v>
      </c>
      <c r="F904" s="544" t="s">
        <v>5539</v>
      </c>
      <c r="G904" s="544"/>
      <c r="H904" s="544" t="s">
        <v>2771</v>
      </c>
      <c r="I904" s="544" t="s">
        <v>5524</v>
      </c>
      <c r="J904" s="544" t="s">
        <v>1783</v>
      </c>
      <c r="K904" s="544" t="s">
        <v>5540</v>
      </c>
      <c r="L904" s="544" t="s">
        <v>5541</v>
      </c>
      <c r="M904" s="544"/>
      <c r="N904" s="544"/>
    </row>
    <row r="905" spans="1:14" ht="150">
      <c r="A905" s="544">
        <v>45</v>
      </c>
      <c r="B905" s="710"/>
      <c r="C905" s="519" t="s">
        <v>5493</v>
      </c>
      <c r="D905" s="519" t="s">
        <v>5542</v>
      </c>
      <c r="E905" s="519" t="s">
        <v>5543</v>
      </c>
      <c r="F905" s="544">
        <v>805.24</v>
      </c>
      <c r="G905" s="544"/>
      <c r="H905" s="544" t="s">
        <v>2771</v>
      </c>
      <c r="I905" s="544" t="s">
        <v>5524</v>
      </c>
      <c r="J905" s="544" t="s">
        <v>1783</v>
      </c>
      <c r="K905" s="544" t="s">
        <v>5540</v>
      </c>
      <c r="L905" s="544" t="s">
        <v>5544</v>
      </c>
      <c r="M905" s="544"/>
      <c r="N905" s="544"/>
    </row>
    <row r="906" spans="1:14" ht="60">
      <c r="A906" s="544">
        <v>46</v>
      </c>
      <c r="B906" s="710"/>
      <c r="C906" s="519" t="s">
        <v>5493</v>
      </c>
      <c r="D906" s="519" t="s">
        <v>5545</v>
      </c>
      <c r="E906" s="519" t="s">
        <v>5546</v>
      </c>
      <c r="F906" s="544" t="s">
        <v>5547</v>
      </c>
      <c r="G906" s="544"/>
      <c r="H906" s="544" t="s">
        <v>5548</v>
      </c>
      <c r="I906" s="544"/>
      <c r="J906" s="544"/>
      <c r="K906" s="544" t="s">
        <v>3532</v>
      </c>
      <c r="L906" s="544" t="s">
        <v>5549</v>
      </c>
      <c r="M906" s="544"/>
      <c r="N906" s="544"/>
    </row>
    <row r="907" spans="1:14" ht="284.25" customHeight="1">
      <c r="A907" s="544">
        <v>47</v>
      </c>
      <c r="B907" s="710"/>
      <c r="C907" s="519" t="s">
        <v>5493</v>
      </c>
      <c r="D907" s="519" t="s">
        <v>5550</v>
      </c>
      <c r="E907" s="519" t="s">
        <v>5551</v>
      </c>
      <c r="F907" s="544">
        <v>373</v>
      </c>
      <c r="G907" s="544">
        <v>373</v>
      </c>
      <c r="H907" s="544" t="s">
        <v>5509</v>
      </c>
      <c r="I907" s="544" t="s">
        <v>5552</v>
      </c>
      <c r="J907" s="544" t="s">
        <v>1783</v>
      </c>
      <c r="K907" s="544" t="s">
        <v>3164</v>
      </c>
      <c r="L907" s="544" t="s">
        <v>5553</v>
      </c>
      <c r="M907" s="544" t="s">
        <v>5554</v>
      </c>
      <c r="N907" s="111" t="s">
        <v>5555</v>
      </c>
    </row>
    <row r="908" spans="1:14" ht="120">
      <c r="A908" s="544">
        <v>48</v>
      </c>
      <c r="B908" s="710"/>
      <c r="C908" s="519" t="s">
        <v>5493</v>
      </c>
      <c r="D908" s="519" t="s">
        <v>5556</v>
      </c>
      <c r="E908" s="519" t="s">
        <v>5557</v>
      </c>
      <c r="F908" s="544" t="s">
        <v>5558</v>
      </c>
      <c r="G908" s="544" t="s">
        <v>5558</v>
      </c>
      <c r="H908" s="544" t="s">
        <v>5559</v>
      </c>
      <c r="I908" s="544" t="s">
        <v>5560</v>
      </c>
      <c r="J908" s="544" t="s">
        <v>5173</v>
      </c>
      <c r="K908" s="544" t="s">
        <v>3373</v>
      </c>
      <c r="L908" s="544" t="s">
        <v>5561</v>
      </c>
      <c r="M908" s="544" t="s">
        <v>5561</v>
      </c>
      <c r="N908" s="111" t="s">
        <v>5562</v>
      </c>
    </row>
    <row r="909" spans="1:14" ht="120">
      <c r="A909" s="544">
        <v>49</v>
      </c>
      <c r="B909" s="710"/>
      <c r="C909" s="519" t="s">
        <v>5493</v>
      </c>
      <c r="D909" s="519" t="s">
        <v>5563</v>
      </c>
      <c r="E909" s="519" t="s">
        <v>5564</v>
      </c>
      <c r="F909" s="544" t="s">
        <v>5565</v>
      </c>
      <c r="G909" s="544" t="s">
        <v>5565</v>
      </c>
      <c r="H909" s="544" t="s">
        <v>5566</v>
      </c>
      <c r="I909" s="544" t="s">
        <v>5560</v>
      </c>
      <c r="J909" s="544" t="s">
        <v>5173</v>
      </c>
      <c r="K909" s="544" t="s">
        <v>5567</v>
      </c>
      <c r="L909" s="544" t="s">
        <v>5561</v>
      </c>
      <c r="M909" s="544" t="s">
        <v>5561</v>
      </c>
      <c r="N909" s="111" t="s">
        <v>5562</v>
      </c>
    </row>
    <row r="910" spans="1:14" ht="90">
      <c r="A910" s="544">
        <v>50</v>
      </c>
      <c r="B910" s="710"/>
      <c r="C910" s="519" t="s">
        <v>5493</v>
      </c>
      <c r="D910" s="519" t="s">
        <v>5568</v>
      </c>
      <c r="E910" s="519" t="s">
        <v>5569</v>
      </c>
      <c r="F910" s="544">
        <v>664.39</v>
      </c>
      <c r="G910" s="544">
        <v>714.75</v>
      </c>
      <c r="H910" s="544" t="s">
        <v>5570</v>
      </c>
      <c r="I910" s="544" t="s">
        <v>5571</v>
      </c>
      <c r="J910" s="544" t="s">
        <v>5572</v>
      </c>
      <c r="K910" s="544" t="s">
        <v>5573</v>
      </c>
      <c r="L910" s="544">
        <v>61000</v>
      </c>
      <c r="M910" s="544"/>
      <c r="N910" s="111" t="s">
        <v>5574</v>
      </c>
    </row>
    <row r="911" spans="1:14" ht="75">
      <c r="A911" s="544">
        <v>51</v>
      </c>
      <c r="B911" s="710"/>
      <c r="C911" s="519" t="s">
        <v>5493</v>
      </c>
      <c r="D911" s="519" t="s">
        <v>5575</v>
      </c>
      <c r="E911" s="519" t="s">
        <v>5576</v>
      </c>
      <c r="F911" s="544">
        <v>68.83</v>
      </c>
      <c r="G911" s="544">
        <v>155.76</v>
      </c>
      <c r="H911" s="544" t="s">
        <v>5577</v>
      </c>
      <c r="I911" s="544"/>
      <c r="J911" s="544" t="s">
        <v>1737</v>
      </c>
      <c r="K911" s="544" t="s">
        <v>3655</v>
      </c>
      <c r="L911" s="544">
        <v>8440</v>
      </c>
      <c r="M911" s="544"/>
      <c r="N911" s="111" t="s">
        <v>5578</v>
      </c>
    </row>
    <row r="912" spans="1:14" ht="75">
      <c r="A912" s="544">
        <v>52</v>
      </c>
      <c r="B912" s="710"/>
      <c r="C912" s="519" t="s">
        <v>5493</v>
      </c>
      <c r="D912" s="519" t="s">
        <v>5579</v>
      </c>
      <c r="E912" s="519" t="s">
        <v>5580</v>
      </c>
      <c r="F912" s="544">
        <v>4.0839999999999996</v>
      </c>
      <c r="G912" s="544">
        <v>64.52</v>
      </c>
      <c r="H912" s="544" t="s">
        <v>5581</v>
      </c>
      <c r="I912" s="544"/>
      <c r="J912" s="544" t="s">
        <v>1737</v>
      </c>
      <c r="K912" s="544" t="s">
        <v>5582</v>
      </c>
      <c r="L912" s="544">
        <v>5270</v>
      </c>
      <c r="M912" s="544"/>
      <c r="N912" s="111" t="s">
        <v>5578</v>
      </c>
    </row>
    <row r="913" spans="1:14" ht="75">
      <c r="A913" s="544">
        <v>53</v>
      </c>
      <c r="B913" s="710"/>
      <c r="C913" s="519" t="s">
        <v>5583</v>
      </c>
      <c r="D913" s="519" t="s">
        <v>5584</v>
      </c>
      <c r="E913" s="519" t="s">
        <v>5585</v>
      </c>
      <c r="F913" s="544">
        <v>2286</v>
      </c>
      <c r="G913" s="544">
        <v>4572</v>
      </c>
      <c r="H913" s="544"/>
      <c r="I913" s="544"/>
      <c r="J913" s="544"/>
      <c r="K913" s="544" t="s">
        <v>7143</v>
      </c>
      <c r="L913" s="544">
        <v>3082</v>
      </c>
      <c r="M913" s="544">
        <v>0.67410300000000001</v>
      </c>
      <c r="N913" s="544"/>
    </row>
    <row r="914" spans="1:14" ht="195">
      <c r="A914" s="544">
        <v>54</v>
      </c>
      <c r="B914" s="710"/>
      <c r="C914" s="519" t="s">
        <v>5583</v>
      </c>
      <c r="D914" s="519" t="s">
        <v>5586</v>
      </c>
      <c r="E914" s="519" t="s">
        <v>5587</v>
      </c>
      <c r="F914" s="544">
        <v>292.60000000000002</v>
      </c>
      <c r="G914" s="544">
        <v>384.05</v>
      </c>
      <c r="H914" s="544" t="s">
        <v>5588</v>
      </c>
      <c r="I914" s="544" t="s">
        <v>5589</v>
      </c>
      <c r="J914" s="544" t="s">
        <v>5590</v>
      </c>
      <c r="K914" s="544" t="s">
        <v>3615</v>
      </c>
      <c r="L914" s="544">
        <v>23000</v>
      </c>
      <c r="M914" s="544">
        <v>59.888039999999997</v>
      </c>
      <c r="N914" s="111" t="s">
        <v>5591</v>
      </c>
    </row>
    <row r="915" spans="1:14" ht="105">
      <c r="A915" s="544">
        <v>55</v>
      </c>
      <c r="B915" s="710"/>
      <c r="C915" s="519" t="s">
        <v>5583</v>
      </c>
      <c r="D915" s="519" t="s">
        <v>5592</v>
      </c>
      <c r="E915" s="519" t="s">
        <v>5593</v>
      </c>
      <c r="F915" s="544" t="s">
        <v>5594</v>
      </c>
      <c r="G915" s="544"/>
      <c r="H915" s="544" t="s">
        <v>5595</v>
      </c>
      <c r="I915" s="544" t="s">
        <v>5596</v>
      </c>
      <c r="J915" s="544" t="s">
        <v>5597</v>
      </c>
      <c r="K915" s="544" t="s">
        <v>5598</v>
      </c>
      <c r="L915" s="544">
        <v>12980</v>
      </c>
      <c r="M915" s="544">
        <v>1.38E-2</v>
      </c>
      <c r="N915" s="544"/>
    </row>
    <row r="916" spans="1:14" ht="90">
      <c r="A916" s="544">
        <v>56</v>
      </c>
      <c r="B916" s="710"/>
      <c r="C916" s="519" t="s">
        <v>5599</v>
      </c>
      <c r="D916" s="519"/>
      <c r="E916" s="519" t="s">
        <v>5600</v>
      </c>
      <c r="F916" s="544" t="s">
        <v>5601</v>
      </c>
      <c r="G916" s="544"/>
      <c r="H916" s="544" t="s">
        <v>5602</v>
      </c>
      <c r="I916" s="544" t="s">
        <v>5596</v>
      </c>
      <c r="J916" s="544"/>
      <c r="K916" s="544" t="s">
        <v>7144</v>
      </c>
      <c r="L916" s="544">
        <v>398</v>
      </c>
      <c r="M916" s="544">
        <v>4.7760000000000001E-4</v>
      </c>
      <c r="N916" s="544"/>
    </row>
    <row r="917" spans="1:14" ht="60">
      <c r="A917" s="544">
        <v>57</v>
      </c>
      <c r="B917" s="710"/>
      <c r="C917" s="519" t="s">
        <v>5603</v>
      </c>
      <c r="D917" s="519" t="s">
        <v>5604</v>
      </c>
      <c r="E917" s="519" t="s">
        <v>5605</v>
      </c>
      <c r="F917" s="544"/>
      <c r="G917" s="544">
        <v>655</v>
      </c>
      <c r="H917" s="544" t="s">
        <v>2960</v>
      </c>
      <c r="I917" s="544" t="s">
        <v>4334</v>
      </c>
      <c r="J917" s="544" t="s">
        <v>5606</v>
      </c>
      <c r="K917" s="544" t="s">
        <v>4139</v>
      </c>
      <c r="L917" s="544" t="s">
        <v>5607</v>
      </c>
      <c r="M917" s="544">
        <v>311.87</v>
      </c>
      <c r="N917" s="544"/>
    </row>
    <row r="918" spans="1:14" ht="60">
      <c r="A918" s="544">
        <v>58</v>
      </c>
      <c r="B918" s="710"/>
      <c r="C918" s="519" t="s">
        <v>5603</v>
      </c>
      <c r="D918" s="519" t="s">
        <v>5608</v>
      </c>
      <c r="E918" s="519" t="s">
        <v>5609</v>
      </c>
      <c r="F918" s="544"/>
      <c r="G918" s="544">
        <v>325</v>
      </c>
      <c r="H918" s="544" t="s">
        <v>3894</v>
      </c>
      <c r="I918" s="544"/>
      <c r="J918" s="544" t="s">
        <v>5610</v>
      </c>
      <c r="K918" s="544" t="s">
        <v>5611</v>
      </c>
      <c r="L918" s="544" t="s">
        <v>5612</v>
      </c>
      <c r="M918" s="544">
        <v>357.78</v>
      </c>
      <c r="N918" s="544"/>
    </row>
    <row r="919" spans="1:14" ht="60">
      <c r="A919" s="544">
        <v>59</v>
      </c>
      <c r="B919" s="710"/>
      <c r="C919" s="519" t="s">
        <v>5603</v>
      </c>
      <c r="D919" s="519" t="s">
        <v>5613</v>
      </c>
      <c r="E919" s="519" t="s">
        <v>5614</v>
      </c>
      <c r="F919" s="544"/>
      <c r="G919" s="544">
        <v>338</v>
      </c>
      <c r="H919" s="544" t="s">
        <v>5615</v>
      </c>
      <c r="I919" s="544" t="s">
        <v>4334</v>
      </c>
      <c r="J919" s="544" t="s">
        <v>5616</v>
      </c>
      <c r="K919" s="544" t="s">
        <v>5617</v>
      </c>
      <c r="L919" s="544" t="s">
        <v>5618</v>
      </c>
      <c r="M919" s="544">
        <v>325.24</v>
      </c>
      <c r="N919" s="544"/>
    </row>
    <row r="920" spans="1:14" ht="60">
      <c r="A920" s="544">
        <v>60</v>
      </c>
      <c r="B920" s="710"/>
      <c r="C920" s="519" t="s">
        <v>5603</v>
      </c>
      <c r="D920" s="519" t="s">
        <v>5619</v>
      </c>
      <c r="E920" s="519" t="s">
        <v>5620</v>
      </c>
      <c r="F920" s="544"/>
      <c r="G920" s="544">
        <v>335</v>
      </c>
      <c r="H920" s="544" t="s">
        <v>5621</v>
      </c>
      <c r="I920" s="544"/>
      <c r="J920" s="544"/>
      <c r="K920" s="544"/>
      <c r="L920" s="544"/>
      <c r="M920" s="544"/>
      <c r="N920" s="544"/>
    </row>
    <row r="921" spans="1:14" ht="150">
      <c r="A921" s="544">
        <v>61</v>
      </c>
      <c r="B921" s="710"/>
      <c r="C921" s="519" t="s">
        <v>5622</v>
      </c>
      <c r="D921" s="519" t="s">
        <v>6547</v>
      </c>
      <c r="F921" s="519" t="s">
        <v>5623</v>
      </c>
      <c r="G921" s="544" t="s">
        <v>352</v>
      </c>
      <c r="H921" s="544" t="s">
        <v>5624</v>
      </c>
      <c r="I921" s="544" t="s">
        <v>1702</v>
      </c>
      <c r="J921" s="544" t="s">
        <v>6548</v>
      </c>
      <c r="K921" s="544" t="s">
        <v>3574</v>
      </c>
      <c r="L921" s="544" t="s">
        <v>5625</v>
      </c>
      <c r="M921" s="544" t="s">
        <v>5626</v>
      </c>
      <c r="N921" s="544"/>
    </row>
    <row r="922" spans="1:14">
      <c r="A922" s="743"/>
      <c r="B922" s="743"/>
      <c r="C922" s="743"/>
      <c r="D922" s="743"/>
      <c r="E922" s="743"/>
      <c r="F922" s="743"/>
      <c r="G922" s="743"/>
      <c r="H922" s="743"/>
      <c r="I922" s="743"/>
      <c r="J922" s="743"/>
      <c r="K922" s="743"/>
      <c r="L922" s="743"/>
      <c r="M922" s="743"/>
      <c r="N922" s="743"/>
    </row>
    <row r="923" spans="1:14" ht="22.5">
      <c r="A923" s="700" t="s">
        <v>672</v>
      </c>
      <c r="B923" s="700"/>
      <c r="C923" s="700"/>
      <c r="D923" s="700"/>
      <c r="E923" s="700"/>
      <c r="F923" s="700"/>
      <c r="G923" s="700"/>
      <c r="H923" s="700"/>
      <c r="I923" s="700"/>
      <c r="J923" s="700"/>
      <c r="K923" s="700"/>
      <c r="L923" s="700"/>
      <c r="M923" s="700"/>
      <c r="N923" s="700"/>
    </row>
    <row r="924" spans="1:14" ht="20.25">
      <c r="A924" s="757" t="s">
        <v>2669</v>
      </c>
      <c r="B924" s="757"/>
      <c r="C924" s="757"/>
      <c r="D924" s="757"/>
      <c r="E924" s="757"/>
      <c r="F924" s="757"/>
      <c r="G924" s="757"/>
      <c r="H924" s="757"/>
      <c r="I924" s="757"/>
      <c r="J924" s="757"/>
      <c r="K924" s="757"/>
      <c r="L924" s="757"/>
      <c r="M924" s="757"/>
      <c r="N924" s="757"/>
    </row>
    <row r="925" spans="1:14" ht="71.25">
      <c r="A925" s="530" t="s">
        <v>0</v>
      </c>
      <c r="B925" s="19" t="s">
        <v>1616</v>
      </c>
      <c r="C925" s="530" t="s">
        <v>1676</v>
      </c>
      <c r="D925" s="18" t="s">
        <v>1677</v>
      </c>
      <c r="E925" s="18" t="s">
        <v>1678</v>
      </c>
      <c r="F925" s="19" t="s">
        <v>2670</v>
      </c>
      <c r="G925" s="19" t="s">
        <v>2671</v>
      </c>
      <c r="H925" s="19" t="s">
        <v>1679</v>
      </c>
      <c r="I925" s="19" t="s">
        <v>1680</v>
      </c>
      <c r="J925" s="19" t="s">
        <v>1681</v>
      </c>
      <c r="K925" s="19" t="s">
        <v>1682</v>
      </c>
      <c r="L925" s="19" t="s">
        <v>1683</v>
      </c>
      <c r="M925" s="19" t="s">
        <v>1684</v>
      </c>
      <c r="N925" s="19" t="s">
        <v>1685</v>
      </c>
    </row>
    <row r="926" spans="1:14">
      <c r="A926" s="530">
        <v>1</v>
      </c>
      <c r="B926" s="530">
        <v>2</v>
      </c>
      <c r="C926" s="530">
        <v>3</v>
      </c>
      <c r="D926" s="530">
        <v>4</v>
      </c>
      <c r="E926" s="530">
        <v>5</v>
      </c>
      <c r="F926" s="530">
        <v>6</v>
      </c>
      <c r="G926" s="530">
        <v>7</v>
      </c>
      <c r="H926" s="530">
        <v>8</v>
      </c>
      <c r="I926" s="19">
        <v>9</v>
      </c>
      <c r="J926" s="530">
        <v>10</v>
      </c>
      <c r="K926" s="530">
        <v>11</v>
      </c>
      <c r="L926" s="530">
        <v>12</v>
      </c>
      <c r="M926" s="530">
        <v>13</v>
      </c>
      <c r="N926" s="530">
        <v>14</v>
      </c>
    </row>
    <row r="927" spans="1:14" ht="75">
      <c r="A927" s="513">
        <v>1</v>
      </c>
      <c r="B927" s="696" t="s">
        <v>6558</v>
      </c>
      <c r="C927" s="696" t="s">
        <v>5627</v>
      </c>
      <c r="D927" s="511" t="s">
        <v>5628</v>
      </c>
      <c r="E927" s="511" t="s">
        <v>5629</v>
      </c>
      <c r="F927" s="513"/>
      <c r="G927" s="513">
        <v>801</v>
      </c>
      <c r="H927" s="513" t="s">
        <v>5630</v>
      </c>
      <c r="I927" s="513" t="s">
        <v>4334</v>
      </c>
      <c r="J927" s="513" t="s">
        <v>1742</v>
      </c>
      <c r="K927" s="513" t="s">
        <v>5069</v>
      </c>
      <c r="L927" s="513">
        <v>172444</v>
      </c>
      <c r="M927" s="545">
        <v>215.27799999999999</v>
      </c>
      <c r="N927" s="513"/>
    </row>
    <row r="928" spans="1:14" ht="75">
      <c r="A928" s="513">
        <v>2</v>
      </c>
      <c r="B928" s="696"/>
      <c r="C928" s="696"/>
      <c r="D928" s="511" t="s">
        <v>5631</v>
      </c>
      <c r="E928" s="511" t="s">
        <v>5632</v>
      </c>
      <c r="F928" s="513"/>
      <c r="G928" s="513">
        <v>807.3</v>
      </c>
      <c r="H928" s="513" t="s">
        <v>5633</v>
      </c>
      <c r="I928" s="513" t="s">
        <v>4334</v>
      </c>
      <c r="J928" s="513" t="s">
        <v>1742</v>
      </c>
      <c r="K928" s="513" t="s">
        <v>3488</v>
      </c>
      <c r="L928" s="513">
        <v>184800</v>
      </c>
      <c r="M928" s="545">
        <v>231.74676700000001</v>
      </c>
      <c r="N928" s="513"/>
    </row>
    <row r="929" spans="1:14" ht="75">
      <c r="A929" s="513">
        <v>3</v>
      </c>
      <c r="B929" s="696"/>
      <c r="C929" s="696"/>
      <c r="D929" s="511" t="s">
        <v>5634</v>
      </c>
      <c r="E929" s="511" t="s">
        <v>5635</v>
      </c>
      <c r="F929" s="513"/>
      <c r="G929" s="513">
        <v>738.38</v>
      </c>
      <c r="H929" s="513" t="s">
        <v>5636</v>
      </c>
      <c r="I929" s="513" t="s">
        <v>4334</v>
      </c>
      <c r="J929" s="513" t="s">
        <v>1742</v>
      </c>
      <c r="K929" s="513" t="s">
        <v>3488</v>
      </c>
      <c r="L929" s="513">
        <v>224000</v>
      </c>
      <c r="M929" s="545">
        <v>303.43434100000002</v>
      </c>
      <c r="N929" s="513"/>
    </row>
    <row r="930" spans="1:14" ht="75">
      <c r="A930" s="513">
        <v>4</v>
      </c>
      <c r="B930" s="696"/>
      <c r="C930" s="696"/>
      <c r="D930" s="511" t="s">
        <v>5637</v>
      </c>
      <c r="E930" s="511" t="s">
        <v>5638</v>
      </c>
      <c r="F930" s="513"/>
      <c r="G930" s="513">
        <v>580.47</v>
      </c>
      <c r="H930" s="513" t="s">
        <v>5639</v>
      </c>
      <c r="I930" s="513" t="s">
        <v>4334</v>
      </c>
      <c r="J930" s="513" t="s">
        <v>1742</v>
      </c>
      <c r="K930" s="513" t="s">
        <v>3488</v>
      </c>
      <c r="L930" s="513">
        <v>186098</v>
      </c>
      <c r="M930" s="545">
        <v>320.76422000000002</v>
      </c>
      <c r="N930" s="513"/>
    </row>
    <row r="931" spans="1:14" ht="75">
      <c r="A931" s="513">
        <v>5</v>
      </c>
      <c r="B931" s="696"/>
      <c r="C931" s="696"/>
      <c r="D931" s="511" t="s">
        <v>5640</v>
      </c>
      <c r="E931" s="511" t="s">
        <v>5641</v>
      </c>
      <c r="F931" s="513">
        <v>1400</v>
      </c>
      <c r="G931" s="513"/>
      <c r="H931" s="513" t="s">
        <v>5642</v>
      </c>
      <c r="I931" s="513" t="s">
        <v>4334</v>
      </c>
      <c r="J931" s="513" t="s">
        <v>1742</v>
      </c>
      <c r="K931" s="513" t="s">
        <v>3822</v>
      </c>
      <c r="L931" s="513">
        <v>27300</v>
      </c>
      <c r="M931" s="545">
        <v>209.89605</v>
      </c>
      <c r="N931" s="513"/>
    </row>
    <row r="932" spans="1:14" ht="75">
      <c r="A932" s="513">
        <v>6</v>
      </c>
      <c r="B932" s="696"/>
      <c r="C932" s="696"/>
      <c r="D932" s="511" t="s">
        <v>5643</v>
      </c>
      <c r="E932" s="511" t="s">
        <v>5644</v>
      </c>
      <c r="F932" s="23">
        <v>133.29</v>
      </c>
      <c r="G932" s="513"/>
      <c r="H932" s="513" t="s">
        <v>5645</v>
      </c>
      <c r="I932" s="513" t="s">
        <v>4334</v>
      </c>
      <c r="J932" s="513" t="s">
        <v>1742</v>
      </c>
      <c r="K932" s="513" t="s">
        <v>5646</v>
      </c>
      <c r="L932" s="513">
        <v>28945</v>
      </c>
      <c r="M932" s="545">
        <v>217.21550199999999</v>
      </c>
      <c r="N932" s="513"/>
    </row>
    <row r="933" spans="1:14" ht="75">
      <c r="A933" s="513">
        <v>7</v>
      </c>
      <c r="B933" s="696"/>
      <c r="C933" s="696"/>
      <c r="D933" s="511" t="s">
        <v>5647</v>
      </c>
      <c r="E933" s="511" t="s">
        <v>5648</v>
      </c>
      <c r="F933" s="513">
        <v>113.1</v>
      </c>
      <c r="G933" s="513"/>
      <c r="H933" s="513" t="s">
        <v>5649</v>
      </c>
      <c r="I933" s="513" t="s">
        <v>4334</v>
      </c>
      <c r="J933" s="513" t="s">
        <v>1742</v>
      </c>
      <c r="K933" s="513" t="s">
        <v>5650</v>
      </c>
      <c r="L933" s="513">
        <v>31579</v>
      </c>
      <c r="M933" s="545">
        <v>279.21556600000002</v>
      </c>
      <c r="N933" s="513"/>
    </row>
    <row r="934" spans="1:14" ht="75">
      <c r="A934" s="513">
        <v>8</v>
      </c>
      <c r="B934" s="696"/>
      <c r="C934" s="696"/>
      <c r="D934" s="511" t="s">
        <v>5651</v>
      </c>
      <c r="E934" s="511" t="s">
        <v>5652</v>
      </c>
      <c r="F934" s="513"/>
      <c r="G934" s="513">
        <v>138.38999999999999</v>
      </c>
      <c r="H934" s="513" t="s">
        <v>5653</v>
      </c>
      <c r="I934" s="513" t="s">
        <v>4334</v>
      </c>
      <c r="J934" s="513" t="s">
        <v>1742</v>
      </c>
      <c r="K934" s="513" t="s">
        <v>5654</v>
      </c>
      <c r="L934" s="513">
        <v>14332</v>
      </c>
      <c r="M934" s="545">
        <v>103.54871799999999</v>
      </c>
      <c r="N934" s="513"/>
    </row>
    <row r="935" spans="1:14" ht="90">
      <c r="A935" s="513">
        <v>9</v>
      </c>
      <c r="B935" s="696"/>
      <c r="C935" s="696"/>
      <c r="D935" s="511" t="s">
        <v>5655</v>
      </c>
      <c r="E935" s="511" t="s">
        <v>5656</v>
      </c>
      <c r="F935" s="513"/>
      <c r="G935" s="513">
        <v>130.11000000000001</v>
      </c>
      <c r="H935" s="513" t="s">
        <v>5657</v>
      </c>
      <c r="I935" s="513" t="s">
        <v>4334</v>
      </c>
      <c r="J935" s="513" t="s">
        <v>1742</v>
      </c>
      <c r="K935" s="513" t="s">
        <v>5658</v>
      </c>
      <c r="L935" s="513">
        <v>37678</v>
      </c>
      <c r="M935" s="545">
        <v>289.65654899999998</v>
      </c>
      <c r="N935" s="513"/>
    </row>
    <row r="936" spans="1:14" ht="75">
      <c r="A936" s="513">
        <v>10</v>
      </c>
      <c r="B936" s="696"/>
      <c r="C936" s="696"/>
      <c r="D936" s="511" t="s">
        <v>5659</v>
      </c>
      <c r="E936" s="511" t="s">
        <v>5660</v>
      </c>
      <c r="F936" s="513"/>
      <c r="G936" s="513">
        <v>128.46</v>
      </c>
      <c r="H936" s="513" t="s">
        <v>5661</v>
      </c>
      <c r="I936" s="513" t="s">
        <v>4334</v>
      </c>
      <c r="J936" s="513" t="s">
        <v>1742</v>
      </c>
      <c r="K936" s="513" t="s">
        <v>5662</v>
      </c>
      <c r="L936" s="513">
        <v>22124</v>
      </c>
      <c r="M936" s="545">
        <v>172.22239999999999</v>
      </c>
      <c r="N936" s="513"/>
    </row>
    <row r="937" spans="1:14" ht="60">
      <c r="A937" s="513">
        <v>11</v>
      </c>
      <c r="B937" s="696"/>
      <c r="C937" s="696"/>
      <c r="D937" s="511" t="s">
        <v>5663</v>
      </c>
      <c r="E937" s="511" t="s">
        <v>5664</v>
      </c>
      <c r="F937" s="513">
        <v>130.49</v>
      </c>
      <c r="G937" s="513"/>
      <c r="H937" s="513" t="s">
        <v>5665</v>
      </c>
      <c r="I937" s="513" t="s">
        <v>4334</v>
      </c>
      <c r="J937" s="513" t="s">
        <v>1742</v>
      </c>
      <c r="K937" s="513" t="s">
        <v>5666</v>
      </c>
      <c r="L937" s="513">
        <v>54106</v>
      </c>
      <c r="M937" s="545">
        <v>414.625428</v>
      </c>
      <c r="N937" s="513"/>
    </row>
    <row r="938" spans="1:14" ht="75">
      <c r="A938" s="513">
        <v>12</v>
      </c>
      <c r="B938" s="696"/>
      <c r="C938" s="696"/>
      <c r="D938" s="511" t="s">
        <v>5667</v>
      </c>
      <c r="E938" s="511" t="s">
        <v>5668</v>
      </c>
      <c r="F938" s="513"/>
      <c r="G938" s="513">
        <v>227.44</v>
      </c>
      <c r="H938" s="513" t="s">
        <v>5669</v>
      </c>
      <c r="I938" s="513" t="s">
        <v>4334</v>
      </c>
      <c r="J938" s="513" t="s">
        <v>1742</v>
      </c>
      <c r="K938" s="513" t="s">
        <v>3152</v>
      </c>
      <c r="L938" s="513">
        <v>55000</v>
      </c>
      <c r="M938" s="545">
        <v>242.18774999999999</v>
      </c>
      <c r="N938" s="513"/>
    </row>
    <row r="939" spans="1:14" ht="75">
      <c r="A939" s="513">
        <v>13</v>
      </c>
      <c r="B939" s="696"/>
      <c r="C939" s="696"/>
      <c r="D939" s="511" t="s">
        <v>5670</v>
      </c>
      <c r="E939" s="511" t="s">
        <v>5671</v>
      </c>
      <c r="F939" s="513">
        <v>141.21</v>
      </c>
      <c r="G939" s="513">
        <v>180.91</v>
      </c>
      <c r="H939" s="513" t="s">
        <v>5672</v>
      </c>
      <c r="I939" s="513" t="s">
        <v>4334</v>
      </c>
      <c r="J939" s="513" t="s">
        <v>1742</v>
      </c>
      <c r="K939" s="513" t="s">
        <v>5069</v>
      </c>
      <c r="L939" s="513">
        <v>37972</v>
      </c>
      <c r="M939" s="545">
        <v>209.89605</v>
      </c>
      <c r="N939" s="513"/>
    </row>
    <row r="940" spans="1:14" ht="75">
      <c r="A940" s="513">
        <v>14</v>
      </c>
      <c r="B940" s="696"/>
      <c r="C940" s="696"/>
      <c r="D940" s="499" t="s">
        <v>5673</v>
      </c>
      <c r="E940" s="511" t="s">
        <v>5674</v>
      </c>
      <c r="F940" s="513"/>
      <c r="G940" s="513">
        <v>274</v>
      </c>
      <c r="H940" s="513" t="s">
        <v>5675</v>
      </c>
      <c r="I940" s="513" t="s">
        <v>4334</v>
      </c>
      <c r="J940" s="513" t="s">
        <v>1742</v>
      </c>
      <c r="K940" s="513" t="s">
        <v>2792</v>
      </c>
      <c r="L940" s="513">
        <v>29212</v>
      </c>
      <c r="M940" s="513">
        <f>L940/G940</f>
        <v>106.61313868613139</v>
      </c>
      <c r="N940" s="513"/>
    </row>
    <row r="941" spans="1:14" ht="60">
      <c r="A941" s="513">
        <v>15</v>
      </c>
      <c r="B941" s="696"/>
      <c r="C941" s="696"/>
      <c r="D941" s="499" t="s">
        <v>5676</v>
      </c>
      <c r="E941" s="511" t="s">
        <v>5677</v>
      </c>
      <c r="F941" s="513"/>
      <c r="G941" s="513">
        <v>197.63</v>
      </c>
      <c r="H941" s="513" t="s">
        <v>5678</v>
      </c>
      <c r="I941" s="513" t="s">
        <v>1702</v>
      </c>
      <c r="J941" s="513" t="s">
        <v>1742</v>
      </c>
      <c r="K941" s="513" t="s">
        <v>5679</v>
      </c>
      <c r="L941" s="513">
        <v>11700</v>
      </c>
      <c r="M941" s="513">
        <f>L941/G941</f>
        <v>59.201538228001823</v>
      </c>
      <c r="N941" s="513"/>
    </row>
    <row r="942" spans="1:14" ht="75">
      <c r="A942" s="513">
        <v>16</v>
      </c>
      <c r="B942" s="696"/>
      <c r="C942" s="696" t="s">
        <v>5680</v>
      </c>
      <c r="D942" s="511" t="s">
        <v>5681</v>
      </c>
      <c r="E942" s="511" t="s">
        <v>5682</v>
      </c>
      <c r="F942" s="513">
        <v>555.9</v>
      </c>
      <c r="G942" s="513"/>
      <c r="H942" s="513" t="s">
        <v>5683</v>
      </c>
      <c r="I942" s="513" t="s">
        <v>5684</v>
      </c>
      <c r="J942" s="513" t="s">
        <v>5685</v>
      </c>
      <c r="K942" s="513" t="s">
        <v>5686</v>
      </c>
      <c r="L942" s="513" t="s">
        <v>5687</v>
      </c>
      <c r="M942" s="513">
        <v>182.98</v>
      </c>
      <c r="N942" s="513"/>
    </row>
    <row r="943" spans="1:14" ht="120">
      <c r="A943" s="513">
        <v>17</v>
      </c>
      <c r="B943" s="696"/>
      <c r="C943" s="696"/>
      <c r="D943" s="498" t="s">
        <v>5688</v>
      </c>
      <c r="E943" s="498" t="s">
        <v>5689</v>
      </c>
      <c r="F943" s="508"/>
      <c r="G943" s="508">
        <v>180.79</v>
      </c>
      <c r="H943" s="508" t="s">
        <v>5690</v>
      </c>
      <c r="I943" s="500" t="s">
        <v>5684</v>
      </c>
      <c r="J943" s="508" t="s">
        <v>5691</v>
      </c>
      <c r="K943" s="508" t="s">
        <v>5692</v>
      </c>
      <c r="L943" s="508" t="s">
        <v>5693</v>
      </c>
      <c r="M943" s="508"/>
      <c r="N943" s="500" t="s">
        <v>5694</v>
      </c>
    </row>
    <row r="944" spans="1:14" ht="75">
      <c r="A944" s="513">
        <v>18</v>
      </c>
      <c r="B944" s="696"/>
      <c r="C944" s="696"/>
      <c r="D944" s="511" t="s">
        <v>5695</v>
      </c>
      <c r="E944" s="511" t="s">
        <v>5696</v>
      </c>
      <c r="F944" s="513"/>
      <c r="G944" s="513">
        <v>166.94</v>
      </c>
      <c r="H944" s="513" t="s">
        <v>5697</v>
      </c>
      <c r="I944" s="513" t="s">
        <v>5684</v>
      </c>
      <c r="J944" s="513" t="s">
        <v>5698</v>
      </c>
      <c r="K944" s="513" t="s">
        <v>5699</v>
      </c>
      <c r="L944" s="513" t="s">
        <v>5700</v>
      </c>
      <c r="M944" s="513">
        <v>290.64</v>
      </c>
      <c r="N944" s="513"/>
    </row>
    <row r="945" spans="1:14" ht="120">
      <c r="A945" s="513">
        <v>19</v>
      </c>
      <c r="B945" s="696"/>
      <c r="C945" s="696"/>
      <c r="D945" s="498" t="s">
        <v>5701</v>
      </c>
      <c r="E945" s="498" t="s">
        <v>5702</v>
      </c>
      <c r="F945" s="508"/>
      <c r="G945" s="508">
        <v>124</v>
      </c>
      <c r="H945" s="508" t="s">
        <v>5703</v>
      </c>
      <c r="I945" s="500" t="s">
        <v>5684</v>
      </c>
      <c r="J945" s="508" t="s">
        <v>5704</v>
      </c>
      <c r="K945" s="508" t="s">
        <v>5705</v>
      </c>
      <c r="L945" s="508" t="s">
        <v>5706</v>
      </c>
      <c r="M945" s="508"/>
      <c r="N945" s="500" t="s">
        <v>5694</v>
      </c>
    </row>
    <row r="946" spans="1:14" ht="60">
      <c r="A946" s="513">
        <v>20</v>
      </c>
      <c r="B946" s="696"/>
      <c r="C946" s="696"/>
      <c r="D946" s="511" t="s">
        <v>5707</v>
      </c>
      <c r="E946" s="511" t="s">
        <v>5708</v>
      </c>
      <c r="F946" s="513">
        <v>134.9</v>
      </c>
      <c r="G946" s="513"/>
      <c r="H946" s="513" t="s">
        <v>5709</v>
      </c>
      <c r="I946" s="513" t="s">
        <v>5684</v>
      </c>
      <c r="J946" s="513" t="s">
        <v>5710</v>
      </c>
      <c r="K946" s="513" t="s">
        <v>5711</v>
      </c>
      <c r="L946" s="513" t="s">
        <v>5712</v>
      </c>
      <c r="M946" s="513">
        <v>204.52</v>
      </c>
      <c r="N946" s="513"/>
    </row>
    <row r="947" spans="1:14" ht="75">
      <c r="A947" s="513">
        <v>21</v>
      </c>
      <c r="B947" s="696"/>
      <c r="C947" s="696"/>
      <c r="D947" s="511" t="s">
        <v>5713</v>
      </c>
      <c r="E947" s="511" t="s">
        <v>5714</v>
      </c>
      <c r="F947" s="513">
        <v>565.87</v>
      </c>
      <c r="G947" s="513"/>
      <c r="H947" s="513" t="s">
        <v>5715</v>
      </c>
      <c r="I947" s="513" t="s">
        <v>5684</v>
      </c>
      <c r="J947" s="513" t="s">
        <v>5710</v>
      </c>
      <c r="K947" s="513" t="s">
        <v>5711</v>
      </c>
      <c r="L947" s="513" t="s">
        <v>5716</v>
      </c>
      <c r="M947" s="513">
        <v>247.57</v>
      </c>
      <c r="N947" s="513"/>
    </row>
    <row r="948" spans="1:14" ht="75">
      <c r="A948" s="513">
        <v>22</v>
      </c>
      <c r="B948" s="696"/>
      <c r="C948" s="696"/>
      <c r="D948" s="499" t="s">
        <v>5717</v>
      </c>
      <c r="E948" s="499" t="s">
        <v>5718</v>
      </c>
      <c r="F948" s="500">
        <v>77.52</v>
      </c>
      <c r="G948" s="513"/>
      <c r="H948" s="500" t="s">
        <v>5719</v>
      </c>
      <c r="I948" s="513" t="s">
        <v>5684</v>
      </c>
      <c r="J948" s="500" t="s">
        <v>5710</v>
      </c>
      <c r="K948" s="500" t="s">
        <v>5711</v>
      </c>
      <c r="L948" s="513" t="s">
        <v>5720</v>
      </c>
      <c r="M948" s="513">
        <v>247.56</v>
      </c>
      <c r="N948" s="513"/>
    </row>
    <row r="949" spans="1:14" ht="60">
      <c r="A949" s="513">
        <v>23</v>
      </c>
      <c r="B949" s="696"/>
      <c r="C949" s="696"/>
      <c r="D949" s="498" t="s">
        <v>5721</v>
      </c>
      <c r="E949" s="498" t="s">
        <v>5722</v>
      </c>
      <c r="F949" s="508"/>
      <c r="G949" s="508">
        <v>133</v>
      </c>
      <c r="H949" s="508" t="s">
        <v>5723</v>
      </c>
      <c r="I949" s="500" t="s">
        <v>5684</v>
      </c>
      <c r="J949" s="508" t="s">
        <v>5364</v>
      </c>
      <c r="K949" s="508" t="s">
        <v>5724</v>
      </c>
      <c r="L949" s="508" t="s">
        <v>5725</v>
      </c>
      <c r="M949" s="508">
        <v>260.95999999999998</v>
      </c>
      <c r="N949" s="539"/>
    </row>
    <row r="950" spans="1:14" ht="75">
      <c r="A950" s="513">
        <v>24</v>
      </c>
      <c r="B950" s="696"/>
      <c r="C950" s="696"/>
      <c r="D950" s="511" t="s">
        <v>5726</v>
      </c>
      <c r="E950" s="511" t="s">
        <v>5727</v>
      </c>
      <c r="F950" s="513">
        <v>111.48</v>
      </c>
      <c r="G950" s="513"/>
      <c r="H950" s="500" t="s">
        <v>5728</v>
      </c>
      <c r="I950" s="513" t="s">
        <v>5684</v>
      </c>
      <c r="J950" s="513" t="s">
        <v>5729</v>
      </c>
      <c r="K950" s="513" t="s">
        <v>5730</v>
      </c>
      <c r="L950" s="513" t="s">
        <v>2906</v>
      </c>
      <c r="M950" s="513">
        <v>269.11</v>
      </c>
      <c r="N950" s="513"/>
    </row>
    <row r="951" spans="1:14" ht="120">
      <c r="A951" s="513">
        <v>25</v>
      </c>
      <c r="B951" s="696"/>
      <c r="C951" s="696" t="s">
        <v>5680</v>
      </c>
      <c r="D951" s="499" t="s">
        <v>5731</v>
      </c>
      <c r="E951" s="499" t="s">
        <v>5732</v>
      </c>
      <c r="F951" s="500"/>
      <c r="G951" s="500">
        <v>650.32000000000005</v>
      </c>
      <c r="H951" s="500" t="s">
        <v>5733</v>
      </c>
      <c r="I951" s="500" t="s">
        <v>5684</v>
      </c>
      <c r="J951" s="500" t="s">
        <v>6560</v>
      </c>
      <c r="K951" s="500" t="s">
        <v>5734</v>
      </c>
      <c r="L951" s="500" t="s">
        <v>5735</v>
      </c>
      <c r="M951" s="500">
        <v>196.76</v>
      </c>
      <c r="N951" s="500" t="s">
        <v>5694</v>
      </c>
    </row>
    <row r="952" spans="1:14" ht="75">
      <c r="A952" s="513">
        <v>26</v>
      </c>
      <c r="B952" s="696"/>
      <c r="C952" s="696"/>
      <c r="D952" s="499" t="s">
        <v>5736</v>
      </c>
      <c r="E952" s="499" t="s">
        <v>5737</v>
      </c>
      <c r="F952" s="500"/>
      <c r="G952" s="500">
        <v>116.89</v>
      </c>
      <c r="H952" s="500" t="s">
        <v>5738</v>
      </c>
      <c r="I952" s="500" t="s">
        <v>5684</v>
      </c>
      <c r="J952" s="500" t="s">
        <v>6561</v>
      </c>
      <c r="K952" s="500" t="s">
        <v>5739</v>
      </c>
      <c r="L952" s="500" t="s">
        <v>5740</v>
      </c>
      <c r="M952" s="500">
        <v>197.16</v>
      </c>
      <c r="N952" s="500"/>
    </row>
    <row r="953" spans="1:14" ht="120">
      <c r="A953" s="513">
        <v>27</v>
      </c>
      <c r="B953" s="696"/>
      <c r="C953" s="696"/>
      <c r="D953" s="499" t="s">
        <v>5741</v>
      </c>
      <c r="E953" s="499" t="s">
        <v>5742</v>
      </c>
      <c r="F953" s="500">
        <v>118</v>
      </c>
      <c r="G953" s="500"/>
      <c r="H953" s="500" t="s">
        <v>5743</v>
      </c>
      <c r="I953" s="500" t="s">
        <v>5684</v>
      </c>
      <c r="J953" s="500" t="s">
        <v>5744</v>
      </c>
      <c r="K953" s="500" t="s">
        <v>5745</v>
      </c>
      <c r="L953" s="500" t="s">
        <v>5746</v>
      </c>
      <c r="M953" s="500">
        <v>142.37</v>
      </c>
      <c r="N953" s="500" t="s">
        <v>5694</v>
      </c>
    </row>
    <row r="954" spans="1:14" ht="120">
      <c r="A954" s="513">
        <v>28</v>
      </c>
      <c r="B954" s="696"/>
      <c r="C954" s="696"/>
      <c r="D954" s="499" t="s">
        <v>5747</v>
      </c>
      <c r="E954" s="499" t="s">
        <v>5748</v>
      </c>
      <c r="F954" s="500"/>
      <c r="G954" s="500">
        <v>167.97</v>
      </c>
      <c r="H954" s="500" t="s">
        <v>5749</v>
      </c>
      <c r="I954" s="500" t="s">
        <v>5684</v>
      </c>
      <c r="J954" s="500" t="s">
        <v>5750</v>
      </c>
      <c r="K954" s="500" t="s">
        <v>5751</v>
      </c>
      <c r="L954" s="500" t="s">
        <v>5752</v>
      </c>
      <c r="M954" s="500">
        <v>236.8</v>
      </c>
      <c r="N954" s="500" t="s">
        <v>5694</v>
      </c>
    </row>
    <row r="955" spans="1:14" ht="60">
      <c r="A955" s="513">
        <v>29</v>
      </c>
      <c r="B955" s="696"/>
      <c r="C955" s="696"/>
      <c r="D955" s="511" t="s">
        <v>5753</v>
      </c>
      <c r="E955" s="511" t="s">
        <v>5754</v>
      </c>
      <c r="F955" s="513">
        <v>656.14</v>
      </c>
      <c r="G955" s="513"/>
      <c r="H955" s="513" t="s">
        <v>5755</v>
      </c>
      <c r="I955" s="513" t="s">
        <v>5684</v>
      </c>
      <c r="J955" s="513" t="s">
        <v>5756</v>
      </c>
      <c r="K955" s="513" t="s">
        <v>5757</v>
      </c>
      <c r="L955" s="513" t="s">
        <v>5758</v>
      </c>
      <c r="M955" s="513">
        <v>269.08999999999997</v>
      </c>
      <c r="N955" s="513"/>
    </row>
    <row r="956" spans="1:14" ht="60">
      <c r="A956" s="513">
        <v>30</v>
      </c>
      <c r="B956" s="696"/>
      <c r="C956" s="696"/>
      <c r="D956" s="511" t="s">
        <v>5759</v>
      </c>
      <c r="E956" s="511" t="s">
        <v>5760</v>
      </c>
      <c r="F956" s="513">
        <v>128.25</v>
      </c>
      <c r="G956" s="513"/>
      <c r="H956" s="513" t="s">
        <v>5761</v>
      </c>
      <c r="I956" s="513" t="s">
        <v>5684</v>
      </c>
      <c r="J956" s="513" t="s">
        <v>5762</v>
      </c>
      <c r="K956" s="513" t="s">
        <v>1801</v>
      </c>
      <c r="L956" s="513" t="s">
        <v>5763</v>
      </c>
      <c r="M956" s="513">
        <v>285.25</v>
      </c>
      <c r="N956" s="513"/>
    </row>
    <row r="957" spans="1:14" ht="75">
      <c r="A957" s="513">
        <v>31</v>
      </c>
      <c r="B957" s="696"/>
      <c r="C957" s="696"/>
      <c r="D957" s="511" t="s">
        <v>5764</v>
      </c>
      <c r="E957" s="511" t="s">
        <v>5765</v>
      </c>
      <c r="F957" s="513">
        <v>132.38999999999999</v>
      </c>
      <c r="G957" s="513"/>
      <c r="H957" s="508" t="s">
        <v>5766</v>
      </c>
      <c r="I957" s="513" t="s">
        <v>5684</v>
      </c>
      <c r="J957" s="513" t="s">
        <v>5767</v>
      </c>
      <c r="K957" s="513" t="s">
        <v>4423</v>
      </c>
      <c r="L957" s="513" t="s">
        <v>5768</v>
      </c>
      <c r="M957" s="513">
        <v>236.8</v>
      </c>
      <c r="N957" s="513"/>
    </row>
    <row r="958" spans="1:14" ht="120">
      <c r="A958" s="513">
        <v>32</v>
      </c>
      <c r="B958" s="696"/>
      <c r="C958" s="696"/>
      <c r="D958" s="499" t="s">
        <v>5769</v>
      </c>
      <c r="E958" s="498" t="s">
        <v>5770</v>
      </c>
      <c r="F958" s="500"/>
      <c r="G958" s="500">
        <v>130.06</v>
      </c>
      <c r="H958" s="500" t="s">
        <v>5771</v>
      </c>
      <c r="I958" s="500" t="s">
        <v>5684</v>
      </c>
      <c r="J958" s="508" t="s">
        <v>5772</v>
      </c>
      <c r="K958" s="500" t="s">
        <v>4013</v>
      </c>
      <c r="L958" s="500" t="s">
        <v>5773</v>
      </c>
      <c r="M958" s="500">
        <v>153.06</v>
      </c>
      <c r="N958" s="500" t="s">
        <v>5694</v>
      </c>
    </row>
    <row r="959" spans="1:14" ht="75">
      <c r="A959" s="513">
        <v>33</v>
      </c>
      <c r="B959" s="696"/>
      <c r="C959" s="696"/>
      <c r="D959" s="511" t="s">
        <v>5774</v>
      </c>
      <c r="E959" s="511" t="s">
        <v>5775</v>
      </c>
      <c r="F959" s="513"/>
      <c r="G959" s="513">
        <v>160.72</v>
      </c>
      <c r="H959" s="513" t="s">
        <v>5776</v>
      </c>
      <c r="I959" s="513" t="s">
        <v>5684</v>
      </c>
      <c r="J959" s="513" t="s">
        <v>5777</v>
      </c>
      <c r="K959" s="513" t="s">
        <v>5778</v>
      </c>
      <c r="L959" s="513" t="s">
        <v>5779</v>
      </c>
      <c r="M959" s="513">
        <v>193.82</v>
      </c>
      <c r="N959" s="513"/>
    </row>
    <row r="960" spans="1:14" ht="120">
      <c r="A960" s="513">
        <v>34</v>
      </c>
      <c r="B960" s="696"/>
      <c r="C960" s="696"/>
      <c r="D960" s="511" t="s">
        <v>5780</v>
      </c>
      <c r="E960" s="511" t="s">
        <v>5781</v>
      </c>
      <c r="F960" s="513">
        <v>156.36000000000001</v>
      </c>
      <c r="G960" s="513"/>
      <c r="H960" s="513" t="s">
        <v>5782</v>
      </c>
      <c r="I960" s="513" t="s">
        <v>5684</v>
      </c>
      <c r="J960" s="513" t="s">
        <v>5783</v>
      </c>
      <c r="K960" s="513" t="s">
        <v>5784</v>
      </c>
      <c r="L960" s="513" t="s">
        <v>5785</v>
      </c>
      <c r="M960" s="513">
        <v>301.38</v>
      </c>
      <c r="N960" s="513"/>
    </row>
    <row r="961" spans="1:14" ht="60">
      <c r="A961" s="513">
        <v>35</v>
      </c>
      <c r="B961" s="696"/>
      <c r="C961" s="696"/>
      <c r="D961" s="511" t="s">
        <v>5786</v>
      </c>
      <c r="E961" s="511" t="s">
        <v>5787</v>
      </c>
      <c r="F961" s="513"/>
      <c r="G961" s="513">
        <v>118.54</v>
      </c>
      <c r="H961" s="513" t="s">
        <v>5788</v>
      </c>
      <c r="I961" s="513" t="s">
        <v>5684</v>
      </c>
      <c r="J961" s="513" t="s">
        <v>5789</v>
      </c>
      <c r="K961" s="513" t="s">
        <v>5790</v>
      </c>
      <c r="L961" s="513" t="s">
        <v>5791</v>
      </c>
      <c r="M961" s="513">
        <v>193.76</v>
      </c>
      <c r="N961" s="513"/>
    </row>
    <row r="962" spans="1:14" ht="90">
      <c r="A962" s="513">
        <v>36</v>
      </c>
      <c r="B962" s="696"/>
      <c r="C962" s="553" t="s">
        <v>5680</v>
      </c>
      <c r="D962" s="499" t="s">
        <v>6559</v>
      </c>
      <c r="E962" s="499" t="s">
        <v>5792</v>
      </c>
      <c r="F962" s="500"/>
      <c r="G962" s="500">
        <v>680.51</v>
      </c>
      <c r="H962" s="500" t="s">
        <v>5793</v>
      </c>
      <c r="I962" s="500" t="s">
        <v>5684</v>
      </c>
      <c r="J962" s="500" t="s">
        <v>5794</v>
      </c>
      <c r="K962" s="500" t="s">
        <v>5795</v>
      </c>
      <c r="L962" s="500" t="s">
        <v>5796</v>
      </c>
      <c r="M962" s="500">
        <v>211.97</v>
      </c>
      <c r="N962" s="500"/>
    </row>
    <row r="963" spans="1:14" ht="90">
      <c r="A963" s="513">
        <v>37</v>
      </c>
      <c r="B963" s="696"/>
      <c r="C963" s="553"/>
      <c r="D963" s="511" t="s">
        <v>5797</v>
      </c>
      <c r="E963" s="511" t="s">
        <v>5798</v>
      </c>
      <c r="F963" s="513"/>
      <c r="G963" s="513">
        <v>149.02000000000001</v>
      </c>
      <c r="H963" s="513" t="s">
        <v>5799</v>
      </c>
      <c r="I963" s="513" t="s">
        <v>5684</v>
      </c>
      <c r="J963" s="513" t="s">
        <v>5800</v>
      </c>
      <c r="K963" s="513" t="s">
        <v>5801</v>
      </c>
      <c r="L963" s="513" t="s">
        <v>5802</v>
      </c>
      <c r="M963" s="513">
        <v>193.77</v>
      </c>
      <c r="N963" s="513"/>
    </row>
    <row r="964" spans="1:14" ht="90">
      <c r="A964" s="513">
        <v>38</v>
      </c>
      <c r="B964" s="696"/>
      <c r="C964" s="553"/>
      <c r="D964" s="499" t="s">
        <v>5803</v>
      </c>
      <c r="E964" s="499" t="s">
        <v>5804</v>
      </c>
      <c r="F964" s="500"/>
      <c r="G964" s="513">
        <v>142.5</v>
      </c>
      <c r="H964" s="513" t="s">
        <v>5805</v>
      </c>
      <c r="I964" s="513" t="s">
        <v>5684</v>
      </c>
      <c r="J964" s="513" t="s">
        <v>5806</v>
      </c>
      <c r="K964" s="513" t="s">
        <v>5807</v>
      </c>
      <c r="L964" s="513" t="s">
        <v>5808</v>
      </c>
      <c r="M964" s="513">
        <v>196.49</v>
      </c>
      <c r="N964" s="513"/>
    </row>
    <row r="965" spans="1:14" ht="135">
      <c r="A965" s="513">
        <v>39</v>
      </c>
      <c r="B965" s="696"/>
      <c r="C965" s="511"/>
      <c r="D965" s="511" t="s">
        <v>5809</v>
      </c>
      <c r="E965" s="511" t="s">
        <v>5809</v>
      </c>
      <c r="F965" s="513">
        <v>80.73</v>
      </c>
      <c r="G965" s="513">
        <v>91.08</v>
      </c>
      <c r="H965" s="513" t="s">
        <v>5810</v>
      </c>
      <c r="I965" s="513" t="s">
        <v>1702</v>
      </c>
      <c r="J965" s="513">
        <v>2</v>
      </c>
      <c r="K965" s="513" t="s">
        <v>3695</v>
      </c>
      <c r="L965" s="513"/>
      <c r="M965" s="513" t="s">
        <v>5811</v>
      </c>
      <c r="N965" s="513" t="s">
        <v>5812</v>
      </c>
    </row>
    <row r="966" spans="1:14" ht="135">
      <c r="A966" s="513">
        <v>40</v>
      </c>
      <c r="B966" s="696"/>
      <c r="C966" s="511"/>
      <c r="D966" s="511" t="s">
        <v>5813</v>
      </c>
      <c r="E966" s="511" t="s">
        <v>5813</v>
      </c>
      <c r="F966" s="513">
        <v>105.27</v>
      </c>
      <c r="G966" s="513">
        <v>138.41999999999999</v>
      </c>
      <c r="H966" s="513" t="s">
        <v>5814</v>
      </c>
      <c r="I966" s="513" t="s">
        <v>1702</v>
      </c>
      <c r="J966" s="513" t="s">
        <v>3205</v>
      </c>
      <c r="K966" s="513" t="s">
        <v>5815</v>
      </c>
      <c r="L966" s="513"/>
      <c r="M966" s="513" t="s">
        <v>5816</v>
      </c>
      <c r="N966" s="513" t="s">
        <v>5817</v>
      </c>
    </row>
    <row r="967" spans="1:14" ht="120">
      <c r="A967" s="513">
        <v>41</v>
      </c>
      <c r="B967" s="696"/>
      <c r="C967" s="511"/>
      <c r="D967" s="511" t="s">
        <v>5818</v>
      </c>
      <c r="E967" s="511" t="s">
        <v>5818</v>
      </c>
      <c r="F967" s="513">
        <v>113.83</v>
      </c>
      <c r="G967" s="513">
        <v>120.17</v>
      </c>
      <c r="H967" s="513" t="s">
        <v>5819</v>
      </c>
      <c r="I967" s="513" t="s">
        <v>1702</v>
      </c>
      <c r="J967" s="513" t="s">
        <v>1742</v>
      </c>
      <c r="K967" s="513" t="s">
        <v>2752</v>
      </c>
      <c r="L967" s="513"/>
      <c r="M967" s="513" t="s">
        <v>5820</v>
      </c>
      <c r="N967" s="513" t="s">
        <v>5821</v>
      </c>
    </row>
    <row r="968" spans="1:14" ht="120">
      <c r="A968" s="513">
        <v>42</v>
      </c>
      <c r="B968" s="696"/>
      <c r="C968" s="511"/>
      <c r="D968" s="511" t="s">
        <v>5822</v>
      </c>
      <c r="E968" s="511" t="s">
        <v>5822</v>
      </c>
      <c r="F968" s="513">
        <v>120.815</v>
      </c>
      <c r="G968" s="513">
        <v>152.4</v>
      </c>
      <c r="H968" s="513" t="s">
        <v>5823</v>
      </c>
      <c r="I968" s="513" t="s">
        <v>1702</v>
      </c>
      <c r="J968" s="513" t="s">
        <v>1737</v>
      </c>
      <c r="K968" s="513" t="s">
        <v>5449</v>
      </c>
      <c r="L968" s="513"/>
      <c r="M968" s="513" t="s">
        <v>5824</v>
      </c>
      <c r="N968" s="513"/>
    </row>
    <row r="969" spans="1:14" ht="120">
      <c r="A969" s="513">
        <v>43</v>
      </c>
      <c r="B969" s="696"/>
      <c r="C969" s="511"/>
      <c r="D969" s="511" t="s">
        <v>5825</v>
      </c>
      <c r="E969" s="511" t="s">
        <v>5825</v>
      </c>
      <c r="F969" s="513">
        <v>136.85</v>
      </c>
      <c r="G969" s="513">
        <v>145.49</v>
      </c>
      <c r="H969" s="513" t="s">
        <v>5826</v>
      </c>
      <c r="I969" s="513" t="s">
        <v>1702</v>
      </c>
      <c r="J969" s="513" t="s">
        <v>1737</v>
      </c>
      <c r="K969" s="513" t="s">
        <v>4098</v>
      </c>
      <c r="L969" s="513"/>
      <c r="M969" s="513" t="s">
        <v>5827</v>
      </c>
      <c r="N969" s="513"/>
    </row>
    <row r="970" spans="1:14" ht="120">
      <c r="A970" s="513">
        <v>44</v>
      </c>
      <c r="B970" s="696"/>
      <c r="C970" s="511"/>
      <c r="D970" s="511" t="s">
        <v>5828</v>
      </c>
      <c r="E970" s="511" t="s">
        <v>5828</v>
      </c>
      <c r="F970" s="513">
        <v>923.9</v>
      </c>
      <c r="G970" s="513">
        <v>1207.22</v>
      </c>
      <c r="H970" s="513" t="s">
        <v>5829</v>
      </c>
      <c r="I970" s="513" t="s">
        <v>1702</v>
      </c>
      <c r="J970" s="513" t="s">
        <v>1737</v>
      </c>
      <c r="K970" s="513" t="s">
        <v>2967</v>
      </c>
      <c r="L970" s="513"/>
      <c r="M970" s="513" t="s">
        <v>5830</v>
      </c>
      <c r="N970" s="513" t="s">
        <v>5831</v>
      </c>
    </row>
    <row r="971" spans="1:14" ht="103.5" customHeight="1">
      <c r="A971" s="513">
        <v>45</v>
      </c>
      <c r="B971" s="696"/>
      <c r="C971" s="511"/>
      <c r="D971" s="511" t="s">
        <v>5832</v>
      </c>
      <c r="E971" s="511" t="s">
        <v>5832</v>
      </c>
      <c r="F971" s="513"/>
      <c r="G971" s="513">
        <v>96.03</v>
      </c>
      <c r="H971" s="513" t="s">
        <v>5833</v>
      </c>
      <c r="I971" s="513" t="s">
        <v>1702</v>
      </c>
      <c r="J971" s="513" t="s">
        <v>5834</v>
      </c>
      <c r="K971" s="513" t="s">
        <v>5835</v>
      </c>
      <c r="L971" s="513"/>
      <c r="M971" s="513" t="s">
        <v>5836</v>
      </c>
      <c r="N971" s="513" t="s">
        <v>5837</v>
      </c>
    </row>
    <row r="972" spans="1:14" ht="120">
      <c r="A972" s="513">
        <v>46</v>
      </c>
      <c r="B972" s="696"/>
      <c r="C972" s="511"/>
      <c r="D972" s="511" t="s">
        <v>5838</v>
      </c>
      <c r="E972" s="511" t="s">
        <v>5838</v>
      </c>
      <c r="F972" s="513"/>
      <c r="G972" s="513">
        <v>139.77000000000001</v>
      </c>
      <c r="H972" s="513" t="s">
        <v>5839</v>
      </c>
      <c r="I972" s="513" t="s">
        <v>1702</v>
      </c>
      <c r="J972" s="513" t="s">
        <v>1703</v>
      </c>
      <c r="K972" s="513" t="s">
        <v>5840</v>
      </c>
      <c r="L972" s="513"/>
      <c r="M972" s="513" t="s">
        <v>5841</v>
      </c>
      <c r="N972" s="513" t="s">
        <v>5812</v>
      </c>
    </row>
    <row r="973" spans="1:14" ht="120">
      <c r="A973" s="513">
        <v>47</v>
      </c>
      <c r="B973" s="696"/>
      <c r="C973" s="511"/>
      <c r="D973" s="511" t="s">
        <v>5842</v>
      </c>
      <c r="E973" s="511" t="s">
        <v>5842</v>
      </c>
      <c r="F973" s="513">
        <v>139.35</v>
      </c>
      <c r="G973" s="513">
        <v>156.96</v>
      </c>
      <c r="H973" s="513" t="s">
        <v>5843</v>
      </c>
      <c r="I973" s="513" t="s">
        <v>1702</v>
      </c>
      <c r="J973" s="513" t="s">
        <v>1737</v>
      </c>
      <c r="K973" s="513" t="s">
        <v>5844</v>
      </c>
      <c r="L973" s="513"/>
      <c r="M973" s="513" t="s">
        <v>5845</v>
      </c>
      <c r="N973" s="513"/>
    </row>
    <row r="974" spans="1:14" ht="120">
      <c r="A974" s="513">
        <v>48</v>
      </c>
      <c r="B974" s="696"/>
      <c r="C974" s="511"/>
      <c r="D974" s="511" t="s">
        <v>5846</v>
      </c>
      <c r="E974" s="511" t="s">
        <v>5846</v>
      </c>
      <c r="F974" s="513">
        <v>142.21</v>
      </c>
      <c r="G974" s="513">
        <v>147.82</v>
      </c>
      <c r="H974" s="513" t="s">
        <v>5847</v>
      </c>
      <c r="I974" s="513" t="s">
        <v>1702</v>
      </c>
      <c r="J974" s="513" t="s">
        <v>1742</v>
      </c>
      <c r="K974" s="513" t="s">
        <v>5848</v>
      </c>
      <c r="L974" s="513"/>
      <c r="M974" s="513" t="s">
        <v>5849</v>
      </c>
      <c r="N974" s="513" t="s">
        <v>5850</v>
      </c>
    </row>
    <row r="975" spans="1:14" ht="135">
      <c r="A975" s="513">
        <v>49</v>
      </c>
      <c r="B975" s="696"/>
      <c r="C975" s="511"/>
      <c r="D975" s="511" t="s">
        <v>5851</v>
      </c>
      <c r="E975" s="511" t="s">
        <v>5851</v>
      </c>
      <c r="F975" s="513">
        <v>108.05</v>
      </c>
      <c r="G975" s="513"/>
      <c r="H975" s="513" t="s">
        <v>5852</v>
      </c>
      <c r="I975" s="513" t="s">
        <v>1702</v>
      </c>
      <c r="J975" s="513" t="s">
        <v>1737</v>
      </c>
      <c r="K975" s="513" t="s">
        <v>5853</v>
      </c>
      <c r="L975" s="513"/>
      <c r="M975" s="513" t="s">
        <v>5854</v>
      </c>
      <c r="N975" s="513"/>
    </row>
    <row r="976" spans="1:14" ht="120">
      <c r="A976" s="513">
        <v>50</v>
      </c>
      <c r="B976" s="696"/>
      <c r="C976" s="511"/>
      <c r="D976" s="511" t="s">
        <v>5855</v>
      </c>
      <c r="E976" s="511" t="s">
        <v>5855</v>
      </c>
      <c r="F976" s="513">
        <v>105.59</v>
      </c>
      <c r="G976" s="513">
        <v>117.47</v>
      </c>
      <c r="H976" s="513" t="s">
        <v>5856</v>
      </c>
      <c r="I976" s="513" t="s">
        <v>1702</v>
      </c>
      <c r="J976" s="513" t="s">
        <v>1737</v>
      </c>
      <c r="K976" s="513" t="s">
        <v>5857</v>
      </c>
      <c r="L976" s="513"/>
      <c r="M976" s="513" t="s">
        <v>5858</v>
      </c>
      <c r="N976" s="513" t="s">
        <v>430</v>
      </c>
    </row>
    <row r="977" spans="1:14" ht="75">
      <c r="A977" s="513">
        <v>51</v>
      </c>
      <c r="B977" s="696"/>
      <c r="C977" s="511" t="s">
        <v>5859</v>
      </c>
      <c r="D977" s="511" t="s">
        <v>5860</v>
      </c>
      <c r="E977" s="511" t="s">
        <v>5860</v>
      </c>
      <c r="F977" s="513">
        <v>5000</v>
      </c>
      <c r="G977" s="513">
        <v>5540</v>
      </c>
      <c r="H977" s="513" t="s">
        <v>5861</v>
      </c>
      <c r="I977" s="513" t="s">
        <v>5862</v>
      </c>
      <c r="J977" s="513" t="s">
        <v>1737</v>
      </c>
      <c r="K977" s="513" t="s">
        <v>5863</v>
      </c>
      <c r="L977" s="513">
        <v>156043</v>
      </c>
      <c r="M977" s="513"/>
      <c r="N977" s="513"/>
    </row>
    <row r="978" spans="1:14" ht="120">
      <c r="A978" s="513">
        <v>52</v>
      </c>
      <c r="B978" s="696"/>
      <c r="C978" s="511" t="s">
        <v>5859</v>
      </c>
      <c r="D978" s="511" t="s">
        <v>5864</v>
      </c>
      <c r="E978" s="511" t="s">
        <v>5865</v>
      </c>
      <c r="F978" s="513" t="s">
        <v>5866</v>
      </c>
      <c r="G978" s="513" t="s">
        <v>5867</v>
      </c>
      <c r="H978" s="513" t="s">
        <v>5868</v>
      </c>
      <c r="I978" s="513" t="s">
        <v>5869</v>
      </c>
      <c r="J978" s="513" t="s">
        <v>5870</v>
      </c>
      <c r="K978" s="513" t="s">
        <v>5871</v>
      </c>
      <c r="L978" s="513" t="s">
        <v>5872</v>
      </c>
      <c r="M978" s="513" t="s">
        <v>5873</v>
      </c>
      <c r="N978" s="513" t="s">
        <v>430</v>
      </c>
    </row>
    <row r="979" spans="1:14" ht="90">
      <c r="A979" s="513">
        <v>53</v>
      </c>
      <c r="B979" s="696"/>
      <c r="C979" s="694" t="s">
        <v>1424</v>
      </c>
      <c r="D979" s="511" t="s">
        <v>6563</v>
      </c>
      <c r="E979" s="511" t="s">
        <v>5874</v>
      </c>
      <c r="F979" s="513" t="s">
        <v>5875</v>
      </c>
      <c r="G979" s="513" t="s">
        <v>5876</v>
      </c>
      <c r="H979" s="513" t="s">
        <v>3209</v>
      </c>
      <c r="I979" s="513" t="s">
        <v>3827</v>
      </c>
      <c r="J979" s="513" t="s">
        <v>5291</v>
      </c>
      <c r="K979" s="513" t="s">
        <v>5877</v>
      </c>
      <c r="L979" s="543">
        <v>429494</v>
      </c>
      <c r="M979" s="513">
        <v>253</v>
      </c>
      <c r="N979" s="513" t="s">
        <v>5878</v>
      </c>
    </row>
    <row r="980" spans="1:14" ht="60">
      <c r="A980" s="513">
        <v>54</v>
      </c>
      <c r="B980" s="696"/>
      <c r="C980" s="694"/>
      <c r="D980" s="511" t="s">
        <v>5879</v>
      </c>
      <c r="E980" s="511" t="s">
        <v>5880</v>
      </c>
      <c r="F980" s="513"/>
      <c r="G980" s="513">
        <v>515.86</v>
      </c>
      <c r="H980" s="542">
        <v>42736</v>
      </c>
      <c r="I980" s="513" t="s">
        <v>1702</v>
      </c>
      <c r="J980" s="513" t="s">
        <v>1737</v>
      </c>
      <c r="K980" s="542">
        <v>43831</v>
      </c>
      <c r="L980" s="513">
        <v>28300</v>
      </c>
      <c r="M980" s="513">
        <v>54.85</v>
      </c>
      <c r="N980" s="513"/>
    </row>
    <row r="981" spans="1:14" ht="45">
      <c r="A981" s="513">
        <v>55</v>
      </c>
      <c r="B981" s="696"/>
      <c r="C981" s="694"/>
      <c r="D981" s="511" t="s">
        <v>5881</v>
      </c>
      <c r="E981" s="511" t="s">
        <v>5882</v>
      </c>
      <c r="F981" s="513"/>
      <c r="G981" s="513">
        <v>247.53</v>
      </c>
      <c r="H981" s="542">
        <v>36434</v>
      </c>
      <c r="I981" s="513" t="s">
        <v>1702</v>
      </c>
      <c r="J981" s="513" t="s">
        <v>1737</v>
      </c>
      <c r="K981" s="542">
        <v>43810</v>
      </c>
      <c r="L981" s="513">
        <v>11616</v>
      </c>
      <c r="M981" s="513">
        <v>46.92</v>
      </c>
      <c r="N981" s="513"/>
    </row>
    <row r="982" spans="1:14" ht="60">
      <c r="A982" s="513">
        <v>56</v>
      </c>
      <c r="B982" s="696"/>
      <c r="C982" s="694"/>
      <c r="D982" s="511" t="s">
        <v>5883</v>
      </c>
      <c r="E982" s="511" t="s">
        <v>5884</v>
      </c>
      <c r="F982" s="513"/>
      <c r="G982" s="513"/>
      <c r="H982" s="513"/>
      <c r="I982" s="513"/>
      <c r="J982" s="513"/>
      <c r="K982" s="513"/>
      <c r="L982" s="513">
        <v>1909</v>
      </c>
      <c r="M982" s="513"/>
      <c r="N982" s="513" t="s">
        <v>5885</v>
      </c>
    </row>
    <row r="983" spans="1:14" ht="60">
      <c r="A983" s="513">
        <v>57</v>
      </c>
      <c r="B983" s="696"/>
      <c r="C983" s="694"/>
      <c r="D983" s="511" t="s">
        <v>5886</v>
      </c>
      <c r="E983" s="511" t="s">
        <v>5887</v>
      </c>
      <c r="F983" s="513">
        <v>157.61000000000001</v>
      </c>
      <c r="G983" s="545">
        <v>209.1</v>
      </c>
      <c r="H983" s="542">
        <v>40243</v>
      </c>
      <c r="I983" s="513" t="s">
        <v>1702</v>
      </c>
      <c r="J983" s="513" t="s">
        <v>1742</v>
      </c>
      <c r="K983" s="542"/>
      <c r="L983" s="513">
        <v>11900</v>
      </c>
      <c r="M983" s="513">
        <v>56.91</v>
      </c>
      <c r="N983" s="513"/>
    </row>
    <row r="984" spans="1:14" ht="60">
      <c r="A984" s="513">
        <v>58</v>
      </c>
      <c r="B984" s="696"/>
      <c r="C984" s="694"/>
      <c r="D984" s="511" t="s">
        <v>5888</v>
      </c>
      <c r="E984" s="511" t="s">
        <v>5889</v>
      </c>
      <c r="F984" s="513">
        <v>150.02000000000001</v>
      </c>
      <c r="G984" s="513">
        <v>170.36</v>
      </c>
      <c r="H984" s="513" t="s">
        <v>5890</v>
      </c>
      <c r="I984" s="513" t="s">
        <v>6562</v>
      </c>
      <c r="J984" s="513" t="s">
        <v>5891</v>
      </c>
      <c r="K984" s="513" t="s">
        <v>1755</v>
      </c>
      <c r="L984" s="513" t="s">
        <v>5892</v>
      </c>
      <c r="M984" s="513" t="s">
        <v>5893</v>
      </c>
      <c r="N984" s="513"/>
    </row>
    <row r="985" spans="1:14" ht="120">
      <c r="A985" s="513">
        <v>59</v>
      </c>
      <c r="B985" s="696"/>
      <c r="C985" s="694"/>
      <c r="D985" s="511" t="s">
        <v>5894</v>
      </c>
      <c r="E985" s="511" t="s">
        <v>5895</v>
      </c>
      <c r="F985" s="513">
        <v>93.53</v>
      </c>
      <c r="G985" s="513">
        <v>161.62</v>
      </c>
      <c r="H985" s="513" t="s">
        <v>5896</v>
      </c>
      <c r="I985" s="513" t="s">
        <v>5897</v>
      </c>
      <c r="J985" s="513" t="s">
        <v>5898</v>
      </c>
      <c r="K985" s="542">
        <v>44287</v>
      </c>
      <c r="L985" s="513" t="s">
        <v>5899</v>
      </c>
      <c r="M985" s="513" t="s">
        <v>35</v>
      </c>
      <c r="N985" s="513" t="s">
        <v>35</v>
      </c>
    </row>
    <row r="986" spans="1:14" ht="135">
      <c r="A986" s="513">
        <v>60</v>
      </c>
      <c r="B986" s="696"/>
      <c r="C986" s="694"/>
      <c r="D986" s="511" t="s">
        <v>5900</v>
      </c>
      <c r="E986" s="511" t="s">
        <v>5901</v>
      </c>
      <c r="F986" s="545">
        <v>88.96</v>
      </c>
      <c r="G986" s="545">
        <v>88.96</v>
      </c>
      <c r="H986" s="513" t="s">
        <v>5902</v>
      </c>
      <c r="I986" s="513" t="s">
        <v>6562</v>
      </c>
      <c r="J986" s="513" t="s">
        <v>5903</v>
      </c>
      <c r="K986" s="513" t="s">
        <v>5904</v>
      </c>
      <c r="L986" s="513" t="s">
        <v>5905</v>
      </c>
      <c r="M986" s="513"/>
      <c r="N986" s="513"/>
    </row>
    <row r="987" spans="1:14" ht="90">
      <c r="A987" s="513">
        <v>61</v>
      </c>
      <c r="B987" s="696"/>
      <c r="C987" s="694"/>
      <c r="D987" s="511" t="s">
        <v>5906</v>
      </c>
      <c r="E987" s="511" t="s">
        <v>5907</v>
      </c>
      <c r="F987" s="513">
        <v>153</v>
      </c>
      <c r="G987" s="513">
        <v>165.55</v>
      </c>
      <c r="H987" s="513" t="s">
        <v>5908</v>
      </c>
      <c r="I987" s="513" t="s">
        <v>1702</v>
      </c>
      <c r="J987" s="513" t="s">
        <v>1737</v>
      </c>
      <c r="K987" s="513" t="s">
        <v>1914</v>
      </c>
      <c r="L987" s="543">
        <v>25600</v>
      </c>
      <c r="M987" s="513" t="s">
        <v>5909</v>
      </c>
      <c r="N987" s="513"/>
    </row>
    <row r="988" spans="1:14" ht="60">
      <c r="A988" s="513">
        <v>62</v>
      </c>
      <c r="B988" s="696"/>
      <c r="C988" s="694"/>
      <c r="D988" s="511" t="s">
        <v>5910</v>
      </c>
      <c r="E988" s="511" t="s">
        <v>5911</v>
      </c>
      <c r="F988" s="513"/>
      <c r="G988" s="513">
        <v>171.76</v>
      </c>
      <c r="H988" s="513" t="s">
        <v>5912</v>
      </c>
      <c r="I988" s="513" t="s">
        <v>1702</v>
      </c>
      <c r="J988" s="513" t="s">
        <v>1737</v>
      </c>
      <c r="K988" s="513" t="s">
        <v>5913</v>
      </c>
      <c r="L988" s="543">
        <v>24352</v>
      </c>
      <c r="M988" s="513" t="s">
        <v>5914</v>
      </c>
      <c r="N988" s="513"/>
    </row>
    <row r="989" spans="1:14" ht="60">
      <c r="A989" s="513">
        <v>63</v>
      </c>
      <c r="B989" s="696"/>
      <c r="C989" s="694"/>
      <c r="D989" s="511" t="s">
        <v>5915</v>
      </c>
      <c r="E989" s="511" t="s">
        <v>5916</v>
      </c>
      <c r="F989" s="513" t="s">
        <v>5917</v>
      </c>
      <c r="G989" s="513" t="s">
        <v>5918</v>
      </c>
      <c r="H989" s="513" t="s">
        <v>5919</v>
      </c>
      <c r="I989" s="513" t="s">
        <v>5920</v>
      </c>
      <c r="J989" s="513" t="s">
        <v>1714</v>
      </c>
      <c r="K989" s="513" t="s">
        <v>3990</v>
      </c>
      <c r="L989" s="513" t="s">
        <v>5921</v>
      </c>
      <c r="M989" s="513" t="s">
        <v>5922</v>
      </c>
      <c r="N989" s="513"/>
    </row>
    <row r="990" spans="1:14" ht="45">
      <c r="A990" s="513">
        <v>64</v>
      </c>
      <c r="B990" s="696"/>
      <c r="C990" s="694"/>
      <c r="D990" s="511" t="s">
        <v>5923</v>
      </c>
      <c r="E990" s="511" t="s">
        <v>5924</v>
      </c>
      <c r="F990" s="513" t="s">
        <v>5925</v>
      </c>
      <c r="G990" s="513" t="s">
        <v>5926</v>
      </c>
      <c r="H990" s="513" t="s">
        <v>5927</v>
      </c>
      <c r="I990" s="513" t="s">
        <v>5920</v>
      </c>
      <c r="J990" s="513" t="s">
        <v>1703</v>
      </c>
      <c r="K990" s="513" t="s">
        <v>5928</v>
      </c>
      <c r="L990" s="513" t="s">
        <v>5929</v>
      </c>
      <c r="M990" s="513" t="s">
        <v>5930</v>
      </c>
      <c r="N990" s="513"/>
    </row>
    <row r="991" spans="1:14">
      <c r="A991" s="319"/>
      <c r="B991" s="319"/>
      <c r="C991" s="319"/>
      <c r="D991" s="319"/>
      <c r="E991" s="319"/>
      <c r="F991" s="319"/>
      <c r="G991" s="319"/>
      <c r="H991" s="319"/>
      <c r="I991" s="319"/>
      <c r="J991" s="319"/>
      <c r="K991" s="319"/>
      <c r="L991" s="319"/>
      <c r="M991" s="319"/>
      <c r="N991" s="319"/>
    </row>
    <row r="992" spans="1:14" ht="22.5">
      <c r="A992" s="700" t="s">
        <v>2675</v>
      </c>
      <c r="B992" s="700"/>
      <c r="C992" s="700"/>
      <c r="D992" s="700"/>
      <c r="E992" s="700"/>
      <c r="F992" s="700"/>
      <c r="G992" s="700"/>
      <c r="H992" s="700"/>
      <c r="I992" s="700"/>
      <c r="J992" s="700"/>
      <c r="K992" s="700"/>
      <c r="L992" s="700"/>
      <c r="M992" s="700"/>
      <c r="N992" s="700"/>
    </row>
    <row r="993" spans="1:14" ht="20.25">
      <c r="A993" s="757" t="s">
        <v>2669</v>
      </c>
      <c r="B993" s="757"/>
      <c r="C993" s="757"/>
      <c r="D993" s="757"/>
      <c r="E993" s="757"/>
      <c r="F993" s="757"/>
      <c r="G993" s="757"/>
      <c r="H993" s="757"/>
      <c r="I993" s="757"/>
      <c r="J993" s="757"/>
      <c r="K993" s="757"/>
      <c r="L993" s="757"/>
      <c r="M993" s="757"/>
      <c r="N993" s="757"/>
    </row>
    <row r="994" spans="1:14" ht="71.25">
      <c r="A994" s="530" t="s">
        <v>0</v>
      </c>
      <c r="B994" s="19" t="s">
        <v>1616</v>
      </c>
      <c r="C994" s="530" t="s">
        <v>1676</v>
      </c>
      <c r="D994" s="18" t="s">
        <v>1677</v>
      </c>
      <c r="E994" s="18" t="s">
        <v>1678</v>
      </c>
      <c r="F994" s="19" t="s">
        <v>2670</v>
      </c>
      <c r="G994" s="19" t="s">
        <v>2671</v>
      </c>
      <c r="H994" s="19" t="s">
        <v>1679</v>
      </c>
      <c r="I994" s="19" t="s">
        <v>1680</v>
      </c>
      <c r="J994" s="19" t="s">
        <v>1681</v>
      </c>
      <c r="K994" s="19" t="s">
        <v>1682</v>
      </c>
      <c r="L994" s="19" t="s">
        <v>1683</v>
      </c>
      <c r="M994" s="19" t="s">
        <v>1684</v>
      </c>
      <c r="N994" s="19" t="s">
        <v>1685</v>
      </c>
    </row>
    <row r="995" spans="1:14">
      <c r="A995" s="530">
        <v>1</v>
      </c>
      <c r="B995" s="530">
        <v>2</v>
      </c>
      <c r="C995" s="530">
        <v>3</v>
      </c>
      <c r="D995" s="530">
        <v>4</v>
      </c>
      <c r="E995" s="530">
        <v>5</v>
      </c>
      <c r="F995" s="530">
        <v>6</v>
      </c>
      <c r="G995" s="530">
        <v>7</v>
      </c>
      <c r="H995" s="530">
        <v>8</v>
      </c>
      <c r="I995" s="19">
        <v>9</v>
      </c>
      <c r="J995" s="530">
        <v>10</v>
      </c>
      <c r="K995" s="530">
        <v>11</v>
      </c>
      <c r="L995" s="530">
        <v>12</v>
      </c>
      <c r="M995" s="530">
        <v>13</v>
      </c>
      <c r="N995" s="530">
        <v>14</v>
      </c>
    </row>
    <row r="996" spans="1:14">
      <c r="A996" s="513">
        <v>1</v>
      </c>
      <c r="B996" s="696" t="s">
        <v>2598</v>
      </c>
      <c r="C996" s="511" t="s">
        <v>5934</v>
      </c>
      <c r="D996" s="694" t="s">
        <v>87</v>
      </c>
      <c r="E996" s="694"/>
      <c r="F996" s="694"/>
      <c r="G996" s="694"/>
      <c r="H996" s="694"/>
      <c r="I996" s="694"/>
      <c r="J996" s="694"/>
      <c r="K996" s="694"/>
      <c r="L996" s="694"/>
      <c r="M996" s="694"/>
      <c r="N996" s="694"/>
    </row>
    <row r="997" spans="1:14" ht="75">
      <c r="A997" s="513">
        <v>2</v>
      </c>
      <c r="B997" s="696"/>
      <c r="C997" s="511" t="s">
        <v>1505</v>
      </c>
      <c r="D997" s="511" t="s">
        <v>2338</v>
      </c>
      <c r="E997" s="511" t="s">
        <v>1512</v>
      </c>
      <c r="F997" s="518">
        <v>784</v>
      </c>
      <c r="G997" s="518">
        <v>784</v>
      </c>
      <c r="H997" s="513" t="s">
        <v>5935</v>
      </c>
      <c r="I997" s="513" t="s">
        <v>1702</v>
      </c>
      <c r="J997" s="513" t="s">
        <v>1783</v>
      </c>
      <c r="K997" s="513" t="s">
        <v>5931</v>
      </c>
      <c r="L997" s="513" t="s">
        <v>5932</v>
      </c>
      <c r="M997" s="513" t="s">
        <v>5933</v>
      </c>
      <c r="N997" s="513" t="s">
        <v>1516</v>
      </c>
    </row>
    <row r="998" spans="1:14" ht="60">
      <c r="A998" s="513">
        <v>3</v>
      </c>
      <c r="B998" s="696"/>
      <c r="C998" s="696" t="s">
        <v>2662</v>
      </c>
      <c r="D998" s="511" t="s">
        <v>5936</v>
      </c>
      <c r="E998" s="511" t="s">
        <v>6565</v>
      </c>
      <c r="F998" s="513" t="s">
        <v>389</v>
      </c>
      <c r="G998" s="513">
        <v>710</v>
      </c>
      <c r="H998" s="513" t="s">
        <v>3715</v>
      </c>
      <c r="I998" s="513" t="s">
        <v>389</v>
      </c>
      <c r="J998" s="513" t="s">
        <v>5937</v>
      </c>
      <c r="K998" s="513" t="s">
        <v>1899</v>
      </c>
      <c r="L998" s="513" t="s">
        <v>5938</v>
      </c>
      <c r="M998" s="513" t="s">
        <v>389</v>
      </c>
      <c r="N998" s="513" t="s">
        <v>389</v>
      </c>
    </row>
    <row r="999" spans="1:14" ht="90">
      <c r="A999" s="513">
        <v>4</v>
      </c>
      <c r="B999" s="696"/>
      <c r="C999" s="696"/>
      <c r="D999" s="511" t="s">
        <v>5939</v>
      </c>
      <c r="E999" s="511" t="s">
        <v>6566</v>
      </c>
      <c r="F999" s="513" t="s">
        <v>389</v>
      </c>
      <c r="G999" s="513">
        <v>221.39</v>
      </c>
      <c r="H999" s="513" t="s">
        <v>5940</v>
      </c>
      <c r="I999" s="513" t="s">
        <v>389</v>
      </c>
      <c r="J999" s="513" t="s">
        <v>5941</v>
      </c>
      <c r="K999" s="513" t="s">
        <v>3760</v>
      </c>
      <c r="L999" s="513" t="s">
        <v>5942</v>
      </c>
      <c r="M999" s="513" t="s">
        <v>389</v>
      </c>
      <c r="N999" s="513" t="s">
        <v>389</v>
      </c>
    </row>
    <row r="1000" spans="1:14" ht="60">
      <c r="A1000" s="513">
        <v>5</v>
      </c>
      <c r="B1000" s="696"/>
      <c r="C1000" s="696"/>
      <c r="D1000" s="511" t="s">
        <v>5943</v>
      </c>
      <c r="E1000" s="511" t="s">
        <v>6567</v>
      </c>
      <c r="F1000" s="513" t="s">
        <v>389</v>
      </c>
      <c r="G1000" s="513">
        <v>116</v>
      </c>
      <c r="H1000" s="513" t="s">
        <v>3770</v>
      </c>
      <c r="I1000" s="513" t="s">
        <v>389</v>
      </c>
      <c r="J1000" s="513" t="s">
        <v>5944</v>
      </c>
      <c r="K1000" s="513" t="s">
        <v>3148</v>
      </c>
      <c r="L1000" s="513" t="s">
        <v>5945</v>
      </c>
      <c r="M1000" s="513" t="s">
        <v>389</v>
      </c>
      <c r="N1000" s="513" t="s">
        <v>389</v>
      </c>
    </row>
    <row r="1001" spans="1:14" ht="45">
      <c r="A1001" s="513">
        <v>6</v>
      </c>
      <c r="B1001" s="696"/>
      <c r="C1001" s="696"/>
      <c r="D1001" s="511" t="s">
        <v>7141</v>
      </c>
      <c r="E1001" s="511" t="s">
        <v>6568</v>
      </c>
      <c r="F1001" s="513" t="s">
        <v>389</v>
      </c>
      <c r="G1001" s="513">
        <v>329.49</v>
      </c>
      <c r="H1001" s="513" t="s">
        <v>5946</v>
      </c>
      <c r="I1001" s="513" t="s">
        <v>389</v>
      </c>
      <c r="J1001" s="513" t="s">
        <v>5947</v>
      </c>
      <c r="K1001" s="513" t="s">
        <v>5948</v>
      </c>
      <c r="L1001" s="513" t="s">
        <v>5949</v>
      </c>
      <c r="M1001" s="513" t="s">
        <v>389</v>
      </c>
      <c r="N1001" s="513" t="s">
        <v>389</v>
      </c>
    </row>
    <row r="1002" spans="1:14" ht="45">
      <c r="A1002" s="513">
        <v>7</v>
      </c>
      <c r="B1002" s="696"/>
      <c r="C1002" s="696" t="s">
        <v>2350</v>
      </c>
      <c r="D1002" s="511" t="s">
        <v>5950</v>
      </c>
      <c r="E1002" s="511" t="s">
        <v>5951</v>
      </c>
      <c r="F1002" s="513">
        <v>651.25</v>
      </c>
      <c r="G1002" s="513">
        <v>869.75</v>
      </c>
      <c r="H1002" s="513" t="s">
        <v>2792</v>
      </c>
      <c r="I1002" s="513" t="s">
        <v>1702</v>
      </c>
      <c r="J1002" s="513" t="s">
        <v>5952</v>
      </c>
      <c r="K1002" s="513" t="s">
        <v>2910</v>
      </c>
      <c r="L1002" s="513" t="s">
        <v>5953</v>
      </c>
      <c r="M1002" s="513" t="s">
        <v>5954</v>
      </c>
      <c r="N1002" s="513" t="s">
        <v>35</v>
      </c>
    </row>
    <row r="1003" spans="1:14" ht="45">
      <c r="A1003" s="513">
        <v>8</v>
      </c>
      <c r="B1003" s="696"/>
      <c r="C1003" s="696"/>
      <c r="D1003" s="511" t="s">
        <v>5950</v>
      </c>
      <c r="E1003" s="511" t="s">
        <v>5955</v>
      </c>
      <c r="F1003" s="513">
        <v>635.54999999999995</v>
      </c>
      <c r="G1003" s="513">
        <v>848.8</v>
      </c>
      <c r="H1003" s="513" t="s">
        <v>5956</v>
      </c>
      <c r="I1003" s="513" t="s">
        <v>1702</v>
      </c>
      <c r="J1003" s="513" t="s">
        <v>6573</v>
      </c>
      <c r="K1003" s="513" t="s">
        <v>4139</v>
      </c>
      <c r="L1003" s="513" t="s">
        <v>5957</v>
      </c>
      <c r="M1003" s="513" t="s">
        <v>5958</v>
      </c>
      <c r="N1003" s="513" t="s">
        <v>35</v>
      </c>
    </row>
    <row r="1004" spans="1:14" ht="30">
      <c r="A1004" s="513">
        <v>9</v>
      </c>
      <c r="B1004" s="696"/>
      <c r="C1004" s="696"/>
      <c r="D1004" s="511" t="s">
        <v>5959</v>
      </c>
      <c r="E1004" s="511" t="s">
        <v>5960</v>
      </c>
      <c r="F1004" s="513">
        <v>742.25</v>
      </c>
      <c r="G1004" s="513">
        <v>991.28</v>
      </c>
      <c r="H1004" s="513" t="s">
        <v>5961</v>
      </c>
      <c r="I1004" s="513" t="s">
        <v>1702</v>
      </c>
      <c r="J1004" s="513" t="s">
        <v>6572</v>
      </c>
      <c r="K1004" s="513" t="s">
        <v>4139</v>
      </c>
      <c r="L1004" s="513" t="s">
        <v>5962</v>
      </c>
      <c r="M1004" s="513" t="s">
        <v>5963</v>
      </c>
      <c r="N1004" s="513" t="s">
        <v>35</v>
      </c>
    </row>
    <row r="1005" spans="1:14" ht="45">
      <c r="A1005" s="513">
        <v>10</v>
      </c>
      <c r="B1005" s="696"/>
      <c r="C1005" s="696"/>
      <c r="D1005" s="511" t="s">
        <v>5964</v>
      </c>
      <c r="E1005" s="511" t="s">
        <v>5965</v>
      </c>
      <c r="F1005" s="513">
        <v>385.78</v>
      </c>
      <c r="G1005" s="513">
        <v>515.20000000000005</v>
      </c>
      <c r="H1005" s="513" t="s">
        <v>5966</v>
      </c>
      <c r="I1005" s="513" t="s">
        <v>1702</v>
      </c>
      <c r="J1005" s="513" t="s">
        <v>6571</v>
      </c>
      <c r="K1005" s="513" t="s">
        <v>4139</v>
      </c>
      <c r="L1005" s="513" t="s">
        <v>5967</v>
      </c>
      <c r="M1005" s="513" t="s">
        <v>5968</v>
      </c>
      <c r="N1005" s="513" t="s">
        <v>35</v>
      </c>
    </row>
    <row r="1006" spans="1:14" ht="60">
      <c r="A1006" s="513">
        <v>11</v>
      </c>
      <c r="B1006" s="696"/>
      <c r="C1006" s="696"/>
      <c r="D1006" s="511" t="s">
        <v>5969</v>
      </c>
      <c r="E1006" s="511" t="s">
        <v>5970</v>
      </c>
      <c r="F1006" s="513">
        <v>825</v>
      </c>
      <c r="G1006" s="513">
        <v>1101.8</v>
      </c>
      <c r="H1006" s="513" t="s">
        <v>5971</v>
      </c>
      <c r="I1006" s="513" t="s">
        <v>1702</v>
      </c>
      <c r="J1006" s="513" t="s">
        <v>5972</v>
      </c>
      <c r="K1006" s="513" t="s">
        <v>5973</v>
      </c>
      <c r="L1006" s="513" t="s">
        <v>5974</v>
      </c>
      <c r="M1006" s="513" t="s">
        <v>5975</v>
      </c>
      <c r="N1006" s="513" t="s">
        <v>35</v>
      </c>
    </row>
    <row r="1007" spans="1:14" ht="60">
      <c r="A1007" s="513">
        <v>12</v>
      </c>
      <c r="B1007" s="696"/>
      <c r="C1007" s="696"/>
      <c r="D1007" s="511" t="s">
        <v>5976</v>
      </c>
      <c r="E1007" s="511" t="s">
        <v>5977</v>
      </c>
      <c r="F1007" s="513">
        <v>399.15</v>
      </c>
      <c r="G1007" s="513">
        <v>533</v>
      </c>
      <c r="H1007" s="513" t="s">
        <v>3615</v>
      </c>
      <c r="I1007" s="513" t="s">
        <v>1702</v>
      </c>
      <c r="J1007" s="513" t="s">
        <v>6570</v>
      </c>
      <c r="K1007" s="513" t="s">
        <v>2910</v>
      </c>
      <c r="L1007" s="543">
        <v>133920</v>
      </c>
      <c r="M1007" s="513" t="s">
        <v>5978</v>
      </c>
      <c r="N1007" s="513" t="s">
        <v>35</v>
      </c>
    </row>
    <row r="1008" spans="1:14" ht="45">
      <c r="A1008" s="513">
        <v>13</v>
      </c>
      <c r="B1008" s="696"/>
      <c r="C1008" s="696"/>
      <c r="D1008" s="511" t="s">
        <v>5979</v>
      </c>
      <c r="E1008" s="511" t="s">
        <v>6564</v>
      </c>
      <c r="F1008" s="513" t="s">
        <v>5980</v>
      </c>
      <c r="G1008" s="513" t="s">
        <v>35</v>
      </c>
      <c r="H1008" s="513">
        <v>1996</v>
      </c>
      <c r="I1008" s="513" t="s">
        <v>1702</v>
      </c>
      <c r="J1008" s="513" t="s">
        <v>35</v>
      </c>
      <c r="K1008" s="513" t="s">
        <v>35</v>
      </c>
      <c r="L1008" s="513" t="s">
        <v>35</v>
      </c>
      <c r="M1008" s="513" t="s">
        <v>35</v>
      </c>
      <c r="N1008" s="513" t="s">
        <v>35</v>
      </c>
    </row>
    <row r="1009" spans="1:14">
      <c r="A1009" s="513">
        <v>14</v>
      </c>
      <c r="B1009" s="696"/>
      <c r="C1009" s="511" t="s">
        <v>5981</v>
      </c>
      <c r="D1009" s="694" t="s">
        <v>87</v>
      </c>
      <c r="E1009" s="694"/>
      <c r="F1009" s="694"/>
      <c r="G1009" s="694"/>
      <c r="H1009" s="694"/>
      <c r="I1009" s="694"/>
      <c r="J1009" s="694"/>
      <c r="K1009" s="694"/>
      <c r="L1009" s="694"/>
      <c r="M1009" s="694"/>
      <c r="N1009" s="694"/>
    </row>
    <row r="1010" spans="1:14">
      <c r="A1010" s="513">
        <v>15</v>
      </c>
      <c r="B1010" s="696"/>
      <c r="C1010" s="511" t="s">
        <v>5982</v>
      </c>
      <c r="D1010" s="694" t="s">
        <v>87</v>
      </c>
      <c r="E1010" s="694"/>
      <c r="F1010" s="694"/>
      <c r="G1010" s="694"/>
      <c r="H1010" s="694"/>
      <c r="I1010" s="694"/>
      <c r="J1010" s="694"/>
      <c r="K1010" s="694"/>
      <c r="L1010" s="694"/>
      <c r="M1010" s="694"/>
      <c r="N1010" s="694"/>
    </row>
    <row r="1011" spans="1:14">
      <c r="A1011" s="513">
        <v>16</v>
      </c>
      <c r="B1011" s="696"/>
      <c r="C1011" s="511" t="s">
        <v>5983</v>
      </c>
      <c r="D1011" s="694" t="s">
        <v>87</v>
      </c>
      <c r="E1011" s="694"/>
      <c r="F1011" s="694"/>
      <c r="G1011" s="694"/>
      <c r="H1011" s="694"/>
      <c r="I1011" s="694"/>
      <c r="J1011" s="694"/>
      <c r="K1011" s="694"/>
      <c r="L1011" s="694"/>
      <c r="M1011" s="694"/>
      <c r="N1011" s="694"/>
    </row>
    <row r="1012" spans="1:14" ht="105">
      <c r="A1012" s="513">
        <v>17</v>
      </c>
      <c r="B1012" s="696"/>
      <c r="C1012" s="511" t="s">
        <v>2516</v>
      </c>
      <c r="D1012" s="511" t="s">
        <v>5984</v>
      </c>
      <c r="E1012" s="511" t="s">
        <v>5985</v>
      </c>
      <c r="F1012" s="513" t="s">
        <v>6569</v>
      </c>
      <c r="G1012" s="513">
        <v>824.21</v>
      </c>
      <c r="H1012" s="513" t="s">
        <v>2875</v>
      </c>
      <c r="I1012" s="513" t="s">
        <v>5986</v>
      </c>
      <c r="J1012" s="513" t="s">
        <v>1925</v>
      </c>
      <c r="K1012" s="513" t="s">
        <v>2910</v>
      </c>
      <c r="L1012" s="513" t="s">
        <v>5987</v>
      </c>
      <c r="M1012" s="513">
        <v>541.79999999999995</v>
      </c>
      <c r="N1012" s="513"/>
    </row>
    <row r="1013" spans="1:14">
      <c r="A1013" s="743"/>
      <c r="B1013" s="743"/>
      <c r="C1013" s="743"/>
      <c r="D1013" s="743"/>
      <c r="E1013" s="743"/>
      <c r="F1013" s="743"/>
      <c r="G1013" s="743"/>
      <c r="H1013" s="743"/>
      <c r="I1013" s="743"/>
      <c r="J1013" s="743"/>
      <c r="K1013" s="743"/>
      <c r="L1013" s="743"/>
      <c r="M1013" s="743"/>
      <c r="N1013" s="743"/>
    </row>
    <row r="1014" spans="1:14" ht="22.5">
      <c r="A1014" s="700" t="s">
        <v>674</v>
      </c>
      <c r="B1014" s="700"/>
      <c r="C1014" s="700"/>
      <c r="D1014" s="700"/>
      <c r="E1014" s="700"/>
      <c r="F1014" s="700"/>
      <c r="G1014" s="700"/>
      <c r="H1014" s="700"/>
      <c r="I1014" s="700"/>
      <c r="J1014" s="700"/>
      <c r="K1014" s="700"/>
      <c r="L1014" s="700"/>
      <c r="M1014" s="700"/>
      <c r="N1014" s="700"/>
    </row>
    <row r="1015" spans="1:14" ht="20.25">
      <c r="A1015" s="757" t="s">
        <v>2669</v>
      </c>
      <c r="B1015" s="757"/>
      <c r="C1015" s="757"/>
      <c r="D1015" s="757"/>
      <c r="E1015" s="757"/>
      <c r="F1015" s="757"/>
      <c r="G1015" s="757"/>
      <c r="H1015" s="757"/>
      <c r="I1015" s="757"/>
      <c r="J1015" s="757"/>
      <c r="K1015" s="757"/>
      <c r="L1015" s="757"/>
      <c r="M1015" s="757"/>
      <c r="N1015" s="757"/>
    </row>
    <row r="1016" spans="1:14" ht="71.25">
      <c r="A1016" s="530" t="s">
        <v>0</v>
      </c>
      <c r="B1016" s="19" t="s">
        <v>1616</v>
      </c>
      <c r="C1016" s="530" t="s">
        <v>1676</v>
      </c>
      <c r="D1016" s="18" t="s">
        <v>1677</v>
      </c>
      <c r="E1016" s="18" t="s">
        <v>1678</v>
      </c>
      <c r="F1016" s="19" t="s">
        <v>2670</v>
      </c>
      <c r="G1016" s="19" t="s">
        <v>2671</v>
      </c>
      <c r="H1016" s="19" t="s">
        <v>1679</v>
      </c>
      <c r="I1016" s="19" t="s">
        <v>1680</v>
      </c>
      <c r="J1016" s="19" t="s">
        <v>1681</v>
      </c>
      <c r="K1016" s="19" t="s">
        <v>1682</v>
      </c>
      <c r="L1016" s="19" t="s">
        <v>1683</v>
      </c>
      <c r="M1016" s="19" t="s">
        <v>1684</v>
      </c>
      <c r="N1016" s="19" t="s">
        <v>1685</v>
      </c>
    </row>
    <row r="1017" spans="1:14">
      <c r="A1017" s="530">
        <v>1</v>
      </c>
      <c r="B1017" s="530">
        <v>2</v>
      </c>
      <c r="C1017" s="530">
        <v>3</v>
      </c>
      <c r="D1017" s="530">
        <v>4</v>
      </c>
      <c r="E1017" s="530">
        <v>5</v>
      </c>
      <c r="F1017" s="530">
        <v>6</v>
      </c>
      <c r="G1017" s="530">
        <v>7</v>
      </c>
      <c r="H1017" s="530">
        <v>8</v>
      </c>
      <c r="I1017" s="19">
        <v>9</v>
      </c>
      <c r="J1017" s="530">
        <v>10</v>
      </c>
      <c r="K1017" s="530">
        <v>11</v>
      </c>
      <c r="L1017" s="530">
        <v>12</v>
      </c>
      <c r="M1017" s="530">
        <v>13</v>
      </c>
      <c r="N1017" s="530">
        <v>14</v>
      </c>
    </row>
    <row r="1018" spans="1:14" ht="105">
      <c r="A1018" s="539">
        <v>1</v>
      </c>
      <c r="B1018" s="706" t="s">
        <v>2664</v>
      </c>
      <c r="C1018" s="706" t="s">
        <v>1528</v>
      </c>
      <c r="D1018" s="515" t="s">
        <v>5988</v>
      </c>
      <c r="E1018" s="515" t="s">
        <v>5989</v>
      </c>
      <c r="F1018" s="539">
        <v>62.8</v>
      </c>
      <c r="G1018" s="539">
        <v>89.73</v>
      </c>
      <c r="H1018" s="539" t="s">
        <v>5990</v>
      </c>
      <c r="I1018" s="539" t="s">
        <v>5991</v>
      </c>
      <c r="J1018" s="539" t="s">
        <v>1737</v>
      </c>
      <c r="K1018" s="539" t="s">
        <v>1876</v>
      </c>
      <c r="L1018" s="539">
        <v>14355</v>
      </c>
      <c r="M1018" s="539">
        <v>159.97</v>
      </c>
      <c r="N1018" s="54" t="s">
        <v>87</v>
      </c>
    </row>
    <row r="1019" spans="1:14" ht="105">
      <c r="A1019" s="539">
        <v>2</v>
      </c>
      <c r="B1019" s="706"/>
      <c r="C1019" s="706"/>
      <c r="D1019" s="515" t="s">
        <v>5992</v>
      </c>
      <c r="E1019" s="515" t="s">
        <v>5993</v>
      </c>
      <c r="F1019" s="539">
        <v>68.2</v>
      </c>
      <c r="G1019" s="539">
        <v>97.52</v>
      </c>
      <c r="H1019" s="539" t="s">
        <v>5990</v>
      </c>
      <c r="I1019" s="539" t="s">
        <v>5991</v>
      </c>
      <c r="J1019" s="539" t="s">
        <v>1737</v>
      </c>
      <c r="K1019" s="539" t="s">
        <v>1876</v>
      </c>
      <c r="L1019" s="539">
        <v>12000</v>
      </c>
      <c r="M1019" s="539">
        <f>ROUND(12000/G1019,0)</f>
        <v>123</v>
      </c>
      <c r="N1019" s="54" t="s">
        <v>87</v>
      </c>
    </row>
    <row r="1020" spans="1:14" ht="270">
      <c r="A1020" s="539">
        <v>3</v>
      </c>
      <c r="B1020" s="706"/>
      <c r="C1020" s="706"/>
      <c r="D1020" s="515" t="s">
        <v>5994</v>
      </c>
      <c r="E1020" s="515" t="s">
        <v>5995</v>
      </c>
      <c r="F1020" s="539">
        <v>96.2</v>
      </c>
      <c r="G1020" s="539">
        <v>154.44999999999999</v>
      </c>
      <c r="H1020" s="539" t="s">
        <v>4656</v>
      </c>
      <c r="I1020" s="539" t="s">
        <v>5991</v>
      </c>
      <c r="J1020" s="539" t="s">
        <v>1737</v>
      </c>
      <c r="K1020" s="539" t="s">
        <v>5320</v>
      </c>
      <c r="L1020" s="539">
        <v>17881</v>
      </c>
      <c r="M1020" s="539">
        <f>ROUND(17881/154.45,0)</f>
        <v>116</v>
      </c>
      <c r="N1020" s="29" t="s">
        <v>5996</v>
      </c>
    </row>
    <row r="1021" spans="1:14" ht="150">
      <c r="A1021" s="539">
        <v>4</v>
      </c>
      <c r="B1021" s="706"/>
      <c r="C1021" s="706"/>
      <c r="D1021" s="534" t="s">
        <v>5997</v>
      </c>
      <c r="E1021" s="534" t="s">
        <v>5998</v>
      </c>
      <c r="F1021" s="534" t="s">
        <v>5999</v>
      </c>
      <c r="G1021" s="534" t="s">
        <v>6000</v>
      </c>
      <c r="H1021" s="534" t="s">
        <v>6001</v>
      </c>
      <c r="I1021" s="539" t="s">
        <v>6002</v>
      </c>
      <c r="J1021" s="534" t="s">
        <v>6003</v>
      </c>
      <c r="K1021" s="534" t="s">
        <v>6004</v>
      </c>
      <c r="L1021" s="236" t="s">
        <v>6005</v>
      </c>
      <c r="M1021" s="534" t="s">
        <v>6006</v>
      </c>
      <c r="N1021" s="534" t="s">
        <v>6007</v>
      </c>
    </row>
    <row r="1022" spans="1:14" ht="150">
      <c r="A1022" s="539">
        <v>5</v>
      </c>
      <c r="B1022" s="706"/>
      <c r="C1022" s="706"/>
      <c r="D1022" s="515" t="s">
        <v>6008</v>
      </c>
      <c r="E1022" s="515" t="s">
        <v>6009</v>
      </c>
      <c r="F1022" s="539">
        <v>973.8</v>
      </c>
      <c r="G1022" s="539">
        <v>1180.6099999999999</v>
      </c>
      <c r="H1022" s="539" t="s">
        <v>6010</v>
      </c>
      <c r="I1022" s="539" t="s">
        <v>6002</v>
      </c>
      <c r="J1022" s="539" t="s">
        <v>4589</v>
      </c>
      <c r="K1022" s="539">
        <v>43678</v>
      </c>
      <c r="L1022" s="539" t="s">
        <v>6011</v>
      </c>
      <c r="M1022" s="539" t="s">
        <v>6012</v>
      </c>
      <c r="N1022" s="539" t="s">
        <v>6013</v>
      </c>
    </row>
    <row r="1023" spans="1:14" ht="120">
      <c r="A1023" s="539">
        <v>6</v>
      </c>
      <c r="B1023" s="706"/>
      <c r="C1023" s="706" t="s">
        <v>1528</v>
      </c>
      <c r="D1023" s="515" t="s">
        <v>6014</v>
      </c>
      <c r="E1023" s="515" t="s">
        <v>6015</v>
      </c>
      <c r="F1023" s="539" t="s">
        <v>6016</v>
      </c>
      <c r="G1023" s="539">
        <v>411.21</v>
      </c>
      <c r="H1023" s="539" t="s">
        <v>6017</v>
      </c>
      <c r="I1023" s="539" t="s">
        <v>5991</v>
      </c>
      <c r="J1023" s="539" t="s">
        <v>6018</v>
      </c>
      <c r="K1023" s="539" t="s">
        <v>3164</v>
      </c>
      <c r="L1023" s="539">
        <v>120000</v>
      </c>
      <c r="M1023" s="539">
        <v>286.42</v>
      </c>
      <c r="N1023" s="54" t="s">
        <v>87</v>
      </c>
    </row>
    <row r="1024" spans="1:14" ht="105">
      <c r="A1024" s="539">
        <v>7</v>
      </c>
      <c r="B1024" s="706"/>
      <c r="C1024" s="706"/>
      <c r="D1024" s="515" t="s">
        <v>6019</v>
      </c>
      <c r="E1024" s="515" t="s">
        <v>6020</v>
      </c>
      <c r="F1024" s="539" t="s">
        <v>6021</v>
      </c>
      <c r="G1024" s="539" t="s">
        <v>6022</v>
      </c>
      <c r="H1024" s="539" t="s">
        <v>6023</v>
      </c>
      <c r="I1024" s="539" t="s">
        <v>1702</v>
      </c>
      <c r="J1024" s="539" t="s">
        <v>1742</v>
      </c>
      <c r="K1024" s="539" t="s">
        <v>3164</v>
      </c>
      <c r="L1024" s="539">
        <v>61500</v>
      </c>
      <c r="M1024" s="539">
        <v>145.59</v>
      </c>
      <c r="N1024" s="54" t="s">
        <v>87</v>
      </c>
    </row>
    <row r="1025" spans="1:14" ht="60">
      <c r="A1025" s="539">
        <v>8</v>
      </c>
      <c r="B1025" s="706"/>
      <c r="C1025" s="706"/>
      <c r="D1025" s="515" t="s">
        <v>6024</v>
      </c>
      <c r="E1025" s="515" t="s">
        <v>6025</v>
      </c>
      <c r="F1025" s="539" t="s">
        <v>6026</v>
      </c>
      <c r="G1025" s="539" t="s">
        <v>6027</v>
      </c>
      <c r="H1025" s="539" t="s">
        <v>6028</v>
      </c>
      <c r="I1025" s="539" t="s">
        <v>5991</v>
      </c>
      <c r="J1025" s="539" t="s">
        <v>1737</v>
      </c>
      <c r="K1025" s="539" t="s">
        <v>6029</v>
      </c>
      <c r="L1025" s="539">
        <v>63300</v>
      </c>
      <c r="M1025" s="539">
        <v>136.37</v>
      </c>
      <c r="N1025" s="539" t="s">
        <v>87</v>
      </c>
    </row>
    <row r="1026" spans="1:14" ht="90">
      <c r="A1026" s="539">
        <v>9</v>
      </c>
      <c r="B1026" s="706"/>
      <c r="C1026" s="706"/>
      <c r="D1026" s="515" t="s">
        <v>6030</v>
      </c>
      <c r="E1026" s="515" t="s">
        <v>6031</v>
      </c>
      <c r="F1026" s="539" t="s">
        <v>6032</v>
      </c>
      <c r="G1026" s="539" t="s">
        <v>6033</v>
      </c>
      <c r="H1026" s="539" t="s">
        <v>2923</v>
      </c>
      <c r="I1026" s="539" t="s">
        <v>5991</v>
      </c>
      <c r="J1026" s="539" t="s">
        <v>1742</v>
      </c>
      <c r="K1026" s="539" t="s">
        <v>3822</v>
      </c>
      <c r="L1026" s="539">
        <v>12324</v>
      </c>
      <c r="M1026" s="539">
        <v>116.78</v>
      </c>
      <c r="N1026" s="539" t="s">
        <v>87</v>
      </c>
    </row>
    <row r="1027" spans="1:14" ht="30">
      <c r="A1027" s="539">
        <v>10</v>
      </c>
      <c r="B1027" s="706"/>
      <c r="C1027" s="706"/>
      <c r="D1027" s="515" t="s">
        <v>6034</v>
      </c>
      <c r="E1027" s="726" t="s">
        <v>7142</v>
      </c>
      <c r="F1027" s="726"/>
      <c r="G1027" s="726"/>
      <c r="H1027" s="726"/>
      <c r="I1027" s="726"/>
      <c r="J1027" s="726"/>
      <c r="K1027" s="726"/>
      <c r="L1027" s="726"/>
      <c r="M1027" s="726"/>
      <c r="N1027" s="726"/>
    </row>
    <row r="1028" spans="1:14" ht="150">
      <c r="A1028" s="539">
        <v>11</v>
      </c>
      <c r="B1028" s="706"/>
      <c r="C1028" s="706"/>
      <c r="D1028" s="515" t="s">
        <v>6035</v>
      </c>
      <c r="E1028" s="515" t="s">
        <v>6036</v>
      </c>
      <c r="F1028" s="539" t="s">
        <v>35</v>
      </c>
      <c r="G1028" s="539" t="s">
        <v>6037</v>
      </c>
      <c r="H1028" s="539" t="s">
        <v>6038</v>
      </c>
      <c r="I1028" s="539" t="s">
        <v>3827</v>
      </c>
      <c r="J1028" s="539" t="s">
        <v>3874</v>
      </c>
      <c r="K1028" s="539" t="s">
        <v>2996</v>
      </c>
      <c r="L1028" s="539" t="s">
        <v>6039</v>
      </c>
      <c r="M1028" s="539" t="s">
        <v>6040</v>
      </c>
      <c r="N1028" s="539" t="s">
        <v>302</v>
      </c>
    </row>
    <row r="1029" spans="1:14" ht="150">
      <c r="A1029" s="539">
        <v>12</v>
      </c>
      <c r="B1029" s="706"/>
      <c r="C1029" s="706" t="s">
        <v>1528</v>
      </c>
      <c r="D1029" s="515" t="s">
        <v>6041</v>
      </c>
      <c r="E1029" s="515" t="s">
        <v>6042</v>
      </c>
      <c r="F1029" s="539" t="s">
        <v>6043</v>
      </c>
      <c r="G1029" s="539" t="s">
        <v>6044</v>
      </c>
      <c r="H1029" s="539" t="s">
        <v>6045</v>
      </c>
      <c r="I1029" s="539" t="s">
        <v>6046</v>
      </c>
      <c r="J1029" s="539" t="s">
        <v>6047</v>
      </c>
      <c r="K1029" s="539" t="s">
        <v>6048</v>
      </c>
      <c r="L1029" s="539" t="s">
        <v>6049</v>
      </c>
      <c r="M1029" s="508" t="s">
        <v>6050</v>
      </c>
      <c r="N1029" s="539" t="s">
        <v>302</v>
      </c>
    </row>
    <row r="1030" spans="1:14" ht="150">
      <c r="A1030" s="539">
        <v>13</v>
      </c>
      <c r="B1030" s="706"/>
      <c r="C1030" s="706"/>
      <c r="D1030" s="515" t="s">
        <v>6051</v>
      </c>
      <c r="E1030" s="515" t="s">
        <v>6052</v>
      </c>
      <c r="F1030" s="539" t="s">
        <v>6053</v>
      </c>
      <c r="G1030" s="539" t="s">
        <v>6054</v>
      </c>
      <c r="H1030" s="539" t="s">
        <v>6055</v>
      </c>
      <c r="I1030" s="539" t="s">
        <v>6046</v>
      </c>
      <c r="J1030" s="539" t="s">
        <v>4295</v>
      </c>
      <c r="K1030" s="539" t="s">
        <v>3475</v>
      </c>
      <c r="L1030" s="539" t="s">
        <v>6056</v>
      </c>
      <c r="M1030" s="539" t="s">
        <v>6057</v>
      </c>
      <c r="N1030" s="539" t="s">
        <v>302</v>
      </c>
    </row>
    <row r="1031" spans="1:14" ht="150">
      <c r="A1031" s="539">
        <v>14</v>
      </c>
      <c r="B1031" s="706"/>
      <c r="C1031" s="706"/>
      <c r="D1031" s="515" t="s">
        <v>6058</v>
      </c>
      <c r="E1031" s="515" t="s">
        <v>6059</v>
      </c>
      <c r="F1031" s="539" t="s">
        <v>6060</v>
      </c>
      <c r="G1031" s="539" t="s">
        <v>6061</v>
      </c>
      <c r="H1031" s="539" t="s">
        <v>6062</v>
      </c>
      <c r="I1031" s="539" t="s">
        <v>6046</v>
      </c>
      <c r="J1031" s="539" t="s">
        <v>5364</v>
      </c>
      <c r="K1031" s="539" t="s">
        <v>1883</v>
      </c>
      <c r="L1031" s="539" t="s">
        <v>6063</v>
      </c>
      <c r="M1031" s="539" t="s">
        <v>6064</v>
      </c>
      <c r="N1031" s="539" t="s">
        <v>302</v>
      </c>
    </row>
    <row r="1032" spans="1:14" ht="150">
      <c r="A1032" s="539">
        <v>15</v>
      </c>
      <c r="B1032" s="706"/>
      <c r="C1032" s="706"/>
      <c r="D1032" s="515" t="s">
        <v>6065</v>
      </c>
      <c r="E1032" s="515" t="s">
        <v>6066</v>
      </c>
      <c r="F1032" s="539" t="s">
        <v>6067</v>
      </c>
      <c r="G1032" s="539" t="s">
        <v>6068</v>
      </c>
      <c r="H1032" s="539" t="s">
        <v>6069</v>
      </c>
      <c r="I1032" s="539" t="s">
        <v>6046</v>
      </c>
      <c r="J1032" s="539" t="s">
        <v>4265</v>
      </c>
      <c r="K1032" s="539" t="s">
        <v>1911</v>
      </c>
      <c r="L1032" s="539" t="s">
        <v>6070</v>
      </c>
      <c r="M1032" s="539" t="s">
        <v>6071</v>
      </c>
      <c r="N1032" s="539" t="s">
        <v>302</v>
      </c>
    </row>
    <row r="1033" spans="1:14" ht="60">
      <c r="A1033" s="726">
        <v>16</v>
      </c>
      <c r="B1033" s="706"/>
      <c r="C1033" s="553" t="s">
        <v>6072</v>
      </c>
      <c r="D1033" s="499" t="s">
        <v>6073</v>
      </c>
      <c r="E1033" s="553" t="s">
        <v>6074</v>
      </c>
      <c r="F1033" s="595" t="s">
        <v>6075</v>
      </c>
      <c r="G1033" s="595" t="s">
        <v>6076</v>
      </c>
      <c r="H1033" s="595" t="s">
        <v>6077</v>
      </c>
      <c r="I1033" s="595" t="s">
        <v>6078</v>
      </c>
      <c r="J1033" s="595" t="s">
        <v>1703</v>
      </c>
      <c r="K1033" s="595" t="s">
        <v>3209</v>
      </c>
      <c r="L1033" s="595" t="s">
        <v>6079</v>
      </c>
      <c r="M1033" s="595" t="s">
        <v>6080</v>
      </c>
      <c r="N1033" s="595" t="s">
        <v>6081</v>
      </c>
    </row>
    <row r="1034" spans="1:14" ht="30">
      <c r="A1034" s="726"/>
      <c r="B1034" s="706"/>
      <c r="C1034" s="553"/>
      <c r="D1034" s="499" t="s">
        <v>6082</v>
      </c>
      <c r="E1034" s="553"/>
      <c r="F1034" s="595"/>
      <c r="G1034" s="595"/>
      <c r="H1034" s="595"/>
      <c r="I1034" s="595"/>
      <c r="J1034" s="595"/>
      <c r="K1034" s="595"/>
      <c r="L1034" s="595"/>
      <c r="M1034" s="595"/>
      <c r="N1034" s="595"/>
    </row>
    <row r="1035" spans="1:14" ht="30">
      <c r="A1035" s="726"/>
      <c r="B1035" s="706"/>
      <c r="C1035" s="553"/>
      <c r="D1035" s="499" t="s">
        <v>6083</v>
      </c>
      <c r="E1035" s="553"/>
      <c r="F1035" s="595"/>
      <c r="G1035" s="595"/>
      <c r="H1035" s="595"/>
      <c r="I1035" s="595"/>
      <c r="J1035" s="595"/>
      <c r="K1035" s="595"/>
      <c r="L1035" s="595"/>
      <c r="M1035" s="595"/>
      <c r="N1035" s="595"/>
    </row>
    <row r="1036" spans="1:14" ht="30">
      <c r="A1036" s="539">
        <v>17</v>
      </c>
      <c r="B1036" s="706"/>
      <c r="C1036" s="553"/>
      <c r="D1036" s="499" t="s">
        <v>6084</v>
      </c>
      <c r="E1036" s="499" t="s">
        <v>6085</v>
      </c>
      <c r="F1036" s="500">
        <v>920</v>
      </c>
      <c r="G1036" s="500">
        <v>1610</v>
      </c>
      <c r="H1036" s="500" t="s">
        <v>6086</v>
      </c>
      <c r="I1036" s="500" t="s">
        <v>1702</v>
      </c>
      <c r="J1036" s="500">
        <v>5</v>
      </c>
      <c r="K1036" s="500" t="s">
        <v>2766</v>
      </c>
      <c r="L1036" s="500" t="s">
        <v>6087</v>
      </c>
      <c r="M1036" s="500">
        <v>16.309999999999999</v>
      </c>
      <c r="N1036" s="500" t="s">
        <v>193</v>
      </c>
    </row>
    <row r="1037" spans="1:14" ht="45">
      <c r="A1037" s="539">
        <v>18</v>
      </c>
      <c r="B1037" s="706"/>
      <c r="C1037" s="553" t="s">
        <v>6072</v>
      </c>
      <c r="D1037" s="499" t="s">
        <v>6088</v>
      </c>
      <c r="E1037" s="499" t="s">
        <v>6089</v>
      </c>
      <c r="F1037" s="500">
        <v>1400</v>
      </c>
      <c r="G1037" s="500">
        <v>2690</v>
      </c>
      <c r="H1037" s="500" t="s">
        <v>6090</v>
      </c>
      <c r="I1037" s="500" t="s">
        <v>1702</v>
      </c>
      <c r="J1037" s="500">
        <v>3</v>
      </c>
      <c r="K1037" s="500" t="s">
        <v>6091</v>
      </c>
      <c r="L1037" s="500" t="s">
        <v>6092</v>
      </c>
      <c r="M1037" s="500">
        <v>11</v>
      </c>
      <c r="N1037" s="500" t="s">
        <v>193</v>
      </c>
    </row>
    <row r="1038" spans="1:14" ht="60">
      <c r="A1038" s="539">
        <v>19</v>
      </c>
      <c r="B1038" s="706"/>
      <c r="C1038" s="553"/>
      <c r="D1038" s="499" t="s">
        <v>6093</v>
      </c>
      <c r="E1038" s="499" t="s">
        <v>6094</v>
      </c>
      <c r="F1038" s="500">
        <v>1470</v>
      </c>
      <c r="G1038" s="500">
        <v>3377</v>
      </c>
      <c r="H1038" s="500" t="s">
        <v>2771</v>
      </c>
      <c r="I1038" s="500" t="s">
        <v>1702</v>
      </c>
      <c r="J1038" s="500">
        <v>3</v>
      </c>
      <c r="K1038" s="500" t="s">
        <v>1907</v>
      </c>
      <c r="L1038" s="500" t="s">
        <v>6095</v>
      </c>
      <c r="M1038" s="500">
        <v>11.1</v>
      </c>
      <c r="N1038" s="500" t="s">
        <v>193</v>
      </c>
    </row>
    <row r="1039" spans="1:14" ht="60">
      <c r="A1039" s="539">
        <v>20</v>
      </c>
      <c r="B1039" s="706"/>
      <c r="C1039" s="553"/>
      <c r="D1039" s="499" t="s">
        <v>6096</v>
      </c>
      <c r="E1039" s="499" t="s">
        <v>6097</v>
      </c>
      <c r="F1039" s="500">
        <v>1500</v>
      </c>
      <c r="G1039" s="500">
        <v>1500</v>
      </c>
      <c r="H1039" s="500" t="s">
        <v>3995</v>
      </c>
      <c r="I1039" s="500" t="s">
        <v>1702</v>
      </c>
      <c r="J1039" s="500">
        <v>3</v>
      </c>
      <c r="K1039" s="500" t="s">
        <v>6098</v>
      </c>
      <c r="L1039" s="500" t="s">
        <v>6099</v>
      </c>
      <c r="M1039" s="500">
        <v>13.5</v>
      </c>
      <c r="N1039" s="500" t="s">
        <v>193</v>
      </c>
    </row>
    <row r="1040" spans="1:14" ht="60">
      <c r="A1040" s="539">
        <v>21</v>
      </c>
      <c r="B1040" s="706"/>
      <c r="C1040" s="553"/>
      <c r="D1040" s="499" t="s">
        <v>6100</v>
      </c>
      <c r="E1040" s="499" t="s">
        <v>6101</v>
      </c>
      <c r="F1040" s="500">
        <v>1500</v>
      </c>
      <c r="G1040" s="500">
        <v>1500</v>
      </c>
      <c r="H1040" s="500" t="s">
        <v>3995</v>
      </c>
      <c r="I1040" s="500" t="s">
        <v>1702</v>
      </c>
      <c r="J1040" s="500">
        <v>3</v>
      </c>
      <c r="K1040" s="500" t="s">
        <v>6098</v>
      </c>
      <c r="L1040" s="500" t="s">
        <v>6102</v>
      </c>
      <c r="M1040" s="500">
        <v>22.5</v>
      </c>
      <c r="N1040" s="500" t="s">
        <v>193</v>
      </c>
    </row>
    <row r="1041" spans="1:14" ht="63">
      <c r="A1041" s="539">
        <v>22</v>
      </c>
      <c r="B1041" s="706"/>
      <c r="C1041" s="553" t="s">
        <v>6072</v>
      </c>
      <c r="D1041" s="499" t="s">
        <v>6103</v>
      </c>
      <c r="E1041" s="499" t="s">
        <v>6574</v>
      </c>
      <c r="F1041" s="500">
        <v>1437</v>
      </c>
      <c r="G1041" s="500">
        <v>1500</v>
      </c>
      <c r="H1041" s="500" t="s">
        <v>6104</v>
      </c>
      <c r="I1041" s="500" t="s">
        <v>1702</v>
      </c>
      <c r="J1041" s="500">
        <v>3</v>
      </c>
      <c r="K1041" s="500" t="s">
        <v>3087</v>
      </c>
      <c r="L1041" s="500" t="s">
        <v>6105</v>
      </c>
      <c r="M1041" s="500">
        <v>23</v>
      </c>
      <c r="N1041" s="500" t="s">
        <v>193</v>
      </c>
    </row>
    <row r="1042" spans="1:14" ht="63">
      <c r="A1042" s="539">
        <v>23</v>
      </c>
      <c r="B1042" s="706"/>
      <c r="C1042" s="553"/>
      <c r="D1042" s="499" t="s">
        <v>6106</v>
      </c>
      <c r="E1042" s="499" t="s">
        <v>6575</v>
      </c>
      <c r="F1042" s="500">
        <v>1470</v>
      </c>
      <c r="G1042" s="500">
        <v>1500</v>
      </c>
      <c r="H1042" s="500" t="s">
        <v>6107</v>
      </c>
      <c r="I1042" s="500" t="s">
        <v>1702</v>
      </c>
      <c r="J1042" s="500">
        <v>3</v>
      </c>
      <c r="K1042" s="500" t="s">
        <v>6108</v>
      </c>
      <c r="L1042" s="500" t="s">
        <v>6109</v>
      </c>
      <c r="M1042" s="500">
        <v>16.25</v>
      </c>
      <c r="N1042" s="500" t="s">
        <v>193</v>
      </c>
    </row>
    <row r="1043" spans="1:14" ht="45">
      <c r="A1043" s="539">
        <v>24</v>
      </c>
      <c r="B1043" s="706"/>
      <c r="C1043" s="553" t="s">
        <v>6110</v>
      </c>
      <c r="D1043" s="499" t="s">
        <v>6111</v>
      </c>
      <c r="E1043" s="499" t="s">
        <v>6112</v>
      </c>
      <c r="F1043" s="500">
        <v>3115</v>
      </c>
      <c r="G1043" s="500">
        <v>3115</v>
      </c>
      <c r="H1043" s="500" t="s">
        <v>6113</v>
      </c>
      <c r="I1043" s="500" t="s">
        <v>1702</v>
      </c>
      <c r="J1043" s="500">
        <v>3</v>
      </c>
      <c r="K1043" s="500" t="s">
        <v>6114</v>
      </c>
      <c r="L1043" s="500" t="s">
        <v>6115</v>
      </c>
      <c r="M1043" s="500">
        <v>20.74</v>
      </c>
      <c r="N1043" s="500" t="s">
        <v>193</v>
      </c>
    </row>
    <row r="1044" spans="1:14" ht="60">
      <c r="A1044" s="539">
        <v>26</v>
      </c>
      <c r="B1044" s="706"/>
      <c r="C1044" s="553"/>
      <c r="D1044" s="499" t="s">
        <v>6116</v>
      </c>
      <c r="E1044" s="499" t="s">
        <v>6117</v>
      </c>
      <c r="F1044" s="500">
        <v>1732</v>
      </c>
      <c r="G1044" s="500">
        <v>1732</v>
      </c>
      <c r="H1044" s="500" t="s">
        <v>3634</v>
      </c>
      <c r="I1044" s="500" t="s">
        <v>1702</v>
      </c>
      <c r="J1044" s="500">
        <v>3</v>
      </c>
      <c r="K1044" s="500" t="s">
        <v>4135</v>
      </c>
      <c r="L1044" s="500" t="s">
        <v>6118</v>
      </c>
      <c r="M1044" s="500">
        <v>9.09</v>
      </c>
      <c r="N1044" s="500" t="s">
        <v>193</v>
      </c>
    </row>
    <row r="1045" spans="1:14" ht="60">
      <c r="A1045" s="539">
        <v>27</v>
      </c>
      <c r="B1045" s="706"/>
      <c r="C1045" s="553"/>
      <c r="D1045" s="499" t="s">
        <v>6119</v>
      </c>
      <c r="E1045" s="499" t="s">
        <v>6120</v>
      </c>
      <c r="F1045" s="500">
        <v>1845</v>
      </c>
      <c r="G1045" s="500">
        <v>1845</v>
      </c>
      <c r="H1045" s="500" t="s">
        <v>2950</v>
      </c>
      <c r="I1045" s="500" t="s">
        <v>1702</v>
      </c>
      <c r="J1045" s="500">
        <v>3</v>
      </c>
      <c r="K1045" s="500" t="s">
        <v>6121</v>
      </c>
      <c r="L1045" s="500" t="s">
        <v>6122</v>
      </c>
      <c r="M1045" s="500">
        <v>5.5</v>
      </c>
      <c r="N1045" s="500" t="s">
        <v>193</v>
      </c>
    </row>
    <row r="1046" spans="1:14" ht="60">
      <c r="A1046" s="539">
        <v>28</v>
      </c>
      <c r="B1046" s="706"/>
      <c r="C1046" s="553"/>
      <c r="D1046" s="499" t="s">
        <v>6123</v>
      </c>
      <c r="E1046" s="499" t="s">
        <v>6124</v>
      </c>
      <c r="F1046" s="500">
        <v>2185</v>
      </c>
      <c r="G1046" s="500">
        <v>2185</v>
      </c>
      <c r="H1046" s="500" t="s">
        <v>6125</v>
      </c>
      <c r="I1046" s="500" t="s">
        <v>1702</v>
      </c>
      <c r="J1046" s="500">
        <v>5</v>
      </c>
      <c r="K1046" s="500" t="s">
        <v>6126</v>
      </c>
      <c r="L1046" s="500" t="s">
        <v>6127</v>
      </c>
      <c r="M1046" s="500">
        <v>11.57</v>
      </c>
      <c r="N1046" s="500" t="s">
        <v>193</v>
      </c>
    </row>
    <row r="1047" spans="1:14" ht="105">
      <c r="A1047" s="539">
        <v>29</v>
      </c>
      <c r="B1047" s="706"/>
      <c r="C1047" s="553"/>
      <c r="D1047" s="499" t="s">
        <v>6128</v>
      </c>
      <c r="E1047" s="499" t="s">
        <v>6129</v>
      </c>
      <c r="F1047" s="500">
        <v>1367</v>
      </c>
      <c r="G1047" s="500">
        <v>1367</v>
      </c>
      <c r="H1047" s="500" t="s">
        <v>6130</v>
      </c>
      <c r="I1047" s="500" t="s">
        <v>1702</v>
      </c>
      <c r="J1047" s="500">
        <v>5</v>
      </c>
      <c r="K1047" s="500" t="s">
        <v>6131</v>
      </c>
      <c r="L1047" s="500" t="s">
        <v>6132</v>
      </c>
      <c r="M1047" s="500">
        <v>23.51</v>
      </c>
      <c r="N1047" s="500" t="s">
        <v>193</v>
      </c>
    </row>
    <row r="1048" spans="1:14" ht="75">
      <c r="A1048" s="539">
        <v>30</v>
      </c>
      <c r="B1048" s="706"/>
      <c r="C1048" s="553" t="s">
        <v>6133</v>
      </c>
      <c r="D1048" s="499" t="s">
        <v>6134</v>
      </c>
      <c r="E1048" s="499" t="s">
        <v>6135</v>
      </c>
      <c r="F1048" s="500">
        <v>5575</v>
      </c>
      <c r="G1048" s="500">
        <v>3853</v>
      </c>
      <c r="H1048" s="500" t="s">
        <v>6136</v>
      </c>
      <c r="I1048" s="500" t="s">
        <v>1702</v>
      </c>
      <c r="J1048" s="500">
        <v>3</v>
      </c>
      <c r="K1048" s="500" t="s">
        <v>3165</v>
      </c>
      <c r="L1048" s="500" t="s">
        <v>6137</v>
      </c>
      <c r="M1048" s="500">
        <v>37.26</v>
      </c>
      <c r="N1048" s="500" t="s">
        <v>193</v>
      </c>
    </row>
    <row r="1049" spans="1:14" ht="60">
      <c r="A1049" s="539">
        <v>31</v>
      </c>
      <c r="B1049" s="706"/>
      <c r="C1049" s="553"/>
      <c r="D1049" s="499" t="s">
        <v>6138</v>
      </c>
      <c r="E1049" s="499" t="s">
        <v>6139</v>
      </c>
      <c r="F1049" s="500">
        <v>866</v>
      </c>
      <c r="G1049" s="500">
        <v>866</v>
      </c>
      <c r="H1049" s="500" t="s">
        <v>6140</v>
      </c>
      <c r="I1049" s="500" t="s">
        <v>1702</v>
      </c>
      <c r="J1049" s="500">
        <v>3</v>
      </c>
      <c r="K1049" s="500" t="s">
        <v>6141</v>
      </c>
      <c r="L1049" s="500" t="s">
        <v>6122</v>
      </c>
      <c r="M1049" s="500">
        <v>11.72</v>
      </c>
      <c r="N1049" s="500" t="s">
        <v>193</v>
      </c>
    </row>
    <row r="1050" spans="1:14" ht="60">
      <c r="A1050" s="539">
        <v>32</v>
      </c>
      <c r="B1050" s="706"/>
      <c r="C1050" s="553"/>
      <c r="D1050" s="499" t="s">
        <v>6142</v>
      </c>
      <c r="E1050" s="499" t="s">
        <v>6143</v>
      </c>
      <c r="F1050" s="500">
        <v>2645</v>
      </c>
      <c r="G1050" s="500">
        <v>2645</v>
      </c>
      <c r="H1050" s="500" t="s">
        <v>2965</v>
      </c>
      <c r="I1050" s="500" t="s">
        <v>1702</v>
      </c>
      <c r="J1050" s="500">
        <v>3</v>
      </c>
      <c r="K1050" s="500" t="s">
        <v>2967</v>
      </c>
      <c r="L1050" s="500" t="s">
        <v>6144</v>
      </c>
      <c r="M1050" s="500">
        <v>18.329999999999998</v>
      </c>
      <c r="N1050" s="500" t="s">
        <v>193</v>
      </c>
    </row>
    <row r="1051" spans="1:14" ht="120">
      <c r="A1051" s="539">
        <v>33</v>
      </c>
      <c r="B1051" s="706"/>
      <c r="C1051" s="553" t="s">
        <v>6145</v>
      </c>
      <c r="D1051" s="499" t="s">
        <v>6146</v>
      </c>
      <c r="E1051" s="499" t="s">
        <v>6147</v>
      </c>
      <c r="F1051" s="500">
        <v>11561</v>
      </c>
      <c r="G1051" s="500">
        <v>11561</v>
      </c>
      <c r="H1051" s="500" t="s">
        <v>6148</v>
      </c>
      <c r="I1051" s="500" t="s">
        <v>6149</v>
      </c>
      <c r="J1051" s="500" t="s">
        <v>1737</v>
      </c>
      <c r="K1051" s="500" t="s">
        <v>6150</v>
      </c>
      <c r="L1051" s="500" t="s">
        <v>6151</v>
      </c>
      <c r="M1051" s="500" t="s">
        <v>6152</v>
      </c>
      <c r="N1051" s="500" t="s">
        <v>193</v>
      </c>
    </row>
    <row r="1052" spans="1:14" ht="90">
      <c r="A1052" s="539">
        <v>34</v>
      </c>
      <c r="B1052" s="706"/>
      <c r="C1052" s="553"/>
      <c r="D1052" s="499" t="s">
        <v>6153</v>
      </c>
      <c r="E1052" s="499" t="s">
        <v>6154</v>
      </c>
      <c r="F1052" s="500">
        <v>1440</v>
      </c>
      <c r="G1052" s="500">
        <v>1440</v>
      </c>
      <c r="H1052" s="500" t="s">
        <v>6155</v>
      </c>
      <c r="I1052" s="500" t="s">
        <v>1702</v>
      </c>
      <c r="J1052" s="500" t="s">
        <v>1737</v>
      </c>
      <c r="K1052" s="500" t="s">
        <v>6156</v>
      </c>
      <c r="L1052" s="500" t="s">
        <v>6157</v>
      </c>
      <c r="M1052" s="500" t="s">
        <v>6158</v>
      </c>
      <c r="N1052" s="500" t="s">
        <v>193</v>
      </c>
    </row>
    <row r="1053" spans="1:14" ht="90">
      <c r="A1053" s="539">
        <v>35</v>
      </c>
      <c r="B1053" s="706"/>
      <c r="C1053" s="553"/>
      <c r="D1053" s="499" t="s">
        <v>6159</v>
      </c>
      <c r="E1053" s="499" t="s">
        <v>6160</v>
      </c>
      <c r="F1053" s="500">
        <v>1472</v>
      </c>
      <c r="G1053" s="500">
        <v>1472</v>
      </c>
      <c r="H1053" s="500" t="s">
        <v>2881</v>
      </c>
      <c r="I1053" s="500" t="s">
        <v>1702</v>
      </c>
      <c r="J1053" s="500" t="s">
        <v>1737</v>
      </c>
      <c r="K1053" s="500" t="s">
        <v>6161</v>
      </c>
      <c r="L1053" s="500" t="s">
        <v>6162</v>
      </c>
      <c r="M1053" s="500" t="s">
        <v>6163</v>
      </c>
      <c r="N1053" s="500" t="s">
        <v>193</v>
      </c>
    </row>
    <row r="1054" spans="1:14" ht="120">
      <c r="A1054" s="539">
        <v>36</v>
      </c>
      <c r="B1054" s="706"/>
      <c r="C1054" s="499" t="s">
        <v>6145</v>
      </c>
      <c r="D1054" s="499" t="s">
        <v>6164</v>
      </c>
      <c r="E1054" s="499" t="s">
        <v>6165</v>
      </c>
      <c r="F1054" s="500">
        <v>1883</v>
      </c>
      <c r="G1054" s="500">
        <v>1883</v>
      </c>
      <c r="H1054" s="500" t="s">
        <v>2771</v>
      </c>
      <c r="I1054" s="500" t="s">
        <v>1702</v>
      </c>
      <c r="J1054" s="500" t="s">
        <v>1737</v>
      </c>
      <c r="K1054" s="500" t="s">
        <v>6166</v>
      </c>
      <c r="L1054" s="500" t="s">
        <v>6167</v>
      </c>
      <c r="M1054" s="500" t="s">
        <v>6168</v>
      </c>
      <c r="N1054" s="500" t="s">
        <v>193</v>
      </c>
    </row>
    <row r="1055" spans="1:14" ht="75">
      <c r="A1055" s="539">
        <v>37</v>
      </c>
      <c r="B1055" s="706"/>
      <c r="C1055" s="553" t="s">
        <v>6169</v>
      </c>
      <c r="D1055" s="499" t="s">
        <v>6170</v>
      </c>
      <c r="E1055" s="499" t="s">
        <v>6171</v>
      </c>
      <c r="F1055" s="500">
        <v>283</v>
      </c>
      <c r="G1055" s="500">
        <v>283</v>
      </c>
      <c r="H1055" s="500" t="s">
        <v>6155</v>
      </c>
      <c r="I1055" s="500" t="s">
        <v>1702</v>
      </c>
      <c r="J1055" s="500" t="s">
        <v>1737</v>
      </c>
      <c r="K1055" s="500" t="s">
        <v>5801</v>
      </c>
      <c r="L1055" s="500" t="s">
        <v>6172</v>
      </c>
      <c r="M1055" s="500" t="s">
        <v>6173</v>
      </c>
      <c r="N1055" s="500" t="s">
        <v>193</v>
      </c>
    </row>
    <row r="1056" spans="1:14" ht="60">
      <c r="A1056" s="539">
        <v>38</v>
      </c>
      <c r="B1056" s="706"/>
      <c r="C1056" s="553"/>
      <c r="D1056" s="499" t="s">
        <v>6174</v>
      </c>
      <c r="E1056" s="499" t="s">
        <v>6175</v>
      </c>
      <c r="F1056" s="500">
        <v>255.2</v>
      </c>
      <c r="G1056" s="500">
        <v>255.2</v>
      </c>
      <c r="H1056" s="500" t="s">
        <v>6176</v>
      </c>
      <c r="I1056" s="500" t="s">
        <v>1702</v>
      </c>
      <c r="J1056" s="500" t="s">
        <v>1737</v>
      </c>
      <c r="K1056" s="500" t="s">
        <v>4686</v>
      </c>
      <c r="L1056" s="500" t="s">
        <v>6177</v>
      </c>
      <c r="M1056" s="500" t="s">
        <v>6178</v>
      </c>
      <c r="N1056" s="500" t="s">
        <v>193</v>
      </c>
    </row>
    <row r="1057" spans="1:14" ht="105">
      <c r="A1057" s="539">
        <v>39</v>
      </c>
      <c r="B1057" s="706"/>
      <c r="C1057" s="706" t="s">
        <v>6179</v>
      </c>
      <c r="D1057" s="515" t="s">
        <v>6180</v>
      </c>
      <c r="E1057" s="515" t="s">
        <v>6181</v>
      </c>
      <c r="F1057" s="539">
        <v>164.26</v>
      </c>
      <c r="G1057" s="539" t="s">
        <v>35</v>
      </c>
      <c r="H1057" s="539" t="s">
        <v>6182</v>
      </c>
      <c r="I1057" s="726" t="s">
        <v>6183</v>
      </c>
      <c r="J1057" s="539" t="s">
        <v>1742</v>
      </c>
      <c r="K1057" s="539" t="s">
        <v>1728</v>
      </c>
      <c r="L1057" s="539">
        <v>13500</v>
      </c>
      <c r="M1057" s="234">
        <v>82.18</v>
      </c>
      <c r="N1057" s="539" t="s">
        <v>35</v>
      </c>
    </row>
    <row r="1058" spans="1:14" ht="105">
      <c r="A1058" s="539">
        <v>40</v>
      </c>
      <c r="B1058" s="706"/>
      <c r="C1058" s="706"/>
      <c r="D1058" s="515" t="s">
        <v>6184</v>
      </c>
      <c r="E1058" s="515" t="s">
        <v>6185</v>
      </c>
      <c r="F1058" s="539">
        <v>220.75</v>
      </c>
      <c r="G1058" s="539" t="s">
        <v>35</v>
      </c>
      <c r="H1058" s="539" t="s">
        <v>6186</v>
      </c>
      <c r="I1058" s="726"/>
      <c r="J1058" s="539" t="s">
        <v>1742</v>
      </c>
      <c r="K1058" s="539" t="s">
        <v>6187</v>
      </c>
      <c r="L1058" s="539">
        <v>18713</v>
      </c>
      <c r="M1058" s="234">
        <v>84.77</v>
      </c>
      <c r="N1058" s="539" t="s">
        <v>35</v>
      </c>
    </row>
    <row r="1059" spans="1:14" ht="150">
      <c r="A1059" s="539">
        <v>41</v>
      </c>
      <c r="B1059" s="706"/>
      <c r="C1059" s="515" t="s">
        <v>6188</v>
      </c>
      <c r="D1059" s="515" t="s">
        <v>6189</v>
      </c>
      <c r="E1059" s="515" t="s">
        <v>6190</v>
      </c>
      <c r="F1059" s="539" t="s">
        <v>17</v>
      </c>
      <c r="G1059" s="539">
        <v>523.04</v>
      </c>
      <c r="H1059" s="539" t="s">
        <v>6191</v>
      </c>
      <c r="I1059" s="726"/>
      <c r="J1059" s="539" t="s">
        <v>6192</v>
      </c>
      <c r="K1059" s="539" t="s">
        <v>3160</v>
      </c>
      <c r="L1059" s="539" t="s">
        <v>6193</v>
      </c>
      <c r="M1059" s="234">
        <v>266</v>
      </c>
      <c r="N1059" s="539" t="s">
        <v>35</v>
      </c>
    </row>
    <row r="1060" spans="1:14" ht="165">
      <c r="A1060" s="539">
        <v>42</v>
      </c>
      <c r="B1060" s="706"/>
      <c r="C1060" s="706" t="s">
        <v>6188</v>
      </c>
      <c r="D1060" s="515" t="s">
        <v>6194</v>
      </c>
      <c r="E1060" s="515" t="s">
        <v>6195</v>
      </c>
      <c r="F1060" s="539" t="s">
        <v>17</v>
      </c>
      <c r="G1060" s="539">
        <v>153.94</v>
      </c>
      <c r="H1060" s="539" t="s">
        <v>3960</v>
      </c>
      <c r="I1060" s="726"/>
      <c r="J1060" s="539" t="s">
        <v>6196</v>
      </c>
      <c r="K1060" s="539" t="s">
        <v>3594</v>
      </c>
      <c r="L1060" s="539" t="s">
        <v>6197</v>
      </c>
      <c r="M1060" s="234">
        <v>155.9</v>
      </c>
      <c r="N1060" s="539" t="s">
        <v>35</v>
      </c>
    </row>
    <row r="1061" spans="1:14" ht="150">
      <c r="A1061" s="539">
        <v>43</v>
      </c>
      <c r="B1061" s="706"/>
      <c r="C1061" s="706"/>
      <c r="D1061" s="515" t="s">
        <v>6198</v>
      </c>
      <c r="E1061" s="515" t="s">
        <v>6199</v>
      </c>
      <c r="F1061" s="539" t="s">
        <v>17</v>
      </c>
      <c r="G1061" s="539">
        <v>88.25</v>
      </c>
      <c r="H1061" s="539" t="s">
        <v>6200</v>
      </c>
      <c r="I1061" s="726"/>
      <c r="J1061" s="539" t="s">
        <v>6201</v>
      </c>
      <c r="K1061" s="539" t="s">
        <v>2996</v>
      </c>
      <c r="L1061" s="539" t="s">
        <v>6202</v>
      </c>
      <c r="M1061" s="234">
        <v>161.47</v>
      </c>
      <c r="N1061" s="539" t="s">
        <v>35</v>
      </c>
    </row>
    <row r="1062" spans="1:14" ht="90">
      <c r="A1062" s="539">
        <v>44</v>
      </c>
      <c r="B1062" s="706"/>
      <c r="C1062" s="515" t="s">
        <v>6203</v>
      </c>
      <c r="D1062" s="515" t="s">
        <v>6204</v>
      </c>
      <c r="E1062" s="515" t="s">
        <v>6576</v>
      </c>
      <c r="F1062" s="539">
        <v>357.21</v>
      </c>
      <c r="G1062" s="539">
        <v>537.37</v>
      </c>
      <c r="H1062" s="539" t="s">
        <v>6205</v>
      </c>
      <c r="I1062" s="726" t="s">
        <v>6206</v>
      </c>
      <c r="J1062" s="539" t="s">
        <v>1742</v>
      </c>
      <c r="K1062" s="539" t="s">
        <v>6207</v>
      </c>
      <c r="L1062" s="539" t="s">
        <v>6208</v>
      </c>
      <c r="M1062" s="234">
        <v>280.89</v>
      </c>
      <c r="N1062" s="539" t="s">
        <v>35</v>
      </c>
    </row>
    <row r="1063" spans="1:14" ht="120">
      <c r="A1063" s="539">
        <v>45</v>
      </c>
      <c r="B1063" s="706"/>
      <c r="C1063" s="706" t="s">
        <v>6203</v>
      </c>
      <c r="D1063" s="515" t="s">
        <v>6577</v>
      </c>
      <c r="E1063" s="515" t="s">
        <v>6578</v>
      </c>
      <c r="F1063" s="539">
        <v>139</v>
      </c>
      <c r="G1063" s="539">
        <v>174.31</v>
      </c>
      <c r="H1063" s="539" t="s">
        <v>6209</v>
      </c>
      <c r="I1063" s="726"/>
      <c r="J1063" s="539" t="s">
        <v>1742</v>
      </c>
      <c r="K1063" s="539" t="s">
        <v>6210</v>
      </c>
      <c r="L1063" s="539" t="s">
        <v>6211</v>
      </c>
      <c r="M1063" s="234">
        <v>140.69999999999999</v>
      </c>
      <c r="N1063" s="539" t="s">
        <v>35</v>
      </c>
    </row>
    <row r="1064" spans="1:14" ht="120">
      <c r="A1064" s="539">
        <v>46</v>
      </c>
      <c r="B1064" s="706"/>
      <c r="C1064" s="706"/>
      <c r="D1064" s="515" t="s">
        <v>6212</v>
      </c>
      <c r="E1064" s="515" t="s">
        <v>6579</v>
      </c>
      <c r="F1064" s="539">
        <v>55</v>
      </c>
      <c r="G1064" s="539">
        <v>68.39</v>
      </c>
      <c r="H1064" s="539" t="s">
        <v>6213</v>
      </c>
      <c r="I1064" s="726"/>
      <c r="J1064" s="539">
        <v>5</v>
      </c>
      <c r="K1064" s="539" t="s">
        <v>6214</v>
      </c>
      <c r="L1064" s="539" t="s">
        <v>6215</v>
      </c>
      <c r="M1064" s="234">
        <v>190.9</v>
      </c>
      <c r="N1064" s="539" t="s">
        <v>35</v>
      </c>
    </row>
    <row r="1065" spans="1:14" ht="90">
      <c r="A1065" s="539">
        <v>47</v>
      </c>
      <c r="B1065" s="706"/>
      <c r="C1065" s="706"/>
      <c r="D1065" s="515" t="s">
        <v>6216</v>
      </c>
      <c r="E1065" s="515" t="s">
        <v>6217</v>
      </c>
      <c r="F1065" s="539">
        <v>44.66</v>
      </c>
      <c r="G1065" s="539">
        <v>73.25</v>
      </c>
      <c r="H1065" s="539" t="s">
        <v>6218</v>
      </c>
      <c r="I1065" s="726"/>
      <c r="J1065" s="539">
        <v>5</v>
      </c>
      <c r="K1065" s="539" t="s">
        <v>6219</v>
      </c>
      <c r="L1065" s="539">
        <v>8400</v>
      </c>
      <c r="M1065" s="234">
        <v>188.08</v>
      </c>
      <c r="N1065" s="539" t="s">
        <v>35</v>
      </c>
    </row>
    <row r="1066" spans="1:14" ht="105">
      <c r="A1066" s="539">
        <v>48</v>
      </c>
      <c r="B1066" s="706"/>
      <c r="C1066" s="706"/>
      <c r="D1066" s="515" t="s">
        <v>6220</v>
      </c>
      <c r="E1066" s="515" t="s">
        <v>6221</v>
      </c>
      <c r="F1066" s="222">
        <v>125.88</v>
      </c>
      <c r="G1066" s="539">
        <v>152.84</v>
      </c>
      <c r="H1066" s="539" t="s">
        <v>6222</v>
      </c>
      <c r="I1066" s="726"/>
      <c r="J1066" s="539">
        <v>3</v>
      </c>
      <c r="K1066" s="539" t="s">
        <v>6223</v>
      </c>
      <c r="L1066" s="539">
        <v>15000</v>
      </c>
      <c r="M1066" s="234">
        <v>119.16</v>
      </c>
      <c r="N1066" s="539" t="s">
        <v>35</v>
      </c>
    </row>
    <row r="1067" spans="1:14" ht="90">
      <c r="A1067" s="539">
        <v>49</v>
      </c>
      <c r="B1067" s="706"/>
      <c r="C1067" s="515" t="s">
        <v>6224</v>
      </c>
      <c r="D1067" s="515" t="s">
        <v>6225</v>
      </c>
      <c r="E1067" s="515" t="s">
        <v>6226</v>
      </c>
      <c r="F1067" s="539">
        <v>2197.34</v>
      </c>
      <c r="G1067" s="539" t="s">
        <v>35</v>
      </c>
      <c r="H1067" s="539" t="s">
        <v>6227</v>
      </c>
      <c r="I1067" s="726"/>
      <c r="J1067" s="539">
        <v>5</v>
      </c>
      <c r="K1067" s="539" t="s">
        <v>3002</v>
      </c>
      <c r="L1067" s="539">
        <v>201551</v>
      </c>
      <c r="M1067" s="234">
        <f>L1067/F1067</f>
        <v>91.724994766399362</v>
      </c>
      <c r="N1067" s="29" t="s">
        <v>6228</v>
      </c>
    </row>
    <row r="1068" spans="1:14" ht="45">
      <c r="A1068" s="539">
        <v>50</v>
      </c>
      <c r="B1068" s="706"/>
      <c r="C1068" s="515" t="s">
        <v>6224</v>
      </c>
      <c r="D1068" s="515" t="s">
        <v>6229</v>
      </c>
      <c r="E1068" s="515" t="s">
        <v>6230</v>
      </c>
      <c r="F1068" s="539">
        <v>74.319999999999993</v>
      </c>
      <c r="G1068" s="539" t="s">
        <v>35</v>
      </c>
      <c r="H1068" s="539" t="s">
        <v>6231</v>
      </c>
      <c r="I1068" s="726"/>
      <c r="J1068" s="539" t="s">
        <v>35</v>
      </c>
      <c r="K1068" s="539" t="s">
        <v>35</v>
      </c>
      <c r="L1068" s="539">
        <v>3600</v>
      </c>
      <c r="M1068" s="234">
        <f>L1068/F1068</f>
        <v>48.439181916038756</v>
      </c>
      <c r="N1068" s="539" t="s">
        <v>35</v>
      </c>
    </row>
    <row r="1069" spans="1:14" ht="60">
      <c r="A1069" s="539">
        <v>51</v>
      </c>
      <c r="B1069" s="706"/>
      <c r="C1069" s="515" t="s">
        <v>2375</v>
      </c>
      <c r="D1069" s="726" t="s">
        <v>87</v>
      </c>
      <c r="E1069" s="726"/>
      <c r="F1069" s="726"/>
      <c r="G1069" s="726"/>
      <c r="H1069" s="726"/>
      <c r="I1069" s="726"/>
      <c r="J1069" s="726"/>
      <c r="K1069" s="726"/>
      <c r="L1069" s="726"/>
      <c r="M1069" s="726"/>
      <c r="N1069" s="726"/>
    </row>
    <row r="1070" spans="1:14" ht="195">
      <c r="A1070" s="539">
        <v>52</v>
      </c>
      <c r="B1070" s="706"/>
      <c r="C1070" s="515" t="s">
        <v>6232</v>
      </c>
      <c r="D1070" s="515" t="s">
        <v>6233</v>
      </c>
      <c r="E1070" s="498" t="s">
        <v>6234</v>
      </c>
      <c r="F1070" s="508" t="s">
        <v>6235</v>
      </c>
      <c r="G1070" s="508">
        <v>1523.98</v>
      </c>
      <c r="H1070" s="508" t="s">
        <v>6236</v>
      </c>
      <c r="I1070" s="539" t="s">
        <v>1702</v>
      </c>
      <c r="J1070" s="508" t="s">
        <v>1737</v>
      </c>
      <c r="K1070" s="508" t="s">
        <v>6237</v>
      </c>
      <c r="L1070" s="508">
        <v>918028</v>
      </c>
      <c r="M1070" s="539">
        <v>602.38800000000003</v>
      </c>
      <c r="N1070" s="539"/>
    </row>
    <row r="1071" spans="1:14" ht="195">
      <c r="A1071" s="539">
        <v>53</v>
      </c>
      <c r="B1071" s="706"/>
      <c r="C1071" s="515" t="s">
        <v>6232</v>
      </c>
      <c r="D1071" s="515" t="s">
        <v>6233</v>
      </c>
      <c r="E1071" s="498" t="s">
        <v>6234</v>
      </c>
      <c r="F1071" s="508">
        <v>212.28299999999999</v>
      </c>
      <c r="G1071" s="508">
        <v>212.28299999999999</v>
      </c>
      <c r="H1071" s="508" t="s">
        <v>6238</v>
      </c>
      <c r="I1071" s="539" t="s">
        <v>1702</v>
      </c>
      <c r="J1071" s="508" t="s">
        <v>1737</v>
      </c>
      <c r="K1071" s="508" t="s">
        <v>5449</v>
      </c>
      <c r="L1071" s="508">
        <v>110548</v>
      </c>
      <c r="M1071" s="539">
        <v>519.41899999999998</v>
      </c>
      <c r="N1071" s="539"/>
    </row>
    <row r="1072" spans="1:14" ht="315">
      <c r="A1072" s="539">
        <v>54</v>
      </c>
      <c r="B1072" s="706"/>
      <c r="C1072" s="515" t="s">
        <v>6232</v>
      </c>
      <c r="D1072" s="515" t="s">
        <v>6239</v>
      </c>
      <c r="E1072" s="498" t="s">
        <v>6240</v>
      </c>
      <c r="F1072" s="508">
        <v>60.387</v>
      </c>
      <c r="G1072" s="508">
        <v>60.387</v>
      </c>
      <c r="H1072" s="508" t="s">
        <v>6241</v>
      </c>
      <c r="I1072" s="539" t="s">
        <v>1702</v>
      </c>
      <c r="J1072" s="508" t="s">
        <v>1737</v>
      </c>
      <c r="K1072" s="508" t="s">
        <v>6242</v>
      </c>
      <c r="L1072" s="508">
        <v>11700</v>
      </c>
      <c r="M1072" s="539">
        <v>193.75</v>
      </c>
      <c r="N1072" s="539"/>
    </row>
    <row r="1073" spans="1:14" ht="225">
      <c r="A1073" s="539">
        <v>55</v>
      </c>
      <c r="B1073" s="706"/>
      <c r="C1073" s="515" t="s">
        <v>6232</v>
      </c>
      <c r="D1073" s="515" t="s">
        <v>6243</v>
      </c>
      <c r="E1073" s="498" t="s">
        <v>6244</v>
      </c>
      <c r="F1073" s="508">
        <v>87.14</v>
      </c>
      <c r="G1073" s="508">
        <v>96.63</v>
      </c>
      <c r="H1073" s="508" t="s">
        <v>6245</v>
      </c>
      <c r="I1073" s="539" t="s">
        <v>1702</v>
      </c>
      <c r="J1073" s="508" t="s">
        <v>1737</v>
      </c>
      <c r="K1073" s="508" t="s">
        <v>5877</v>
      </c>
      <c r="L1073" s="508">
        <v>21600</v>
      </c>
      <c r="M1073" s="539">
        <v>247.876</v>
      </c>
      <c r="N1073" s="539"/>
    </row>
    <row r="1074" spans="1:14" ht="195">
      <c r="A1074" s="539">
        <v>56</v>
      </c>
      <c r="B1074" s="706"/>
      <c r="C1074" s="515" t="s">
        <v>6232</v>
      </c>
      <c r="D1074" s="515" t="s">
        <v>6246</v>
      </c>
      <c r="E1074" s="498" t="s">
        <v>6247</v>
      </c>
      <c r="F1074" s="508">
        <v>80.081999999999994</v>
      </c>
      <c r="G1074" s="508">
        <v>104</v>
      </c>
      <c r="H1074" s="508" t="s">
        <v>6248</v>
      </c>
      <c r="I1074" s="539" t="s">
        <v>1702</v>
      </c>
      <c r="J1074" s="508" t="s">
        <v>1737</v>
      </c>
      <c r="K1074" s="508" t="s">
        <v>3695</v>
      </c>
      <c r="L1074" s="508" t="s">
        <v>6249</v>
      </c>
      <c r="M1074" s="539">
        <v>62.5</v>
      </c>
      <c r="N1074" s="539"/>
    </row>
    <row r="1075" spans="1:14" ht="180">
      <c r="A1075" s="539">
        <v>57</v>
      </c>
      <c r="B1075" s="706"/>
      <c r="C1075" s="515" t="s">
        <v>6232</v>
      </c>
      <c r="D1075" s="515" t="s">
        <v>6243</v>
      </c>
      <c r="E1075" s="498" t="s">
        <v>6250</v>
      </c>
      <c r="F1075" s="508">
        <v>87.05</v>
      </c>
      <c r="G1075" s="508">
        <v>87.05</v>
      </c>
      <c r="H1075" s="508" t="s">
        <v>6251</v>
      </c>
      <c r="I1075" s="539" t="s">
        <v>1702</v>
      </c>
      <c r="J1075" s="508" t="s">
        <v>1737</v>
      </c>
      <c r="K1075" s="508" t="s">
        <v>6252</v>
      </c>
      <c r="L1075" s="508">
        <v>7130</v>
      </c>
      <c r="M1075" s="539">
        <v>73.218000000000004</v>
      </c>
      <c r="N1075" s="539"/>
    </row>
    <row r="1076" spans="1:14" ht="285">
      <c r="A1076" s="539">
        <v>58</v>
      </c>
      <c r="B1076" s="706"/>
      <c r="C1076" s="515" t="s">
        <v>6232</v>
      </c>
      <c r="D1076" s="515" t="s">
        <v>6253</v>
      </c>
      <c r="E1076" s="498" t="s">
        <v>6254</v>
      </c>
      <c r="F1076" s="508" t="s">
        <v>6255</v>
      </c>
      <c r="G1076" s="508">
        <v>418.06400000000002</v>
      </c>
      <c r="H1076" s="508" t="s">
        <v>6256</v>
      </c>
      <c r="I1076" s="539" t="s">
        <v>1702</v>
      </c>
      <c r="J1076" s="508" t="s">
        <v>1737</v>
      </c>
      <c r="K1076" s="235">
        <v>44447</v>
      </c>
      <c r="L1076" s="508">
        <v>73150</v>
      </c>
      <c r="M1076" s="539">
        <v>174.97300000000001</v>
      </c>
      <c r="N1076" s="539"/>
    </row>
    <row r="1077" spans="1:14" ht="300">
      <c r="A1077" s="539">
        <v>59</v>
      </c>
      <c r="B1077" s="706"/>
      <c r="C1077" s="515" t="s">
        <v>6232</v>
      </c>
      <c r="D1077" s="515" t="s">
        <v>6257</v>
      </c>
      <c r="E1077" s="498" t="s">
        <v>6258</v>
      </c>
      <c r="F1077" s="508">
        <v>226.40469999999999</v>
      </c>
      <c r="G1077" s="508">
        <v>362.36</v>
      </c>
      <c r="H1077" s="508" t="s">
        <v>6259</v>
      </c>
      <c r="I1077" s="539" t="s">
        <v>1702</v>
      </c>
      <c r="J1077" s="508" t="s">
        <v>1737</v>
      </c>
      <c r="K1077" s="508" t="s">
        <v>6260</v>
      </c>
      <c r="L1077" s="508">
        <v>115587</v>
      </c>
      <c r="M1077" s="539">
        <v>318.98</v>
      </c>
      <c r="N1077" s="539"/>
    </row>
    <row r="1078" spans="1:14" ht="180">
      <c r="A1078" s="539">
        <v>60</v>
      </c>
      <c r="B1078" s="706"/>
      <c r="C1078" s="515" t="s">
        <v>6232</v>
      </c>
      <c r="D1078" s="515" t="s">
        <v>6257</v>
      </c>
      <c r="E1078" s="498" t="s">
        <v>6261</v>
      </c>
      <c r="F1078" s="508">
        <v>255.679</v>
      </c>
      <c r="G1078" s="508">
        <v>255.679</v>
      </c>
      <c r="H1078" s="539" t="s">
        <v>6262</v>
      </c>
      <c r="I1078" s="539" t="s">
        <v>1702</v>
      </c>
      <c r="J1078" s="508" t="s">
        <v>6263</v>
      </c>
      <c r="K1078" s="508" t="s">
        <v>2933</v>
      </c>
      <c r="L1078" s="508">
        <v>77500</v>
      </c>
      <c r="M1078" s="539">
        <v>343.40800000000002</v>
      </c>
      <c r="N1078" s="539"/>
    </row>
    <row r="1079" spans="1:14" ht="90">
      <c r="A1079" s="539">
        <v>61</v>
      </c>
      <c r="B1079" s="706"/>
      <c r="C1079" s="706" t="s">
        <v>6264</v>
      </c>
      <c r="D1079" s="515" t="s">
        <v>6265</v>
      </c>
      <c r="E1079" s="515" t="s">
        <v>6266</v>
      </c>
      <c r="F1079" s="539">
        <v>514.03</v>
      </c>
      <c r="G1079" s="539" t="s">
        <v>956</v>
      </c>
      <c r="H1079" s="539" t="s">
        <v>6267</v>
      </c>
      <c r="I1079" s="539" t="s">
        <v>1702</v>
      </c>
      <c r="J1079" s="539" t="s">
        <v>1925</v>
      </c>
      <c r="K1079" s="539" t="s">
        <v>1876</v>
      </c>
      <c r="L1079" s="539">
        <v>174290</v>
      </c>
      <c r="M1079" s="539">
        <v>339.06</v>
      </c>
      <c r="N1079" s="539"/>
    </row>
    <row r="1080" spans="1:14" ht="75">
      <c r="A1080" s="539">
        <v>62</v>
      </c>
      <c r="B1080" s="706"/>
      <c r="C1080" s="706"/>
      <c r="D1080" s="515" t="s">
        <v>6268</v>
      </c>
      <c r="E1080" s="515" t="s">
        <v>6269</v>
      </c>
      <c r="F1080" s="539">
        <v>371.6</v>
      </c>
      <c r="G1080" s="539" t="s">
        <v>306</v>
      </c>
      <c r="H1080" s="539" t="s">
        <v>6270</v>
      </c>
      <c r="I1080" s="539" t="s">
        <v>1702</v>
      </c>
      <c r="J1080" s="539" t="s">
        <v>1925</v>
      </c>
      <c r="K1080" s="539" t="s">
        <v>1769</v>
      </c>
      <c r="L1080" s="539">
        <v>102313</v>
      </c>
      <c r="M1080" s="539">
        <v>275.33</v>
      </c>
      <c r="N1080" s="539"/>
    </row>
    <row r="1081" spans="1:14" ht="90">
      <c r="A1081" s="539">
        <v>63</v>
      </c>
      <c r="B1081" s="706"/>
      <c r="C1081" s="515" t="s">
        <v>6271</v>
      </c>
      <c r="D1081" s="515" t="s">
        <v>6272</v>
      </c>
      <c r="E1081" s="515" t="s">
        <v>6273</v>
      </c>
      <c r="F1081" s="539">
        <v>461.82100000000003</v>
      </c>
      <c r="G1081" s="539">
        <v>614.79</v>
      </c>
      <c r="H1081" s="72">
        <v>43636</v>
      </c>
      <c r="I1081" s="539" t="s">
        <v>1702</v>
      </c>
      <c r="J1081" s="539" t="s">
        <v>1737</v>
      </c>
      <c r="K1081" s="72">
        <v>44732</v>
      </c>
      <c r="L1081" s="539" t="s">
        <v>6274</v>
      </c>
      <c r="M1081" s="539" t="s">
        <v>6275</v>
      </c>
      <c r="N1081" s="539"/>
    </row>
    <row r="1082" spans="1:14">
      <c r="A1082" s="743"/>
      <c r="B1082" s="743"/>
      <c r="C1082" s="743"/>
      <c r="D1082" s="743"/>
      <c r="E1082" s="743"/>
      <c r="F1082" s="743"/>
      <c r="G1082" s="743"/>
      <c r="H1082" s="743"/>
      <c r="I1082" s="743"/>
      <c r="J1082" s="743"/>
      <c r="K1082" s="743"/>
      <c r="L1082" s="743"/>
      <c r="M1082" s="743"/>
      <c r="N1082" s="743"/>
    </row>
  </sheetData>
  <mergeCells count="393">
    <mergeCell ref="M474:M475"/>
    <mergeCell ref="J468:J473"/>
    <mergeCell ref="A736:N736"/>
    <mergeCell ref="C391:C396"/>
    <mergeCell ref="C397:C400"/>
    <mergeCell ref="C401:C405"/>
    <mergeCell ref="C406:C411"/>
    <mergeCell ref="B375:B411"/>
    <mergeCell ref="A738:N738"/>
    <mergeCell ref="A781:N781"/>
    <mergeCell ref="J732:J735"/>
    <mergeCell ref="K732:K735"/>
    <mergeCell ref="L712:L713"/>
    <mergeCell ref="M712:M713"/>
    <mergeCell ref="N712:N713"/>
    <mergeCell ref="A680:XFD680"/>
    <mergeCell ref="E708:N708"/>
    <mergeCell ref="B741:B779"/>
    <mergeCell ref="C741:C748"/>
    <mergeCell ref="C749:C756"/>
    <mergeCell ref="A780:N780"/>
    <mergeCell ref="F722:N722"/>
    <mergeCell ref="H724:K724"/>
    <mergeCell ref="L724:M724"/>
    <mergeCell ref="F732:F735"/>
    <mergeCell ref="B651:B679"/>
    <mergeCell ref="A681:N681"/>
    <mergeCell ref="A682:N682"/>
    <mergeCell ref="I655:I659"/>
    <mergeCell ref="C651:C653"/>
    <mergeCell ref="I712:I713"/>
    <mergeCell ref="A515:N515"/>
    <mergeCell ref="B520:B524"/>
    <mergeCell ref="C520:C524"/>
    <mergeCell ref="A557:XFD557"/>
    <mergeCell ref="C566:C569"/>
    <mergeCell ref="A516:N516"/>
    <mergeCell ref="G474:G475"/>
    <mergeCell ref="I474:I479"/>
    <mergeCell ref="H468:H473"/>
    <mergeCell ref="G732:G735"/>
    <mergeCell ref="H732:H735"/>
    <mergeCell ref="I732:I735"/>
    <mergeCell ref="C660:C672"/>
    <mergeCell ref="C677:C679"/>
    <mergeCell ref="C654:C659"/>
    <mergeCell ref="I495:I497"/>
    <mergeCell ref="I498:I502"/>
    <mergeCell ref="I503:I506"/>
    <mergeCell ref="I468:I473"/>
    <mergeCell ref="C805:C807"/>
    <mergeCell ref="G712:G713"/>
    <mergeCell ref="B812:N812"/>
    <mergeCell ref="A647:N647"/>
    <mergeCell ref="H827:I827"/>
    <mergeCell ref="H828:I828"/>
    <mergeCell ref="H829:I829"/>
    <mergeCell ref="A782:N782"/>
    <mergeCell ref="D367:N367"/>
    <mergeCell ref="D368:N368"/>
    <mergeCell ref="D369:N369"/>
    <mergeCell ref="N480:N482"/>
    <mergeCell ref="L480:L482"/>
    <mergeCell ref="M480:M482"/>
    <mergeCell ref="M438:M443"/>
    <mergeCell ref="A474:A479"/>
    <mergeCell ref="J480:J482"/>
    <mergeCell ref="K480:K482"/>
    <mergeCell ref="I480:I485"/>
    <mergeCell ref="E480:E482"/>
    <mergeCell ref="A480:A485"/>
    <mergeCell ref="N468:N473"/>
    <mergeCell ref="E474:E475"/>
    <mergeCell ref="F474:F475"/>
    <mergeCell ref="A646:XFD646"/>
    <mergeCell ref="I520:I524"/>
    <mergeCell ref="B525:B532"/>
    <mergeCell ref="C525:C532"/>
    <mergeCell ref="C562:C565"/>
    <mergeCell ref="B562:B585"/>
    <mergeCell ref="B819:B847"/>
    <mergeCell ref="A815:N815"/>
    <mergeCell ref="A816:N816"/>
    <mergeCell ref="J712:J713"/>
    <mergeCell ref="K712:K713"/>
    <mergeCell ref="B685:B735"/>
    <mergeCell ref="C688:C692"/>
    <mergeCell ref="D690:D691"/>
    <mergeCell ref="C693:C694"/>
    <mergeCell ref="N695:N696"/>
    <mergeCell ref="D697:D698"/>
    <mergeCell ref="N697:N698"/>
    <mergeCell ref="D699:D700"/>
    <mergeCell ref="H711:H713"/>
    <mergeCell ref="A712:A713"/>
    <mergeCell ref="C712:C713"/>
    <mergeCell ref="C785:C790"/>
    <mergeCell ref="C791:C804"/>
    <mergeCell ref="A517:N517"/>
    <mergeCell ref="A558:N558"/>
    <mergeCell ref="A559:N559"/>
    <mergeCell ref="A587:N587"/>
    <mergeCell ref="B533:B539"/>
    <mergeCell ref="B542:B554"/>
    <mergeCell ref="C542:C554"/>
    <mergeCell ref="B555:B556"/>
    <mergeCell ref="C555:C556"/>
    <mergeCell ref="D585:N585"/>
    <mergeCell ref="J340:J342"/>
    <mergeCell ref="I450:I454"/>
    <mergeCell ref="A427:A430"/>
    <mergeCell ref="B356:B369"/>
    <mergeCell ref="A357:A360"/>
    <mergeCell ref="C357:C360"/>
    <mergeCell ref="A362:A364"/>
    <mergeCell ref="C362:C364"/>
    <mergeCell ref="F362:G362"/>
    <mergeCell ref="H362:N362"/>
    <mergeCell ref="F363:G363"/>
    <mergeCell ref="I363:I364"/>
    <mergeCell ref="N363:N364"/>
    <mergeCell ref="F364:G364"/>
    <mergeCell ref="A365:A366"/>
    <mergeCell ref="C365:C366"/>
    <mergeCell ref="C438:C485"/>
    <mergeCell ref="A468:A473"/>
    <mergeCell ref="E468:E473"/>
    <mergeCell ref="F468:F473"/>
    <mergeCell ref="G468:G473"/>
    <mergeCell ref="B417:B512"/>
    <mergeCell ref="I490:I494"/>
    <mergeCell ref="F480:F482"/>
    <mergeCell ref="C298:C315"/>
    <mergeCell ref="C316:C327"/>
    <mergeCell ref="A340:A342"/>
    <mergeCell ref="D340:D342"/>
    <mergeCell ref="E340:E342"/>
    <mergeCell ref="F340:F342"/>
    <mergeCell ref="G340:G342"/>
    <mergeCell ref="H340:H342"/>
    <mergeCell ref="I340:I342"/>
    <mergeCell ref="C141:C147"/>
    <mergeCell ref="A111:N111"/>
    <mergeCell ref="A153:N153"/>
    <mergeCell ref="B218:B223"/>
    <mergeCell ref="C218:C223"/>
    <mergeCell ref="B224:B228"/>
    <mergeCell ref="C224:C228"/>
    <mergeCell ref="B229:B234"/>
    <mergeCell ref="C229:C230"/>
    <mergeCell ref="C231:C234"/>
    <mergeCell ref="B205:B208"/>
    <mergeCell ref="C205:C207"/>
    <mergeCell ref="B209:B212"/>
    <mergeCell ref="C209:C212"/>
    <mergeCell ref="B213:B217"/>
    <mergeCell ref="C213:C217"/>
    <mergeCell ref="M232:M233"/>
    <mergeCell ref="N232:N233"/>
    <mergeCell ref="D232:D233"/>
    <mergeCell ref="G232:G233"/>
    <mergeCell ref="H232:H233"/>
    <mergeCell ref="J232:J233"/>
    <mergeCell ref="K232:K233"/>
    <mergeCell ref="L232:L233"/>
    <mergeCell ref="M330:M331"/>
    <mergeCell ref="N330:N331"/>
    <mergeCell ref="K340:K342"/>
    <mergeCell ref="L340:L342"/>
    <mergeCell ref="A185:N185"/>
    <mergeCell ref="A186:N186"/>
    <mergeCell ref="B193:B199"/>
    <mergeCell ref="C193:C198"/>
    <mergeCell ref="B200:B204"/>
    <mergeCell ref="C200:C204"/>
    <mergeCell ref="B243:B248"/>
    <mergeCell ref="C243:C245"/>
    <mergeCell ref="C246:C248"/>
    <mergeCell ref="B235:B238"/>
    <mergeCell ref="C235:C238"/>
    <mergeCell ref="B239:B242"/>
    <mergeCell ref="C239:C242"/>
    <mergeCell ref="B189:B192"/>
    <mergeCell ref="C189:C192"/>
    <mergeCell ref="M340:M342"/>
    <mergeCell ref="N340:N342"/>
    <mergeCell ref="C328:C350"/>
    <mergeCell ref="C291:C297"/>
    <mergeCell ref="N291:N297"/>
    <mergeCell ref="B249:B250"/>
    <mergeCell ref="C249:C250"/>
    <mergeCell ref="B252:N252"/>
    <mergeCell ref="A414:N414"/>
    <mergeCell ref="A154:N154"/>
    <mergeCell ref="A352:N352"/>
    <mergeCell ref="A353:N353"/>
    <mergeCell ref="A371:N371"/>
    <mergeCell ref="A372:N372"/>
    <mergeCell ref="A413:N413"/>
    <mergeCell ref="B253:N253"/>
    <mergeCell ref="B259:B350"/>
    <mergeCell ref="C259:C260"/>
    <mergeCell ref="E259:E260"/>
    <mergeCell ref="I259:I260"/>
    <mergeCell ref="N259:N260"/>
    <mergeCell ref="C261:C262"/>
    <mergeCell ref="N261:N262"/>
    <mergeCell ref="C263:C275"/>
    <mergeCell ref="C276:C290"/>
    <mergeCell ref="A256:N256"/>
    <mergeCell ref="J330:J331"/>
    <mergeCell ref="K330:K331"/>
    <mergeCell ref="L330:L331"/>
    <mergeCell ref="A450:A455"/>
    <mergeCell ref="E450:E454"/>
    <mergeCell ref="F450:F454"/>
    <mergeCell ref="G450:G454"/>
    <mergeCell ref="H450:H454"/>
    <mergeCell ref="H438:H443"/>
    <mergeCell ref="I438:I443"/>
    <mergeCell ref="L444:L454"/>
    <mergeCell ref="M444:M454"/>
    <mergeCell ref="J450:J454"/>
    <mergeCell ref="K450:K454"/>
    <mergeCell ref="J438:J443"/>
    <mergeCell ref="K438:K443"/>
    <mergeCell ref="L438:L443"/>
    <mergeCell ref="A1:N1"/>
    <mergeCell ref="A2:N2"/>
    <mergeCell ref="A3:N3"/>
    <mergeCell ref="A57:N57"/>
    <mergeCell ref="A58:N58"/>
    <mergeCell ref="A110:N110"/>
    <mergeCell ref="F36:N36"/>
    <mergeCell ref="C63:C72"/>
    <mergeCell ref="C73:C74"/>
    <mergeCell ref="C75:C77"/>
    <mergeCell ref="B61:B108"/>
    <mergeCell ref="C79:C87"/>
    <mergeCell ref="C88:C97"/>
    <mergeCell ref="C98:C107"/>
    <mergeCell ref="B6:B55"/>
    <mergeCell ref="D1069:N1069"/>
    <mergeCell ref="C1079:C1080"/>
    <mergeCell ref="C417:C425"/>
    <mergeCell ref="C426:C437"/>
    <mergeCell ref="C486:C506"/>
    <mergeCell ref="A513:N513"/>
    <mergeCell ref="A514:N514"/>
    <mergeCell ref="C533:C541"/>
    <mergeCell ref="B591:B645"/>
    <mergeCell ref="A588:N588"/>
    <mergeCell ref="E444:E449"/>
    <mergeCell ref="F444:F449"/>
    <mergeCell ref="G444:G449"/>
    <mergeCell ref="H444:H449"/>
    <mergeCell ref="I444:I449"/>
    <mergeCell ref="J444:J449"/>
    <mergeCell ref="G438:G443"/>
    <mergeCell ref="C1018:C1022"/>
    <mergeCell ref="A1014:N1014"/>
    <mergeCell ref="A1015:N1015"/>
    <mergeCell ref="C1023:C1028"/>
    <mergeCell ref="E1027:N1027"/>
    <mergeCell ref="C1029:C1032"/>
    <mergeCell ref="A1033:A1035"/>
    <mergeCell ref="I1062:I1068"/>
    <mergeCell ref="C1063:C1066"/>
    <mergeCell ref="C1033:C1036"/>
    <mergeCell ref="E1033:E1035"/>
    <mergeCell ref="F1033:F1035"/>
    <mergeCell ref="G1033:G1035"/>
    <mergeCell ref="H1033:H1035"/>
    <mergeCell ref="I1033:I1035"/>
    <mergeCell ref="C1037:C1040"/>
    <mergeCell ref="C1041:C1042"/>
    <mergeCell ref="C1043:C1047"/>
    <mergeCell ref="C1048:C1050"/>
    <mergeCell ref="C1051:C1053"/>
    <mergeCell ref="C1055:C1056"/>
    <mergeCell ref="C1057:C1058"/>
    <mergeCell ref="I1057:I1061"/>
    <mergeCell ref="C1060:C1061"/>
    <mergeCell ref="D1011:N1011"/>
    <mergeCell ref="J1033:J1035"/>
    <mergeCell ref="A922:N922"/>
    <mergeCell ref="A1013:N1013"/>
    <mergeCell ref="A56:N56"/>
    <mergeCell ref="A109:N109"/>
    <mergeCell ref="A152:N152"/>
    <mergeCell ref="A184:N184"/>
    <mergeCell ref="A254:N254"/>
    <mergeCell ref="A251:N251"/>
    <mergeCell ref="A351:N351"/>
    <mergeCell ref="A370:N370"/>
    <mergeCell ref="A586:N586"/>
    <mergeCell ref="C861:C877"/>
    <mergeCell ref="F721:N721"/>
    <mergeCell ref="K1033:K1035"/>
    <mergeCell ref="L1033:L1035"/>
    <mergeCell ref="M1033:M1035"/>
    <mergeCell ref="N1033:N1035"/>
    <mergeCell ref="B1018:B1081"/>
    <mergeCell ref="D1010:N1010"/>
    <mergeCell ref="A993:N993"/>
    <mergeCell ref="A992:N992"/>
    <mergeCell ref="B996:B1012"/>
    <mergeCell ref="C6:C8"/>
    <mergeCell ref="C9:C14"/>
    <mergeCell ref="C15:C26"/>
    <mergeCell ref="C27:C30"/>
    <mergeCell ref="C31:C49"/>
    <mergeCell ref="D712:D713"/>
    <mergeCell ref="E712:E713"/>
    <mergeCell ref="F712:F713"/>
    <mergeCell ref="C837:C842"/>
    <mergeCell ref="A255:N255"/>
    <mergeCell ref="C148:C151"/>
    <mergeCell ref="B157:B183"/>
    <mergeCell ref="C157:C173"/>
    <mergeCell ref="C174:C183"/>
    <mergeCell ref="B114:B151"/>
    <mergeCell ref="C114:C119"/>
    <mergeCell ref="C121:C123"/>
    <mergeCell ref="C124:C125"/>
    <mergeCell ref="C127:C139"/>
    <mergeCell ref="K444:K449"/>
    <mergeCell ref="A438:A443"/>
    <mergeCell ref="E438:E443"/>
    <mergeCell ref="F438:F443"/>
    <mergeCell ref="N444:N454"/>
    <mergeCell ref="N732:N735"/>
    <mergeCell ref="L732:L735"/>
    <mergeCell ref="M732:M735"/>
    <mergeCell ref="A857:N857"/>
    <mergeCell ref="A858:N858"/>
    <mergeCell ref="F462:F464"/>
    <mergeCell ref="G462:G464"/>
    <mergeCell ref="B927:B990"/>
    <mergeCell ref="C979:C990"/>
    <mergeCell ref="C951:C961"/>
    <mergeCell ref="C962:C964"/>
    <mergeCell ref="L462:L464"/>
    <mergeCell ref="H462:H464"/>
    <mergeCell ref="I462:I467"/>
    <mergeCell ref="J462:J464"/>
    <mergeCell ref="K462:K464"/>
    <mergeCell ref="M468:M473"/>
    <mergeCell ref="H480:H482"/>
    <mergeCell ref="M462:M464"/>
    <mergeCell ref="D855:N855"/>
    <mergeCell ref="G480:G482"/>
    <mergeCell ref="K468:K473"/>
    <mergeCell ref="L468:L473"/>
    <mergeCell ref="A648:N648"/>
    <mergeCell ref="C1002:C1008"/>
    <mergeCell ref="D1009:N1009"/>
    <mergeCell ref="A923:N923"/>
    <mergeCell ref="A924:N924"/>
    <mergeCell ref="C825:C829"/>
    <mergeCell ref="D825:D829"/>
    <mergeCell ref="H826:I826"/>
    <mergeCell ref="A814:N814"/>
    <mergeCell ref="A856:N856"/>
    <mergeCell ref="B861:B921"/>
    <mergeCell ref="C927:C941"/>
    <mergeCell ref="C942:C950"/>
    <mergeCell ref="C998:C1001"/>
    <mergeCell ref="D996:N996"/>
    <mergeCell ref="A1082:N1082"/>
    <mergeCell ref="A412:N412"/>
    <mergeCell ref="B813:N813"/>
    <mergeCell ref="B785:B811"/>
    <mergeCell ref="A737:N737"/>
    <mergeCell ref="C808:C810"/>
    <mergeCell ref="C375:C380"/>
    <mergeCell ref="C381:C383"/>
    <mergeCell ref="C384:C387"/>
    <mergeCell ref="C388:C390"/>
    <mergeCell ref="N438:N443"/>
    <mergeCell ref="A444:A449"/>
    <mergeCell ref="N462:N464"/>
    <mergeCell ref="E456:E457"/>
    <mergeCell ref="F456:F457"/>
    <mergeCell ref="G456:G457"/>
    <mergeCell ref="H456:H457"/>
    <mergeCell ref="I456:I461"/>
    <mergeCell ref="J456:J457"/>
    <mergeCell ref="K456:K457"/>
    <mergeCell ref="L456:L457"/>
    <mergeCell ref="M456:M457"/>
    <mergeCell ref="N456:N458"/>
    <mergeCell ref="E462:E464"/>
  </mergeCells>
  <pageMargins left="0.7" right="0.7" top="0.75" bottom="0.75" header="0.3" footer="0.3"/>
  <pageSetup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CGST Zones Annexure -A</vt:lpstr>
      <vt:lpstr>CGST Zones Annexure -B</vt:lpstr>
      <vt:lpstr>CGST Zones Annexure -C</vt:lpstr>
      <vt:lpstr>CGST Zones Annexure -D</vt:lpstr>
      <vt:lpstr>'CGST Zones Annexure -A'!Print_Area</vt:lpstr>
      <vt:lpstr>'CGST Zones Annexure -B'!Print_Area</vt:lpstr>
      <vt:lpstr>'CGST Zones Annexure -C'!Print_Area</vt:lpstr>
      <vt:lpstr>'CGST Zones Annexure -D'!Print_Area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2021-03-11T10:21:37Z</dcterms:modified>
</cp:coreProperties>
</file>