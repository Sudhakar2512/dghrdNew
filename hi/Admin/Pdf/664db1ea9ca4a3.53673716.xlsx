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filterPrivacy="1" defaultThemeVersion="124226"/>
  <bookViews>
    <workbookView xWindow="0" yWindow="0" windowWidth="15600" windowHeight="7155" tabRatio="628" activeTab="3"/>
  </bookViews>
  <sheets>
    <sheet name="Custom Zones Annexure -A" sheetId="1" r:id="rId1"/>
    <sheet name="Custom Zones Annexure -B" sheetId="2" r:id="rId2"/>
    <sheet name="Custom Zones Annexure -C" sheetId="3" r:id="rId3"/>
    <sheet name="Custom Zones Annexure -D" sheetId="4" r:id="rId4"/>
  </sheets>
  <definedNames>
    <definedName name="_xlnm.Print_Area" localSheetId="0">'Custom Zones Annexure -A'!$A$1:$P$646</definedName>
    <definedName name="_xlnm.Print_Area" localSheetId="1">'Custom Zones Annexure -B'!$A$1:$O$184</definedName>
    <definedName name="_xlnm.Print_Area" localSheetId="2">'Custom Zones Annexure -C'!$A$1:$P$355</definedName>
    <definedName name="_xlnm.Print_Area" localSheetId="3">'Custom Zones Annexure -D'!$A$1:$N$232</definedName>
  </definedNames>
  <calcPr calcId="124519"/>
</workbook>
</file>

<file path=xl/calcChain.xml><?xml version="1.0" encoding="utf-8"?>
<calcChain xmlns="http://schemas.openxmlformats.org/spreadsheetml/2006/main">
  <c r="L231" i="4"/>
  <c r="E20" i="3"/>
  <c r="M197" i="4" l="1"/>
  <c r="M196"/>
  <c r="M195"/>
  <c r="M194"/>
  <c r="M193"/>
  <c r="M192"/>
  <c r="M191"/>
  <c r="M190"/>
  <c r="M189"/>
  <c r="M14" l="1"/>
  <c r="M13"/>
  <c r="M12"/>
  <c r="M11"/>
  <c r="L10"/>
  <c r="G10"/>
  <c r="L9"/>
  <c r="G9"/>
  <c r="L8"/>
  <c r="G8"/>
  <c r="L7"/>
  <c r="G7"/>
  <c r="M7" l="1"/>
  <c r="M9"/>
  <c r="M8"/>
  <c r="M10"/>
  <c r="H161" i="1"/>
  <c r="E98" l="1"/>
  <c r="G25" l="1"/>
</calcChain>
</file>

<file path=xl/sharedStrings.xml><?xml version="1.0" encoding="utf-8"?>
<sst xmlns="http://schemas.openxmlformats.org/spreadsheetml/2006/main" count="9496" uniqueCount="2484">
  <si>
    <t>S.No.</t>
  </si>
  <si>
    <t>Commissionerate (Custodian)</t>
  </si>
  <si>
    <t>Location of the Property with complete address(with district &amp; Pin Code)*</t>
  </si>
  <si>
    <t>Area in sq.mtrs</t>
  </si>
  <si>
    <t>Date of Acquisition</t>
  </si>
  <si>
    <t xml:space="preserve">If on lease, tenure with dates </t>
  </si>
  <si>
    <t xml:space="preserve">Lease rent/ ground rent etc./ other recurring charges  payable </t>
  </si>
  <si>
    <t xml:space="preserve">Court case/ litigation/     dispute/ encroachment etc. </t>
  </si>
  <si>
    <t xml:space="preserve">Whether proposal for construction  initiated/ sent to DGHRD/ sanctioned by Ministry </t>
  </si>
  <si>
    <t xml:space="preserve">Reasons for non- utilization </t>
  </si>
  <si>
    <t>GLIS ID No.**</t>
  </si>
  <si>
    <t xml:space="preserve">Remarks/ Other relevant information </t>
  </si>
  <si>
    <t>NA</t>
  </si>
  <si>
    <t>N.A</t>
  </si>
  <si>
    <t>No</t>
  </si>
  <si>
    <t>-</t>
  </si>
  <si>
    <t>Annexure A1: Vacant Land</t>
  </si>
  <si>
    <t>Land area in sq.mtrs</t>
  </si>
  <si>
    <t>Date of Acquisition of Land</t>
  </si>
  <si>
    <t>Current Circle rate  (as on 31.03.2020)            **</t>
  </si>
  <si>
    <t>Mode of ownership/ possession    ( free-hold/ lease hold/ allotted/other- to be specified)</t>
  </si>
  <si>
    <t xml:space="preserve">Court case/ litigation/ dispute/ encroach- ment etc. </t>
  </si>
  <si>
    <t>GLIS ID No.</t>
  </si>
  <si>
    <t>S. No. of entry  in Annexure B#</t>
  </si>
  <si>
    <t>Remarks/ Other relevant information</t>
  </si>
  <si>
    <t>Free Hold</t>
  </si>
  <si>
    <t>NIL</t>
  </si>
  <si>
    <t xml:space="preserve">Annexure A2: Land on which office buildings have been constructed </t>
  </si>
  <si>
    <t>Land Area in sq.mtrs</t>
  </si>
  <si>
    <t>Acquisition /Purchase Cost          (Rs.in crores)**</t>
  </si>
  <si>
    <t xml:space="preserve">Court case/ litigation/dispute/ encroachment etc. </t>
  </si>
  <si>
    <t>S. No. of enrty  in Annexure C#</t>
  </si>
  <si>
    <t>S. No. of entry  in Annexure B #</t>
  </si>
  <si>
    <t>Annexure A3: Land on which residential quarters have been constructed</t>
  </si>
  <si>
    <t xml:space="preserve">Annexure A4: Land on which both office &amp; residential quarters have been constructed </t>
  </si>
  <si>
    <t>Zone/ Direc-torate</t>
  </si>
  <si>
    <t>NO</t>
  </si>
  <si>
    <t>N.A.</t>
  </si>
  <si>
    <t>Not Applicable</t>
  </si>
  <si>
    <t>Not known</t>
  </si>
  <si>
    <t>Not Known</t>
  </si>
  <si>
    <t>Nil</t>
  </si>
  <si>
    <t>Not available</t>
  </si>
  <si>
    <t>Not Available</t>
  </si>
  <si>
    <t>.----</t>
  </si>
  <si>
    <t>_</t>
  </si>
  <si>
    <t>allotted</t>
  </si>
  <si>
    <t>Allotted</t>
  </si>
  <si>
    <t xml:space="preserve"> </t>
  </si>
  <si>
    <t>--</t>
  </si>
  <si>
    <t>..</t>
  </si>
  <si>
    <t>---</t>
  </si>
  <si>
    <t>Alloted</t>
  </si>
  <si>
    <t>The buildings constructed are in a dilapidated condition and can only be scrapped</t>
  </si>
  <si>
    <t>N/A</t>
  </si>
  <si>
    <t>Lease</t>
  </si>
  <si>
    <t>----</t>
  </si>
  <si>
    <t xml:space="preserve">Not available </t>
  </si>
  <si>
    <t>....</t>
  </si>
  <si>
    <t>ANNEXURE B: Office Buildings</t>
  </si>
  <si>
    <t>Zone/ Directorate</t>
  </si>
  <si>
    <t xml:space="preserve">Location of the building  with complete address including District &amp; Pin Code </t>
  </si>
  <si>
    <t>Name(s) of the office(s) located in the building</t>
  </si>
  <si>
    <t xml:space="preserve">Date of Construction </t>
  </si>
  <si>
    <t xml:space="preserve">Current Circle rate* of building as on 31.03.2020  </t>
  </si>
  <si>
    <t>S. No. of entry   in Annexure A2 **</t>
  </si>
  <si>
    <t>S. No. of entry   in Annexure A4 **</t>
  </si>
  <si>
    <t xml:space="preserve">Remarks/ Other relevant information# </t>
  </si>
  <si>
    <t>own</t>
  </si>
  <si>
    <t>Commissionerate (Custodian/ Estate Manager)</t>
  </si>
  <si>
    <t xml:space="preserve">Location of the residential quarters  with complete address including District &amp; Pin Code </t>
  </si>
  <si>
    <t>Date of purchase      (in case of  ready-built purchase)</t>
  </si>
  <si>
    <t>Charges being paid e.g. maintenance etc. (for building only), if yes details thereof</t>
  </si>
  <si>
    <t>S. No. of entry   in Annexure A3 **</t>
  </si>
  <si>
    <t>No. of Type of Quarters (Available/ Habitable/Allotted) as on 31.03.2020</t>
  </si>
  <si>
    <t>I</t>
  </si>
  <si>
    <t>II</t>
  </si>
  <si>
    <t>III</t>
  </si>
  <si>
    <t>IV</t>
  </si>
  <si>
    <t>V</t>
  </si>
  <si>
    <t xml:space="preserve">Available </t>
  </si>
  <si>
    <t>Habitable</t>
  </si>
  <si>
    <t>VI</t>
  </si>
  <si>
    <t>VII</t>
  </si>
  <si>
    <t>Other Type/Category (specify)</t>
  </si>
  <si>
    <t>Commissionerate</t>
  </si>
  <si>
    <t>Name(s) of the office(s) located in the hired premises</t>
  </si>
  <si>
    <t>Location of the premises with complete address</t>
  </si>
  <si>
    <t>Date of Hiring with Sanction Order &amp; Date</t>
  </si>
  <si>
    <t>Sanctioning Authority</t>
  </si>
  <si>
    <t>Period of Lease</t>
  </si>
  <si>
    <t>Due Date of Renewal of Lease</t>
  </si>
  <si>
    <t>Rent Amount Per Month (In Rs.)</t>
  </si>
  <si>
    <t>Rent Rate (Rs. per sq. mtrs.)</t>
  </si>
  <si>
    <t>Remarks</t>
  </si>
  <si>
    <t>Commissioner</t>
  </si>
  <si>
    <t>3 Years</t>
  </si>
  <si>
    <t>5 Years</t>
  </si>
  <si>
    <t>01.04.2021</t>
  </si>
  <si>
    <t>3 years</t>
  </si>
  <si>
    <t>5 years</t>
  </si>
  <si>
    <t>01.04.2022</t>
  </si>
  <si>
    <t>03 years</t>
  </si>
  <si>
    <t>01.11.2020</t>
  </si>
  <si>
    <t>5 yrs</t>
  </si>
  <si>
    <t>01.05.2021</t>
  </si>
  <si>
    <t>01.04.2020</t>
  </si>
  <si>
    <t>01.12.2022</t>
  </si>
  <si>
    <t>Sl. No. 1</t>
  </si>
  <si>
    <t>…..</t>
  </si>
  <si>
    <t>Not applicable</t>
  </si>
  <si>
    <t>Acquisition / Purchase Cost
(Rs.in crores)**</t>
  </si>
  <si>
    <t>Mode of ownership/ possession    
(free-hold/ lease hold/ allotted/other- to be specified)</t>
  </si>
  <si>
    <t>Mode of ownership/ possession 
(free-hold/ lease hold/ allotted/ other- to be specified)</t>
  </si>
  <si>
    <t>Acquisition / Purchase Cost (Rs.in crores)**</t>
  </si>
  <si>
    <t>Current Circle rate  
(as on 31.03.2020)**</t>
  </si>
  <si>
    <t>Zone/ 
Directorate</t>
  </si>
  <si>
    <t>Mode of ownership/ possession    
( free-hold/ lease hold/ allotted/other- to be specified)</t>
  </si>
  <si>
    <t>Acquisition / Purchase Cost  (Rs.in crores)**</t>
  </si>
  <si>
    <t xml:space="preserve">Zone/ 
Directorate </t>
  </si>
  <si>
    <t>Location of the Property with complete address 
(with district &amp; Pin Code)*</t>
  </si>
  <si>
    <t>Acquisition/ Purchase Cost  (Rs.in crores)</t>
  </si>
  <si>
    <t xml:space="preserve"> Current Circle rate  
(as on 31.03.2020)            </t>
  </si>
  <si>
    <t>Location of the Property with complete address
(with district &amp; Pin Code)*</t>
  </si>
  <si>
    <t>Zone/ 
Direc-torate</t>
  </si>
  <si>
    <t>Total built- up area
(in sq. mtrs.)</t>
  </si>
  <si>
    <t>Date of purchase
(in case  of ready-built purchase)</t>
  </si>
  <si>
    <t>Purchase*/ Construction Cost
(Rs.in crores)</t>
  </si>
  <si>
    <t>Mode of ownership/ possession   
( free-hold/ lease hold/ allotted/other- to be specified)</t>
  </si>
  <si>
    <t>Zone/
Directorate</t>
  </si>
  <si>
    <t>Commissionerate 
(Custodian)</t>
  </si>
  <si>
    <t>Charges being paid e.g. maintenance/ licence fee etc. (for building only), if yes details thereof</t>
  </si>
  <si>
    <t xml:space="preserve">In case building allotted by MoHUA/ Dte. of Estates/ CPWD/ Income Tax/ Others- details thereof </t>
  </si>
  <si>
    <t>Annexure D: Hired Premises</t>
  </si>
  <si>
    <t>Total Carpet Area 
(In Sq. Mtrs.)</t>
  </si>
  <si>
    <t>Built Up Area 
(In Sq. Mtrs.)</t>
  </si>
  <si>
    <t>01.01.2015</t>
  </si>
  <si>
    <t>01.01.2018</t>
  </si>
  <si>
    <t>01.08.2023</t>
  </si>
  <si>
    <t>01.04.2018</t>
  </si>
  <si>
    <t>01.12.2019</t>
  </si>
  <si>
    <t>01.10.2018</t>
  </si>
  <si>
    <t>01.10.2023</t>
  </si>
  <si>
    <t>31.08.2020</t>
  </si>
  <si>
    <t>01.11.2015</t>
  </si>
  <si>
    <t>05 years</t>
  </si>
  <si>
    <t>01.04.2017 to 31.03.2022</t>
  </si>
  <si>
    <t>01.04.2019</t>
  </si>
  <si>
    <t>01.04.2023</t>
  </si>
  <si>
    <t>01.06.2019</t>
  </si>
  <si>
    <t>01.11.2022</t>
  </si>
  <si>
    <t>01.09.2019</t>
  </si>
  <si>
    <t>01.11.2018</t>
  </si>
  <si>
    <t>01.11.2021</t>
  </si>
  <si>
    <t>01.07.2019</t>
  </si>
  <si>
    <t>01.07.2021</t>
  </si>
  <si>
    <t>28.11.2017</t>
  </si>
  <si>
    <t>01.11.2014</t>
  </si>
  <si>
    <t>01.07.2020</t>
  </si>
  <si>
    <t>01.06.2020</t>
  </si>
  <si>
    <t>01.01.1997</t>
  </si>
  <si>
    <t>01.12.2017</t>
  </si>
  <si>
    <t>01.04.2017</t>
  </si>
  <si>
    <t>06.01.2020</t>
  </si>
  <si>
    <t>01.05.2017</t>
  </si>
  <si>
    <t>01.05.2020</t>
  </si>
  <si>
    <t>01.01.2003</t>
  </si>
  <si>
    <t>01.01.2008</t>
  </si>
  <si>
    <t>01.04.2019 to 31.03.2022</t>
  </si>
  <si>
    <t>01.12.2016</t>
  </si>
  <si>
    <t xml:space="preserve">  --</t>
  </si>
  <si>
    <t>01.07.2017</t>
  </si>
  <si>
    <t>...</t>
  </si>
  <si>
    <t>Total built- up area      
(in sq. mtrs.)</t>
  </si>
  <si>
    <t>Annexure C: Residential Quarters</t>
  </si>
  <si>
    <t>Purchase*/ Construction Cost      
(Rs.in crores)</t>
  </si>
  <si>
    <t>Commissionerate 
(Custodian/ Estate Manager)</t>
  </si>
  <si>
    <t>1. AHMEDABAD CUSTOMS ZONE</t>
  </si>
  <si>
    <t>2. BANGALORE CUSTOMS ZONE</t>
  </si>
  <si>
    <t>3. CHENNAI CUSTOMS ZONE</t>
  </si>
  <si>
    <t>4. DELHI CUSTOMS ZONE</t>
  </si>
  <si>
    <t>5. DELHI (PREVENTIVE) ZONE</t>
  </si>
  <si>
    <t>6. KOLKATA CUSTOMS ZONE</t>
  </si>
  <si>
    <t>7. MUMBAI-I CUSTOMS ZONE</t>
  </si>
  <si>
    <t>8. MUMBAI-II CUSTOMS ZONE</t>
  </si>
  <si>
    <t>9. MUMBAI-III CUSTOMS ZONE</t>
  </si>
  <si>
    <t>10. PATNA (PREVENTIVE) ZONE</t>
  </si>
  <si>
    <t>11.  TIRUCHIRAPPALLI (PREVENTIVE) ZONE</t>
  </si>
  <si>
    <t>Customs, Gujarat Zone</t>
  </si>
  <si>
    <t>Customs Ahmedabad</t>
  </si>
  <si>
    <t>C.H.Umersadi,Machhiwad,Umersadi, Tal. Pardi,Dist.Valsad CS No.479 RS No.334</t>
  </si>
  <si>
    <t>1930-31</t>
  </si>
  <si>
    <t>Out of area 1589 Sq Mtr, only 208 Sq Mtr is occupied for office premises.</t>
  </si>
  <si>
    <t>Pataliya Check Post, Kalsar, Tal. Pardi, Distt. Valsad C.No.371</t>
  </si>
  <si>
    <t>(ii)Kikarla,Ta,.Pardi, Dist Valsad, C.S.No.109D</t>
  </si>
  <si>
    <t>C.H. Kolak, Dariya Kinara, Pir Falia Located at the Bank of Kolak river and sea facing. C.S. No.1123 Plot No.9 (Ka) 9 (3)</t>
  </si>
  <si>
    <t>Out of area 815.15 Sq Mtr, only 122.81 Sq Mtr is occupied for office / residential premises.</t>
  </si>
  <si>
    <t>Akari Kantha, Kalsar Border, Valsad RS No.128</t>
  </si>
  <si>
    <t>Akari Kantha, Kalsar Border, Valsad RS No.277</t>
  </si>
  <si>
    <t>Akari Kantha, Kalsar Border, Valsad, R.No.300 CS No.538, 543, 1225, 1226</t>
  </si>
  <si>
    <t>C.H.Kalai,All prosperty sea facing C.S. No.114</t>
  </si>
  <si>
    <t>Out of area 5727 Sq Mtr, only 106 Sq Mtr is occupied for office premises.</t>
  </si>
  <si>
    <t>C.H. Kalai, all property on Sea Facing , CS No.113</t>
  </si>
  <si>
    <t>C.H. Kalai, All prosperty Sea facing, CS No.116</t>
  </si>
  <si>
    <t>C.H. Kalai, All prosperty Sea facing , CS No.118</t>
  </si>
  <si>
    <t>C.H. Kalai, Sea All prosperty facing CS No.119</t>
  </si>
  <si>
    <t>Fansa Village, Fansa under CH Kalai. C.S. No. (594)138</t>
  </si>
  <si>
    <t>Fansa Village, Fansa under C.H. Kalai, CS No.(595) 139</t>
  </si>
  <si>
    <t>Fansa Village, Fansa under C.H. Kalai 560 / A</t>
  </si>
  <si>
    <t>Fansa Village, Fansa under C.H. Kalai. 556</t>
  </si>
  <si>
    <t>Matwad (Dandi), Tal. &amp; Dist. Navsari, Mahadev Falia, Sr. No.11 (7)Pin-396439</t>
  </si>
  <si>
    <t>Daman Customs House, Jain Street, Nani Daman -No.55/1 and 55/10 A</t>
  </si>
  <si>
    <t>Out of area 1352 Sq Mtr, only 198 Sq Mtr is occupied for office /residential premises.</t>
  </si>
  <si>
    <t>Valsad C.H.House Valsad on the bank of Aurange river C.S. No.24 R.S. No.2710/B</t>
  </si>
  <si>
    <t>Out of area 1780 Sq Mtr, only 325 Sq Mtr is occupied for office /residential premises.</t>
  </si>
  <si>
    <t>Custom Guest House, Parkota Sheri, Nani Daman</t>
  </si>
  <si>
    <t>Survey No .1315 Village Suigam. Taluka-Vav, Dist. Banakantha. (Gujarat)</t>
  </si>
  <si>
    <t>Survey No.1342 Village-Suigam, Taluka-Vav, Dist. Banaskantha. (Gujarat)</t>
  </si>
  <si>
    <t>Survey No.1343 Village-Suigam, Taluka-Vav, Dist. Banaskantha. (Gujarat)</t>
  </si>
  <si>
    <t>Survey No.1344 Village-Suigam, Taluka-Vav, Dist. Banaskantha. (Gujarat)</t>
  </si>
  <si>
    <t>Survey No.1345 Village-Suigam, Taluka-Vav, Dist. Banaskantha. (Gujarat)</t>
  </si>
  <si>
    <t>Survey No.589 Village-Asara, Taluka-Vav, Dist. Banaskantha. (Gujarat)</t>
  </si>
  <si>
    <t>Survey No.618 Village-Asara, Taluka-Vav, Dist. Banaskantha. (Gujarat)</t>
  </si>
  <si>
    <t>Survey No.193 Village-Kareli, Taluka-Vav, Dist. Banaskantha. (Gujarat)</t>
  </si>
  <si>
    <t>Survey No.545 Village-Kareli, Taluka-Vav, Dist. Banaskantha. (Gujarat)</t>
  </si>
  <si>
    <t>Survey No.438Village-Mavsari, Taluka-Vav, Dist. Banaskantha. (Gujarat)</t>
  </si>
  <si>
    <t>Survey No.798 Village-Santalpur, Taluka-Santalpur, Dist. Patan. (Gujarat)</t>
  </si>
  <si>
    <t>Survey No.799 Village-Santalpur, Taluka-Santalpur, Dist. Patan. (Gujarat)</t>
  </si>
  <si>
    <t>Survey No.173 Village-Gokhantar, Taluka-Santalpur, Dist. Patan. (Gujarat)</t>
  </si>
  <si>
    <t>Survey No.477 Village-Jhazam, Taluka-Santalpur, Dist. Patan. (Gujarat)</t>
  </si>
  <si>
    <t>Survey No.481 Village-Jhazam, Taluka-Santalpur, Dist. Patan. (Gujarat)</t>
  </si>
  <si>
    <t>Survey No.678 Village-Jhazam, Taluka-Santalpur, Dist. Patan. (Gujarat)</t>
  </si>
  <si>
    <t>Magdalla, Survey No.28, Plot No. 31,32,33</t>
  </si>
  <si>
    <t>Umara (North), Block/Survey No.33B</t>
  </si>
  <si>
    <t xml:space="preserve">Since 2000 the said land is illegally encroached by Zoppadpattis </t>
  </si>
  <si>
    <t>Written a letter to Distt. Collector to intiate action for clearing of encroachment</t>
  </si>
  <si>
    <t>Kandla</t>
  </si>
  <si>
    <t>Land for ofice &amp; residential accommodation-on for Custom Division, Bhuj-370001</t>
  </si>
  <si>
    <t>08.08.2003</t>
  </si>
  <si>
    <t>8.9 (As on 30.04.2016)</t>
  </si>
  <si>
    <t>Yes, initiated on 08.02.2003, latest communication in this regard on 21.02.2020</t>
  </si>
  <si>
    <t>Pending with CPWD</t>
  </si>
  <si>
    <t>CBIC1@delhi</t>
  </si>
  <si>
    <t>Lakhpat, Kachch Custom Division, Bhuj</t>
  </si>
  <si>
    <t>07.06.1991</t>
  </si>
  <si>
    <t>0.05</t>
  </si>
  <si>
    <t>0.02 (As on 30.04.2016)</t>
  </si>
  <si>
    <t>Naliya, Kachchh Custom Division, Bhuj</t>
  </si>
  <si>
    <t>24.06.1994</t>
  </si>
  <si>
    <t>3.2</t>
  </si>
  <si>
    <t>0.88 (As on 30.04.2016)</t>
  </si>
  <si>
    <t>Jakhau,Kachchh Custom Division, Bhuj</t>
  </si>
  <si>
    <t>01.05.1995</t>
  </si>
  <si>
    <t>0.3</t>
  </si>
  <si>
    <t>0.65 (As on 30.04.2016)</t>
  </si>
  <si>
    <t>Bhachau,Kachchh, Custom Division, Bhuj</t>
  </si>
  <si>
    <t>26.03.1999</t>
  </si>
  <si>
    <t>6.75</t>
  </si>
  <si>
    <t>1.02 (As on 30.04.2016)</t>
  </si>
  <si>
    <t xml:space="preserve">Customs(Preventive), Jamnagar, </t>
  </si>
  <si>
    <t>Rev. Survey No. 721, Dwarka-Jamnagar Highway, nr. Shishu Vihar, Dwarka</t>
  </si>
  <si>
    <t>09.05.2008</t>
  </si>
  <si>
    <t>0.11 Cr.</t>
  </si>
  <si>
    <t xml:space="preserve">  </t>
  </si>
  <si>
    <t>S.G. Jafrabad  open plot Survey No. 238 Jafrabad, dis. Amreli</t>
  </si>
  <si>
    <t>4047 Sq Mtr</t>
  </si>
  <si>
    <t>3.12.1994</t>
  </si>
  <si>
    <t>Lease 
Hold</t>
  </si>
  <si>
    <t>C.H. Gogha Gram Panchayat register Entry No. 12</t>
  </si>
  <si>
    <t>20000 Sq Ft</t>
  </si>
  <si>
    <t>13.4.1964</t>
  </si>
  <si>
    <t>Lease
 Hold</t>
  </si>
  <si>
    <t>Jamnagar-Rajkot Highway, Opp. Ganesh Cold Storage, Jamnagar</t>
  </si>
  <si>
    <t>8.8 Crores</t>
  </si>
  <si>
    <t>Construction of office building &amp; Residential quarters</t>
  </si>
  <si>
    <t>Gujarat Zone</t>
  </si>
  <si>
    <t>CH Umersadi, Machhiwad, Umersadi, Tal, Pardi, Dist. Valsad Sea facing CS No.479 RS No.334</t>
  </si>
  <si>
    <t>Kolak Customs House, Daria Kinara, Pir Falia, Located at the Bank of Kolak River and Sea facing RS No. 300 C.S. No. 538, 543, 12,251,226</t>
  </si>
  <si>
    <t>C.H. Valasad, Bunder Road, Hanuman Bagada. C.No.24</t>
  </si>
  <si>
    <t>Bilimora Customs House, Bunder Road, Machiwada, Bilimora</t>
  </si>
  <si>
    <t>Daman Customs House Jain Street, Nani Daman, C.S. No. 55/1</t>
  </si>
  <si>
    <t>Customs, Kandla</t>
  </si>
  <si>
    <t>New Customs House, Kandla</t>
  </si>
  <si>
    <t>23.10.2003</t>
  </si>
  <si>
    <t>01 rupee token</t>
  </si>
  <si>
    <t>Lease Hold</t>
  </si>
  <si>
    <t>13.08.2023</t>
  </si>
  <si>
    <t>Customs Division, Bhuj 370001</t>
  </si>
  <si>
    <t>0.5 (As on 30.04.2016)</t>
  </si>
  <si>
    <t xml:space="preserve">Porta Cabin Office is constructed </t>
  </si>
  <si>
    <t>RCP Gaduli, Kachch</t>
  </si>
  <si>
    <t>1001</t>
  </si>
  <si>
    <t>28.02.2000</t>
  </si>
  <si>
    <t>0.2659</t>
  </si>
  <si>
    <t>Narayan Sarover, Koteshwar</t>
  </si>
  <si>
    <t>395.09</t>
  </si>
  <si>
    <t>04.07.1994</t>
  </si>
  <si>
    <t>0.1275</t>
  </si>
  <si>
    <t>0.35 (As on 30.04.2016)</t>
  </si>
  <si>
    <t xml:space="preserve"> Vill. Ratadia, Khavda</t>
  </si>
  <si>
    <t>84</t>
  </si>
  <si>
    <t>01.12.2005</t>
  </si>
  <si>
    <t>0.1 (As on 30.04.2016)</t>
  </si>
  <si>
    <t>Mandvi Port Office</t>
  </si>
  <si>
    <t>On rent</t>
  </si>
  <si>
    <t>Rent Payable at Port Office, Mandvi</t>
  </si>
  <si>
    <t>Rent Amount Rs. 1063/- for both Mandvi &amp; Jakhau Office</t>
  </si>
  <si>
    <t>S.G Naliya, Kachchh</t>
  </si>
  <si>
    <t>15.05.2007</t>
  </si>
  <si>
    <t>0.494</t>
  </si>
  <si>
    <t>0.3 (As on 30.04.2016)</t>
  </si>
  <si>
    <t>Jakhau Port Office</t>
  </si>
  <si>
    <t>Customs Jamnagar</t>
  </si>
  <si>
    <t>O/o The Deputy Commissioner, Customs Division, B/H. N.K.Metha Hospital, Opp Civil Airport, Porbandar-360577.</t>
  </si>
  <si>
    <t>27th April-1987</t>
  </si>
  <si>
    <t>Purchased</t>
  </si>
  <si>
    <t>N/A.</t>
  </si>
  <si>
    <t>O/o The Superintendent of Customs, Customs Shore Guard, B/H. Collector Bunglow, Rajendra Bhavan Road, Veraval-362266.</t>
  </si>
  <si>
    <t>5th April-1992</t>
  </si>
  <si>
    <t>Survey No. 3935, Ratuswan (old), Opp. Gayatri Temple, Dev Bhumi Dwarka</t>
  </si>
  <si>
    <t>Freehold</t>
  </si>
  <si>
    <t>The building is under construction for Office and Departmental Guest House.</t>
  </si>
  <si>
    <t>Survey No. 17, Old Customs House, Rupen, Distt. Devbhoomi Dwarka</t>
  </si>
  <si>
    <t>S.G. Diu, Open Plot 978 Sq Mtr</t>
  </si>
  <si>
    <t>978 SQ Mtr</t>
  </si>
  <si>
    <t>7.05.1968</t>
  </si>
  <si>
    <t>No cost as per Admn of govt of Daman &amp; diu`s letter No. 4B-20/172-168-B datred 7.5.1968</t>
  </si>
  <si>
    <t>Lease
Hold</t>
  </si>
  <si>
    <t>Office of the Inspector of Customs, CH-Beyt Dwarka</t>
  </si>
  <si>
    <t>Okha Port, Dist. Devbhoomi Dwarka</t>
  </si>
  <si>
    <t>26.06.2013</t>
  </si>
  <si>
    <t>The building is being used for Custom House, Okha and Shore Guard, Dwarka.</t>
  </si>
  <si>
    <t>CH Valsad Bundar Road, Hanuman Bhagda, Valsad</t>
  </si>
  <si>
    <t>CH Billimora, Macchiwad, Bunder Road, Billimora</t>
  </si>
  <si>
    <t>Kolak Customs House,Daria Kinara,Pir Falia</t>
  </si>
  <si>
    <t>CH Daman Jain Street,Nani Daman S.No.55/10</t>
  </si>
  <si>
    <t>CH Onjal, Machhiwad S.NO.258 B NO.855</t>
  </si>
  <si>
    <t>Customs Colony, Gopalpuri, Gandhidham</t>
  </si>
  <si>
    <t>15.04.2002</t>
  </si>
  <si>
    <t>Customs Colony, Kandla</t>
  </si>
  <si>
    <t>Guj. Housing Board, Nr. KASEZ</t>
  </si>
  <si>
    <t>22.10.1997</t>
  </si>
  <si>
    <t>NU-3, Apna Nagar, Gandhidham</t>
  </si>
  <si>
    <t>Owned</t>
  </si>
  <si>
    <t>RCP, Gaduli</t>
  </si>
  <si>
    <t>22.02.2000</t>
  </si>
  <si>
    <t>Narayan Sarovar, Koteshwar, CD Bhuj</t>
  </si>
  <si>
    <t>Vill. Ratadia, Khavda</t>
  </si>
  <si>
    <t>30.11.2005</t>
  </si>
  <si>
    <t>SG Naliya, Kachchh</t>
  </si>
  <si>
    <t>Residential Quarters, Customs Colony, B/H. N.K.Metha Hospital, Opp Civil Airport, Porbandar-360577.</t>
  </si>
  <si>
    <t>Ownership</t>
  </si>
  <si>
    <t>Office of the Deputy Commissioner, Custom House, Okha</t>
  </si>
  <si>
    <t>.--</t>
  </si>
  <si>
    <t>Housing Board Colony, Ranjitnagar, Jamnagar</t>
  </si>
  <si>
    <t>224 (8*28)</t>
  </si>
  <si>
    <t>15.04.1978</t>
  </si>
  <si>
    <t>.---</t>
  </si>
  <si>
    <t>Customs Gujarat Zone</t>
  </si>
  <si>
    <t>Custom, Ahmedabad</t>
  </si>
  <si>
    <t>Custom House, Mundra</t>
  </si>
  <si>
    <t>Custom Office, Old port, Near Mandvi Chawk, Mundra (Distt: Kutch) Pin :- 370421</t>
  </si>
  <si>
    <t>21.05.1996</t>
  </si>
  <si>
    <t>Type-II (14), Type-III (7) and Type-IV (1)</t>
  </si>
  <si>
    <t>Bangalore Customs Zone</t>
  </si>
  <si>
    <t>Mangalore Customs</t>
  </si>
  <si>
    <t>Sy. No.491/3, thota village, Hoige Bazar, Mangaluru Hobli Pin 575001</t>
  </si>
  <si>
    <t>Acquired prior to 1947</t>
  </si>
  <si>
    <t>free-hold</t>
  </si>
  <si>
    <t>Encroachment by State Port authorities</t>
  </si>
  <si>
    <t>Sy. No. 45/1, Chitrapu-4 Village, Mulki Hobli, Mangalore taluk Pin 574 154.</t>
  </si>
  <si>
    <t>Encroachment. Panchayat has built a road through the plot.</t>
  </si>
  <si>
    <t>Survey No.51/P4 Shivalli Village,Manipal</t>
  </si>
  <si>
    <t>Survey No.231/4B1B, Thekkatte village, kundapura taluk, Udupi District.</t>
  </si>
  <si>
    <t xml:space="preserve">Survey No.129/7A, Paduvari village, Byndoor Hobli, Kundapura Taluk, Udupi district </t>
  </si>
  <si>
    <t>Survey No.1591, Gokarna village, Gokarna Hobli, Kumta Taluk, Uttara Kannada district</t>
  </si>
  <si>
    <t>Contested by Department of Salt</t>
  </si>
  <si>
    <t>Survey No.1565B, Gokarna village, Gokarna Hobli,  Kumta Taluk, uttarakannada District</t>
  </si>
  <si>
    <t>Survey No.1528, Gokarna village, Gokarna Hobli,  Kumta Taluk, uttarakannada District</t>
  </si>
  <si>
    <t xml:space="preserve">Survey No.1468,  Gokarna village, Gokarna Hobli,  Kumta Taluk, uttarakannada District </t>
  </si>
  <si>
    <t>Survey No.1462A2, Tadri, Gokarna village, Gokarna Hobli,  Kumta Taluk, uttarakannada District</t>
  </si>
  <si>
    <t>Survey No.289, Nadumaskeri, Tadri  Gokarna Hobli,  Kumta Taluk, uttarakannada District</t>
  </si>
  <si>
    <t xml:space="preserve">As per land records of this site, it is transferred to state govt authorities. </t>
  </si>
  <si>
    <t>Survey No.147, Nadumaskeri village, Tadri,Kumta Taluk, Uttarakannada district</t>
  </si>
  <si>
    <t xml:space="preserve">Survey No.146, Tadri, Nadumaskeri village, Gokarna Hobli,  Kumta Taluk, Uttarakannada District </t>
  </si>
  <si>
    <t xml:space="preserve">Survey No.145, Nadumaskeri village, Tadri,Kumta Taluk, Uttarakannada District </t>
  </si>
  <si>
    <t xml:space="preserve">Survey No.1117A1, Tadri, Gokarna village, Gokarna Hobli, Kumta Taluk, Uttarakannada District </t>
  </si>
  <si>
    <t>Possession with Department of Inland Waterways and Minor Ports, Karnataka. Stated to be transferred to them in 1963 consequent to enactment of Customs Act 1962.</t>
  </si>
  <si>
    <t xml:space="preserve">Survey No.1040, Belekhan Tadri, Gokarna village, Gokarna Hobli, Kumta Taluk,  Uttarakannada District </t>
  </si>
  <si>
    <t xml:space="preserve">1681 A, Tadri , Gokarna village, Gokarna Hobli, Kumta Taluk,  Uttarakannada District </t>
  </si>
  <si>
    <t>Title not clear as per land records.</t>
  </si>
  <si>
    <t>Survey No.1469, Gokarna village, Gokarna Hobli, Kumta Taluk, Uttarakannada district</t>
  </si>
  <si>
    <t>Survey No.552A, Kumta village, Kumta Hobli, Kumta Taluk, Uttarakannada district</t>
  </si>
  <si>
    <t>Survey No.1249, Manki village, Manki Hobli, Honnavar Taluk, Uttarakannada district</t>
  </si>
  <si>
    <t xml:space="preserve">As per latest survey done both S.No. 1249 &amp; 1054A are adjascent each other. However due to errosion by sea &amp; due to peculiar topography of the land remaining land in each of these two properties cannot be measured seperately. </t>
  </si>
  <si>
    <t>Survey No.1054 A, Manki village, Manki Hobli, Honnavar Taluk, Uttarakannada district</t>
  </si>
  <si>
    <t xml:space="preserve">As per latest survey done both S.No. 1249 &amp; 1054A are adgescent each other. However due to errosion by sea &amp; due to peculiar topography of the land remaining land in each of these two properties cannot be measured seperately. </t>
  </si>
  <si>
    <t>Survey No.4A, Mavalli II village, Mavalli Hobli, Bhatkal taluk,  murudeshwar, bhatkal Taluk</t>
  </si>
  <si>
    <t>Survey No.221, Mundalli Village, Sasgadi hobli, Bhatkal Taluk, Uttarakannada district</t>
  </si>
  <si>
    <t>Survey No.220A, Mundalli Village, Sasgadi hobli, Bhatkal Taluk, Uttarakannada district</t>
  </si>
  <si>
    <t>Survey No.19B, Shiralli village, Mavalli Hobli, Bhatkal Taluk, Uttara Kannada district</t>
  </si>
  <si>
    <t>Survey No.1058, Shiralli village, Mavalli Hobli, Bhatkal Taluk, Uttara Kannada district</t>
  </si>
  <si>
    <t>Survey No.1057, Shiralli village, Mavalli Hobli, Bhatkal Taluk, Uttara Kannada district</t>
  </si>
  <si>
    <t>Survey No.9999, Plot No. 60, Nawayat Colony,  Susgadi village, Susgadi Hobli, Bhatkal Taluk, Uttarakannada district.</t>
  </si>
  <si>
    <t>08.01.2003</t>
  </si>
  <si>
    <t>1757,Gotnibagh, Majali village, Savanthavada Hobli, Karwar Taluk, Uttarakannada district</t>
  </si>
  <si>
    <t>Encroachment</t>
  </si>
  <si>
    <t>203, Tilmati, Majali village, Savanthavada Hobli, Karwar Taluk, Uttarakannada District.</t>
  </si>
  <si>
    <t>1572A, Majali village, Savanthavada Hobli, Karwar Taluk, Uttarakannada district</t>
  </si>
  <si>
    <t xml:space="preserve">266 A1,Harwarda village, Ankola Taluk, Uttarakannada district, </t>
  </si>
  <si>
    <t>245, Babruwada village, Basagods Hobali, Ankola Taluk, Uttarakannada District.</t>
  </si>
  <si>
    <t>204 A1.A1, Belekeri,  Belekeri village, Belekeri Hobli, Ankola taluk, Uttarakannada district</t>
  </si>
  <si>
    <t>4073 SQURE METERS (1 ACRES)</t>
  </si>
  <si>
    <t>04.02.2020</t>
  </si>
  <si>
    <t>Sub-Lessee</t>
  </si>
  <si>
    <t>3,00,00,000/-</t>
  </si>
  <si>
    <t>YES</t>
  </si>
  <si>
    <t>Sy. No. 550/1, 2B, 3,4,5,6   O/o Superintendent of Customs, Old Port, Mangaluru-575001</t>
  </si>
  <si>
    <t>State Port authority has encroached upon 06 cents of land. The Department in the process of exchanging the said parcel of land with the land of State Port authority.</t>
  </si>
  <si>
    <t>New Custom House, Panambur, Mangalore 575010</t>
  </si>
  <si>
    <t>Land leased from New Mangalore Port Trust</t>
  </si>
  <si>
    <t>30 year lease, renewed in 2010</t>
  </si>
  <si>
    <t>Lease Rent Rs.77,29,407/- Yearly</t>
  </si>
  <si>
    <t>Survey No.163, CPU, Honnavar village, Honnavar Hobli, Honnavar Taluk, Uttarakannada district</t>
  </si>
  <si>
    <t>910.53 sqmts handedover to State ports department as per erstwhile Bombay Central Excise Commissioner order of 1963</t>
  </si>
  <si>
    <t>Survey No.528A, CPU, Bunder road, Kumta village, kumta, Uttarakannada district</t>
  </si>
  <si>
    <t>1121B, Preventive unit,Tadri, Gokarna village, Gokarna Hobli, Kumta Taluk, Uttarakannada district</t>
  </si>
  <si>
    <t>211 A1, Custom House, Belekeri, Belekeri village, Belekeri Hobli, Ankola taluk, Uttarakannada district</t>
  </si>
  <si>
    <t>1387, Customs Division Office, M.G. Road, Karwar</t>
  </si>
  <si>
    <t>Survey No.156/4 to 156/10, Office Bldg, Gangolli village, Kundapura taluk, Udupi district.</t>
  </si>
  <si>
    <t>Survey No.72/6B &amp; 72/12, Balkudru   (Hangarakatta), Kundapur Taluk.</t>
  </si>
  <si>
    <t>Sy.No.57, Custom House, Baithkol, Karwar 581301</t>
  </si>
  <si>
    <t>Office built on Land of State Port Authority</t>
  </si>
  <si>
    <t>Sy. No. 70/6 A to D &amp; 123/3 (B). Bikarnakatte, 79, Padau Village Mangaluru taluk Pin 575 008</t>
  </si>
  <si>
    <t>18.06.2004</t>
  </si>
  <si>
    <t>no</t>
  </si>
  <si>
    <t>SY. No. 162A, Sepoy Chawl, Honnawar</t>
  </si>
  <si>
    <t>Sy. No. 161 B, Insp Qtrs,  Honnavar village, Honnavar, Inspector Bunglow</t>
  </si>
  <si>
    <t>Prior to 1947</t>
  </si>
  <si>
    <t>Sy. No. 531 B &amp; 531 E, Staff Qtrs., Preventive Unit, Kumta</t>
  </si>
  <si>
    <t>Prior to 1947, Qtrs built in 1999</t>
  </si>
  <si>
    <t>Sy. No. 1148B, Staff Qtrs, Tadri, Uttara Kannada Dist.</t>
  </si>
  <si>
    <t>Prior to 1947, Quarters built in1999</t>
  </si>
  <si>
    <t>Sy. No.  1188 B, Staff Qtrs, Tadri, Uttara Kannada Dist.</t>
  </si>
  <si>
    <t>Prior to 1947, Quarters built in 1999</t>
  </si>
  <si>
    <t>Sy. No. 276, Kajubagh, M.G. Road, Karwar (Customs &amp; C. Ex. Colony)</t>
  </si>
  <si>
    <t>Prior to 1947, Quarters built in 1990</t>
  </si>
  <si>
    <t>Sy. No. 1378B3, Clerical Chawl, NH 17, Bada III , Karwar</t>
  </si>
  <si>
    <t>Sy. No. 1444/1 B3, Clerical Chawl, NH 17 Bada III, Karwar</t>
  </si>
  <si>
    <t>Sy. No. 43 A2, sepoy Chawl, Baithkol village, Baada Hobli, Karwar Taluk.</t>
  </si>
  <si>
    <t>282A,Sepoy Chawl, Kodibag village, Baada Hobli, Karwar Taluk, Uttarakannada district</t>
  </si>
  <si>
    <t>1380A, NH-17,  Sir Karkun Bungalow, Baada -III village, Baada Hobli, Karwar Taluk, Uttarakannada district</t>
  </si>
  <si>
    <t>Bengaluru Customs Zone</t>
  </si>
  <si>
    <t>Survey No.356/2B, Office Bldg and Qtrs, Koteshwara villag, Kundapur taluk, Udupi district</t>
  </si>
  <si>
    <t>Sy. No. 260/13A, Old office bldg, New Staff quarter/office, CPU, Beach Road, Malpe, Kodavoor, Udupi-576108</t>
  </si>
  <si>
    <t>Prior to 1947, office bldg and Qtrs built in 2001</t>
  </si>
  <si>
    <t>Chennai Customs Zone</t>
  </si>
  <si>
    <t>Chennai Preventive Commissionerate (Chennai - III)</t>
  </si>
  <si>
    <t>Survey No: 4095/2,
Jaffer Syarang Street, Chennai 600001</t>
  </si>
  <si>
    <t xml:space="preserve"> Year 1854</t>
  </si>
  <si>
    <t># Nil</t>
  </si>
  <si>
    <t>Rs. 35.5</t>
  </si>
  <si>
    <t>Yes  ##</t>
  </si>
  <si>
    <t>###</t>
  </si>
  <si>
    <t>#. The land was a part of Pre-Independence period.  British Customs Collectorate and    inherited to Chennai Customs. Hence purchase value and title documents are not available. This office has already approached  the State Revenue Authorities for the title deed.</t>
  </si>
  <si>
    <t xml:space="preserve"> Block No.36, Survey No.4133/2,No: 60, Rajaji Salai, Chennai District Chennai 600001</t>
  </si>
  <si>
    <t>Rs. 170.37 Crs</t>
  </si>
  <si>
    <t xml:space="preserve">Customs </t>
  </si>
  <si>
    <t>Central Revenue Quarters, 15th Main Road, Anna Nagar, Chennai 600040</t>
  </si>
  <si>
    <t>28.03.1970</t>
  </si>
  <si>
    <t>Rs.797.06</t>
  </si>
  <si>
    <t xml:space="preserve"> Purchased, Free Hold</t>
  </si>
  <si>
    <t>Joint Ownership by Income Tax, Customs &amp; GST</t>
  </si>
  <si>
    <t>Jointly owned by Customs, GST &amp; Income Tax</t>
  </si>
  <si>
    <t>Central Revenue Quarters, No: 121, Uthamar Gandhi Salai, Nungambakkam, Chennai 600034</t>
  </si>
  <si>
    <t>20.08.1954</t>
  </si>
  <si>
    <t>Rs.22.89</t>
  </si>
  <si>
    <t>the said portion of the land belongs to CBIC</t>
  </si>
  <si>
    <t>SAF Games Village, Koyembedu, Chennai 600106</t>
  </si>
  <si>
    <t>31.01.1997</t>
  </si>
  <si>
    <t>Rs.9.35 Cr</t>
  </si>
  <si>
    <t>Rs.1.24</t>
  </si>
  <si>
    <t>Free Hold ,Purchased</t>
  </si>
  <si>
    <t xml:space="preserve"> Ready built Flats was purchased</t>
  </si>
  <si>
    <t>Delhi Customs</t>
  </si>
  <si>
    <t>Airport &amp; General</t>
  </si>
  <si>
    <t>New Customs House, Near IGI Airport, New Delhi-110037</t>
  </si>
  <si>
    <t>24.11.1986</t>
  </si>
  <si>
    <t>Rs. 210240/- per sq. mtrs.</t>
  </si>
  <si>
    <t>lease hold</t>
  </si>
  <si>
    <t>On lease from 24.11.1986 for period of 30 years</t>
  </si>
  <si>
    <t>Rs. 50/- per sq. mtr. per year from 24.11.1986 and Rs. 100/- per sq. mtr. w.e.f. 01.04.1990 and paid upto June, 2012</t>
  </si>
  <si>
    <t>11000 sq. mtrs. land acquired on lease from GMR/AAI starting from 24.11.1986 for 30 years</t>
  </si>
  <si>
    <t>Chief Commissioner of Customs, Kolkata Zone</t>
  </si>
  <si>
    <t xml:space="preserve">Kolkata Customs </t>
  </si>
  <si>
    <t>Custom House, 15/1, Strand Road, Kolkata-700001</t>
  </si>
  <si>
    <t>24451 (approx)</t>
  </si>
  <si>
    <t xml:space="preserve">1st Floor of Trustee’s Bldg. Near 5, Netaji Subhas Dock (Kolkata Port Trust), Kolkata
700043
</t>
  </si>
  <si>
    <t>223.45 sq. m (total built-up area)</t>
  </si>
  <si>
    <t>Rented</t>
  </si>
  <si>
    <t>Rs.2,35,140/- per month</t>
  </si>
  <si>
    <t>Rent has not been renewed till now</t>
  </si>
  <si>
    <t xml:space="preserve">Mini Custom House, G.C Berth, P.O – Haldia, Dist – Purba Medinipur
721604
</t>
  </si>
  <si>
    <t>1411.88 sq. m</t>
  </si>
  <si>
    <t>Rs,11,01,864/- per month</t>
  </si>
  <si>
    <t>179, Shanti Pally, E. M. Bypass, Kasba, Kolkata-700107</t>
  </si>
  <si>
    <t>2005 &amp; Type-V, VI handed over on 04.03.2011</t>
  </si>
  <si>
    <t>2.27 for 2 plots measuring 6.21 &amp; 3.79 acres,17.15 for 318 quarters</t>
  </si>
  <si>
    <t xml:space="preserve">Commissioner of Customs (Port)   Kolkata </t>
  </si>
  <si>
    <t xml:space="preserve">Mini Custom House, Middle Point, Port Blair, A &amp; N Islands
-744101
</t>
  </si>
  <si>
    <t>Not  applicable</t>
  </si>
  <si>
    <t>Kolkata Customs Zone</t>
  </si>
  <si>
    <t>CC(P),West Bengal</t>
  </si>
  <si>
    <t>Mouza- Torsha Tea Garden, J.L No. 24 under P.S Jaigaon, Dist. Alipurduar</t>
  </si>
  <si>
    <t>17.01.2019</t>
  </si>
  <si>
    <t>5.76 Cr. as per W.B. Registation site as on 09/06/2020</t>
  </si>
  <si>
    <t xml:space="preserve">Freehold </t>
  </si>
  <si>
    <t>Site plan/ Architechtural design has been  redrawn/redesigned. PE to be submitted by CPWD shortly.</t>
  </si>
  <si>
    <t>Vill: Jayantipur
P.O: Petrapole
P.S: Bongaon
Dist: North 24 Parganas, PIN-743405</t>
  </si>
  <si>
    <t>VACANT area (6.57 acre) 26594.4 sq. mtr.</t>
  </si>
  <si>
    <t>14.11.1995</t>
  </si>
  <si>
    <t>0.1661 Cr. (Including Quarter Complex including Annexure A3 below)</t>
  </si>
  <si>
    <t>Poposal for Office Cum Residential Quarter Complex is under process. Lately, CPWD has been requested to revise their drawings and resubmit estimate.</t>
  </si>
  <si>
    <t>Land was acquired for staff Quarter &amp; Office building (total area as per BL&amp; LRO record is  7.13 acre, out of which 6.57 acre is vacant)</t>
  </si>
  <si>
    <t>Plot No-6118(LR) Mouza-Ruipukur,J.L. No.52, Vill-Ruipukur, P.S. Kotwali, Near P.W.D. Office, krishnagar, Dist: Nadia, (W.B.)- 741101</t>
  </si>
  <si>
    <t>2347.0176 sq mtrs</t>
  </si>
  <si>
    <t>29.03.1997</t>
  </si>
  <si>
    <t>Rs.3,95,982/-</t>
  </si>
  <si>
    <t>Pashupati, P.O - Bong, Sukhiapokhri, Dist. Darjeeling</t>
  </si>
  <si>
    <t>173 sq. mtrs</t>
  </si>
  <si>
    <t>01.04.1998</t>
  </si>
  <si>
    <t>Acquired by department</t>
  </si>
  <si>
    <t>other - gifted</t>
  </si>
  <si>
    <t>The land was presented by the forest department.</t>
  </si>
  <si>
    <t>Changrabandha LCS, Babupara, P.O. Changrabandha, District Coochbehar-735301, W.B.</t>
  </si>
  <si>
    <t>2307 sq. m</t>
  </si>
  <si>
    <t>Gifted</t>
  </si>
  <si>
    <t>Changrabandha LCS, 147 Bhotbari,Changrabandha,Mekhliganj,  District Coochbehar-735301, W.B.</t>
  </si>
  <si>
    <t>680 sq.m.</t>
  </si>
  <si>
    <t>Haldibari LCS/Jalpaiguri PU, Vill+ P.O. + P.S. Haldibari, Ward No. 7, District Coochbehar-735122, W.B.</t>
  </si>
  <si>
    <t>745 sq. m.</t>
  </si>
  <si>
    <t>0.13cr.</t>
  </si>
  <si>
    <t>Presently only one room for office and other room used as transit godown.</t>
  </si>
  <si>
    <t>L.C.S  Baggage hall- 585.16 Sq.mtr.</t>
  </si>
  <si>
    <t>25.11. 1995</t>
  </si>
  <si>
    <t>Not available
(This assets was handed over to this Deptt. For official use, So, reactive  land  is lying recorded  in the name of  WB Police )</t>
  </si>
  <si>
    <t>Presently used as Passenger Terminal of Petrapole Customs</t>
  </si>
  <si>
    <t>CCP), Kolkata</t>
  </si>
  <si>
    <t>O/o of the Superintendent of Customs Mahadipur LCS/PU, Vill &amp; P.O-Mahadipur P.S-Emglish Bazar , Dist. Malda Pin732216</t>
  </si>
  <si>
    <t xml:space="preserve"> 4142.226 sq.mtr.</t>
  </si>
  <si>
    <t>office of the Superintendent of Customs, Vill-Baikunthpur P.O &amp; P.S. Hili. D/Dinajpur,WB-733126</t>
  </si>
  <si>
    <t>3528.858 Sq.mtrs</t>
  </si>
  <si>
    <t>Rs.0.554</t>
  </si>
  <si>
    <t>Purchase</t>
  </si>
  <si>
    <t>Superintendent of Customs Radhikapur LCS, Vill-Radhikapur,PO+PS-Kaliaganj Dinajpur (N)</t>
  </si>
  <si>
    <t>7366 sq.mtr.</t>
  </si>
  <si>
    <t>20/9/1976</t>
  </si>
  <si>
    <t>Rs.0.1577</t>
  </si>
  <si>
    <t>Superintendent of Customs Gopalpur LCS,ill-Goalpukur,PO+PS-Goalpukur Dinajpur (N)</t>
  </si>
  <si>
    <t>152 sq.mtr.</t>
  </si>
  <si>
    <t>Rs.0.0025</t>
  </si>
  <si>
    <t>officer-in-charge of Customs Daspara PU,Vill-Daspara,PO+PS Dasapara Dinajpur (N)</t>
  </si>
  <si>
    <t>152 sq.m</t>
  </si>
  <si>
    <t>Rs.0.0030</t>
  </si>
  <si>
    <t>Ghojadanga Land Customs Station &amp; Ghojadanga P.U., P.O-Panitor, P.S.- Basirhat, 24 Pgs (N)-743292</t>
  </si>
  <si>
    <t>Rs. 2255511.00</t>
  </si>
  <si>
    <t>Govt. owned Land</t>
  </si>
  <si>
    <t>Haldibari LCS/Jalpaiguri PU, Vill+ P.O. + P.S. Haldibari, Ward No. 3, District Coochbehar-735122, W.B.</t>
  </si>
  <si>
    <t>2217.68 sq. m</t>
  </si>
  <si>
    <t>0.38 cr.</t>
  </si>
  <si>
    <t>Residential Quarters are in very poor condition and abandoned</t>
  </si>
  <si>
    <t>Panitanki, Indo-Nepal Border, P.O- Dulaljote, Dist - Darjeeling, Pin 734 429</t>
  </si>
  <si>
    <t>1.48 acre (5989.37sq.mtrs)</t>
  </si>
  <si>
    <t>10.07.1990</t>
  </si>
  <si>
    <t>not available</t>
  </si>
  <si>
    <t>Quarter Complex 2266.8 sq.mtr.</t>
  </si>
  <si>
    <t>0.1661 Cr. (Including Vacant Land in Annexure A1 above)</t>
  </si>
  <si>
    <t xml:space="preserve">Gitaldaha Customs Office, P.O. Gitaldaha,Dt. Cooch Behar.  </t>
  </si>
  <si>
    <t>Other- as per enquiry report of O/O the BL&amp;LRO, Dinhata vide Memo No. 993IX-3(A)/BLRO/Din-I/08 dated 12.09.2008, the possession is with the customs deptt however the Khatian no. has not been allotted in the name of the customs deptt. Please find the the report attached as Annexure A2(1).</t>
  </si>
  <si>
    <t xml:space="preserve">Bamanhat Customs office, P.O. Bamanhat,Dt. Cooch Behar.  </t>
  </si>
  <si>
    <t>FREEEHOLD</t>
  </si>
  <si>
    <t>Jaigaon Customs CP, P.O.Jaigaon,Dist. Jalpaiguri.</t>
  </si>
  <si>
    <t>After 1987</t>
  </si>
  <si>
    <t xml:space="preserve">Dinhata Customs Circle, P.O. Dinhata,Dt.Cooch Behar.  </t>
  </si>
  <si>
    <t>Mumbai Zone II</t>
  </si>
  <si>
    <t>Customs JNCH</t>
  </si>
  <si>
    <t>JNCH, Post Sheva Taluka Uran Dist. Raigad Maharashtra 400707</t>
  </si>
  <si>
    <t>16,000 sq. mtrs</t>
  </si>
  <si>
    <t>NA.</t>
  </si>
  <si>
    <t>Rs. 318.73/sq.ft /per annum</t>
  </si>
  <si>
    <t>Land handed over by JNPT to JNCH no formal land lease agreement between JNPT and JNCH Land was handed over to JNCH on 27.10.1988 for initial period of 30 years i.e. upto 26.10.2018 Regularisation of land lease agreement has been initiated by Department . Deed agreement received from Chief Manager (PP&amp;D), JNPT forwarded to Senior Advocate Central Govt. Ministry of Law &amp; Justice.</t>
  </si>
  <si>
    <t>Rs. 318.73/sq.ft/per annum</t>
  </si>
  <si>
    <t>JNPT Township, Phunde Village, Tal- Uran, Distt. Raigad- 400707</t>
  </si>
  <si>
    <t>54,750 Sq.mts</t>
  </si>
  <si>
    <t>JNPT Township, Phunde Village, Tal- Uran, Distt. Raigad-</t>
  </si>
  <si>
    <t>Customs(Prev), M&amp;P Wing, Mumbai</t>
  </si>
  <si>
    <t>Arnala Circle</t>
  </si>
  <si>
    <t>Pre independence Inheritance</t>
  </si>
  <si>
    <t>In possession of Govt.- salt Department</t>
  </si>
  <si>
    <t>Partially encroached ( No boundry wall)</t>
  </si>
  <si>
    <t xml:space="preserve">Mumbai-III Customs </t>
  </si>
  <si>
    <t>Dahanu Circle</t>
  </si>
  <si>
    <t>In possession of Govt.</t>
  </si>
  <si>
    <t>Thane Circle</t>
  </si>
  <si>
    <t>Surve No.18.Bunder, Kalyan , Thane Circle</t>
  </si>
  <si>
    <t>Yes GOVT.POSSESSION</t>
  </si>
  <si>
    <t>Pre independence Inheritance,  Government Possession</t>
  </si>
  <si>
    <t>KELVE BAZAAR, TAL&amp;DIST PALGHAR -401401</t>
  </si>
  <si>
    <t>NOT KNOWN</t>
  </si>
  <si>
    <t>4 LAKHS APPROX</t>
  </si>
  <si>
    <t>NAME OF GOVT OF MAHARASHTRA</t>
  </si>
  <si>
    <t>SMALL LAND , TITLE WITH STATE GOVT.</t>
  </si>
  <si>
    <t>SATPATI VILLAGE, NEAR ICE FACTORY, PALGHAR -401504</t>
  </si>
  <si>
    <t>10 LAKHS APPROX</t>
  </si>
  <si>
    <t>OWN</t>
  </si>
  <si>
    <t>EXISTING OFFICE/RES. DEMOLISHED</t>
  </si>
  <si>
    <t>SATPATI VILLAGE, NEAR MACHIMAR SOC., PALGHAR -401504</t>
  </si>
  <si>
    <t>5.50 LAKHS APPROX</t>
  </si>
  <si>
    <t>COURT CASE</t>
  </si>
  <si>
    <t>OPEN LAND- ENCROACHED AND 3 HOUSES CONSTRUCTED</t>
  </si>
  <si>
    <t>16 LAKHS APPROX</t>
  </si>
  <si>
    <t>OPEN LAND- LAND GETS SUBMERGED DURING HIGH TIDE</t>
  </si>
  <si>
    <t>58  LAKHS APPROX</t>
  </si>
  <si>
    <t>Uttan Circle</t>
  </si>
  <si>
    <t>Rai at Survey No.116, Bhayander-West,401106, Dist-Thane</t>
  </si>
  <si>
    <t>Pre-independence era</t>
  </si>
  <si>
    <t>Open Land</t>
  </si>
  <si>
    <t>Rai at Survey No.126 Bhayander-West,401106, Dist-Thane</t>
  </si>
  <si>
    <t>Murdha at Survey No.96 (Old Survey  No. 267) (Clerk Quarters Block No.1 at Rai), Bhayander-West,401106, Dist-Thane</t>
  </si>
  <si>
    <t>17.12.1936</t>
  </si>
  <si>
    <t>Murdha at Survey  No. 98(Old S. No. 269), Bhayander-West,401106, Dist-Thane</t>
  </si>
  <si>
    <t>01.04.1937</t>
  </si>
  <si>
    <t>Bhayander Survey  No. 335(Old Survey No.768), 8(Old S. No. 269), Bhayander-West,401106, Dist-Thane</t>
  </si>
  <si>
    <t>Bhayander Survey  No. 379(Old Survey No. 767), Bhayander-West,40110</t>
  </si>
  <si>
    <t>03.07.1890</t>
  </si>
  <si>
    <t>Bhayander Survey No. 325( Old Survey No.725) (Quarters for three clerks at Bhayander),  Bhayander-West,401</t>
  </si>
  <si>
    <t>20.04.1914,           21.09.1878,   16.11.1878, 02.02.1861 ,24.06.1908               14.04.1946</t>
  </si>
  <si>
    <t>Bhayander Survey No.233( Old Survey No 777), Bhayander-West,401106, Dist-Thane</t>
  </si>
  <si>
    <t>19.01.1903</t>
  </si>
  <si>
    <t>Bhayander Survey No. 231 (Old Survey No. 778),  Bhayander-West,4011</t>
  </si>
  <si>
    <t>26.02.1946</t>
  </si>
  <si>
    <t>Bhayander Survey No. 195 (Old Survey No. 779), Bhayander-West,401106, Dist-Thane</t>
  </si>
  <si>
    <t>Tarodi at Survey No. 138 (New Survey No.10) (A,B,C,D), Bhayander-West,401106, Dist-Thane</t>
  </si>
  <si>
    <t>01.01.1890</t>
  </si>
  <si>
    <t>Mumbai-III Customs</t>
  </si>
  <si>
    <t>Customs (Preventive), Marine &amp; Preventive Wing, Mumbai</t>
  </si>
  <si>
    <t>Survey No. 288, Gut No. 258, Old Mandwa Jetty, Mandwa village, Alibag</t>
  </si>
  <si>
    <t xml:space="preserve"> No Encroachment</t>
  </si>
  <si>
    <t>Alibag Dn.</t>
  </si>
  <si>
    <t>Survey No. 48/2 ,Rajankar Dhawli Rewas Jetty, Alibag, Dist – Raigad</t>
  </si>
  <si>
    <t>17.09.1970</t>
  </si>
  <si>
    <t>Servey No. 348, Kalgaon Tal-Alibag, Dist-Raigad</t>
  </si>
  <si>
    <t>16.12.1966</t>
  </si>
  <si>
    <t>Survey No. 3A(1), Rajankar Dhawli, Tal-Alibag, Dist-Raigad</t>
  </si>
  <si>
    <t>Survey No. 1A, Rajankar Dhawli, Tal-Alibag, Dist-Raigad</t>
  </si>
  <si>
    <t xml:space="preserve">  Encroachment</t>
  </si>
  <si>
    <t>Survey No. 276, Karave Village, Navi Mumbai</t>
  </si>
  <si>
    <t>Encroachment-Not known</t>
  </si>
  <si>
    <t>Survey No. 471 &amp; Survey No. 474, Shahbaz Village, Navi Mumbai</t>
  </si>
  <si>
    <t>S. No.471-1000 S. No.474-300</t>
  </si>
  <si>
    <t>Survey No. 472 &amp; Survey No. 473, Shahbaz Village, Navi Mumbai</t>
  </si>
  <si>
    <t>S. No.472-300 S. No.473-1500</t>
  </si>
  <si>
    <t>No  Encroachment</t>
  </si>
  <si>
    <t>Survey No. 483, Shahbaz Village, Navi Mumbai</t>
  </si>
  <si>
    <t>Survey No. 72B &amp; 88B, arsole Village, Navi Mumbai</t>
  </si>
  <si>
    <t>Survey No./Gat No. 333/2, Thal, Alibag Taluka, Dist – Raigad.</t>
  </si>
  <si>
    <t>29.11.1969</t>
  </si>
  <si>
    <t>Survey No.200/0, Village Umbarde, Taluka Pen, Dist. Raigad</t>
  </si>
  <si>
    <t>Not identified</t>
  </si>
  <si>
    <t>Survey No.184-B,      At &amp; Post Wave, Taluka Pen, Dist. Raigad</t>
  </si>
  <si>
    <t>Survey No.161-B,     At &amp; Post Wave, Taluka Pen, Dist. Raigad.</t>
  </si>
  <si>
    <t>Survey No.186-B At &amp; Post Wave, Taluka Pen, Dist. Raigad</t>
  </si>
  <si>
    <t>Survey No.186-C At &amp; Post Wave, Taluka Pen, Dist. Raigad</t>
  </si>
  <si>
    <t>Survey No.21              At &amp; Post Wadkhal Taluka Pen, Dist. Raigad</t>
  </si>
  <si>
    <t>Survey No.51/0/1             Village Umbarde, Taluka Pen, Dist. Raigad</t>
  </si>
  <si>
    <t>Gut No. 287, Village-Sanegaon Tal-Roha, Dist-Raigad</t>
  </si>
  <si>
    <t>Encroachment-Yes (Farming)</t>
  </si>
  <si>
    <t>Survey No.1/51, Rajapuri village, Murud Taluka, Raigad Dist.</t>
  </si>
  <si>
    <t>No encrochment</t>
  </si>
  <si>
    <t>Survey No. 11 (21), Ekdara, Nr. Ekdara bridge, Murud Taluka, Rigad Dist.</t>
  </si>
  <si>
    <t xml:space="preserve"> No encrochment</t>
  </si>
  <si>
    <t>Survey No. 88 (3), Korlai, Murud Taluka, Raigad Dist.</t>
  </si>
  <si>
    <t>Survey No.1/53, Rajapuri village, Murud Taluka, Raigad Dist.</t>
  </si>
  <si>
    <t>Survey No. 89 (1), Korlai, Murud Taluka, Raigad Dist.</t>
  </si>
  <si>
    <t>Survey No. 124, Kude Village, Tal. Tala, Dist.-Raigad</t>
  </si>
  <si>
    <t>1962-63</t>
  </si>
  <si>
    <t>Old Survey No. 184, Gatt No. 63 Bagmandla,Raigad Dist. (New S. No. 62)</t>
  </si>
  <si>
    <t>16.07.1987</t>
  </si>
  <si>
    <t>Survey No. 74/5, Kude Village, Tal. Tala, Dist.-Raigad</t>
  </si>
  <si>
    <t>No Encroachment</t>
  </si>
  <si>
    <t>Survey No. 121, Kude Village, Tal. Tala, Dist.-Raigad</t>
  </si>
  <si>
    <t>Customs III, Mumbai.</t>
  </si>
  <si>
    <t xml:space="preserve">Trombay Port Office,Sion Trombay Road, Near Essel Studio, Trombay, Mumbai. </t>
  </si>
  <si>
    <t>Transferred by Salt Department</t>
  </si>
  <si>
    <t>Not available readily</t>
  </si>
  <si>
    <t>No encroachment</t>
  </si>
  <si>
    <t>The port office is in dilipidated condition and very difficult to enter as the same is surrrounded by herebs/shrubs. Doors and windows are not in place. Some part of the compound wall has been damaged.There is no gate at the entrance which is temporarily covered by placing bamboos.</t>
  </si>
  <si>
    <t>Mumbai Customs- III</t>
  </si>
  <si>
    <t>Village - Dattiware, S. No. 225, Taluka- Palghar, Dist Palghar-401102</t>
  </si>
  <si>
    <t>Pre independence inheritance</t>
  </si>
  <si>
    <t xml:space="preserve">  possession with Customs- Title with govt. of Maharashtra- Binakari Land(Pad Sarkar)</t>
  </si>
  <si>
    <t xml:space="preserve">CS NO.98/B NAVAPUR, PAYTEMBIGAON, DIST:-PALGHAR </t>
  </si>
  <si>
    <t>Dahanu, Near Tehsildar Office, Tal. Dahanu Dist. Palghar, Pin-401 601</t>
  </si>
  <si>
    <t>free hold</t>
  </si>
  <si>
    <t>Village Gholwad, Taluka Dahanu, Dist. Palghar, Pin-401 601</t>
  </si>
  <si>
    <t>Surve No.17/310.Reti Bunder, Kalyan , Thane Circle</t>
  </si>
  <si>
    <t>,-----</t>
  </si>
  <si>
    <t>,----</t>
  </si>
  <si>
    <t>Surve No.215,Village Chendani,Dist, Thane</t>
  </si>
  <si>
    <t>Uttan Circle, Devtalav, Uttan, Bhayander (West)401106</t>
  </si>
  <si>
    <t>125 (Built up area)</t>
  </si>
  <si>
    <t>01.01.1898</t>
  </si>
  <si>
    <t>Daisar Check Post Dahisar (E), Mumbai-400068</t>
  </si>
  <si>
    <t>33 (Built up area)</t>
  </si>
  <si>
    <t>Survey No. 97A, C.S. No. 22, Village-Mora, Tal-Uran,Raigad Dist.</t>
  </si>
  <si>
    <t>14.4 Gunta</t>
  </si>
  <si>
    <t>Survey No. 122, Village-Bhawra, Tal-Uran,Raigad Dist.</t>
  </si>
  <si>
    <t>28 Guntas</t>
  </si>
  <si>
    <t>Survey No. 40-B, changed to Gat No. 67,Indrape village awas (Sasawane), Taluka Alibag, Dist – Raigad.</t>
  </si>
  <si>
    <t>(1) City Survey No. 425, Mandwa village Taluka – Alibag, Dist. – Raigad. (2) City S. No. 432 (3) City S. No. 433 ( 1845.30+15.00+126.70)</t>
  </si>
  <si>
    <t>Survey No. 300/2, Thal, Alibag Taluka, Dist – Raigad.</t>
  </si>
  <si>
    <t>Survey No. 16-B now Survey No. 16/1,Thal Village (Chalmala) Alibag.</t>
  </si>
  <si>
    <t>Survey No. 3, 4A1 &amp; 4A2, Opposite ST Bus Stand Revdanda</t>
  </si>
  <si>
    <t>Gauthan Hissa No. 209/458, Gat No. 12, Borli Port Office land, Vilage Borli Tal.,Murud, Raigad Dist.</t>
  </si>
  <si>
    <t>Survey No.13/1, Block No. 796, Nadgaon Village, Murud Taluka, Raigad Dist.</t>
  </si>
  <si>
    <t>Survey No.1, (Hissa No. 81), Rajapuri, Murud Taluka, Raigad Dist.</t>
  </si>
  <si>
    <t>Survey No.72/1,Murud Koliwada, Murud Taluka, Raigad Dist.</t>
  </si>
  <si>
    <t>Survey No.253/1, Jeevna Bunder, Shrivardhan,Raigad Dist.</t>
  </si>
  <si>
    <t>07.09.56</t>
  </si>
  <si>
    <t>Survey No.68/1, Adgaon, Shrivardhan,Raigad Dist.</t>
  </si>
  <si>
    <t>01.05.27</t>
  </si>
  <si>
    <t>Survey No.337,Dighi,Raigad Dist.</t>
  </si>
  <si>
    <t>18.05.74</t>
  </si>
  <si>
    <t xml:space="preserve"> Encroachment</t>
  </si>
  <si>
    <t>Customs (Preventive), Marine &amp; Preventive Wing, Mumbai.</t>
  </si>
  <si>
    <t>C. S. No. 165, Tarapur Village, Boisar, Dist.-Palghar</t>
  </si>
  <si>
    <t>07.90 SQ MTRS</t>
  </si>
  <si>
    <t>Near Maharashtra Maritime Board Office, Tal. Dahanu Dist. Palghar, Pin-401 601</t>
  </si>
  <si>
    <t>The said bungalow is proposed for Guest House. The said proposal is pending with Ministry level for sanction purpose.</t>
  </si>
  <si>
    <t>Mumbai III Customs</t>
  </si>
  <si>
    <t>40 LAKHS APPROX</t>
  </si>
  <si>
    <t>CLEAR PROPERTY, Survey no.666</t>
  </si>
  <si>
    <t>Residential Bungalow at Village Dhawali, Papdi, Taluka Vasai, Dist: Palghar, 401 201.</t>
  </si>
  <si>
    <t>Govt. Possession</t>
  </si>
  <si>
    <t>Residential Building at Zhapa, Killa Bunder, Vasai, Dist Palghar, 401201.</t>
  </si>
  <si>
    <t>20.08.1939</t>
  </si>
  <si>
    <t>A. C.'s Bungalow at Killa Bunder, Vasai, Dist: Palghar, 401 201.</t>
  </si>
  <si>
    <t xml:space="preserve">The Bungalow has been converted into guest house. </t>
  </si>
  <si>
    <t>Residential Building adjacent to bassein Division Office at Killabunder Port, Vasai, Dist: Palghar, 401 201.</t>
  </si>
  <si>
    <t>The said quarters are in dilapidated condition. This office has proposed to demolish the same.</t>
  </si>
  <si>
    <t>City Survey No. 56, Extract No. 34B,  Bunder Road, Koliwada, Alibag, Dist – Raigad.</t>
  </si>
  <si>
    <t>City Survey No.193  Bunder Road, Koliwada, Alibag, Dist – Raigad.</t>
  </si>
  <si>
    <t>Survey No. 4A, Village Chalje, Raigad Dist.</t>
  </si>
  <si>
    <t>13.06.1979</t>
  </si>
  <si>
    <t>Staff Quarters. There is Boundry wall and In possessoion of Govt . No encrochment</t>
  </si>
  <si>
    <t>Survey No.189A, Village-Mora, Tal-Uran, Raigad Dist.</t>
  </si>
  <si>
    <t>Staff Quarters. In possessoion of Govt . Dilapilated condition. No boundary wall &amp; No. Encroachment.</t>
  </si>
  <si>
    <t>Survey No. 87, Village-Bhawra, Tal-Uran,Raigad Dist.</t>
  </si>
  <si>
    <t>01 acre</t>
  </si>
  <si>
    <t>Staff Quarters.  In possessoion of Govt . Dilapilated condition. No boundary wall &amp; no encroachment.</t>
  </si>
  <si>
    <t>Survey No. 296/2, Thal, Alibag Taluka, Dist – Raigad.</t>
  </si>
  <si>
    <t xml:space="preserve">Survey No. 1/2-1, Near Revdanda Police Station Revdanda </t>
  </si>
  <si>
    <t>Survey No. 97, C.S. No. 22, Village-Mora, Tal-Uran,Raigad Dist.</t>
  </si>
  <si>
    <t>Office building. In possessoion of Govt . The wooden ceiling of the office is damaged because of termite and needs urgent repairing. Correspondence in this regard has already been made with CPWD by division office. No boundary wall.</t>
  </si>
  <si>
    <t>Mumbai-III,Customs</t>
  </si>
  <si>
    <t>Customs  (Preventive) Marine &amp; Preventive Wing</t>
  </si>
  <si>
    <t>72, Chappel Road,  Opp Carmel Church, Bandra (West), Mumbai - 400050</t>
  </si>
  <si>
    <t>Pre-Independence Inheritance. No records available.</t>
  </si>
  <si>
    <t xml:space="preserve">The land comprises of a building which was constructed in 1984 as per records available.  The building consists of one office, two guest house, three Type-III Residential quarters and four Type-I Residential quarters. 
</t>
  </si>
  <si>
    <t>Manori Port Marve, Malad(W),Mumbai-400 095 CTS No.1</t>
  </si>
  <si>
    <t>freehold</t>
  </si>
  <si>
    <t xml:space="preserve">The land &amp; structure now comes under CRZ area and hence under the no development zone.The land is enclosed by Boundary wall </t>
  </si>
  <si>
    <t>3600 sq.m.</t>
  </si>
  <si>
    <t>There are two structures viz residential chawl comprising 157 Sqmtr and office structure comprising 81 sq mtr(built up)</t>
  </si>
  <si>
    <t>Preventive, M &amp; P Wing, Bassein Division</t>
  </si>
  <si>
    <t>Village Arnala, S. No. 764/55/2 Taluka- Vasai, Dist- Palghar- 401302</t>
  </si>
  <si>
    <t xml:space="preserve"> Possession with Govt.- salt Department</t>
  </si>
  <si>
    <t>Surve No.11/311.Reti Bunder, Kalyan , Thane Circle</t>
  </si>
  <si>
    <t xml:space="preserve">Not Available, </t>
  </si>
  <si>
    <t>-----</t>
  </si>
  <si>
    <t>Pre independence Inheritance,Government Possession</t>
  </si>
  <si>
    <t>Quarters in dilapidated state</t>
  </si>
  <si>
    <t>Bassein Division Office, Killabunder Port, Vasai, Dist: Palghar, 401 201.</t>
  </si>
  <si>
    <t xml:space="preserve"> City Survey No. 54, Bunder Road, Koliwada, Alibag, Dist – Raigad.</t>
  </si>
  <si>
    <t>Open Land -No, Construction thereon-Alibag Divison office, Boundary wall- Yes, In possession of Govt. - Yes                                           No Encroachment</t>
  </si>
  <si>
    <t>Survey No. 657.9, Village Chalje, Raigad Dist.</t>
  </si>
  <si>
    <t>13.05.1979</t>
  </si>
  <si>
    <t>Office building. There is Boundry wall and In possessoion of Govt . No encrochment</t>
  </si>
  <si>
    <t>Customs (P) Commissionerate, Lucknow</t>
  </si>
  <si>
    <t>P-7 Deendayalpuram, Priyadarshanini Nagar, bareilly</t>
  </si>
  <si>
    <t>03.02.2004</t>
  </si>
  <si>
    <t>ownership</t>
  </si>
  <si>
    <t>Yes</t>
  </si>
  <si>
    <t>Cusotms (P) Zone, Patna</t>
  </si>
  <si>
    <t>Customs (Prev.) Zone Patna</t>
  </si>
  <si>
    <t xml:space="preserve">Customs (Prev) Commissionerate, Patna </t>
  </si>
  <si>
    <t>Customs Prev. Division Motihari Belwanwa 845401</t>
  </si>
  <si>
    <t>16633 sq m</t>
  </si>
  <si>
    <t>1978 Motihari</t>
  </si>
  <si>
    <t>Free hold</t>
  </si>
  <si>
    <t xml:space="preserve">Land Area and cost of acquisition is for office and Residential quarter </t>
  </si>
  <si>
    <t>Customs Prev. Circle Bettiah Opposite BSNL Office Bettiah W.Champaran, Motihari Div</t>
  </si>
  <si>
    <t>8093 sq m</t>
  </si>
  <si>
    <t>1977, Bettiah</t>
  </si>
  <si>
    <t>Customs Prev. Circle Chauradano E.Champaran main road, Motihari Div</t>
  </si>
  <si>
    <t>40 dismil</t>
  </si>
  <si>
    <t>10.03.1986</t>
  </si>
  <si>
    <t>Temporary alloted by DM, Motiahri</t>
  </si>
  <si>
    <t xml:space="preserve"> Land Customs Station Raxaul, East Champaran, 845305 Bihar</t>
  </si>
  <si>
    <t>Triangular Land measuring area of 142 sq. mtrs.</t>
  </si>
  <si>
    <t>12.06.1972</t>
  </si>
  <si>
    <t>Owership</t>
  </si>
  <si>
    <t>Customs (Prev) Commissionerate, Lucknow</t>
  </si>
  <si>
    <t>LCS Khunwa, Distt. Sidharthnagar</t>
  </si>
  <si>
    <t>LCS Katarniaghat, Distt: Bahraich</t>
  </si>
  <si>
    <t>LCS Banbasa, Distt: Champawat (UK)</t>
  </si>
  <si>
    <t>21.03.79</t>
  </si>
  <si>
    <t>Customs (Prev) Commissionerate, Patna</t>
  </si>
  <si>
    <t>Customs Colony, Raxaul, East Champaran, 845305 Bihar</t>
  </si>
  <si>
    <t>23251 sq. mt.</t>
  </si>
  <si>
    <t>LCS Banbasa, Distt.-Champawat (Uttrakhand)</t>
  </si>
  <si>
    <t>05.11.1984</t>
  </si>
  <si>
    <t xml:space="preserve">Customs (P) Commissionerate, Patna </t>
  </si>
  <si>
    <t>Customs (P) Division, Forbesganj, Goriyare Chowk, 
Forbesganj, Dist.:- Araria, PIN-854318</t>
  </si>
  <si>
    <t>97.5 
dismil</t>
  </si>
  <si>
    <t>03.06.1985</t>
  </si>
  <si>
    <t>Not Known (constructed by CPWD)</t>
  </si>
  <si>
    <t>05 (approx)
(Land + buildings)</t>
  </si>
  <si>
    <t>Own</t>
  </si>
  <si>
    <t>Customs (P) Circle, 
Purnea, New Sepoy Tola, Purnea, Dist:- Purnea, PIN-</t>
  </si>
  <si>
    <t>Earlier it was resident of  the Assistant Commissioner, Central Excise Division, Purnea and  after the abolition of Central Excise Division, Purnea in the year 1980 and creation of Purnea Customs Circle in the year 1983-84,  it was converted the office of Customs Circle, Purnea. Hence, above information would be availabe with the Central Excise Side i.e. Central Excise Division, Bhagalpur.</t>
  </si>
  <si>
    <t>Land Customs Station Jogbani, At &amp; P.Ojogbani, Distt. Araria (Bihar),  PIN Code 854328</t>
  </si>
  <si>
    <t>01.08.1962</t>
  </si>
  <si>
    <t>3.90 crore approx</t>
  </si>
  <si>
    <t>6&amp;7</t>
  </si>
  <si>
    <t>11&amp;12</t>
  </si>
  <si>
    <t>19.02.2002</t>
  </si>
  <si>
    <t>0.20 crore approx</t>
  </si>
  <si>
    <t>lease</t>
  </si>
  <si>
    <t>On lease of 30 years from local administration</t>
  </si>
  <si>
    <t>Export Division at BCP</t>
  </si>
  <si>
    <t>1671.35 (0.413 acre)</t>
  </si>
  <si>
    <t>25.07.2008</t>
  </si>
  <si>
    <t>Rs.9,61,169/-</t>
  </si>
  <si>
    <t>3.16 crore approx.</t>
  </si>
  <si>
    <t>New Residential Quarters are under constructon</t>
  </si>
  <si>
    <t>Land Customs Station, Bairgania, Distt. - Sitamarhi, Muz'pur Div</t>
  </si>
  <si>
    <t>2749.49 Sq. m</t>
  </si>
  <si>
    <t>Residential qtrs are not habitable</t>
  </si>
  <si>
    <t>LCS Nepalganj Road, Distt: Bahraich</t>
  </si>
  <si>
    <t>24.12.2008</t>
  </si>
  <si>
    <t>LCS Barhni, Distt: Sidharthnagar</t>
  </si>
  <si>
    <t>27.01.2007</t>
  </si>
  <si>
    <t>Customs,Gujarat Zone</t>
  </si>
  <si>
    <t>Customs, Mundra</t>
  </si>
  <si>
    <t>C.H. Kalai C.NO.114, Tal ; Umbergaon, Dist -Valsad</t>
  </si>
  <si>
    <t>Suigam Syurvey No. 1342-45, Suigan Naka Office, Tal Vav Banaskantha</t>
  </si>
  <si>
    <t>Jhazam survey No.477, Residential quarters for Inspector &amp; Servant Quarter</t>
  </si>
  <si>
    <t>Custom Office, Old port, Near Mandvi Chauk, Mundra (Distt: Kutch), Pin - 370421</t>
  </si>
  <si>
    <t>Dwarka,Dist. Devbhoomi Dwarka</t>
  </si>
  <si>
    <t>S G Diu</t>
  </si>
  <si>
    <t>Custom House Umersadi,</t>
  </si>
  <si>
    <t>Custom House Kolak</t>
  </si>
  <si>
    <t>Custom House Valsad</t>
  </si>
  <si>
    <t>Custom House Bilimora</t>
  </si>
  <si>
    <t>Custom House Daman</t>
  </si>
  <si>
    <t>Custom House Kalai</t>
  </si>
  <si>
    <t>O/o Commissioner of Customs</t>
  </si>
  <si>
    <t>Customs Division, Bhuj</t>
  </si>
  <si>
    <t>Gaduli</t>
  </si>
  <si>
    <t>Koteshwar</t>
  </si>
  <si>
    <t>Khavda</t>
  </si>
  <si>
    <t>Mandvi</t>
  </si>
  <si>
    <t>Naliya</t>
  </si>
  <si>
    <t>Jakhau</t>
  </si>
  <si>
    <t>Old Port Office, Mundra</t>
  </si>
  <si>
    <t>1476.84*</t>
  </si>
  <si>
    <t>29.08.2005</t>
  </si>
  <si>
    <t>SG Veraval</t>
  </si>
  <si>
    <t>Constructed and mantained by CPWD</t>
  </si>
  <si>
    <t>All Buildings are in dilapidated condition.</t>
  </si>
  <si>
    <t>O/o the superintendent of Customs, Old Port, Mangalore</t>
  </si>
  <si>
    <t>Acquired prior to 1947. Hence acquisition cost not available.</t>
  </si>
  <si>
    <t>New Custom House, Panambur, Mangalore 575010.</t>
  </si>
  <si>
    <t>O/o the Commissioner of Customs, Mangalore</t>
  </si>
  <si>
    <t>Land only on 30 year lease from New Mangalore Port Trust</t>
  </si>
  <si>
    <t>Survey No.163, Honnavar village, Honnavar Hobli, Honnavar Taluk, Uttarakannada district</t>
  </si>
  <si>
    <t>Custom Sub preventive Unit, Honnave</t>
  </si>
  <si>
    <t>Custom Preventive Unit, Kumta</t>
  </si>
  <si>
    <t>Custom Preventive Unit, Tadri, Karwar</t>
  </si>
  <si>
    <t>Building in dilapidated condition</t>
  </si>
  <si>
    <t xml:space="preserve">Custom House, Bunder road, Belekeri </t>
  </si>
  <si>
    <t>O/o the Asst. Commissioner of Customs, Karwar</t>
  </si>
  <si>
    <t>Survey No.156/4 to 156/10, Gangolli village, Kundapura taluk, Udupi district.</t>
  </si>
  <si>
    <t>Custom House, Gangulli</t>
  </si>
  <si>
    <t>Survey No.72/6B &amp; 72/12, Balkudru   (Hangarakatta)</t>
  </si>
  <si>
    <t>Custom House, Balakudru, Hangarkatta, Udupi</t>
  </si>
  <si>
    <t>Survey No.356/2B, Koteshwara villag, Kundapur taluk, Udupi district</t>
  </si>
  <si>
    <t>Customs sub preventive Unit, Haladi Road, Koteshwar, Kundapura</t>
  </si>
  <si>
    <t>Survey No.260/13A, Beach Road Malpe (Kodavoor Village), Udupi</t>
  </si>
  <si>
    <t>O/o the superintendent of Customs, Customs sub Preventive Unit (OLD Bldg), Malpe</t>
  </si>
  <si>
    <t>O/o the superintendent of Customs, Customs sub Preventive Unit (New Bldg), Malpe</t>
  </si>
  <si>
    <t>Old office and new office are built in the same plot of land.</t>
  </si>
  <si>
    <t>Sy. No.57, Custom House,  Baithkol, Karwar.</t>
  </si>
  <si>
    <t>Custom House, Baithkol, Karwar.</t>
  </si>
  <si>
    <t>Built prior to independence. Construction cost not available.</t>
  </si>
  <si>
    <t xml:space="preserve"> Block No.36, Survey No. 4133/2, No: 60, Rajaji Salai,  Chennai District,     Chennai 600001</t>
  </si>
  <si>
    <t>1963, 2000 &amp; 2005</t>
  </si>
  <si>
    <t>Unknown</t>
  </si>
  <si>
    <t>90,42,225</t>
  </si>
  <si>
    <t>Custom House has 4 Buildings which were constructed in different years. The cost of construction is unavailable.</t>
  </si>
  <si>
    <t>New Customs House, near IGI Airport, New Delhi-110037</t>
  </si>
  <si>
    <t>31.01.1994</t>
  </si>
  <si>
    <t>Building constructed by CPWD</t>
  </si>
  <si>
    <t>Custom House, 15/1, strand road, Kolkata-700001</t>
  </si>
  <si>
    <t>17000 (approx.)</t>
  </si>
  <si>
    <t xml:space="preserve">Office of the. Commissioner  of Customs (Port)
</t>
  </si>
  <si>
    <t>223.45 (total built-up area)</t>
  </si>
  <si>
    <t xml:space="preserve">Mini Custom House, G.C Berth, P.O – Haldia, Dist – Purba Medinipur-
721604
</t>
  </si>
  <si>
    <t>Mini Custom House, Middle Point, Port Blair, A &amp; N Islands-744101</t>
  </si>
  <si>
    <t>Customs Zone II offices of the Commissioner of Customs Gen, NSI,NSII,NSII,NSIV&amp;NSV</t>
  </si>
  <si>
    <t>13578.13 SQ. Mtr</t>
  </si>
  <si>
    <t>nil</t>
  </si>
  <si>
    <t>Rs.35.3031Cr.</t>
  </si>
  <si>
    <t>Rs. 26000/-per sq. mts</t>
  </si>
  <si>
    <t>N A</t>
  </si>
  <si>
    <t>Alloted by JNPT</t>
  </si>
  <si>
    <t>72, Chappel Road, Opp. Carmel Church, Bandra (W), Mumbai-400050</t>
  </si>
  <si>
    <t xml:space="preserve">Bandra Circle </t>
  </si>
  <si>
    <t>1984 as per records available</t>
  </si>
  <si>
    <t>Manori Circle</t>
  </si>
  <si>
    <t>Mud Island,Versova, Mumbai 400 061</t>
  </si>
  <si>
    <t>Versova Circle</t>
  </si>
  <si>
    <t>Since the area comes under Coastal Regulation Zone, no rates are available</t>
  </si>
  <si>
    <t>Comprises of Gr+ 1 structure</t>
  </si>
  <si>
    <t>Trombay Port</t>
  </si>
  <si>
    <t>Not available readily.</t>
  </si>
  <si>
    <t>Land transferred by Salt Deptt.vide Ministry's letter No.16/7/63-Salt dt.02.07.63, SC(J)'s No.4(13)P/63/2487 &amp; DSC's No.11(24)/62 dt.18.07.63 for 50.00 Sq.Yards and vide Ministry's letter No.04011/7/71-Salt dt.17.05.71, DSC(B)'s No.3(30)W/6925 dt.09.06.71 for 25.33 Sq.Yards.</t>
  </si>
  <si>
    <t>Dattiware Circle</t>
  </si>
  <si>
    <t>CS NO.98/B NAVAPUR, PAYTEMBIGAON, DIST:-PALGHAR</t>
  </si>
  <si>
    <t>Navapur Circle</t>
  </si>
  <si>
    <t>26.30 sq. Mtrs,</t>
  </si>
  <si>
    <t>A P.O. Tal. Dahanu, Near Tehsildar Office, Dist. Palghar, Pin-401 601</t>
  </si>
  <si>
    <t>Village Gholwad,Taluka Dahanu, Dist. Palghar, Pin-401 601</t>
  </si>
  <si>
    <t>Gholwad Circle</t>
  </si>
  <si>
    <t>Survey No.11/311.Rati Bunder, Kalyan , Thane Circle</t>
  </si>
  <si>
    <t>;-----</t>
  </si>
  <si>
    <t>Survey No.17/310.Rati Bunder, Kalyan , Thane Circle</t>
  </si>
  <si>
    <t>Survey No.215,Village Chendani,Dist, Thane</t>
  </si>
  <si>
    <t>125 (built up area)</t>
  </si>
  <si>
    <t>1982 (approx)</t>
  </si>
  <si>
    <t xml:space="preserve">Karanja Port, Alibag Division </t>
  </si>
  <si>
    <t xml:space="preserve">Mora Circle, Uran, Alibag Division </t>
  </si>
  <si>
    <t>Office building. In possessoion of Govt . Dilapilated condition. No boundary wall &amp; no encroachment.</t>
  </si>
  <si>
    <t>Mandwa circle , Alibag Dn.</t>
  </si>
  <si>
    <t>Mandwa, Alibag Dn.</t>
  </si>
  <si>
    <t>Thal Circle, Alibag Dn.</t>
  </si>
  <si>
    <t>Revdanda Circle, Alibag Dn</t>
  </si>
  <si>
    <t>Murud Alibag Dn.</t>
  </si>
  <si>
    <t>Port office building in dilapidated condition. There is Boundry wall and In possessoion of Govt . No encrochment</t>
  </si>
  <si>
    <t>Murud Circle Alibag Dn.</t>
  </si>
  <si>
    <t>According to 7/12 total area is 60 gunthas from which 2 guntha is for Port office and rest is for Muslim cemetery. Office is in dilapidated condition. There is a Boundry wall. In possession of Govt. No encrochment</t>
  </si>
  <si>
    <t>Port office building in dilapidated condition. There is Boundry wall and In possessoion of Govt . There is  a temple inside the compound wall</t>
  </si>
  <si>
    <t>Shrivardhan Circle, Alibag Dn.</t>
  </si>
  <si>
    <t>07.09.1956</t>
  </si>
  <si>
    <t>01.05.1927</t>
  </si>
  <si>
    <t>Dighi Port, Alibag Dn.</t>
  </si>
  <si>
    <t>18.05.1974</t>
  </si>
  <si>
    <t>Customs (P) Commissionerate, Patna</t>
  </si>
  <si>
    <t>Customs Prev. Division Motihari Belwanwa 845401 East champaran</t>
  </si>
  <si>
    <t>Customs Prev. Circle Bettiah Opposite BSNL Office Bettiah W.Champaran</t>
  </si>
  <si>
    <t>Customs (P) Circle Bettiah</t>
  </si>
  <si>
    <t xml:space="preserve">Customs Prev. Circle Chauradano E.Champaran main road </t>
  </si>
  <si>
    <t>Customs (P) Circle Chhauradano</t>
  </si>
  <si>
    <t>LCS, Raxaul, East Champarn, 845305</t>
  </si>
  <si>
    <t>O/o the Deputy Commissioner, LCS, Raxaul</t>
  </si>
  <si>
    <t>371.6 sq. mtrs.</t>
  </si>
  <si>
    <t>Customs 
(Preventive) Division, Forbesganj</t>
  </si>
  <si>
    <t>Fully 
utilized</t>
  </si>
  <si>
    <t>1.5 (approx)</t>
  </si>
  <si>
    <t>Land Customs Station Jogbani, At &amp; P.O. Jogbani, Distt. Araria (Bihar),  PIN Code 854328</t>
  </si>
  <si>
    <t>Land Customs Station, (Main Building), LCS Jogbani</t>
  </si>
  <si>
    <t>1983-84</t>
  </si>
  <si>
    <t>6,7&amp;8</t>
  </si>
  <si>
    <t>2012-13</t>
  </si>
  <si>
    <t>0.16 Cr</t>
  </si>
  <si>
    <t>0.32 Crore Approx</t>
  </si>
  <si>
    <t>Land Customs Station, Bairgania, Distt. - Sitamarhi</t>
  </si>
  <si>
    <t>231.66 Sq.m</t>
  </si>
  <si>
    <t>Office of the Principal Commissioner of Customs, Ahmedabad &amp; Office of the Commissioner (Appeal), Ahmedabad</t>
  </si>
  <si>
    <t>5th and 6th floor Mirdul Tower, Behind Times of India, Ashram Road, Ahmedabad</t>
  </si>
  <si>
    <t>788.56 (394.28 sq. mtr. per floor)</t>
  </si>
  <si>
    <t>01.12.2014 F.No. I/11-01/2011-ADM dated 17.11.2017</t>
  </si>
  <si>
    <t>0.12.2017 to 30.11.2020</t>
  </si>
  <si>
    <t>0.12.2020</t>
  </si>
  <si>
    <t xml:space="preserve">Rent Amount per month :- (1) From 01.12.2017 to 30.11.2018 @ 77,721/-(2) From 01.12.2018 to 30.11.2019 @ 83,938/-(3) From 01.12.2018 to 30.11.2019 @ 90,653/- # Rent is mentioned per floor </t>
  </si>
  <si>
    <t xml:space="preserve">Office of the Deputy Commissioner, Customs Division – Valsad, </t>
  </si>
  <si>
    <t>2nd &amp; 3rd Floor, Om Plaza, Abrama Road, Valsad</t>
  </si>
  <si>
    <t>06.02.2020</t>
  </si>
  <si>
    <t>Pr. Commissioner, Customs Ahmedabad</t>
  </si>
  <si>
    <t>01.11.2018 to 31.10.2021</t>
  </si>
  <si>
    <t xml:space="preserve">Office of the Superintendent, Custom House Umbergaon, </t>
  </si>
  <si>
    <t>M. H. Verma Building, Municipal No 6227, S. No. 221/A, 221/B, 221/C and 222, Mangelwad Street, village Umbergaon, Dist - Valsad</t>
  </si>
  <si>
    <t>31.10.2018</t>
  </si>
  <si>
    <t>27.04.2017 to 26.04.2020</t>
  </si>
  <si>
    <t>27.04.2020</t>
  </si>
  <si>
    <t>Letters dated 30.12.2019 &amp; 28.01.2020 issued to the owner of the premises for renewal of agreement, reply is still awaited.</t>
  </si>
  <si>
    <t xml:space="preserve">Office of the Superintendent,  M S Navsari, </t>
  </si>
  <si>
    <t>Rahul Apartment, 2nd Floor, Santa Devi Road, Navsari</t>
  </si>
  <si>
    <t>Yet to be renewed from 11.10.2010</t>
  </si>
  <si>
    <t>Renewal is required to be done w.e.f. 11.10.2010.</t>
  </si>
  <si>
    <t>Office of the Inspector, Custom House, Onjal</t>
  </si>
  <si>
    <t>Ground Floor, Onjal, Machimad Samaj Mahajan Panch, Sanskruti Bhavan, Near Ramji Mandir, Onjal, Dist : Navsari</t>
  </si>
  <si>
    <t>01.04.2010 to 31.03.2021</t>
  </si>
  <si>
    <t xml:space="preserve">Office of the Deputy Commissioner, Customs Division – Paldi </t>
  </si>
  <si>
    <t>1st Floor, Milkat No. 1, Golden Transport, Highway Road, Radhanpur, Dist-Patan
(RCP-Radhanpur)</t>
  </si>
  <si>
    <t>08.11.2015</t>
  </si>
  <si>
    <t>08.11.2015 to 07.05.2023</t>
  </si>
  <si>
    <t>08.05.2023</t>
  </si>
  <si>
    <t>Ground Floor, Milkat No. 1004, At Bus Stand, Santalpur, Dist-Patan
(LCS-Santalpur)</t>
  </si>
  <si>
    <t>14.06.2018</t>
  </si>
  <si>
    <t>14.06.2018 to 14.12.2025</t>
  </si>
  <si>
    <t>15.12.2025</t>
  </si>
  <si>
    <t>1st Floor, Old Employment Office, Becharpura, Dist-Palanpur
(RCP-Palanpur)</t>
  </si>
  <si>
    <t>01.11.2015 to 30.04.2023</t>
  </si>
  <si>
    <t>31.04.2023</t>
  </si>
  <si>
    <t>GF Vidhyalay Chamber, Near Paldi Cross Road, Paldi, Ahmedabad (Customs Div-Paldi)</t>
  </si>
  <si>
    <t>01.07.2019 to 27.06.2020</t>
  </si>
  <si>
    <t>28.06.2020</t>
  </si>
  <si>
    <t>Customs Division- Surat</t>
  </si>
  <si>
    <r>
      <rPr>
        <b/>
        <sz val="11"/>
        <color theme="1"/>
        <rFont val="Times New Roman"/>
        <family val="1"/>
      </rPr>
      <t>(*)</t>
    </r>
    <r>
      <rPr>
        <sz val="11"/>
        <color theme="1"/>
        <rFont val="Times New Roman"/>
        <family val="1"/>
      </rPr>
      <t>Office of the Asst./Deputy Commissioner of Customs, Urmi complex, B/h. Centre Point, Ring Road, Surat</t>
    </r>
  </si>
  <si>
    <t>1611 Sq. mtrs.</t>
  </si>
  <si>
    <t>Sanctioned vide ministry's letter F.No. 211/33/2000- AD.VIII(EC) dated 10.05.2002</t>
  </si>
  <si>
    <t>Ministry</t>
  </si>
  <si>
    <t>14.11.2018</t>
  </si>
  <si>
    <t>543404/-</t>
  </si>
  <si>
    <t>337.18/-</t>
  </si>
  <si>
    <t>* This office has been shifted at new place "Custom House ,Althan bhimrad road, near SMC ward office, Althan-395007" w.e.f. 01.06.2020</t>
  </si>
  <si>
    <t>Customs Marine, Workshop, Magdalla Port</t>
  </si>
  <si>
    <t>Port Offfice, Magdalla, Marine work shop</t>
  </si>
  <si>
    <t>150 Sq. mtrs.</t>
  </si>
  <si>
    <t>GMB/POM/9( C )/07-08/556 dated 16.07.2007</t>
  </si>
  <si>
    <t>GUJARAT MARITIME BOARD, MAGDALLA PORT(SURAT)</t>
  </si>
  <si>
    <t xml:space="preserve">                                        </t>
  </si>
  <si>
    <t>2390/-</t>
  </si>
  <si>
    <t>13.50/-</t>
  </si>
  <si>
    <t>Customs (Prev.) Jamnagar.</t>
  </si>
  <si>
    <t>Office Of the Dy./ Assistant Commissioner of Customs, Division Jamnagar.</t>
  </si>
  <si>
    <t>1 St &amp; 2 nd Floor Of Dev Devine, Opp. Police Head Quarter, Saru Section Road, Jamnagar.</t>
  </si>
  <si>
    <t xml:space="preserve">15.12.2018  </t>
  </si>
  <si>
    <t>Uner Secretary to the Govt. of India, MOF, DOR, CBIT and Customs, New Delhi.</t>
  </si>
  <si>
    <t>15.12.2018     to              14.12.2021</t>
  </si>
  <si>
    <t>15.12.2021</t>
  </si>
  <si>
    <t>5,05,000/-</t>
  </si>
  <si>
    <t>F.No. 924/05/Hiring/ Dev Divine/ Jamnagar Cus (Prev.)/HRD/ 2019-20. 17.10.2019.</t>
  </si>
  <si>
    <t xml:space="preserve">Office Of the Inspector of Customs, CH-Jodia. </t>
  </si>
  <si>
    <t>1 st Floor, Near Hunar Udyog Shala, Darbargarh Road, Jodia.</t>
  </si>
  <si>
    <t>Commissioner of Customs (Prev.) Jamnagar</t>
  </si>
  <si>
    <t>01.01.2018 to 31.12.2022</t>
  </si>
  <si>
    <t>01.01.2023</t>
  </si>
  <si>
    <t>5,080/-</t>
  </si>
  <si>
    <t xml:space="preserve"> F.No.I/4-01/L&amp;B/HQ/2006-07. 14.02.2018.</t>
  </si>
  <si>
    <t xml:space="preserve">Office Of the Superintendent of Customs, CH-Salaya. </t>
  </si>
  <si>
    <t>Parekh House, Bunder Road, Salaya.</t>
  </si>
  <si>
    <t>10,661/-</t>
  </si>
  <si>
    <t xml:space="preserve"> F.No.I/48-03/L&amp;B/CCP-Jam/2013-14.    27.10.2017.</t>
  </si>
  <si>
    <t xml:space="preserve">Office Of the Superintendent of Customs, RCP-Khambhalia.  </t>
  </si>
  <si>
    <t xml:space="preserve">Satvara Vidhyarthi Bhavan, Jam-Khambhalia, </t>
  </si>
  <si>
    <t xml:space="preserve">01.04.2017 </t>
  </si>
  <si>
    <t>01.04.2017 to 31.03.2020</t>
  </si>
  <si>
    <t>15,766/-</t>
  </si>
  <si>
    <t xml:space="preserve"> F.No.I/48-04/L&amp;B/CCP-Jam/2014-15.   16.11.2017.</t>
  </si>
  <si>
    <t>Shore Guard, Mangrol</t>
  </si>
  <si>
    <t>Office of the Superintendent of Customs, Shore Guard, Limda Chowk, Mangrol</t>
  </si>
  <si>
    <t>01.09.2007 and renewed vide I/04-07/L&amp;B/HQ/2007 dated 18.12.2018</t>
  </si>
  <si>
    <t>11.05.2021</t>
  </si>
  <si>
    <t>Rs. 5553/-</t>
  </si>
  <si>
    <t>Shore Guard, Kodinar</t>
  </si>
  <si>
    <t>07.06.2006 and renewed vide I/48-03/L&amp;B/CCP-JAM/2013-14 dated 24.07.2020</t>
  </si>
  <si>
    <t>Rs.14300/-</t>
  </si>
  <si>
    <t>Shore Guard, Madhavpur</t>
  </si>
  <si>
    <t>Office of the Inspector of Customs, Shore Guard, Nr. S.T. Bus Stand, Madhavpur (Ghed).</t>
  </si>
  <si>
    <t>01.04.1994 and renewed vide I/04-02/L&amp;B/HQ/2007 dated 24.01.2019</t>
  </si>
  <si>
    <t>31.03.2022</t>
  </si>
  <si>
    <t>Rs. 250/-</t>
  </si>
  <si>
    <t>R.C.P., Junagadh.</t>
  </si>
  <si>
    <t>01.08.1987 and renewed vide I / 11-05/2002-Adm-CCP dated 04.09.2020</t>
  </si>
  <si>
    <t>Rs. 11004/-</t>
  </si>
  <si>
    <t>Office of the Deputy Commissioner of Customs, Customs House, "Gurukrupa Building", Plot No.2116-A, Parimal Chawk, Waghavadi Road, Bhavnagar</t>
  </si>
  <si>
    <t xml:space="preserve"> 23.07.19</t>
  </si>
  <si>
    <t>Customs Commissioner (P)Jamnagar</t>
  </si>
  <si>
    <t xml:space="preserve"> 30.09.20</t>
  </si>
  <si>
    <t>75898/-</t>
  </si>
  <si>
    <t>Office of the Superintendent of Customs, Shore Guard, Mahuva. Near Ramji Mandir, Khargate, Mahuva</t>
  </si>
  <si>
    <t xml:space="preserve"> 03.05.18</t>
  </si>
  <si>
    <t xml:space="preserve"> 31.03.22</t>
  </si>
  <si>
    <t>11500/-</t>
  </si>
  <si>
    <t>Office of the Superintendent of Customs, PU Amreli. "Jay Ambe Krupa" behind Nagnath Temple Road, Opp LIC Office, Amreli.</t>
  </si>
  <si>
    <t xml:space="preserve"> 18.12.18</t>
  </si>
  <si>
    <t xml:space="preserve"> 30.08.21</t>
  </si>
  <si>
    <t xml:space="preserve"> 5600/-</t>
  </si>
  <si>
    <t>Office of the Inspector of Customs, SG Talaja. "Gauri Krupa" Plot No.21, Talaja</t>
  </si>
  <si>
    <t xml:space="preserve"> 08.03.18</t>
  </si>
  <si>
    <t>2831/-</t>
  </si>
  <si>
    <t xml:space="preserve"> GMB Godown Hired from C Jetty New Port. Bhavnagar</t>
  </si>
  <si>
    <t xml:space="preserve"> 12.12.2011</t>
  </si>
  <si>
    <t xml:space="preserve"> N.A</t>
  </si>
  <si>
    <t xml:space="preserve"> 4933/-</t>
  </si>
  <si>
    <t>PAO Office, "Mile Stone", 6th Floor, Bedi Bunder Road, Jamnagar</t>
  </si>
  <si>
    <t>20.05.2005</t>
  </si>
  <si>
    <t>01.06.2020 to 31.05.2023</t>
  </si>
  <si>
    <t>31.05.2023</t>
  </si>
  <si>
    <t>59105/-</t>
  </si>
  <si>
    <t>H.Q. Office, "Sarda House", Bedi Bunder Road, Jamnagar</t>
  </si>
  <si>
    <t>01.02.2019 to 31.01.2022</t>
  </si>
  <si>
    <t>31.01.2022</t>
  </si>
  <si>
    <t>390000/-</t>
  </si>
  <si>
    <t>Custom Preventive sub unit, Bhatkal</t>
  </si>
  <si>
    <t>Siddartha Building, Behind KSRTC Bust stand, Venkatraman Temple road, Bhatkal, Uttarakannada district 581320</t>
  </si>
  <si>
    <t>01.09.2014</t>
  </si>
  <si>
    <t>C.No.I/04/36/89 A5 Dt.12.10.2015, Commissioner of Customs, Mangaluru</t>
  </si>
  <si>
    <t>3 years from 01.09.2017</t>
  </si>
  <si>
    <t>Rent Rs. 10,500/- per Month</t>
  </si>
  <si>
    <t>Bangalore zone</t>
  </si>
  <si>
    <t>City Customs Commissionerate</t>
  </si>
  <si>
    <t>Customs Godown</t>
  </si>
  <si>
    <t>11/12, Cambridge Road, Ulsoor, Bangalore 08</t>
  </si>
  <si>
    <t>08.10.2003 Agreement No. 012669</t>
  </si>
  <si>
    <t>Head of the Department</t>
  </si>
  <si>
    <t>continue from 2003 with extension after every 5 years</t>
  </si>
  <si>
    <t>01.07.2022</t>
  </si>
  <si>
    <t>79,765/-</t>
  </si>
  <si>
    <t>Last extension has been taken on 01.07.2017.</t>
  </si>
  <si>
    <t>Compt.11of M1 WH</t>
  </si>
  <si>
    <t>Chennai Port Trust, Rajaji Salai, Chennai</t>
  </si>
  <si>
    <t>01.06.2006</t>
  </si>
  <si>
    <t>Commissioner of Customs</t>
  </si>
  <si>
    <t>1,67,132/- inclusive of GST</t>
  </si>
  <si>
    <t>5% escalation in the base rate every January</t>
  </si>
  <si>
    <t>Compt.9 of M1 WH</t>
  </si>
  <si>
    <t>09.05.1997</t>
  </si>
  <si>
    <t>Compt.8  of M1 WH</t>
  </si>
  <si>
    <t>01.10.2006</t>
  </si>
  <si>
    <t>Compt.4 of M 2 WH</t>
  </si>
  <si>
    <t>24.08.1994</t>
  </si>
  <si>
    <t>Compt.3 of M2 WH</t>
  </si>
  <si>
    <t>01.10.1992</t>
  </si>
  <si>
    <t>CMFC section</t>
  </si>
  <si>
    <t>Centre Berth Building,First Floor, North East Corner,Chennai Port Trust, Rajaji Salai, Chennai 600 001</t>
  </si>
  <si>
    <t>*</t>
  </si>
  <si>
    <t>Marine Wing,</t>
  </si>
  <si>
    <t>Timber pond, West side Adj to NIOT building</t>
  </si>
  <si>
    <t>30 sq mtr open space</t>
  </si>
  <si>
    <t>01.05.2013</t>
  </si>
  <si>
    <t>11 months</t>
  </si>
  <si>
    <t>Not renewed</t>
  </si>
  <si>
    <t>covered space in between AO canteen &amp; NIPM Room, CPT, Rajaji Salai, Chennai 600 001</t>
  </si>
  <si>
    <t>01.12.2002</t>
  </si>
  <si>
    <t>BCMMC</t>
  </si>
  <si>
    <t>First Floor of SM/ASM building, Marshalling yard, CPT, Rajaji Salai, Chennai</t>
  </si>
  <si>
    <t>13.08.2004</t>
  </si>
  <si>
    <t>Container Scanning Facility</t>
  </si>
  <si>
    <t>New Container Freight  Station, Near Gate No.1,Chennai Port Trust, Rajaji Salai, Chennai</t>
  </si>
  <si>
    <t>28.07.2011</t>
  </si>
  <si>
    <t>Commissioner, Exports</t>
  </si>
  <si>
    <t>30 years</t>
  </si>
  <si>
    <t>01.07.2040</t>
  </si>
  <si>
    <t>* Rent  is paid Annually,  Initially Rent fixed at Rs.20,000/- per annum. 30% escalation after every 5 years</t>
  </si>
  <si>
    <t>Commissioner  of Customs (Port)</t>
  </si>
  <si>
    <t xml:space="preserve">1st Floor of Trustee’s Bldg. Near 5, Netaji Subhas Dock (Kolkata Port Trust), Kolkata-700043
</t>
  </si>
  <si>
    <t xml:space="preserve">Mini Custom House, G.C Berth, P.O – Haldia, Dist – Purba Medinipur-721604
</t>
  </si>
  <si>
    <t>Gangtok Customs Preventive Unit</t>
  </si>
  <si>
    <t>Jeewan Theeng Marg, Developmant Area, Gangtok</t>
  </si>
  <si>
    <t>83.61 sq. mtrs</t>
  </si>
  <si>
    <t>Gangtok Customs Preventive Unit office is housed in a hired building of Gangtok CGST &amp; CX Range Office. The rent of the hired building including that being used by the Customs is being paid by Gangtok CGST &amp; CX Range Office</t>
  </si>
  <si>
    <t>Sherathang LCS</t>
  </si>
  <si>
    <t>Sherathang, Sikkim</t>
  </si>
  <si>
    <t>22.30 sq.mtrs</t>
  </si>
  <si>
    <t>Sherathang LCS is housed in a wooden structure measuring approximately  22.30 sq.mtrs (carpet area) which was allotted by the Government of Sikkim and no rent is being demanded by the Govt of Sikkim</t>
  </si>
  <si>
    <t>Kanchanjunga Guest House</t>
  </si>
  <si>
    <t>94(480 old) Cart Road, Rose Bank, Near Burdaman Palace, Darjeeling</t>
  </si>
  <si>
    <t>110.86 sq.mt.</t>
  </si>
  <si>
    <t>150.39 sq. Mt</t>
  </si>
  <si>
    <t>01.09.1984</t>
  </si>
  <si>
    <t>Commissioner of Customs (Preventive)</t>
  </si>
  <si>
    <t xml:space="preserve">10,400/- </t>
  </si>
  <si>
    <t>Darjeeling Preventive Unit</t>
  </si>
  <si>
    <t>Lasha Villa, Near Shiva Mandir, Darjeeling</t>
  </si>
  <si>
    <t>89.56 sq. mtrs</t>
  </si>
  <si>
    <t>104.85 sq.mt</t>
  </si>
  <si>
    <t>01.04.1999</t>
  </si>
  <si>
    <t>31.03.2019</t>
  </si>
  <si>
    <t>5,875/-</t>
  </si>
  <si>
    <t>Bidhannagar Preventive Unit</t>
  </si>
  <si>
    <t>At - Sahadargachh, P.O- Bidhannagar, Dist - Darjeeling, PIN 734425</t>
  </si>
  <si>
    <t>118.54 Sq. mtrs</t>
  </si>
  <si>
    <t>135.61 sq. mtrs</t>
  </si>
  <si>
    <t>6000/-</t>
  </si>
  <si>
    <t>Naxalbari DPU</t>
  </si>
  <si>
    <t>Rabindra Nagar, Rabindra Sarani, P.O- Rabindra Nagar, Darjeeling, West Bengal, PIN 734006</t>
  </si>
  <si>
    <t>181.9 sq. mtrs</t>
  </si>
  <si>
    <t>201.22 sq.mtrs</t>
  </si>
  <si>
    <t>01.09.2016 to 31.08.2019</t>
  </si>
  <si>
    <t>Commissioner, Customs, C.Ex &amp; S.Tax, Siliguri Commissionerate, Siliguri</t>
  </si>
  <si>
    <t>28,158/-</t>
  </si>
  <si>
    <t>Sukhia Pokhri Customs P.U.</t>
  </si>
  <si>
    <t>334.62 sq mt</t>
  </si>
  <si>
    <t>2,481/-</t>
  </si>
  <si>
    <t>Court case pending. payment is being made to receipient fixed by court on monthly basisLast paid on 19.08.2016 for June &amp; July'16.</t>
  </si>
  <si>
    <t>Bagdah Customs Preventive Post</t>
  </si>
  <si>
    <t>Bagdah, West Bengal, North 24 PGS, PIN-743232</t>
  </si>
  <si>
    <t>Building Area - 281.4033 &amp; Open space - 102.1933</t>
  </si>
  <si>
    <t>Lease agreement on Indian Non Judicial Stamp Paper, dated:24.05.2016</t>
  </si>
  <si>
    <t>The Assistant Commissioner of Customs, Petrapole Customs Circle</t>
  </si>
  <si>
    <t>1st Floor - 01.10.15 to 30.09.2020 (5 Years) &amp; Ground Floor - 01.03.16 to 28.02.2021 (5 Years)</t>
  </si>
  <si>
    <t>1st Floor - 01.10.2020 &amp; Ground Floor - 01.03.2021</t>
  </si>
  <si>
    <t>1st Floor - 11,830/- &amp; Ground Floor - 10,841/-</t>
  </si>
  <si>
    <t xml:space="preserve">As per the records available in Petrapole office </t>
  </si>
  <si>
    <t>Superintendent of Customs Raiganj customs PU &amp; Circle</t>
  </si>
  <si>
    <t>Sudarshanpur Raiganj 
Uttar Dinajpur-733134</t>
  </si>
  <si>
    <t>530.37 sq.m</t>
  </si>
  <si>
    <t>07.12.1998</t>
  </si>
  <si>
    <t>Commr.</t>
  </si>
  <si>
    <t>1/12/14 to 31/12/19</t>
  </si>
  <si>
    <t>19,000/-</t>
  </si>
  <si>
    <t>Rs.35.83 Per sq.mtr.</t>
  </si>
  <si>
    <t>Superintendent of Customs Dalkhola customs PU</t>
  </si>
  <si>
    <t>Purneamore, Dalkhola
U/Dinajpur</t>
  </si>
  <si>
    <t>240 sq.m</t>
  </si>
  <si>
    <t>28.08.2008</t>
  </si>
  <si>
    <t>21/8/16 to 29/8/18</t>
  </si>
  <si>
    <t>30/8/18</t>
  </si>
  <si>
    <t>15,182/-</t>
  </si>
  <si>
    <t>Rs.63.26 Per sq.mtr.</t>
  </si>
  <si>
    <t>Superintendent of Customs Islamppur customs PU</t>
  </si>
  <si>
    <t>Near Bus statnd, Islampur
U/Dinajpur</t>
  </si>
  <si>
    <t>157.93 sq.m</t>
  </si>
  <si>
    <t>04.05.1986</t>
  </si>
  <si>
    <t>1/4/16 to 31/3/19</t>
  </si>
  <si>
    <t>10,500/-</t>
  </si>
  <si>
    <t>Rs.66.49 per sq.mtr.</t>
  </si>
  <si>
    <t>A.O. ,Malda Cus. Divn. (1st. Floor)</t>
  </si>
  <si>
    <t>Maheshmati, Malda, 732101</t>
  </si>
  <si>
    <t>101.73 sq.mt.</t>
  </si>
  <si>
    <t>19.03.19</t>
  </si>
  <si>
    <t>16/1/2019 to 15/1/2024</t>
  </si>
  <si>
    <t>16/1/24</t>
  </si>
  <si>
    <t>16000/- P.M.</t>
  </si>
  <si>
    <t>Rs.157.27 per sq.mts.</t>
  </si>
  <si>
    <t xml:space="preserve">A.O. ,Malda Cus. Divn. </t>
  </si>
  <si>
    <t>101.73 sq.mtr.</t>
  </si>
  <si>
    <t>01/4/2015 to 01/3/2020</t>
  </si>
  <si>
    <t>14112/- P.M.</t>
  </si>
  <si>
    <t>Rs.138.72 sq.mtr.</t>
  </si>
  <si>
    <t xml:space="preserve">Supdt.. ,Malda DPU. </t>
  </si>
  <si>
    <t>240.78 sq.mtr.</t>
  </si>
  <si>
    <t>01/7/2017 to 30/6/2022</t>
  </si>
  <si>
    <t>13983/- P.M.</t>
  </si>
  <si>
    <t>Rs.58.07 per sq.mtr.</t>
  </si>
  <si>
    <t xml:space="preserve">Supdt.. ,Kalichak PU. </t>
  </si>
  <si>
    <t xml:space="preserve">Baliadanga More, Malda, </t>
  </si>
  <si>
    <t>233.82 sq.mtr.</t>
  </si>
  <si>
    <t>23/8/77</t>
  </si>
  <si>
    <t>01/4/2018 to 31/3/2021</t>
  </si>
  <si>
    <t>13800/- P.M.</t>
  </si>
  <si>
    <t>Rs.59.02 per sq.mtr.</t>
  </si>
  <si>
    <t xml:space="preserve">Supdt.. ,Buniadpur PU. </t>
  </si>
  <si>
    <t>Baniadpur,D/Dinajpur,</t>
  </si>
  <si>
    <t>187.3 sq.mtr.</t>
  </si>
  <si>
    <t>01/9/2017 to 31.08.2022</t>
  </si>
  <si>
    <t>15925/- P.M.</t>
  </si>
  <si>
    <t>Rs.85.03 per sq.mtr.</t>
  </si>
  <si>
    <t xml:space="preserve">Supdt.. ,Balurghat PU. </t>
  </si>
  <si>
    <t>Balurghat,D/Dinajpur,</t>
  </si>
  <si>
    <t>171.86 sq.mts.</t>
  </si>
  <si>
    <t>1/6/15 to 31/5/20</t>
  </si>
  <si>
    <t>11,500/- p.m.</t>
  </si>
  <si>
    <t>Rs.66.91 per sq.mtr.</t>
  </si>
  <si>
    <t xml:space="preserve">Sitai Customs P.U. </t>
  </si>
  <si>
    <t>P.O-Sitaihar, Dist-Cooch Behar</t>
  </si>
  <si>
    <t>01.03.1995 , NA , NA</t>
  </si>
  <si>
    <t>ADC, SILIGURI</t>
  </si>
  <si>
    <t>5 YEARS</t>
  </si>
  <si>
    <t>01.03.2000</t>
  </si>
  <si>
    <t xml:space="preserve">Chamurchi LCS </t>
  </si>
  <si>
    <t>CheckpostChamurchi Bazar, District-Jalpaiganj</t>
  </si>
  <si>
    <t>54</t>
  </si>
  <si>
    <t>22.12.1993 , NA , NA</t>
  </si>
  <si>
    <t>COMM'R, SILIGURI</t>
  </si>
  <si>
    <t>11.11.2013</t>
  </si>
  <si>
    <t>Luksan LCS</t>
  </si>
  <si>
    <t>Chengmari Tea Garden, Dag NO !65(P), Mouja- Chengmari Tea Garden, P.O. Carron, Dist Jalpaiguri pin 735205</t>
  </si>
  <si>
    <t>3 YEARS</t>
  </si>
  <si>
    <t>Birpara LCS</t>
  </si>
  <si>
    <t>Office of the Superintendent of Customs, Birpara Land Customs Station, Above Sales Tax office Building, Lanka Road, Birpara, Dt Alipurduar W.B</t>
  </si>
  <si>
    <t xml:space="preserve">24.04.2017 </t>
  </si>
  <si>
    <t>3years</t>
  </si>
  <si>
    <t>Office of the Assistant Commissioner Krishnagar Customs Division</t>
  </si>
  <si>
    <t>1, Cinema House Lane , Krishnagar, Nadia, West Bengal- 741101</t>
  </si>
  <si>
    <t>633.41</t>
  </si>
  <si>
    <t>2/13/2015, II(17)1-Acco/CCP/WB/2005/3058P dt 11.03.17</t>
  </si>
  <si>
    <t>Commissioner, CC(P), Kolkata</t>
  </si>
  <si>
    <t>54,544/-</t>
  </si>
  <si>
    <t>new lease is in under process</t>
  </si>
  <si>
    <t>new portion 2nd floor</t>
  </si>
  <si>
    <t>3/8/2014, II(17)1-Acco/CCP/WB/2005/5353P dt 13.04.15</t>
  </si>
  <si>
    <t>CC(P)</t>
  </si>
  <si>
    <t>5years</t>
  </si>
  <si>
    <t>4,872/-</t>
  </si>
  <si>
    <t xml:space="preserve">Behrampore Customs Preventive Unit </t>
  </si>
  <si>
    <t>Chuapurmore, PO - Berhampur, Distt, Murshidabad.</t>
  </si>
  <si>
    <t>1/8/2018, on NSP No-3 dt-19/06/2019 of F.No I(11)5-ET/KR/89/PT-1</t>
  </si>
  <si>
    <t>31/07/2023</t>
  </si>
  <si>
    <t>78,800/-</t>
  </si>
  <si>
    <t>Jalangi Customs Preventive Unit</t>
  </si>
  <si>
    <t>Vill - Biswaspara PO &amp; PS - Jalangi, Distt. Murshidabad.</t>
  </si>
  <si>
    <t>1568 sf</t>
  </si>
  <si>
    <t>1/1/2017, on NSP no-3 dt-07/05/2019 of F.No I(11)1-Accom/ET/KCD/84/PT-01</t>
  </si>
  <si>
    <t>31/12/2021</t>
  </si>
  <si>
    <t>14,171/-</t>
  </si>
  <si>
    <t>godown portion</t>
  </si>
  <si>
    <t>319sf</t>
  </si>
  <si>
    <t>1/5/2015, II(17)7-Accom/CCP/WB/2004/12477P dt 13.08.15</t>
  </si>
  <si>
    <t>30/04/2020</t>
  </si>
  <si>
    <t xml:space="preserve">5,076/- </t>
  </si>
  <si>
    <t>Lalgola Customs Preventive Unit</t>
  </si>
  <si>
    <t>PO &amp; Vill - Lalgola, Distt. - Murshidabad.</t>
  </si>
  <si>
    <t>1/10/2013, II(17)6-Accom/CCP/WB/2004/11090P dt 19.08.14.</t>
  </si>
  <si>
    <t>30/09/2018</t>
  </si>
  <si>
    <t>15,857/-</t>
  </si>
  <si>
    <t>Chapra Customs MPP</t>
  </si>
  <si>
    <t>PO+PS-Tehatta, Dist.-Nadia,W.B.</t>
  </si>
  <si>
    <t>14/07/2014, II(17)19-Accom/CCP/WB/2004/1037P dt 21.01.15</t>
  </si>
  <si>
    <t>13/07/2019</t>
  </si>
  <si>
    <t>21,591/-</t>
  </si>
  <si>
    <t>Karimpur Customs MPP</t>
  </si>
  <si>
    <t>Vill- Karimpur, PO &amp; PS - Karimpur, Distt. - Nadia.</t>
  </si>
  <si>
    <t>1/9/2014, II(17)13-Accom/CCP/WB/2004/6980P dt 21.05.15</t>
  </si>
  <si>
    <t>31/08/2019</t>
  </si>
  <si>
    <t>18,131/-</t>
  </si>
  <si>
    <t>Katlamari Customs Preventive Unit</t>
  </si>
  <si>
    <t>Malipara, Distt. Murshidabad.</t>
  </si>
  <si>
    <t>1/2/2014, II(17)4-Accom/CCP/WB/2007/22891-95P dt. 25.02.15</t>
  </si>
  <si>
    <t>31/01/2019</t>
  </si>
  <si>
    <t>8,885/-</t>
  </si>
  <si>
    <t>Dhuliyan Customs MPP</t>
  </si>
  <si>
    <t>Dhuliyan Main Road, Telephone Exchange Office, Dhuliyan, Distt. Murshidabad.</t>
  </si>
  <si>
    <t>7,143/-</t>
  </si>
  <si>
    <t>Lease agreement expired on 11.02.2008. After several reminders, the land lord did not give any consent letter.</t>
  </si>
  <si>
    <t>Nalhati Customs MPP</t>
  </si>
  <si>
    <t>PO-Nalhati, Dist-Birbhum, W.B.</t>
  </si>
  <si>
    <t xml:space="preserve">1/6/2000
</t>
  </si>
  <si>
    <t>31/05/2005</t>
  </si>
  <si>
    <t>2,090/-</t>
  </si>
  <si>
    <t>Lease Agreement expired on 31.05.2005. In spite of several reminders land lord did not give any consent letter.</t>
  </si>
  <si>
    <t>Aurangabad Customs Preventive Unit</t>
  </si>
  <si>
    <t>Vill - Tantipara, PO - Aurangabad, Distt. Murshidabad.</t>
  </si>
  <si>
    <t>10/11/2014, II(17)7-Accom/CCP/WB/2005/9905P dt 01.07.15</t>
  </si>
  <si>
    <t>27,313/-</t>
  </si>
  <si>
    <t>Jangipur Customs Preventive Unit</t>
  </si>
  <si>
    <t>Burnningghat Road, PO &amp; PS - Raghunathpur, Distt. Murshidabad.           (1st portion)</t>
  </si>
  <si>
    <t>1/1/2018, on NSP no-01 dt-01/04/2019 of F.No I(11)3-Accom/ET/KCD/87/PT-1</t>
  </si>
  <si>
    <t>31/12/2022</t>
  </si>
  <si>
    <t>14,025/-</t>
  </si>
  <si>
    <t>Burnningghat Road, PO &amp; PS - Raghunathpur, Distt. Murshidabad.                     (2nd portion)</t>
  </si>
  <si>
    <t>16/07/2014, II(17)20-Accom/CCP/WB/2004/5352P dt 13.04.15</t>
  </si>
  <si>
    <t>15/07/2019</t>
  </si>
  <si>
    <t>Office of the Superintendent of Customs (P.U.), Hasnabad.</t>
  </si>
  <si>
    <t>Plot No. 395, Mauza - Laskarnagar, J.L. No.52, Khatian No. 352/2, Holding No. 572/509 under Taki Municipal, Ward No. 13 (now 15), Hasnabad, 24 Pgs (N). Pin - 743426.</t>
  </si>
  <si>
    <t>1971.73 Sq. Ft. (183.17 Sq. Mtrs)</t>
  </si>
  <si>
    <t>31.10.2018, vide sanction order issued from C.No. I(15)1-Rent/GF/HBD/BCD/2010/1691 issued by the Asst. Commr., Barasat Customs Dn., Kolkata.</t>
  </si>
  <si>
    <t>Addl. Commr. Of Customs (P), Kolkata.</t>
  </si>
  <si>
    <t>01.05.2018 to 31.04.2021</t>
  </si>
  <si>
    <t>10,438/-</t>
  </si>
  <si>
    <t>5.29/-</t>
  </si>
  <si>
    <t>Office of the Superintendent of Customs (P.U.), Hingalganj.</t>
  </si>
  <si>
    <t>Office of the Superintendent of Customs (P.U.), Hingalganj, 24 Pgs.(North), Pin - 743435.</t>
  </si>
  <si>
    <t xml:space="preserve">1151     Sq. Ft. </t>
  </si>
  <si>
    <t>08.05.2017, vide sanction order issued from C.No. I(15)1-Rent/HLH/BCD/2010/593 issued by the Asst. Commr., Barasat Customs Dn., Kolkata.</t>
  </si>
  <si>
    <t>Commr. Of Customs (P), Kolkata.</t>
  </si>
  <si>
    <t>01.11.2015 to 31.10.2018</t>
  </si>
  <si>
    <t>4,945/-</t>
  </si>
  <si>
    <t>4.30/-</t>
  </si>
  <si>
    <t>Tentulia Customs PU</t>
  </si>
  <si>
    <t>P.O.- Banglani, P.S.- Swarupnagar, Dist.- 24 PGS (N)-743286</t>
  </si>
  <si>
    <t xml:space="preserve">Ground Floor-146.53; First Floor- 254.94 </t>
  </si>
  <si>
    <t>Ground Floor hired in the year 1999 &amp; First Floor hired in the year August 2014</t>
  </si>
  <si>
    <t>Assistant Commissioner of Customs, Barasat Customs Division</t>
  </si>
  <si>
    <t>Ground Floor- August 2020 ; First Floor-May 2024</t>
  </si>
  <si>
    <t>Ground Floor- Rs. 11828/- ; First Floor 20586/-</t>
  </si>
  <si>
    <t>At the rate of 7.5 Per Sqft.</t>
  </si>
  <si>
    <t>Namkhana PU</t>
  </si>
  <si>
    <t>Vill- Narayan pur, P.O- Namkhana, 24 PGS (S)-743357</t>
  </si>
  <si>
    <t xml:space="preserve">Ground Floor-91.60; First Floor-98.81 </t>
  </si>
  <si>
    <t>I(15)6-Rentccom/NAM/BCD/2007/1074 dt. 17.07.2018</t>
  </si>
  <si>
    <t>01.02.2018-31.01.2021 Ground Floor; 01.04.2019-31.03.2022 First Floor</t>
  </si>
  <si>
    <t>As per cell No. 10</t>
  </si>
  <si>
    <t>4090 for Ground Floor &amp; 6000 for First Floor</t>
  </si>
  <si>
    <t xml:space="preserve">44.65 for Ground Floor &amp; 60.72 for First Floor </t>
  </si>
  <si>
    <t xml:space="preserve">Barasat PU </t>
  </si>
  <si>
    <t>Hatkhola, Barasat, 24 PGS (N)</t>
  </si>
  <si>
    <t xml:space="preserve">01.09.2002 ; </t>
  </si>
  <si>
    <t>3 years from Nov. 2017 to Oct. 2020</t>
  </si>
  <si>
    <t>23602/-</t>
  </si>
  <si>
    <t>Basirhat PU</t>
  </si>
  <si>
    <t>Basirhat college Para, 24 PGS(N)-743412</t>
  </si>
  <si>
    <t>Ground Floor-173.17 ; 1st floor-217.57</t>
  </si>
  <si>
    <t>01.09.2018 vide order dated 28.09.2018 under C. No. I(15)2-/Rent/BSH/BCD/2010/Pt-I</t>
  </si>
  <si>
    <t>3Yr.</t>
  </si>
  <si>
    <t>30.08.2021</t>
  </si>
  <si>
    <t>Ground Floor-Rs. 16794/- ; First Floor-Rs. 21860/-</t>
  </si>
  <si>
    <t>Rs. 9.01/- Per Sqr. Fit for Ground Floor &amp; Rs. 9.34/- per Sqr. Fit for First Floor</t>
  </si>
  <si>
    <t>Container Scanning Division, NS III, JNCH, Mumbai Zone II</t>
  </si>
  <si>
    <t>CSD, Post Sheva Taluka Uran Dist. Raigad Maharashtra 400707</t>
  </si>
  <si>
    <t>5000 Sq. Mts.</t>
  </si>
  <si>
    <t>25.8.2015, lease deed and MOU approved by Ministry of Shipping vide letter no. PT-11033/31/2002-PTdated 12.10.2010</t>
  </si>
  <si>
    <t>Ministry of  Shipping</t>
  </si>
  <si>
    <t>30 Years</t>
  </si>
  <si>
    <t>One time payment o lease rental of Rs. 87,43,855/-</t>
  </si>
  <si>
    <t>The premises is leased from Jawaharlal Nehru Port Trust</t>
  </si>
  <si>
    <t>Port Users Building, Nhava Sheva</t>
  </si>
  <si>
    <t>P.U.B, , Post Sheva Taluka Uran Dist. Raigad Maharashtra 400707</t>
  </si>
  <si>
    <t>316.13 Sq. Mts</t>
  </si>
  <si>
    <t>01.09.2019, With the approval of Commissioner of Customs(General) dated 25.04.2019 vide F. No. S/43-100/2018-19/CHS/JNCH</t>
  </si>
  <si>
    <t>Commissioner of Customs (General)</t>
  </si>
  <si>
    <t>10 YEARS</t>
  </si>
  <si>
    <t>62,013.07/- Per Month</t>
  </si>
  <si>
    <t>Mumbai Customs-III</t>
  </si>
  <si>
    <t xml:space="preserve">Customs (Preventive) Commissionerate, M &amp; P Wing, </t>
  </si>
  <si>
    <t>Office of the Superintendent of Customs (Preventive), Thane Circle, M &amp; P Wing, Customs (Preventive) Commissionerate.</t>
  </si>
  <si>
    <t>Thane City, 1st Floor, Girnar CHS, Charai, Opp. Makhmali Talao,  Edulgee Road, Thane - 400 601.</t>
  </si>
  <si>
    <t>600 Sq. Ft.</t>
  </si>
  <si>
    <t>Principal Commssioner</t>
  </si>
  <si>
    <t>01.05.2017 to 30.04.2020</t>
  </si>
  <si>
    <t>Rs.47,000/- P.M.</t>
  </si>
  <si>
    <t>Total Rent  of Rs.47,000/- P.M.</t>
  </si>
  <si>
    <t xml:space="preserve">Murud Circle, Alibag Division </t>
  </si>
  <si>
    <t>Office of the Superintendet Customs Prev. Mora Circle, M &amp; P Wing Alibag Division, Swara 886, 116A, Shegwda, Subhashchabdra Bose Road, Murud Janjira, Dist-Raigad- 402401.</t>
  </si>
  <si>
    <t>133 Sq.Mtr.</t>
  </si>
  <si>
    <t xml:space="preserve">Commsssioner </t>
  </si>
  <si>
    <t>01.06.2019 to 31.05.2022</t>
  </si>
  <si>
    <t>01.06..2022</t>
  </si>
  <si>
    <t xml:space="preserve"> Tal. Tala, Dist.-Raigad</t>
  </si>
  <si>
    <t>Office of the Superintendet Customs Prev.Mhasala Circle, M &amp; P Wing Alibag Division, Room No. 1 &amp; 2 , Ayesha Manzil,  House No.1304, Mhasala Dist - Raigad</t>
  </si>
  <si>
    <t>85.13 Sq.Mtr.</t>
  </si>
  <si>
    <t>01.12.2019 31.11.2024</t>
  </si>
  <si>
    <t>30.11.2024</t>
  </si>
  <si>
    <t>Mumai Customs, Zone-III</t>
  </si>
  <si>
    <t>PREVENTIVE COMMISSIONERATE</t>
  </si>
  <si>
    <t>Nanawati Warehouse</t>
  </si>
  <si>
    <t>Nanavati Godowns, Reay Road, Sewree, Mumbai 400 010</t>
  </si>
  <si>
    <t>2360.32                                                                                                                                           (25397.50           Sq. Ft.)</t>
  </si>
  <si>
    <t>01.05.1991     MFDR Letter F.No. 211/44/92-AD.VIII(EC) Dated 13.07.1994</t>
  </si>
  <si>
    <t>Approved by the Financial Adviser (Finance) Vide their F.No. 2514/FA(F)/94 dated 1.7.94</t>
  </si>
  <si>
    <t xml:space="preserve"> **</t>
  </si>
  <si>
    <t>**</t>
  </si>
  <si>
    <t>12.67           per sq. ft.</t>
  </si>
  <si>
    <t xml:space="preserve">** Board vide  letter F.No. 924/15/Hiring/Nanavati/HRD/09 Dated 15.07.2010 coveyed the administrative approval and expenditure sanction of the President of India for payment @ 12.67 per sq.ft per month till the vacation of the Warehouse. </t>
  </si>
  <si>
    <t>Customs (P) Zone, Patna</t>
  </si>
  <si>
    <t>O/o the Supdt Customs (Prev) Circle Gopalganj</t>
  </si>
  <si>
    <t>Sadhu Chowk, Distt. - Gopalganj-841428</t>
  </si>
  <si>
    <t>20.11.07</t>
  </si>
  <si>
    <t>Customs (P) Hqrs, Patna</t>
  </si>
  <si>
    <t>20.11.20</t>
  </si>
  <si>
    <t>Rs. 15680</t>
  </si>
  <si>
    <t>O/o the Supdt Customs (Prev) Circle Sugauli Main road</t>
  </si>
  <si>
    <t>Dewan Chowk, PO: Sugauli, Distt. - East Champaran-845456</t>
  </si>
  <si>
    <t>20.01.18</t>
  </si>
  <si>
    <t>20.01.23</t>
  </si>
  <si>
    <t>Rs.11000</t>
  </si>
  <si>
    <t>O/o the Supdt Customs (Prev) Circle Ghorasahan</t>
  </si>
  <si>
    <t>05.10.15</t>
  </si>
  <si>
    <t>05.10.20</t>
  </si>
  <si>
    <t>Rs. 21000</t>
  </si>
  <si>
    <t>O/o the Supdt Customs (Prev) Circle Narkatiyaganj</t>
  </si>
  <si>
    <t>01.01.16</t>
  </si>
  <si>
    <t>01.01.21</t>
  </si>
  <si>
    <t>Rs.11631</t>
  </si>
  <si>
    <t>O/o the Supdt Customs (Prev) LCS Sikta</t>
  </si>
  <si>
    <t>Border Chowk, PO: Sikta, Distt. - West Champaran-845307</t>
  </si>
  <si>
    <t>01.06.16</t>
  </si>
  <si>
    <t>01.06.21</t>
  </si>
  <si>
    <t>Rs.27045</t>
  </si>
  <si>
    <t>O/f the Deputy Commissioner,LCS, Raxaul, East Champarn, 845305</t>
  </si>
  <si>
    <t>Ashok Kumar Sinha, S/o Late Bachchan Sinha, Near Customs Office, Raxaul</t>
  </si>
  <si>
    <t>11.06.1999 , C. No. I(11)12-Cus/Admn/99/3481 dt. 26.02.1999</t>
  </si>
  <si>
    <t xml:space="preserve"> Commissioner of Customs (P), Patna</t>
  </si>
  <si>
    <t>05 Years</t>
  </si>
  <si>
    <t>Rs.14000</t>
  </si>
  <si>
    <t>This office has a godown are 323.66 Sq mtrs. but the same is on rent in a building situated near the office primises but on the otherside of the road.</t>
  </si>
  <si>
    <t>Customs (Prev.)  Forbesganj Div
Circle, Katihar</t>
  </si>
  <si>
    <t>Mangal Bazar, 
Katihar, Dist:- Katihar,
PIN-854105</t>
  </si>
  <si>
    <t>Provided by 
Railway authority</t>
  </si>
  <si>
    <t xml:space="preserve">Rs. 1514
</t>
  </si>
  <si>
    <t>Customs (Prev.) Forbesganj Div
Circle, Kishanganj</t>
  </si>
  <si>
    <t>Customs Chowk, Rui Dhasa, Kishanganj, Dist:- Kishanganj,
PIN-855107</t>
  </si>
  <si>
    <t>CGST &amp; CX, Ranchi Zone, Patna</t>
  </si>
  <si>
    <t>Customs (Prev.) Forbesganj Div
Circle, Thakurganj</t>
  </si>
  <si>
    <t>Bhat Dala Road, Thakurganj, Dist:- Kishanganj,
PIN-855116</t>
  </si>
  <si>
    <t>22.03.2017</t>
  </si>
  <si>
    <t>Commissioner 
of Customs, Patna</t>
  </si>
  <si>
    <t>01.04.15 
to 31.03.2020</t>
  </si>
  <si>
    <t>Rs. 6234</t>
  </si>
  <si>
    <t>Land Customs Station, Galgalia, Forbesganj Div</t>
  </si>
  <si>
    <t>, Dist:- Kishanganj,
PIN-855106</t>
  </si>
  <si>
    <t>up to 06.062012</t>
  </si>
  <si>
    <t>Not renewed till date</t>
  </si>
  <si>
    <t>Rs. 4900</t>
  </si>
  <si>
    <t>Original landlord sold the building and new one is not ready to hire on Rs. 4900/- PM, ;hence the divisional officer requested for FRC.</t>
  </si>
  <si>
    <t>New Godown, Customs, Forbesganj Div</t>
  </si>
  <si>
    <t>Matiyari, Jogbani Road, Dist:- Araria,
PIN-854318</t>
  </si>
  <si>
    <t>08.08.2018</t>
  </si>
  <si>
    <t>01.08.2018
 to 31.07.2023</t>
  </si>
  <si>
    <t>Rs. 72000</t>
  </si>
  <si>
    <t>Customs Circle, Gaya</t>
  </si>
  <si>
    <t>Gaya-Dobhi Road, Bodhgaya</t>
  </si>
  <si>
    <t>232.75 Sq. Mts.</t>
  </si>
  <si>
    <t>Competent Authority</t>
  </si>
  <si>
    <t>30.10.2019*</t>
  </si>
  <si>
    <t>Rs. 28,000</t>
  </si>
  <si>
    <t>Customs(P) Circle - Ranchi</t>
  </si>
  <si>
    <t>Jerath Compound, Main Road, Hinoo - Ranchi</t>
  </si>
  <si>
    <t>115.88 Sq. Mtrs.</t>
  </si>
  <si>
    <t>08.06.03</t>
  </si>
  <si>
    <t>06.06.19</t>
  </si>
  <si>
    <t>Rs. 8400</t>
  </si>
  <si>
    <t>Carpet area and Rent per month is not mentioned in the Lease Agreement.</t>
  </si>
  <si>
    <t>Customs (P) Circle - Barhi</t>
  </si>
  <si>
    <t>P.O. + P.S. - Barhi, Dist. Hazaribag, Jharkhand</t>
  </si>
  <si>
    <t>83.33 Sq.Mtrs.</t>
  </si>
  <si>
    <t>06.05.13</t>
  </si>
  <si>
    <t>05.10.22</t>
  </si>
  <si>
    <t>Rs. 7500</t>
  </si>
  <si>
    <t>Customs (P) Circle - Bhagalpur</t>
  </si>
  <si>
    <t>Red Cross Road, Near Registry Office, Bhagalpur Bihar</t>
  </si>
  <si>
    <t>85.17 Sq. Mtrs.</t>
  </si>
  <si>
    <t>Mar.2020</t>
  </si>
  <si>
    <t>Rs. 7772</t>
  </si>
  <si>
    <t>O/o the Superintendent, Customs (P) Circle, Sitamarhi</t>
  </si>
  <si>
    <t>O/o the Superintendent, Customs (P) Circle, Sitamarhi, Muz'pur Div</t>
  </si>
  <si>
    <t>01.01.10 to 31.12.2014</t>
  </si>
  <si>
    <t>O/o the Superintendent, Customs (P) Unit, Madhubani</t>
  </si>
  <si>
    <t>O/o the Superintendent, Customs (P) Unit, Madhubani, Muz'pur Div</t>
  </si>
  <si>
    <t>01.04.17 to 31.03.2022</t>
  </si>
  <si>
    <t>O/o the Superintendent, Customs (P) Circle, Darbhanga</t>
  </si>
  <si>
    <t>O/o the Superintendent, Customs (P) Circle, Darbhanga, Muz'pur Div</t>
  </si>
  <si>
    <t>O/o the Superintendent, LCS, Jaynagar</t>
  </si>
  <si>
    <t>O/o the Superintendent, LCS, Jaynagar, Muz'pur Div</t>
  </si>
  <si>
    <t>01.04.2018 to 31.03.2023</t>
  </si>
  <si>
    <t>O/o the Superintendent, LCS, Bhithamore</t>
  </si>
  <si>
    <t>O/o the Superintendent, LCS, Bhithamore, Muz'pur Div</t>
  </si>
  <si>
    <t>01.10.2018 to 30.09.2023</t>
  </si>
  <si>
    <t>O/o the Superintendent, LCS, Sonbarsa</t>
  </si>
  <si>
    <t>O/o the Superintendent, LCS, Sonbarsa, Muz'pur Div</t>
  </si>
  <si>
    <t>O/o the Superintendent, LCS, Kunaulli</t>
  </si>
  <si>
    <t>O/o the Superintendent, LCS, Kunaulli, Muz'pur Div</t>
  </si>
  <si>
    <t>08.08.2002 to 07.08.2007</t>
  </si>
  <si>
    <t>08.08.07</t>
  </si>
  <si>
    <t>O/o the Superintendent, LCS, Laukaha</t>
  </si>
  <si>
    <t>O/o the Superintendent, LCS, Laukaha, Muz'pur Div</t>
  </si>
  <si>
    <t>10.08.2017</t>
  </si>
  <si>
    <t>10.08.2017 to 09.08.2020</t>
  </si>
  <si>
    <t>10.08.2020</t>
  </si>
  <si>
    <t>O/o the Superintendent, LCS, Pipraun</t>
  </si>
  <si>
    <t>O/o the Superintendent, LCS, Pipraun, Muz'pur Div</t>
  </si>
  <si>
    <t>23.02.2015</t>
  </si>
  <si>
    <t>23.02.2016 to 22.02.2019</t>
  </si>
  <si>
    <t>22.02.2019</t>
  </si>
  <si>
    <t xml:space="preserve">Customs (P) Commissionerate, Lucknow, </t>
  </si>
  <si>
    <t>Customs (P) Commissionerate, Lucknow, Kendriya Bhawan, Sector – H, Aliganj, Lucknow</t>
  </si>
  <si>
    <t>3,13,128/-</t>
  </si>
  <si>
    <t>License Fees</t>
  </si>
  <si>
    <t>Customs (P) Division Lucknow</t>
  </si>
  <si>
    <t>A-3/113, Siddhivinayak Tower, Vibhutikhand Gomoti  Nagar, Lucknow, 226010</t>
  </si>
  <si>
    <t>01.07.2011</t>
  </si>
  <si>
    <t>10 yrs</t>
  </si>
  <si>
    <t>Godown 1, Customs (P) Lucknow</t>
  </si>
  <si>
    <t>Godown/ Address-26/15/1, Wazir Hasan Road, Hazaratganj, Lucknow</t>
  </si>
  <si>
    <t>19.05.1988</t>
  </si>
  <si>
    <t>01.01.2024</t>
  </si>
  <si>
    <t>Godown 2, Customs (P) Lucknow</t>
  </si>
  <si>
    <t>Godown/ Address-26/12, Wazir Hasan Road, Hazaratganj, Lucknow</t>
  </si>
  <si>
    <t>08.07.2004</t>
  </si>
  <si>
    <t>08.07.2014</t>
  </si>
  <si>
    <t>Superintendent, LCS Tikunia</t>
  </si>
  <si>
    <t>Viilage &amp; Post Tikunia, Lakhimpur kheri</t>
  </si>
  <si>
    <t>13.06.2019</t>
  </si>
  <si>
    <t>Five years since 01.12.2018</t>
  </si>
  <si>
    <t>01.12.2023</t>
  </si>
  <si>
    <t>Very old building</t>
  </si>
  <si>
    <t>Superintendent CMPU Palia</t>
  </si>
  <si>
    <t>Near Headil Colony, Nighasan Road, Palia, Kheri</t>
  </si>
  <si>
    <t>01.06.2020 I(04)32-Palia/95 /7500 dt. 01.07.2020</t>
  </si>
  <si>
    <t>01.06.2023</t>
  </si>
  <si>
    <t>Superintendent CMPU Nanpara</t>
  </si>
  <si>
    <t xml:space="preserve">opposite Sitapur eye hospital, Rupaidiha Road, CMPU, Nanpara, Distt. Bahraich </t>
  </si>
  <si>
    <t>01.10.2011, 19.09.2011</t>
  </si>
  <si>
    <t>20 Yrs</t>
  </si>
  <si>
    <t>01.10.2031</t>
  </si>
  <si>
    <t>Superintendent CMPU Lakhimpur</t>
  </si>
  <si>
    <t>140, Edgah Road, Lakhimpur Kheri</t>
  </si>
  <si>
    <t>01.12.1978</t>
  </si>
  <si>
    <t>01.12.2011 to 30.11.2016</t>
  </si>
  <si>
    <t>Superintendent CMPU Bahraich</t>
  </si>
  <si>
    <t>Near Banjari Mod, Lucknow Road, CMPU, Bahraich</t>
  </si>
  <si>
    <t>Sep. 2011</t>
  </si>
  <si>
    <t>6 Yrs</t>
  </si>
  <si>
    <t>Oct. 2017</t>
  </si>
  <si>
    <t>Superintendent CMPU Mihipurwa</t>
  </si>
  <si>
    <t>Mihipurwa, Near Bus Stand, Tehsil Nanpara, District Bahraich</t>
  </si>
  <si>
    <t>01.07.2012</t>
  </si>
  <si>
    <t>02.07.2017</t>
  </si>
  <si>
    <t xml:space="preserve">Office of the Joint Commissioner, Customs (P), Division office, Nautanwa </t>
  </si>
  <si>
    <t>Customs (P), Division office, Nautanwa, Ward No. 8, Mahendra Nagar, Nautanwa, Distt. Maharajganj</t>
  </si>
  <si>
    <t>Lease from 01-09-2009, sancitoned on 16-11-2009</t>
  </si>
  <si>
    <t>Rs. 25000/- per month</t>
  </si>
  <si>
    <t>Not rented</t>
  </si>
  <si>
    <t xml:space="preserve">Letter given to owner by renew </t>
  </si>
  <si>
    <t>Office of the Superintendent CMPU Office Nichlaul</t>
  </si>
  <si>
    <t>CMPU Office Nichlaul, Ward No. 1, Jiginihwa, Town Area, Nichlaul, Distt. Maharajganj</t>
  </si>
  <si>
    <t>Rs. 85000/- per month</t>
  </si>
  <si>
    <t>Due on 03-04-2018</t>
  </si>
  <si>
    <t>Letter forward to Hdqrs. for renew</t>
  </si>
  <si>
    <t xml:space="preserve">Office of the Joint Commissioner, LCS office, Sonauli </t>
  </si>
  <si>
    <t>LCS Office Sonauli, New Office Building, H. No. 65, Nai Basti, Opposite Tempo Stand Sonauli, Main Road, Sonauli, Distt. Maharajganj</t>
  </si>
  <si>
    <t xml:space="preserve"> 863.99 sq. mtr. </t>
  </si>
  <si>
    <t>4/11/2017,  sanctioned on 03-11-2017</t>
  </si>
  <si>
    <t>Rs. 1,01,724/- per month</t>
  </si>
  <si>
    <t>Due on 03-11-2020</t>
  </si>
  <si>
    <t>LCS Office, Old Building (Barrier)</t>
  </si>
  <si>
    <t>LCS Sonauli, Old Building (Barrier) Main Road, Sonauli, Distt. Maharajganj</t>
  </si>
  <si>
    <t>30-01-2013</t>
  </si>
  <si>
    <t>Rs. 6480/- per month</t>
  </si>
  <si>
    <t>Due on 30-01-2013</t>
  </si>
  <si>
    <t>Letter given to owner for renew</t>
  </si>
  <si>
    <t>Office of the Superintendent, LCS Thoothibari</t>
  </si>
  <si>
    <t>LCS Thoothibari, Main Road, Thoothibari, Distt. Maharajganj</t>
  </si>
  <si>
    <t>LCS Thoothibari office currently  being run in a picket shed.</t>
  </si>
  <si>
    <t>CMPU Basti</t>
  </si>
  <si>
    <t>CMPU Basti, Circle Panchperiya, Old Basti, U.P. 272001</t>
  </si>
  <si>
    <t>12.09.2012</t>
  </si>
  <si>
    <t>01.06.2010 to 31.05.15</t>
  </si>
  <si>
    <t>01.06.15</t>
  </si>
  <si>
    <t>11,108/-</t>
  </si>
  <si>
    <t>CMPU Gonda</t>
  </si>
  <si>
    <t>CMPU Gonda, Near SichaiVibhag, Gonda UP 271001</t>
  </si>
  <si>
    <t>01.11.2000</t>
  </si>
  <si>
    <t>16.01.99 to 15.01.04</t>
  </si>
  <si>
    <t>16.01.14</t>
  </si>
  <si>
    <t>4830/-</t>
  </si>
  <si>
    <t>CMPU Kushinagar</t>
  </si>
  <si>
    <t>CMPU Kushinagar 28-NH Road, Kasia, Kushinagar 274402</t>
  </si>
  <si>
    <t>05.05.2014</t>
  </si>
  <si>
    <t>20.11.11 to 19.11.14</t>
  </si>
  <si>
    <t>25014/-</t>
  </si>
  <si>
    <t>CMPU Balrampur</t>
  </si>
  <si>
    <t>CMPU Balrampur, Tulsipur Road, Balrampur UP 271201</t>
  </si>
  <si>
    <t>Not Traceable</t>
  </si>
  <si>
    <t>01.07.03 to 30.06.03</t>
  </si>
  <si>
    <t>01.07.04</t>
  </si>
  <si>
    <t>2000/-</t>
  </si>
  <si>
    <t>CMPU Naugarh</t>
  </si>
  <si>
    <t>CMPU Naugarh, Railway Station, Naugarh, Distt. Siddharthnagar U.P.</t>
  </si>
  <si>
    <t>10.09.1993</t>
  </si>
  <si>
    <t>01.04.92 to 31.03.97</t>
  </si>
  <si>
    <t>01.04.97</t>
  </si>
  <si>
    <t>2394/-</t>
  </si>
  <si>
    <t>LCS Jarwa</t>
  </si>
  <si>
    <t>LCS Jarwa, Distt. Balrampur, UP 271201</t>
  </si>
  <si>
    <t>08.01.2011</t>
  </si>
  <si>
    <t>01.06.08 to 31.05.14</t>
  </si>
  <si>
    <t>01.06.14</t>
  </si>
  <si>
    <t>Pending in court for judgment regarding premises</t>
  </si>
  <si>
    <t>LCS Kakrahwa</t>
  </si>
  <si>
    <t>LCS Kakrahwa, Distt. Siddharthnagar</t>
  </si>
  <si>
    <t>01.07.17 to 30.06.20</t>
  </si>
  <si>
    <t>9,713/-</t>
  </si>
  <si>
    <t>Division Bareilly</t>
  </si>
  <si>
    <t>93,077/-</t>
  </si>
  <si>
    <t>LCS Jhulaghat</t>
  </si>
  <si>
    <t>Govt. Building</t>
  </si>
  <si>
    <t>LCS Dharchula</t>
  </si>
  <si>
    <t>Hired by CBIC</t>
  </si>
  <si>
    <t>1,700/-</t>
  </si>
  <si>
    <t>CMPU Khatima</t>
  </si>
  <si>
    <t>185.87 (covered) 504.09 (open)</t>
  </si>
  <si>
    <t>40,479/-</t>
  </si>
  <si>
    <t>CMPU Pilibhit</t>
  </si>
  <si>
    <t>10,334/-</t>
  </si>
  <si>
    <t>CMPU Pithoragarh</t>
  </si>
  <si>
    <t>7,818/-</t>
  </si>
  <si>
    <t>CMPU Azamgarh</t>
  </si>
  <si>
    <t>CMPU Azamgarh, H. No. 14, Harbanshpur, Azamgarh</t>
  </si>
  <si>
    <t>130 sqm</t>
  </si>
  <si>
    <t>25.11.2019</t>
  </si>
  <si>
    <t>03 years(01.11.2019 to 31.10.2022)</t>
  </si>
  <si>
    <t>12,600/-</t>
  </si>
  <si>
    <t>CMPU Faizabad</t>
  </si>
  <si>
    <t>CMPU Faizabad, H. No. 6/1/17 Ramkot ward, Ranopali, Ayodhya</t>
  </si>
  <si>
    <t>28.11.2018</t>
  </si>
  <si>
    <t>3 years(01.05.2018 to 30.04.2021)</t>
  </si>
  <si>
    <t>1.05.2021</t>
  </si>
  <si>
    <t>20,500/-</t>
  </si>
  <si>
    <t>24*</t>
  </si>
  <si>
    <t>Kandla Customs</t>
  </si>
  <si>
    <t>Mundra Customs</t>
  </si>
  <si>
    <t>Jamnagar Customs 
*Out of the same, 08  residendial building are very old and in deteriorated condition.</t>
  </si>
  <si>
    <t>31.05.2016</t>
  </si>
  <si>
    <t>Sy. No. 260/13A, Staff quarter, CPU, Beach Road, Malpe, Kodavoor, Udupi-576108</t>
  </si>
  <si>
    <t>Sy.No. 256/2B, Staff Qtrs. Haladi Road, Koteshwar, Kundapur</t>
  </si>
  <si>
    <t>390 Sq Mtrs, Building not habitable.</t>
  </si>
  <si>
    <t>SY. No. 162A, Sepoy Chawl, Honnwar</t>
  </si>
  <si>
    <t>Building has collapsed and not habitable</t>
  </si>
  <si>
    <t>Sy. No. 161 B, Honnavar village, Honnavar, Inspector Bunglow</t>
  </si>
  <si>
    <t>750 Sq.Mtrs, Building not habitable</t>
  </si>
  <si>
    <t>Sy. No. 1148B &amp; 1188 B, Staff Qtrs, Tadri</t>
  </si>
  <si>
    <t>210 Sq.Mtrs, Building not habitable</t>
  </si>
  <si>
    <t>5,6</t>
  </si>
  <si>
    <t>Sy. No. 43A2, sepoy Chawl, Baithkol, Karwar</t>
  </si>
  <si>
    <t>One type IV qtrs has been converted into a guest house</t>
  </si>
  <si>
    <t>Building not habitable</t>
  </si>
  <si>
    <t>No Qtrs of these categories are construced  in this Commissionerate</t>
  </si>
  <si>
    <t>1985/1991</t>
  </si>
  <si>
    <t>15,05,522</t>
  </si>
  <si>
    <t>Build up area before demolition- 13066.85 sq mtr   Quarters demolished-3548.88 sq mtr  = 9571.97       Proposed construction 726 nos. typeII -288 qrs, Type-III - 288 nos  and type IV- 150 qrs  . For the built up area of 88704 sq mtr.</t>
  </si>
  <si>
    <t>Sl. No. 2</t>
  </si>
  <si>
    <t>Build up area before demolition-2418.21   Quarters demolished-1750.39          Proposed construction type V-18 qrs and type VI 18 qrs for the builtup-11107     Total Build up area -11774.82</t>
  </si>
  <si>
    <t>unknown</t>
  </si>
  <si>
    <t>10,58,546</t>
  </si>
  <si>
    <t>Sl. No. 3</t>
  </si>
  <si>
    <t>Kolkata Customs</t>
  </si>
  <si>
    <t>Building provided by the CPWD, No charges are being paid.</t>
  </si>
  <si>
    <t>1400 sq. m</t>
  </si>
  <si>
    <t>0.014 cr.</t>
  </si>
  <si>
    <t>CC(P),West Bengal
Panitanki, Indo-Nepal Border, P.O- Dulaljote, Dist - Darjeeling, Pin 734 429</t>
  </si>
  <si>
    <t>CC(P),West Bengal Haldibari LCS/Jalpaiguri PU, Vill+ P.O. + P.S. Haldibari, Ward No. 3, District Coochbehar-735122, W.B.</t>
  </si>
  <si>
    <t>28
(6 Quarters used as godown. 22 Quarters are vacant)</t>
  </si>
  <si>
    <t>22
(13 Quarters used as Circle Office, PU Office and godown, 1 Quarter is allotted to the Night Guards, 8 Quarters are empty)</t>
  </si>
  <si>
    <t>2
(Used as Guest Houses)</t>
  </si>
  <si>
    <t>Vill: Jayantipur
P.O: Petrapole
P.S: Bongaon
Dist: North 24 Parganas</t>
  </si>
  <si>
    <t>Residence area</t>
  </si>
  <si>
    <t>12874.21 Sq.Mtr</t>
  </si>
  <si>
    <t>Rs. 29.0957 Cr.</t>
  </si>
  <si>
    <t>22,600/-per sq. mts</t>
  </si>
  <si>
    <t>JNPT Township Phunde Village, Tal- Uran, Distt. Raigad-  400707</t>
  </si>
  <si>
    <t>Customs Mumbai Zone - III</t>
  </si>
  <si>
    <t>constructed( Not known- records not available )</t>
  </si>
  <si>
    <t>(Not known)</t>
  </si>
  <si>
    <t>Zone-III</t>
  </si>
  <si>
    <t>Customs Prev,Mumbai</t>
  </si>
  <si>
    <t>157 sq mts</t>
  </si>
  <si>
    <t>Customs (Preventive), M &amp; P Wing, Mumbai</t>
  </si>
  <si>
    <t>Surve No.11/311.Rati Bunder, Kalyan , Thane Circle</t>
  </si>
  <si>
    <t>Residential property adjacent to Bassein Division Office, Killabunder Port, Vasai, Dist: Palghar, 401 201.</t>
  </si>
  <si>
    <t xml:space="preserve">1 type III quater used for office at present </t>
  </si>
  <si>
    <t>SUP Res/Guest HOuse</t>
  </si>
  <si>
    <t>25.11.1999</t>
  </si>
  <si>
    <t>Customs Colony, Raxaul, East Champarn, 845305</t>
  </si>
  <si>
    <t>04.03.1993</t>
  </si>
  <si>
    <t>N/A NotProvided by CPWD</t>
  </si>
  <si>
    <t xml:space="preserve">Customs (P) Commissionerate, Lucknow </t>
  </si>
  <si>
    <t>Nehru Enclave, Vishwas Khand, Gomti Nagar, Lucknow</t>
  </si>
  <si>
    <t>143 sq mtr per flats</t>
  </si>
  <si>
    <t>LCS Banbasa, Distt. Champawat (Uttarakhand)</t>
  </si>
  <si>
    <t>LCS, Barhni, Distt. Siddharthnagar</t>
  </si>
  <si>
    <t>27-02-2007</t>
  </si>
  <si>
    <t>included in the office cost value</t>
  </si>
  <si>
    <t>LCS, Nepalganj Road, Distt. Bahraich</t>
  </si>
  <si>
    <t>24-12-2008</t>
  </si>
  <si>
    <t>Customs Colony, Goriyare Chowk, 
Forbesganj, Dist.:- Araria, PIN-854318</t>
  </si>
  <si>
    <t>Fully utilized</t>
  </si>
  <si>
    <t>GIA Gaya</t>
  </si>
  <si>
    <t>Customs (P) Div Patna</t>
  </si>
  <si>
    <t>Land Customs Station, Jogbani, at+PO- Jogbani, Dist-Arari (Bihar), 854328</t>
  </si>
  <si>
    <t>106                                     (Type- II-4 No.)
Type- I</t>
  </si>
  <si>
    <t>0.12 Crore</t>
  </si>
  <si>
    <t>100                              (Type-I -4 Nos.)</t>
  </si>
  <si>
    <t>demolished</t>
  </si>
  <si>
    <t>237.6 Sq.m</t>
  </si>
  <si>
    <t>NON-HABITABLE</t>
  </si>
  <si>
    <t>Motihari Div</t>
  </si>
  <si>
    <t>LCS Raxaul</t>
  </si>
  <si>
    <t>Forbesganj Div</t>
  </si>
  <si>
    <t>Patna Div</t>
  </si>
  <si>
    <t>LCS Jogbani</t>
  </si>
  <si>
    <t>Muz'pur Div</t>
  </si>
  <si>
    <t>Gomtinagar, Lucknow</t>
  </si>
  <si>
    <t>LCS Banbasa</t>
  </si>
  <si>
    <t>LCS Barhni</t>
  </si>
  <si>
    <t>LCS Nepalganj Road</t>
  </si>
  <si>
    <t>Mumbai Commissionerate Zone-I</t>
  </si>
  <si>
    <t>21.10.2003</t>
  </si>
  <si>
    <t>Rs.148200 per Sqmr. Valued at 3278.46 cr.</t>
  </si>
  <si>
    <t>Yes, proposal for construction of office building and quarters has been approved of Rs. 975 cr. And duly sanctioned by Ministry of Finance vide F.No. 911/03/Customs Enclave/Mumbai/HRD/2016 dt 11.11.2019.</t>
  </si>
  <si>
    <t>Rs.77400 per Sqmr. Valued at 74.22 cr.</t>
  </si>
  <si>
    <t>fully encroached</t>
  </si>
  <si>
    <t>Proposal with SRA</t>
  </si>
  <si>
    <t>Encroachment by locals</t>
  </si>
  <si>
    <t>14.10.1940</t>
  </si>
  <si>
    <t>Rs.98600 per Sqmr. valued at 37.43 Cr.</t>
  </si>
  <si>
    <t>Web ID No. 25561</t>
  </si>
  <si>
    <t>Zone I</t>
  </si>
  <si>
    <t>Commissioner of Customs (G), New Custom House, Fort, Mumbai-I 22757703</t>
  </si>
  <si>
    <t>New Custom House Old( Main) building, Ballard Estate, Mumbai-400001</t>
  </si>
  <si>
    <t xml:space="preserve">Haritage building more than 100 yr old.  </t>
  </si>
  <si>
    <t>Rs.307.37 cr.</t>
  </si>
  <si>
    <t>Handed over to Govt. of India vide MbPT Board orders dt 30th April 1912</t>
  </si>
  <si>
    <t>Zone 2/22 Web ID-25781</t>
  </si>
  <si>
    <t>New Custom Annex Building ,House Ballard Estate, Mumbai-400001</t>
  </si>
  <si>
    <t>Annex building constructed in 1981</t>
  </si>
  <si>
    <t>Rs.262.35 cr.</t>
  </si>
  <si>
    <t>constructed in 1981</t>
  </si>
  <si>
    <t>MUMBAI COMMISSIONERATE -I</t>
  </si>
  <si>
    <t>Plot No. 17, Buildingd A to E, Plot No. 14, Buildings A &amp;B, MAHADA, Powai, Mumbai-76 Zone 118/545 C.T.S. 1 to 10</t>
  </si>
  <si>
    <t>D type flats 200  of  built up area 16598, C type flates 56  of built up area 2628.08 Total area-19226.08</t>
  </si>
  <si>
    <t>ready built flats  purchased from MHADA on 31.03.1998.</t>
  </si>
  <si>
    <t>purchase 42.02 cr.</t>
  </si>
  <si>
    <t xml:space="preserve">Rs.162500 per Sqmr valued at 312.42 cr </t>
  </si>
  <si>
    <t>Web ID No. 25838</t>
  </si>
  <si>
    <t>Horizon Building, Raheja Vihar, Powai, Mumbai-72 Zone 117/544A  C.T.S. 119</t>
  </si>
  <si>
    <t>C type 56 flats of  total built up area 3640.</t>
  </si>
  <si>
    <t>Ready built flates purchased from M/S. Powai Developers on 31.09.1999</t>
  </si>
  <si>
    <t xml:space="preserve">Rs.195300 per Sqmr valued at 71.09 cr </t>
  </si>
  <si>
    <t>Web ID No. 25723</t>
  </si>
  <si>
    <t>Antophill Sector-7, CGS colony, Mumbai-37 C.T.S. 2/116</t>
  </si>
  <si>
    <t>A type 32 flats of built up area 1025.6, .B type 119 flats of built up area 5049.17, C type 92 flats of built up area 4743.52, D types 05 flats of built up area 375. Total area 11193.29</t>
  </si>
  <si>
    <t>Aquired from Central Govt. general pool approximately between 1960-1975.</t>
  </si>
  <si>
    <t xml:space="preserve">Rs. 148200 per Sqmr valued at 165.88 cr </t>
  </si>
  <si>
    <t>Bhandup Sector-A, CGS Colony, Mumbai, village/Zone No.120/549, C.T.S. not available.</t>
  </si>
  <si>
    <t>A type 10 flats of built up area 284 .B type 25 flats of built up area 959.75, C type 27 flats of built up area 1380.78, D types 10 flats of built up area 616.9 Total area 3241.43</t>
  </si>
  <si>
    <t>Aquired from Central Govt. general pool, constructed in 1976.</t>
  </si>
  <si>
    <t xml:space="preserve">Rs. 146400 per Sqmr valued at 47.45 cr </t>
  </si>
  <si>
    <t>Income Tax Coloney, Ekta Vihar, Belapur (West),  Sector-21/22, Navi Mumbai-400614</t>
  </si>
  <si>
    <t>A type flats 10 of built up area 250.5, B type of flats 10 of built up area 310.9, C type of flats 10 of built up area 406.9, D type of flats 20 of built up area 1963.9 Total area 2932.2</t>
  </si>
  <si>
    <t xml:space="preserve">Purchased from CIDCO by dept. on 01.04.2004 </t>
  </si>
  <si>
    <t xml:space="preserve">Rs.58800 per Sqmr valued at 17.24 cr </t>
  </si>
  <si>
    <t>Web ID No. 26017</t>
  </si>
  <si>
    <t>C.T.S. not available.</t>
  </si>
  <si>
    <t>Lloyds Estate, New VJTI College, Wadala (East), Mumbai-400037 C.T.S. 15/105B</t>
  </si>
  <si>
    <t>C type 128 flats of built up area 5320.96, D type flats 22 of built up area 1332.1, E type flats 10 of built up area 892.2 Total area 7545.26</t>
  </si>
  <si>
    <t>Purchased by the dept. from LLYODS Estate on 01.04.2004</t>
  </si>
  <si>
    <t>Rs.148200 per Sqmr valued at 111.82cr</t>
  </si>
  <si>
    <t>Web ID No. 25749</t>
  </si>
  <si>
    <t>Matunga Adenwala Road, Five Gardens, Mumbai-19 C.T.S. 16/108</t>
  </si>
  <si>
    <t>C type 156 flats of built up area 5301.56, E type 39 flats of builtup area 4913.48 Total area 10215.04.</t>
  </si>
  <si>
    <t>16.10.1940</t>
  </si>
  <si>
    <t>Rs.252000 per Sqmr valued at 257.42 cr</t>
  </si>
  <si>
    <t>Central Excise &amp; Customs  Quarters, Katrak Road, Wadala Mumbai</t>
  </si>
  <si>
    <t>D type 19 flats of built up srea 1378.45, E type 06 flats of built up area 407.52 Total area 1785.97</t>
  </si>
  <si>
    <t>Admin control is with Central Excise, details called from CPWD. Acquisition Cost 0.74 Cr.</t>
  </si>
  <si>
    <t>Rs.173800 per Sqmr valued at 31.04 cr</t>
  </si>
  <si>
    <t>Central Avanue Apt. N.D. Road, 213 Mumbai-06 C.T.S 7/61</t>
  </si>
  <si>
    <t>D type 15 flats of  total built up area 2125.95</t>
  </si>
  <si>
    <t>Central Govt. Revenue pool qtrs, handed over to Customs in 1983.</t>
  </si>
  <si>
    <t>Rs. 861000 per Sqmr valued at 183.04 cr</t>
  </si>
  <si>
    <t>MHADA, Customs Quarters, Revenue Appartments, New MIG Colony, Bandra (East), Mumbai-400051 C.T.S. 29/167</t>
  </si>
  <si>
    <t>D type 24 flats of  total built up area 1863.27</t>
  </si>
  <si>
    <t>Purchased from MAHADA in1976-77</t>
  </si>
  <si>
    <t>Rs. 289900 per Sqmr valued at 54.02 cr</t>
  </si>
  <si>
    <t>Web ID No. 25849</t>
  </si>
  <si>
    <t>Customs Quarters, Fort Hill Road, Sewri (East) C.T.S 330/145</t>
  </si>
  <si>
    <t>C type 2 flats of  total built up area 565.22</t>
  </si>
  <si>
    <t>Rs. 79000 per Sqmr valued at 4.47 cr</t>
  </si>
  <si>
    <t>Dilapidated condition. All vacant. NOTE- This is also shown in Annexure A1 Vacant land at sl. No. 5</t>
  </si>
  <si>
    <t>Maintained by CPWD, Airport Colony, Bamanwada, Ville Parle (E) C.T.S. 34/117</t>
  </si>
  <si>
    <t>A type 16 flats of  total built up area 658.08</t>
  </si>
  <si>
    <t>Maintained by CPWD</t>
  </si>
  <si>
    <t>Rs. 136700 per Sqmr valued at 8.99 cr</t>
  </si>
  <si>
    <t>Govt. gnrl pool, Peddar Road, Darbanga house, Peddar Road C.T.S. 7/64.</t>
  </si>
  <si>
    <t>C type 14 flats of  total built up area 848.54</t>
  </si>
  <si>
    <t>Quarters built in 1980's as per CPWD. Acquisition cost 0.114</t>
  </si>
  <si>
    <t>Rs. 420900 per Sqmr valued at 35.71 cr</t>
  </si>
  <si>
    <t>Peon/Sepoy Quarters (Dilapidated), Mahim (West), Mumbai-400016, Mahim Retibunder Oppt. BEST bus Depot. Mhaim C.T.S. 1/1392</t>
  </si>
  <si>
    <t>Rs.236100 per Sqmr. Valued at 7.46 cr</t>
  </si>
  <si>
    <t>NOTE-This property has been mentioned in Annexure A1 Vacant Land.</t>
  </si>
  <si>
    <t>CIDCO, Plot No. 3, Sector-36, Kharghar, Navi Mumbai</t>
  </si>
  <si>
    <t>III type 150 flats of built up area 13529.34, IV/V (Spl) type 60 flats of built up area 8470.56 Total area 21999.9.</t>
  </si>
  <si>
    <t>150 flats = 112.09                       60 flats = 85.38                                    Total 197.48 cr.</t>
  </si>
  <si>
    <t>30.04.1912</t>
  </si>
  <si>
    <t>M/s. Bhoruka Charitable Trust Transport House, Poona Street, Mumbai-09</t>
  </si>
  <si>
    <t>03.03.1970</t>
  </si>
  <si>
    <t>Collectorate of Customs</t>
  </si>
  <si>
    <t>Rent renewed every 05 years. 10.10.2015 to 09.10.2020</t>
  </si>
  <si>
    <t>09.10.2020</t>
  </si>
  <si>
    <t>Rs. 2384639/- + CGST =214618/- + SGST= 214618/- Total  2813875/-</t>
  </si>
  <si>
    <t>97/- as on till date</t>
  </si>
  <si>
    <t>Ready built flates purchased from M/S. Powai Developers on 31.09.1999.</t>
  </si>
  <si>
    <t>31.09.1999</t>
  </si>
  <si>
    <t>1960-75</t>
  </si>
  <si>
    <r>
      <t xml:space="preserve">Income Tax Coloney, Ekta Vihar, Belapur (West),  Sector-21/22, Navi Mumbai-400614 </t>
    </r>
    <r>
      <rPr>
        <sz val="11"/>
        <color rgb="FF00B050"/>
        <rFont val="Times New Roman"/>
        <family val="1"/>
      </rPr>
      <t>C.T.S. not available.</t>
    </r>
  </si>
  <si>
    <t>01.04.2004</t>
  </si>
  <si>
    <t>1976-77</t>
  </si>
  <si>
    <t>1980's</t>
  </si>
  <si>
    <t>Date of Execution of Agreement with CIDCO is 25.10.2017 .</t>
  </si>
  <si>
    <t>25.10.2017</t>
  </si>
  <si>
    <t>CIDCO, Plot No. 3, Sector-36, Kharghar, Navi Mumbai.</t>
  </si>
  <si>
    <t>IV- Special</t>
  </si>
  <si>
    <t xml:space="preserve">Remarks </t>
  </si>
  <si>
    <t>s</t>
  </si>
  <si>
    <t>1 rupee token</t>
  </si>
  <si>
    <t>Kempegowda International Airport (KIA), Devanahalli, Bengaluru (piece and parce of survey no. 116,117 &amp; 118 situated at Arasinakunte village, Devanahalli Taluk, Bengaluru)</t>
  </si>
  <si>
    <t>Property under Dispute and the case is pending in Disrict Devbhoomi Dwarka court.</t>
  </si>
  <si>
    <t>CPWD has been requested to submit estimate for fencing of plot and construction</t>
  </si>
  <si>
    <r>
      <rPr>
        <b/>
        <sz val="11"/>
        <color theme="1"/>
        <rFont val="Times New Roman"/>
        <family val="1"/>
      </rPr>
      <t>REF 2 *:</t>
    </r>
    <r>
      <rPr>
        <sz val="11"/>
        <color theme="1"/>
        <rFont val="Times New Roman"/>
        <family val="1"/>
      </rPr>
      <t xml:space="preserve">Fund of Rs. 43.67 Crores Sanctioned by Ministry. The CPWD has given Tender of Rs. 28.71 Crore for construction of office building of customs Jamnagar to M/s. Standard Buildcon,  Jamnagar. The Construction has been started on 31.10.2018.  At present total 88% of construction work is completed till Mar-2021. </t>
    </r>
  </si>
  <si>
    <t>REF 2 *</t>
  </si>
  <si>
    <r>
      <rPr>
        <b/>
        <sz val="11"/>
        <color rgb="FF333333"/>
        <rFont val="Times New Roman"/>
        <family val="1"/>
      </rPr>
      <t>REF 1*</t>
    </r>
    <r>
      <rPr>
        <sz val="11"/>
        <color rgb="FF333333"/>
        <rFont val="Times New Roman"/>
        <family val="1"/>
      </rPr>
      <t xml:space="preserve"> :Boundry wall of the premises is under dispute with M/s. Dwarkesh Developers and others. Civil Misc. Appeal No. 6/2011 was filed in the court of Addl. District Judge, Khambhaliya and later transferred District Court Devbhoomi, Dwarka. The case is pending as on 09.09.2020 </t>
    </r>
  </si>
  <si>
    <t>REF 1*</t>
  </si>
  <si>
    <r>
      <t>Office of the Superintendent of Customs, Shore Guard, 1</t>
    </r>
    <r>
      <rPr>
        <vertAlign val="superscript"/>
        <sz val="11"/>
        <color theme="1"/>
        <rFont val="Times New Roman"/>
        <family val="1"/>
      </rPr>
      <t>st</t>
    </r>
    <r>
      <rPr>
        <sz val="11"/>
        <color theme="1"/>
        <rFont val="Times New Roman"/>
        <family val="1"/>
      </rPr>
      <t xml:space="preserve"> Floor, Nr. Gayatri Temple, Above Girnar Battery, Kodinar.</t>
    </r>
  </si>
  <si>
    <r>
      <t>Office of the Inspector of Customs, Road Checking Party,    3</t>
    </r>
    <r>
      <rPr>
        <vertAlign val="superscript"/>
        <sz val="11"/>
        <color theme="1"/>
        <rFont val="Times New Roman"/>
        <family val="1"/>
      </rPr>
      <t>rd</t>
    </r>
    <r>
      <rPr>
        <sz val="11"/>
        <color theme="1"/>
        <rFont val="Times New Roman"/>
        <family val="1"/>
      </rPr>
      <t xml:space="preserve"> Floor, NrJayshree Cinema, Kotecha Commercial Centre, Junagadh.</t>
    </r>
  </si>
  <si>
    <t>ANNEXURE D: HIRED PREMISES</t>
  </si>
  <si>
    <t>Free-hold</t>
  </si>
  <si>
    <t>04.02.2020 to 23.05.2038 (Extendable for another period of 30 years based on concession agreement)</t>
  </si>
  <si>
    <t>## A  proposal for construction of Office accommodation building ie., Basement parking -2, Ground Floor + 9 Floors for Partner Government Agencies, Import Commissionerate &amp; Audit Commissionerate with a request to obtain Administrative Approval and Expenditure Sanction for an amount of Rs.86,75,57,000/- was sent to DGHRD  and it is  under processing in the Ministry. ( File reference no.S31A/148/2013-infra  
### Ministry sanction is awaited.</t>
  </si>
  <si>
    <t>The land was a part of  pre-Independence period.  British Customs Collectorate and inherited to Chennai Customs. Hence purchase value and title documents are not available. This office has already approached  the State Revenue Authorities for the title deed.</t>
  </si>
  <si>
    <t>Sl No.6 &amp; 9 This  Office  has paid  rent for the  hired building  up to January 2011 and after that as per the Regulation 5 of Handling of Cargo  in Customs Area Regulation, 2009, as amended vide Notification 96/2010 dated 12.11.2010, payment of rent was stopped and a letter was sent to the Trafice Manager informing the Regulations and requested to provide the rent free office accommodation Sl.No.10.  For Container Scanning office, this office has hired open spce measuring 20000 sq mtr for a rent of  Rs.20000/- per  annum  from the Chennai Port Trust and constructed office building with a built up area  of 7840 sq mtr</t>
  </si>
  <si>
    <t>Basement-2783 sq. mtrs., Ground Floor-3314 sq. mtrs., 1st Floor-3248 sq. mtrs. &amp; 2nd Floor-3433 sq. mtrs. (Total-12,778 sq. mtrs.)</t>
  </si>
  <si>
    <t>1. Chief Commissioner of Customs (DZ),               
2. Chief Commissioner of Customs (Preventive) (DZ),
3. Principal Commissioner of Customs (Preventive), 
4. Airport &amp; General Commissionerate,
5. Air Cargo Customs (Export),
6. Air Cargo Customs (Import),
7. Customs Audit Commissionerate, 
8. Customs (Appeals) Commissionerate</t>
  </si>
  <si>
    <t>Customs Range, Purohiton ki Madri, Udaipur Pin code-313001</t>
  </si>
  <si>
    <t>25.05.1995</t>
  </si>
  <si>
    <t>UIT, Udaipur</t>
  </si>
  <si>
    <t>Customs Range Office Behind Bus stand Anoopgarh</t>
  </si>
  <si>
    <t>24.06.1997</t>
  </si>
  <si>
    <t>Only Boundary wall is constructed and office building is not due to not sanction of budget</t>
  </si>
  <si>
    <t>Customs Range, Nachna, District- Jaisalmer</t>
  </si>
  <si>
    <t>26.10.1993</t>
  </si>
  <si>
    <t>E-Block Ranjit Avenue, New Customs Colony, Asr, Distt Amritsar Pin-143001</t>
  </si>
  <si>
    <t>30.12.1989</t>
  </si>
  <si>
    <t>Rs.16100/- per Sqr yrd.</t>
  </si>
  <si>
    <t>Alloted by Improvement Trust Amritsar</t>
  </si>
  <si>
    <t>No any dispute / litigation issue .</t>
  </si>
  <si>
    <t>Being sent</t>
  </si>
  <si>
    <t>Area of 2082.50 sq yrds is lying un-constucted. Pending for issuence of  No-Encumbrance certificate fro Improvment Trust Amrisar</t>
  </si>
  <si>
    <t>Village Sali Kullian , Distt. Pathankot, 145001</t>
  </si>
  <si>
    <t xml:space="preserve">Rs 15.60 crores as on 02-07-2018 as per the office records </t>
  </si>
  <si>
    <t>Alloted by Pathankot Improvement Trusr</t>
  </si>
  <si>
    <t>Encrochment issue resolved. No court case litigation issue pending.</t>
  </si>
  <si>
    <t>Non Encumbrnace  certificate yet to be issued by PIT</t>
  </si>
  <si>
    <t>The Improvement Trust levied non construction fee and enhancement charge. Issue has been taken up with DGHRD sanction of additional amount demanded by improvement Trust Pathankot</t>
  </si>
  <si>
    <r>
      <t xml:space="preserve">Panelty of Rs. 1,54,04,648/- has been imposed by Improvement Trust Amritsar as  Non construction fee.Matter takien up </t>
    </r>
    <r>
      <rPr>
        <i/>
        <sz val="11"/>
        <rFont val="Times New Roman"/>
        <family val="1"/>
      </rPr>
      <t xml:space="preserve"> </t>
    </r>
    <r>
      <rPr>
        <sz val="11"/>
        <rFont val="Times New Roman"/>
        <family val="1"/>
      </rPr>
      <t>with DGHRD for Sanction.</t>
    </r>
  </si>
  <si>
    <t>Area of 2082.50 sq yrds  
(1741.235 Sq mtrs)</t>
  </si>
  <si>
    <t>0.03 @ Rs.144/- Per sqr yrd.</t>
  </si>
  <si>
    <t>Customs Commissionerate Jodhour</t>
  </si>
  <si>
    <t>Customs Commissionerate Amritsar</t>
  </si>
  <si>
    <t xml:space="preserve">Customs Preventive Delhi Zone </t>
  </si>
  <si>
    <t>Customs Preventive Delhi Zone</t>
  </si>
  <si>
    <t>Customs Division, CR Building, Sukhadia Circle, Sriganganagar (Raj.)</t>
  </si>
  <si>
    <t>31.03.1983</t>
  </si>
  <si>
    <t>….</t>
  </si>
  <si>
    <t>Customs Division, Opp. BP Tank, Jaisalmer (Raj.)</t>
  </si>
  <si>
    <t>28.02.1998</t>
  </si>
  <si>
    <t>Circle rate is as per  30.04.2016</t>
  </si>
  <si>
    <t>Customs Division Sriganaga nagar , Residential Colony Sukhadianagar,Sriganganagar (Raj.)</t>
  </si>
  <si>
    <t>Customs Range Residential Colony Bikaner Rd New  Bus stand Anoopgarh</t>
  </si>
  <si>
    <t>27.06.1994</t>
  </si>
  <si>
    <t>Customs Residence Colony,  Near DRDO, Jaisalmer</t>
  </si>
  <si>
    <t>01.03.1995</t>
  </si>
  <si>
    <t>26580 sqr yrd    (22224.205 Sq mtrs.</t>
  </si>
  <si>
    <t>16100/- Per sqr yrd</t>
  </si>
  <si>
    <t>Customs Commissionerate Jodhpur</t>
  </si>
  <si>
    <t>Kuchaman Bungalow Premises, Panchbatti Circle, Ratanada, Jodhpur-342001</t>
  </si>
  <si>
    <t>18.07.1988</t>
  </si>
  <si>
    <t>Customs Range, F-17-18, RIICO Indl. Area, Bhinmal, District -Jalore, Pincode-343029</t>
  </si>
  <si>
    <t>27.10.1988</t>
  </si>
  <si>
    <t>Customs Range-I/II, Babu Nagar, Phalodi, Jodhpur, Pin code- 342301</t>
  </si>
  <si>
    <t>06.01.1996</t>
  </si>
  <si>
    <t>Office of the Assistant Commissioner Customs Colony,  NH 68, Mahaveer Nagar Barmer-344001</t>
  </si>
  <si>
    <t>22.07.1999</t>
  </si>
  <si>
    <t>Office of Superintendent, Customs Range, Viratra Chauraha Chohtan-344702</t>
  </si>
  <si>
    <t>13.09.1999</t>
  </si>
  <si>
    <t>Office of Superintendent, Customs Range, Near BSF Camp, Gadra Road-344501</t>
  </si>
  <si>
    <t>22.02.1999</t>
  </si>
  <si>
    <t>Office of Superintendent, Customs Range, Sanchore-343041</t>
  </si>
  <si>
    <t>07.12.1996</t>
  </si>
  <si>
    <t>Customs Div. Office &amp; Residential-       6/VI, JNV Colony Sagar Road, Bikaner Opposite Chetan Mahadev mandir bikaner pin-334003</t>
  </si>
  <si>
    <t>30.03.2001</t>
  </si>
  <si>
    <t xml:space="preserve"> UIT  Bikaner </t>
  </si>
  <si>
    <t xml:space="preserve">Custom Range, Churu  Mausam vihag ke pass Office &amp; Residential </t>
  </si>
  <si>
    <t>03.02.1998</t>
  </si>
  <si>
    <t>Land Revenue District Collector Churu,</t>
  </si>
  <si>
    <t>Customs Range, Sam</t>
  </si>
  <si>
    <t>01.12.1998</t>
  </si>
  <si>
    <t>Customs Range, Miazlar</t>
  </si>
  <si>
    <t>Customs Range, Pokran</t>
  </si>
  <si>
    <t>01.01.1996</t>
  </si>
  <si>
    <t>Jaipur (Jodhpur )</t>
  </si>
  <si>
    <t>Office of the Additional Commissioner, Customs Sub Commissionerate, Jodhpur &amp; Customs Division, Jodhpur</t>
  </si>
  <si>
    <t>Office of Superintendent,Customs Range-Bhinmal</t>
  </si>
  <si>
    <t>Office of the Superintendent of Customs Range-Phalodi</t>
  </si>
  <si>
    <t xml:space="preserve"> Viratra Chauraha Chohtan, Distt Barmer -344702</t>
  </si>
  <si>
    <t>Office of Superintendent, Customs Range,  Chohtan-344702</t>
  </si>
  <si>
    <t>Near BSF Camp, Gadra Road, Distt, Barmer -344501</t>
  </si>
  <si>
    <t>Office of Superintendent, Customs Range,  Gadra Road-344501</t>
  </si>
  <si>
    <t>B. Dhani Road  Sanchore, Distt, Jolore -343041</t>
  </si>
  <si>
    <t>Office  of the Assistant Commissioner, Customs Divison, Bikaner, CGST Division -F/G Audit Circle Bikaner</t>
  </si>
  <si>
    <t xml:space="preserve"> UIT Bikaner F.No 203/13/B9-AD.VIII(EC) Dated 13.07.1989 Government of India(Ministry Of Finance) Department of revenue</t>
  </si>
  <si>
    <t>Office of Superintendent, Customs Range, Churu</t>
  </si>
  <si>
    <t xml:space="preserve">Customs Division, C.R.Building, Sukhadia Circle,Sriganganagar-335001 </t>
  </si>
  <si>
    <t>Office of the Asstt./ Deputy Commissioenr of Customs Division Sriganaga nagar</t>
  </si>
  <si>
    <t>31.03.1997</t>
  </si>
  <si>
    <t>Customs Division, Opp. BP Tank, Jaisalmer-345001</t>
  </si>
  <si>
    <t>Office of the Assistt. Commr., Customs Division-Jaisalmer</t>
  </si>
  <si>
    <t>Govt. of Raj.</t>
  </si>
  <si>
    <t>Office of Superintendent,Customs Range, Sam</t>
  </si>
  <si>
    <t>Office of Superintendent,Customs Range, Miazlar</t>
  </si>
  <si>
    <t>Office of Superintendent,Customs Range, Pokaran</t>
  </si>
  <si>
    <t>Customs Preventive Amritsar</t>
  </si>
  <si>
    <t>Mall Road, Amritsar</t>
  </si>
  <si>
    <t>Customs (Preventive) Commissionerate, C.R.Building, The Mall,Amritsar</t>
  </si>
  <si>
    <t>Rs.66500/- per squre yrd</t>
  </si>
  <si>
    <t>Maintained by CPWD, The Mall, Amritsar</t>
  </si>
  <si>
    <t>Three Story building Joint Occupation by Income tax and Customs</t>
  </si>
  <si>
    <t>CPS Attari, Village Attari</t>
  </si>
  <si>
    <t xml:space="preserve"> Custom Preventive Station  Attari</t>
  </si>
  <si>
    <t>Rs.114300/- per Marla (1 Marla= 225 Sq ft )</t>
  </si>
  <si>
    <t xml:space="preserve">LCS, Attari, </t>
  </si>
  <si>
    <t>Land Customs Station Attari Road</t>
  </si>
  <si>
    <t>Customs Cannine Center is also situated at the same land.</t>
  </si>
  <si>
    <r>
      <t>1</t>
    </r>
    <r>
      <rPr>
        <vertAlign val="superscript"/>
        <sz val="11"/>
        <color theme="1"/>
        <rFont val="Times New Roman"/>
        <family val="1"/>
      </rPr>
      <t>st</t>
    </r>
    <r>
      <rPr>
        <sz val="11"/>
        <color theme="1"/>
        <rFont val="Times New Roman"/>
        <family val="1"/>
      </rPr>
      <t xml:space="preserve"> Floor of Trustee’s Bldg. Near 5, Netaji Subhas Dock (Kolkata Port Trust), Kolkata-700043</t>
    </r>
  </si>
  <si>
    <t xml:space="preserve">01.12.1996 </t>
  </si>
  <si>
    <t xml:space="preserve">27.10.1998 </t>
  </si>
  <si>
    <t xml:space="preserve">06.01.1996 </t>
  </si>
  <si>
    <t xml:space="preserve"> Customs Colony,  NH 68, Mahaveer Nagar Barmer-344001</t>
  </si>
  <si>
    <t>22.07.99</t>
  </si>
  <si>
    <t xml:space="preserve"> Customs Range, Viratra Chauraha Chohtan-344702</t>
  </si>
  <si>
    <t>13.09.99</t>
  </si>
  <si>
    <t xml:space="preserve"> Customs Range, Near BSF Camp, Gadra Road-344501</t>
  </si>
  <si>
    <t>22.02.99</t>
  </si>
  <si>
    <t xml:space="preserve"> Customs Range, Sanchore-343041</t>
  </si>
  <si>
    <t>07.12.96</t>
  </si>
  <si>
    <t xml:space="preserve">   6/VI, JNV Colony Sagar Road, Bikaner Opposite Chetan Mahadev mandir bikaner pin-334003</t>
  </si>
  <si>
    <t>Sukhadianagar,Sriganganagar</t>
  </si>
  <si>
    <t>26.08.1994</t>
  </si>
  <si>
    <t>Customs Range Behind Bus stand Anoopgarh</t>
  </si>
  <si>
    <t>28.09.1998</t>
  </si>
  <si>
    <t>Customs Residence Colony,  Near DRDO, Jaisalmer-345001</t>
  </si>
  <si>
    <t>12.12.1998</t>
  </si>
  <si>
    <t>02.09.1996</t>
  </si>
  <si>
    <t>E-Block Ranjit Avenue, New Customs Colony, Amritsar</t>
  </si>
  <si>
    <t>02.07.1997</t>
  </si>
  <si>
    <t>0.40 /4.09</t>
  </si>
  <si>
    <t>Rs 16100/- per Sq Yrd</t>
  </si>
  <si>
    <t>C.R.Colony, Lawrence Road, Amritsar</t>
  </si>
  <si>
    <t>Record not available</t>
  </si>
  <si>
    <t>Rs 19000/- per Sq Yrd</t>
  </si>
  <si>
    <t>Jodhpur</t>
  </si>
  <si>
    <t>Amritsar</t>
  </si>
  <si>
    <t>A. Office of the. Commissioner  of Customs (Port)
B. Office of the. Commissioner    of Customs (Airport &amp; Admin.)
C. Office of the. Commissioner  of Customs(Preventive)</t>
  </si>
  <si>
    <t>Office of the. Commissioner  of Customs (Port)</t>
  </si>
  <si>
    <t>Gitaldaha Customs Office, P.O. Gitaldaha,Dt. Cooch Behar. 
Bamanhat Customs office, P.O. Bamanhat,Dt. Cooch Behar.
Jaigaon Customs CP, P.O.Jaigaon,Dist. Jalpaiguri.</t>
  </si>
  <si>
    <r>
      <t>Office of the</t>
    </r>
    <r>
      <rPr>
        <sz val="11"/>
        <color rgb="FFFFFFFF"/>
        <rFont val="Times New Roman"/>
        <family val="1"/>
      </rPr>
      <t>.</t>
    </r>
    <r>
      <rPr>
        <sz val="11"/>
        <color theme="1"/>
        <rFont val="Times New Roman"/>
        <family val="1"/>
      </rPr>
      <t xml:space="preserve"> Commissioner  of Customs (Port)</t>
    </r>
  </si>
  <si>
    <t>Constructed by CPWD, Govt. of India, Acquised on 16.08.1964</t>
  </si>
  <si>
    <t>Customs Commissionerate, Ludhiana</t>
  </si>
  <si>
    <t xml:space="preserve">Office of the Superintendent of Customs, Land Customs Station, Shipki-La (HP).
</t>
  </si>
  <si>
    <t>Office Building: Land Customs Station
Shipki-La, Village Namgiya, 
Teh. Pooh, 
District Kinnaur (H.P.)</t>
  </si>
  <si>
    <t>15.02.2019 - I-4(3)Admn/Cus/HQ/Ldh/2017</t>
  </si>
  <si>
    <t xml:space="preserve">Commissioner o </t>
  </si>
  <si>
    <t>01.11.2017 to 31.10.2022</t>
  </si>
  <si>
    <t xml:space="preserve">Rs.4300/- </t>
  </si>
  <si>
    <t>Residential Building of 
Land Customs Station, Shipki-La (HP).</t>
  </si>
  <si>
    <t>Residential Building: 
Land Customs Station
V.P.O. Khab, 
Teh. Pooh, 
District Kinnaur (H.P.)</t>
  </si>
  <si>
    <t xml:space="preserve">15.02.2019 - I-4(4)Admn/Cus/HQ/Ldh/2017 </t>
  </si>
  <si>
    <t xml:space="preserve">Commissioner  </t>
  </si>
  <si>
    <t>01.07.2017 to 30.06.2022</t>
  </si>
  <si>
    <t>Rs.6300/-</t>
  </si>
  <si>
    <t>Office of the Superintendent of Customs, 
Customs Preventive Station,
Kullu (HP).</t>
  </si>
  <si>
    <t>Office of the Superintendent of Customs, 
Customs Preventive Station,
Village Pirdi, Post Office Mohal, Tehsil and Distt. Kullu (Himachal Pradesh)</t>
  </si>
  <si>
    <t>12.07.2017 - I-15(1)Admn/Cus/HQ/Ldh/17</t>
  </si>
  <si>
    <t>12.07.2017 to 11.07.2022</t>
  </si>
  <si>
    <t>12.07.2022</t>
  </si>
  <si>
    <t>Rs.21899/-</t>
  </si>
  <si>
    <t>CPS, Bhikhiwind</t>
  </si>
  <si>
    <t>Shri Baldev Singh,S/o Pritam Singhinside Galli infront of Police Station Bhikhiwind, Distt Tarantaran</t>
  </si>
  <si>
    <t>1-04-2019 to 31-03-2024</t>
  </si>
  <si>
    <t>CPS Ferozpur</t>
  </si>
  <si>
    <t>Shri Chand Parkash Khanna, S/o Late Shri Tek Chand Khanna,r/o House No. 12, Street No. 1, Ferojpur Cantt</t>
  </si>
  <si>
    <t xml:space="preserve">Year 1989 </t>
  </si>
  <si>
    <t>01-09-2018 to 1-08-2023</t>
  </si>
  <si>
    <t>CPS, Jalalabad</t>
  </si>
  <si>
    <t>Shri Sandeep Kumar, s/o Sh Late Girdhari Lal , H.No. 912, (Ground Floor), Fazilka-Fzr Road, Jalalabad(West) Distt Fazilka</t>
  </si>
  <si>
    <t>02-02.2015</t>
  </si>
  <si>
    <t>02-02-2015 to 1-02-2020</t>
  </si>
  <si>
    <t>02.02.2020</t>
  </si>
  <si>
    <t xml:space="preserve"> Renewal of the Lease agreement delayed because of lockdown in Punjab Revenue Departments.</t>
  </si>
  <si>
    <t>CPS, Abohar</t>
  </si>
  <si>
    <t>Smt Anu Sethi w/o Sh Anil Kumar Setgiand Sapna Sethi w/o Sh Sh Sushil Kumar Sethi, Abohar office building situated at H.no. 2028/1 Street No. 15-B, Abohar Distt Fzr.</t>
  </si>
  <si>
    <t>01-10.2017 to 30-09-2021</t>
  </si>
  <si>
    <t>Guest House Dalhousie</t>
  </si>
  <si>
    <t>Guest House , Dalhausi/Good View Main Building, Mauza Bakrota, Dalhausie</t>
  </si>
  <si>
    <t>30.04.1990</t>
  </si>
  <si>
    <t>1-03-2020 to 28-02-2021</t>
  </si>
  <si>
    <t>No date is fixed.</t>
  </si>
  <si>
    <t xml:space="preserve"> Land lady has submitted her willingness for the rent for another five years on the same hired rate of her buildingi.e @Rs 7291/- per month</t>
  </si>
  <si>
    <t xml:space="preserve"> Customs Preventive Division, Pathankot
(2) CPS, Pathankot
(3) CPS, Gurdaspur
(w.e.f. 2018)</t>
  </si>
  <si>
    <t>Office of the Deputy/Assistant Commissioner, Customs Preventive Division, Mission Road, Pathankot-145001</t>
  </si>
  <si>
    <t>Initial period was for 2 years. Rent was continued upto Feb-2007.</t>
  </si>
  <si>
    <t>Pending since March,2007</t>
  </si>
  <si>
    <t>Old rate @ Rs. 9800/- P.M.  Enhanced rate @ Rs. 23,014/-P.M w.e.f. 09.05.2006</t>
  </si>
  <si>
    <t xml:space="preserve">Disputed property owners not coming forward for renewal of lease. </t>
  </si>
  <si>
    <t>CPD  jammu</t>
  </si>
  <si>
    <t>506 Sainik Colony Sector -C Jammu</t>
  </si>
  <si>
    <t>01.05.2018</t>
  </si>
  <si>
    <t>05/18 tO 04/23</t>
  </si>
  <si>
    <t>01.05.2023</t>
  </si>
  <si>
    <t>CPS Rajauri</t>
  </si>
  <si>
    <t>H No. 88, Ward No 3, Kheora Colony, Rajouri</t>
  </si>
  <si>
    <t>10/16 to  09/21</t>
  </si>
  <si>
    <t>01.10.2021</t>
  </si>
  <si>
    <t>Air cargo Complex Srinagar</t>
  </si>
  <si>
    <t>Mini Ikhwan , Bishamber Nagar, Kohankhan , Dalgate, Srinagar</t>
  </si>
  <si>
    <t>15.01.2018</t>
  </si>
  <si>
    <t>15.01.18 to 14.01.21</t>
  </si>
  <si>
    <t>15.01.2021</t>
  </si>
  <si>
    <t>CPS Leh</t>
  </si>
  <si>
    <t>Hotel Mountain Edge , Changspa, Near Shanti Stupa, Leh</t>
  </si>
  <si>
    <t>14.01.2011</t>
  </si>
  <si>
    <t>14.01.2011 to 13.01.2014</t>
  </si>
  <si>
    <t>14.01.2014</t>
  </si>
  <si>
    <t>Lease deed expired on 13-01-2014. Rent is being paid on provisional basis.  Matter is in process for renewal.</t>
  </si>
  <si>
    <t>CPS Kathua</t>
  </si>
  <si>
    <t>Upper Saraswati Vihar, Kalibari,Kathua,</t>
  </si>
  <si>
    <t>01.05.2018 to 30.04.2021</t>
  </si>
  <si>
    <t>15988 w.e.f. 01.05.2018</t>
  </si>
  <si>
    <t>CPS Srinagar</t>
  </si>
  <si>
    <t>Mini Ikhwan Hotel Bishambar Nagar Kohankhan Dalgate, Srinagar</t>
  </si>
  <si>
    <t>01.08.2017 to 31.07.2020</t>
  </si>
  <si>
    <t>01.08.2020</t>
  </si>
  <si>
    <t>Matter is under process for new Lease Agreement</t>
  </si>
  <si>
    <t>CPS RS Pura</t>
  </si>
  <si>
    <t>Nirmal building, Near Bus Stand , RS Pura(Jammu)</t>
  </si>
  <si>
    <t>299 sm</t>
  </si>
  <si>
    <t>CPS Akhnoor</t>
  </si>
  <si>
    <t>Sungal Morh, Jourian Road, ward No 1 , Akhnoor</t>
  </si>
  <si>
    <t>07/17 to 06/22</t>
  </si>
  <si>
    <t>Customs Enclave Plot, Saltpan Road, Wadala, Mumbai-400037 Praposed residential area cum office complex, Residence 185835 Sq. Mtrs office 95290 Sq. Mtrs.</t>
  </si>
  <si>
    <t>New Deepak wadi, Departmental Plot, Khar (East) Mumbai-400051, C.T.S. -377,29/166A</t>
  </si>
  <si>
    <t>Mahim Fort, Mahim (West), Mumbai-400016. C.T.S. 1393</t>
  </si>
  <si>
    <t xml:space="preserve">Ref-1* </t>
  </si>
  <si>
    <r>
      <rPr>
        <b/>
        <sz val="11"/>
        <color rgb="FF000000"/>
        <rFont val="Times New Roman"/>
        <family val="1"/>
      </rPr>
      <t>Ref-1*</t>
    </r>
    <r>
      <rPr>
        <sz val="11"/>
        <color rgb="FF000000"/>
        <rFont val="Times New Roman"/>
        <family val="1"/>
      </rPr>
      <t xml:space="preserve">  This property is being taken up under the "PMAY" in association with the guidline. In principal approval  has been taken from the revenue secretory on 09.05.2017 for redevelopment on concorreland . Department has conveyed the NOC to CEO, SRA on 15.05.2017 and Chief Commissioner of Mumbai has conveyed to Chief Secretory o fMaharashtra on 17.05.2017 for implementation of SRA. Finance Secretory has accorded the approval of Sh Saxena as PPP Consultant for implementation of SRA Scheme under PMAY. SRA office is being contacted for appointment for selecting /tender of the said project.</t>
    </r>
  </si>
  <si>
    <t xml:space="preserve">Ref-2* </t>
  </si>
  <si>
    <r>
      <t xml:space="preserve">Ref-2* </t>
    </r>
    <r>
      <rPr>
        <sz val="11"/>
        <color rgb="FF000000"/>
        <rFont val="Times New Roman"/>
        <family val="1"/>
      </rPr>
      <t>State Govt. has sort this land in exchange of other suitable land. It is informed that there is no available vacat land in nearby area hence state govt. is trying for the same in other areas.</t>
    </r>
  </si>
  <si>
    <t>Mumbai Zone-I</t>
  </si>
  <si>
    <r>
      <t xml:space="preserve"> </t>
    </r>
    <r>
      <rPr>
        <b/>
        <sz val="11"/>
        <color theme="1"/>
        <rFont val="Times New Roman"/>
        <family val="1"/>
      </rPr>
      <t>REF 1*</t>
    </r>
  </si>
  <si>
    <t xml:space="preserve">Mumbai Customs -III </t>
  </si>
  <si>
    <t>Mumbai  Zone-I</t>
  </si>
  <si>
    <t>CIDCO, Plot No. 3, Sector-36, Kharghar, Navi Mumbai C.T.S. not available.</t>
  </si>
  <si>
    <t>Mumbai Commissionerate -I</t>
  </si>
  <si>
    <t>Mumbai Zone I</t>
  </si>
  <si>
    <t>JNCH,  Post Sheva Taluka Uran Dist. Raigad Maharashtra 400707</t>
  </si>
  <si>
    <t xml:space="preserve">Gholwad Intelligece Unit, Dahanu Circle Bassein Division, Taluka Dahanu, Dist. Thane. Survey No. 519 </t>
  </si>
  <si>
    <t xml:space="preserve">Agashi, S. No 845/254, Bhati Bundar, Virar west, Taluka Vasai, Palghar -401302 </t>
  </si>
  <si>
    <r>
      <t xml:space="preserve">Open Land -No, Construction thereon-Residential quarters, Boundary wall- No, In possession of Govt. - Kokan Education Society High school                                           </t>
    </r>
    <r>
      <rPr>
        <b/>
        <u/>
        <sz val="11"/>
        <color rgb="FF333333"/>
        <rFont val="Times New Roman"/>
        <family val="1"/>
      </rPr>
      <t>No Encroachment</t>
    </r>
  </si>
  <si>
    <r>
      <t xml:space="preserve">Open Land -No, Construction thereon-3 residential quarter and other part are encroached, Boundary wall- No, In possession of Govt. - Yes                                          </t>
    </r>
    <r>
      <rPr>
        <b/>
        <u/>
        <sz val="11"/>
        <color rgb="FF333333"/>
        <rFont val="Times New Roman"/>
        <family val="1"/>
      </rPr>
      <t>Encroachment -Yes</t>
    </r>
  </si>
  <si>
    <r>
      <t xml:space="preserve">Open Land -No, Construction thereon-Residential quarters, Boundary wall- Yes, In possession of Govt. - Yes                                           </t>
    </r>
    <r>
      <rPr>
        <b/>
        <u/>
        <sz val="11"/>
        <color rgb="FF333333"/>
        <rFont val="Times New Roman"/>
        <family val="1"/>
      </rPr>
      <t>No Encroachment</t>
    </r>
  </si>
  <si>
    <r>
      <t xml:space="preserve">Open Land -No, Construction thereon-Customs quarter (in dilapilated condition), Boundary wall- No, In possession of Govt. - In the name of Maharashtra Maritime Board                                  </t>
    </r>
    <r>
      <rPr>
        <b/>
        <u/>
        <sz val="11"/>
        <color rgb="FF333333"/>
        <rFont val="Times New Roman"/>
        <family val="1"/>
      </rPr>
      <t>No Encroachment</t>
    </r>
  </si>
  <si>
    <t>Mumbai-III, Customs</t>
  </si>
  <si>
    <t>0.05 (total construction cost)</t>
  </si>
  <si>
    <r>
      <t xml:space="preserve">Open Land -No, Construction thereon-Alibag Divison office, Boundary wall- Yes, In possession of Govt. - Yes                                         </t>
    </r>
    <r>
      <rPr>
        <u/>
        <sz val="11"/>
        <color rgb="FF333333"/>
        <rFont val="Times New Roman"/>
        <family val="1"/>
      </rPr>
      <t xml:space="preserve">  No Encroachment</t>
    </r>
  </si>
  <si>
    <r>
      <t xml:space="preserve">Open Land -No, Construction thereon-Custom offfice, Boundary wall- No, In possession of Govt. - Yes                                           </t>
    </r>
    <r>
      <rPr>
        <b/>
        <u/>
        <sz val="11"/>
        <color rgb="FF333333"/>
        <rFont val="Times New Roman"/>
        <family val="1"/>
      </rPr>
      <t>No Encroachment</t>
    </r>
  </si>
  <si>
    <r>
      <t xml:space="preserve">Open Land -No, Construction thereon-Mandwa office, Boundary wall- Yes, In possession of Govt. - Yes                                           </t>
    </r>
    <r>
      <rPr>
        <b/>
        <u/>
        <sz val="11"/>
        <color rgb="FF333333"/>
        <rFont val="Times New Roman"/>
        <family val="1"/>
      </rPr>
      <t>No Encroachment</t>
    </r>
  </si>
  <si>
    <r>
      <t xml:space="preserve">Open Land -No, Construction thereon-Thal Office, Boundary wall- Yes, In possession of Govt. - Yes                                           </t>
    </r>
    <r>
      <rPr>
        <b/>
        <u/>
        <sz val="11"/>
        <color rgb="FF333333"/>
        <rFont val="Times New Roman"/>
        <family val="1"/>
      </rPr>
      <t>No Encroachment</t>
    </r>
  </si>
  <si>
    <r>
      <t xml:space="preserve">Open Land -No, Construction thereon-Custom Chowky, Boundary wall- No, In possession of Govt. - Yes                                           </t>
    </r>
    <r>
      <rPr>
        <b/>
        <u/>
        <sz val="11"/>
        <color rgb="FF333333"/>
        <rFont val="Times New Roman"/>
        <family val="1"/>
      </rPr>
      <t>No Encroachment</t>
    </r>
  </si>
  <si>
    <r>
      <t xml:space="preserve">Open Land -No, Construction thereon-Revdanda office, Boundary wall- Yes, In possession of Govt. - Yes                                           </t>
    </r>
    <r>
      <rPr>
        <b/>
        <u/>
        <sz val="11"/>
        <color rgb="FF333333"/>
        <rFont val="Times New Roman"/>
        <family val="1"/>
      </rPr>
      <t>No Encroachment</t>
    </r>
  </si>
  <si>
    <r>
      <t xml:space="preserve">Open Land -No, Construction thereon-Shriwardhan circle office, Boundary wall- Yes, possession of Govt. - Yes                                                        </t>
    </r>
    <r>
      <rPr>
        <b/>
        <u/>
        <sz val="11"/>
        <color rgb="FF333333"/>
        <rFont val="Times New Roman"/>
        <family val="1"/>
      </rPr>
      <t>Partiallly Encroachment</t>
    </r>
  </si>
  <si>
    <r>
      <t xml:space="preserve">Open Land -No, Construction thereon- Inspector office, Boundary wall- Yes, possession of Govt. - Yes                                                       </t>
    </r>
    <r>
      <rPr>
        <b/>
        <u/>
        <sz val="11"/>
        <color rgb="FF333333"/>
        <rFont val="Times New Roman"/>
        <family val="1"/>
      </rPr>
      <t xml:space="preserve"> No Encroachment</t>
    </r>
  </si>
  <si>
    <r>
      <t xml:space="preserve">Open Land -No, Construction thereon- Dighi Port Ltd., Boundary wall- Not known, possession of Govt. - </t>
    </r>
    <r>
      <rPr>
        <b/>
        <sz val="11"/>
        <color rgb="FF333333"/>
        <rFont val="Times New Roman"/>
        <family val="1"/>
      </rPr>
      <t xml:space="preserve">Marine department       </t>
    </r>
    <r>
      <rPr>
        <sz val="11"/>
        <color rgb="FF333333"/>
        <rFont val="Times New Roman"/>
        <family val="1"/>
      </rPr>
      <t xml:space="preserve">                                                </t>
    </r>
    <r>
      <rPr>
        <b/>
        <sz val="11"/>
        <color rgb="FF333333"/>
        <rFont val="Times New Roman"/>
        <family val="1"/>
      </rPr>
      <t xml:space="preserve"> Encroachment- Not Known</t>
    </r>
  </si>
  <si>
    <t xml:space="preserve"> Total constructed area is 716.6, 
out of which  37.16 sq Mtr, Approx for office space &amp; remaining area used for residence quarters &amp; guest house.</t>
  </si>
  <si>
    <t>Customs Prev.</t>
  </si>
  <si>
    <t>Customs (Prev), M&amp;P Wing, Mumbai</t>
  </si>
  <si>
    <t xml:space="preserve">Export Division at BCP LCS Jogbani </t>
  </si>
  <si>
    <t>0.46 Crore approx.</t>
  </si>
  <si>
    <t>Manori Port Marve, Malad (W),Mumbai-400 095 CTS No.1</t>
  </si>
  <si>
    <t>*CS NO.165 , Tarapur Village, Boisar Dist:Palgarh</t>
  </si>
  <si>
    <t xml:space="preserve"> Govt. Possession</t>
  </si>
  <si>
    <t>Air CommissionerateChennai</t>
  </si>
  <si>
    <t> O/o The Principal Commissioner of Customs, Airport and Air Cargo, New Custom House, Meenambakkam, Chennai-27</t>
  </si>
  <si>
    <t> 6621</t>
  </si>
  <si>
    <t>Jan, 2011 </t>
  </si>
  <si>
    <t> N.A.</t>
  </si>
  <si>
    <t> 11,74,86,978</t>
  </si>
  <si>
    <t> Nil</t>
  </si>
  <si>
    <t>N.A. </t>
  </si>
  <si>
    <t>This Commissionerate does not own any land. Office building is built on the leased land from airport authority of india</t>
  </si>
  <si>
    <r>
      <t xml:space="preserve">321786.33/-(Rent)                                  +                                                                     57,922/-(GST)                  = </t>
    </r>
    <r>
      <rPr>
        <b/>
        <sz val="11"/>
        <color theme="1"/>
        <rFont val="Times New Roman"/>
        <family val="1"/>
      </rPr>
      <t>379708/-</t>
    </r>
  </si>
  <si>
    <t>CHIEF COMMISSIONER (PREVENTIVE) TRICHY ZONE</t>
  </si>
  <si>
    <t>COMMISSIONER OF CUSTOMS (PREVENTIVE) TRICHY</t>
  </si>
  <si>
    <t xml:space="preserve">Survey No.77, Alaganvayal of Kattumavadi Salt Dept., A.V.Koil Taluk, Pudukottai Dist.                             </t>
  </si>
  <si>
    <t>22.2.1990</t>
  </si>
  <si>
    <t>No value can be assessable since transaction was in between two Govt.</t>
  </si>
  <si>
    <t>Under Department control</t>
  </si>
  <si>
    <t xml:space="preserve">Survey No. 235/228, Ammapatinam, A.K.Koil Taluk, Pudukottai Dist.                                </t>
  </si>
  <si>
    <t>No value can be assessable since it is State Govt  porampokku land                   ( ie. free of cost ) but registered in the name of our dept.</t>
  </si>
  <si>
    <t xml:space="preserve">Customs Preventive Division, Tuticorin               ( T.S.No.249 )                                                   </t>
  </si>
  <si>
    <t xml:space="preserve">No cost can be assessable since it is transferred from State Govt long years ago. </t>
  </si>
  <si>
    <t xml:space="preserve">Customs Sea Base Party, Kanniyakumari  (  Survey No.591/21 )                                                 </t>
  </si>
  <si>
    <t xml:space="preserve"> Survey No.805/4 Kayalpattinam vacant land</t>
  </si>
  <si>
    <t>Not traceable</t>
  </si>
  <si>
    <t>Not tracable as acquistion before independence</t>
  </si>
  <si>
    <t>Previously has not been included in the DGHRD asset Register.</t>
  </si>
  <si>
    <t xml:space="preserve">Customs Sea Guard Party, Kulasekarapattinam           (Survey No.177/1)                                </t>
  </si>
  <si>
    <t>Before 100 years</t>
  </si>
  <si>
    <t>No cost can be assesable since it is 100 years old cost may be less than 2 lakhs.</t>
  </si>
  <si>
    <t xml:space="preserve">Colachal                                                          </t>
  </si>
  <si>
    <t>No reference can be traceable  since this land is being used by this Department before Independence</t>
  </si>
  <si>
    <t>No cost can be assessed since this land is being used by this dept before independence.</t>
  </si>
  <si>
    <t xml:space="preserve">Ranganathapuram, Cuddalore </t>
  </si>
  <si>
    <t xml:space="preserve">No document can be traced since these are acquired from the fontier Govt., Pondicherry and lands are in our Department control. </t>
  </si>
  <si>
    <t>Vacant land</t>
  </si>
  <si>
    <t>effforts are taken to get land documents viz.Chitta Adangal ,  FMB etc., from the jurisdiction revenue authorities.</t>
  </si>
  <si>
    <t>Madalapet, Cuddalore</t>
  </si>
  <si>
    <t>Manjakuppam village, Cuddalore</t>
  </si>
  <si>
    <t>FRONTIER LAND</t>
  </si>
  <si>
    <t>Gundupalavadi, Cuddalore</t>
  </si>
  <si>
    <t>Periaganganam kuppam, Cuddalore</t>
  </si>
  <si>
    <t>Pagandi, Cuddalore</t>
  </si>
  <si>
    <t>Vanpakkam, Cuddalore</t>
  </si>
  <si>
    <t>Mulligrampet, Cuddalore</t>
  </si>
  <si>
    <t>Mitta(mela) Alagianathan A,    Cuddalore</t>
  </si>
  <si>
    <t>Vellapakkam, Cuddalore</t>
  </si>
  <si>
    <t>Maruthadu, Cuddalore</t>
  </si>
  <si>
    <t>Veli Semmandal, Cuddalore</t>
  </si>
  <si>
    <t>Vilvarayanathan, Cuddalore</t>
  </si>
  <si>
    <t xml:space="preserve">Uthiramanick, Cuddalore </t>
  </si>
  <si>
    <t>Nathappattu, Cuddalore</t>
  </si>
  <si>
    <t>Thirukandeswarani</t>
  </si>
  <si>
    <t>Thirumullaivasal</t>
  </si>
  <si>
    <t>Portonovo</t>
  </si>
  <si>
    <t>Including Building value.</t>
  </si>
  <si>
    <t>Cuddalore OT</t>
  </si>
  <si>
    <t>O/o the Additional Commissioner of Customs, Customs Division, Bharathi Nagar,Ramnad.</t>
  </si>
  <si>
    <t xml:space="preserve"> out right purchase made only in March 2011  </t>
  </si>
  <si>
    <t>Out right purchase made for Rs. 43 lakhs in 12/2010. Including Building value.</t>
  </si>
  <si>
    <t>O/o the Superintendent of Cus. CPU,No.49, Railway Colony, Near Bamban Bridge, Mandapam.</t>
  </si>
  <si>
    <t>O/o the Supdt. Of Customs, Customs Circle, Rameswaram.</t>
  </si>
  <si>
    <t>During 1985</t>
  </si>
  <si>
    <t>O/o the Supdt. Of Cus. CPU, No.7/106 Lakshimipuram, Beach Road, Thondi.</t>
  </si>
  <si>
    <t>State Govt porampokku land ( ie. free of cost )</t>
  </si>
  <si>
    <t>O/o the Superintendent of Cus. CPU, Keelakarai.</t>
  </si>
  <si>
    <t>Muthupet Survey No.212 in Periyapattianm group</t>
  </si>
  <si>
    <t>Coming under CPU Kelakkarai jurisdition</t>
  </si>
  <si>
    <t>Pamban , Ramnad Dist.</t>
  </si>
  <si>
    <t>Under Dept. Control</t>
  </si>
  <si>
    <t>Devipattinam, Ramnad Dist.</t>
  </si>
  <si>
    <t>Customs Division, No.4, Ist line B each Road, Nagappattinam</t>
  </si>
  <si>
    <t>26.6.1975</t>
  </si>
  <si>
    <t>No separate cost for the purchase of land it is included in the building cost.</t>
  </si>
  <si>
    <t>Thonithurai Residential land</t>
  </si>
  <si>
    <t xml:space="preserve">No value can be assessable  since it is transfered from Salt dept at free of cost   </t>
  </si>
  <si>
    <t>Kadambadi Residential Quarters,Nagai</t>
  </si>
  <si>
    <t>05.10.1939</t>
  </si>
  <si>
    <t>Free of Cost .Received from salt Dept.</t>
  </si>
  <si>
    <t xml:space="preserve">CPU, Muthupet </t>
  </si>
  <si>
    <t>26.09.1988</t>
  </si>
  <si>
    <t>CPU, Thopputhurai</t>
  </si>
  <si>
    <t>CPU  Point Calimere</t>
  </si>
  <si>
    <t xml:space="preserve">acquired on lease basis from State Govt. </t>
  </si>
  <si>
    <t>On lease basis</t>
  </si>
  <si>
    <t>1993-23</t>
  </si>
  <si>
    <t>Thuraikadu Village at Muthupet</t>
  </si>
  <si>
    <t xml:space="preserve">Prior to Independence </t>
  </si>
  <si>
    <t>The land is  occupied by Smt. Segu Ammal. Dept. tired to evict her for which the said party filed petition in the Dist. Munsiff court, Thiruthuraipoondy under O.S.No.111/89 and case was decided in favour of dept. The party filed  appeal  in District Court, Nagapattinam. which was also decided in favour of the dept. Now Party's appea l in S.A.No.1578/97 before Hon'ble High Court of Madras is pending.  The case pursued by leagal cell chennai in file C.No.I/10/02/97 cus. LG( T).</t>
  </si>
  <si>
    <t>Eripurakkarai village, Adirampattainam</t>
  </si>
  <si>
    <t>Customs Hqrs and Divisional office, Trichy , O/o the Commissioner of Customs, No.1. Williams Road, Contonment, Trichy 620 001.</t>
  </si>
  <si>
    <t>A portion in C.Ex., Hqrs., Building, Trichy</t>
  </si>
  <si>
    <t>During 1995</t>
  </si>
  <si>
    <t>It is included in the cost of C.Ex . Hqrs building and it is shown in their report and respective column.</t>
  </si>
  <si>
    <t>Functioning in a part of the  office of  Central Excise commissionerate's  building Trichy</t>
  </si>
  <si>
    <t>CPU, Coimbatore, O/o the Commissioner of C.Ex., No.6/7,A.T.D. Street,Race Course Road, Coimbatore-641018.</t>
  </si>
  <si>
    <t>A small portion in C.Ex., Hqrs., Building, Coimbatore.</t>
  </si>
  <si>
    <t>No separate cost. It is included in the statement  of C.Ex. Hqrs. Building  Coimbatore since it is a small portion in the C.Ex. building.</t>
  </si>
  <si>
    <t>Functioning in a part of the  office of  Central Excise commissionerate's  building Coimbatore.</t>
  </si>
  <si>
    <t>O/O the Asst. Commissioner of Customs, Customs Division,66, Beach Road, Tuticorin</t>
  </si>
  <si>
    <t>1325 Sqm</t>
  </si>
  <si>
    <t>The land is more than 113 years old</t>
  </si>
  <si>
    <t xml:space="preserve">Fully damaged condition, CPWD has recommended to demolish the builidng since it is more than 110 year old . </t>
  </si>
  <si>
    <t>O/O the Supt of Customs  6/63, Kovalam Road, Kanyakumari</t>
  </si>
  <si>
    <t>500 Sqm</t>
  </si>
  <si>
    <t>17.05.2000</t>
  </si>
  <si>
    <t xml:space="preserve">Guest house </t>
  </si>
  <si>
    <t>O/O the Asst Commissioner of Customs, Customs Division,  No.60. Mohan Sigh Street, Cuddalore.</t>
  </si>
  <si>
    <t>1781 Sq.Mtr.</t>
  </si>
  <si>
    <t>10.07.1991</t>
  </si>
  <si>
    <t>O/O the Asst Commr of Customs, Customs House, Dumes Street, Pondy</t>
  </si>
  <si>
    <t>160 Sq.Mtr.</t>
  </si>
  <si>
    <t>No value can be assessable since it is portion of a port Trust building ( State Govt).</t>
  </si>
  <si>
    <t xml:space="preserve">CPU, Portonova, No.1, Revu Main Road, Portonova </t>
  </si>
  <si>
    <t>223 Sq.mtr</t>
  </si>
  <si>
    <t>O/O the Asst Commissioner of Customs, Customs Division, , No.4, Ist Line beach Road, Nagapattinam</t>
  </si>
  <si>
    <t xml:space="preserve">1350 sq mts.                          </t>
  </si>
  <si>
    <t>Constructed 1910 Purchased 1975</t>
  </si>
  <si>
    <t>Divisional office annexe building, Nagapattinam</t>
  </si>
  <si>
    <t>800 Sq. mtrs</t>
  </si>
  <si>
    <t>CPU Thopputhurai  No.6 Godown Street Thopputhurai.Dt (Nagaipattinam Division)</t>
  </si>
  <si>
    <t>114.5 Sq. mtrs.</t>
  </si>
  <si>
    <t>27.07.1994</t>
  </si>
  <si>
    <t>Officice and Residencial quarters Housed in the same building Ground floor in the office and Residence  are in the first floor</t>
  </si>
  <si>
    <t>CPU, Muthupet</t>
  </si>
  <si>
    <t>376 Sq. mtrs.</t>
  </si>
  <si>
    <t>CPU, Pointcalimere</t>
  </si>
  <si>
    <t>400 Sq. mtrs.</t>
  </si>
  <si>
    <t>03.04.1997</t>
  </si>
  <si>
    <t>30years</t>
  </si>
  <si>
    <t>Own building on leased Land</t>
  </si>
  <si>
    <t>Customs Preventive Party, Beach Road, Karaikal.</t>
  </si>
  <si>
    <t>205. sq. mts</t>
  </si>
  <si>
    <r>
      <t xml:space="preserve">23.1.1987, one hectre land allotted by the Pondy Govt free of cost and  0.442 hectre land acquired at a cost of </t>
    </r>
    <r>
      <rPr>
        <b/>
        <sz val="11"/>
        <rFont val="Times New Roman"/>
        <family val="1"/>
      </rPr>
      <t>0.13 crores</t>
    </r>
  </si>
  <si>
    <t>O/o the Additional Commissioner of Customs, Customs Division, Ramnad.</t>
  </si>
  <si>
    <t>1765 Sqr.Mtr</t>
  </si>
  <si>
    <t>O/o the Superintendent of Cus. CPU,No.49, Railway Colony, Near Pamban Bridge, Mandapam.</t>
  </si>
  <si>
    <t>694. Sq.Mtr.</t>
  </si>
  <si>
    <t>O/O the Supt of Customs, CSBP, Rameswaram</t>
  </si>
  <si>
    <t>1707. Sq.Mtr.</t>
  </si>
  <si>
    <t>CPU, Kelakkarai</t>
  </si>
  <si>
    <t>848 Sq.Mtr</t>
  </si>
  <si>
    <t>More than 100 old</t>
  </si>
  <si>
    <t xml:space="preserve">fully damaged </t>
  </si>
  <si>
    <t>Devipattinam</t>
  </si>
  <si>
    <t>Damaged and unsafe building 595 Sq.mtrs</t>
  </si>
  <si>
    <t>Pamban</t>
  </si>
  <si>
    <t>1473 Sq.mt</t>
  </si>
  <si>
    <t>O/O the Supt of Customs,  CSBP, Thondi</t>
  </si>
  <si>
    <t>330. Sq.Mtr.</t>
  </si>
  <si>
    <t>COMMISSIONER OF CUSTOMS (TUTICORIN CUSTOM HOUSE)</t>
  </si>
  <si>
    <t>B WING, CUSTOMS HOUSE, NEW HARBOUR ESTATE, TUTICORIN, TAMIL NADU-628004</t>
  </si>
  <si>
    <t>19.07.1985</t>
  </si>
  <si>
    <t>LEASE-HOLD</t>
  </si>
  <si>
    <t>19.07.2015 TO 18.07.2045</t>
  </si>
  <si>
    <t>Rs. 3,64,882 per year</t>
  </si>
  <si>
    <t>NOT AVAILABLE</t>
  </si>
  <si>
    <t>A WING, CUSTOMS HOUSE, NEW HARBOUR ESTATE, TUTICORIN, TAMIL NADU-628004</t>
  </si>
  <si>
    <t>01.12.1996</t>
  </si>
  <si>
    <t>Rs. 5,92,332 per year</t>
  </si>
  <si>
    <t>TUTICORIN CUSTOMS, ZONE B, OLD PORT, VOC PORT, TUTICORIN, TAMIL NADU-628004</t>
  </si>
  <si>
    <t>FREE-HOLD</t>
  </si>
  <si>
    <t>NOT APPLICABLE</t>
  </si>
  <si>
    <t>LAND ACQUIRED FROM VOC PORT FREE OF COST DURING PRE INDEPENDENCE</t>
  </si>
  <si>
    <t>CONTAINER SCANNNER YARD, NEW HARBOUR ESTATE, TUTICORIN, TAMIL NADU-628004</t>
  </si>
  <si>
    <t>12.08.2011</t>
  </si>
  <si>
    <t>01.05.2010 TO 30.04.2040</t>
  </si>
  <si>
    <t>Rs. 1 per year ( UPFRONT PAYMENT OF Rs. 1570093/- PAID FOR 30 YEARS)</t>
  </si>
  <si>
    <t>Thonithurai Road, Nagapattinam</t>
  </si>
  <si>
    <t>3188 sq.mt.</t>
  </si>
  <si>
    <t xml:space="preserve">Fully Damaged due to Tsunami Disaster over East coast of Tamilnadu in 2004  </t>
  </si>
  <si>
    <t>Quarters, Kadambadi,                 Nagapattinam</t>
  </si>
  <si>
    <t>174 sq.mt</t>
  </si>
  <si>
    <t>CPU, Muthupet,        Thiruthuraipoondi Road.</t>
  </si>
  <si>
    <t>314 sq.mt</t>
  </si>
  <si>
    <t xml:space="preserve">Payment only for lience fee </t>
  </si>
  <si>
    <t>No.6, Godown street, Thopputhurai-614 704, Nagai Dt.</t>
  </si>
  <si>
    <t>400 sq.mt.</t>
  </si>
  <si>
    <t>27.7.94</t>
  </si>
  <si>
    <t>CPU Karaikkal</t>
  </si>
  <si>
    <t>O/o the Additional Commissione of Customs, Customs Division, Bharathi Nagar,Ramnad.</t>
  </si>
  <si>
    <t>1069 sq.mt.</t>
  </si>
  <si>
    <t>460 sq.mt</t>
  </si>
  <si>
    <t>1717 sq.mt</t>
  </si>
  <si>
    <t xml:space="preserve"> COMMISIONER OF CUSTOMS                       (TUTICORIN CUSTOM HOUSE)</t>
  </si>
  <si>
    <t>STAFF QUARTERS, BHARATHI NAGAR, TUTICORIN PORT AREA, TUTICORIN, TAMIL NADU-628004</t>
  </si>
  <si>
    <t xml:space="preserve">Rs. 720643 per year </t>
  </si>
  <si>
    <t>23.1.1987, one hectre land allotted by the Pondy Govt free of cost and  0.442 hectre land acquired at a cost of 0.13 crores</t>
  </si>
  <si>
    <t>O/O the Asst Commissioner of Customs, Customs Division,66, Beach Road, Tuticorin</t>
  </si>
  <si>
    <t>No value can be assessable since it is portion in the port Trust building ( State Govt).</t>
  </si>
  <si>
    <t>66, Beach Road, Tuticorin</t>
  </si>
  <si>
    <t>O/O the Asst Commissioner of Customs, Customs Division,Turicorinn</t>
  </si>
  <si>
    <t>O/O the Supt of Customs   Kanyakumari</t>
  </si>
  <si>
    <t>O/O the Asst Commissioner of Customs, Customs Division,   Cuddalore.</t>
  </si>
  <si>
    <t>O/O the Asst Commr of Customs, Customs House, Pondy</t>
  </si>
  <si>
    <t xml:space="preserve">CPU,  Portonova </t>
  </si>
  <si>
    <t>O/O the Asst Commissioner of Customs, Customs Division,Nagapattinam</t>
  </si>
  <si>
    <t>O/o Supdt of Customs, CPU, Salem</t>
  </si>
  <si>
    <t>No.167/1, Kandampatty Housing Board, Membala Nagar,Salem</t>
  </si>
  <si>
    <t>O/o Supdt of Customs, CPU, Manamelgudi</t>
  </si>
  <si>
    <t>No.1508,AKM Complex, ECR Road, Kottaipattinam, Manamelgudi TK</t>
  </si>
  <si>
    <t>93.91</t>
  </si>
  <si>
    <t>O/o Supdt of Customs, CPU, Magabalipuram</t>
  </si>
  <si>
    <t>No. 53 TKM Road, Mahabalipuram</t>
  </si>
  <si>
    <t>O/o Supdt of Customs, CPU, Keelakarai</t>
  </si>
  <si>
    <t>No. 08/100 (Old No-10/207) ground &amp; First floor, Mullai Nagar, K.Madurai, Near ECR Road, Keelakarai.</t>
  </si>
  <si>
    <t>04.10.1993</t>
  </si>
  <si>
    <t>NOT AVAILABLE ON RECORDS.</t>
  </si>
  <si>
    <t>BUILDING WAS CONSTRUCTED IN 1993.</t>
  </si>
  <si>
    <t>23.05.2002</t>
  </si>
  <si>
    <t xml:space="preserve"> NO RECORDS AVAILABLE. BUILDING WAS BUILT BEFORE INDEPENDENCE.ASCERTAINED TO BE CONSTRUCTED AROUND THE YEAR 1903.</t>
  </si>
  <si>
    <t>NOT ASCERTAINED. NO RECORDS AVAILABLE. BUILDING WAS BUILT BEFORE INDEPENDENCE.</t>
  </si>
  <si>
    <t>21.07.2014</t>
  </si>
  <si>
    <t>B Wing, Customs House, New Harbour Estate, Tutuicorin, Tamilnadu -628004</t>
  </si>
  <si>
    <t>Tuticorin Customs, Zone B, Old Port, VOC Port, Tuticorin, Tamil Nadu-628004</t>
  </si>
  <si>
    <t>A Wing, Customs House, New Harbour Estate, Tuticorin, Tamil Nadu-628004</t>
  </si>
  <si>
    <t>Container Sacnner Yard, New Harbour Estate, Tuticorin, Tamil Nadu-628004</t>
  </si>
  <si>
    <t>O/o The Assistant Commissioner of Customs, Container Sacnner Yard, New Harbour Estate, Tuticorin, Tamil Nadu-628004</t>
  </si>
  <si>
    <t>O/o The Superintendent of Customs,Zone B, Old Port, VOC Port, Tuticorin, Tamil Nadu-628004</t>
  </si>
  <si>
    <t>O/o The Commissioner of Customs, Customs House, New Harbour Estate, Tuticorin -628004</t>
  </si>
  <si>
    <t>O/o The Commissioner of Customs, Customs House,Harbour Estate, Tuticorin-628004</t>
  </si>
  <si>
    <t>O/o the Additional Commissioner  of Customs, Customs Division, Bharathi Nagar,Ramnad.</t>
  </si>
  <si>
    <t>CPU, Muthupet,                        Thiruthuraipoondi Road.</t>
  </si>
  <si>
    <t>Chief Commissioner (Preventive) Trichy Zone</t>
  </si>
  <si>
    <t>Commissioner of Customs (Preventive) Trichy</t>
  </si>
  <si>
    <t>O/o Supdt of Customs, CPU,Salem</t>
  </si>
  <si>
    <t>143</t>
  </si>
  <si>
    <t>01.10.2019 to 30.09.1922</t>
  </si>
  <si>
    <t>01.10.2022</t>
  </si>
  <si>
    <t>152</t>
  </si>
  <si>
    <t>O/o Supdt of  Customs, CPU, Manamelgudi.</t>
  </si>
  <si>
    <t>O/o Supdt of Customs, CPU, Mahabalipuram.</t>
  </si>
  <si>
    <t>17.04.2019 to 16.04.2022</t>
  </si>
  <si>
    <t>17.04.2022</t>
  </si>
  <si>
    <t>O/o Supdt of Customs, CPU. Keelakarai.</t>
  </si>
  <si>
    <t>Door No.08/100 (Old No.10/207) , Ground &amp; First Floor, Mullai Nagar, K.Madurai, Near ECR Road, Keelakarai -623517</t>
  </si>
  <si>
    <t>01.01.2019 to 31.12.2022</t>
  </si>
  <si>
    <t xml:space="preserve">O/o Asst. commr, Airport/AIU/, Trichy </t>
  </si>
  <si>
    <t>Customs Airport Trichy</t>
  </si>
  <si>
    <t>Licence fee not paid since April 2015 for trichy Airport</t>
  </si>
  <si>
    <t>O/o Asst. commr, Airport/AIU, Coimbatore</t>
  </si>
  <si>
    <t>Airport, Coimbatore</t>
  </si>
  <si>
    <t xml:space="preserve">Came under the jurification of this commissionerate from 15.01.2018 Licence fee not paid. </t>
  </si>
  <si>
    <t>O/o Asst. commr, Airport/AIU,Madurai</t>
  </si>
  <si>
    <t>Airport, Madurai</t>
  </si>
  <si>
    <t>O/o the Superintendent of Customs,  CPU Coimbatore</t>
  </si>
  <si>
    <t>Ragavis center,                    21B, Nethaji Nagar. Nanjundapuram Main Road, Ramanathapuam, Coimbatore-45</t>
  </si>
  <si>
    <t>2200 sq. ft.</t>
  </si>
  <si>
    <t>05/12/2020  to 04/12/2023</t>
  </si>
  <si>
    <t xml:space="preserve">99,000 + GST </t>
  </si>
  <si>
    <t>45/ sq.ft.</t>
  </si>
  <si>
    <t xml:space="preserve">Commissioner of Customs (Tuticorin Custom House) </t>
  </si>
  <si>
    <t xml:space="preserve">O/o The Superintendent of Customs, Zone B, Old Port, VOC Port, Tutucorin, Tamil Nadu-628004 </t>
  </si>
  <si>
    <t>O/o The Superintendent of Customs, Zone B, Old Port, VOC Port, Tutucorin, Tamil Nadu-628005</t>
  </si>
  <si>
    <t>20.11.2018</t>
  </si>
  <si>
    <t>For Temporary rental purpose till renovation of own customs building by CPWD is finished</t>
  </si>
  <si>
    <t>No.167/1, Kandampatty Housing Board, Membala Nagar, Salem.</t>
  </si>
  <si>
    <t xml:space="preserve">No.1508, AKM Complex, ECR Road, Kottaipattinam, Manamelgudi TK </t>
  </si>
  <si>
    <t>No.53 TKM Road, Mahabalipuram</t>
  </si>
  <si>
    <t>ANNEXURE C: RESIDENTIAL QUARTERS</t>
  </si>
  <si>
    <t>ANNEXURE A: LAND</t>
  </si>
  <si>
    <t>An offer of hiring vacant space at 7th Floor,Charai Telephone Exchange Building (MTNL) on Leave &amp; Licence has been received from Executive Engineer, MTNL, Charai Telephone Exchange, Thane, vide it letter dated 26.02.2020 and the process of acquiring is underway and pending with Divisional/Hdqrs. Office.</t>
  </si>
  <si>
    <t>REF 2*</t>
  </si>
  <si>
    <t>            * Renewal of lease agreement is under process.</t>
  </si>
  <si>
    <t>Letters C.No.I(04)Hkou /CUS/LMP/02/2009/1044, 1886, 2257, 230 &amp; 759 dated 27.11.2018, 07.01.2020, 05.03.2020, 15.06.2020 &amp; 02.09.2020 respectively has been sent to the Excutive Engineer CPWD, Bareilly for issuance of RRC no reply recevied till date</t>
  </si>
  <si>
    <t>(i) Chennai Preventive Commissionerate 
(ii) Chennai Import Commissionerate 
(iii) Chennai Export Commissionerate 
(iv) Chennai General Commissionerate 
(v) Chennai Appeals Commissionerates (2)
(vi) Chennai Audit Commissionerate,       
(vii)  Directorate of Vigilance (SZ), 
(viii) Directorate of Valuation (SZ),          
(ix)  Customs &amp; Excise Settlement Commission,   
(x)  Customs Revenue Central Laboratory,       
(xi)  Customs Preventive Unit , (xii)  Office of the Assistant Drugs Controller, 
(xiii)  Indian bank  &amp;  
(xiv) State Bank of India.</t>
  </si>
  <si>
    <t>Air Commissionerate Chennai</t>
  </si>
  <si>
    <t>THIS COMMISSIONERATE DOES NOT OWN ANY LAND. OFFICE BUILDING IS BUILT ON THE LEASED LAND FROM AIRPORT AUTHORITY OF INDIA</t>
  </si>
  <si>
    <t>1st Floor of Trustee’s Bldg. Near 5, Netaji Subhas Dock (Kolkata Port Trust), Kolkata-700043</t>
  </si>
  <si>
    <t>Division office, Panitanki Preventive unit, Review and S&amp;D</t>
  </si>
  <si>
    <t>CPWD</t>
  </si>
  <si>
    <t>Office of the  Superintendent of Customs, Haldibari Land Customs Station.</t>
  </si>
  <si>
    <t>202 sq.m.</t>
  </si>
  <si>
    <t>0.012cr.</t>
  </si>
  <si>
    <t xml:space="preserve">Presently Haldibari LCS is being looked after by the Offcers from Jalpaiguri Customs Preventive Unit </t>
  </si>
  <si>
    <t>Office of the  Superintendent of Customs, Changrabandha Land Customs Station.</t>
  </si>
  <si>
    <t>1486 sq.m.</t>
  </si>
  <si>
    <t>0.005 cr.</t>
  </si>
  <si>
    <t>Tin Shed single floor pre fabricated structures being used as office and rest house, divided in 4 blocks</t>
  </si>
  <si>
    <t>93 sq.m.</t>
  </si>
  <si>
    <t>0.012 cr.</t>
  </si>
  <si>
    <t>Tin Shed single storeyed structure used as office</t>
  </si>
  <si>
    <t>Not available
(This Building was handed over to this Deptt. For official use, So, the same is lying recorded  in the name of  WB Police )</t>
  </si>
  <si>
    <t>Not Available (Acquised on 25.11.1995)</t>
  </si>
  <si>
    <t>Presently used as Petrapole Customs Circle, Godown and PU Office</t>
  </si>
  <si>
    <t>1. Circle Office - 1310 Sq. Ft. (02 Type - IIB Qtr.) 2. PU Office - 1310 Sq. Ft. (02 Type - IIB Qtr.) and 3. Godown - 3930 Sq. Ft. (6 Type-IIB Qtr.), 1746 Sq. Ft. (3 Type-IIA Qtr.) and 1452 Sq Ft. (6 Type-IB Qtr.)</t>
  </si>
  <si>
    <t>Mahadipur LCS &amp; PU</t>
  </si>
  <si>
    <t>Date of construction &amp; date of purchase is not available  in office record</t>
  </si>
  <si>
    <t>Hili LCS &amp; PU</t>
  </si>
  <si>
    <t>Radhikapur LCS</t>
  </si>
  <si>
    <t>Goalpukur LCS</t>
  </si>
  <si>
    <t>officer-in-charge of Customs Daspara PU,ill-Daspara,PO+PS Dasapara Dinajpur (N)</t>
  </si>
  <si>
    <t>Daspara PU</t>
  </si>
  <si>
    <t>Bamanhat Customs Office , P.O- Bamanhat, District - Cooch Behar</t>
  </si>
  <si>
    <t>Former Bamanhat PU</t>
  </si>
  <si>
    <t>Dinhata Customs Division</t>
  </si>
  <si>
    <t>Jaigaon Customs CP, P.O- Jaigaon, District-Alipurduar</t>
  </si>
  <si>
    <t>Jaigaon LCS and PU</t>
  </si>
  <si>
    <t>DinhataCustoms PU, Dinhata, District- Cooch Behar</t>
  </si>
  <si>
    <t>Dinhata DPU</t>
  </si>
  <si>
    <t xml:space="preserve">P.O. Gitaldaha,Dt.Cooch Behar.  </t>
  </si>
  <si>
    <t>Gitaldah LCS</t>
  </si>
  <si>
    <t>Ghojadanga LCS &amp; Ghojadanga PU</t>
  </si>
  <si>
    <t>566.6 (as per BL&amp; LRO Report), Basirhat-I</t>
  </si>
  <si>
    <t>Rs. 2255511/-</t>
  </si>
  <si>
    <t>after 1987</t>
  </si>
  <si>
    <t>A</t>
  </si>
  <si>
    <r>
      <rPr>
        <b/>
        <sz val="11"/>
        <color theme="1"/>
        <rFont val="Times New Roman"/>
        <family val="1"/>
      </rPr>
      <t xml:space="preserve">Qtr. Type                                                        </t>
    </r>
    <r>
      <rPr>
        <sz val="11"/>
        <color theme="1"/>
        <rFont val="Times New Roman"/>
        <family val="1"/>
      </rPr>
      <t>IIIA
IIA
IIB
IA
IB</t>
    </r>
  </si>
  <si>
    <r>
      <rPr>
        <b/>
        <sz val="11"/>
        <color theme="1"/>
        <rFont val="Times New Roman"/>
        <family val="1"/>
      </rPr>
      <t xml:space="preserve">Number </t>
    </r>
    <r>
      <rPr>
        <sz val="11"/>
        <color theme="1"/>
        <rFont val="Times New Roman"/>
        <family val="1"/>
      </rPr>
      <t xml:space="preserve">                        02
07
15
20
08</t>
    </r>
  </si>
  <si>
    <r>
      <rPr>
        <b/>
        <sz val="11"/>
        <color theme="1"/>
        <rFont val="Times New Roman"/>
        <family val="1"/>
      </rPr>
      <t xml:space="preserve">Total Build up area </t>
    </r>
    <r>
      <rPr>
        <sz val="11"/>
        <color theme="1"/>
        <rFont val="Times New Roman"/>
        <family val="1"/>
      </rPr>
      <t>2076sq. Ft.    
4074sq. ft.
9825 Sq.ft
6360 sq.ft
1936 sq.ft.</t>
    </r>
  </si>
  <si>
    <t>Gitaldaha Customs Office, P.O. Gitaldaha,Dt. Cooch Behar. 
Bamanhat Customs office, P.O. Bamanhat,Dt. Cooch Behar.
Jaigaon Customs CP, P.O.Jaigaon,Dist. Jalpaiguri.
Dinhata Customs Circle, P.O. Dinhata,Dt.Cooch Behar.</t>
  </si>
  <si>
    <t xml:space="preserve">H/O Late Tribeni Devi W/o Late Ram Kr. Agarwal, Sukhiapokhari, Dist- Darjeeling
</t>
  </si>
  <si>
    <t xml:space="preserve">27th April-1987
</t>
  </si>
</sst>
</file>

<file path=xl/styles.xml><?xml version="1.0" encoding="utf-8"?>
<styleSheet xmlns="http://schemas.openxmlformats.org/spreadsheetml/2006/main">
  <numFmts count="2">
    <numFmt numFmtId="164" formatCode="&quot;Rs.&quot;\ #,##0.00;[Red]&quot;Rs.&quot;\ \-#,##0.00"/>
    <numFmt numFmtId="165" formatCode="0.000"/>
  </numFmts>
  <fonts count="44">
    <font>
      <sz val="11"/>
      <color theme="1"/>
      <name val="Calibri"/>
      <family val="2"/>
      <scheme val="minor"/>
    </font>
    <font>
      <b/>
      <sz val="11"/>
      <color theme="1"/>
      <name val="Calibri"/>
      <family val="2"/>
      <scheme val="minor"/>
    </font>
    <font>
      <sz val="11"/>
      <color theme="1"/>
      <name val="Verdana"/>
      <family val="2"/>
    </font>
    <font>
      <sz val="11"/>
      <color rgb="FF000000"/>
      <name val="Calibri"/>
      <family val="2"/>
    </font>
    <font>
      <b/>
      <sz val="11"/>
      <color theme="1"/>
      <name val="Verdana"/>
      <family val="2"/>
    </font>
    <font>
      <sz val="11"/>
      <color theme="1"/>
      <name val="Times New Roman"/>
      <family val="1"/>
    </font>
    <font>
      <b/>
      <sz val="11"/>
      <color theme="1"/>
      <name val="Times New Roman"/>
      <family val="1"/>
    </font>
    <font>
      <b/>
      <sz val="11"/>
      <name val="Times New Roman"/>
      <family val="1"/>
    </font>
    <font>
      <b/>
      <sz val="11"/>
      <color rgb="FF000000"/>
      <name val="Times New Roman"/>
      <family val="1"/>
    </font>
    <font>
      <sz val="11"/>
      <name val="Times New Roman"/>
      <family val="1"/>
    </font>
    <font>
      <b/>
      <sz val="16"/>
      <color theme="1"/>
      <name val="Times New Roman"/>
      <family val="1"/>
    </font>
    <font>
      <b/>
      <sz val="18"/>
      <color theme="1"/>
      <name val="Times New Roman"/>
      <family val="1"/>
    </font>
    <font>
      <b/>
      <sz val="20"/>
      <color theme="1"/>
      <name val="Times New Roman"/>
      <family val="1"/>
    </font>
    <font>
      <sz val="11"/>
      <color rgb="FF333333"/>
      <name val="Times New Roman"/>
      <family val="1"/>
    </font>
    <font>
      <sz val="10"/>
      <color theme="1"/>
      <name val="Times New Roman"/>
      <family val="1"/>
    </font>
    <font>
      <sz val="11"/>
      <color rgb="FF000000"/>
      <name val="Times New Roman"/>
      <family val="1"/>
    </font>
    <font>
      <sz val="10"/>
      <color theme="1"/>
      <name val="Arial"/>
      <family val="2"/>
    </font>
    <font>
      <sz val="11"/>
      <color rgb="FFFF0000"/>
      <name val="Times New Roman"/>
      <family val="1"/>
    </font>
    <font>
      <b/>
      <sz val="18"/>
      <name val="Times New Roman"/>
      <family val="1"/>
    </font>
    <font>
      <sz val="11"/>
      <color rgb="FF000000"/>
      <name val="Verdana"/>
      <family val="2"/>
    </font>
    <font>
      <sz val="11"/>
      <name val="Verdana"/>
      <family val="2"/>
    </font>
    <font>
      <b/>
      <sz val="16"/>
      <color rgb="FF000000"/>
      <name val="Times New Roman"/>
      <family val="1"/>
    </font>
    <font>
      <sz val="11"/>
      <color rgb="FF222222"/>
      <name val="Times New Roman"/>
      <family val="1"/>
    </font>
    <font>
      <b/>
      <sz val="20"/>
      <color rgb="FF000000"/>
      <name val="Times New Roman"/>
      <family val="1"/>
    </font>
    <font>
      <b/>
      <sz val="11"/>
      <color rgb="FF333333"/>
      <name val="Times New Roman"/>
      <family val="1"/>
    </font>
    <font>
      <sz val="12"/>
      <color theme="1"/>
      <name val="Arial Narrow"/>
      <family val="2"/>
    </font>
    <font>
      <sz val="10"/>
      <color theme="1"/>
      <name val="Bookman Old Style"/>
      <family val="1"/>
    </font>
    <font>
      <sz val="10"/>
      <color rgb="FF000000"/>
      <name val="Bookman Old Style"/>
      <family val="1"/>
    </font>
    <font>
      <sz val="9"/>
      <color theme="1"/>
      <name val="Arial"/>
      <family val="2"/>
    </font>
    <font>
      <sz val="9"/>
      <name val="Arial"/>
      <family val="2"/>
    </font>
    <font>
      <sz val="8"/>
      <color theme="1"/>
      <name val="Calibri"/>
      <family val="2"/>
      <scheme val="minor"/>
    </font>
    <font>
      <sz val="11"/>
      <color rgb="FF000000"/>
      <name val="Times New Roman"/>
      <family val="1"/>
    </font>
    <font>
      <sz val="11"/>
      <color rgb="FF00B050"/>
      <name val="Times New Roman"/>
      <family val="1"/>
    </font>
    <font>
      <sz val="12"/>
      <color theme="1"/>
      <name val="Verdana"/>
      <family val="2"/>
    </font>
    <font>
      <vertAlign val="superscript"/>
      <sz val="11"/>
      <color theme="1"/>
      <name val="Times New Roman"/>
      <family val="1"/>
    </font>
    <font>
      <i/>
      <sz val="11"/>
      <name val="Times New Roman"/>
      <family val="1"/>
    </font>
    <font>
      <b/>
      <sz val="10"/>
      <color theme="1"/>
      <name val="Bookman Old Style"/>
      <family val="1"/>
    </font>
    <font>
      <sz val="11"/>
      <color rgb="FFFFFFFF"/>
      <name val="Times New Roman"/>
      <family val="1"/>
    </font>
    <font>
      <sz val="12"/>
      <name val="Times New Roman"/>
      <family val="1"/>
    </font>
    <font>
      <b/>
      <u/>
      <sz val="11"/>
      <color rgb="FF333333"/>
      <name val="Times New Roman"/>
      <family val="1"/>
    </font>
    <font>
      <u/>
      <sz val="11"/>
      <color rgb="FF333333"/>
      <name val="Times New Roman"/>
      <family val="1"/>
    </font>
    <font>
      <sz val="11"/>
      <color theme="7"/>
      <name val="Times New Roman"/>
      <family val="1"/>
    </font>
    <font>
      <u/>
      <sz val="11"/>
      <name val="Times New Roman"/>
      <family val="1"/>
    </font>
    <font>
      <sz val="12"/>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rgb="FF505050"/>
      </left>
      <right style="thin">
        <color rgb="FF505050"/>
      </right>
      <top style="thin">
        <color rgb="FF505050"/>
      </top>
      <bottom style="thin">
        <color rgb="FF505050"/>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3" fillId="0" borderId="0" applyNumberFormat="0" applyBorder="0" applyAlignment="0"/>
    <xf numFmtId="0" fontId="3" fillId="0" borderId="0" applyNumberFormat="0" applyBorder="0" applyAlignment="0"/>
  </cellStyleXfs>
  <cellXfs count="564">
    <xf numFmtId="0" fontId="0" fillId="0" borderId="0" xfId="0"/>
    <xf numFmtId="0" fontId="6" fillId="2" borderId="1" xfId="0" applyFont="1" applyFill="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ont="1" applyAlignment="1">
      <alignment horizontal="center" vertical="center" wrapText="1"/>
    </xf>
    <xf numFmtId="17" fontId="5" fillId="0" borderId="1" xfId="0" applyNumberFormat="1" applyFont="1" applyBorder="1" applyAlignment="1">
      <alignment horizontal="center" vertical="top" wrapText="1"/>
    </xf>
    <xf numFmtId="0" fontId="5" fillId="0" borderId="1" xfId="0" applyFont="1" applyBorder="1" applyAlignment="1">
      <alignment vertical="top" wrapText="1"/>
    </xf>
    <xf numFmtId="0" fontId="9" fillId="0" borderId="1" xfId="0" applyFont="1" applyBorder="1" applyAlignment="1">
      <alignment vertical="top" wrapText="1"/>
    </xf>
    <xf numFmtId="0" fontId="5" fillId="0" borderId="1" xfId="0" quotePrefix="1" applyFont="1" applyBorder="1" applyAlignment="1">
      <alignment horizontal="center" vertical="top"/>
    </xf>
    <xf numFmtId="0" fontId="5" fillId="0" borderId="1" xfId="0" applyFont="1" applyFill="1" applyBorder="1" applyAlignment="1">
      <alignment horizontal="center" vertical="top"/>
    </xf>
    <xf numFmtId="0" fontId="0" fillId="0" borderId="0" xfId="0" applyFill="1" applyAlignment="1">
      <alignment horizontal="center" vertical="center" wrapText="1"/>
    </xf>
    <xf numFmtId="0" fontId="4" fillId="0" borderId="1" xfId="0" applyFont="1" applyFill="1" applyBorder="1" applyAlignment="1">
      <alignment horizontal="center" vertical="center"/>
    </xf>
    <xf numFmtId="0" fontId="6" fillId="2" borderId="1" xfId="0" applyFont="1" applyFill="1" applyBorder="1" applyAlignment="1">
      <alignment horizontal="center" vertical="center"/>
    </xf>
    <xf numFmtId="0" fontId="4" fillId="2" borderId="0" xfId="0" applyFont="1" applyFill="1" applyAlignment="1">
      <alignment horizontal="left" vertical="top"/>
    </xf>
    <xf numFmtId="0" fontId="2" fillId="2" borderId="0" xfId="0" applyFont="1" applyFill="1" applyBorder="1" applyAlignment="1">
      <alignment horizontal="left" vertical="top"/>
    </xf>
    <xf numFmtId="0" fontId="2" fillId="2" borderId="0" xfId="0" applyFont="1" applyFill="1" applyAlignment="1">
      <alignment horizontal="left" vertical="top"/>
    </xf>
    <xf numFmtId="0" fontId="20"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2" fillId="2" borderId="0" xfId="0" applyFont="1" applyFill="1" applyAlignment="1">
      <alignment horizontal="left" vertical="top" wrapText="1"/>
    </xf>
    <xf numFmtId="0" fontId="20" fillId="2" borderId="3" xfId="0" applyFont="1" applyFill="1" applyBorder="1" applyAlignment="1">
      <alignment horizontal="left" vertical="top" wrapText="1"/>
    </xf>
    <xf numFmtId="0" fontId="8" fillId="2" borderId="1" xfId="1" applyFont="1" applyFill="1" applyBorder="1" applyAlignment="1" applyProtection="1">
      <alignment horizontal="center" vertical="top" wrapText="1"/>
    </xf>
    <xf numFmtId="0" fontId="6" fillId="2" borderId="1" xfId="0" applyFont="1" applyFill="1" applyBorder="1" applyAlignment="1">
      <alignment horizontal="center" vertical="top" wrapText="1"/>
    </xf>
    <xf numFmtId="0" fontId="7" fillId="2" borderId="1" xfId="0" applyFont="1" applyFill="1" applyBorder="1" applyAlignment="1">
      <alignment horizontal="center" vertical="top" wrapText="1"/>
    </xf>
    <xf numFmtId="0" fontId="2" fillId="2" borderId="0" xfId="0" applyFont="1" applyFill="1" applyAlignment="1">
      <alignment horizontal="center" vertical="top"/>
    </xf>
    <xf numFmtId="0" fontId="2" fillId="2" borderId="0" xfId="0" applyFont="1" applyFill="1" applyAlignment="1">
      <alignment vertical="top"/>
    </xf>
    <xf numFmtId="0" fontId="15" fillId="0" borderId="1" xfId="1" applyFont="1" applyFill="1" applyBorder="1" applyAlignment="1" applyProtection="1">
      <alignment horizontal="center" vertical="top" wrapText="1"/>
    </xf>
    <xf numFmtId="0" fontId="5" fillId="0" borderId="1" xfId="0" applyFont="1" applyBorder="1"/>
    <xf numFmtId="0" fontId="5" fillId="0" borderId="1" xfId="0" applyFont="1" applyBorder="1" applyAlignment="1">
      <alignment wrapText="1"/>
    </xf>
    <xf numFmtId="0" fontId="9" fillId="2" borderId="1" xfId="0" applyFont="1" applyFill="1" applyBorder="1" applyAlignment="1">
      <alignment horizontal="center" vertical="top"/>
    </xf>
    <xf numFmtId="0" fontId="5" fillId="2" borderId="1" xfId="0" applyFont="1" applyFill="1" applyBorder="1" applyAlignment="1">
      <alignment vertical="top" wrapText="1"/>
    </xf>
    <xf numFmtId="0" fontId="5" fillId="0" borderId="1" xfId="0" applyFont="1" applyBorder="1" applyAlignment="1"/>
    <xf numFmtId="0" fontId="9" fillId="2" borderId="1" xfId="0" applyFont="1" applyFill="1" applyBorder="1" applyAlignment="1">
      <alignment horizontal="left" vertical="top" wrapText="1"/>
    </xf>
    <xf numFmtId="0" fontId="6" fillId="2" borderId="1" xfId="0" applyFont="1" applyFill="1" applyBorder="1" applyAlignment="1">
      <alignment horizontal="center" vertical="top"/>
    </xf>
    <xf numFmtId="0" fontId="6" fillId="2" borderId="2" xfId="0" applyFont="1" applyFill="1" applyBorder="1" applyAlignment="1">
      <alignment horizontal="center" vertical="top"/>
    </xf>
    <xf numFmtId="0" fontId="9" fillId="0" borderId="1" xfId="0" applyFont="1" applyBorder="1" applyAlignment="1">
      <alignment horizontal="center" vertical="top"/>
    </xf>
    <xf numFmtId="0" fontId="9" fillId="0" borderId="1" xfId="0" applyFont="1" applyBorder="1" applyAlignment="1">
      <alignment horizontal="left" vertical="top"/>
    </xf>
    <xf numFmtId="2" fontId="5" fillId="2" borderId="1" xfId="0" applyNumberFormat="1" applyFont="1" applyFill="1" applyBorder="1" applyAlignment="1">
      <alignment horizontal="center" vertical="top" wrapText="1"/>
    </xf>
    <xf numFmtId="0" fontId="13" fillId="4" borderId="1" xfId="0" applyFont="1" applyFill="1" applyBorder="1" applyAlignment="1" applyProtection="1">
      <alignment horizontal="center" vertical="top" wrapText="1"/>
    </xf>
    <xf numFmtId="0" fontId="6" fillId="0" borderId="1" xfId="0" applyFont="1" applyFill="1" applyBorder="1" applyAlignment="1">
      <alignment horizontal="center" vertical="top" wrapText="1"/>
    </xf>
    <xf numFmtId="0" fontId="4" fillId="0" borderId="1" xfId="0" applyFont="1" applyFill="1" applyBorder="1" applyAlignment="1">
      <alignment horizontal="center" vertical="top"/>
    </xf>
    <xf numFmtId="0" fontId="9" fillId="0" borderId="1" xfId="0" applyFont="1" applyFill="1" applyBorder="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9" fillId="0" borderId="1" xfId="0" quotePrefix="1" applyFont="1" applyBorder="1" applyAlignment="1">
      <alignment horizontal="center" vertical="top" wrapText="1"/>
    </xf>
    <xf numFmtId="0" fontId="15" fillId="2" borderId="1" xfId="0" applyFont="1" applyFill="1" applyBorder="1" applyAlignment="1">
      <alignment horizontal="center" vertical="top" wrapText="1"/>
    </xf>
    <xf numFmtId="0" fontId="15" fillId="0" borderId="1" xfId="1" applyFont="1" applyFill="1" applyBorder="1" applyAlignment="1" applyProtection="1">
      <alignment horizontal="left" vertical="top" wrapText="1"/>
    </xf>
    <xf numFmtId="0" fontId="15" fillId="2" borderId="1" xfId="0" applyFont="1" applyFill="1" applyBorder="1" applyAlignment="1">
      <alignment horizontal="left" vertical="top" wrapText="1"/>
    </xf>
    <xf numFmtId="0" fontId="7" fillId="2" borderId="2" xfId="0" applyFont="1" applyFill="1" applyBorder="1" applyAlignment="1">
      <alignment horizontal="center" vertical="top" wrapText="1"/>
    </xf>
    <xf numFmtId="0" fontId="6" fillId="2" borderId="2" xfId="0" applyFont="1" applyFill="1" applyBorder="1" applyAlignment="1">
      <alignment horizontal="center" vertical="top" wrapText="1"/>
    </xf>
    <xf numFmtId="0" fontId="8" fillId="2" borderId="4" xfId="1" applyFont="1" applyFill="1" applyBorder="1" applyAlignment="1" applyProtection="1">
      <alignment horizontal="center" vertical="top" wrapText="1"/>
    </xf>
    <xf numFmtId="14" fontId="13" fillId="4" borderId="1" xfId="0" applyNumberFormat="1" applyFont="1" applyFill="1" applyBorder="1" applyAlignment="1" applyProtection="1">
      <alignment horizontal="center" vertical="top" wrapText="1"/>
    </xf>
    <xf numFmtId="0" fontId="7" fillId="0" borderId="1" xfId="0" applyFont="1" applyFill="1" applyBorder="1" applyAlignment="1">
      <alignment horizontal="center" vertical="top" wrapText="1"/>
    </xf>
    <xf numFmtId="0" fontId="8" fillId="0" borderId="4" xfId="1" applyFont="1" applyFill="1" applyBorder="1" applyAlignment="1" applyProtection="1">
      <alignment horizontal="center" vertical="top" wrapText="1"/>
    </xf>
    <xf numFmtId="0" fontId="9" fillId="2" borderId="1" xfId="0" applyFont="1" applyFill="1" applyBorder="1" applyAlignment="1">
      <alignment horizontal="justify" vertical="top" wrapText="1"/>
    </xf>
    <xf numFmtId="0" fontId="0" fillId="0" borderId="1" xfId="0" applyBorder="1" applyAlignment="1">
      <alignment horizontal="center" vertical="center" wrapText="1"/>
    </xf>
    <xf numFmtId="14" fontId="9" fillId="0" borderId="1" xfId="0" applyNumberFormat="1" applyFont="1" applyBorder="1" applyAlignment="1">
      <alignment horizontal="center" vertical="top" wrapText="1"/>
    </xf>
    <xf numFmtId="0" fontId="4" fillId="0" borderId="2" xfId="0" applyFont="1" applyFill="1" applyBorder="1" applyAlignment="1">
      <alignment horizontal="center" vertical="top"/>
    </xf>
    <xf numFmtId="0" fontId="22" fillId="0" borderId="1" xfId="0" applyFont="1" applyBorder="1" applyAlignment="1">
      <alignment horizontal="left" vertical="top" wrapText="1"/>
    </xf>
    <xf numFmtId="0" fontId="0" fillId="0" borderId="1" xfId="0" applyBorder="1" applyAlignment="1">
      <alignment horizontal="left" vertical="top" wrapText="1"/>
    </xf>
    <xf numFmtId="0" fontId="5" fillId="0" borderId="2" xfId="0" applyFont="1" applyBorder="1" applyAlignment="1">
      <alignment vertical="top" wrapText="1"/>
    </xf>
    <xf numFmtId="0" fontId="13" fillId="0" borderId="1" xfId="0" applyFont="1" applyFill="1" applyBorder="1" applyAlignment="1" applyProtection="1">
      <alignment horizontal="center" vertical="top" wrapText="1"/>
    </xf>
    <xf numFmtId="0" fontId="5" fillId="2" borderId="1" xfId="0" applyFont="1" applyFill="1" applyBorder="1" applyAlignment="1">
      <alignment horizontal="center" vertical="center" wrapText="1"/>
    </xf>
    <xf numFmtId="0" fontId="8" fillId="2" borderId="1" xfId="1" applyFont="1" applyFill="1" applyBorder="1" applyAlignment="1" applyProtection="1">
      <alignment horizontal="left" vertical="top" wrapText="1"/>
    </xf>
    <xf numFmtId="0" fontId="5" fillId="0" borderId="0" xfId="0" applyFont="1" applyBorder="1" applyAlignment="1">
      <alignment horizontal="center"/>
    </xf>
    <xf numFmtId="0" fontId="5" fillId="0" borderId="3" xfId="0" applyFont="1" applyBorder="1" applyAlignment="1">
      <alignment horizontal="left" vertical="top" wrapText="1"/>
    </xf>
    <xf numFmtId="0" fontId="9" fillId="2" borderId="1" xfId="0" applyFont="1" applyFill="1" applyBorder="1" applyAlignment="1">
      <alignment horizontal="center" vertical="top" wrapText="1"/>
    </xf>
    <xf numFmtId="0" fontId="5" fillId="2" borderId="4" xfId="0" applyFont="1" applyFill="1" applyBorder="1" applyAlignment="1">
      <alignment horizontal="center" vertical="top" wrapText="1"/>
    </xf>
    <xf numFmtId="0" fontId="15" fillId="0" borderId="1" xfId="0" applyFont="1" applyBorder="1" applyAlignment="1">
      <alignment horizontal="center" vertical="top"/>
    </xf>
    <xf numFmtId="0" fontId="5" fillId="0" borderId="1" xfId="0" applyFont="1" applyBorder="1" applyAlignment="1">
      <alignment horizontal="center" vertical="center" wrapText="1"/>
    </xf>
    <xf numFmtId="2" fontId="9" fillId="0" borderId="1" xfId="0" applyNumberFormat="1" applyFont="1" applyBorder="1" applyAlignment="1">
      <alignment horizontal="center" vertical="top" wrapText="1"/>
    </xf>
    <xf numFmtId="0" fontId="13" fillId="0" borderId="1" xfId="0" applyFont="1" applyFill="1" applyBorder="1" applyAlignment="1" applyProtection="1">
      <alignment horizontal="left" vertical="top" wrapText="1"/>
    </xf>
    <xf numFmtId="0" fontId="13" fillId="4" borderId="1" xfId="0" applyNumberFormat="1" applyFont="1" applyFill="1" applyBorder="1" applyAlignment="1" applyProtection="1">
      <alignment horizontal="center" vertical="top" wrapText="1"/>
    </xf>
    <xf numFmtId="0" fontId="6" fillId="0" borderId="1" xfId="0" applyFont="1" applyBorder="1" applyAlignment="1">
      <alignment horizontal="center"/>
    </xf>
    <xf numFmtId="14" fontId="5" fillId="0" borderId="1" xfId="0" applyNumberFormat="1" applyFont="1" applyBorder="1" applyAlignment="1">
      <alignment horizontal="center" vertical="top" wrapText="1"/>
    </xf>
    <xf numFmtId="0" fontId="5" fillId="2" borderId="1" xfId="0" applyFont="1" applyFill="1" applyBorder="1" applyAlignment="1">
      <alignment horizontal="left" vertical="top"/>
    </xf>
    <xf numFmtId="0" fontId="5" fillId="0" borderId="5" xfId="0" applyFont="1" applyBorder="1" applyAlignment="1">
      <alignment horizontal="left" vertical="top" wrapText="1"/>
    </xf>
    <xf numFmtId="0" fontId="5" fillId="0" borderId="1" xfId="0" applyFont="1" applyBorder="1" applyAlignment="1">
      <alignment horizontal="center" vertical="top" wrapText="1"/>
    </xf>
    <xf numFmtId="0" fontId="5" fillId="0" borderId="1" xfId="0" applyFont="1" applyBorder="1" applyAlignment="1">
      <alignment horizontal="center" vertical="top"/>
    </xf>
    <xf numFmtId="0" fontId="13" fillId="4" borderId="5" xfId="0" applyFont="1" applyFill="1" applyBorder="1" applyAlignment="1" applyProtection="1">
      <alignment horizontal="left" vertical="top" wrapText="1"/>
    </xf>
    <xf numFmtId="0" fontId="13" fillId="4" borderId="1" xfId="0" applyFont="1" applyFill="1" applyBorder="1" applyAlignment="1" applyProtection="1">
      <alignment horizontal="left" vertical="top" wrapText="1"/>
    </xf>
    <xf numFmtId="0" fontId="5" fillId="0" borderId="1" xfId="0" applyFont="1" applyBorder="1" applyAlignment="1">
      <alignment vertical="top"/>
    </xf>
    <xf numFmtId="0" fontId="6" fillId="2" borderId="2" xfId="0" applyFont="1" applyFill="1" applyBorder="1" applyAlignment="1">
      <alignment horizontal="center" vertical="top"/>
    </xf>
    <xf numFmtId="0" fontId="6" fillId="2" borderId="10" xfId="0" applyFont="1" applyFill="1" applyBorder="1" applyAlignment="1">
      <alignment horizontal="center" vertical="top"/>
    </xf>
    <xf numFmtId="0" fontId="6" fillId="2" borderId="1" xfId="0" applyFont="1" applyFill="1" applyBorder="1" applyAlignment="1">
      <alignment horizontal="center" vertical="top"/>
    </xf>
    <xf numFmtId="0" fontId="5" fillId="2" borderId="1" xfId="0" applyFont="1" applyFill="1" applyBorder="1" applyAlignment="1">
      <alignment horizontal="center" vertical="top" wrapText="1"/>
    </xf>
    <xf numFmtId="2" fontId="5" fillId="0" borderId="1" xfId="0" applyNumberFormat="1" applyFont="1" applyBorder="1" applyAlignment="1">
      <alignment horizontal="center" vertical="top" wrapText="1"/>
    </xf>
    <xf numFmtId="3" fontId="5" fillId="0" borderId="1" xfId="0" applyNumberFormat="1" applyFont="1" applyBorder="1" applyAlignment="1">
      <alignment horizontal="center" vertical="top" wrapText="1"/>
    </xf>
    <xf numFmtId="0" fontId="5" fillId="0" borderId="1" xfId="0" quotePrefix="1" applyFont="1" applyBorder="1" applyAlignment="1">
      <alignment horizontal="center" vertical="top" wrapText="1"/>
    </xf>
    <xf numFmtId="0" fontId="6" fillId="2" borderId="4" xfId="0" applyFont="1" applyFill="1" applyBorder="1" applyAlignment="1">
      <alignment horizontal="center" vertical="top"/>
    </xf>
    <xf numFmtId="0" fontId="6" fillId="2" borderId="4" xfId="0" applyFont="1" applyFill="1" applyBorder="1" applyAlignment="1">
      <alignment horizontal="center" vertical="top" wrapText="1"/>
    </xf>
    <xf numFmtId="0" fontId="5" fillId="0" borderId="0" xfId="0" applyFont="1" applyAlignment="1">
      <alignment vertical="center"/>
    </xf>
    <xf numFmtId="0" fontId="5" fillId="0" borderId="0" xfId="0" applyFont="1" applyBorder="1"/>
    <xf numFmtId="0" fontId="5" fillId="0" borderId="0" xfId="0" applyFont="1"/>
    <xf numFmtId="0" fontId="0" fillId="0" borderId="0" xfId="0" applyBorder="1"/>
    <xf numFmtId="0" fontId="6" fillId="2" borderId="4" xfId="0" applyFont="1" applyFill="1" applyBorder="1" applyAlignment="1">
      <alignment horizontal="center" vertical="center"/>
    </xf>
    <xf numFmtId="0" fontId="0" fillId="0" borderId="1"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6" fillId="2" borderId="1" xfId="0" applyFont="1" applyFill="1" applyBorder="1" applyAlignment="1">
      <alignment vertical="top"/>
    </xf>
    <xf numFmtId="0" fontId="5" fillId="0" borderId="0" xfId="0" applyFont="1" applyAlignment="1">
      <alignment horizontal="center"/>
    </xf>
    <xf numFmtId="0" fontId="28" fillId="0" borderId="0" xfId="0" applyFont="1" applyBorder="1"/>
    <xf numFmtId="0" fontId="28" fillId="0" borderId="0" xfId="0" applyFont="1"/>
    <xf numFmtId="0" fontId="29" fillId="0" borderId="0" xfId="0" applyFont="1" applyBorder="1"/>
    <xf numFmtId="0" fontId="29" fillId="0" borderId="0" xfId="0" applyFont="1"/>
    <xf numFmtId="0" fontId="28" fillId="2" borderId="0" xfId="0" applyFont="1" applyFill="1" applyBorder="1"/>
    <xf numFmtId="0" fontId="28" fillId="2" borderId="0" xfId="0" applyFont="1" applyFill="1"/>
    <xf numFmtId="0" fontId="0" fillId="0" borderId="0" xfId="0" applyAlignment="1">
      <alignment horizontal="center" vertical="center"/>
    </xf>
    <xf numFmtId="0" fontId="0" fillId="0" borderId="0" xfId="0" applyAlignment="1">
      <alignment vertical="center"/>
    </xf>
    <xf numFmtId="0" fontId="0" fillId="0" borderId="0" xfId="0" applyAlignment="1">
      <alignment vertical="top"/>
    </xf>
    <xf numFmtId="0" fontId="30" fillId="0" borderId="1" xfId="0" applyFont="1" applyBorder="1" applyAlignment="1">
      <alignment horizontal="center" vertical="center" wrapText="1"/>
    </xf>
    <xf numFmtId="0" fontId="5" fillId="0" borderId="0" xfId="0" applyFont="1" applyBorder="1" applyAlignment="1">
      <alignment horizontal="center" vertical="top"/>
    </xf>
    <xf numFmtId="0" fontId="5" fillId="0" borderId="0" xfId="0" applyFont="1" applyAlignment="1">
      <alignment vertical="top"/>
    </xf>
    <xf numFmtId="0" fontId="16" fillId="2" borderId="0" xfId="0" applyFont="1" applyFill="1"/>
    <xf numFmtId="0" fontId="0" fillId="0" borderId="1" xfId="0" applyBorder="1" applyAlignment="1">
      <alignment wrapText="1"/>
    </xf>
    <xf numFmtId="0" fontId="0" fillId="0" borderId="1" xfId="0" applyFill="1" applyBorder="1" applyAlignment="1">
      <alignment wrapText="1"/>
    </xf>
    <xf numFmtId="0" fontId="0" fillId="0" borderId="1" xfId="0" applyFill="1" applyBorder="1" applyAlignment="1">
      <alignment vertical="center" wrapText="1"/>
    </xf>
    <xf numFmtId="0" fontId="0" fillId="0" borderId="0" xfId="0" applyFont="1" applyAlignment="1"/>
    <xf numFmtId="0" fontId="31" fillId="0" borderId="0" xfId="0" applyFont="1" applyAlignment="1">
      <alignment horizontal="center"/>
    </xf>
    <xf numFmtId="0" fontId="33" fillId="2" borderId="0" xfId="0" applyFont="1" applyFill="1" applyAlignment="1">
      <alignment horizontal="left" vertical="top"/>
    </xf>
    <xf numFmtId="0" fontId="13" fillId="2" borderId="1" xfId="0" applyFont="1" applyFill="1" applyBorder="1" applyAlignment="1" applyProtection="1">
      <alignment horizontal="center" vertical="top" wrapText="1"/>
    </xf>
    <xf numFmtId="0" fontId="5" fillId="2" borderId="1" xfId="0" quotePrefix="1" applyFont="1" applyFill="1" applyBorder="1" applyAlignment="1">
      <alignment horizontal="center" vertical="top" wrapText="1"/>
    </xf>
    <xf numFmtId="0" fontId="5" fillId="0" borderId="1" xfId="0" applyFont="1" applyBorder="1" applyAlignment="1">
      <alignment horizontal="left" vertical="top" wrapText="1"/>
    </xf>
    <xf numFmtId="0" fontId="13" fillId="4" borderId="1" xfId="0" applyFont="1" applyFill="1" applyBorder="1" applyAlignment="1" applyProtection="1">
      <alignment horizontal="left" vertical="top" wrapText="1"/>
    </xf>
    <xf numFmtId="0" fontId="5" fillId="0" borderId="4" xfId="0" applyFont="1" applyBorder="1" applyAlignment="1">
      <alignment horizontal="center" vertical="top" wrapText="1"/>
    </xf>
    <xf numFmtId="0" fontId="5" fillId="0" borderId="1" xfId="0" applyFont="1" applyBorder="1" applyAlignment="1">
      <alignment horizontal="center" vertical="top" wrapText="1"/>
    </xf>
    <xf numFmtId="0" fontId="6" fillId="2" borderId="1" xfId="0" applyFont="1" applyFill="1" applyBorder="1" applyAlignment="1">
      <alignment horizontal="center" vertical="top"/>
    </xf>
    <xf numFmtId="0" fontId="9" fillId="0" borderId="1" xfId="0" applyFont="1" applyFill="1" applyBorder="1" applyAlignment="1" applyProtection="1">
      <alignment vertical="top" wrapText="1"/>
    </xf>
    <xf numFmtId="0" fontId="9" fillId="2" borderId="1" xfId="0" applyFont="1" applyFill="1" applyBorder="1" applyAlignment="1">
      <alignment vertical="top" wrapText="1"/>
    </xf>
    <xf numFmtId="0" fontId="9" fillId="0" borderId="4" xfId="0" applyFont="1" applyBorder="1" applyAlignment="1">
      <alignment horizontal="center" vertical="top" wrapText="1"/>
    </xf>
    <xf numFmtId="0" fontId="9" fillId="0" borderId="0" xfId="0" applyFont="1" applyAlignment="1">
      <alignment horizontal="center" vertical="top" wrapText="1"/>
    </xf>
    <xf numFmtId="0" fontId="9" fillId="0" borderId="4" xfId="0" applyFont="1" applyFill="1" applyBorder="1" applyAlignment="1" applyProtection="1">
      <alignment horizontal="left" vertical="top" wrapText="1"/>
    </xf>
    <xf numFmtId="0" fontId="5" fillId="0" borderId="1" xfId="0" applyFont="1" applyBorder="1" applyAlignment="1">
      <alignment horizontal="left" vertical="top" wrapText="1"/>
    </xf>
    <xf numFmtId="0" fontId="13" fillId="4" borderId="1" xfId="0" applyFont="1" applyFill="1" applyBorder="1" applyAlignment="1" applyProtection="1">
      <alignment horizontal="left" vertical="top" wrapText="1"/>
    </xf>
    <xf numFmtId="0" fontId="13" fillId="2" borderId="1" xfId="0" applyFont="1" applyFill="1" applyBorder="1" applyAlignment="1" applyProtection="1">
      <alignment horizontal="left" vertical="top" wrapText="1"/>
    </xf>
    <xf numFmtId="0" fontId="13" fillId="4" borderId="4" xfId="0" applyFont="1" applyFill="1" applyBorder="1" applyAlignment="1" applyProtection="1">
      <alignment horizontal="left" vertical="top" wrapText="1"/>
    </xf>
    <xf numFmtId="0" fontId="5" fillId="0" borderId="4" xfId="0" applyFont="1" applyBorder="1" applyAlignment="1">
      <alignment vertical="top" wrapText="1"/>
    </xf>
    <xf numFmtId="0" fontId="5" fillId="0" borderId="4" xfId="0"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center" vertical="center"/>
    </xf>
    <xf numFmtId="0" fontId="5" fillId="0" borderId="2" xfId="0" applyFont="1" applyBorder="1" applyAlignment="1">
      <alignment horizontal="center" vertical="top" wrapText="1"/>
    </xf>
    <xf numFmtId="0" fontId="15" fillId="0" borderId="1" xfId="0" applyFont="1" applyBorder="1" applyAlignment="1">
      <alignment horizontal="center" vertical="top" wrapText="1"/>
    </xf>
    <xf numFmtId="0" fontId="9" fillId="0" borderId="1" xfId="0" applyFont="1" applyBorder="1" applyAlignment="1">
      <alignment horizontal="center" vertical="top" wrapText="1"/>
    </xf>
    <xf numFmtId="0" fontId="5" fillId="0" borderId="1" xfId="0" applyFont="1" applyFill="1" applyBorder="1" applyAlignment="1">
      <alignment horizontal="left" vertical="top" wrapText="1"/>
    </xf>
    <xf numFmtId="0" fontId="5" fillId="0" borderId="1" xfId="0" applyFont="1" applyFill="1" applyBorder="1" applyAlignment="1">
      <alignment horizontal="center" vertical="top" wrapText="1"/>
    </xf>
    <xf numFmtId="0" fontId="9" fillId="0" borderId="1" xfId="0" applyFont="1" applyBorder="1" applyAlignment="1">
      <alignment horizontal="left" vertical="top" wrapText="1"/>
    </xf>
    <xf numFmtId="0" fontId="15" fillId="0" borderId="1" xfId="0" applyFont="1" applyBorder="1" applyAlignment="1">
      <alignment horizontal="left" vertical="top" wrapText="1"/>
    </xf>
    <xf numFmtId="0" fontId="5" fillId="0" borderId="1" xfId="0" applyFont="1" applyBorder="1" applyAlignment="1">
      <alignment horizontal="left" vertical="top" wrapText="1"/>
    </xf>
    <xf numFmtId="0" fontId="0" fillId="0" borderId="1" xfId="0" applyBorder="1" applyAlignment="1">
      <alignment horizontal="center" vertical="center" wrapText="1"/>
    </xf>
    <xf numFmtId="0" fontId="5" fillId="0" borderId="1" xfId="0" applyFont="1" applyBorder="1" applyAlignment="1">
      <alignment horizontal="center" vertical="top" wrapText="1"/>
    </xf>
    <xf numFmtId="0" fontId="6" fillId="2" borderId="2" xfId="0" applyFont="1" applyFill="1" applyBorder="1" applyAlignment="1">
      <alignment horizontal="center" vertical="top"/>
    </xf>
    <xf numFmtId="0" fontId="6" fillId="2" borderId="1" xfId="0" applyFont="1" applyFill="1" applyBorder="1" applyAlignment="1">
      <alignment horizontal="center" vertical="top"/>
    </xf>
    <xf numFmtId="0" fontId="1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1" xfId="0" applyFont="1" applyBorder="1" applyAlignment="1">
      <alignment horizontal="justify" vertical="top" wrapText="1"/>
    </xf>
    <xf numFmtId="0" fontId="15"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5" fillId="0" borderId="1" xfId="0" applyFont="1" applyFill="1" applyBorder="1" applyAlignment="1">
      <alignment horizontal="center" vertical="top" wrapText="1"/>
    </xf>
    <xf numFmtId="0" fontId="9"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2" borderId="7" xfId="0" applyFont="1" applyFill="1" applyBorder="1" applyAlignment="1">
      <alignment vertical="center" wrapText="1"/>
    </xf>
    <xf numFmtId="0" fontId="5" fillId="2" borderId="1" xfId="0" applyFont="1" applyFill="1" applyBorder="1" applyAlignment="1">
      <alignment horizontal="center" vertical="top" wrapText="1"/>
    </xf>
    <xf numFmtId="0" fontId="13" fillId="4" borderId="4" xfId="0" applyFont="1" applyFill="1" applyBorder="1" applyAlignment="1" applyProtection="1">
      <alignment horizontal="center" vertical="top" wrapText="1"/>
    </xf>
    <xf numFmtId="0" fontId="24" fillId="2" borderId="1" xfId="0" applyFont="1" applyFill="1" applyBorder="1" applyAlignment="1" applyProtection="1">
      <alignment horizontal="center" vertical="top" wrapText="1"/>
    </xf>
    <xf numFmtId="0" fontId="10" fillId="2" borderId="7" xfId="0" applyFont="1" applyFill="1" applyBorder="1" applyAlignment="1">
      <alignment vertical="top" wrapText="1"/>
    </xf>
    <xf numFmtId="0" fontId="10" fillId="2" borderId="8" xfId="0" applyFont="1" applyFill="1" applyBorder="1" applyAlignment="1">
      <alignment vertical="top" wrapText="1"/>
    </xf>
    <xf numFmtId="0" fontId="5" fillId="0" borderId="1" xfId="0" applyFont="1" applyBorder="1" applyAlignment="1">
      <alignment vertical="top" wrapText="1"/>
    </xf>
    <xf numFmtId="0" fontId="5" fillId="2" borderId="1" xfId="0" quotePrefix="1" applyFont="1" applyFill="1" applyBorder="1" applyAlignment="1">
      <alignment horizontal="left" vertical="top" wrapText="1"/>
    </xf>
    <xf numFmtId="0" fontId="5" fillId="2" borderId="1" xfId="0" applyFont="1" applyFill="1" applyBorder="1" applyAlignment="1">
      <alignment horizontal="center" vertical="top"/>
    </xf>
    <xf numFmtId="0" fontId="9" fillId="0" borderId="1" xfId="0" applyFont="1" applyFill="1" applyBorder="1" applyAlignment="1" applyProtection="1">
      <alignment horizontal="left" vertical="top" wrapText="1"/>
    </xf>
    <xf numFmtId="0" fontId="0" fillId="0" borderId="0" xfId="0" applyFont="1" applyAlignment="1">
      <alignment vertical="top" wrapText="1"/>
    </xf>
    <xf numFmtId="0" fontId="0" fillId="0" borderId="1" xfId="0" applyFont="1" applyBorder="1"/>
    <xf numFmtId="0" fontId="5" fillId="0" borderId="2" xfId="0" applyFont="1" applyBorder="1" applyAlignment="1">
      <alignment horizontal="left" vertical="top" wrapText="1"/>
    </xf>
    <xf numFmtId="14" fontId="5" fillId="0" borderId="1" xfId="0" applyNumberFormat="1" applyFont="1" applyBorder="1" applyAlignment="1">
      <alignment horizontal="center" vertical="top" wrapText="1"/>
    </xf>
    <xf numFmtId="0" fontId="9" fillId="0" borderId="1" xfId="0" applyFont="1" applyBorder="1" applyAlignment="1">
      <alignment horizontal="center" vertical="top"/>
    </xf>
    <xf numFmtId="0" fontId="0" fillId="0" borderId="1" xfId="0" applyBorder="1" applyAlignment="1">
      <alignment horizontal="center" vertical="top" wrapText="1"/>
    </xf>
    <xf numFmtId="2" fontId="5" fillId="0" borderId="1" xfId="0" applyNumberFormat="1" applyFont="1" applyBorder="1" applyAlignment="1">
      <alignment horizontal="center" vertical="top"/>
    </xf>
    <xf numFmtId="1" fontId="13" fillId="0" borderId="1" xfId="0" applyNumberFormat="1" applyFont="1" applyFill="1" applyBorder="1" applyAlignment="1" applyProtection="1">
      <alignment horizontal="center" vertical="top" wrapText="1"/>
    </xf>
    <xf numFmtId="0" fontId="13" fillId="0" borderId="1" xfId="0" quotePrefix="1" applyFont="1" applyFill="1" applyBorder="1" applyAlignment="1" applyProtection="1">
      <alignment horizontal="center" vertical="top" wrapText="1"/>
    </xf>
    <xf numFmtId="2" fontId="13" fillId="0" borderId="1" xfId="0" applyNumberFormat="1" applyFont="1" applyFill="1" applyBorder="1" applyAlignment="1" applyProtection="1">
      <alignment horizontal="center" vertical="top" wrapText="1"/>
    </xf>
    <xf numFmtId="1" fontId="5" fillId="0" borderId="1" xfId="0" applyNumberFormat="1" applyFont="1" applyBorder="1" applyAlignment="1">
      <alignment horizontal="center" vertical="top" wrapText="1"/>
    </xf>
    <xf numFmtId="2" fontId="13" fillId="0" borderId="1" xfId="0" quotePrefix="1" applyNumberFormat="1" applyFont="1" applyFill="1" applyBorder="1" applyAlignment="1" applyProtection="1">
      <alignment horizontal="center" vertical="top" wrapText="1"/>
    </xf>
    <xf numFmtId="1" fontId="5" fillId="0" borderId="1" xfId="0" applyNumberFormat="1" applyFont="1" applyBorder="1" applyAlignment="1">
      <alignment horizontal="center" vertical="top"/>
    </xf>
    <xf numFmtId="4" fontId="5" fillId="0" borderId="1" xfId="0" applyNumberFormat="1" applyFont="1" applyBorder="1" applyAlignment="1">
      <alignment horizontal="center" vertical="top"/>
    </xf>
    <xf numFmtId="0" fontId="5" fillId="4" borderId="1" xfId="0" applyFont="1" applyFill="1" applyBorder="1" applyAlignment="1">
      <alignment horizontal="center" vertical="top" wrapText="1"/>
    </xf>
    <xf numFmtId="0" fontId="5" fillId="4" borderId="1" xfId="0" applyFont="1" applyFill="1" applyBorder="1" applyAlignment="1">
      <alignment horizontal="center" vertical="top"/>
    </xf>
    <xf numFmtId="0" fontId="5" fillId="4" borderId="1" xfId="0" applyFont="1" applyFill="1" applyBorder="1" applyAlignment="1">
      <alignment horizontal="left" vertical="top" wrapText="1"/>
    </xf>
    <xf numFmtId="0" fontId="5" fillId="3" borderId="1" xfId="0" applyFont="1" applyFill="1" applyBorder="1" applyAlignment="1">
      <alignment horizontal="center" vertical="top" wrapText="1"/>
    </xf>
    <xf numFmtId="0" fontId="16" fillId="0" borderId="1" xfId="0" applyFont="1" applyBorder="1" applyAlignment="1">
      <alignment horizontal="center" vertical="top" wrapText="1"/>
    </xf>
    <xf numFmtId="17" fontId="9" fillId="0" borderId="1" xfId="0" applyNumberFormat="1" applyFont="1" applyBorder="1" applyAlignment="1">
      <alignment horizontal="center" vertical="top" wrapText="1"/>
    </xf>
    <xf numFmtId="0" fontId="17" fillId="0" borderId="1" xfId="0" applyFont="1" applyBorder="1" applyAlignment="1">
      <alignment horizontal="center" vertical="top" wrapText="1"/>
    </xf>
    <xf numFmtId="17" fontId="15" fillId="0" borderId="1" xfId="0" applyNumberFormat="1" applyFont="1" applyBorder="1" applyAlignment="1">
      <alignment horizontal="center" vertical="top" wrapText="1"/>
    </xf>
    <xf numFmtId="0" fontId="8" fillId="0" borderId="1" xfId="0" applyFont="1" applyBorder="1" applyAlignment="1">
      <alignment horizontal="center" vertical="top" wrapText="1"/>
    </xf>
    <xf numFmtId="0" fontId="8" fillId="2" borderId="2" xfId="1" applyFont="1" applyFill="1" applyBorder="1" applyAlignment="1" applyProtection="1">
      <alignment horizontal="center" vertical="top" wrapText="1"/>
    </xf>
    <xf numFmtId="0" fontId="8" fillId="2" borderId="10" xfId="1" applyFont="1" applyFill="1" applyBorder="1" applyAlignment="1" applyProtection="1">
      <alignment horizontal="center" vertical="top" wrapText="1"/>
    </xf>
    <xf numFmtId="0" fontId="15" fillId="0" borderId="2" xfId="0" applyFont="1" applyBorder="1" applyAlignment="1">
      <alignment horizontal="center" vertical="top" wrapText="1"/>
    </xf>
    <xf numFmtId="164" fontId="15" fillId="0" borderId="1" xfId="0" applyNumberFormat="1" applyFont="1" applyBorder="1" applyAlignment="1">
      <alignment horizontal="center" vertical="top" wrapText="1"/>
    </xf>
    <xf numFmtId="0" fontId="32" fillId="0" borderId="2" xfId="0" applyFont="1" applyBorder="1" applyAlignment="1">
      <alignment horizontal="center" vertical="top" wrapText="1"/>
    </xf>
    <xf numFmtId="0" fontId="15" fillId="2" borderId="1" xfId="0" applyFont="1" applyFill="1" applyBorder="1" applyAlignment="1">
      <alignment vertical="top" wrapText="1"/>
    </xf>
    <xf numFmtId="0" fontId="5" fillId="0" borderId="5" xfId="0" applyFont="1" applyFill="1" applyBorder="1" applyAlignment="1">
      <alignment horizontal="center" vertical="center" wrapText="1"/>
    </xf>
    <xf numFmtId="0" fontId="6" fillId="0" borderId="5" xfId="0" applyFont="1" applyFill="1" applyBorder="1" applyAlignment="1">
      <alignment horizontal="right" vertical="top" wrapText="1"/>
    </xf>
    <xf numFmtId="0" fontId="5" fillId="2" borderId="1" xfId="0" applyNumberFormat="1" applyFont="1" applyFill="1" applyBorder="1" applyAlignment="1">
      <alignment horizontal="center" vertical="top" wrapText="1"/>
    </xf>
    <xf numFmtId="0" fontId="1" fillId="0" borderId="1" xfId="0" applyFont="1" applyBorder="1" applyAlignment="1">
      <alignment horizontal="right" vertical="top" wrapText="1"/>
    </xf>
    <xf numFmtId="0" fontId="9" fillId="2" borderId="14" xfId="0" applyFont="1" applyFill="1" applyBorder="1" applyAlignment="1">
      <alignment horizontal="center" vertical="top" wrapText="1"/>
    </xf>
    <xf numFmtId="0" fontId="9" fillId="4" borderId="1" xfId="0" applyFont="1" applyFill="1" applyBorder="1" applyAlignment="1">
      <alignment horizontal="center" vertical="top" wrapText="1"/>
    </xf>
    <xf numFmtId="0" fontId="13" fillId="2" borderId="1"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0" borderId="2" xfId="0" applyFont="1" applyBorder="1" applyAlignment="1">
      <alignment horizontal="center" vertical="top" wrapText="1"/>
    </xf>
    <xf numFmtId="0" fontId="9" fillId="4" borderId="1" xfId="0" applyFont="1" applyFill="1" applyBorder="1" applyAlignment="1">
      <alignment vertical="top" wrapText="1"/>
    </xf>
    <xf numFmtId="0" fontId="9" fillId="0" borderId="1" xfId="0" quotePrefix="1" applyFont="1" applyBorder="1" applyAlignment="1">
      <alignment vertical="top" wrapText="1"/>
    </xf>
    <xf numFmtId="0" fontId="9" fillId="0" borderId="1" xfId="0" applyFont="1" applyFill="1" applyBorder="1" applyAlignment="1">
      <alignment vertical="top" wrapText="1"/>
    </xf>
    <xf numFmtId="14" fontId="5" fillId="0" borderId="1" xfId="0" applyNumberFormat="1" applyFont="1" applyBorder="1" applyAlignment="1">
      <alignment vertical="top" wrapText="1"/>
    </xf>
    <xf numFmtId="0" fontId="13" fillId="2" borderId="1" xfId="0" applyFont="1" applyFill="1" applyBorder="1" applyAlignment="1">
      <alignment vertical="top" wrapText="1"/>
    </xf>
    <xf numFmtId="0" fontId="9" fillId="0" borderId="2" xfId="0" applyFont="1" applyBorder="1" applyAlignment="1">
      <alignment vertical="top" wrapText="1"/>
    </xf>
    <xf numFmtId="0" fontId="6" fillId="0" borderId="1" xfId="0" applyFont="1" applyBorder="1" applyAlignment="1">
      <alignment horizontal="center" vertical="top" wrapText="1"/>
    </xf>
    <xf numFmtId="0" fontId="0" fillId="0" borderId="1" xfId="0" applyBorder="1" applyAlignment="1">
      <alignment horizontal="center" vertical="top"/>
    </xf>
    <xf numFmtId="0" fontId="9" fillId="4" borderId="1" xfId="0" quotePrefix="1" applyFont="1" applyFill="1" applyBorder="1" applyAlignment="1">
      <alignment horizontal="center" vertical="top" wrapText="1"/>
    </xf>
    <xf numFmtId="0" fontId="13" fillId="2"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13" fillId="4" borderId="1" xfId="0" quotePrefix="1" applyFont="1" applyFill="1" applyBorder="1" applyAlignment="1">
      <alignment horizontal="left" vertical="top" wrapText="1"/>
    </xf>
    <xf numFmtId="0" fontId="13" fillId="4" borderId="1" xfId="0" applyFont="1" applyFill="1" applyBorder="1" applyAlignment="1">
      <alignment vertical="top" wrapText="1"/>
    </xf>
    <xf numFmtId="0" fontId="13" fillId="4" borderId="1" xfId="0" applyFont="1" applyFill="1" applyBorder="1" applyAlignment="1">
      <alignment horizontal="center" vertical="top" wrapText="1"/>
    </xf>
    <xf numFmtId="0" fontId="13" fillId="4" borderId="1" xfId="0" quotePrefix="1" applyFont="1" applyFill="1" applyBorder="1" applyAlignment="1">
      <alignment horizontal="center" vertical="top" wrapText="1"/>
    </xf>
    <xf numFmtId="0" fontId="7" fillId="0" borderId="1" xfId="0" quotePrefix="1" applyFont="1" applyBorder="1" applyAlignment="1">
      <alignment horizontal="center" vertical="top" wrapText="1"/>
    </xf>
    <xf numFmtId="0" fontId="5" fillId="2" borderId="1" xfId="0" quotePrefix="1" applyFont="1" applyFill="1" applyBorder="1" applyAlignment="1">
      <alignment horizontal="center" vertical="center" wrapText="1"/>
    </xf>
    <xf numFmtId="0" fontId="9" fillId="2" borderId="14" xfId="0" applyFont="1" applyFill="1" applyBorder="1" applyAlignment="1">
      <alignment horizontal="left" vertical="top" wrapText="1"/>
    </xf>
    <xf numFmtId="0" fontId="15" fillId="0" borderId="1" xfId="0" applyFont="1" applyFill="1" applyBorder="1" applyAlignment="1">
      <alignment horizontal="left" vertical="top" wrapText="1"/>
    </xf>
    <xf numFmtId="0" fontId="0" fillId="0" borderId="4" xfId="0" applyBorder="1" applyAlignment="1">
      <alignment horizontal="center" vertical="top"/>
    </xf>
    <xf numFmtId="0" fontId="0" fillId="0" borderId="4" xfId="0" applyBorder="1" applyAlignment="1">
      <alignment horizontal="left" vertical="top" wrapText="1"/>
    </xf>
    <xf numFmtId="0" fontId="0" fillId="0" borderId="4" xfId="0" applyBorder="1" applyAlignment="1">
      <alignment horizontal="center" vertical="top" wrapText="1"/>
    </xf>
    <xf numFmtId="0" fontId="7" fillId="0" borderId="1" xfId="0" applyFont="1" applyBorder="1" applyAlignment="1">
      <alignment horizontal="center" vertical="top" wrapText="1"/>
    </xf>
    <xf numFmtId="0" fontId="13" fillId="2" borderId="1" xfId="0" quotePrefix="1" applyFont="1" applyFill="1" applyBorder="1" applyAlignment="1">
      <alignment horizontal="left" vertical="top" wrapText="1"/>
    </xf>
    <xf numFmtId="0" fontId="9" fillId="4" borderId="1" xfId="0" applyFont="1" applyFill="1" applyBorder="1" applyAlignment="1">
      <alignment horizontal="left" vertical="top" wrapText="1"/>
    </xf>
    <xf numFmtId="0" fontId="41" fillId="0" borderId="1" xfId="0" applyFont="1" applyBorder="1" applyAlignment="1">
      <alignment horizontal="center" vertical="top" wrapText="1"/>
    </xf>
    <xf numFmtId="0" fontId="25" fillId="0" borderId="1" xfId="0" applyFont="1" applyBorder="1" applyAlignment="1">
      <alignment horizontal="center" vertical="top" wrapText="1"/>
    </xf>
    <xf numFmtId="0" fontId="5" fillId="0" borderId="4" xfId="0" applyFont="1" applyBorder="1" applyAlignment="1">
      <alignment horizontal="left" vertical="top" wrapText="1"/>
    </xf>
    <xf numFmtId="0" fontId="5" fillId="0" borderId="1" xfId="0" applyFont="1" applyBorder="1" applyAlignment="1">
      <alignment horizontal="center" vertical="top" wrapText="1"/>
    </xf>
    <xf numFmtId="0" fontId="9" fillId="0" borderId="4" xfId="0" applyFont="1" applyBorder="1" applyAlignment="1">
      <alignment horizontal="left" vertical="top" wrapText="1"/>
    </xf>
    <xf numFmtId="0" fontId="5" fillId="0" borderId="4" xfId="0" applyFont="1" applyBorder="1" applyAlignment="1">
      <alignment horizontal="center" vertical="top" wrapText="1"/>
    </xf>
    <xf numFmtId="0" fontId="5" fillId="2" borderId="4" xfId="0" applyFont="1" applyFill="1" applyBorder="1" applyAlignment="1">
      <alignment horizontal="center" vertical="top" wrapText="1"/>
    </xf>
    <xf numFmtId="0" fontId="15" fillId="0" borderId="1" xfId="0" applyFont="1" applyBorder="1" applyAlignment="1">
      <alignment horizontal="center" vertical="top" wrapText="1"/>
    </xf>
    <xf numFmtId="0" fontId="5" fillId="0" borderId="1" xfId="0" applyFont="1" applyFill="1" applyBorder="1" applyAlignment="1">
      <alignment horizontal="left" vertical="top" wrapText="1"/>
    </xf>
    <xf numFmtId="14" fontId="5" fillId="0" borderId="1" xfId="0" applyNumberFormat="1" applyFont="1" applyBorder="1" applyAlignment="1">
      <alignment horizontal="center" vertical="top" wrapText="1"/>
    </xf>
    <xf numFmtId="0" fontId="15" fillId="0" borderId="1" xfId="0" applyFont="1" applyBorder="1" applyAlignment="1">
      <alignment vertical="top" wrapText="1"/>
    </xf>
    <xf numFmtId="0" fontId="5" fillId="0" borderId="4" xfId="0" applyFont="1" applyBorder="1" applyAlignment="1">
      <alignment horizontal="center" vertical="top" wrapText="1"/>
    </xf>
    <xf numFmtId="0" fontId="5" fillId="0" borderId="4"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9" fillId="0" borderId="1" xfId="0" applyFont="1" applyBorder="1" applyAlignment="1">
      <alignment horizontal="left" vertical="top" wrapText="1"/>
    </xf>
    <xf numFmtId="0" fontId="5" fillId="0" borderId="1" xfId="0" applyFont="1" applyFill="1" applyBorder="1" applyAlignment="1">
      <alignment horizontal="center" vertical="top" wrapText="1"/>
    </xf>
    <xf numFmtId="0" fontId="10" fillId="2" borderId="10" xfId="0" applyFont="1" applyFill="1" applyBorder="1" applyAlignment="1">
      <alignment vertical="center" wrapText="1"/>
    </xf>
    <xf numFmtId="0" fontId="9" fillId="2" borderId="4" xfId="0" applyFont="1" applyFill="1" applyBorder="1" applyAlignment="1">
      <alignment vertical="top" wrapText="1"/>
    </xf>
    <xf numFmtId="2" fontId="9" fillId="2" borderId="4" xfId="0" applyNumberFormat="1" applyFont="1" applyFill="1" applyBorder="1" applyAlignment="1">
      <alignment horizontal="center" vertical="top" wrapText="1"/>
    </xf>
    <xf numFmtId="0" fontId="5" fillId="0" borderId="4" xfId="0" applyFont="1" applyBorder="1" applyAlignment="1">
      <alignment horizontal="justify" vertical="top" wrapText="1"/>
    </xf>
    <xf numFmtId="0" fontId="9" fillId="0" borderId="4" xfId="0" applyFont="1" applyBorder="1" applyAlignment="1">
      <alignment vertical="top" wrapText="1"/>
    </xf>
    <xf numFmtId="0" fontId="15" fillId="0" borderId="4" xfId="1" applyFont="1" applyFill="1" applyBorder="1" applyAlignment="1" applyProtection="1">
      <alignment horizontal="left" vertical="top" wrapText="1"/>
    </xf>
    <xf numFmtId="0" fontId="9" fillId="0" borderId="4" xfId="0" applyFont="1" applyBorder="1" applyAlignment="1">
      <alignment horizontal="center" vertical="top"/>
    </xf>
    <xf numFmtId="14" fontId="5" fillId="0" borderId="1" xfId="0" applyNumberFormat="1" applyFont="1" applyFill="1" applyBorder="1" applyAlignment="1">
      <alignment horizontal="center" vertical="top" wrapText="1"/>
    </xf>
    <xf numFmtId="0" fontId="5" fillId="0" borderId="1" xfId="0" applyFont="1" applyFill="1" applyBorder="1" applyAlignment="1" applyProtection="1">
      <alignment horizontal="center" vertical="top" wrapText="1"/>
    </xf>
    <xf numFmtId="14" fontId="15" fillId="0" borderId="1" xfId="1" applyNumberFormat="1" applyFont="1" applyFill="1" applyBorder="1" applyAlignment="1" applyProtection="1">
      <alignment horizontal="center" vertical="top" wrapText="1"/>
    </xf>
    <xf numFmtId="3" fontId="9" fillId="0" borderId="1" xfId="0" applyNumberFormat="1" applyFont="1" applyFill="1" applyBorder="1" applyAlignment="1">
      <alignment horizontal="center" vertical="top" wrapText="1"/>
    </xf>
    <xf numFmtId="0" fontId="9" fillId="0" borderId="1" xfId="0" quotePrefix="1" applyFont="1" applyFill="1" applyBorder="1" applyAlignment="1">
      <alignment horizontal="center" vertical="top" wrapText="1"/>
    </xf>
    <xf numFmtId="0" fontId="9" fillId="0" borderId="4" xfId="0" applyFont="1" applyFill="1" applyBorder="1" applyAlignment="1">
      <alignment horizontal="center" vertical="top" textRotation="90" wrapText="1"/>
    </xf>
    <xf numFmtId="0" fontId="9" fillId="0" borderId="6" xfId="0" applyFont="1" applyFill="1" applyBorder="1" applyAlignment="1">
      <alignment horizontal="center" vertical="top" textRotation="90" wrapText="1"/>
    </xf>
    <xf numFmtId="0" fontId="9" fillId="0" borderId="5" xfId="0" applyFont="1" applyFill="1" applyBorder="1" applyAlignment="1">
      <alignment horizontal="center" vertical="top" textRotation="90" wrapText="1"/>
    </xf>
    <xf numFmtId="0" fontId="5" fillId="0" borderId="0" xfId="0" applyFont="1" applyFill="1" applyAlignment="1">
      <alignment horizontal="center" vertical="top" wrapText="1"/>
    </xf>
    <xf numFmtId="0" fontId="42" fillId="0" borderId="1" xfId="0" applyFont="1" applyFill="1" applyBorder="1" applyAlignment="1">
      <alignment horizontal="center" vertical="top" wrapText="1"/>
    </xf>
    <xf numFmtId="0" fontId="9" fillId="0" borderId="1" xfId="1" applyFont="1" applyBorder="1" applyAlignment="1">
      <alignment horizontal="center" vertical="top" wrapText="1"/>
    </xf>
    <xf numFmtId="49" fontId="9" fillId="0" borderId="1" xfId="1" applyNumberFormat="1" applyFont="1" applyBorder="1" applyAlignment="1">
      <alignment horizontal="center" vertical="top" wrapText="1"/>
    </xf>
    <xf numFmtId="0" fontId="9" fillId="0" borderId="4" xfId="1" applyFont="1" applyBorder="1" applyAlignment="1">
      <alignment horizontal="center" vertical="top" wrapText="1"/>
    </xf>
    <xf numFmtId="0" fontId="9" fillId="0" borderId="1" xfId="1" applyFont="1" applyBorder="1" applyAlignment="1">
      <alignment horizontal="left" vertical="top" wrapText="1"/>
    </xf>
    <xf numFmtId="0" fontId="5" fillId="0" borderId="1" xfId="1" applyFont="1" applyBorder="1" applyAlignment="1">
      <alignment horizontal="center" vertical="top" wrapText="1"/>
    </xf>
    <xf numFmtId="49" fontId="9" fillId="0" borderId="1" xfId="1" applyNumberFormat="1" applyFont="1" applyBorder="1" applyAlignment="1">
      <alignment horizontal="left" vertical="top" wrapText="1"/>
    </xf>
    <xf numFmtId="0" fontId="43" fillId="0" borderId="1" xfId="0" applyFont="1" applyBorder="1" applyAlignment="1">
      <alignment horizontal="center" vertical="center"/>
    </xf>
    <xf numFmtId="0" fontId="38" fillId="0" borderId="1" xfId="1" applyFont="1" applyBorder="1" applyAlignment="1">
      <alignment horizontal="center" vertical="center" wrapText="1"/>
    </xf>
    <xf numFmtId="0" fontId="5" fillId="0" borderId="1" xfId="1" applyFont="1" applyBorder="1" applyAlignment="1">
      <alignment horizontal="left" vertical="top" wrapText="1"/>
    </xf>
    <xf numFmtId="49" fontId="5" fillId="0" borderId="1" xfId="1" applyNumberFormat="1" applyFont="1" applyBorder="1" applyAlignment="1">
      <alignment horizontal="center" vertical="top" wrapText="1"/>
    </xf>
    <xf numFmtId="49" fontId="5" fillId="0" borderId="1" xfId="0" applyNumberFormat="1" applyFont="1" applyBorder="1" applyAlignment="1">
      <alignment horizontal="center" vertical="top" wrapText="1"/>
    </xf>
    <xf numFmtId="165" fontId="5" fillId="0" borderId="1" xfId="0" applyNumberFormat="1"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Fill="1" applyBorder="1" applyAlignment="1">
      <alignment horizontal="center" vertical="top" wrapText="1"/>
    </xf>
    <xf numFmtId="0" fontId="5" fillId="0" borderId="1" xfId="0" applyFont="1" applyBorder="1" applyAlignment="1">
      <alignment horizontal="center" vertical="top"/>
    </xf>
    <xf numFmtId="0" fontId="5" fillId="0" borderId="4" xfId="0" applyFont="1" applyBorder="1" applyAlignment="1">
      <alignment horizontal="center" vertical="top" wrapText="1"/>
    </xf>
    <xf numFmtId="0" fontId="15" fillId="0" borderId="1" xfId="0" applyFont="1" applyBorder="1" applyAlignment="1">
      <alignment horizontal="left" vertical="top" wrapText="1"/>
    </xf>
    <xf numFmtId="0" fontId="5" fillId="2" borderId="1" xfId="0" applyFont="1" applyFill="1" applyBorder="1" applyAlignment="1">
      <alignment horizontal="center" vertical="top" wrapText="1"/>
    </xf>
    <xf numFmtId="0" fontId="13" fillId="2" borderId="1" xfId="0" applyFont="1" applyFill="1" applyBorder="1" applyAlignment="1" applyProtection="1">
      <alignment horizontal="left" vertical="top" wrapText="1"/>
    </xf>
    <xf numFmtId="0" fontId="6" fillId="2" borderId="1" xfId="0" applyFont="1" applyFill="1" applyBorder="1" applyAlignment="1">
      <alignment horizontal="center" vertical="top" wrapText="1"/>
    </xf>
    <xf numFmtId="0" fontId="9" fillId="2" borderId="1" xfId="0" applyFont="1" applyFill="1" applyBorder="1" applyAlignment="1">
      <alignment vertical="top" wrapText="1"/>
    </xf>
    <xf numFmtId="0" fontId="5" fillId="0" borderId="1" xfId="0" applyFont="1" applyBorder="1" applyAlignment="1">
      <alignment vertical="top" wrapText="1"/>
    </xf>
    <xf numFmtId="0" fontId="9" fillId="0" borderId="4" xfId="0" applyFont="1" applyBorder="1" applyAlignment="1">
      <alignment horizontal="left" vertical="top" wrapText="1"/>
    </xf>
    <xf numFmtId="0" fontId="9" fillId="0" borderId="1" xfId="0" applyFont="1" applyBorder="1" applyAlignment="1">
      <alignment horizontal="center" vertical="top"/>
    </xf>
    <xf numFmtId="0" fontId="5" fillId="0" borderId="1" xfId="0" applyFont="1" applyBorder="1" applyAlignment="1">
      <alignment horizontal="center" vertical="center"/>
    </xf>
    <xf numFmtId="0" fontId="9" fillId="0" borderId="1" xfId="0" applyFont="1" applyBorder="1" applyAlignment="1">
      <alignment horizontal="left" vertical="top" wrapText="1"/>
    </xf>
    <xf numFmtId="0" fontId="5" fillId="2" borderId="4" xfId="0" applyFont="1" applyFill="1" applyBorder="1" applyAlignment="1">
      <alignment horizontal="center" vertical="top" wrapText="1"/>
    </xf>
    <xf numFmtId="0" fontId="9" fillId="0" borderId="1" xfId="0" applyFont="1" applyBorder="1" applyAlignment="1">
      <alignment horizontal="center" vertical="top" wrapText="1"/>
    </xf>
    <xf numFmtId="0" fontId="6" fillId="2" borderId="1" xfId="0" applyFont="1" applyFill="1" applyBorder="1" applyAlignment="1">
      <alignment horizontal="center" vertical="top"/>
    </xf>
    <xf numFmtId="0" fontId="5" fillId="2" borderId="1" xfId="0" applyFont="1" applyFill="1" applyBorder="1" applyAlignment="1">
      <alignment horizontal="center" vertical="top"/>
    </xf>
    <xf numFmtId="0" fontId="5" fillId="0" borderId="1" xfId="0" applyFont="1" applyBorder="1" applyAlignment="1">
      <alignment horizontal="center"/>
    </xf>
    <xf numFmtId="0" fontId="5" fillId="2" borderId="1" xfId="0" applyFont="1" applyFill="1" applyBorder="1" applyAlignment="1">
      <alignment horizontal="center" vertical="center"/>
    </xf>
    <xf numFmtId="0" fontId="0" fillId="0" borderId="1" xfId="0" applyBorder="1" applyAlignment="1">
      <alignment horizontal="center" vertical="center" wrapText="1"/>
    </xf>
    <xf numFmtId="0" fontId="0" fillId="0" borderId="1" xfId="0" applyFont="1" applyBorder="1" applyAlignment="1">
      <alignment horizontal="center" vertical="center" wrapText="1"/>
    </xf>
    <xf numFmtId="0" fontId="5" fillId="2" borderId="1" xfId="0" applyFont="1" applyFill="1" applyBorder="1" applyAlignment="1">
      <alignment horizontal="left" vertical="top" wrapText="1"/>
    </xf>
    <xf numFmtId="0" fontId="14" fillId="0" borderId="1" xfId="0" applyFont="1" applyBorder="1"/>
    <xf numFmtId="0" fontId="2" fillId="2" borderId="1" xfId="0" applyFont="1" applyFill="1" applyBorder="1" applyAlignment="1">
      <alignment vertical="top"/>
    </xf>
    <xf numFmtId="0" fontId="2" fillId="2" borderId="1" xfId="0" applyFont="1" applyFill="1" applyBorder="1" applyAlignment="1">
      <alignment horizontal="center" vertical="top"/>
    </xf>
    <xf numFmtId="0" fontId="2" fillId="2" borderId="1" xfId="0" applyFont="1" applyFill="1" applyBorder="1" applyAlignment="1">
      <alignment horizontal="left" vertical="top" wrapText="1"/>
    </xf>
    <xf numFmtId="0" fontId="36" fillId="0" borderId="1" xfId="0" applyFont="1" applyBorder="1" applyAlignment="1">
      <alignment vertical="top" wrapText="1"/>
    </xf>
    <xf numFmtId="0" fontId="5" fillId="0" borderId="0" xfId="0" applyFont="1" applyBorder="1" applyAlignment="1">
      <alignment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5" fillId="0" borderId="4" xfId="0" applyFont="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Border="1" applyAlignment="1">
      <alignment horizontal="center" vertical="top"/>
    </xf>
    <xf numFmtId="0" fontId="5" fillId="0" borderId="4" xfId="0" applyFont="1" applyBorder="1" applyAlignment="1">
      <alignment horizontal="center" vertical="top" wrapText="1"/>
    </xf>
    <xf numFmtId="0" fontId="15" fillId="0" borderId="1" xfId="0" applyFont="1" applyBorder="1" applyAlignment="1">
      <alignment horizontal="left" vertical="top" wrapText="1"/>
    </xf>
    <xf numFmtId="0" fontId="13" fillId="0" borderId="1" xfId="0" applyFont="1" applyFill="1" applyBorder="1" applyAlignment="1" applyProtection="1">
      <alignment horizontal="left" vertical="top" wrapText="1"/>
    </xf>
    <xf numFmtId="0" fontId="5" fillId="0" borderId="1" xfId="0" applyFont="1" applyBorder="1" applyAlignment="1">
      <alignment horizontal="center" vertical="top" wrapText="1"/>
    </xf>
    <xf numFmtId="0" fontId="5" fillId="0" borderId="1" xfId="0" applyFont="1" applyFill="1" applyBorder="1" applyAlignment="1">
      <alignment horizontal="center" vertical="top" wrapText="1"/>
    </xf>
    <xf numFmtId="0" fontId="13" fillId="0"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5" fillId="0" borderId="1" xfId="0" applyFont="1" applyFill="1" applyBorder="1" applyAlignment="1">
      <alignment horizontal="center" vertical="top" wrapText="1"/>
    </xf>
    <xf numFmtId="0" fontId="5" fillId="0" borderId="1" xfId="0" applyFont="1" applyBorder="1" applyAlignment="1">
      <alignment horizontal="center" vertical="top"/>
    </xf>
    <xf numFmtId="0" fontId="15" fillId="0" borderId="1" xfId="0" applyFont="1" applyBorder="1" applyAlignment="1">
      <alignment horizontal="left" vertical="top" wrapText="1"/>
    </xf>
    <xf numFmtId="0" fontId="9" fillId="0" borderId="1" xfId="0" applyFont="1" applyBorder="1" applyAlignment="1">
      <alignment horizontal="center" vertical="top" wrapText="1"/>
    </xf>
    <xf numFmtId="0" fontId="15" fillId="0" borderId="1" xfId="1" applyFont="1" applyFill="1" applyBorder="1" applyAlignment="1" applyProtection="1">
      <alignment horizontal="center" vertical="top" wrapText="1"/>
    </xf>
    <xf numFmtId="0" fontId="5" fillId="0" borderId="1" xfId="0" applyFont="1" applyBorder="1" applyAlignment="1">
      <alignment horizontal="center" wrapText="1"/>
    </xf>
    <xf numFmtId="0" fontId="5"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1" xfId="0" applyFont="1" applyFill="1" applyBorder="1" applyAlignment="1">
      <alignment horizontal="left" vertical="top" wrapText="1"/>
    </xf>
    <xf numFmtId="0" fontId="5" fillId="0" borderId="2" xfId="0" applyFont="1" applyBorder="1" applyAlignment="1">
      <alignment horizontal="left" vertical="top" wrapText="1"/>
    </xf>
    <xf numFmtId="0" fontId="5" fillId="0" borderId="12" xfId="0" applyFont="1" applyBorder="1" applyAlignment="1">
      <alignment horizontal="left" vertical="top" wrapText="1"/>
    </xf>
    <xf numFmtId="0" fontId="5" fillId="0" borderId="3" xfId="0" applyFont="1" applyBorder="1" applyAlignment="1">
      <alignment horizontal="left" vertical="top" wrapText="1"/>
    </xf>
    <xf numFmtId="0" fontId="0" fillId="0" borderId="1" xfId="0" applyBorder="1" applyAlignment="1">
      <alignment horizontal="center" vertical="top" wrapText="1"/>
    </xf>
    <xf numFmtId="0" fontId="10" fillId="2" borderId="2" xfId="0" applyFont="1" applyFill="1" applyBorder="1" applyAlignment="1">
      <alignment horizontal="left" vertical="center" wrapText="1"/>
    </xf>
    <xf numFmtId="0" fontId="10" fillId="2" borderId="12"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3" borderId="12" xfId="0" applyFont="1" applyFill="1" applyBorder="1" applyAlignment="1">
      <alignment horizontal="left" vertical="center" wrapText="1"/>
    </xf>
    <xf numFmtId="0" fontId="5" fillId="0" borderId="4" xfId="0" applyFont="1" applyBorder="1" applyAlignment="1">
      <alignment horizontal="left" vertical="top" wrapText="1"/>
    </xf>
    <xf numFmtId="0" fontId="5" fillId="0" borderId="6" xfId="0" applyFont="1" applyBorder="1" applyAlignment="1">
      <alignment horizontal="left" vertical="top" wrapText="1"/>
    </xf>
    <xf numFmtId="0" fontId="5" fillId="0" borderId="5" xfId="0" applyFont="1" applyBorder="1" applyAlignment="1">
      <alignment horizontal="left" vertical="top" wrapText="1"/>
    </xf>
    <xf numFmtId="0" fontId="10" fillId="2" borderId="5" xfId="0" applyFont="1" applyFill="1" applyBorder="1" applyAlignment="1">
      <alignment horizontal="left" vertical="center" wrapText="1"/>
    </xf>
    <xf numFmtId="0" fontId="5" fillId="2" borderId="1" xfId="0" applyFont="1" applyFill="1" applyBorder="1" applyAlignment="1">
      <alignment horizontal="center" vertical="top" wrapText="1"/>
    </xf>
    <xf numFmtId="0" fontId="5" fillId="0" borderId="2" xfId="0" applyFont="1" applyBorder="1" applyAlignment="1">
      <alignment horizontal="center" vertical="top" wrapText="1"/>
    </xf>
    <xf numFmtId="0" fontId="5" fillId="0" borderId="12" xfId="0" applyFont="1" applyBorder="1" applyAlignment="1">
      <alignment horizontal="center" vertical="top" wrapText="1"/>
    </xf>
    <xf numFmtId="0" fontId="10" fillId="2" borderId="1" xfId="0" applyFont="1" applyFill="1" applyBorder="1" applyAlignment="1">
      <alignment horizontal="left" vertical="center" wrapText="1"/>
    </xf>
    <xf numFmtId="0" fontId="5" fillId="0" borderId="1" xfId="0" applyFont="1" applyBorder="1" applyAlignment="1">
      <alignment horizontal="center" vertical="top" wrapText="1"/>
    </xf>
    <xf numFmtId="0" fontId="10" fillId="2" borderId="4"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9" fillId="0" borderId="1" xfId="0" applyFont="1" applyBorder="1" applyAlignment="1">
      <alignment horizontal="center" vertical="top"/>
    </xf>
    <xf numFmtId="0" fontId="0" fillId="0" borderId="4" xfId="0" applyBorder="1" applyAlignment="1">
      <alignment horizontal="center" vertical="top" wrapText="1"/>
    </xf>
    <xf numFmtId="0" fontId="0" fillId="0" borderId="6" xfId="0" applyBorder="1" applyAlignment="1">
      <alignment horizontal="center" vertical="top" wrapText="1"/>
    </xf>
    <xf numFmtId="0" fontId="0" fillId="0" borderId="5" xfId="0" applyBorder="1" applyAlignment="1">
      <alignment horizontal="center" vertical="top" wrapText="1"/>
    </xf>
    <xf numFmtId="0" fontId="5" fillId="0" borderId="2"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2" xfId="0" applyFont="1" applyBorder="1" applyAlignment="1">
      <alignment horizontal="center" vertical="center"/>
    </xf>
    <xf numFmtId="0" fontId="5" fillId="2" borderId="2" xfId="0" applyFont="1" applyFill="1" applyBorder="1" applyAlignment="1">
      <alignment horizontal="center" vertical="top"/>
    </xf>
    <xf numFmtId="0" fontId="5" fillId="2" borderId="12" xfId="0" applyFont="1" applyFill="1" applyBorder="1" applyAlignment="1">
      <alignment horizontal="center" vertical="top"/>
    </xf>
    <xf numFmtId="0" fontId="5" fillId="2" borderId="3" xfId="0" applyFont="1" applyFill="1" applyBorder="1" applyAlignment="1">
      <alignment horizontal="center" vertical="top"/>
    </xf>
    <xf numFmtId="0" fontId="0" fillId="0" borderId="2" xfId="0" applyBorder="1" applyAlignment="1">
      <alignment horizontal="center" vertical="center"/>
    </xf>
    <xf numFmtId="0" fontId="0" fillId="0" borderId="12" xfId="0" applyBorder="1" applyAlignment="1">
      <alignment horizontal="center" vertical="center"/>
    </xf>
    <xf numFmtId="0" fontId="0" fillId="0" borderId="3" xfId="0" applyBorder="1" applyAlignment="1">
      <alignment horizontal="center" vertical="center"/>
    </xf>
    <xf numFmtId="0" fontId="10" fillId="2" borderId="8" xfId="0" applyFont="1" applyFill="1" applyBorder="1" applyAlignment="1">
      <alignment horizontal="left" vertical="center" wrapText="1"/>
    </xf>
    <xf numFmtId="0" fontId="10" fillId="2" borderId="9" xfId="0" applyFont="1" applyFill="1" applyBorder="1" applyAlignment="1">
      <alignment horizontal="left" vertical="center" wrapText="1"/>
    </xf>
    <xf numFmtId="0" fontId="10" fillId="2" borderId="13" xfId="0" applyFont="1" applyFill="1" applyBorder="1" applyAlignment="1">
      <alignment horizontal="left" vertical="center" wrapText="1"/>
    </xf>
    <xf numFmtId="0" fontId="9" fillId="0" borderId="1" xfId="0" applyFont="1" applyBorder="1" applyAlignment="1">
      <alignment horizontal="center"/>
    </xf>
    <xf numFmtId="0" fontId="10" fillId="2" borderId="10"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5" fillId="0" borderId="2" xfId="0" applyFont="1" applyBorder="1" applyAlignment="1">
      <alignment horizontal="center" vertical="top"/>
    </xf>
    <xf numFmtId="0" fontId="5" fillId="0" borderId="12" xfId="0" applyFont="1" applyBorder="1" applyAlignment="1">
      <alignment horizontal="center" vertical="top"/>
    </xf>
    <xf numFmtId="0" fontId="5" fillId="0" borderId="3" xfId="0" applyFont="1" applyBorder="1" applyAlignment="1">
      <alignment horizontal="center" vertical="top"/>
    </xf>
    <xf numFmtId="0" fontId="5" fillId="0" borderId="1" xfId="0" applyFont="1" applyBorder="1" applyAlignment="1">
      <alignment horizontal="left" vertical="top" wrapText="1"/>
    </xf>
    <xf numFmtId="0" fontId="9" fillId="0" borderId="1" xfId="0" applyFont="1" applyBorder="1" applyAlignment="1">
      <alignment horizontal="left" vertical="top" wrapText="1"/>
    </xf>
    <xf numFmtId="0" fontId="5" fillId="0" borderId="8" xfId="0" applyFont="1" applyBorder="1" applyAlignment="1">
      <alignment horizontal="center" vertical="top" wrapText="1"/>
    </xf>
    <xf numFmtId="0" fontId="5" fillId="0" borderId="9" xfId="0" applyFont="1" applyBorder="1" applyAlignment="1">
      <alignment horizontal="center" vertical="top" wrapText="1"/>
    </xf>
    <xf numFmtId="0" fontId="5" fillId="0" borderId="13" xfId="0" applyFont="1" applyBorder="1" applyAlignment="1">
      <alignment horizontal="center" vertical="top" wrapText="1"/>
    </xf>
    <xf numFmtId="0" fontId="15" fillId="0" borderId="1" xfId="1" applyFont="1" applyFill="1" applyBorder="1" applyAlignment="1" applyProtection="1">
      <alignment vertical="top" wrapText="1"/>
    </xf>
    <xf numFmtId="0" fontId="5" fillId="0" borderId="1" xfId="0" applyFont="1" applyBorder="1" applyAlignment="1">
      <alignment horizontal="center" vertical="center"/>
    </xf>
    <xf numFmtId="0" fontId="5" fillId="2" borderId="2" xfId="0" applyFont="1" applyFill="1" applyBorder="1" applyAlignment="1">
      <alignment horizontal="center" vertical="top" wrapText="1"/>
    </xf>
    <xf numFmtId="0" fontId="5" fillId="2" borderId="12" xfId="0" applyFont="1" applyFill="1" applyBorder="1" applyAlignment="1">
      <alignment horizontal="center" vertical="top" wrapText="1"/>
    </xf>
    <xf numFmtId="0" fontId="5" fillId="2" borderId="3" xfId="0" applyFont="1" applyFill="1" applyBorder="1" applyAlignment="1">
      <alignment horizontal="center" vertical="top" wrapText="1"/>
    </xf>
    <xf numFmtId="0" fontId="9" fillId="0" borderId="2" xfId="0" applyFont="1" applyBorder="1" applyAlignment="1">
      <alignment horizontal="center" vertical="top"/>
    </xf>
    <xf numFmtId="0" fontId="9" fillId="0" borderId="12" xfId="0" applyFont="1" applyBorder="1" applyAlignment="1">
      <alignment horizontal="center" vertical="top"/>
    </xf>
    <xf numFmtId="0" fontId="5" fillId="0" borderId="4" xfId="0" applyFont="1" applyBorder="1" applyAlignment="1">
      <alignment vertical="top" wrapText="1"/>
    </xf>
    <xf numFmtId="0" fontId="5" fillId="0" borderId="6" xfId="0" applyFont="1" applyBorder="1" applyAlignment="1">
      <alignment vertical="top" wrapText="1"/>
    </xf>
    <xf numFmtId="0" fontId="5" fillId="0" borderId="3" xfId="0" applyFont="1" applyBorder="1" applyAlignment="1">
      <alignment horizontal="center" vertical="center"/>
    </xf>
    <xf numFmtId="0" fontId="10" fillId="2" borderId="3" xfId="0" applyFont="1" applyFill="1" applyBorder="1" applyAlignment="1">
      <alignment horizontal="left" vertical="center" wrapText="1"/>
    </xf>
    <xf numFmtId="0" fontId="5" fillId="0" borderId="2" xfId="0" applyFont="1" applyBorder="1" applyAlignment="1">
      <alignment horizontal="center"/>
    </xf>
    <xf numFmtId="0" fontId="5" fillId="0" borderId="12" xfId="0" applyFont="1" applyBorder="1" applyAlignment="1">
      <alignment horizontal="center"/>
    </xf>
    <xf numFmtId="0" fontId="0" fillId="0" borderId="12" xfId="0" applyBorder="1"/>
    <xf numFmtId="0" fontId="0" fillId="0" borderId="3" xfId="0" applyBorder="1"/>
    <xf numFmtId="0" fontId="9" fillId="0" borderId="1" xfId="0" applyFont="1" applyBorder="1" applyAlignment="1">
      <alignment horizontal="center" vertical="center"/>
    </xf>
    <xf numFmtId="0" fontId="15" fillId="0" borderId="2" xfId="0" applyFont="1" applyBorder="1" applyAlignment="1">
      <alignment horizontal="left" vertical="top"/>
    </xf>
    <xf numFmtId="0" fontId="15" fillId="0" borderId="12" xfId="0" applyFont="1" applyBorder="1" applyAlignment="1">
      <alignment horizontal="left" vertical="top"/>
    </xf>
    <xf numFmtId="0" fontId="15" fillId="0" borderId="3" xfId="0" applyFont="1" applyBorder="1" applyAlignment="1">
      <alignment horizontal="left" vertical="top"/>
    </xf>
    <xf numFmtId="0" fontId="10" fillId="0" borderId="2"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8" fillId="3" borderId="2" xfId="0" applyFont="1" applyFill="1" applyBorder="1" applyAlignment="1">
      <alignment horizontal="left" vertical="center" wrapText="1"/>
    </xf>
    <xf numFmtId="0" fontId="18" fillId="3" borderId="12" xfId="0" applyFont="1" applyFill="1" applyBorder="1" applyAlignment="1">
      <alignment horizontal="left" vertical="center" wrapText="1"/>
    </xf>
    <xf numFmtId="0" fontId="6" fillId="0" borderId="1" xfId="0" applyFont="1" applyBorder="1" applyAlignment="1">
      <alignment horizontal="center" vertical="top" wrapText="1"/>
    </xf>
    <xf numFmtId="0" fontId="9" fillId="2" borderId="1" xfId="0" applyFont="1" applyFill="1" applyBorder="1" applyAlignment="1">
      <alignment vertical="top" wrapText="1"/>
    </xf>
    <xf numFmtId="0" fontId="10" fillId="0" borderId="1" xfId="0" applyFont="1" applyFill="1" applyBorder="1" applyAlignment="1">
      <alignment horizontal="left" vertical="center" wrapText="1"/>
    </xf>
    <xf numFmtId="0" fontId="5" fillId="0" borderId="2" xfId="0" applyFont="1" applyBorder="1" applyAlignment="1">
      <alignment horizontal="center" vertical="center"/>
    </xf>
    <xf numFmtId="0" fontId="5" fillId="0" borderId="1" xfId="0" applyFont="1" applyBorder="1" applyAlignment="1">
      <alignment vertical="top" wrapText="1"/>
    </xf>
    <xf numFmtId="0" fontId="9" fillId="4" borderId="1" xfId="0" applyFont="1" applyFill="1" applyBorder="1" applyAlignment="1">
      <alignment vertical="top" wrapText="1"/>
    </xf>
    <xf numFmtId="0" fontId="9" fillId="0" borderId="2" xfId="0" applyFont="1" applyFill="1" applyBorder="1" applyAlignment="1">
      <alignment horizontal="center" vertical="top"/>
    </xf>
    <xf numFmtId="0" fontId="9" fillId="0" borderId="12" xfId="0" applyFont="1" applyFill="1" applyBorder="1" applyAlignment="1">
      <alignment horizontal="center" vertical="top"/>
    </xf>
    <xf numFmtId="0" fontId="9" fillId="0" borderId="3" xfId="0" applyFont="1" applyFill="1" applyBorder="1" applyAlignment="1">
      <alignment horizontal="center" vertical="top"/>
    </xf>
    <xf numFmtId="0" fontId="10" fillId="0" borderId="11"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9" fillId="0" borderId="4" xfId="0" applyFont="1" applyBorder="1" applyAlignment="1">
      <alignment horizontal="left" vertical="top" wrapText="1"/>
    </xf>
    <xf numFmtId="0" fontId="9" fillId="0" borderId="6" xfId="0" applyFont="1" applyBorder="1" applyAlignment="1">
      <alignment horizontal="left" vertical="top" wrapText="1"/>
    </xf>
    <xf numFmtId="0" fontId="9" fillId="0" borderId="5" xfId="0" applyFont="1" applyBorder="1" applyAlignment="1">
      <alignment horizontal="left" vertical="top" wrapText="1"/>
    </xf>
    <xf numFmtId="0" fontId="5" fillId="2" borderId="4"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5" xfId="0" applyFont="1" applyFill="1" applyBorder="1" applyAlignment="1">
      <alignment horizontal="left" vertical="top" wrapText="1"/>
    </xf>
    <xf numFmtId="0" fontId="0" fillId="2" borderId="2" xfId="0" applyFill="1" applyBorder="1" applyAlignment="1">
      <alignment horizontal="center" vertical="top" wrapText="1"/>
    </xf>
    <xf numFmtId="0" fontId="0" fillId="2" borderId="12" xfId="0" applyFill="1" applyBorder="1" applyAlignment="1">
      <alignment horizontal="center" vertical="top" wrapText="1"/>
    </xf>
    <xf numFmtId="0" fontId="0" fillId="2" borderId="3" xfId="0" applyFill="1" applyBorder="1" applyAlignment="1">
      <alignment horizontal="center" vertical="top" wrapText="1"/>
    </xf>
    <xf numFmtId="0" fontId="6" fillId="2" borderId="1" xfId="0" applyFont="1" applyFill="1" applyBorder="1" applyAlignment="1">
      <alignment horizontal="center" vertical="top" wrapText="1"/>
    </xf>
    <xf numFmtId="0" fontId="0" fillId="0" borderId="1" xfId="0" applyNumberFormat="1" applyBorder="1" applyAlignment="1">
      <alignment horizontal="justify" vertical="top"/>
    </xf>
    <xf numFmtId="0" fontId="0" fillId="0" borderId="12" xfId="0" applyBorder="1" applyAlignment="1">
      <alignment horizontal="center" vertical="center" wrapText="1"/>
    </xf>
    <xf numFmtId="0" fontId="0" fillId="0" borderId="3" xfId="0" applyBorder="1" applyAlignment="1">
      <alignment horizontal="center" vertical="center" wrapText="1"/>
    </xf>
    <xf numFmtId="0" fontId="0" fillId="0" borderId="10" xfId="0" applyFill="1" applyBorder="1" applyAlignment="1">
      <alignment horizontal="center" vertical="top" wrapText="1"/>
    </xf>
    <xf numFmtId="0" fontId="0" fillId="0" borderId="7" xfId="0" applyFill="1" applyBorder="1" applyAlignment="1">
      <alignment horizontal="center" vertical="top" wrapText="1"/>
    </xf>
    <xf numFmtId="0" fontId="12" fillId="0" borderId="1" xfId="0" applyFont="1" applyBorder="1" applyAlignment="1">
      <alignment horizontal="center" vertical="center" wrapText="1"/>
    </xf>
    <xf numFmtId="0" fontId="11" fillId="3" borderId="1"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13" fillId="2" borderId="1" xfId="0" applyFont="1" applyFill="1" applyBorder="1" applyAlignment="1" applyProtection="1">
      <alignment horizontal="left" vertical="top" wrapText="1"/>
    </xf>
    <xf numFmtId="0" fontId="13" fillId="4" borderId="4" xfId="0" applyFont="1" applyFill="1" applyBorder="1" applyAlignment="1" applyProtection="1">
      <alignment horizontal="left" vertical="top" wrapText="1"/>
    </xf>
    <xf numFmtId="0" fontId="13" fillId="4" borderId="6" xfId="0" applyFont="1" applyFill="1" applyBorder="1" applyAlignment="1" applyProtection="1">
      <alignment horizontal="left" vertical="top" wrapText="1"/>
    </xf>
    <xf numFmtId="0" fontId="13" fillId="4" borderId="5" xfId="0" applyFont="1" applyFill="1" applyBorder="1" applyAlignment="1" applyProtection="1">
      <alignment horizontal="left" vertical="top" wrapText="1"/>
    </xf>
    <xf numFmtId="0" fontId="5" fillId="0" borderId="1" xfId="0" applyNumberFormat="1" applyFont="1" applyBorder="1" applyAlignment="1">
      <alignment horizontal="left" vertical="top" wrapText="1"/>
    </xf>
    <xf numFmtId="0" fontId="5" fillId="0" borderId="1" xfId="0" applyNumberFormat="1" applyFont="1" applyBorder="1" applyAlignment="1">
      <alignment horizontal="left" vertical="top"/>
    </xf>
    <xf numFmtId="0" fontId="13" fillId="2" borderId="1" xfId="0" applyNumberFormat="1" applyFont="1" applyFill="1" applyBorder="1" applyAlignment="1" applyProtection="1">
      <alignment horizontal="left" vertical="top" wrapText="1"/>
    </xf>
    <xf numFmtId="0" fontId="15" fillId="0" borderId="1" xfId="0" applyFont="1" applyBorder="1" applyAlignment="1">
      <alignment horizontal="left" vertical="top" wrapText="1"/>
    </xf>
    <xf numFmtId="0" fontId="8" fillId="0" borderId="1" xfId="0" applyFont="1" applyBorder="1" applyAlignment="1">
      <alignment horizontal="left" vertical="top"/>
    </xf>
    <xf numFmtId="0" fontId="31" fillId="0" borderId="1" xfId="0" applyFont="1" applyBorder="1" applyAlignment="1">
      <alignment horizontal="center" vertical="center"/>
    </xf>
    <xf numFmtId="0" fontId="5" fillId="0" borderId="8" xfId="0" applyFont="1" applyBorder="1" applyAlignment="1">
      <alignment horizontal="center"/>
    </xf>
    <xf numFmtId="0" fontId="5" fillId="0" borderId="9" xfId="0" applyFont="1" applyBorder="1" applyAlignment="1">
      <alignment horizontal="center"/>
    </xf>
    <xf numFmtId="0" fontId="5" fillId="0" borderId="2" xfId="0" applyFont="1" applyFill="1" applyBorder="1" applyAlignment="1">
      <alignment horizontal="left" vertical="top" wrapText="1"/>
    </xf>
    <xf numFmtId="0" fontId="5" fillId="0" borderId="12" xfId="0" applyFont="1" applyFill="1" applyBorder="1" applyAlignment="1">
      <alignment horizontal="left" vertical="top" wrapText="1"/>
    </xf>
    <xf numFmtId="0" fontId="5" fillId="0" borderId="3" xfId="0" applyFont="1" applyFill="1" applyBorder="1" applyAlignment="1">
      <alignment horizontal="left" vertical="top" wrapText="1"/>
    </xf>
    <xf numFmtId="0" fontId="15" fillId="0" borderId="4" xfId="0" applyFont="1" applyBorder="1" applyAlignment="1">
      <alignment horizontal="left" vertical="top" wrapText="1"/>
    </xf>
    <xf numFmtId="0" fontId="15" fillId="0" borderId="6" xfId="0" applyFont="1" applyBorder="1" applyAlignment="1">
      <alignment horizontal="left" vertical="top" wrapText="1"/>
    </xf>
    <xf numFmtId="0" fontId="15" fillId="0" borderId="5" xfId="0" applyFont="1" applyBorder="1" applyAlignment="1">
      <alignment horizontal="left" vertical="top" wrapText="1"/>
    </xf>
    <xf numFmtId="0" fontId="15" fillId="0" borderId="1" xfId="0" applyFont="1" applyBorder="1" applyAlignment="1">
      <alignment horizontal="center" vertical="center"/>
    </xf>
    <xf numFmtId="0" fontId="10" fillId="0"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3" xfId="0" applyFill="1" applyBorder="1" applyAlignment="1">
      <alignment horizontal="center" vertical="center" wrapText="1"/>
    </xf>
    <xf numFmtId="0" fontId="15" fillId="0" borderId="2" xfId="0" applyFont="1" applyBorder="1" applyAlignment="1">
      <alignment horizontal="center" vertical="top"/>
    </xf>
    <xf numFmtId="0" fontId="15" fillId="0" borderId="12" xfId="0" applyFont="1" applyBorder="1" applyAlignment="1">
      <alignment horizontal="center" vertical="top"/>
    </xf>
    <xf numFmtId="0" fontId="15" fillId="0" borderId="2" xfId="0" applyFont="1" applyBorder="1" applyAlignment="1">
      <alignment horizontal="center" vertical="center"/>
    </xf>
    <xf numFmtId="0" fontId="15" fillId="0" borderId="12" xfId="0" applyFont="1" applyBorder="1" applyAlignment="1">
      <alignment horizontal="center" vertical="center"/>
    </xf>
    <xf numFmtId="0" fontId="10" fillId="2" borderId="1" xfId="0" applyFont="1" applyFill="1" applyBorder="1" applyAlignment="1">
      <alignment horizontal="center" vertical="center" wrapText="1"/>
    </xf>
    <xf numFmtId="0" fontId="15" fillId="0" borderId="4" xfId="0" applyFont="1" applyBorder="1" applyAlignment="1">
      <alignment horizontal="center" vertical="top" wrapText="1"/>
    </xf>
    <xf numFmtId="0" fontId="15" fillId="0" borderId="6" xfId="0" applyFont="1" applyBorder="1" applyAlignment="1">
      <alignment horizontal="center" vertical="top" wrapText="1"/>
    </xf>
    <xf numFmtId="0" fontId="15" fillId="0" borderId="5" xfId="0" applyFont="1" applyBorder="1" applyAlignment="1">
      <alignment horizontal="center" vertical="top" wrapText="1"/>
    </xf>
    <xf numFmtId="0" fontId="5" fillId="0" borderId="1" xfId="0" applyFont="1" applyBorder="1" applyAlignment="1">
      <alignment horizontal="center" vertical="top"/>
    </xf>
    <xf numFmtId="0" fontId="9" fillId="0" borderId="10" xfId="0" applyFont="1" applyBorder="1" applyAlignment="1">
      <alignment horizontal="left" vertical="top"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5" fillId="0" borderId="4" xfId="0" applyFont="1" applyBorder="1" applyAlignment="1">
      <alignment horizontal="center" vertical="top" wrapText="1"/>
    </xf>
    <xf numFmtId="0" fontId="5" fillId="0" borderId="6" xfId="0" applyFont="1" applyBorder="1" applyAlignment="1">
      <alignment horizontal="center" vertical="top" wrapText="1"/>
    </xf>
    <xf numFmtId="0" fontId="5" fillId="0" borderId="5" xfId="0" applyFont="1" applyBorder="1" applyAlignment="1">
      <alignment horizontal="center" vertical="top" wrapText="1"/>
    </xf>
    <xf numFmtId="0" fontId="0" fillId="0" borderId="2" xfId="0" applyBorder="1" applyAlignment="1">
      <alignment horizontal="center" vertical="center" wrapText="1"/>
    </xf>
    <xf numFmtId="0" fontId="9" fillId="0" borderId="8" xfId="0" applyFont="1" applyBorder="1" applyAlignment="1">
      <alignment horizontal="center" vertical="top"/>
    </xf>
    <xf numFmtId="0" fontId="9" fillId="0" borderId="9" xfId="0" applyFont="1" applyBorder="1" applyAlignment="1">
      <alignment horizontal="center" vertical="top"/>
    </xf>
    <xf numFmtId="0" fontId="5" fillId="0" borderId="10" xfId="0" applyFont="1" applyBorder="1" applyAlignment="1">
      <alignment horizontal="center"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left" vertical="top" wrapText="1"/>
    </xf>
    <xf numFmtId="0" fontId="5" fillId="0" borderId="3" xfId="0" applyFont="1" applyBorder="1" applyAlignment="1">
      <alignment horizontal="center" vertical="top" wrapText="1"/>
    </xf>
    <xf numFmtId="0" fontId="5" fillId="0" borderId="4"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0" borderId="5" xfId="0" applyFont="1" applyFill="1" applyBorder="1" applyAlignment="1">
      <alignment horizontal="left" vertical="top" wrapText="1"/>
    </xf>
    <xf numFmtId="0" fontId="5" fillId="0" borderId="1" xfId="0" applyFont="1" applyFill="1" applyBorder="1" applyAlignment="1">
      <alignment horizontal="center" vertical="top" wrapText="1"/>
    </xf>
    <xf numFmtId="0" fontId="9" fillId="0" borderId="4" xfId="0" applyFont="1" applyFill="1" applyBorder="1" applyAlignment="1">
      <alignment horizontal="center" vertical="top" wrapText="1"/>
    </xf>
    <xf numFmtId="0" fontId="9" fillId="0" borderId="6" xfId="0" applyFont="1" applyFill="1" applyBorder="1" applyAlignment="1">
      <alignment horizontal="center" vertical="top" wrapText="1"/>
    </xf>
    <xf numFmtId="0" fontId="9" fillId="0" borderId="5" xfId="0" applyFont="1" applyFill="1" applyBorder="1" applyAlignment="1">
      <alignment horizontal="center" vertical="top" wrapText="1"/>
    </xf>
    <xf numFmtId="0" fontId="9" fillId="0" borderId="6" xfId="0" applyFont="1" applyFill="1" applyBorder="1" applyAlignment="1">
      <alignment horizontal="center" vertical="top" textRotation="90" wrapText="1"/>
    </xf>
    <xf numFmtId="0" fontId="0" fillId="0" borderId="9" xfId="0" applyFill="1" applyBorder="1" applyAlignment="1">
      <alignment horizontal="center" vertical="center" wrapText="1"/>
    </xf>
    <xf numFmtId="0" fontId="5" fillId="0" borderId="12" xfId="0" applyFont="1" applyFill="1" applyBorder="1" applyAlignment="1">
      <alignment horizontal="center" vertical="center" wrapText="1"/>
    </xf>
    <xf numFmtId="0" fontId="0" fillId="0" borderId="2"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3" xfId="0" applyFill="1" applyBorder="1" applyAlignment="1">
      <alignment horizontal="center" vertical="center" wrapText="1"/>
    </xf>
    <xf numFmtId="0" fontId="10" fillId="0" borderId="10"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2" fillId="2" borderId="2" xfId="0" applyFont="1" applyFill="1" applyBorder="1" applyAlignment="1">
      <alignment horizontal="center" vertical="top"/>
    </xf>
    <xf numFmtId="0" fontId="2" fillId="2" borderId="12" xfId="0" applyFont="1" applyFill="1" applyBorder="1" applyAlignment="1">
      <alignment horizontal="center" vertical="top"/>
    </xf>
    <xf numFmtId="0" fontId="2" fillId="2" borderId="3" xfId="0" applyFont="1" applyFill="1" applyBorder="1" applyAlignment="1">
      <alignment horizontal="center" vertical="top"/>
    </xf>
    <xf numFmtId="0" fontId="9" fillId="0" borderId="12" xfId="1" applyFont="1" applyBorder="1" applyAlignment="1">
      <alignment horizontal="center" vertical="top" wrapText="1"/>
    </xf>
    <xf numFmtId="0" fontId="21" fillId="2" borderId="1" xfId="1" applyFont="1" applyFill="1" applyBorder="1" applyAlignment="1" applyProtection="1">
      <alignment horizontal="center" vertical="top" wrapText="1"/>
    </xf>
    <xf numFmtId="0" fontId="9" fillId="0" borderId="1" xfId="0" applyFont="1" applyBorder="1" applyAlignment="1">
      <alignment horizontal="center" vertical="top" wrapText="1"/>
    </xf>
    <xf numFmtId="0" fontId="18" fillId="3" borderId="1" xfId="0" applyFont="1" applyFill="1" applyBorder="1" applyAlignment="1">
      <alignment horizontal="left" vertical="center" wrapText="1"/>
    </xf>
    <xf numFmtId="0" fontId="2" fillId="2" borderId="1" xfId="0" applyFont="1" applyFill="1" applyBorder="1" applyAlignment="1">
      <alignment horizontal="center" vertical="top"/>
    </xf>
    <xf numFmtId="0" fontId="18" fillId="3" borderId="1" xfId="0" applyFont="1" applyFill="1" applyBorder="1" applyAlignment="1">
      <alignment horizontal="left" vertical="top" wrapText="1"/>
    </xf>
    <xf numFmtId="0" fontId="2" fillId="2" borderId="1" xfId="0" applyFont="1" applyFill="1" applyBorder="1" applyAlignment="1">
      <alignment horizontal="center" vertical="top" wrapText="1"/>
    </xf>
    <xf numFmtId="0" fontId="5" fillId="0" borderId="1" xfId="0" applyFont="1" applyBorder="1" applyAlignment="1">
      <alignment horizontal="center" vertical="center" wrapText="1"/>
    </xf>
    <xf numFmtId="0" fontId="13" fillId="0" borderId="1" xfId="0" applyFont="1" applyFill="1" applyBorder="1" applyAlignment="1" applyProtection="1">
      <alignment horizontal="left" vertical="top" wrapText="1"/>
    </xf>
    <xf numFmtId="0" fontId="2" fillId="0" borderId="1" xfId="0" applyFont="1" applyFill="1" applyBorder="1" applyAlignment="1">
      <alignment horizontal="center" vertical="top"/>
    </xf>
    <xf numFmtId="0" fontId="15" fillId="0" borderId="4" xfId="1" applyFont="1" applyFill="1" applyBorder="1" applyAlignment="1" applyProtection="1">
      <alignment horizontal="left" vertical="top" wrapText="1"/>
    </xf>
    <xf numFmtId="0" fontId="15" fillId="0" borderId="6" xfId="1" applyFont="1" applyFill="1" applyBorder="1" applyAlignment="1" applyProtection="1">
      <alignment horizontal="left" vertical="top" wrapText="1"/>
    </xf>
    <xf numFmtId="0" fontId="15" fillId="0" borderId="5" xfId="1" applyFont="1" applyFill="1" applyBorder="1" applyAlignment="1" applyProtection="1">
      <alignment horizontal="left" vertical="top" wrapText="1"/>
    </xf>
    <xf numFmtId="0" fontId="2" fillId="2" borderId="11" xfId="0" applyFont="1" applyFill="1" applyBorder="1" applyAlignment="1">
      <alignment horizontal="center" vertical="top"/>
    </xf>
    <xf numFmtId="0" fontId="6" fillId="0" borderId="1" xfId="0" applyFont="1" applyBorder="1" applyAlignment="1">
      <alignment horizontal="center"/>
    </xf>
    <xf numFmtId="0" fontId="5" fillId="2" borderId="1" xfId="0" applyFont="1" applyFill="1" applyBorder="1" applyAlignment="1">
      <alignment horizontal="center" vertical="top"/>
    </xf>
    <xf numFmtId="0" fontId="5" fillId="0" borderId="2" xfId="0" applyFont="1" applyBorder="1" applyAlignment="1">
      <alignment horizontal="left" vertical="top"/>
    </xf>
    <xf numFmtId="0" fontId="5" fillId="0" borderId="12" xfId="0" applyFont="1" applyBorder="1" applyAlignment="1">
      <alignment horizontal="left" vertical="top"/>
    </xf>
    <xf numFmtId="0" fontId="5" fillId="0" borderId="3" xfId="0" applyFont="1" applyBorder="1" applyAlignment="1">
      <alignment horizontal="left" vertical="top"/>
    </xf>
    <xf numFmtId="0" fontId="6" fillId="2" borderId="1" xfId="0" applyFont="1" applyFill="1" applyBorder="1" applyAlignment="1">
      <alignment horizontal="center" vertical="top"/>
    </xf>
    <xf numFmtId="0" fontId="6" fillId="2" borderId="1" xfId="0" applyFont="1" applyFill="1" applyBorder="1" applyAlignment="1">
      <alignment horizontal="center" vertical="center"/>
    </xf>
    <xf numFmtId="0" fontId="27" fillId="0" borderId="1" xfId="0" applyFont="1" applyBorder="1" applyAlignment="1">
      <alignment horizontal="center" vertical="center"/>
    </xf>
    <xf numFmtId="0" fontId="11" fillId="3" borderId="1" xfId="0" applyFont="1" applyFill="1" applyBorder="1" applyAlignment="1">
      <alignment horizontal="left" vertical="top"/>
    </xf>
    <xf numFmtId="0" fontId="5" fillId="0" borderId="1" xfId="0" applyFont="1" applyBorder="1" applyAlignment="1">
      <alignment horizontal="center"/>
    </xf>
    <xf numFmtId="0" fontId="5" fillId="2" borderId="1" xfId="0" applyFont="1" applyFill="1" applyBorder="1" applyAlignment="1">
      <alignment horizontal="center" vertical="center"/>
    </xf>
    <xf numFmtId="0" fontId="10" fillId="2" borderId="1" xfId="0" applyFont="1" applyFill="1" applyBorder="1" applyAlignment="1">
      <alignment horizontal="left" vertical="top"/>
    </xf>
    <xf numFmtId="0" fontId="5" fillId="0" borderId="1" xfId="0" applyFont="1" applyBorder="1" applyAlignment="1">
      <alignment horizontal="justify" vertical="top" wrapText="1"/>
    </xf>
    <xf numFmtId="0" fontId="4" fillId="2" borderId="1" xfId="0" applyFont="1" applyFill="1" applyBorder="1" applyAlignment="1">
      <alignment horizontal="center" vertical="top"/>
    </xf>
    <xf numFmtId="0" fontId="19" fillId="2" borderId="1" xfId="1" applyFont="1" applyFill="1" applyBorder="1" applyAlignment="1" applyProtection="1">
      <alignment horizontal="center" vertical="top" wrapText="1"/>
    </xf>
    <xf numFmtId="0" fontId="26" fillId="0" borderId="1" xfId="0" applyFont="1" applyBorder="1" applyAlignment="1">
      <alignment horizontal="center"/>
    </xf>
    <xf numFmtId="0" fontId="9" fillId="0" borderId="1" xfId="0" applyFont="1" applyBorder="1" applyAlignment="1">
      <alignment horizontal="left"/>
    </xf>
    <xf numFmtId="0" fontId="4" fillId="2" borderId="10" xfId="0" applyFont="1" applyFill="1" applyBorder="1" applyAlignment="1">
      <alignment horizontal="center" vertical="top"/>
    </xf>
    <xf numFmtId="0" fontId="4" fillId="2" borderId="11" xfId="0" applyFont="1" applyFill="1" applyBorder="1" applyAlignment="1">
      <alignment horizontal="center" vertical="top"/>
    </xf>
    <xf numFmtId="0" fontId="4" fillId="2" borderId="15" xfId="0" applyFont="1" applyFill="1" applyBorder="1" applyAlignment="1">
      <alignment horizontal="center" vertical="top"/>
    </xf>
    <xf numFmtId="0" fontId="4" fillId="2" borderId="7" xfId="0" applyFont="1" applyFill="1" applyBorder="1" applyAlignment="1">
      <alignment horizontal="center" vertical="top"/>
    </xf>
    <xf numFmtId="0" fontId="4" fillId="2" borderId="0" xfId="0" applyFont="1" applyFill="1" applyBorder="1" applyAlignment="1">
      <alignment horizontal="center" vertical="top"/>
    </xf>
    <xf numFmtId="0" fontId="4" fillId="2" borderId="16" xfId="0" applyFont="1" applyFill="1" applyBorder="1" applyAlignment="1">
      <alignment horizontal="center" vertical="top"/>
    </xf>
    <xf numFmtId="0" fontId="4" fillId="2" borderId="8" xfId="0" applyFont="1" applyFill="1" applyBorder="1" applyAlignment="1">
      <alignment horizontal="center" vertical="top"/>
    </xf>
    <xf numFmtId="0" fontId="4" fillId="2" borderId="9" xfId="0" applyFont="1" applyFill="1" applyBorder="1" applyAlignment="1">
      <alignment horizontal="center" vertical="top"/>
    </xf>
    <xf numFmtId="0" fontId="4" fillId="2" borderId="13" xfId="0" applyFont="1" applyFill="1" applyBorder="1" applyAlignment="1">
      <alignment horizontal="center" vertical="top"/>
    </xf>
    <xf numFmtId="0" fontId="7" fillId="0" borderId="1" xfId="0" applyFont="1" applyBorder="1" applyAlignment="1">
      <alignment horizontal="center" vertical="top" wrapText="1"/>
    </xf>
    <xf numFmtId="0" fontId="23" fillId="2" borderId="2" xfId="1" applyFont="1" applyFill="1" applyBorder="1" applyAlignment="1" applyProtection="1">
      <alignment horizontal="center" vertical="top" wrapText="1"/>
    </xf>
    <xf numFmtId="0" fontId="23" fillId="2" borderId="12" xfId="1" applyFont="1" applyFill="1" applyBorder="1" applyAlignment="1" applyProtection="1">
      <alignment horizontal="center" vertical="top" wrapText="1"/>
    </xf>
    <xf numFmtId="0" fontId="23" fillId="2" borderId="3" xfId="1" applyFont="1" applyFill="1" applyBorder="1" applyAlignment="1" applyProtection="1">
      <alignment horizontal="center" vertical="top" wrapText="1"/>
    </xf>
    <xf numFmtId="0" fontId="5" fillId="2" borderId="8" xfId="0" applyFont="1" applyFill="1" applyBorder="1" applyAlignment="1">
      <alignment horizontal="center" vertical="top"/>
    </xf>
    <xf numFmtId="0" fontId="5" fillId="2" borderId="9" xfId="0" applyFont="1" applyFill="1" applyBorder="1" applyAlignment="1">
      <alignment horizontal="center" vertical="top"/>
    </xf>
    <xf numFmtId="0" fontId="5" fillId="2" borderId="13" xfId="0" applyFont="1" applyFill="1" applyBorder="1" applyAlignment="1">
      <alignment horizontal="center" vertical="top"/>
    </xf>
    <xf numFmtId="0" fontId="9" fillId="0" borderId="2" xfId="0" applyFont="1" applyBorder="1" applyAlignment="1">
      <alignment horizontal="center" vertical="top" wrapText="1"/>
    </xf>
    <xf numFmtId="0" fontId="9" fillId="0" borderId="12" xfId="0" applyFont="1" applyBorder="1" applyAlignment="1">
      <alignment horizontal="center" vertical="top" wrapText="1"/>
    </xf>
    <xf numFmtId="0" fontId="9" fillId="0" borderId="3" xfId="0" applyFont="1" applyBorder="1" applyAlignment="1">
      <alignment horizontal="center" vertical="top" wrapText="1"/>
    </xf>
    <xf numFmtId="0" fontId="15" fillId="0" borderId="3" xfId="0" applyFont="1" applyBorder="1" applyAlignment="1">
      <alignment horizontal="center" vertical="top"/>
    </xf>
    <xf numFmtId="0" fontId="38" fillId="0" borderId="2" xfId="0" applyFont="1" applyBorder="1" applyAlignment="1">
      <alignment horizontal="center" vertical="top" wrapText="1"/>
    </xf>
    <xf numFmtId="0" fontId="38" fillId="0" borderId="12" xfId="0" applyFont="1" applyBorder="1" applyAlignment="1">
      <alignment horizontal="center" vertical="top" wrapText="1"/>
    </xf>
    <xf numFmtId="0" fontId="38" fillId="0" borderId="3" xfId="0" applyFont="1" applyBorder="1" applyAlignment="1">
      <alignment horizontal="center" vertical="top" wrapText="1"/>
    </xf>
    <xf numFmtId="0" fontId="8" fillId="2" borderId="1" xfId="1" applyFont="1" applyFill="1" applyBorder="1" applyAlignment="1" applyProtection="1">
      <alignment horizontal="center" vertical="top" wrapText="1"/>
    </xf>
    <xf numFmtId="0" fontId="5" fillId="2" borderId="1" xfId="0" applyFont="1" applyFill="1" applyBorder="1" applyAlignment="1">
      <alignment horizontal="left" vertical="top" wrapText="1"/>
    </xf>
    <xf numFmtId="0" fontId="0" fillId="0" borderId="1" xfId="0" applyBorder="1" applyAlignment="1">
      <alignment horizontal="center"/>
    </xf>
    <xf numFmtId="0" fontId="15" fillId="0" borderId="1" xfId="1" applyFont="1" applyFill="1" applyBorder="1" applyAlignment="1" applyProtection="1">
      <alignment horizontal="left" vertical="top" wrapText="1"/>
    </xf>
    <xf numFmtId="0" fontId="16" fillId="0" borderId="1" xfId="0" applyFont="1" applyBorder="1" applyAlignment="1">
      <alignment horizontal="center" vertical="center" wrapText="1"/>
    </xf>
    <xf numFmtId="0" fontId="0" fillId="0" borderId="1" xfId="0" applyBorder="1" applyAlignment="1">
      <alignment horizontal="justify" vertical="top" wrapText="1"/>
    </xf>
    <xf numFmtId="0" fontId="5" fillId="0" borderId="1" xfId="0" applyFont="1" applyBorder="1" applyAlignment="1">
      <alignment horizontal="left"/>
    </xf>
    <xf numFmtId="0" fontId="9" fillId="0" borderId="1" xfId="0" applyFont="1" applyBorder="1" applyAlignment="1">
      <alignment horizontal="justify" vertical="top"/>
    </xf>
    <xf numFmtId="0" fontId="5" fillId="2" borderId="1" xfId="0" applyFont="1" applyFill="1" applyBorder="1" applyAlignment="1">
      <alignment horizontal="justify"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0.03@%20Rs.144/-%20Per%20sqr%20y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P646"/>
  <sheetViews>
    <sheetView view="pageBreakPreview" zoomScale="60" workbookViewId="0">
      <selection activeCell="E655" sqref="E655"/>
    </sheetView>
  </sheetViews>
  <sheetFormatPr defaultRowHeight="15"/>
  <cols>
    <col min="1" max="1" width="7.7109375" style="2" customWidth="1"/>
    <col min="2" max="2" width="15.7109375" style="42" customWidth="1"/>
    <col min="3" max="3" width="22.7109375" style="42" customWidth="1"/>
    <col min="4" max="4" width="24.7109375" style="42" customWidth="1"/>
    <col min="5" max="5" width="20.5703125" style="41" customWidth="1"/>
    <col min="6" max="6" width="15.5703125" style="41" customWidth="1"/>
    <col min="7" max="7" width="15.28515625" style="41" customWidth="1"/>
    <col min="8" max="8" width="15.42578125" style="41" customWidth="1"/>
    <col min="9" max="9" width="23.85546875" style="41" customWidth="1"/>
    <col min="10" max="10" width="12.140625" style="41" customWidth="1"/>
    <col min="11" max="11" width="16.28515625" style="41" customWidth="1"/>
    <col min="12" max="12" width="18.140625" style="41" customWidth="1"/>
    <col min="13" max="13" width="22" style="41" customWidth="1"/>
    <col min="14" max="14" width="15.42578125" style="41" customWidth="1"/>
    <col min="15" max="15" width="29.7109375" style="41" customWidth="1"/>
    <col min="16" max="16" width="28.85546875" style="41" customWidth="1"/>
    <col min="17" max="16384" width="9.140625" style="2"/>
  </cols>
  <sheetData>
    <row r="1" spans="1:16" ht="25.5">
      <c r="A1" s="431" t="s">
        <v>2431</v>
      </c>
      <c r="B1" s="431"/>
      <c r="C1" s="431"/>
      <c r="D1" s="431"/>
      <c r="E1" s="431"/>
      <c r="F1" s="431"/>
      <c r="G1" s="431"/>
      <c r="H1" s="431"/>
      <c r="I1" s="431"/>
      <c r="J1" s="431"/>
      <c r="K1" s="431"/>
      <c r="L1" s="431"/>
      <c r="M1" s="431"/>
      <c r="N1" s="431"/>
      <c r="O1" s="431"/>
      <c r="P1" s="431"/>
    </row>
    <row r="2" spans="1:16" ht="22.5">
      <c r="A2" s="432" t="s">
        <v>177</v>
      </c>
      <c r="B2" s="432"/>
      <c r="C2" s="432"/>
      <c r="D2" s="432"/>
      <c r="E2" s="432"/>
      <c r="F2" s="432"/>
      <c r="G2" s="432"/>
      <c r="H2" s="432"/>
      <c r="I2" s="432"/>
      <c r="J2" s="432"/>
      <c r="K2" s="432"/>
      <c r="L2" s="432"/>
      <c r="M2" s="432"/>
      <c r="N2" s="432"/>
      <c r="O2" s="432"/>
      <c r="P2" s="432"/>
    </row>
    <row r="3" spans="1:16" ht="20.25">
      <c r="A3" s="347" t="s">
        <v>16</v>
      </c>
      <c r="B3" s="347"/>
      <c r="C3" s="347"/>
      <c r="D3" s="347"/>
      <c r="E3" s="347"/>
      <c r="F3" s="347"/>
      <c r="G3" s="347"/>
      <c r="H3" s="347"/>
      <c r="I3" s="347"/>
      <c r="J3" s="347"/>
      <c r="K3" s="347"/>
      <c r="L3" s="347"/>
      <c r="M3" s="347"/>
      <c r="N3" s="347"/>
      <c r="O3" s="347"/>
      <c r="P3" s="347"/>
    </row>
    <row r="4" spans="1:16" s="4" customFormat="1" ht="85.5">
      <c r="A4" s="286" t="s">
        <v>0</v>
      </c>
      <c r="B4" s="286" t="s">
        <v>119</v>
      </c>
      <c r="C4" s="286" t="s">
        <v>1</v>
      </c>
      <c r="D4" s="286" t="s">
        <v>120</v>
      </c>
      <c r="E4" s="286" t="s">
        <v>3</v>
      </c>
      <c r="F4" s="286" t="s">
        <v>4</v>
      </c>
      <c r="G4" s="286" t="s">
        <v>121</v>
      </c>
      <c r="H4" s="286" t="s">
        <v>122</v>
      </c>
      <c r="I4" s="286" t="s">
        <v>113</v>
      </c>
      <c r="J4" s="286" t="s">
        <v>5</v>
      </c>
      <c r="K4" s="286" t="s">
        <v>6</v>
      </c>
      <c r="L4" s="286" t="s">
        <v>7</v>
      </c>
      <c r="M4" s="22" t="s">
        <v>8</v>
      </c>
      <c r="N4" s="22" t="s">
        <v>9</v>
      </c>
      <c r="O4" s="286" t="s">
        <v>10</v>
      </c>
      <c r="P4" s="20" t="s">
        <v>11</v>
      </c>
    </row>
    <row r="5" spans="1:16">
      <c r="A5" s="1">
        <v>1</v>
      </c>
      <c r="B5" s="286">
        <v>2</v>
      </c>
      <c r="C5" s="286">
        <v>3</v>
      </c>
      <c r="D5" s="286">
        <v>4</v>
      </c>
      <c r="E5" s="286">
        <v>5</v>
      </c>
      <c r="F5" s="286">
        <v>6</v>
      </c>
      <c r="G5" s="286">
        <v>7</v>
      </c>
      <c r="H5" s="286">
        <v>8</v>
      </c>
      <c r="I5" s="286">
        <v>9</v>
      </c>
      <c r="J5" s="286">
        <v>10</v>
      </c>
      <c r="K5" s="286">
        <v>11</v>
      </c>
      <c r="L5" s="286">
        <v>12</v>
      </c>
      <c r="M5" s="286">
        <v>13</v>
      </c>
      <c r="N5" s="286">
        <v>14</v>
      </c>
      <c r="O5" s="286">
        <v>15</v>
      </c>
      <c r="P5" s="286">
        <v>16</v>
      </c>
    </row>
    <row r="6" spans="1:16" ht="60">
      <c r="A6" s="278">
        <v>1</v>
      </c>
      <c r="B6" s="376" t="s">
        <v>188</v>
      </c>
      <c r="C6" s="376" t="s">
        <v>189</v>
      </c>
      <c r="D6" s="132" t="s">
        <v>190</v>
      </c>
      <c r="E6" s="37">
        <v>1589</v>
      </c>
      <c r="F6" s="37" t="s">
        <v>191</v>
      </c>
      <c r="G6" s="37">
        <v>6.9999999999999999E-4</v>
      </c>
      <c r="H6" s="278" t="s">
        <v>12</v>
      </c>
      <c r="I6" s="278" t="s">
        <v>25</v>
      </c>
      <c r="J6" s="87" t="s">
        <v>15</v>
      </c>
      <c r="K6" s="87" t="s">
        <v>15</v>
      </c>
      <c r="L6" s="87" t="s">
        <v>15</v>
      </c>
      <c r="M6" s="278" t="s">
        <v>36</v>
      </c>
      <c r="N6" s="87" t="s">
        <v>15</v>
      </c>
      <c r="O6" s="278" t="s">
        <v>12</v>
      </c>
      <c r="P6" s="37" t="s">
        <v>192</v>
      </c>
    </row>
    <row r="7" spans="1:16" ht="45">
      <c r="A7" s="278">
        <v>2</v>
      </c>
      <c r="B7" s="376"/>
      <c r="C7" s="376"/>
      <c r="D7" s="132" t="s">
        <v>193</v>
      </c>
      <c r="E7" s="37">
        <v>708</v>
      </c>
      <c r="F7" s="37">
        <v>1903</v>
      </c>
      <c r="G7" s="37">
        <v>0.01</v>
      </c>
      <c r="H7" s="278" t="s">
        <v>12</v>
      </c>
      <c r="I7" s="278" t="s">
        <v>25</v>
      </c>
      <c r="J7" s="87" t="s">
        <v>15</v>
      </c>
      <c r="K7" s="87" t="s">
        <v>15</v>
      </c>
      <c r="L7" s="87" t="s">
        <v>15</v>
      </c>
      <c r="M7" s="278" t="s">
        <v>36</v>
      </c>
      <c r="N7" s="87" t="s">
        <v>15</v>
      </c>
      <c r="O7" s="278" t="s">
        <v>12</v>
      </c>
      <c r="P7" s="278"/>
    </row>
    <row r="8" spans="1:16" ht="30">
      <c r="A8" s="278">
        <v>3</v>
      </c>
      <c r="B8" s="376"/>
      <c r="C8" s="376"/>
      <c r="D8" s="132" t="s">
        <v>194</v>
      </c>
      <c r="E8" s="37">
        <v>202</v>
      </c>
      <c r="F8" s="37">
        <v>1903</v>
      </c>
      <c r="G8" s="37">
        <v>2E-3</v>
      </c>
      <c r="H8" s="278" t="s">
        <v>12</v>
      </c>
      <c r="I8" s="278" t="s">
        <v>25</v>
      </c>
      <c r="J8" s="87" t="s">
        <v>15</v>
      </c>
      <c r="K8" s="87" t="s">
        <v>15</v>
      </c>
      <c r="L8" s="87" t="s">
        <v>15</v>
      </c>
      <c r="M8" s="278" t="s">
        <v>36</v>
      </c>
      <c r="N8" s="87" t="s">
        <v>15</v>
      </c>
      <c r="O8" s="278" t="s">
        <v>12</v>
      </c>
      <c r="P8" s="278"/>
    </row>
    <row r="9" spans="1:16" ht="75">
      <c r="A9" s="278">
        <v>4</v>
      </c>
      <c r="B9" s="376"/>
      <c r="C9" s="376"/>
      <c r="D9" s="132" t="s">
        <v>195</v>
      </c>
      <c r="E9" s="37">
        <v>815.15</v>
      </c>
      <c r="F9" s="37">
        <v>1919</v>
      </c>
      <c r="G9" s="37">
        <v>3.0000000000000001E-3</v>
      </c>
      <c r="H9" s="278" t="s">
        <v>12</v>
      </c>
      <c r="I9" s="278" t="s">
        <v>25</v>
      </c>
      <c r="J9" s="87" t="s">
        <v>15</v>
      </c>
      <c r="K9" s="87" t="s">
        <v>15</v>
      </c>
      <c r="L9" s="87" t="s">
        <v>15</v>
      </c>
      <c r="M9" s="278" t="s">
        <v>36</v>
      </c>
      <c r="N9" s="87" t="s">
        <v>15</v>
      </c>
      <c r="O9" s="278" t="s">
        <v>12</v>
      </c>
      <c r="P9" s="37" t="s">
        <v>196</v>
      </c>
    </row>
    <row r="10" spans="1:16" ht="30">
      <c r="A10" s="278">
        <v>5</v>
      </c>
      <c r="B10" s="376"/>
      <c r="C10" s="376"/>
      <c r="D10" s="132" t="s">
        <v>197</v>
      </c>
      <c r="E10" s="37">
        <v>12243</v>
      </c>
      <c r="F10" s="37" t="s">
        <v>12</v>
      </c>
      <c r="G10" s="37">
        <v>3.0000000000000001E-3</v>
      </c>
      <c r="H10" s="278" t="s">
        <v>12</v>
      </c>
      <c r="I10" s="278" t="s">
        <v>25</v>
      </c>
      <c r="J10" s="87" t="s">
        <v>15</v>
      </c>
      <c r="K10" s="87" t="s">
        <v>15</v>
      </c>
      <c r="L10" s="87" t="s">
        <v>15</v>
      </c>
      <c r="M10" s="278" t="s">
        <v>36</v>
      </c>
      <c r="N10" s="87" t="s">
        <v>15</v>
      </c>
      <c r="O10" s="278" t="s">
        <v>12</v>
      </c>
      <c r="P10" s="278"/>
    </row>
    <row r="11" spans="1:16" ht="30">
      <c r="A11" s="278">
        <v>6</v>
      </c>
      <c r="B11" s="376"/>
      <c r="C11" s="376"/>
      <c r="D11" s="132" t="s">
        <v>198</v>
      </c>
      <c r="E11" s="37">
        <v>5727</v>
      </c>
      <c r="F11" s="37" t="s">
        <v>12</v>
      </c>
      <c r="G11" s="37">
        <v>0.04</v>
      </c>
      <c r="H11" s="278" t="s">
        <v>12</v>
      </c>
      <c r="I11" s="278" t="s">
        <v>25</v>
      </c>
      <c r="J11" s="87" t="s">
        <v>15</v>
      </c>
      <c r="K11" s="87" t="s">
        <v>15</v>
      </c>
      <c r="L11" s="87" t="s">
        <v>15</v>
      </c>
      <c r="M11" s="278" t="s">
        <v>36</v>
      </c>
      <c r="N11" s="87" t="s">
        <v>15</v>
      </c>
      <c r="O11" s="278" t="s">
        <v>12</v>
      </c>
      <c r="P11" s="278"/>
    </row>
    <row r="12" spans="1:16" ht="45">
      <c r="A12" s="278">
        <v>7</v>
      </c>
      <c r="B12" s="376"/>
      <c r="C12" s="376"/>
      <c r="D12" s="132" t="s">
        <v>199</v>
      </c>
      <c r="E12" s="37">
        <v>809</v>
      </c>
      <c r="F12" s="37" t="s">
        <v>12</v>
      </c>
      <c r="G12" s="37">
        <v>5.0000000000000001E-3</v>
      </c>
      <c r="H12" s="278" t="s">
        <v>12</v>
      </c>
      <c r="I12" s="278" t="s">
        <v>25</v>
      </c>
      <c r="J12" s="87" t="s">
        <v>15</v>
      </c>
      <c r="K12" s="87" t="s">
        <v>15</v>
      </c>
      <c r="L12" s="87" t="s">
        <v>15</v>
      </c>
      <c r="M12" s="278" t="s">
        <v>36</v>
      </c>
      <c r="N12" s="87" t="s">
        <v>15</v>
      </c>
      <c r="O12" s="278" t="s">
        <v>12</v>
      </c>
      <c r="P12" s="278"/>
    </row>
    <row r="13" spans="1:16" ht="45.75" customHeight="1">
      <c r="A13" s="278">
        <v>8</v>
      </c>
      <c r="B13" s="376"/>
      <c r="C13" s="376"/>
      <c r="D13" s="132" t="s">
        <v>200</v>
      </c>
      <c r="E13" s="37">
        <v>5727</v>
      </c>
      <c r="F13" s="37">
        <v>1919</v>
      </c>
      <c r="G13" s="37">
        <v>3.5700000000000003E-2</v>
      </c>
      <c r="H13" s="278" t="s">
        <v>12</v>
      </c>
      <c r="I13" s="278" t="s">
        <v>25</v>
      </c>
      <c r="J13" s="87" t="s">
        <v>15</v>
      </c>
      <c r="K13" s="87" t="s">
        <v>15</v>
      </c>
      <c r="L13" s="87" t="s">
        <v>15</v>
      </c>
      <c r="M13" s="278" t="s">
        <v>36</v>
      </c>
      <c r="N13" s="87" t="s">
        <v>15</v>
      </c>
      <c r="O13" s="278" t="s">
        <v>12</v>
      </c>
      <c r="P13" s="37" t="s">
        <v>201</v>
      </c>
    </row>
    <row r="14" spans="1:16" ht="30">
      <c r="A14" s="278">
        <v>9</v>
      </c>
      <c r="B14" s="376"/>
      <c r="C14" s="376"/>
      <c r="D14" s="132" t="s">
        <v>202</v>
      </c>
      <c r="E14" s="37">
        <v>911</v>
      </c>
      <c r="F14" s="37">
        <v>1919</v>
      </c>
      <c r="G14" s="37">
        <v>0.01</v>
      </c>
      <c r="H14" s="278" t="s">
        <v>12</v>
      </c>
      <c r="I14" s="278" t="s">
        <v>25</v>
      </c>
      <c r="J14" s="87" t="s">
        <v>15</v>
      </c>
      <c r="K14" s="87" t="s">
        <v>15</v>
      </c>
      <c r="L14" s="87" t="s">
        <v>15</v>
      </c>
      <c r="M14" s="278" t="s">
        <v>36</v>
      </c>
      <c r="N14" s="87" t="s">
        <v>15</v>
      </c>
      <c r="O14" s="278" t="s">
        <v>12</v>
      </c>
      <c r="P14" s="278"/>
    </row>
    <row r="15" spans="1:16" ht="30">
      <c r="A15" s="278">
        <v>10</v>
      </c>
      <c r="B15" s="376"/>
      <c r="C15" s="376"/>
      <c r="D15" s="132" t="s">
        <v>203</v>
      </c>
      <c r="E15" s="37">
        <v>10623</v>
      </c>
      <c r="F15" s="37">
        <v>1919</v>
      </c>
      <c r="G15" s="37">
        <v>7.0000000000000007E-2</v>
      </c>
      <c r="H15" s="278" t="s">
        <v>12</v>
      </c>
      <c r="I15" s="278" t="s">
        <v>25</v>
      </c>
      <c r="J15" s="87" t="s">
        <v>15</v>
      </c>
      <c r="K15" s="87" t="s">
        <v>15</v>
      </c>
      <c r="L15" s="87" t="s">
        <v>15</v>
      </c>
      <c r="M15" s="278" t="s">
        <v>36</v>
      </c>
      <c r="N15" s="87" t="s">
        <v>15</v>
      </c>
      <c r="O15" s="278" t="s">
        <v>12</v>
      </c>
      <c r="P15" s="278"/>
    </row>
    <row r="16" spans="1:16" s="3" customFormat="1" ht="30">
      <c r="A16" s="278">
        <v>11</v>
      </c>
      <c r="B16" s="376"/>
      <c r="C16" s="376"/>
      <c r="D16" s="132" t="s">
        <v>204</v>
      </c>
      <c r="E16" s="37">
        <v>506</v>
      </c>
      <c r="F16" s="37">
        <v>1919</v>
      </c>
      <c r="G16" s="37">
        <v>3.0999999999999999E-3</v>
      </c>
      <c r="H16" s="278" t="s">
        <v>12</v>
      </c>
      <c r="I16" s="278" t="s">
        <v>25</v>
      </c>
      <c r="J16" s="87" t="s">
        <v>15</v>
      </c>
      <c r="K16" s="87" t="s">
        <v>15</v>
      </c>
      <c r="L16" s="87" t="s">
        <v>15</v>
      </c>
      <c r="M16" s="278" t="s">
        <v>36</v>
      </c>
      <c r="N16" s="87" t="s">
        <v>15</v>
      </c>
      <c r="O16" s="278" t="s">
        <v>12</v>
      </c>
      <c r="P16" s="278"/>
    </row>
    <row r="17" spans="1:16" ht="45">
      <c r="A17" s="278">
        <v>12</v>
      </c>
      <c r="B17" s="376"/>
      <c r="C17" s="376"/>
      <c r="D17" s="132" t="s">
        <v>205</v>
      </c>
      <c r="E17" s="37">
        <v>202</v>
      </c>
      <c r="F17" s="37">
        <v>1919</v>
      </c>
      <c r="G17" s="37">
        <v>1.2999999999999999E-3</v>
      </c>
      <c r="H17" s="278" t="s">
        <v>12</v>
      </c>
      <c r="I17" s="278" t="s">
        <v>25</v>
      </c>
      <c r="J17" s="87" t="s">
        <v>15</v>
      </c>
      <c r="K17" s="87" t="s">
        <v>15</v>
      </c>
      <c r="L17" s="87" t="s">
        <v>15</v>
      </c>
      <c r="M17" s="278" t="s">
        <v>36</v>
      </c>
      <c r="N17" s="87" t="s">
        <v>15</v>
      </c>
      <c r="O17" s="278" t="s">
        <v>12</v>
      </c>
      <c r="P17" s="278"/>
    </row>
    <row r="18" spans="1:16" ht="45">
      <c r="A18" s="278">
        <v>13</v>
      </c>
      <c r="B18" s="376"/>
      <c r="C18" s="376"/>
      <c r="D18" s="132" t="s">
        <v>206</v>
      </c>
      <c r="E18" s="37">
        <v>3072</v>
      </c>
      <c r="F18" s="37">
        <v>1919</v>
      </c>
      <c r="G18" s="37">
        <v>0.02</v>
      </c>
      <c r="H18" s="278" t="s">
        <v>12</v>
      </c>
      <c r="I18" s="278" t="s">
        <v>25</v>
      </c>
      <c r="J18" s="87" t="s">
        <v>15</v>
      </c>
      <c r="K18" s="87" t="s">
        <v>15</v>
      </c>
      <c r="L18" s="87" t="s">
        <v>15</v>
      </c>
      <c r="M18" s="278" t="s">
        <v>36</v>
      </c>
      <c r="N18" s="87" t="s">
        <v>15</v>
      </c>
      <c r="O18" s="278" t="s">
        <v>12</v>
      </c>
      <c r="P18" s="278"/>
    </row>
    <row r="19" spans="1:16" ht="45">
      <c r="A19" s="278">
        <v>14</v>
      </c>
      <c r="B19" s="376"/>
      <c r="C19" s="376"/>
      <c r="D19" s="132" t="s">
        <v>207</v>
      </c>
      <c r="E19" s="37">
        <v>3276</v>
      </c>
      <c r="F19" s="37">
        <v>1919</v>
      </c>
      <c r="G19" s="37">
        <v>2.01E-2</v>
      </c>
      <c r="H19" s="278" t="s">
        <v>12</v>
      </c>
      <c r="I19" s="278" t="s">
        <v>25</v>
      </c>
      <c r="J19" s="87" t="s">
        <v>15</v>
      </c>
      <c r="K19" s="87" t="s">
        <v>15</v>
      </c>
      <c r="L19" s="87" t="s">
        <v>15</v>
      </c>
      <c r="M19" s="278" t="s">
        <v>36</v>
      </c>
      <c r="N19" s="87" t="s">
        <v>15</v>
      </c>
      <c r="O19" s="278" t="s">
        <v>12</v>
      </c>
      <c r="P19" s="278"/>
    </row>
    <row r="20" spans="1:16" ht="30">
      <c r="A20" s="278">
        <v>15</v>
      </c>
      <c r="B20" s="376"/>
      <c r="C20" s="376"/>
      <c r="D20" s="132" t="s">
        <v>208</v>
      </c>
      <c r="E20" s="37">
        <v>74007</v>
      </c>
      <c r="F20" s="37">
        <v>1919</v>
      </c>
      <c r="G20" s="37">
        <v>0.45879999999999999</v>
      </c>
      <c r="H20" s="278" t="s">
        <v>12</v>
      </c>
      <c r="I20" s="278" t="s">
        <v>25</v>
      </c>
      <c r="J20" s="87" t="s">
        <v>15</v>
      </c>
      <c r="K20" s="87" t="s">
        <v>15</v>
      </c>
      <c r="L20" s="87" t="s">
        <v>15</v>
      </c>
      <c r="M20" s="278" t="s">
        <v>36</v>
      </c>
      <c r="N20" s="87" t="s">
        <v>15</v>
      </c>
      <c r="O20" s="278" t="s">
        <v>12</v>
      </c>
      <c r="P20" s="278"/>
    </row>
    <row r="21" spans="1:16" ht="30">
      <c r="A21" s="278">
        <v>16</v>
      </c>
      <c r="B21" s="376"/>
      <c r="C21" s="376"/>
      <c r="D21" s="132" t="s">
        <v>209</v>
      </c>
      <c r="E21" s="37">
        <v>304</v>
      </c>
      <c r="F21" s="37">
        <v>1919</v>
      </c>
      <c r="G21" s="37">
        <v>2E-3</v>
      </c>
      <c r="H21" s="278" t="s">
        <v>12</v>
      </c>
      <c r="I21" s="278" t="s">
        <v>25</v>
      </c>
      <c r="J21" s="87" t="s">
        <v>15</v>
      </c>
      <c r="K21" s="87" t="s">
        <v>15</v>
      </c>
      <c r="L21" s="87" t="s">
        <v>15</v>
      </c>
      <c r="M21" s="278" t="s">
        <v>36</v>
      </c>
      <c r="N21" s="87" t="s">
        <v>15</v>
      </c>
      <c r="O21" s="278" t="s">
        <v>12</v>
      </c>
      <c r="P21" s="278"/>
    </row>
    <row r="22" spans="1:16" ht="60">
      <c r="A22" s="278">
        <v>17</v>
      </c>
      <c r="B22" s="376"/>
      <c r="C22" s="376"/>
      <c r="D22" s="132" t="s">
        <v>210</v>
      </c>
      <c r="E22" s="37">
        <v>1126</v>
      </c>
      <c r="F22" s="37">
        <v>1877</v>
      </c>
      <c r="G22" s="37">
        <v>4.0000000000000002E-4</v>
      </c>
      <c r="H22" s="278" t="s">
        <v>12</v>
      </c>
      <c r="I22" s="278" t="s">
        <v>25</v>
      </c>
      <c r="J22" s="87" t="s">
        <v>15</v>
      </c>
      <c r="K22" s="87" t="s">
        <v>15</v>
      </c>
      <c r="L22" s="87" t="s">
        <v>15</v>
      </c>
      <c r="M22" s="278" t="s">
        <v>36</v>
      </c>
      <c r="N22" s="87" t="s">
        <v>15</v>
      </c>
      <c r="O22" s="278" t="s">
        <v>12</v>
      </c>
      <c r="P22" s="278"/>
    </row>
    <row r="23" spans="1:16" ht="45">
      <c r="A23" s="278">
        <v>18</v>
      </c>
      <c r="B23" s="376"/>
      <c r="C23" s="376"/>
      <c r="D23" s="132" t="s">
        <v>211</v>
      </c>
      <c r="E23" s="37">
        <v>1352</v>
      </c>
      <c r="F23" s="37">
        <v>1875</v>
      </c>
      <c r="G23" s="37">
        <v>1.0880000000000001</v>
      </c>
      <c r="H23" s="278" t="s">
        <v>12</v>
      </c>
      <c r="I23" s="278" t="s">
        <v>25</v>
      </c>
      <c r="J23" s="87" t="s">
        <v>15</v>
      </c>
      <c r="K23" s="87" t="s">
        <v>15</v>
      </c>
      <c r="L23" s="87" t="s">
        <v>15</v>
      </c>
      <c r="M23" s="278" t="s">
        <v>36</v>
      </c>
      <c r="N23" s="87" t="s">
        <v>15</v>
      </c>
      <c r="O23" s="278" t="s">
        <v>12</v>
      </c>
      <c r="P23" s="37" t="s">
        <v>212</v>
      </c>
    </row>
    <row r="24" spans="1:16" ht="46.5" customHeight="1">
      <c r="A24" s="278">
        <v>19</v>
      </c>
      <c r="B24" s="376"/>
      <c r="C24" s="376"/>
      <c r="D24" s="132" t="s">
        <v>213</v>
      </c>
      <c r="E24" s="37">
        <v>1780</v>
      </c>
      <c r="F24" s="37">
        <v>1877</v>
      </c>
      <c r="G24" s="37">
        <v>4.0000000000000002E-4</v>
      </c>
      <c r="H24" s="278" t="s">
        <v>12</v>
      </c>
      <c r="I24" s="278" t="s">
        <v>25</v>
      </c>
      <c r="J24" s="87" t="s">
        <v>15</v>
      </c>
      <c r="K24" s="87" t="s">
        <v>15</v>
      </c>
      <c r="L24" s="87" t="s">
        <v>15</v>
      </c>
      <c r="M24" s="278" t="s">
        <v>36</v>
      </c>
      <c r="N24" s="87" t="s">
        <v>15</v>
      </c>
      <c r="O24" s="278" t="s">
        <v>12</v>
      </c>
      <c r="P24" s="37" t="s">
        <v>214</v>
      </c>
    </row>
    <row r="25" spans="1:16" ht="46.5" customHeight="1">
      <c r="A25" s="284">
        <v>20</v>
      </c>
      <c r="B25" s="376"/>
      <c r="C25" s="376"/>
      <c r="D25" s="301" t="s">
        <v>215</v>
      </c>
      <c r="E25" s="284">
        <v>1397</v>
      </c>
      <c r="F25" s="284">
        <v>1981</v>
      </c>
      <c r="G25" s="119">
        <f>145000/10000000</f>
        <v>1.4500000000000001E-2</v>
      </c>
      <c r="H25" s="284" t="s">
        <v>12</v>
      </c>
      <c r="I25" s="284" t="s">
        <v>25</v>
      </c>
      <c r="J25" s="120" t="s">
        <v>15</v>
      </c>
      <c r="K25" s="120" t="s">
        <v>15</v>
      </c>
      <c r="L25" s="120" t="s">
        <v>15</v>
      </c>
      <c r="M25" s="284" t="s">
        <v>36</v>
      </c>
      <c r="N25" s="120" t="s">
        <v>15</v>
      </c>
      <c r="O25" s="284" t="s">
        <v>12</v>
      </c>
      <c r="P25" s="284"/>
    </row>
    <row r="26" spans="1:16" ht="46.5" customHeight="1">
      <c r="A26" s="278">
        <v>21</v>
      </c>
      <c r="B26" s="376"/>
      <c r="C26" s="376"/>
      <c r="D26" s="285" t="s">
        <v>216</v>
      </c>
      <c r="E26" s="119">
        <v>3035</v>
      </c>
      <c r="F26" s="119" t="s">
        <v>12</v>
      </c>
      <c r="G26" s="119" t="s">
        <v>12</v>
      </c>
      <c r="H26" s="284" t="s">
        <v>12</v>
      </c>
      <c r="I26" s="284" t="s">
        <v>25</v>
      </c>
      <c r="J26" s="120" t="s">
        <v>15</v>
      </c>
      <c r="K26" s="120" t="s">
        <v>15</v>
      </c>
      <c r="L26" s="120" t="s">
        <v>15</v>
      </c>
      <c r="M26" s="284" t="s">
        <v>36</v>
      </c>
      <c r="N26" s="120" t="s">
        <v>15</v>
      </c>
      <c r="O26" s="284" t="s">
        <v>12</v>
      </c>
      <c r="P26" s="120" t="s">
        <v>15</v>
      </c>
    </row>
    <row r="27" spans="1:16" ht="46.5" customHeight="1">
      <c r="A27" s="278">
        <v>22</v>
      </c>
      <c r="B27" s="376"/>
      <c r="C27" s="376"/>
      <c r="D27" s="285" t="s">
        <v>217</v>
      </c>
      <c r="E27" s="119">
        <v>2529</v>
      </c>
      <c r="F27" s="119" t="s">
        <v>12</v>
      </c>
      <c r="G27" s="119" t="s">
        <v>12</v>
      </c>
      <c r="H27" s="284" t="s">
        <v>12</v>
      </c>
      <c r="I27" s="284" t="s">
        <v>25</v>
      </c>
      <c r="J27" s="120" t="s">
        <v>15</v>
      </c>
      <c r="K27" s="120" t="s">
        <v>15</v>
      </c>
      <c r="L27" s="120" t="s">
        <v>15</v>
      </c>
      <c r="M27" s="284" t="s">
        <v>36</v>
      </c>
      <c r="N27" s="120" t="s">
        <v>15</v>
      </c>
      <c r="O27" s="284" t="s">
        <v>12</v>
      </c>
      <c r="P27" s="120" t="s">
        <v>15</v>
      </c>
    </row>
    <row r="28" spans="1:16" ht="45">
      <c r="A28" s="278">
        <v>23</v>
      </c>
      <c r="B28" s="376"/>
      <c r="C28" s="376"/>
      <c r="D28" s="285" t="s">
        <v>218</v>
      </c>
      <c r="E28" s="119">
        <v>405</v>
      </c>
      <c r="F28" s="119" t="s">
        <v>12</v>
      </c>
      <c r="G28" s="119" t="s">
        <v>12</v>
      </c>
      <c r="H28" s="284" t="s">
        <v>12</v>
      </c>
      <c r="I28" s="284" t="s">
        <v>25</v>
      </c>
      <c r="J28" s="120" t="s">
        <v>15</v>
      </c>
      <c r="K28" s="120" t="s">
        <v>15</v>
      </c>
      <c r="L28" s="120" t="s">
        <v>15</v>
      </c>
      <c r="M28" s="284" t="s">
        <v>36</v>
      </c>
      <c r="N28" s="120" t="s">
        <v>15</v>
      </c>
      <c r="O28" s="284" t="s">
        <v>12</v>
      </c>
      <c r="P28" s="120" t="s">
        <v>15</v>
      </c>
    </row>
    <row r="29" spans="1:16" ht="45">
      <c r="A29" s="278">
        <v>24</v>
      </c>
      <c r="B29" s="376"/>
      <c r="C29" s="376"/>
      <c r="D29" s="285" t="s">
        <v>219</v>
      </c>
      <c r="E29" s="119">
        <v>1113</v>
      </c>
      <c r="F29" s="119" t="s">
        <v>12</v>
      </c>
      <c r="G29" s="119" t="s">
        <v>12</v>
      </c>
      <c r="H29" s="284" t="s">
        <v>12</v>
      </c>
      <c r="I29" s="284" t="s">
        <v>25</v>
      </c>
      <c r="J29" s="120" t="s">
        <v>15</v>
      </c>
      <c r="K29" s="120" t="s">
        <v>15</v>
      </c>
      <c r="L29" s="120" t="s">
        <v>15</v>
      </c>
      <c r="M29" s="284" t="s">
        <v>36</v>
      </c>
      <c r="N29" s="120" t="s">
        <v>15</v>
      </c>
      <c r="O29" s="284" t="s">
        <v>12</v>
      </c>
      <c r="P29" s="120" t="s">
        <v>15</v>
      </c>
    </row>
    <row r="30" spans="1:16" ht="45">
      <c r="A30" s="278">
        <v>25</v>
      </c>
      <c r="B30" s="376"/>
      <c r="C30" s="376"/>
      <c r="D30" s="285" t="s">
        <v>220</v>
      </c>
      <c r="E30" s="119">
        <v>10522</v>
      </c>
      <c r="F30" s="119" t="s">
        <v>12</v>
      </c>
      <c r="G30" s="119" t="s">
        <v>12</v>
      </c>
      <c r="H30" s="284" t="s">
        <v>12</v>
      </c>
      <c r="I30" s="284" t="s">
        <v>25</v>
      </c>
      <c r="J30" s="120" t="s">
        <v>15</v>
      </c>
      <c r="K30" s="120" t="s">
        <v>15</v>
      </c>
      <c r="L30" s="120" t="s">
        <v>15</v>
      </c>
      <c r="M30" s="284" t="s">
        <v>36</v>
      </c>
      <c r="N30" s="120" t="s">
        <v>15</v>
      </c>
      <c r="O30" s="284" t="s">
        <v>12</v>
      </c>
      <c r="P30" s="120" t="s">
        <v>15</v>
      </c>
    </row>
    <row r="31" spans="1:16" ht="45">
      <c r="A31" s="278">
        <v>26</v>
      </c>
      <c r="B31" s="376"/>
      <c r="C31" s="376"/>
      <c r="D31" s="285" t="s">
        <v>221</v>
      </c>
      <c r="E31" s="119">
        <v>28834</v>
      </c>
      <c r="F31" s="119" t="s">
        <v>12</v>
      </c>
      <c r="G31" s="119" t="s">
        <v>12</v>
      </c>
      <c r="H31" s="284" t="s">
        <v>12</v>
      </c>
      <c r="I31" s="284" t="s">
        <v>25</v>
      </c>
      <c r="J31" s="120" t="s">
        <v>15</v>
      </c>
      <c r="K31" s="120" t="s">
        <v>15</v>
      </c>
      <c r="L31" s="120" t="s">
        <v>15</v>
      </c>
      <c r="M31" s="284" t="s">
        <v>36</v>
      </c>
      <c r="N31" s="120" t="s">
        <v>15</v>
      </c>
      <c r="O31" s="284" t="s">
        <v>12</v>
      </c>
      <c r="P31" s="120" t="s">
        <v>15</v>
      </c>
    </row>
    <row r="32" spans="1:16" ht="46.5" customHeight="1">
      <c r="A32" s="278">
        <v>27</v>
      </c>
      <c r="B32" s="376"/>
      <c r="C32" s="376"/>
      <c r="D32" s="285" t="s">
        <v>222</v>
      </c>
      <c r="E32" s="119">
        <v>405</v>
      </c>
      <c r="F32" s="119" t="s">
        <v>12</v>
      </c>
      <c r="G32" s="119" t="s">
        <v>12</v>
      </c>
      <c r="H32" s="284" t="s">
        <v>12</v>
      </c>
      <c r="I32" s="284" t="s">
        <v>25</v>
      </c>
      <c r="J32" s="120" t="s">
        <v>15</v>
      </c>
      <c r="K32" s="120" t="s">
        <v>15</v>
      </c>
      <c r="L32" s="120" t="s">
        <v>15</v>
      </c>
      <c r="M32" s="284" t="s">
        <v>36</v>
      </c>
      <c r="N32" s="120" t="s">
        <v>15</v>
      </c>
      <c r="O32" s="284" t="s">
        <v>12</v>
      </c>
      <c r="P32" s="120" t="s">
        <v>15</v>
      </c>
    </row>
    <row r="33" spans="1:16" ht="45">
      <c r="A33" s="278">
        <v>28</v>
      </c>
      <c r="B33" s="376"/>
      <c r="C33" s="376"/>
      <c r="D33" s="285" t="s">
        <v>223</v>
      </c>
      <c r="E33" s="119">
        <v>2327</v>
      </c>
      <c r="F33" s="119" t="s">
        <v>12</v>
      </c>
      <c r="G33" s="119" t="s">
        <v>12</v>
      </c>
      <c r="H33" s="284" t="s">
        <v>12</v>
      </c>
      <c r="I33" s="284" t="s">
        <v>25</v>
      </c>
      <c r="J33" s="120" t="s">
        <v>15</v>
      </c>
      <c r="K33" s="120" t="s">
        <v>15</v>
      </c>
      <c r="L33" s="120" t="s">
        <v>15</v>
      </c>
      <c r="M33" s="284" t="s">
        <v>36</v>
      </c>
      <c r="N33" s="120" t="s">
        <v>15</v>
      </c>
      <c r="O33" s="284" t="s">
        <v>12</v>
      </c>
      <c r="P33" s="120" t="s">
        <v>15</v>
      </c>
    </row>
    <row r="34" spans="1:16" ht="45">
      <c r="A34" s="278">
        <v>29</v>
      </c>
      <c r="B34" s="376"/>
      <c r="C34" s="376"/>
      <c r="D34" s="285" t="s">
        <v>224</v>
      </c>
      <c r="E34" s="119">
        <v>101</v>
      </c>
      <c r="F34" s="119" t="s">
        <v>12</v>
      </c>
      <c r="G34" s="119" t="s">
        <v>12</v>
      </c>
      <c r="H34" s="284" t="s">
        <v>12</v>
      </c>
      <c r="I34" s="284" t="s">
        <v>25</v>
      </c>
      <c r="J34" s="120" t="s">
        <v>15</v>
      </c>
      <c r="K34" s="120" t="s">
        <v>15</v>
      </c>
      <c r="L34" s="120" t="s">
        <v>15</v>
      </c>
      <c r="M34" s="284" t="s">
        <v>36</v>
      </c>
      <c r="N34" s="120" t="s">
        <v>15</v>
      </c>
      <c r="O34" s="284" t="s">
        <v>12</v>
      </c>
      <c r="P34" s="120" t="s">
        <v>15</v>
      </c>
    </row>
    <row r="35" spans="1:16" ht="45">
      <c r="A35" s="278">
        <v>30</v>
      </c>
      <c r="B35" s="376"/>
      <c r="C35" s="376"/>
      <c r="D35" s="285" t="s">
        <v>225</v>
      </c>
      <c r="E35" s="119">
        <v>304</v>
      </c>
      <c r="F35" s="119" t="s">
        <v>12</v>
      </c>
      <c r="G35" s="119" t="s">
        <v>12</v>
      </c>
      <c r="H35" s="284" t="s">
        <v>12</v>
      </c>
      <c r="I35" s="284" t="s">
        <v>25</v>
      </c>
      <c r="J35" s="120" t="s">
        <v>15</v>
      </c>
      <c r="K35" s="120" t="s">
        <v>15</v>
      </c>
      <c r="L35" s="120" t="s">
        <v>15</v>
      </c>
      <c r="M35" s="284" t="s">
        <v>36</v>
      </c>
      <c r="N35" s="120" t="s">
        <v>15</v>
      </c>
      <c r="O35" s="284" t="s">
        <v>12</v>
      </c>
      <c r="P35" s="120" t="s">
        <v>15</v>
      </c>
    </row>
    <row r="36" spans="1:16" ht="60">
      <c r="A36" s="278">
        <v>31</v>
      </c>
      <c r="B36" s="376"/>
      <c r="C36" s="376"/>
      <c r="D36" s="285" t="s">
        <v>226</v>
      </c>
      <c r="E36" s="119">
        <v>1720</v>
      </c>
      <c r="F36" s="119" t="s">
        <v>12</v>
      </c>
      <c r="G36" s="119" t="s">
        <v>12</v>
      </c>
      <c r="H36" s="284" t="s">
        <v>12</v>
      </c>
      <c r="I36" s="284" t="s">
        <v>25</v>
      </c>
      <c r="J36" s="120" t="s">
        <v>15</v>
      </c>
      <c r="K36" s="120" t="s">
        <v>15</v>
      </c>
      <c r="L36" s="120" t="s">
        <v>15</v>
      </c>
      <c r="M36" s="284" t="s">
        <v>36</v>
      </c>
      <c r="N36" s="120" t="s">
        <v>15</v>
      </c>
      <c r="O36" s="284" t="s">
        <v>12</v>
      </c>
      <c r="P36" s="120" t="s">
        <v>15</v>
      </c>
    </row>
    <row r="37" spans="1:16" ht="60">
      <c r="A37" s="278">
        <v>32</v>
      </c>
      <c r="B37" s="376"/>
      <c r="C37" s="376"/>
      <c r="D37" s="285" t="s">
        <v>227</v>
      </c>
      <c r="E37" s="119">
        <v>1821</v>
      </c>
      <c r="F37" s="119" t="s">
        <v>12</v>
      </c>
      <c r="G37" s="119" t="s">
        <v>12</v>
      </c>
      <c r="H37" s="284" t="s">
        <v>12</v>
      </c>
      <c r="I37" s="284" t="s">
        <v>25</v>
      </c>
      <c r="J37" s="120" t="s">
        <v>15</v>
      </c>
      <c r="K37" s="120" t="s">
        <v>15</v>
      </c>
      <c r="L37" s="120" t="s">
        <v>15</v>
      </c>
      <c r="M37" s="284" t="s">
        <v>36</v>
      </c>
      <c r="N37" s="120" t="s">
        <v>15</v>
      </c>
      <c r="O37" s="284" t="s">
        <v>12</v>
      </c>
      <c r="P37" s="120" t="s">
        <v>15</v>
      </c>
    </row>
    <row r="38" spans="1:16" ht="60">
      <c r="A38" s="278">
        <v>33</v>
      </c>
      <c r="B38" s="376"/>
      <c r="C38" s="376"/>
      <c r="D38" s="285" t="s">
        <v>228</v>
      </c>
      <c r="E38" s="119">
        <v>5059</v>
      </c>
      <c r="F38" s="119" t="s">
        <v>12</v>
      </c>
      <c r="G38" s="119" t="s">
        <v>12</v>
      </c>
      <c r="H38" s="284" t="s">
        <v>12</v>
      </c>
      <c r="I38" s="284" t="s">
        <v>25</v>
      </c>
      <c r="J38" s="120" t="s">
        <v>15</v>
      </c>
      <c r="K38" s="120" t="s">
        <v>15</v>
      </c>
      <c r="L38" s="120" t="s">
        <v>15</v>
      </c>
      <c r="M38" s="284" t="s">
        <v>36</v>
      </c>
      <c r="N38" s="120" t="s">
        <v>15</v>
      </c>
      <c r="O38" s="284" t="s">
        <v>12</v>
      </c>
      <c r="P38" s="120" t="s">
        <v>15</v>
      </c>
    </row>
    <row r="39" spans="1:16" ht="45">
      <c r="A39" s="278">
        <v>34</v>
      </c>
      <c r="B39" s="376"/>
      <c r="C39" s="376"/>
      <c r="D39" s="285" t="s">
        <v>229</v>
      </c>
      <c r="E39" s="119">
        <v>4047</v>
      </c>
      <c r="F39" s="119" t="s">
        <v>12</v>
      </c>
      <c r="G39" s="119" t="s">
        <v>12</v>
      </c>
      <c r="H39" s="284" t="s">
        <v>12</v>
      </c>
      <c r="I39" s="284" t="s">
        <v>25</v>
      </c>
      <c r="J39" s="120" t="s">
        <v>15</v>
      </c>
      <c r="K39" s="120" t="s">
        <v>15</v>
      </c>
      <c r="L39" s="120" t="s">
        <v>15</v>
      </c>
      <c r="M39" s="284" t="s">
        <v>36</v>
      </c>
      <c r="N39" s="120" t="s">
        <v>15</v>
      </c>
      <c r="O39" s="284" t="s">
        <v>12</v>
      </c>
      <c r="P39" s="120" t="s">
        <v>15</v>
      </c>
    </row>
    <row r="40" spans="1:16" ht="45">
      <c r="A40" s="278">
        <v>35</v>
      </c>
      <c r="B40" s="376"/>
      <c r="C40" s="376"/>
      <c r="D40" s="285" t="s">
        <v>230</v>
      </c>
      <c r="E40" s="119">
        <v>4654</v>
      </c>
      <c r="F40" s="119" t="s">
        <v>12</v>
      </c>
      <c r="G40" s="119" t="s">
        <v>12</v>
      </c>
      <c r="H40" s="284" t="s">
        <v>12</v>
      </c>
      <c r="I40" s="284" t="s">
        <v>25</v>
      </c>
      <c r="J40" s="120" t="s">
        <v>15</v>
      </c>
      <c r="K40" s="120" t="s">
        <v>15</v>
      </c>
      <c r="L40" s="120" t="s">
        <v>15</v>
      </c>
      <c r="M40" s="284" t="s">
        <v>36</v>
      </c>
      <c r="N40" s="120" t="s">
        <v>15</v>
      </c>
      <c r="O40" s="284" t="s">
        <v>12</v>
      </c>
      <c r="P40" s="120" t="s">
        <v>15</v>
      </c>
    </row>
    <row r="41" spans="1:16" ht="45">
      <c r="A41" s="278">
        <v>36</v>
      </c>
      <c r="B41" s="376"/>
      <c r="C41" s="376"/>
      <c r="D41" s="285" t="s">
        <v>231</v>
      </c>
      <c r="E41" s="119">
        <v>607</v>
      </c>
      <c r="F41" s="119" t="s">
        <v>12</v>
      </c>
      <c r="G41" s="119" t="s">
        <v>12</v>
      </c>
      <c r="H41" s="284" t="s">
        <v>12</v>
      </c>
      <c r="I41" s="284" t="s">
        <v>25</v>
      </c>
      <c r="J41" s="120" t="s">
        <v>15</v>
      </c>
      <c r="K41" s="120" t="s">
        <v>15</v>
      </c>
      <c r="L41" s="120" t="s">
        <v>15</v>
      </c>
      <c r="M41" s="284" t="s">
        <v>36</v>
      </c>
      <c r="N41" s="120" t="s">
        <v>15</v>
      </c>
      <c r="O41" s="284" t="s">
        <v>12</v>
      </c>
      <c r="P41" s="120" t="s">
        <v>15</v>
      </c>
    </row>
    <row r="42" spans="1:16" ht="90">
      <c r="A42" s="278">
        <v>37</v>
      </c>
      <c r="B42" s="376"/>
      <c r="C42" s="376"/>
      <c r="D42" s="132" t="s">
        <v>232</v>
      </c>
      <c r="E42" s="37">
        <v>38960</v>
      </c>
      <c r="F42" s="119" t="s">
        <v>12</v>
      </c>
      <c r="G42" s="119" t="s">
        <v>12</v>
      </c>
      <c r="H42" s="278">
        <v>48.7</v>
      </c>
      <c r="I42" s="119" t="s">
        <v>12</v>
      </c>
      <c r="J42" s="120" t="s">
        <v>15</v>
      </c>
      <c r="K42" s="120" t="s">
        <v>15</v>
      </c>
      <c r="L42" s="120" t="s">
        <v>15</v>
      </c>
      <c r="M42" s="120" t="s">
        <v>15</v>
      </c>
      <c r="N42" s="278" t="s">
        <v>1902</v>
      </c>
      <c r="O42" s="278"/>
      <c r="P42" s="278"/>
    </row>
    <row r="43" spans="1:16" ht="75">
      <c r="A43" s="278">
        <v>38</v>
      </c>
      <c r="B43" s="376"/>
      <c r="C43" s="376"/>
      <c r="D43" s="132" t="s">
        <v>233</v>
      </c>
      <c r="E43" s="37">
        <v>4047</v>
      </c>
      <c r="F43" s="119" t="s">
        <v>12</v>
      </c>
      <c r="G43" s="119" t="s">
        <v>12</v>
      </c>
      <c r="H43" s="278">
        <v>14.87</v>
      </c>
      <c r="I43" s="119" t="s">
        <v>12</v>
      </c>
      <c r="J43" s="120" t="s">
        <v>15</v>
      </c>
      <c r="K43" s="120" t="s">
        <v>15</v>
      </c>
      <c r="L43" s="278" t="s">
        <v>234</v>
      </c>
      <c r="M43" s="120" t="s">
        <v>15</v>
      </c>
      <c r="N43" s="278" t="s">
        <v>234</v>
      </c>
      <c r="O43" s="278"/>
      <c r="P43" s="278" t="s">
        <v>235</v>
      </c>
    </row>
    <row r="44" spans="1:16" ht="60">
      <c r="A44" s="278">
        <v>39</v>
      </c>
      <c r="B44" s="376"/>
      <c r="C44" s="376" t="s">
        <v>236</v>
      </c>
      <c r="D44" s="279" t="s">
        <v>237</v>
      </c>
      <c r="E44" s="37">
        <v>8600</v>
      </c>
      <c r="F44" s="278" t="s">
        <v>238</v>
      </c>
      <c r="G44" s="278">
        <v>0.89</v>
      </c>
      <c r="H44" s="278" t="s">
        <v>239</v>
      </c>
      <c r="I44" s="278" t="s">
        <v>46</v>
      </c>
      <c r="J44" s="278" t="s">
        <v>12</v>
      </c>
      <c r="K44" s="278" t="s">
        <v>12</v>
      </c>
      <c r="L44" s="278" t="s">
        <v>12</v>
      </c>
      <c r="M44" s="278" t="s">
        <v>240</v>
      </c>
      <c r="N44" s="278" t="s">
        <v>241</v>
      </c>
      <c r="O44" s="278" t="s">
        <v>242</v>
      </c>
      <c r="P44" s="278"/>
    </row>
    <row r="45" spans="1:16" ht="30">
      <c r="A45" s="278">
        <v>40</v>
      </c>
      <c r="B45" s="376"/>
      <c r="C45" s="376"/>
      <c r="D45" s="240" t="s">
        <v>243</v>
      </c>
      <c r="E45" s="71">
        <v>500</v>
      </c>
      <c r="F45" s="280" t="s">
        <v>244</v>
      </c>
      <c r="G45" s="280" t="s">
        <v>245</v>
      </c>
      <c r="H45" s="280" t="s">
        <v>246</v>
      </c>
      <c r="I45" s="278" t="s">
        <v>46</v>
      </c>
      <c r="J45" s="278" t="s">
        <v>12</v>
      </c>
      <c r="K45" s="278" t="s">
        <v>12</v>
      </c>
      <c r="L45" s="278" t="s">
        <v>12</v>
      </c>
      <c r="M45" s="278"/>
      <c r="N45" s="278"/>
      <c r="O45" s="278"/>
      <c r="P45" s="278"/>
    </row>
    <row r="46" spans="1:16" ht="30">
      <c r="A46" s="278">
        <v>41</v>
      </c>
      <c r="B46" s="376"/>
      <c r="C46" s="376"/>
      <c r="D46" s="240" t="s">
        <v>247</v>
      </c>
      <c r="E46" s="71">
        <v>2000</v>
      </c>
      <c r="F46" s="280" t="s">
        <v>248</v>
      </c>
      <c r="G46" s="280" t="s">
        <v>249</v>
      </c>
      <c r="H46" s="280" t="s">
        <v>250</v>
      </c>
      <c r="I46" s="278" t="s">
        <v>46</v>
      </c>
      <c r="J46" s="278" t="s">
        <v>12</v>
      </c>
      <c r="K46" s="278" t="s">
        <v>12</v>
      </c>
      <c r="L46" s="278" t="s">
        <v>12</v>
      </c>
      <c r="M46" s="278"/>
      <c r="N46" s="278"/>
      <c r="O46" s="278"/>
      <c r="P46" s="278"/>
    </row>
    <row r="47" spans="1:16" ht="30">
      <c r="A47" s="278">
        <v>42</v>
      </c>
      <c r="B47" s="376"/>
      <c r="C47" s="376"/>
      <c r="D47" s="240" t="s">
        <v>251</v>
      </c>
      <c r="E47" s="71">
        <v>2000</v>
      </c>
      <c r="F47" s="280" t="s">
        <v>252</v>
      </c>
      <c r="G47" s="280" t="s">
        <v>253</v>
      </c>
      <c r="H47" s="280" t="s">
        <v>254</v>
      </c>
      <c r="I47" s="278" t="s">
        <v>46</v>
      </c>
      <c r="J47" s="278" t="s">
        <v>12</v>
      </c>
      <c r="K47" s="278" t="s">
        <v>12</v>
      </c>
      <c r="L47" s="278" t="s">
        <v>12</v>
      </c>
      <c r="M47" s="278"/>
      <c r="N47" s="278"/>
      <c r="O47" s="278"/>
      <c r="P47" s="278"/>
    </row>
    <row r="48" spans="1:16" ht="30">
      <c r="A48" s="278">
        <v>43</v>
      </c>
      <c r="B48" s="376"/>
      <c r="C48" s="376"/>
      <c r="D48" s="240" t="s">
        <v>255</v>
      </c>
      <c r="E48" s="71">
        <v>1500</v>
      </c>
      <c r="F48" s="280" t="s">
        <v>256</v>
      </c>
      <c r="G48" s="280" t="s">
        <v>257</v>
      </c>
      <c r="H48" s="280" t="s">
        <v>258</v>
      </c>
      <c r="I48" s="278" t="s">
        <v>46</v>
      </c>
      <c r="J48" s="278" t="s">
        <v>12</v>
      </c>
      <c r="K48" s="278" t="s">
        <v>12</v>
      </c>
      <c r="L48" s="278" t="s">
        <v>12</v>
      </c>
      <c r="M48" s="278"/>
      <c r="N48" s="278"/>
      <c r="O48" s="278"/>
      <c r="P48" s="278"/>
    </row>
    <row r="49" spans="1:16" ht="90">
      <c r="A49" s="278">
        <v>44</v>
      </c>
      <c r="B49" s="376"/>
      <c r="C49" s="436" t="s">
        <v>259</v>
      </c>
      <c r="D49" s="285" t="s">
        <v>260</v>
      </c>
      <c r="E49" s="37">
        <v>4047</v>
      </c>
      <c r="F49" s="119" t="s">
        <v>261</v>
      </c>
      <c r="G49" s="119" t="s">
        <v>262</v>
      </c>
      <c r="H49" s="119" t="s">
        <v>42</v>
      </c>
      <c r="I49" s="119" t="s">
        <v>52</v>
      </c>
      <c r="J49" s="278" t="s">
        <v>12</v>
      </c>
      <c r="K49" s="278" t="s">
        <v>12</v>
      </c>
      <c r="L49" s="162" t="s">
        <v>1906</v>
      </c>
      <c r="M49" s="119" t="s">
        <v>14</v>
      </c>
      <c r="N49" s="119" t="s">
        <v>1901</v>
      </c>
      <c r="O49" s="119" t="s">
        <v>263</v>
      </c>
      <c r="P49" s="119"/>
    </row>
    <row r="50" spans="1:16" ht="61.5" customHeight="1">
      <c r="A50" s="278">
        <v>45</v>
      </c>
      <c r="B50" s="376"/>
      <c r="C50" s="436"/>
      <c r="D50" s="285" t="s">
        <v>264</v>
      </c>
      <c r="E50" s="119" t="s">
        <v>265</v>
      </c>
      <c r="F50" s="119" t="s">
        <v>266</v>
      </c>
      <c r="G50" s="119">
        <v>0.01</v>
      </c>
      <c r="H50" s="119" t="s">
        <v>12</v>
      </c>
      <c r="I50" s="119" t="s">
        <v>267</v>
      </c>
      <c r="J50" s="119" t="s">
        <v>12</v>
      </c>
      <c r="K50" s="119" t="s">
        <v>12</v>
      </c>
      <c r="L50" s="119" t="s">
        <v>12</v>
      </c>
      <c r="M50" s="119" t="s">
        <v>12</v>
      </c>
      <c r="N50" s="119" t="s">
        <v>12</v>
      </c>
      <c r="O50" s="119"/>
      <c r="P50" s="119"/>
    </row>
    <row r="51" spans="1:16" ht="78.75" customHeight="1">
      <c r="A51" s="278">
        <v>46</v>
      </c>
      <c r="B51" s="376"/>
      <c r="C51" s="436"/>
      <c r="D51" s="285" t="s">
        <v>268</v>
      </c>
      <c r="E51" s="119" t="s">
        <v>269</v>
      </c>
      <c r="F51" s="119" t="s">
        <v>270</v>
      </c>
      <c r="G51" s="119">
        <v>0.01</v>
      </c>
      <c r="H51" s="119" t="s">
        <v>12</v>
      </c>
      <c r="I51" s="119" t="s">
        <v>271</v>
      </c>
      <c r="J51" s="119" t="s">
        <v>12</v>
      </c>
      <c r="K51" s="119" t="s">
        <v>12</v>
      </c>
      <c r="L51" s="119" t="s">
        <v>12</v>
      </c>
      <c r="M51" s="119" t="s">
        <v>12</v>
      </c>
      <c r="N51" s="119" t="s">
        <v>12</v>
      </c>
      <c r="O51" s="119"/>
      <c r="P51" s="119"/>
    </row>
    <row r="52" spans="1:16" ht="45">
      <c r="A52" s="278">
        <v>47</v>
      </c>
      <c r="B52" s="376"/>
      <c r="C52" s="436"/>
      <c r="D52" s="285" t="s">
        <v>272</v>
      </c>
      <c r="E52" s="119">
        <v>10250</v>
      </c>
      <c r="F52" s="119">
        <v>40717</v>
      </c>
      <c r="G52" s="119" t="s">
        <v>273</v>
      </c>
      <c r="H52" s="119" t="s">
        <v>12</v>
      </c>
      <c r="I52" s="119" t="s">
        <v>274</v>
      </c>
      <c r="J52" s="162" t="s">
        <v>1904</v>
      </c>
      <c r="K52" s="119" t="s">
        <v>12</v>
      </c>
      <c r="L52" s="119" t="s">
        <v>12</v>
      </c>
      <c r="M52" s="119" t="s">
        <v>12</v>
      </c>
      <c r="N52" s="119" t="s">
        <v>12</v>
      </c>
      <c r="O52" s="119"/>
      <c r="P52" s="119"/>
    </row>
    <row r="53" spans="1:16" ht="15" customHeight="1">
      <c r="A53" s="348"/>
      <c r="B53" s="442" t="s">
        <v>1905</v>
      </c>
      <c r="C53" s="442"/>
      <c r="D53" s="442"/>
      <c r="E53" s="442"/>
      <c r="F53" s="442"/>
      <c r="G53" s="442"/>
      <c r="H53" s="442"/>
      <c r="I53" s="442"/>
      <c r="J53" s="442"/>
      <c r="K53" s="442"/>
      <c r="L53" s="442"/>
      <c r="M53" s="442"/>
      <c r="N53" s="442"/>
      <c r="O53" s="442"/>
      <c r="P53" s="442"/>
    </row>
    <row r="54" spans="1:16">
      <c r="A54" s="348"/>
      <c r="B54" s="440" t="s">
        <v>1903</v>
      </c>
      <c r="C54" s="441"/>
      <c r="D54" s="441"/>
      <c r="E54" s="441"/>
      <c r="F54" s="441"/>
      <c r="G54" s="441"/>
      <c r="H54" s="441"/>
      <c r="I54" s="441"/>
      <c r="J54" s="441"/>
      <c r="K54" s="441"/>
      <c r="L54" s="441"/>
      <c r="M54" s="441"/>
      <c r="N54" s="441"/>
      <c r="O54" s="441"/>
      <c r="P54" s="441"/>
    </row>
    <row r="55" spans="1:16">
      <c r="A55" s="433"/>
      <c r="B55" s="434"/>
      <c r="C55" s="434"/>
      <c r="D55" s="434"/>
      <c r="E55" s="434"/>
      <c r="F55" s="434"/>
      <c r="G55" s="434"/>
      <c r="H55" s="434"/>
      <c r="I55" s="434"/>
      <c r="J55" s="434"/>
      <c r="K55" s="434"/>
      <c r="L55" s="434"/>
      <c r="M55" s="434"/>
      <c r="N55" s="434"/>
      <c r="O55" s="434"/>
      <c r="P55" s="435"/>
    </row>
    <row r="56" spans="1:16" ht="20.25" customHeight="1">
      <c r="A56" s="336" t="s">
        <v>27</v>
      </c>
      <c r="B56" s="337"/>
      <c r="C56" s="337"/>
      <c r="D56" s="337"/>
      <c r="E56" s="337"/>
      <c r="F56" s="337"/>
      <c r="G56" s="337"/>
      <c r="H56" s="337"/>
      <c r="I56" s="337"/>
      <c r="J56" s="337"/>
      <c r="K56" s="337"/>
      <c r="L56" s="337"/>
      <c r="M56" s="337"/>
      <c r="N56" s="337"/>
      <c r="O56" s="391"/>
      <c r="P56" s="370"/>
    </row>
    <row r="57" spans="1:16" ht="85.5">
      <c r="A57" s="21" t="s">
        <v>0</v>
      </c>
      <c r="B57" s="21" t="s">
        <v>116</v>
      </c>
      <c r="C57" s="21" t="s">
        <v>1</v>
      </c>
      <c r="D57" s="21" t="s">
        <v>123</v>
      </c>
      <c r="E57" s="22" t="s">
        <v>17</v>
      </c>
      <c r="F57" s="22" t="s">
        <v>18</v>
      </c>
      <c r="G57" s="21" t="s">
        <v>114</v>
      </c>
      <c r="H57" s="21" t="s">
        <v>115</v>
      </c>
      <c r="I57" s="21" t="s">
        <v>117</v>
      </c>
      <c r="J57" s="21" t="s">
        <v>5</v>
      </c>
      <c r="K57" s="21" t="s">
        <v>6</v>
      </c>
      <c r="L57" s="21" t="s">
        <v>21</v>
      </c>
      <c r="M57" s="21" t="s">
        <v>22</v>
      </c>
      <c r="N57" s="22" t="s">
        <v>23</v>
      </c>
      <c r="O57" s="20" t="s">
        <v>24</v>
      </c>
      <c r="P57" s="371"/>
    </row>
    <row r="58" spans="1:16" ht="12.75" customHeight="1">
      <c r="A58" s="94">
        <v>1</v>
      </c>
      <c r="B58" s="88">
        <v>2</v>
      </c>
      <c r="C58" s="88">
        <v>3</v>
      </c>
      <c r="D58" s="88">
        <v>4</v>
      </c>
      <c r="E58" s="88">
        <v>5</v>
      </c>
      <c r="F58" s="88">
        <v>6</v>
      </c>
      <c r="G58" s="88">
        <v>7</v>
      </c>
      <c r="H58" s="88">
        <v>8</v>
      </c>
      <c r="I58" s="88">
        <v>9</v>
      </c>
      <c r="J58" s="88">
        <v>10</v>
      </c>
      <c r="K58" s="88">
        <v>11</v>
      </c>
      <c r="L58" s="88">
        <v>12</v>
      </c>
      <c r="M58" s="88">
        <v>13</v>
      </c>
      <c r="N58" s="88">
        <v>14</v>
      </c>
      <c r="O58" s="88">
        <v>15</v>
      </c>
      <c r="P58" s="371"/>
    </row>
    <row r="59" spans="1:16" ht="60">
      <c r="A59" s="137">
        <v>1</v>
      </c>
      <c r="B59" s="376" t="s">
        <v>275</v>
      </c>
      <c r="C59" s="376" t="s">
        <v>189</v>
      </c>
      <c r="D59" s="70" t="s">
        <v>276</v>
      </c>
      <c r="E59" s="60">
        <v>208</v>
      </c>
      <c r="F59" s="60" t="s">
        <v>191</v>
      </c>
      <c r="G59" s="60">
        <v>6.9999999999999999E-4</v>
      </c>
      <c r="H59" s="137" t="s">
        <v>12</v>
      </c>
      <c r="I59" s="137" t="s">
        <v>25</v>
      </c>
      <c r="J59" s="87" t="s">
        <v>15</v>
      </c>
      <c r="K59" s="87" t="s">
        <v>15</v>
      </c>
      <c r="L59" s="87" t="s">
        <v>15</v>
      </c>
      <c r="M59" s="137" t="s">
        <v>12</v>
      </c>
      <c r="N59" s="137">
        <v>1</v>
      </c>
      <c r="O59" s="87" t="s">
        <v>15</v>
      </c>
      <c r="P59" s="371"/>
    </row>
    <row r="60" spans="1:16" ht="90">
      <c r="A60" s="137">
        <v>2</v>
      </c>
      <c r="B60" s="376"/>
      <c r="C60" s="376"/>
      <c r="D60" s="70" t="s">
        <v>277</v>
      </c>
      <c r="E60" s="60">
        <v>122.81</v>
      </c>
      <c r="F60" s="60">
        <v>1919</v>
      </c>
      <c r="G60" s="60">
        <v>6.9999999999999994E-5</v>
      </c>
      <c r="H60" s="137" t="s">
        <v>12</v>
      </c>
      <c r="I60" s="137" t="s">
        <v>25</v>
      </c>
      <c r="J60" s="87" t="s">
        <v>15</v>
      </c>
      <c r="K60" s="87" t="s">
        <v>15</v>
      </c>
      <c r="L60" s="87" t="s">
        <v>15</v>
      </c>
      <c r="M60" s="137" t="s">
        <v>12</v>
      </c>
      <c r="N60" s="137">
        <v>2</v>
      </c>
      <c r="O60" s="87" t="s">
        <v>15</v>
      </c>
      <c r="P60" s="371"/>
    </row>
    <row r="61" spans="1:16" ht="45">
      <c r="A61" s="137">
        <v>3</v>
      </c>
      <c r="B61" s="376"/>
      <c r="C61" s="376"/>
      <c r="D61" s="70" t="s">
        <v>278</v>
      </c>
      <c r="E61" s="60">
        <v>325</v>
      </c>
      <c r="F61" s="60">
        <v>1877</v>
      </c>
      <c r="G61" s="60">
        <v>4.0000000000000002E-4</v>
      </c>
      <c r="H61" s="137" t="s">
        <v>12</v>
      </c>
      <c r="I61" s="137" t="s">
        <v>25</v>
      </c>
      <c r="J61" s="87" t="s">
        <v>15</v>
      </c>
      <c r="K61" s="87" t="s">
        <v>15</v>
      </c>
      <c r="L61" s="87" t="s">
        <v>15</v>
      </c>
      <c r="M61" s="137" t="s">
        <v>12</v>
      </c>
      <c r="N61" s="137">
        <v>3</v>
      </c>
      <c r="O61" s="87" t="s">
        <v>15</v>
      </c>
      <c r="P61" s="371"/>
    </row>
    <row r="62" spans="1:16" ht="45">
      <c r="A62" s="84">
        <v>4</v>
      </c>
      <c r="B62" s="376"/>
      <c r="C62" s="376"/>
      <c r="D62" s="133" t="s">
        <v>279</v>
      </c>
      <c r="E62" s="119">
        <v>76.92</v>
      </c>
      <c r="F62" s="119">
        <v>1903</v>
      </c>
      <c r="G62" s="119">
        <v>2.0000000000000001E-4</v>
      </c>
      <c r="H62" s="84" t="s">
        <v>12</v>
      </c>
      <c r="I62" s="84" t="s">
        <v>25</v>
      </c>
      <c r="J62" s="120" t="s">
        <v>15</v>
      </c>
      <c r="K62" s="120" t="s">
        <v>15</v>
      </c>
      <c r="L62" s="120" t="s">
        <v>15</v>
      </c>
      <c r="M62" s="84" t="s">
        <v>12</v>
      </c>
      <c r="N62" s="84">
        <v>4</v>
      </c>
      <c r="O62" s="120" t="s">
        <v>15</v>
      </c>
      <c r="P62" s="371"/>
    </row>
    <row r="63" spans="1:16" ht="45">
      <c r="A63" s="137">
        <v>5</v>
      </c>
      <c r="B63" s="376"/>
      <c r="C63" s="376"/>
      <c r="D63" s="70" t="s">
        <v>280</v>
      </c>
      <c r="E63" s="60">
        <v>198</v>
      </c>
      <c r="F63" s="60">
        <v>1875</v>
      </c>
      <c r="G63" s="60">
        <v>4.0000000000000002E-4</v>
      </c>
      <c r="H63" s="137" t="s">
        <v>12</v>
      </c>
      <c r="I63" s="137" t="s">
        <v>25</v>
      </c>
      <c r="J63" s="87" t="s">
        <v>15</v>
      </c>
      <c r="K63" s="87" t="s">
        <v>15</v>
      </c>
      <c r="L63" s="87" t="s">
        <v>15</v>
      </c>
      <c r="M63" s="137" t="s">
        <v>12</v>
      </c>
      <c r="N63" s="137">
        <v>5</v>
      </c>
      <c r="O63" s="87" t="s">
        <v>15</v>
      </c>
      <c r="P63" s="371"/>
    </row>
    <row r="64" spans="1:16" ht="15" customHeight="1">
      <c r="A64" s="137">
        <v>6</v>
      </c>
      <c r="B64" s="376"/>
      <c r="C64" s="376"/>
      <c r="D64" s="70" t="s">
        <v>263</v>
      </c>
      <c r="E64" s="60">
        <v>106</v>
      </c>
      <c r="F64" s="60">
        <v>1919</v>
      </c>
      <c r="G64" s="60">
        <v>2.9999999999999997E-4</v>
      </c>
      <c r="H64" s="137" t="s">
        <v>12</v>
      </c>
      <c r="I64" s="137" t="s">
        <v>25</v>
      </c>
      <c r="J64" s="87" t="s">
        <v>15</v>
      </c>
      <c r="K64" s="87" t="s">
        <v>15</v>
      </c>
      <c r="L64" s="87" t="s">
        <v>15</v>
      </c>
      <c r="M64" s="137" t="s">
        <v>12</v>
      </c>
      <c r="N64" s="137">
        <v>6</v>
      </c>
      <c r="O64" s="87" t="s">
        <v>15</v>
      </c>
      <c r="P64" s="371"/>
    </row>
    <row r="65" spans="1:16" ht="30">
      <c r="A65" s="84">
        <v>7</v>
      </c>
      <c r="B65" s="376"/>
      <c r="C65" s="376" t="s">
        <v>281</v>
      </c>
      <c r="D65" s="144" t="s">
        <v>282</v>
      </c>
      <c r="E65" s="141">
        <v>6000</v>
      </c>
      <c r="F65" s="141" t="s">
        <v>283</v>
      </c>
      <c r="G65" s="141" t="s">
        <v>284</v>
      </c>
      <c r="H65" s="141" t="s">
        <v>54</v>
      </c>
      <c r="I65" s="141" t="s">
        <v>285</v>
      </c>
      <c r="J65" s="141" t="s">
        <v>286</v>
      </c>
      <c r="K65" s="141" t="s">
        <v>12</v>
      </c>
      <c r="L65" s="141" t="s">
        <v>41</v>
      </c>
      <c r="M65" s="137" t="s">
        <v>242</v>
      </c>
      <c r="N65" s="137">
        <v>9</v>
      </c>
      <c r="O65" s="141" t="s">
        <v>41</v>
      </c>
      <c r="P65" s="371"/>
    </row>
    <row r="66" spans="1:16" ht="30">
      <c r="A66" s="137">
        <v>8</v>
      </c>
      <c r="B66" s="376"/>
      <c r="C66" s="376"/>
      <c r="D66" s="131" t="s">
        <v>287</v>
      </c>
      <c r="E66" s="141">
        <v>500</v>
      </c>
      <c r="F66" s="137" t="s">
        <v>238</v>
      </c>
      <c r="G66" s="141">
        <v>0.05</v>
      </c>
      <c r="H66" s="137" t="s">
        <v>288</v>
      </c>
      <c r="I66" s="137" t="s">
        <v>46</v>
      </c>
      <c r="J66" s="137" t="s">
        <v>12</v>
      </c>
      <c r="K66" s="137" t="s">
        <v>12</v>
      </c>
      <c r="L66" s="137" t="s">
        <v>12</v>
      </c>
      <c r="M66" s="141"/>
      <c r="N66" s="137">
        <v>10</v>
      </c>
      <c r="O66" s="141" t="s">
        <v>289</v>
      </c>
      <c r="P66" s="371"/>
    </row>
    <row r="67" spans="1:16" ht="30">
      <c r="A67" s="137">
        <v>9</v>
      </c>
      <c r="B67" s="376"/>
      <c r="C67" s="376"/>
      <c r="D67" s="142" t="s">
        <v>290</v>
      </c>
      <c r="E67" s="143" t="s">
        <v>291</v>
      </c>
      <c r="F67" s="143" t="s">
        <v>292</v>
      </c>
      <c r="G67" s="143" t="s">
        <v>293</v>
      </c>
      <c r="H67" s="143" t="s">
        <v>258</v>
      </c>
      <c r="I67" s="137"/>
      <c r="J67" s="137"/>
      <c r="K67" s="137"/>
      <c r="L67" s="137"/>
      <c r="M67" s="141"/>
      <c r="N67" s="137">
        <v>11</v>
      </c>
      <c r="O67" s="141"/>
      <c r="P67" s="371"/>
    </row>
    <row r="68" spans="1:16" ht="30">
      <c r="A68" s="84">
        <v>10</v>
      </c>
      <c r="B68" s="376"/>
      <c r="C68" s="376"/>
      <c r="D68" s="142" t="s">
        <v>294</v>
      </c>
      <c r="E68" s="143" t="s">
        <v>295</v>
      </c>
      <c r="F68" s="143" t="s">
        <v>296</v>
      </c>
      <c r="G68" s="143" t="s">
        <v>297</v>
      </c>
      <c r="H68" s="143" t="s">
        <v>298</v>
      </c>
      <c r="I68" s="137"/>
      <c r="J68" s="137"/>
      <c r="K68" s="137"/>
      <c r="L68" s="137"/>
      <c r="M68" s="141"/>
      <c r="N68" s="137">
        <v>12</v>
      </c>
      <c r="O68" s="141"/>
      <c r="P68" s="371"/>
    </row>
    <row r="69" spans="1:16" ht="30">
      <c r="A69" s="137">
        <v>11</v>
      </c>
      <c r="B69" s="376"/>
      <c r="C69" s="376"/>
      <c r="D69" s="142" t="s">
        <v>299</v>
      </c>
      <c r="E69" s="143" t="s">
        <v>300</v>
      </c>
      <c r="F69" s="143" t="s">
        <v>301</v>
      </c>
      <c r="G69" s="143" t="s">
        <v>12</v>
      </c>
      <c r="H69" s="143" t="s">
        <v>302</v>
      </c>
      <c r="I69" s="137"/>
      <c r="J69" s="137"/>
      <c r="K69" s="137"/>
      <c r="L69" s="137"/>
      <c r="M69" s="141"/>
      <c r="N69" s="137">
        <v>13</v>
      </c>
      <c r="O69" s="141"/>
      <c r="P69" s="371"/>
    </row>
    <row r="70" spans="1:16" ht="45">
      <c r="A70" s="137">
        <v>12</v>
      </c>
      <c r="B70" s="376"/>
      <c r="C70" s="376"/>
      <c r="D70" s="142" t="s">
        <v>303</v>
      </c>
      <c r="E70" s="143">
        <v>1800</v>
      </c>
      <c r="F70" s="143"/>
      <c r="G70" s="143"/>
      <c r="H70" s="143"/>
      <c r="I70" s="137" t="s">
        <v>304</v>
      </c>
      <c r="J70" s="137"/>
      <c r="K70" s="137" t="s">
        <v>305</v>
      </c>
      <c r="L70" s="137"/>
      <c r="M70" s="141"/>
      <c r="N70" s="137">
        <v>14</v>
      </c>
      <c r="O70" s="141" t="s">
        <v>306</v>
      </c>
      <c r="P70" s="371"/>
    </row>
    <row r="71" spans="1:16" ht="30">
      <c r="A71" s="84">
        <v>13</v>
      </c>
      <c r="B71" s="376"/>
      <c r="C71" s="376"/>
      <c r="D71" s="142" t="s">
        <v>307</v>
      </c>
      <c r="E71" s="143">
        <v>203.2</v>
      </c>
      <c r="F71" s="143" t="s">
        <v>308</v>
      </c>
      <c r="G71" s="143" t="s">
        <v>309</v>
      </c>
      <c r="H71" s="143" t="s">
        <v>310</v>
      </c>
      <c r="I71" s="137"/>
      <c r="J71" s="137"/>
      <c r="K71" s="137"/>
      <c r="L71" s="137"/>
      <c r="M71" s="141"/>
      <c r="N71" s="137">
        <v>15</v>
      </c>
      <c r="O71" s="141"/>
      <c r="P71" s="371"/>
    </row>
    <row r="72" spans="1:16" ht="45">
      <c r="A72" s="137">
        <v>14</v>
      </c>
      <c r="B72" s="376"/>
      <c r="C72" s="376"/>
      <c r="D72" s="131" t="s">
        <v>311</v>
      </c>
      <c r="E72" s="141">
        <v>500</v>
      </c>
      <c r="F72" s="137"/>
      <c r="G72" s="141"/>
      <c r="H72" s="137"/>
      <c r="I72" s="137" t="s">
        <v>304</v>
      </c>
      <c r="J72" s="137"/>
      <c r="K72" s="137" t="s">
        <v>305</v>
      </c>
      <c r="L72" s="137"/>
      <c r="M72" s="141"/>
      <c r="N72" s="137">
        <v>16</v>
      </c>
      <c r="O72" s="141" t="s">
        <v>306</v>
      </c>
      <c r="P72" s="371"/>
    </row>
    <row r="73" spans="1:16" ht="75">
      <c r="A73" s="137">
        <v>15</v>
      </c>
      <c r="B73" s="376"/>
      <c r="C73" s="376" t="s">
        <v>312</v>
      </c>
      <c r="D73" s="131" t="s">
        <v>313</v>
      </c>
      <c r="E73" s="137">
        <v>1247</v>
      </c>
      <c r="F73" s="137" t="s">
        <v>314</v>
      </c>
      <c r="G73" s="137">
        <v>1.1499999999999999</v>
      </c>
      <c r="H73" s="137"/>
      <c r="I73" s="137" t="s">
        <v>315</v>
      </c>
      <c r="J73" s="137" t="s">
        <v>316</v>
      </c>
      <c r="K73" s="137" t="s">
        <v>316</v>
      </c>
      <c r="L73" s="137" t="s">
        <v>316</v>
      </c>
      <c r="M73" s="137" t="s">
        <v>316</v>
      </c>
      <c r="N73" s="137">
        <v>18</v>
      </c>
      <c r="O73" s="137" t="s">
        <v>316</v>
      </c>
      <c r="P73" s="371"/>
    </row>
    <row r="74" spans="1:16" ht="75">
      <c r="A74" s="84">
        <v>16</v>
      </c>
      <c r="B74" s="376"/>
      <c r="C74" s="376"/>
      <c r="D74" s="131" t="s">
        <v>317</v>
      </c>
      <c r="E74" s="137">
        <v>1000</v>
      </c>
      <c r="F74" s="137" t="s">
        <v>318</v>
      </c>
      <c r="G74" s="137">
        <v>0.72</v>
      </c>
      <c r="H74" s="137"/>
      <c r="I74" s="137" t="s">
        <v>315</v>
      </c>
      <c r="J74" s="137" t="s">
        <v>316</v>
      </c>
      <c r="K74" s="137" t="s">
        <v>316</v>
      </c>
      <c r="L74" s="137" t="s">
        <v>316</v>
      </c>
      <c r="M74" s="137" t="s">
        <v>316</v>
      </c>
      <c r="N74" s="137">
        <v>19</v>
      </c>
      <c r="O74" s="137" t="s">
        <v>316</v>
      </c>
      <c r="P74" s="371"/>
    </row>
    <row r="75" spans="1:16" ht="60">
      <c r="A75" s="137">
        <v>17</v>
      </c>
      <c r="B75" s="376"/>
      <c r="C75" s="376"/>
      <c r="D75" s="131" t="s">
        <v>319</v>
      </c>
      <c r="E75" s="137">
        <v>684.92</v>
      </c>
      <c r="F75" s="137" t="s">
        <v>42</v>
      </c>
      <c r="G75" s="137" t="s">
        <v>42</v>
      </c>
      <c r="H75" s="137" t="s">
        <v>42</v>
      </c>
      <c r="I75" s="137" t="s">
        <v>320</v>
      </c>
      <c r="J75" s="137" t="s">
        <v>110</v>
      </c>
      <c r="K75" s="137" t="s">
        <v>110</v>
      </c>
      <c r="L75" s="137" t="s">
        <v>41</v>
      </c>
      <c r="M75" s="137" t="s">
        <v>42</v>
      </c>
      <c r="N75" s="137">
        <v>20</v>
      </c>
      <c r="O75" s="137" t="s">
        <v>321</v>
      </c>
      <c r="P75" s="371"/>
    </row>
    <row r="76" spans="1:16" ht="45">
      <c r="A76" s="137">
        <v>18</v>
      </c>
      <c r="B76" s="376"/>
      <c r="C76" s="376"/>
      <c r="D76" s="131" t="s">
        <v>322</v>
      </c>
      <c r="E76" s="137">
        <v>140.12</v>
      </c>
      <c r="F76" s="137" t="s">
        <v>42</v>
      </c>
      <c r="G76" s="137" t="s">
        <v>42</v>
      </c>
      <c r="H76" s="137" t="s">
        <v>42</v>
      </c>
      <c r="I76" s="137" t="s">
        <v>320</v>
      </c>
      <c r="J76" s="137" t="s">
        <v>110</v>
      </c>
      <c r="K76" s="137" t="s">
        <v>110</v>
      </c>
      <c r="L76" s="137" t="s">
        <v>41</v>
      </c>
      <c r="M76" s="137" t="s">
        <v>42</v>
      </c>
      <c r="N76" s="137">
        <v>21</v>
      </c>
      <c r="O76" s="137" t="s">
        <v>15</v>
      </c>
      <c r="P76" s="371"/>
    </row>
    <row r="77" spans="1:16" ht="90">
      <c r="A77" s="84">
        <v>19</v>
      </c>
      <c r="B77" s="376"/>
      <c r="C77" s="376"/>
      <c r="D77" s="131" t="s">
        <v>323</v>
      </c>
      <c r="E77" s="137" t="s">
        <v>324</v>
      </c>
      <c r="F77" s="137" t="s">
        <v>325</v>
      </c>
      <c r="G77" s="137" t="s">
        <v>326</v>
      </c>
      <c r="H77" s="137" t="s">
        <v>12</v>
      </c>
      <c r="I77" s="137" t="s">
        <v>327</v>
      </c>
      <c r="J77" s="137" t="s">
        <v>12</v>
      </c>
      <c r="K77" s="137" t="s">
        <v>12</v>
      </c>
      <c r="L77" s="137" t="s">
        <v>12</v>
      </c>
      <c r="M77" s="137" t="s">
        <v>12</v>
      </c>
      <c r="N77" s="137">
        <v>22</v>
      </c>
      <c r="O77" s="137"/>
      <c r="P77" s="371"/>
    </row>
    <row r="78" spans="1:16" ht="45">
      <c r="A78" s="137">
        <v>20</v>
      </c>
      <c r="B78" s="376"/>
      <c r="C78" s="376"/>
      <c r="D78" s="131" t="s">
        <v>328</v>
      </c>
      <c r="E78" s="137" t="s">
        <v>42</v>
      </c>
      <c r="F78" s="137" t="s">
        <v>42</v>
      </c>
      <c r="G78" s="137" t="s">
        <v>42</v>
      </c>
      <c r="H78" s="137" t="s">
        <v>42</v>
      </c>
      <c r="I78" s="137" t="s">
        <v>42</v>
      </c>
      <c r="J78" s="137" t="s">
        <v>42</v>
      </c>
      <c r="K78" s="137" t="s">
        <v>42</v>
      </c>
      <c r="L78" s="137" t="s">
        <v>12</v>
      </c>
      <c r="M78" s="137" t="s">
        <v>42</v>
      </c>
      <c r="N78" s="137">
        <v>23</v>
      </c>
      <c r="O78" s="137"/>
      <c r="P78" s="371"/>
    </row>
    <row r="79" spans="1:16" ht="45">
      <c r="A79" s="237">
        <v>21</v>
      </c>
      <c r="B79" s="340"/>
      <c r="C79" s="340"/>
      <c r="D79" s="234" t="s">
        <v>329</v>
      </c>
      <c r="E79" s="237">
        <v>206.96</v>
      </c>
      <c r="F79" s="237" t="s">
        <v>330</v>
      </c>
      <c r="G79" s="237" t="s">
        <v>42</v>
      </c>
      <c r="H79" s="237" t="s">
        <v>110</v>
      </c>
      <c r="I79" s="237" t="s">
        <v>42</v>
      </c>
      <c r="J79" s="237" t="s">
        <v>42</v>
      </c>
      <c r="K79" s="237" t="s">
        <v>42</v>
      </c>
      <c r="L79" s="237" t="s">
        <v>12</v>
      </c>
      <c r="M79" s="237" t="s">
        <v>42</v>
      </c>
      <c r="N79" s="237">
        <v>24</v>
      </c>
      <c r="O79" s="237" t="s">
        <v>331</v>
      </c>
      <c r="P79" s="371"/>
    </row>
    <row r="80" spans="1:16" ht="15" customHeight="1">
      <c r="A80" s="383"/>
      <c r="B80" s="384"/>
      <c r="C80" s="384"/>
      <c r="D80" s="384"/>
      <c r="E80" s="384"/>
      <c r="F80" s="384"/>
      <c r="G80" s="384"/>
      <c r="H80" s="384"/>
      <c r="I80" s="384"/>
      <c r="J80" s="384"/>
      <c r="K80" s="384"/>
      <c r="L80" s="384"/>
      <c r="M80" s="384"/>
      <c r="N80" s="384"/>
      <c r="O80" s="384"/>
      <c r="P80" s="385"/>
    </row>
    <row r="81" spans="1:16" ht="20.25" customHeight="1">
      <c r="A81" s="343" t="s">
        <v>33</v>
      </c>
      <c r="B81" s="343"/>
      <c r="C81" s="343"/>
      <c r="D81" s="343"/>
      <c r="E81" s="343"/>
      <c r="F81" s="343"/>
      <c r="G81" s="343"/>
      <c r="H81" s="343"/>
      <c r="I81" s="343"/>
      <c r="J81" s="343"/>
      <c r="K81" s="343"/>
      <c r="L81" s="343"/>
      <c r="M81" s="343"/>
      <c r="N81" s="343"/>
      <c r="O81" s="343"/>
      <c r="P81" s="159"/>
    </row>
    <row r="82" spans="1:16" ht="62.25" customHeight="1">
      <c r="A82" s="21" t="s">
        <v>0</v>
      </c>
      <c r="B82" s="21" t="s">
        <v>116</v>
      </c>
      <c r="C82" s="21" t="s">
        <v>1</v>
      </c>
      <c r="D82" s="21" t="s">
        <v>123</v>
      </c>
      <c r="E82" s="21" t="s">
        <v>28</v>
      </c>
      <c r="F82" s="21" t="s">
        <v>18</v>
      </c>
      <c r="G82" s="21" t="s">
        <v>118</v>
      </c>
      <c r="H82" s="21" t="s">
        <v>115</v>
      </c>
      <c r="I82" s="21" t="s">
        <v>112</v>
      </c>
      <c r="J82" s="21" t="s">
        <v>5</v>
      </c>
      <c r="K82" s="21" t="s">
        <v>6</v>
      </c>
      <c r="L82" s="21" t="s">
        <v>30</v>
      </c>
      <c r="M82" s="21" t="s">
        <v>22</v>
      </c>
      <c r="N82" s="22" t="s">
        <v>31</v>
      </c>
      <c r="O82" s="49" t="s">
        <v>11</v>
      </c>
      <c r="P82" s="159"/>
    </row>
    <row r="83" spans="1:16" ht="15" customHeight="1">
      <c r="A83" s="12">
        <v>1</v>
      </c>
      <c r="B83" s="32">
        <v>2</v>
      </c>
      <c r="C83" s="32">
        <v>3</v>
      </c>
      <c r="D83" s="32">
        <v>4</v>
      </c>
      <c r="E83" s="32">
        <v>5</v>
      </c>
      <c r="F83" s="32">
        <v>6</v>
      </c>
      <c r="G83" s="32">
        <v>7</v>
      </c>
      <c r="H83" s="32">
        <v>8</v>
      </c>
      <c r="I83" s="32">
        <v>9</v>
      </c>
      <c r="J83" s="32">
        <v>10</v>
      </c>
      <c r="K83" s="32">
        <v>11</v>
      </c>
      <c r="L83" s="32">
        <v>12</v>
      </c>
      <c r="M83" s="32">
        <v>13</v>
      </c>
      <c r="N83" s="33">
        <v>14</v>
      </c>
      <c r="O83" s="32">
        <v>15</v>
      </c>
      <c r="P83" s="159"/>
    </row>
    <row r="84" spans="1:16" ht="30">
      <c r="A84" s="137">
        <v>1</v>
      </c>
      <c r="B84" s="340" t="s">
        <v>275</v>
      </c>
      <c r="C84" s="340" t="s">
        <v>189</v>
      </c>
      <c r="D84" s="132" t="s">
        <v>332</v>
      </c>
      <c r="E84" s="37">
        <v>325</v>
      </c>
      <c r="F84" s="37">
        <v>1877</v>
      </c>
      <c r="G84" s="37">
        <v>0.03</v>
      </c>
      <c r="H84" s="137" t="s">
        <v>12</v>
      </c>
      <c r="I84" s="137" t="s">
        <v>25</v>
      </c>
      <c r="J84" s="87" t="s">
        <v>15</v>
      </c>
      <c r="K84" s="87" t="s">
        <v>15</v>
      </c>
      <c r="L84" s="87" t="s">
        <v>15</v>
      </c>
      <c r="M84" s="137" t="s">
        <v>12</v>
      </c>
      <c r="N84" s="137">
        <v>1</v>
      </c>
      <c r="O84" s="87" t="s">
        <v>15</v>
      </c>
      <c r="P84" s="163"/>
    </row>
    <row r="85" spans="1:16" ht="30">
      <c r="A85" s="84">
        <v>2</v>
      </c>
      <c r="B85" s="341"/>
      <c r="C85" s="341"/>
      <c r="D85" s="133" t="s">
        <v>333</v>
      </c>
      <c r="E85" s="119">
        <v>102</v>
      </c>
      <c r="F85" s="119">
        <v>1903</v>
      </c>
      <c r="G85" s="119">
        <v>2E-3</v>
      </c>
      <c r="H85" s="84" t="s">
        <v>12</v>
      </c>
      <c r="I85" s="84" t="s">
        <v>25</v>
      </c>
      <c r="J85" s="120" t="s">
        <v>15</v>
      </c>
      <c r="K85" s="120" t="s">
        <v>15</v>
      </c>
      <c r="L85" s="120" t="s">
        <v>15</v>
      </c>
      <c r="M85" s="84" t="s">
        <v>12</v>
      </c>
      <c r="N85" s="84">
        <v>2</v>
      </c>
      <c r="O85" s="120" t="s">
        <v>15</v>
      </c>
      <c r="P85" s="163"/>
    </row>
    <row r="86" spans="1:16" ht="45">
      <c r="A86" s="137">
        <v>3</v>
      </c>
      <c r="B86" s="341"/>
      <c r="C86" s="341"/>
      <c r="D86" s="132" t="s">
        <v>334</v>
      </c>
      <c r="E86" s="37">
        <v>122.81</v>
      </c>
      <c r="F86" s="37">
        <v>1919</v>
      </c>
      <c r="G86" s="37">
        <v>6.9999999999999999E-4</v>
      </c>
      <c r="H86" s="137" t="s">
        <v>12</v>
      </c>
      <c r="I86" s="137" t="s">
        <v>25</v>
      </c>
      <c r="J86" s="87" t="s">
        <v>15</v>
      </c>
      <c r="K86" s="87" t="s">
        <v>15</v>
      </c>
      <c r="L86" s="87" t="s">
        <v>15</v>
      </c>
      <c r="M86" s="137" t="s">
        <v>12</v>
      </c>
      <c r="N86" s="137">
        <v>3</v>
      </c>
      <c r="O86" s="87" t="s">
        <v>15</v>
      </c>
      <c r="P86" s="163"/>
    </row>
    <row r="87" spans="1:16" ht="45">
      <c r="A87" s="137">
        <v>4</v>
      </c>
      <c r="B87" s="341"/>
      <c r="C87" s="341"/>
      <c r="D87" s="132" t="s">
        <v>335</v>
      </c>
      <c r="E87" s="37">
        <v>198</v>
      </c>
      <c r="F87" s="37">
        <v>1875</v>
      </c>
      <c r="G87" s="37">
        <v>4.0000000000000001E-3</v>
      </c>
      <c r="H87" s="137" t="s">
        <v>12</v>
      </c>
      <c r="I87" s="137" t="s">
        <v>25</v>
      </c>
      <c r="J87" s="87" t="s">
        <v>15</v>
      </c>
      <c r="K87" s="87" t="s">
        <v>15</v>
      </c>
      <c r="L87" s="87" t="s">
        <v>15</v>
      </c>
      <c r="M87" s="137" t="s">
        <v>12</v>
      </c>
      <c r="N87" s="137">
        <v>4</v>
      </c>
      <c r="O87" s="87" t="s">
        <v>15</v>
      </c>
      <c r="P87" s="163"/>
    </row>
    <row r="88" spans="1:16" ht="30">
      <c r="A88" s="137">
        <v>5</v>
      </c>
      <c r="B88" s="341"/>
      <c r="C88" s="342"/>
      <c r="D88" s="132" t="s">
        <v>336</v>
      </c>
      <c r="E88" s="37">
        <v>304</v>
      </c>
      <c r="F88" s="37">
        <v>1875</v>
      </c>
      <c r="G88" s="37">
        <v>7.0000000000000001E-3</v>
      </c>
      <c r="H88" s="137" t="s">
        <v>12</v>
      </c>
      <c r="I88" s="137" t="s">
        <v>25</v>
      </c>
      <c r="J88" s="87" t="s">
        <v>15</v>
      </c>
      <c r="K88" s="87" t="s">
        <v>15</v>
      </c>
      <c r="L88" s="87" t="s">
        <v>15</v>
      </c>
      <c r="M88" s="137" t="s">
        <v>12</v>
      </c>
      <c r="N88" s="137">
        <v>5</v>
      </c>
      <c r="O88" s="87" t="s">
        <v>15</v>
      </c>
      <c r="P88" s="163"/>
    </row>
    <row r="89" spans="1:16" ht="30">
      <c r="A89" s="137">
        <v>6</v>
      </c>
      <c r="B89" s="341"/>
      <c r="C89" s="437" t="s">
        <v>281</v>
      </c>
      <c r="D89" s="132" t="s">
        <v>337</v>
      </c>
      <c r="E89" s="137"/>
      <c r="F89" s="137" t="s">
        <v>338</v>
      </c>
      <c r="G89" s="137" t="s">
        <v>1899</v>
      </c>
      <c r="H89" s="137" t="s">
        <v>12</v>
      </c>
      <c r="I89" s="137" t="s">
        <v>285</v>
      </c>
      <c r="J89" s="137"/>
      <c r="K89" s="137" t="s">
        <v>41</v>
      </c>
      <c r="L89" s="137" t="s">
        <v>41</v>
      </c>
      <c r="M89" s="137" t="s">
        <v>242</v>
      </c>
      <c r="N89" s="137">
        <v>6</v>
      </c>
      <c r="O89" s="137"/>
      <c r="P89" s="163"/>
    </row>
    <row r="90" spans="1:16" ht="20.25">
      <c r="A90" s="137">
        <v>7</v>
      </c>
      <c r="B90" s="341"/>
      <c r="C90" s="438"/>
      <c r="D90" s="132" t="s">
        <v>339</v>
      </c>
      <c r="E90" s="137"/>
      <c r="F90" s="137"/>
      <c r="G90" s="137"/>
      <c r="H90" s="137" t="s">
        <v>12</v>
      </c>
      <c r="I90" s="137" t="s">
        <v>285</v>
      </c>
      <c r="J90" s="137"/>
      <c r="K90" s="137" t="s">
        <v>41</v>
      </c>
      <c r="L90" s="137" t="s">
        <v>41</v>
      </c>
      <c r="M90" s="137"/>
      <c r="N90" s="137">
        <v>7</v>
      </c>
      <c r="O90" s="137"/>
      <c r="P90" s="163"/>
    </row>
    <row r="91" spans="1:16" ht="30">
      <c r="A91" s="137">
        <v>8</v>
      </c>
      <c r="B91" s="341"/>
      <c r="C91" s="438"/>
      <c r="D91" s="132" t="s">
        <v>340</v>
      </c>
      <c r="E91" s="137"/>
      <c r="F91" s="137" t="s">
        <v>341</v>
      </c>
      <c r="G91" s="137"/>
      <c r="H91" s="137"/>
      <c r="I91" s="137"/>
      <c r="J91" s="137"/>
      <c r="K91" s="137"/>
      <c r="L91" s="137"/>
      <c r="M91" s="137"/>
      <c r="N91" s="137">
        <v>8</v>
      </c>
      <c r="O91" s="137"/>
      <c r="P91" s="163"/>
    </row>
    <row r="92" spans="1:16" ht="30">
      <c r="A92" s="137">
        <v>9</v>
      </c>
      <c r="B92" s="341"/>
      <c r="C92" s="438"/>
      <c r="D92" s="132" t="s">
        <v>342</v>
      </c>
      <c r="E92" s="137"/>
      <c r="F92" s="137"/>
      <c r="G92" s="137"/>
      <c r="H92" s="137"/>
      <c r="I92" s="137" t="s">
        <v>343</v>
      </c>
      <c r="J92" s="137" t="s">
        <v>12</v>
      </c>
      <c r="K92" s="137" t="s">
        <v>41</v>
      </c>
      <c r="L92" s="137" t="s">
        <v>41</v>
      </c>
      <c r="M92" s="137"/>
      <c r="N92" s="137">
        <v>9</v>
      </c>
      <c r="O92" s="137"/>
      <c r="P92" s="163"/>
    </row>
    <row r="93" spans="1:16" ht="20.25">
      <c r="A93" s="137">
        <v>10</v>
      </c>
      <c r="B93" s="341"/>
      <c r="C93" s="438"/>
      <c r="D93" s="132" t="s">
        <v>344</v>
      </c>
      <c r="E93" s="137">
        <v>332</v>
      </c>
      <c r="F93" s="137" t="s">
        <v>345</v>
      </c>
      <c r="G93" s="137">
        <v>0.27</v>
      </c>
      <c r="H93" s="137"/>
      <c r="I93" s="137"/>
      <c r="J93" s="137"/>
      <c r="K93" s="137"/>
      <c r="L93" s="137"/>
      <c r="M93" s="137"/>
      <c r="N93" s="137">
        <v>10</v>
      </c>
      <c r="O93" s="137"/>
      <c r="P93" s="163"/>
    </row>
    <row r="94" spans="1:16" ht="30">
      <c r="A94" s="137">
        <v>11</v>
      </c>
      <c r="B94" s="341"/>
      <c r="C94" s="438"/>
      <c r="D94" s="132" t="s">
        <v>346</v>
      </c>
      <c r="E94" s="137">
        <v>202.7</v>
      </c>
      <c r="F94" s="137" t="s">
        <v>296</v>
      </c>
      <c r="G94" s="137">
        <v>0.13</v>
      </c>
      <c r="H94" s="137"/>
      <c r="I94" s="137"/>
      <c r="J94" s="137"/>
      <c r="K94" s="137"/>
      <c r="L94" s="137"/>
      <c r="M94" s="137"/>
      <c r="N94" s="137">
        <v>11</v>
      </c>
      <c r="O94" s="137"/>
      <c r="P94" s="163"/>
    </row>
    <row r="95" spans="1:16" ht="20.25">
      <c r="A95" s="137">
        <v>12</v>
      </c>
      <c r="B95" s="341"/>
      <c r="C95" s="438"/>
      <c r="D95" s="132" t="s">
        <v>347</v>
      </c>
      <c r="E95" s="137">
        <v>84</v>
      </c>
      <c r="F95" s="137" t="s">
        <v>348</v>
      </c>
      <c r="G95" s="137">
        <v>0.51</v>
      </c>
      <c r="H95" s="137"/>
      <c r="I95" s="137"/>
      <c r="J95" s="137"/>
      <c r="K95" s="137"/>
      <c r="L95" s="137"/>
      <c r="M95" s="137"/>
      <c r="N95" s="137">
        <v>12</v>
      </c>
      <c r="O95" s="137"/>
      <c r="P95" s="163"/>
    </row>
    <row r="96" spans="1:16" ht="20.25">
      <c r="A96" s="137">
        <v>13</v>
      </c>
      <c r="B96" s="341"/>
      <c r="C96" s="439"/>
      <c r="D96" s="132" t="s">
        <v>349</v>
      </c>
      <c r="E96" s="137">
        <v>181.2</v>
      </c>
      <c r="F96" s="137" t="s">
        <v>308</v>
      </c>
      <c r="G96" s="137">
        <v>0.88</v>
      </c>
      <c r="H96" s="137"/>
      <c r="I96" s="137"/>
      <c r="J96" s="137"/>
      <c r="K96" s="137"/>
      <c r="L96" s="137"/>
      <c r="M96" s="137"/>
      <c r="N96" s="137">
        <v>13</v>
      </c>
      <c r="O96" s="137"/>
      <c r="P96" s="163"/>
    </row>
    <row r="97" spans="1:16" ht="75">
      <c r="A97" s="137">
        <v>14</v>
      </c>
      <c r="B97" s="341"/>
      <c r="C97" s="340" t="s">
        <v>312</v>
      </c>
      <c r="D97" s="132" t="s">
        <v>350</v>
      </c>
      <c r="E97" s="37">
        <v>1250</v>
      </c>
      <c r="F97" s="37">
        <v>1992</v>
      </c>
      <c r="G97" s="37">
        <v>0.72</v>
      </c>
      <c r="H97" s="37"/>
      <c r="I97" s="37" t="s">
        <v>351</v>
      </c>
      <c r="J97" s="37" t="s">
        <v>54</v>
      </c>
      <c r="K97" s="37" t="s">
        <v>54</v>
      </c>
      <c r="L97" s="37" t="s">
        <v>54</v>
      </c>
      <c r="M97" s="37" t="s">
        <v>54</v>
      </c>
      <c r="N97" s="37">
        <v>14</v>
      </c>
      <c r="O97" s="37"/>
      <c r="P97" s="163"/>
    </row>
    <row r="98" spans="1:16" ht="45">
      <c r="A98" s="137">
        <v>15</v>
      </c>
      <c r="B98" s="341"/>
      <c r="C98" s="341"/>
      <c r="D98" s="132" t="s">
        <v>352</v>
      </c>
      <c r="E98" s="37">
        <f>200.4+173.175</f>
        <v>373.57500000000005</v>
      </c>
      <c r="F98" s="37" t="s">
        <v>330</v>
      </c>
      <c r="G98" s="37" t="s">
        <v>110</v>
      </c>
      <c r="H98" s="37" t="s">
        <v>42</v>
      </c>
      <c r="I98" s="37" t="s">
        <v>42</v>
      </c>
      <c r="J98" s="37" t="s">
        <v>42</v>
      </c>
      <c r="K98" s="37" t="s">
        <v>51</v>
      </c>
      <c r="L98" s="37" t="s">
        <v>353</v>
      </c>
      <c r="M98" s="37" t="s">
        <v>54</v>
      </c>
      <c r="N98" s="37">
        <v>15</v>
      </c>
      <c r="O98" s="37"/>
      <c r="P98" s="163"/>
    </row>
    <row r="99" spans="1:16" ht="30">
      <c r="A99" s="136">
        <v>16</v>
      </c>
      <c r="B99" s="341"/>
      <c r="C99" s="341"/>
      <c r="D99" s="134" t="s">
        <v>354</v>
      </c>
      <c r="E99" s="161" t="s">
        <v>355</v>
      </c>
      <c r="F99" s="161" t="s">
        <v>356</v>
      </c>
      <c r="G99" s="161" t="s">
        <v>356</v>
      </c>
      <c r="H99" s="161" t="s">
        <v>357</v>
      </c>
      <c r="I99" s="161" t="s">
        <v>357</v>
      </c>
      <c r="J99" s="161" t="s">
        <v>357</v>
      </c>
      <c r="K99" s="161" t="s">
        <v>357</v>
      </c>
      <c r="L99" s="161" t="s">
        <v>357</v>
      </c>
      <c r="M99" s="161" t="s">
        <v>54</v>
      </c>
      <c r="N99" s="161">
        <v>16</v>
      </c>
      <c r="O99" s="161"/>
      <c r="P99" s="164"/>
    </row>
    <row r="100" spans="1:16" ht="15" customHeight="1">
      <c r="A100" s="344"/>
      <c r="B100" s="344"/>
      <c r="C100" s="344"/>
      <c r="D100" s="344"/>
      <c r="E100" s="344"/>
      <c r="F100" s="344"/>
      <c r="G100" s="344"/>
      <c r="H100" s="344"/>
      <c r="I100" s="344"/>
      <c r="J100" s="344"/>
      <c r="K100" s="344"/>
      <c r="L100" s="344"/>
      <c r="M100" s="344"/>
      <c r="N100" s="344"/>
      <c r="O100" s="344"/>
      <c r="P100" s="344"/>
    </row>
    <row r="101" spans="1:16" ht="20.25">
      <c r="A101" s="336" t="s">
        <v>34</v>
      </c>
      <c r="B101" s="337"/>
      <c r="C101" s="337"/>
      <c r="D101" s="337"/>
      <c r="E101" s="337"/>
      <c r="F101" s="337"/>
      <c r="G101" s="337"/>
      <c r="H101" s="337"/>
      <c r="I101" s="337"/>
      <c r="J101" s="337"/>
      <c r="K101" s="337"/>
      <c r="L101" s="337"/>
      <c r="M101" s="337"/>
      <c r="N101" s="337"/>
      <c r="O101" s="337"/>
      <c r="P101" s="337"/>
    </row>
    <row r="102" spans="1:16" ht="85.5">
      <c r="A102" s="21" t="s">
        <v>0</v>
      </c>
      <c r="B102" s="21" t="s">
        <v>116</v>
      </c>
      <c r="C102" s="21" t="s">
        <v>1</v>
      </c>
      <c r="D102" s="21" t="s">
        <v>123</v>
      </c>
      <c r="E102" s="21" t="s">
        <v>28</v>
      </c>
      <c r="F102" s="21" t="s">
        <v>18</v>
      </c>
      <c r="G102" s="21" t="s">
        <v>111</v>
      </c>
      <c r="H102" s="21" t="s">
        <v>115</v>
      </c>
      <c r="I102" s="21" t="s">
        <v>112</v>
      </c>
      <c r="J102" s="21" t="s">
        <v>5</v>
      </c>
      <c r="K102" s="21" t="s">
        <v>6</v>
      </c>
      <c r="L102" s="21" t="s">
        <v>30</v>
      </c>
      <c r="M102" s="21" t="s">
        <v>22</v>
      </c>
      <c r="N102" s="22" t="s">
        <v>32</v>
      </c>
      <c r="O102" s="22" t="s">
        <v>31</v>
      </c>
      <c r="P102" s="20" t="s">
        <v>24</v>
      </c>
    </row>
    <row r="103" spans="1:16">
      <c r="A103" s="12">
        <v>1</v>
      </c>
      <c r="B103" s="32">
        <v>2</v>
      </c>
      <c r="C103" s="32">
        <v>3</v>
      </c>
      <c r="D103" s="32">
        <v>4</v>
      </c>
      <c r="E103" s="32">
        <v>5</v>
      </c>
      <c r="F103" s="32">
        <v>6</v>
      </c>
      <c r="G103" s="32">
        <v>7</v>
      </c>
      <c r="H103" s="32">
        <v>8</v>
      </c>
      <c r="I103" s="32">
        <v>9</v>
      </c>
      <c r="J103" s="32">
        <v>10</v>
      </c>
      <c r="K103" s="32">
        <v>11</v>
      </c>
      <c r="L103" s="32">
        <v>12</v>
      </c>
      <c r="M103" s="32">
        <v>13</v>
      </c>
      <c r="N103" s="32">
        <v>14</v>
      </c>
      <c r="O103" s="33">
        <v>15</v>
      </c>
      <c r="P103" s="21">
        <v>16</v>
      </c>
    </row>
    <row r="104" spans="1:16" ht="45">
      <c r="A104" s="124">
        <v>1</v>
      </c>
      <c r="B104" s="340" t="s">
        <v>358</v>
      </c>
      <c r="C104" s="340" t="s">
        <v>359</v>
      </c>
      <c r="D104" s="122" t="s">
        <v>335</v>
      </c>
      <c r="E104" s="37">
        <v>198</v>
      </c>
      <c r="F104" s="37">
        <v>1875</v>
      </c>
      <c r="G104" s="37">
        <v>4.0000000000000001E-3</v>
      </c>
      <c r="H104" s="124" t="s">
        <v>12</v>
      </c>
      <c r="I104" s="124" t="s">
        <v>25</v>
      </c>
      <c r="J104" s="87" t="s">
        <v>15</v>
      </c>
      <c r="K104" s="87" t="s">
        <v>15</v>
      </c>
      <c r="L104" s="87" t="s">
        <v>15</v>
      </c>
      <c r="M104" s="124" t="s">
        <v>12</v>
      </c>
      <c r="N104" s="124">
        <v>5</v>
      </c>
      <c r="O104" s="124">
        <v>4</v>
      </c>
      <c r="P104" s="124"/>
    </row>
    <row r="105" spans="1:16" ht="30">
      <c r="A105" s="124">
        <v>2</v>
      </c>
      <c r="B105" s="341"/>
      <c r="C105" s="342"/>
      <c r="D105" s="122" t="s">
        <v>332</v>
      </c>
      <c r="E105" s="37">
        <v>352</v>
      </c>
      <c r="F105" s="37">
        <v>1877</v>
      </c>
      <c r="G105" s="37">
        <v>0.03</v>
      </c>
      <c r="H105" s="124" t="s">
        <v>12</v>
      </c>
      <c r="I105" s="124" t="s">
        <v>25</v>
      </c>
      <c r="J105" s="87" t="s">
        <v>15</v>
      </c>
      <c r="K105" s="87" t="s">
        <v>15</v>
      </c>
      <c r="L105" s="87" t="s">
        <v>15</v>
      </c>
      <c r="M105" s="124" t="s">
        <v>12</v>
      </c>
      <c r="N105" s="124">
        <v>3</v>
      </c>
      <c r="O105" s="124">
        <v>1</v>
      </c>
      <c r="P105" s="124"/>
    </row>
    <row r="106" spans="1:16" ht="60">
      <c r="A106" s="124">
        <v>3</v>
      </c>
      <c r="B106" s="341"/>
      <c r="C106" s="121" t="s">
        <v>360</v>
      </c>
      <c r="D106" s="122" t="s">
        <v>361</v>
      </c>
      <c r="E106" s="37">
        <v>1866</v>
      </c>
      <c r="F106" s="37" t="s">
        <v>15</v>
      </c>
      <c r="G106" s="37">
        <v>1.59</v>
      </c>
      <c r="H106" s="124">
        <v>2.46</v>
      </c>
      <c r="I106" s="124" t="s">
        <v>25</v>
      </c>
      <c r="J106" s="124" t="s">
        <v>12</v>
      </c>
      <c r="K106" s="124" t="s">
        <v>12</v>
      </c>
      <c r="L106" s="124" t="s">
        <v>41</v>
      </c>
      <c r="M106" s="124" t="s">
        <v>15</v>
      </c>
      <c r="N106" s="124">
        <v>17</v>
      </c>
      <c r="O106" s="124" t="s">
        <v>15</v>
      </c>
      <c r="P106" s="124" t="s">
        <v>15</v>
      </c>
    </row>
    <row r="107" spans="1:16" ht="75">
      <c r="A107" s="124">
        <v>4</v>
      </c>
      <c r="B107" s="341"/>
      <c r="C107" s="340" t="s">
        <v>312</v>
      </c>
      <c r="D107" s="122" t="s">
        <v>313</v>
      </c>
      <c r="E107" s="37">
        <v>1247</v>
      </c>
      <c r="F107" s="37" t="s">
        <v>314</v>
      </c>
      <c r="G107" s="37">
        <v>1.1499999999999999</v>
      </c>
      <c r="H107" s="37"/>
      <c r="I107" s="37" t="s">
        <v>351</v>
      </c>
      <c r="J107" s="37" t="s">
        <v>316</v>
      </c>
      <c r="K107" s="37" t="s">
        <v>316</v>
      </c>
      <c r="L107" s="37" t="s">
        <v>316</v>
      </c>
      <c r="M107" s="37" t="s">
        <v>316</v>
      </c>
      <c r="N107" s="37">
        <v>18</v>
      </c>
      <c r="O107" s="37">
        <v>14</v>
      </c>
      <c r="P107" s="37"/>
    </row>
    <row r="108" spans="1:16" ht="75">
      <c r="A108" s="124">
        <v>5</v>
      </c>
      <c r="B108" s="341"/>
      <c r="C108" s="341"/>
      <c r="D108" s="122" t="s">
        <v>350</v>
      </c>
      <c r="E108" s="37">
        <v>1250</v>
      </c>
      <c r="F108" s="37">
        <v>1992</v>
      </c>
      <c r="G108" s="37">
        <v>0.72</v>
      </c>
      <c r="H108" s="37"/>
      <c r="I108" s="37" t="s">
        <v>351</v>
      </c>
      <c r="J108" s="37" t="s">
        <v>54</v>
      </c>
      <c r="K108" s="37" t="s">
        <v>54</v>
      </c>
      <c r="L108" s="37" t="s">
        <v>54</v>
      </c>
      <c r="M108" s="37" t="s">
        <v>54</v>
      </c>
      <c r="N108" s="37"/>
      <c r="O108" s="37"/>
      <c r="P108" s="37"/>
    </row>
    <row r="109" spans="1:16" ht="75">
      <c r="A109" s="124">
        <v>6</v>
      </c>
      <c r="B109" s="341"/>
      <c r="C109" s="341"/>
      <c r="D109" s="122" t="s">
        <v>317</v>
      </c>
      <c r="E109" s="37">
        <v>1000</v>
      </c>
      <c r="F109" s="37">
        <v>2014</v>
      </c>
      <c r="G109" s="37">
        <v>0.72</v>
      </c>
      <c r="H109" s="37"/>
      <c r="I109" s="37" t="s">
        <v>351</v>
      </c>
      <c r="J109" s="37" t="s">
        <v>316</v>
      </c>
      <c r="K109" s="37" t="s">
        <v>54</v>
      </c>
      <c r="L109" s="37" t="s">
        <v>54</v>
      </c>
      <c r="M109" s="37" t="s">
        <v>316</v>
      </c>
      <c r="N109" s="37">
        <v>24</v>
      </c>
      <c r="O109" s="37"/>
      <c r="P109" s="37"/>
    </row>
    <row r="110" spans="1:16" ht="45">
      <c r="A110" s="124">
        <v>7</v>
      </c>
      <c r="B110" s="342"/>
      <c r="C110" s="342"/>
      <c r="D110" s="122" t="s">
        <v>352</v>
      </c>
      <c r="E110" s="37">
        <v>3108</v>
      </c>
      <c r="F110" s="37" t="s">
        <v>362</v>
      </c>
      <c r="G110" s="37" t="s">
        <v>262</v>
      </c>
      <c r="H110" s="37" t="s">
        <v>110</v>
      </c>
      <c r="I110" s="37" t="s">
        <v>320</v>
      </c>
      <c r="J110" s="37" t="s">
        <v>110</v>
      </c>
      <c r="K110" s="37" t="s">
        <v>110</v>
      </c>
      <c r="L110" s="37" t="s">
        <v>41</v>
      </c>
      <c r="M110" s="37" t="s">
        <v>42</v>
      </c>
      <c r="N110" s="37"/>
      <c r="O110" s="37" t="s">
        <v>363</v>
      </c>
      <c r="P110" s="37"/>
    </row>
    <row r="111" spans="1:16">
      <c r="A111" s="427"/>
      <c r="B111" s="427"/>
      <c r="C111" s="427"/>
      <c r="D111" s="427"/>
      <c r="E111" s="427"/>
      <c r="F111" s="427"/>
      <c r="G111" s="427"/>
      <c r="H111" s="427"/>
      <c r="I111" s="427"/>
      <c r="J111" s="427"/>
      <c r="K111" s="427"/>
      <c r="L111" s="427"/>
      <c r="M111" s="427"/>
      <c r="N111" s="427"/>
      <c r="O111" s="427"/>
      <c r="P111" s="427"/>
    </row>
    <row r="112" spans="1:16" ht="22.5">
      <c r="A112" s="338" t="s">
        <v>178</v>
      </c>
      <c r="B112" s="339"/>
      <c r="C112" s="339"/>
      <c r="D112" s="339"/>
      <c r="E112" s="339"/>
      <c r="F112" s="339"/>
      <c r="G112" s="339"/>
      <c r="H112" s="339"/>
      <c r="I112" s="339"/>
      <c r="J112" s="339"/>
      <c r="K112" s="339"/>
      <c r="L112" s="339"/>
      <c r="M112" s="339"/>
      <c r="N112" s="339"/>
      <c r="O112" s="339"/>
      <c r="P112" s="339"/>
    </row>
    <row r="113" spans="1:16" ht="20.25">
      <c r="A113" s="336" t="s">
        <v>16</v>
      </c>
      <c r="B113" s="337"/>
      <c r="C113" s="337"/>
      <c r="D113" s="337"/>
      <c r="E113" s="337"/>
      <c r="F113" s="337"/>
      <c r="G113" s="337"/>
      <c r="H113" s="337"/>
      <c r="I113" s="337"/>
      <c r="J113" s="337"/>
      <c r="K113" s="337"/>
      <c r="L113" s="337"/>
      <c r="M113" s="337"/>
      <c r="N113" s="337"/>
      <c r="O113" s="337"/>
      <c r="P113" s="337"/>
    </row>
    <row r="114" spans="1:16" ht="31.5" customHeight="1">
      <c r="A114" s="21" t="s">
        <v>0</v>
      </c>
      <c r="B114" s="21" t="s">
        <v>119</v>
      </c>
      <c r="C114" s="21" t="s">
        <v>1</v>
      </c>
      <c r="D114" s="21" t="s">
        <v>120</v>
      </c>
      <c r="E114" s="21" t="s">
        <v>3</v>
      </c>
      <c r="F114" s="21" t="s">
        <v>4</v>
      </c>
      <c r="G114" s="21" t="s">
        <v>121</v>
      </c>
      <c r="H114" s="21" t="s">
        <v>122</v>
      </c>
      <c r="I114" s="21" t="s">
        <v>113</v>
      </c>
      <c r="J114" s="21" t="s">
        <v>5</v>
      </c>
      <c r="K114" s="21" t="s">
        <v>6</v>
      </c>
      <c r="L114" s="21" t="s">
        <v>7</v>
      </c>
      <c r="M114" s="22" t="s">
        <v>8</v>
      </c>
      <c r="N114" s="47" t="s">
        <v>9</v>
      </c>
      <c r="O114" s="48" t="s">
        <v>10</v>
      </c>
      <c r="P114" s="49" t="s">
        <v>11</v>
      </c>
    </row>
    <row r="115" spans="1:16">
      <c r="A115" s="21">
        <v>1</v>
      </c>
      <c r="B115" s="21">
        <v>2</v>
      </c>
      <c r="C115" s="21">
        <v>3</v>
      </c>
      <c r="D115" s="21">
        <v>4</v>
      </c>
      <c r="E115" s="21">
        <v>5</v>
      </c>
      <c r="F115" s="21">
        <v>6</v>
      </c>
      <c r="G115" s="21">
        <v>7</v>
      </c>
      <c r="H115" s="21">
        <v>8</v>
      </c>
      <c r="I115" s="21">
        <v>9</v>
      </c>
      <c r="J115" s="21">
        <v>10</v>
      </c>
      <c r="K115" s="21">
        <v>11</v>
      </c>
      <c r="L115" s="21">
        <v>12</v>
      </c>
      <c r="M115" s="21">
        <v>13</v>
      </c>
      <c r="N115" s="21">
        <v>14</v>
      </c>
      <c r="O115" s="48">
        <v>15</v>
      </c>
      <c r="P115" s="21">
        <v>16</v>
      </c>
    </row>
    <row r="116" spans="1:16" ht="45">
      <c r="A116" s="137">
        <v>1</v>
      </c>
      <c r="B116" s="340" t="s">
        <v>364</v>
      </c>
      <c r="C116" s="340" t="s">
        <v>365</v>
      </c>
      <c r="D116" s="168" t="s">
        <v>366</v>
      </c>
      <c r="E116" s="69">
        <v>11939</v>
      </c>
      <c r="F116" s="141" t="s">
        <v>367</v>
      </c>
      <c r="G116" s="141" t="s">
        <v>12</v>
      </c>
      <c r="H116" s="137">
        <v>29.84</v>
      </c>
      <c r="I116" s="137" t="s">
        <v>1910</v>
      </c>
      <c r="J116" s="137" t="s">
        <v>12</v>
      </c>
      <c r="K116" s="137" t="s">
        <v>12</v>
      </c>
      <c r="L116" s="137" t="s">
        <v>369</v>
      </c>
      <c r="M116" s="137" t="s">
        <v>14</v>
      </c>
      <c r="N116" s="137"/>
      <c r="O116" s="137">
        <v>25900</v>
      </c>
      <c r="P116" s="137"/>
    </row>
    <row r="117" spans="1:16" ht="60">
      <c r="A117" s="137">
        <v>2</v>
      </c>
      <c r="B117" s="341"/>
      <c r="C117" s="341"/>
      <c r="D117" s="168" t="s">
        <v>370</v>
      </c>
      <c r="E117" s="141">
        <v>3319</v>
      </c>
      <c r="F117" s="141" t="s">
        <v>367</v>
      </c>
      <c r="G117" s="141" t="s">
        <v>12</v>
      </c>
      <c r="H117" s="137">
        <v>1.01</v>
      </c>
      <c r="I117" s="137" t="s">
        <v>1910</v>
      </c>
      <c r="J117" s="137" t="s">
        <v>12</v>
      </c>
      <c r="K117" s="137" t="s">
        <v>12</v>
      </c>
      <c r="L117" s="137" t="s">
        <v>371</v>
      </c>
      <c r="M117" s="137" t="s">
        <v>14</v>
      </c>
      <c r="N117" s="137"/>
      <c r="O117" s="137">
        <v>25935</v>
      </c>
      <c r="P117" s="137"/>
    </row>
    <row r="118" spans="1:16" ht="75" customHeight="1">
      <c r="A118" s="137">
        <v>3</v>
      </c>
      <c r="B118" s="341"/>
      <c r="C118" s="341"/>
      <c r="D118" s="144" t="s">
        <v>372</v>
      </c>
      <c r="E118" s="69">
        <v>1416</v>
      </c>
      <c r="F118" s="55">
        <v>35682</v>
      </c>
      <c r="G118" s="141">
        <v>3.5000000000000001E-3</v>
      </c>
      <c r="H118" s="137">
        <v>0.4</v>
      </c>
      <c r="I118" s="137" t="s">
        <v>1910</v>
      </c>
      <c r="J118" s="137" t="s">
        <v>12</v>
      </c>
      <c r="K118" s="137" t="s">
        <v>12</v>
      </c>
      <c r="L118" s="137" t="s">
        <v>14</v>
      </c>
      <c r="M118" s="137" t="s">
        <v>14</v>
      </c>
      <c r="N118" s="137"/>
      <c r="O118" s="137">
        <v>25903</v>
      </c>
      <c r="P118" s="137"/>
    </row>
    <row r="119" spans="1:16" ht="75" customHeight="1">
      <c r="A119" s="137">
        <v>4</v>
      </c>
      <c r="B119" s="341"/>
      <c r="C119" s="341"/>
      <c r="D119" s="144" t="s">
        <v>373</v>
      </c>
      <c r="E119" s="69">
        <v>405</v>
      </c>
      <c r="F119" s="141" t="s">
        <v>367</v>
      </c>
      <c r="G119" s="141" t="s">
        <v>12</v>
      </c>
      <c r="H119" s="137">
        <v>2.5000000000000001E-2</v>
      </c>
      <c r="I119" s="137" t="s">
        <v>1910</v>
      </c>
      <c r="J119" s="137" t="s">
        <v>12</v>
      </c>
      <c r="K119" s="137" t="s">
        <v>12</v>
      </c>
      <c r="L119" s="137" t="s">
        <v>14</v>
      </c>
      <c r="M119" s="137" t="s">
        <v>14</v>
      </c>
      <c r="N119" s="137"/>
      <c r="O119" s="137">
        <v>25888</v>
      </c>
      <c r="P119" s="137"/>
    </row>
    <row r="120" spans="1:16" ht="75" customHeight="1">
      <c r="A120" s="137">
        <v>5</v>
      </c>
      <c r="B120" s="341"/>
      <c r="C120" s="341"/>
      <c r="D120" s="144" t="s">
        <v>374</v>
      </c>
      <c r="E120" s="69">
        <v>1376</v>
      </c>
      <c r="F120" s="141" t="s">
        <v>367</v>
      </c>
      <c r="G120" s="141" t="s">
        <v>12</v>
      </c>
      <c r="H120" s="137">
        <v>0.04</v>
      </c>
      <c r="I120" s="137" t="s">
        <v>1910</v>
      </c>
      <c r="J120" s="137" t="s">
        <v>12</v>
      </c>
      <c r="K120" s="137" t="s">
        <v>12</v>
      </c>
      <c r="L120" s="137" t="s">
        <v>14</v>
      </c>
      <c r="M120" s="137" t="s">
        <v>14</v>
      </c>
      <c r="N120" s="137"/>
      <c r="O120" s="137">
        <v>25882</v>
      </c>
      <c r="P120" s="137"/>
    </row>
    <row r="121" spans="1:16" ht="75" customHeight="1">
      <c r="A121" s="137">
        <v>6</v>
      </c>
      <c r="B121" s="341"/>
      <c r="C121" s="341"/>
      <c r="D121" s="144" t="s">
        <v>375</v>
      </c>
      <c r="E121" s="141">
        <v>303</v>
      </c>
      <c r="F121" s="141" t="s">
        <v>367</v>
      </c>
      <c r="G121" s="141" t="s">
        <v>12</v>
      </c>
      <c r="H121" s="137">
        <v>1.2120000000000001E-2</v>
      </c>
      <c r="I121" s="137" t="s">
        <v>1910</v>
      </c>
      <c r="J121" s="137" t="s">
        <v>12</v>
      </c>
      <c r="K121" s="137" t="s">
        <v>12</v>
      </c>
      <c r="L121" s="137" t="s">
        <v>376</v>
      </c>
      <c r="M121" s="137" t="s">
        <v>14</v>
      </c>
      <c r="N121" s="137"/>
      <c r="O121" s="137">
        <v>25163</v>
      </c>
      <c r="P121" s="137"/>
    </row>
    <row r="122" spans="1:16" ht="75" customHeight="1">
      <c r="A122" s="137">
        <v>7</v>
      </c>
      <c r="B122" s="341"/>
      <c r="C122" s="341"/>
      <c r="D122" s="144" t="s">
        <v>377</v>
      </c>
      <c r="E122" s="141">
        <v>3035</v>
      </c>
      <c r="F122" s="141" t="s">
        <v>367</v>
      </c>
      <c r="G122" s="141" t="s">
        <v>12</v>
      </c>
      <c r="H122" s="137">
        <v>0.12139999999999999</v>
      </c>
      <c r="I122" s="137" t="s">
        <v>1910</v>
      </c>
      <c r="J122" s="137" t="s">
        <v>12</v>
      </c>
      <c r="K122" s="137" t="s">
        <v>12</v>
      </c>
      <c r="L122" s="137" t="s">
        <v>376</v>
      </c>
      <c r="M122" s="137" t="s">
        <v>14</v>
      </c>
      <c r="N122" s="137"/>
      <c r="O122" s="137">
        <v>25165</v>
      </c>
      <c r="P122" s="137"/>
    </row>
    <row r="123" spans="1:16" ht="75" customHeight="1">
      <c r="A123" s="137">
        <v>8</v>
      </c>
      <c r="B123" s="341"/>
      <c r="C123" s="341"/>
      <c r="D123" s="144" t="s">
        <v>378</v>
      </c>
      <c r="E123" s="141">
        <v>2428</v>
      </c>
      <c r="F123" s="141" t="s">
        <v>367</v>
      </c>
      <c r="G123" s="141" t="s">
        <v>12</v>
      </c>
      <c r="H123" s="137">
        <v>0.97119999999999995</v>
      </c>
      <c r="I123" s="137" t="s">
        <v>1910</v>
      </c>
      <c r="J123" s="137" t="s">
        <v>12</v>
      </c>
      <c r="K123" s="137" t="s">
        <v>12</v>
      </c>
      <c r="L123" s="137" t="s">
        <v>376</v>
      </c>
      <c r="M123" s="137" t="s">
        <v>14</v>
      </c>
      <c r="N123" s="137"/>
      <c r="O123" s="137">
        <v>26059</v>
      </c>
      <c r="P123" s="137"/>
    </row>
    <row r="124" spans="1:16" ht="75" customHeight="1">
      <c r="A124" s="137">
        <v>9</v>
      </c>
      <c r="B124" s="341"/>
      <c r="C124" s="341"/>
      <c r="D124" s="144" t="s">
        <v>379</v>
      </c>
      <c r="E124" s="141">
        <v>164</v>
      </c>
      <c r="F124" s="141" t="s">
        <v>367</v>
      </c>
      <c r="G124" s="141" t="s">
        <v>12</v>
      </c>
      <c r="H124" s="137">
        <v>6.5599999999999999E-3</v>
      </c>
      <c r="I124" s="137" t="s">
        <v>1910</v>
      </c>
      <c r="J124" s="137" t="s">
        <v>12</v>
      </c>
      <c r="K124" s="137" t="s">
        <v>12</v>
      </c>
      <c r="L124" s="137" t="s">
        <v>376</v>
      </c>
      <c r="M124" s="137" t="s">
        <v>14</v>
      </c>
      <c r="N124" s="137"/>
      <c r="O124" s="137">
        <v>25160</v>
      </c>
      <c r="P124" s="137"/>
    </row>
    <row r="125" spans="1:16" ht="75" customHeight="1">
      <c r="A125" s="137">
        <v>10</v>
      </c>
      <c r="B125" s="341"/>
      <c r="C125" s="341"/>
      <c r="D125" s="144" t="s">
        <v>380</v>
      </c>
      <c r="E125" s="141">
        <v>1973</v>
      </c>
      <c r="F125" s="141" t="s">
        <v>367</v>
      </c>
      <c r="G125" s="141" t="s">
        <v>12</v>
      </c>
      <c r="H125" s="137">
        <v>7.8700000000000006E-2</v>
      </c>
      <c r="I125" s="137" t="s">
        <v>1910</v>
      </c>
      <c r="J125" s="137" t="s">
        <v>12</v>
      </c>
      <c r="K125" s="137" t="s">
        <v>12</v>
      </c>
      <c r="L125" s="137" t="s">
        <v>376</v>
      </c>
      <c r="M125" s="137" t="s">
        <v>14</v>
      </c>
      <c r="N125" s="137"/>
      <c r="O125" s="137">
        <v>25156</v>
      </c>
      <c r="P125" s="137"/>
    </row>
    <row r="126" spans="1:16" ht="75" customHeight="1">
      <c r="A126" s="137">
        <v>11</v>
      </c>
      <c r="B126" s="341"/>
      <c r="C126" s="341"/>
      <c r="D126" s="144" t="s">
        <v>381</v>
      </c>
      <c r="E126" s="141">
        <v>784</v>
      </c>
      <c r="F126" s="141" t="s">
        <v>367</v>
      </c>
      <c r="G126" s="141" t="s">
        <v>12</v>
      </c>
      <c r="H126" s="137">
        <v>3.1300000000000001E-2</v>
      </c>
      <c r="I126" s="137" t="s">
        <v>1910</v>
      </c>
      <c r="J126" s="137" t="s">
        <v>12</v>
      </c>
      <c r="K126" s="137" t="s">
        <v>12</v>
      </c>
      <c r="L126" s="137" t="s">
        <v>382</v>
      </c>
      <c r="M126" s="137" t="s">
        <v>14</v>
      </c>
      <c r="N126" s="137"/>
      <c r="O126" s="137">
        <v>24176</v>
      </c>
      <c r="P126" s="137" t="s">
        <v>382</v>
      </c>
    </row>
    <row r="127" spans="1:16" ht="75" customHeight="1">
      <c r="A127" s="137">
        <v>12</v>
      </c>
      <c r="B127" s="341"/>
      <c r="C127" s="341"/>
      <c r="D127" s="144" t="s">
        <v>383</v>
      </c>
      <c r="E127" s="141">
        <v>37131</v>
      </c>
      <c r="F127" s="141" t="s">
        <v>367</v>
      </c>
      <c r="G127" s="141" t="s">
        <v>12</v>
      </c>
      <c r="H127" s="137">
        <v>1.4850000000000001</v>
      </c>
      <c r="I127" s="137" t="s">
        <v>1910</v>
      </c>
      <c r="J127" s="137" t="s">
        <v>12</v>
      </c>
      <c r="K127" s="137" t="s">
        <v>12</v>
      </c>
      <c r="L127" s="137" t="s">
        <v>14</v>
      </c>
      <c r="M127" s="137" t="s">
        <v>14</v>
      </c>
      <c r="N127" s="137"/>
      <c r="O127" s="137">
        <v>24185</v>
      </c>
      <c r="P127" s="137"/>
    </row>
    <row r="128" spans="1:16" ht="75" customHeight="1">
      <c r="A128" s="137">
        <v>13</v>
      </c>
      <c r="B128" s="341"/>
      <c r="C128" s="341"/>
      <c r="D128" s="144" t="s">
        <v>384</v>
      </c>
      <c r="E128" s="141">
        <v>50790</v>
      </c>
      <c r="F128" s="141" t="s">
        <v>367</v>
      </c>
      <c r="G128" s="141" t="s">
        <v>12</v>
      </c>
      <c r="H128" s="137">
        <v>2.0316000000000001</v>
      </c>
      <c r="I128" s="137" t="s">
        <v>1910</v>
      </c>
      <c r="J128" s="137" t="s">
        <v>12</v>
      </c>
      <c r="K128" s="137" t="s">
        <v>12</v>
      </c>
      <c r="L128" s="137" t="s">
        <v>14</v>
      </c>
      <c r="M128" s="137" t="s">
        <v>14</v>
      </c>
      <c r="N128" s="137"/>
      <c r="O128" s="137">
        <v>24189</v>
      </c>
      <c r="P128" s="137"/>
    </row>
    <row r="129" spans="1:16" ht="75" customHeight="1">
      <c r="A129" s="137">
        <v>14</v>
      </c>
      <c r="B129" s="341"/>
      <c r="C129" s="341"/>
      <c r="D129" s="144" t="s">
        <v>385</v>
      </c>
      <c r="E129" s="141">
        <v>6071</v>
      </c>
      <c r="F129" s="141" t="s">
        <v>367</v>
      </c>
      <c r="G129" s="141" t="s">
        <v>12</v>
      </c>
      <c r="H129" s="137">
        <v>0.24199999999999999</v>
      </c>
      <c r="I129" s="137" t="s">
        <v>1910</v>
      </c>
      <c r="J129" s="137" t="s">
        <v>12</v>
      </c>
      <c r="K129" s="137" t="s">
        <v>12</v>
      </c>
      <c r="L129" s="137" t="s">
        <v>14</v>
      </c>
      <c r="M129" s="137" t="s">
        <v>14</v>
      </c>
      <c r="N129" s="137"/>
      <c r="O129" s="137">
        <v>24193</v>
      </c>
      <c r="P129" s="137"/>
    </row>
    <row r="130" spans="1:16" ht="150">
      <c r="A130" s="137">
        <v>15</v>
      </c>
      <c r="B130" s="341"/>
      <c r="C130" s="341"/>
      <c r="D130" s="144" t="s">
        <v>386</v>
      </c>
      <c r="E130" s="141">
        <v>9650</v>
      </c>
      <c r="F130" s="141" t="s">
        <v>367</v>
      </c>
      <c r="G130" s="141" t="s">
        <v>12</v>
      </c>
      <c r="H130" s="137">
        <v>0.38600000000000001</v>
      </c>
      <c r="I130" s="137" t="s">
        <v>1910</v>
      </c>
      <c r="J130" s="137" t="s">
        <v>12</v>
      </c>
      <c r="K130" s="137" t="s">
        <v>12</v>
      </c>
      <c r="L130" s="137" t="s">
        <v>387</v>
      </c>
      <c r="M130" s="137" t="s">
        <v>14</v>
      </c>
      <c r="N130" s="137"/>
      <c r="O130" s="137">
        <v>24197</v>
      </c>
      <c r="P130" s="137"/>
    </row>
    <row r="131" spans="1:16" ht="75" customHeight="1">
      <c r="A131" s="137">
        <v>16</v>
      </c>
      <c r="B131" s="341"/>
      <c r="C131" s="341"/>
      <c r="D131" s="144" t="s">
        <v>388</v>
      </c>
      <c r="E131" s="141">
        <v>6000</v>
      </c>
      <c r="F131" s="141" t="s">
        <v>367</v>
      </c>
      <c r="G131" s="141" t="s">
        <v>12</v>
      </c>
      <c r="H131" s="137">
        <v>0.24</v>
      </c>
      <c r="I131" s="137" t="s">
        <v>1910</v>
      </c>
      <c r="J131" s="137" t="s">
        <v>12</v>
      </c>
      <c r="K131" s="137" t="s">
        <v>12</v>
      </c>
      <c r="L131" s="137" t="s">
        <v>14</v>
      </c>
      <c r="M131" s="137" t="s">
        <v>14</v>
      </c>
      <c r="N131" s="137"/>
      <c r="O131" s="137">
        <v>24237</v>
      </c>
      <c r="P131" s="137"/>
    </row>
    <row r="132" spans="1:16" ht="75" customHeight="1">
      <c r="A132" s="137">
        <v>17</v>
      </c>
      <c r="B132" s="341"/>
      <c r="C132" s="341"/>
      <c r="D132" s="144" t="s">
        <v>389</v>
      </c>
      <c r="E132" s="141">
        <v>2327</v>
      </c>
      <c r="F132" s="141" t="s">
        <v>367</v>
      </c>
      <c r="G132" s="141" t="s">
        <v>12</v>
      </c>
      <c r="H132" s="137">
        <v>0.11600000000000001</v>
      </c>
      <c r="I132" s="137" t="s">
        <v>1910</v>
      </c>
      <c r="J132" s="137" t="s">
        <v>12</v>
      </c>
      <c r="K132" s="137" t="s">
        <v>12</v>
      </c>
      <c r="L132" s="137" t="s">
        <v>390</v>
      </c>
      <c r="M132" s="137" t="s">
        <v>14</v>
      </c>
      <c r="N132" s="137"/>
      <c r="O132" s="137">
        <v>24241</v>
      </c>
      <c r="P132" s="137" t="s">
        <v>390</v>
      </c>
    </row>
    <row r="133" spans="1:16" ht="75" customHeight="1">
      <c r="A133" s="137">
        <v>18</v>
      </c>
      <c r="B133" s="341"/>
      <c r="C133" s="341"/>
      <c r="D133" s="144" t="s">
        <v>391</v>
      </c>
      <c r="E133" s="141">
        <v>2024</v>
      </c>
      <c r="F133" s="141" t="s">
        <v>367</v>
      </c>
      <c r="G133" s="141" t="s">
        <v>12</v>
      </c>
      <c r="H133" s="137">
        <v>0.1416</v>
      </c>
      <c r="I133" s="137" t="s">
        <v>1910</v>
      </c>
      <c r="J133" s="137" t="s">
        <v>12</v>
      </c>
      <c r="K133" s="137" t="s">
        <v>12</v>
      </c>
      <c r="L133" s="137" t="s">
        <v>376</v>
      </c>
      <c r="M133" s="137" t="s">
        <v>14</v>
      </c>
      <c r="N133" s="137"/>
      <c r="O133" s="137">
        <v>24244</v>
      </c>
      <c r="P133" s="137"/>
    </row>
    <row r="134" spans="1:16" ht="75" customHeight="1">
      <c r="A134" s="137">
        <v>19</v>
      </c>
      <c r="B134" s="341"/>
      <c r="C134" s="341"/>
      <c r="D134" s="144" t="s">
        <v>392</v>
      </c>
      <c r="E134" s="141">
        <v>304</v>
      </c>
      <c r="F134" s="141" t="s">
        <v>367</v>
      </c>
      <c r="G134" s="141" t="s">
        <v>12</v>
      </c>
      <c r="H134" s="137">
        <v>2.12E-2</v>
      </c>
      <c r="I134" s="137" t="s">
        <v>1910</v>
      </c>
      <c r="J134" s="137" t="s">
        <v>12</v>
      </c>
      <c r="K134" s="137" t="s">
        <v>12</v>
      </c>
      <c r="L134" s="137" t="s">
        <v>14</v>
      </c>
      <c r="M134" s="137" t="s">
        <v>14</v>
      </c>
      <c r="N134" s="137"/>
      <c r="O134" s="137">
        <v>24249</v>
      </c>
      <c r="P134" s="137"/>
    </row>
    <row r="135" spans="1:16" ht="75" customHeight="1">
      <c r="A135" s="137">
        <v>20</v>
      </c>
      <c r="B135" s="341"/>
      <c r="C135" s="341"/>
      <c r="D135" s="144" t="s">
        <v>393</v>
      </c>
      <c r="E135" s="141">
        <v>187.6</v>
      </c>
      <c r="F135" s="141" t="s">
        <v>367</v>
      </c>
      <c r="G135" s="141" t="s">
        <v>12</v>
      </c>
      <c r="H135" s="137">
        <v>6.5000000000000002E-2</v>
      </c>
      <c r="I135" s="137" t="s">
        <v>1910</v>
      </c>
      <c r="J135" s="137" t="s">
        <v>12</v>
      </c>
      <c r="K135" s="137" t="s">
        <v>12</v>
      </c>
      <c r="L135" s="137" t="s">
        <v>14</v>
      </c>
      <c r="M135" s="137" t="s">
        <v>14</v>
      </c>
      <c r="N135" s="137"/>
      <c r="O135" s="137">
        <v>24284</v>
      </c>
      <c r="P135" s="137" t="s">
        <v>394</v>
      </c>
    </row>
    <row r="136" spans="1:16" ht="75" customHeight="1">
      <c r="A136" s="137">
        <v>21</v>
      </c>
      <c r="B136" s="341"/>
      <c r="C136" s="341"/>
      <c r="D136" s="144" t="s">
        <v>395</v>
      </c>
      <c r="E136" s="141">
        <v>910</v>
      </c>
      <c r="F136" s="141" t="s">
        <v>367</v>
      </c>
      <c r="G136" s="141" t="s">
        <v>12</v>
      </c>
      <c r="H136" s="137">
        <v>0.318</v>
      </c>
      <c r="I136" s="137" t="s">
        <v>1910</v>
      </c>
      <c r="J136" s="137" t="s">
        <v>12</v>
      </c>
      <c r="K136" s="137" t="s">
        <v>12</v>
      </c>
      <c r="L136" s="137" t="s">
        <v>14</v>
      </c>
      <c r="M136" s="137" t="s">
        <v>14</v>
      </c>
      <c r="N136" s="137"/>
      <c r="O136" s="137">
        <v>24284</v>
      </c>
      <c r="P136" s="137" t="s">
        <v>396</v>
      </c>
    </row>
    <row r="137" spans="1:16" ht="75" customHeight="1">
      <c r="A137" s="137">
        <v>22</v>
      </c>
      <c r="B137" s="341"/>
      <c r="C137" s="341"/>
      <c r="D137" s="31" t="s">
        <v>397</v>
      </c>
      <c r="E137" s="141">
        <v>720</v>
      </c>
      <c r="F137" s="141" t="s">
        <v>367</v>
      </c>
      <c r="G137" s="141" t="s">
        <v>12</v>
      </c>
      <c r="H137" s="84">
        <v>3.5999999999999997E-2</v>
      </c>
      <c r="I137" s="137" t="s">
        <v>1910</v>
      </c>
      <c r="J137" s="137" t="s">
        <v>12</v>
      </c>
      <c r="K137" s="137" t="s">
        <v>12</v>
      </c>
      <c r="L137" s="137" t="s">
        <v>14</v>
      </c>
      <c r="M137" s="137" t="s">
        <v>14</v>
      </c>
      <c r="N137" s="137"/>
      <c r="O137" s="137">
        <v>24328</v>
      </c>
      <c r="P137" s="137"/>
    </row>
    <row r="138" spans="1:16" ht="75" customHeight="1">
      <c r="A138" s="137">
        <v>23</v>
      </c>
      <c r="B138" s="341"/>
      <c r="C138" s="341"/>
      <c r="D138" s="144" t="s">
        <v>398</v>
      </c>
      <c r="E138" s="141">
        <v>818</v>
      </c>
      <c r="F138" s="141" t="s">
        <v>367</v>
      </c>
      <c r="G138" s="141" t="s">
        <v>12</v>
      </c>
      <c r="H138" s="137">
        <v>4.0899999999999999E-2</v>
      </c>
      <c r="I138" s="137" t="s">
        <v>1910</v>
      </c>
      <c r="J138" s="137" t="s">
        <v>12</v>
      </c>
      <c r="K138" s="137" t="s">
        <v>12</v>
      </c>
      <c r="L138" s="137" t="s">
        <v>14</v>
      </c>
      <c r="M138" s="137" t="s">
        <v>14</v>
      </c>
      <c r="N138" s="137"/>
      <c r="O138" s="137">
        <v>24331</v>
      </c>
      <c r="P138" s="137"/>
    </row>
    <row r="139" spans="1:16" ht="75" customHeight="1">
      <c r="A139" s="137">
        <v>24</v>
      </c>
      <c r="B139" s="341"/>
      <c r="C139" s="341"/>
      <c r="D139" s="144" t="s">
        <v>399</v>
      </c>
      <c r="E139" s="141">
        <v>3642</v>
      </c>
      <c r="F139" s="141" t="s">
        <v>367</v>
      </c>
      <c r="G139" s="141" t="s">
        <v>12</v>
      </c>
      <c r="H139" s="137">
        <v>0.18279999999999999</v>
      </c>
      <c r="I139" s="137" t="s">
        <v>1910</v>
      </c>
      <c r="J139" s="137" t="s">
        <v>12</v>
      </c>
      <c r="K139" s="137" t="s">
        <v>12</v>
      </c>
      <c r="L139" s="137" t="s">
        <v>14</v>
      </c>
      <c r="M139" s="137" t="s">
        <v>14</v>
      </c>
      <c r="N139" s="137"/>
      <c r="O139" s="137">
        <v>24334</v>
      </c>
      <c r="P139" s="137"/>
    </row>
    <row r="140" spans="1:16" ht="75" customHeight="1">
      <c r="A140" s="137">
        <v>25</v>
      </c>
      <c r="B140" s="341"/>
      <c r="C140" s="341"/>
      <c r="D140" s="144" t="s">
        <v>400</v>
      </c>
      <c r="E140" s="141">
        <v>9612</v>
      </c>
      <c r="F140" s="141" t="s">
        <v>367</v>
      </c>
      <c r="G140" s="141" t="s">
        <v>12</v>
      </c>
      <c r="H140" s="137">
        <v>0.48060000000000003</v>
      </c>
      <c r="I140" s="137" t="s">
        <v>1910</v>
      </c>
      <c r="J140" s="137" t="s">
        <v>12</v>
      </c>
      <c r="K140" s="137" t="s">
        <v>12</v>
      </c>
      <c r="L140" s="137" t="s">
        <v>14</v>
      </c>
      <c r="M140" s="137" t="s">
        <v>14</v>
      </c>
      <c r="N140" s="137"/>
      <c r="O140" s="137">
        <v>24337</v>
      </c>
      <c r="P140" s="137"/>
    </row>
    <row r="141" spans="1:16" ht="75" customHeight="1">
      <c r="A141" s="137">
        <v>26</v>
      </c>
      <c r="B141" s="341"/>
      <c r="C141" s="341"/>
      <c r="D141" s="144" t="s">
        <v>401</v>
      </c>
      <c r="E141" s="141">
        <v>708</v>
      </c>
      <c r="F141" s="141" t="s">
        <v>367</v>
      </c>
      <c r="G141" s="141" t="s">
        <v>12</v>
      </c>
      <c r="H141" s="137">
        <v>3.5400000000000001E-2</v>
      </c>
      <c r="I141" s="137" t="s">
        <v>1910</v>
      </c>
      <c r="J141" s="137" t="s">
        <v>12</v>
      </c>
      <c r="K141" s="137" t="s">
        <v>12</v>
      </c>
      <c r="L141" s="137" t="s">
        <v>14</v>
      </c>
      <c r="M141" s="137" t="s">
        <v>14</v>
      </c>
      <c r="N141" s="137"/>
      <c r="O141" s="137">
        <v>24343</v>
      </c>
      <c r="P141" s="137"/>
    </row>
    <row r="142" spans="1:16" ht="75" customHeight="1">
      <c r="A142" s="137">
        <v>27</v>
      </c>
      <c r="B142" s="341"/>
      <c r="C142" s="341"/>
      <c r="D142" s="144" t="s">
        <v>402</v>
      </c>
      <c r="E142" s="141">
        <v>390.8</v>
      </c>
      <c r="F142" s="141" t="s">
        <v>367</v>
      </c>
      <c r="G142" s="141" t="s">
        <v>12</v>
      </c>
      <c r="H142" s="137">
        <v>1.9539999999999998E-2</v>
      </c>
      <c r="I142" s="137" t="s">
        <v>1910</v>
      </c>
      <c r="J142" s="137" t="s">
        <v>12</v>
      </c>
      <c r="K142" s="137" t="s">
        <v>12</v>
      </c>
      <c r="L142" s="137" t="s">
        <v>14</v>
      </c>
      <c r="M142" s="137" t="s">
        <v>14</v>
      </c>
      <c r="N142" s="137"/>
      <c r="O142" s="137">
        <v>24344</v>
      </c>
      <c r="P142" s="137"/>
    </row>
    <row r="143" spans="1:16" ht="75" customHeight="1">
      <c r="A143" s="137">
        <v>28</v>
      </c>
      <c r="B143" s="341"/>
      <c r="C143" s="341"/>
      <c r="D143" s="144" t="s">
        <v>403</v>
      </c>
      <c r="E143" s="141">
        <v>506</v>
      </c>
      <c r="F143" s="141" t="s">
        <v>404</v>
      </c>
      <c r="G143" s="141">
        <v>0.01</v>
      </c>
      <c r="H143" s="137">
        <v>2.53E-2</v>
      </c>
      <c r="I143" s="137" t="s">
        <v>1910</v>
      </c>
      <c r="J143" s="137" t="s">
        <v>12</v>
      </c>
      <c r="K143" s="137" t="s">
        <v>12</v>
      </c>
      <c r="L143" s="137" t="s">
        <v>14</v>
      </c>
      <c r="M143" s="137" t="s">
        <v>14</v>
      </c>
      <c r="N143" s="137"/>
      <c r="O143" s="137">
        <v>24345</v>
      </c>
      <c r="P143" s="137"/>
    </row>
    <row r="144" spans="1:16" ht="75" customHeight="1">
      <c r="A144" s="137">
        <v>29</v>
      </c>
      <c r="B144" s="341"/>
      <c r="C144" s="341"/>
      <c r="D144" s="144" t="s">
        <v>405</v>
      </c>
      <c r="E144" s="141">
        <v>3035</v>
      </c>
      <c r="F144" s="141" t="s">
        <v>367</v>
      </c>
      <c r="G144" s="141" t="s">
        <v>12</v>
      </c>
      <c r="H144" s="84">
        <v>8.7999999999999995E-2</v>
      </c>
      <c r="I144" s="137" t="s">
        <v>1910</v>
      </c>
      <c r="J144" s="137" t="s">
        <v>12</v>
      </c>
      <c r="K144" s="137" t="s">
        <v>12</v>
      </c>
      <c r="L144" s="137" t="s">
        <v>406</v>
      </c>
      <c r="M144" s="137" t="s">
        <v>14</v>
      </c>
      <c r="N144" s="137"/>
      <c r="O144" s="137">
        <v>24107</v>
      </c>
      <c r="P144" s="137"/>
    </row>
    <row r="145" spans="1:16" ht="75" customHeight="1">
      <c r="A145" s="137">
        <v>30</v>
      </c>
      <c r="B145" s="341"/>
      <c r="C145" s="341"/>
      <c r="D145" s="144" t="s">
        <v>407</v>
      </c>
      <c r="E145" s="141">
        <v>5767</v>
      </c>
      <c r="F145" s="141" t="s">
        <v>367</v>
      </c>
      <c r="G145" s="141" t="s">
        <v>12</v>
      </c>
      <c r="H145" s="84">
        <v>0.17599999999999999</v>
      </c>
      <c r="I145" s="137" t="s">
        <v>1910</v>
      </c>
      <c r="J145" s="137" t="s">
        <v>12</v>
      </c>
      <c r="K145" s="137" t="s">
        <v>12</v>
      </c>
      <c r="L145" s="137" t="s">
        <v>14</v>
      </c>
      <c r="M145" s="137" t="s">
        <v>14</v>
      </c>
      <c r="N145" s="137"/>
      <c r="O145" s="137">
        <v>24142</v>
      </c>
      <c r="P145" s="137"/>
    </row>
    <row r="146" spans="1:16" ht="75" customHeight="1">
      <c r="A146" s="137">
        <v>31</v>
      </c>
      <c r="B146" s="341"/>
      <c r="C146" s="341"/>
      <c r="D146" s="144" t="s">
        <v>408</v>
      </c>
      <c r="E146" s="69">
        <v>1200</v>
      </c>
      <c r="F146" s="141" t="s">
        <v>367</v>
      </c>
      <c r="G146" s="141" t="s">
        <v>12</v>
      </c>
      <c r="H146" s="84">
        <v>3.3000000000000002E-2</v>
      </c>
      <c r="I146" s="137" t="s">
        <v>1910</v>
      </c>
      <c r="J146" s="137" t="s">
        <v>12</v>
      </c>
      <c r="K146" s="137" t="s">
        <v>12</v>
      </c>
      <c r="L146" s="137" t="s">
        <v>14</v>
      </c>
      <c r="M146" s="137" t="s">
        <v>14</v>
      </c>
      <c r="N146" s="137"/>
      <c r="O146" s="137">
        <v>26063</v>
      </c>
      <c r="P146" s="137"/>
    </row>
    <row r="147" spans="1:16" ht="75" customHeight="1">
      <c r="A147" s="137">
        <v>32</v>
      </c>
      <c r="B147" s="341"/>
      <c r="C147" s="341"/>
      <c r="D147" s="144" t="s">
        <v>409</v>
      </c>
      <c r="E147" s="141">
        <v>3562</v>
      </c>
      <c r="F147" s="141" t="s">
        <v>367</v>
      </c>
      <c r="G147" s="141" t="s">
        <v>12</v>
      </c>
      <c r="H147" s="84">
        <v>0.27500000000000002</v>
      </c>
      <c r="I147" s="137" t="s">
        <v>1910</v>
      </c>
      <c r="J147" s="137" t="s">
        <v>12</v>
      </c>
      <c r="K147" s="137" t="s">
        <v>12</v>
      </c>
      <c r="L147" s="137" t="s">
        <v>14</v>
      </c>
      <c r="M147" s="137" t="s">
        <v>14</v>
      </c>
      <c r="N147" s="137"/>
      <c r="O147" s="137">
        <v>23916</v>
      </c>
      <c r="P147" s="137"/>
    </row>
    <row r="148" spans="1:16" ht="75" customHeight="1">
      <c r="A148" s="137">
        <v>33</v>
      </c>
      <c r="B148" s="341"/>
      <c r="C148" s="341"/>
      <c r="D148" s="144" t="s">
        <v>410</v>
      </c>
      <c r="E148" s="141">
        <v>1025.2</v>
      </c>
      <c r="F148" s="141" t="s">
        <v>367</v>
      </c>
      <c r="G148" s="141" t="s">
        <v>12</v>
      </c>
      <c r="H148" s="84">
        <v>7.6999999999999999E-2</v>
      </c>
      <c r="I148" s="137" t="s">
        <v>1910</v>
      </c>
      <c r="J148" s="137" t="s">
        <v>12</v>
      </c>
      <c r="K148" s="137" t="s">
        <v>12</v>
      </c>
      <c r="L148" s="137" t="s">
        <v>14</v>
      </c>
      <c r="M148" s="137" t="s">
        <v>14</v>
      </c>
      <c r="N148" s="137"/>
      <c r="O148" s="137">
        <v>23850</v>
      </c>
      <c r="P148" s="137"/>
    </row>
    <row r="149" spans="1:16" ht="75" customHeight="1">
      <c r="A149" s="137">
        <v>34</v>
      </c>
      <c r="B149" s="341"/>
      <c r="C149" s="342"/>
      <c r="D149" s="144" t="s">
        <v>411</v>
      </c>
      <c r="E149" s="141">
        <v>304</v>
      </c>
      <c r="F149" s="141" t="s">
        <v>367</v>
      </c>
      <c r="G149" s="141" t="s">
        <v>12</v>
      </c>
      <c r="H149" s="84">
        <v>1.0999999999999999E-2</v>
      </c>
      <c r="I149" s="137" t="s">
        <v>1910</v>
      </c>
      <c r="J149" s="137" t="s">
        <v>12</v>
      </c>
      <c r="K149" s="137" t="s">
        <v>12</v>
      </c>
      <c r="L149" s="137" t="s">
        <v>14</v>
      </c>
      <c r="M149" s="137" t="s">
        <v>14</v>
      </c>
      <c r="N149" s="137"/>
      <c r="O149" s="137">
        <v>23899</v>
      </c>
      <c r="P149" s="137"/>
    </row>
    <row r="150" spans="1:16" ht="150">
      <c r="A150" s="137">
        <v>35</v>
      </c>
      <c r="B150" s="342"/>
      <c r="C150" s="131" t="s">
        <v>48</v>
      </c>
      <c r="D150" s="131" t="s">
        <v>1900</v>
      </c>
      <c r="E150" s="137" t="s">
        <v>412</v>
      </c>
      <c r="F150" s="137" t="s">
        <v>413</v>
      </c>
      <c r="G150" s="137" t="s">
        <v>15</v>
      </c>
      <c r="H150" s="137" t="s">
        <v>15</v>
      </c>
      <c r="I150" s="137" t="s">
        <v>414</v>
      </c>
      <c r="J150" s="137" t="s">
        <v>1911</v>
      </c>
      <c r="K150" s="137" t="s">
        <v>415</v>
      </c>
      <c r="L150" s="137" t="s">
        <v>15</v>
      </c>
      <c r="M150" s="137" t="s">
        <v>416</v>
      </c>
      <c r="N150" s="137" t="s">
        <v>15</v>
      </c>
      <c r="O150" s="137" t="s">
        <v>15</v>
      </c>
      <c r="P150" s="137" t="s">
        <v>15</v>
      </c>
    </row>
    <row r="151" spans="1:16">
      <c r="A151" s="392"/>
      <c r="B151" s="393"/>
      <c r="C151" s="393"/>
      <c r="D151" s="393"/>
      <c r="E151" s="393"/>
      <c r="F151" s="393"/>
      <c r="G151" s="393"/>
      <c r="H151" s="393"/>
      <c r="I151" s="393"/>
      <c r="J151" s="393"/>
      <c r="K151" s="393"/>
      <c r="L151" s="393"/>
      <c r="M151" s="393"/>
      <c r="N151" s="393"/>
      <c r="O151" s="393"/>
      <c r="P151" s="393"/>
    </row>
    <row r="152" spans="1:16" ht="20.25" customHeight="1">
      <c r="A152" s="336" t="s">
        <v>27</v>
      </c>
      <c r="B152" s="394"/>
      <c r="C152" s="394"/>
      <c r="D152" s="394"/>
      <c r="E152" s="394"/>
      <c r="F152" s="394"/>
      <c r="G152" s="394"/>
      <c r="H152" s="394"/>
      <c r="I152" s="394"/>
      <c r="J152" s="394"/>
      <c r="K152" s="394"/>
      <c r="L152" s="394"/>
      <c r="M152" s="394"/>
      <c r="N152" s="394"/>
      <c r="O152" s="395"/>
      <c r="P152" s="249"/>
    </row>
    <row r="153" spans="1:16" ht="85.5">
      <c r="A153" s="21" t="s">
        <v>0</v>
      </c>
      <c r="B153" s="21" t="s">
        <v>116</v>
      </c>
      <c r="C153" s="21" t="s">
        <v>1</v>
      </c>
      <c r="D153" s="21" t="s">
        <v>123</v>
      </c>
      <c r="E153" s="22" t="s">
        <v>17</v>
      </c>
      <c r="F153" s="22" t="s">
        <v>18</v>
      </c>
      <c r="G153" s="21" t="s">
        <v>114</v>
      </c>
      <c r="H153" s="21" t="s">
        <v>115</v>
      </c>
      <c r="I153" s="21" t="s">
        <v>117</v>
      </c>
      <c r="J153" s="21" t="s">
        <v>5</v>
      </c>
      <c r="K153" s="21" t="s">
        <v>6</v>
      </c>
      <c r="L153" s="21" t="s">
        <v>21</v>
      </c>
      <c r="M153" s="21" t="s">
        <v>22</v>
      </c>
      <c r="N153" s="22" t="s">
        <v>23</v>
      </c>
      <c r="O153" s="20" t="s">
        <v>24</v>
      </c>
      <c r="P153" s="159"/>
    </row>
    <row r="154" spans="1:16" ht="15" customHeight="1">
      <c r="A154" s="21">
        <v>1</v>
      </c>
      <c r="B154" s="21">
        <v>2</v>
      </c>
      <c r="C154" s="21">
        <v>3</v>
      </c>
      <c r="D154" s="21">
        <v>4</v>
      </c>
      <c r="E154" s="21">
        <v>5</v>
      </c>
      <c r="F154" s="21">
        <v>6</v>
      </c>
      <c r="G154" s="21">
        <v>7</v>
      </c>
      <c r="H154" s="21">
        <v>8</v>
      </c>
      <c r="I154" s="21">
        <v>9</v>
      </c>
      <c r="J154" s="21">
        <v>10</v>
      </c>
      <c r="K154" s="21">
        <v>11</v>
      </c>
      <c r="L154" s="21">
        <v>12</v>
      </c>
      <c r="M154" s="21">
        <v>13</v>
      </c>
      <c r="N154" s="21">
        <v>14</v>
      </c>
      <c r="O154" s="21">
        <v>15</v>
      </c>
      <c r="P154" s="159"/>
    </row>
    <row r="155" spans="1:16" ht="150">
      <c r="A155" s="137">
        <v>1</v>
      </c>
      <c r="B155" s="388" t="s">
        <v>364</v>
      </c>
      <c r="C155" s="340" t="s">
        <v>365</v>
      </c>
      <c r="D155" s="126" t="s">
        <v>417</v>
      </c>
      <c r="E155" s="141">
        <v>2226</v>
      </c>
      <c r="F155" s="141">
        <v>1886</v>
      </c>
      <c r="G155" s="141" t="s">
        <v>12</v>
      </c>
      <c r="H155" s="137">
        <v>11.01</v>
      </c>
      <c r="I155" s="137" t="s">
        <v>368</v>
      </c>
      <c r="J155" s="137" t="s">
        <v>12</v>
      </c>
      <c r="K155" s="137" t="s">
        <v>12</v>
      </c>
      <c r="L155" s="137" t="s">
        <v>418</v>
      </c>
      <c r="M155" s="137">
        <v>25864</v>
      </c>
      <c r="N155" s="137">
        <v>1</v>
      </c>
      <c r="O155" s="137"/>
      <c r="P155" s="159"/>
    </row>
    <row r="156" spans="1:16" ht="80.25" customHeight="1">
      <c r="A156" s="137">
        <v>2</v>
      </c>
      <c r="B156" s="389"/>
      <c r="C156" s="341"/>
      <c r="D156" s="7" t="s">
        <v>419</v>
      </c>
      <c r="E156" s="137">
        <v>6313</v>
      </c>
      <c r="F156" s="137">
        <v>1989</v>
      </c>
      <c r="G156" s="137">
        <v>0</v>
      </c>
      <c r="H156" s="137">
        <v>0</v>
      </c>
      <c r="I156" s="137" t="s">
        <v>420</v>
      </c>
      <c r="J156" s="137" t="s">
        <v>421</v>
      </c>
      <c r="K156" s="84" t="s">
        <v>422</v>
      </c>
      <c r="L156" s="137" t="s">
        <v>14</v>
      </c>
      <c r="M156" s="137">
        <v>25869</v>
      </c>
      <c r="N156" s="137">
        <v>2</v>
      </c>
      <c r="O156" s="137"/>
      <c r="P156" s="159"/>
    </row>
    <row r="157" spans="1:16" ht="80.25" customHeight="1">
      <c r="A157" s="137">
        <v>3</v>
      </c>
      <c r="B157" s="389"/>
      <c r="C157" s="341"/>
      <c r="D157" s="7" t="s">
        <v>423</v>
      </c>
      <c r="E157" s="141">
        <v>1720</v>
      </c>
      <c r="F157" s="7" t="s">
        <v>367</v>
      </c>
      <c r="G157" s="141" t="s">
        <v>12</v>
      </c>
      <c r="H157" s="137">
        <v>0.12039999999999999</v>
      </c>
      <c r="I157" s="137" t="s">
        <v>368</v>
      </c>
      <c r="J157" s="137" t="s">
        <v>12</v>
      </c>
      <c r="K157" s="137" t="s">
        <v>12</v>
      </c>
      <c r="L157" s="137" t="s">
        <v>14</v>
      </c>
      <c r="M157" s="137">
        <v>24278</v>
      </c>
      <c r="N157" s="137">
        <v>3</v>
      </c>
      <c r="O157" s="137" t="s">
        <v>424</v>
      </c>
      <c r="P157" s="159"/>
    </row>
    <row r="158" spans="1:16" ht="80.25" customHeight="1">
      <c r="A158" s="137">
        <v>4</v>
      </c>
      <c r="B158" s="389"/>
      <c r="C158" s="341"/>
      <c r="D158" s="127" t="s">
        <v>425</v>
      </c>
      <c r="E158" s="65">
        <v>1631</v>
      </c>
      <c r="F158" s="127" t="s">
        <v>367</v>
      </c>
      <c r="G158" s="65" t="s">
        <v>12</v>
      </c>
      <c r="H158" s="137">
        <v>0.11409999999999999</v>
      </c>
      <c r="I158" s="137" t="s">
        <v>368</v>
      </c>
      <c r="J158" s="137" t="s">
        <v>12</v>
      </c>
      <c r="K158" s="137" t="s">
        <v>12</v>
      </c>
      <c r="L158" s="137" t="s">
        <v>14</v>
      </c>
      <c r="M158" s="137">
        <v>24258</v>
      </c>
      <c r="N158" s="137">
        <v>4</v>
      </c>
      <c r="O158" s="137"/>
      <c r="P158" s="159"/>
    </row>
    <row r="159" spans="1:16" ht="80.25" customHeight="1">
      <c r="A159" s="137">
        <v>5</v>
      </c>
      <c r="B159" s="389"/>
      <c r="C159" s="341"/>
      <c r="D159" s="7" t="s">
        <v>426</v>
      </c>
      <c r="E159" s="141">
        <v>291</v>
      </c>
      <c r="F159" s="7" t="s">
        <v>367</v>
      </c>
      <c r="G159" s="141" t="s">
        <v>12</v>
      </c>
      <c r="H159" s="137">
        <v>0.02</v>
      </c>
      <c r="I159" s="137" t="s">
        <v>368</v>
      </c>
      <c r="J159" s="137" t="s">
        <v>12</v>
      </c>
      <c r="K159" s="137" t="s">
        <v>12</v>
      </c>
      <c r="L159" s="137" t="s">
        <v>14</v>
      </c>
      <c r="M159" s="137">
        <v>26046</v>
      </c>
      <c r="N159" s="137">
        <v>5</v>
      </c>
      <c r="O159" s="137"/>
      <c r="P159" s="159"/>
    </row>
    <row r="160" spans="1:16" ht="80.25" customHeight="1">
      <c r="A160" s="137">
        <v>6</v>
      </c>
      <c r="B160" s="389"/>
      <c r="C160" s="341"/>
      <c r="D160" s="7" t="s">
        <v>427</v>
      </c>
      <c r="E160" s="141">
        <v>253</v>
      </c>
      <c r="F160" s="7" t="s">
        <v>367</v>
      </c>
      <c r="G160" s="141" t="s">
        <v>12</v>
      </c>
      <c r="H160" s="65">
        <v>1.0999999999999999E-2</v>
      </c>
      <c r="I160" s="137" t="s">
        <v>368</v>
      </c>
      <c r="J160" s="137" t="s">
        <v>12</v>
      </c>
      <c r="K160" s="137" t="s">
        <v>12</v>
      </c>
      <c r="L160" s="137" t="s">
        <v>14</v>
      </c>
      <c r="M160" s="137">
        <v>23891</v>
      </c>
      <c r="N160" s="137">
        <v>6</v>
      </c>
      <c r="O160" s="137"/>
      <c r="P160" s="159"/>
    </row>
    <row r="161" spans="1:16" ht="80.25" customHeight="1">
      <c r="A161" s="137">
        <v>7</v>
      </c>
      <c r="B161" s="389"/>
      <c r="C161" s="341"/>
      <c r="D161" s="7" t="s">
        <v>428</v>
      </c>
      <c r="E161" s="69">
        <v>8300</v>
      </c>
      <c r="F161" s="7" t="s">
        <v>367</v>
      </c>
      <c r="G161" s="141" t="s">
        <v>12</v>
      </c>
      <c r="H161" s="84">
        <f>E161*15000/10000000</f>
        <v>12.45</v>
      </c>
      <c r="I161" s="137" t="s">
        <v>368</v>
      </c>
      <c r="J161" s="137" t="s">
        <v>12</v>
      </c>
      <c r="K161" s="137" t="s">
        <v>12</v>
      </c>
      <c r="L161" s="137" t="s">
        <v>14</v>
      </c>
      <c r="M161" s="137">
        <v>23647</v>
      </c>
      <c r="N161" s="137">
        <v>7</v>
      </c>
      <c r="O161" s="137"/>
      <c r="P161" s="159"/>
    </row>
    <row r="162" spans="1:16" ht="80.25" customHeight="1">
      <c r="A162" s="137">
        <v>8</v>
      </c>
      <c r="B162" s="389"/>
      <c r="C162" s="341"/>
      <c r="D162" s="7" t="s">
        <v>429</v>
      </c>
      <c r="E162" s="69">
        <v>1093</v>
      </c>
      <c r="F162" s="7" t="s">
        <v>367</v>
      </c>
      <c r="G162" s="141" t="s">
        <v>12</v>
      </c>
      <c r="H162" s="137">
        <v>0.1</v>
      </c>
      <c r="I162" s="137" t="s">
        <v>368</v>
      </c>
      <c r="J162" s="137" t="s">
        <v>12</v>
      </c>
      <c r="K162" s="137" t="s">
        <v>12</v>
      </c>
      <c r="L162" s="137" t="s">
        <v>14</v>
      </c>
      <c r="M162" s="137">
        <v>25873</v>
      </c>
      <c r="N162" s="137">
        <v>8</v>
      </c>
      <c r="O162" s="137"/>
      <c r="P162" s="159"/>
    </row>
    <row r="163" spans="1:16" ht="80.25" customHeight="1">
      <c r="A163" s="137">
        <v>9</v>
      </c>
      <c r="B163" s="389"/>
      <c r="C163" s="341"/>
      <c r="D163" s="7" t="s">
        <v>430</v>
      </c>
      <c r="E163" s="69">
        <v>486</v>
      </c>
      <c r="F163" s="7" t="s">
        <v>367</v>
      </c>
      <c r="G163" s="141" t="s">
        <v>12</v>
      </c>
      <c r="H163" s="137">
        <v>0.05</v>
      </c>
      <c r="I163" s="137" t="s">
        <v>368</v>
      </c>
      <c r="J163" s="137" t="s">
        <v>12</v>
      </c>
      <c r="K163" s="137" t="s">
        <v>12</v>
      </c>
      <c r="L163" s="137" t="s">
        <v>14</v>
      </c>
      <c r="M163" s="137">
        <v>25889</v>
      </c>
      <c r="N163" s="137">
        <v>9</v>
      </c>
      <c r="O163" s="137"/>
      <c r="P163" s="159"/>
    </row>
    <row r="164" spans="1:16" ht="80.25" customHeight="1">
      <c r="A164" s="237">
        <v>10</v>
      </c>
      <c r="B164" s="389"/>
      <c r="C164" s="342"/>
      <c r="D164" s="250" t="s">
        <v>431</v>
      </c>
      <c r="E164" s="251">
        <v>3063</v>
      </c>
      <c r="F164" s="128">
        <v>1867</v>
      </c>
      <c r="G164" s="128" t="s">
        <v>12</v>
      </c>
      <c r="H164" s="237" t="s">
        <v>12</v>
      </c>
      <c r="I164" s="237" t="s">
        <v>432</v>
      </c>
      <c r="J164" s="238" t="s">
        <v>12</v>
      </c>
      <c r="K164" s="238" t="s">
        <v>12</v>
      </c>
      <c r="L164" s="237" t="s">
        <v>14</v>
      </c>
      <c r="M164" s="238"/>
      <c r="N164" s="237">
        <v>12</v>
      </c>
      <c r="O164" s="237" t="s">
        <v>432</v>
      </c>
      <c r="P164" s="159"/>
    </row>
    <row r="165" spans="1:16" ht="15" customHeight="1">
      <c r="A165" s="396"/>
      <c r="B165" s="396"/>
      <c r="C165" s="396"/>
      <c r="D165" s="396"/>
      <c r="E165" s="396"/>
      <c r="F165" s="396"/>
      <c r="G165" s="396"/>
      <c r="H165" s="396"/>
      <c r="I165" s="396"/>
      <c r="J165" s="396"/>
      <c r="K165" s="396"/>
      <c r="L165" s="396"/>
      <c r="M165" s="396"/>
      <c r="N165" s="396"/>
      <c r="O165" s="396"/>
      <c r="P165" s="396"/>
    </row>
    <row r="166" spans="1:16" ht="20.25" customHeight="1">
      <c r="A166" s="366" t="s">
        <v>33</v>
      </c>
      <c r="B166" s="367"/>
      <c r="C166" s="367"/>
      <c r="D166" s="367"/>
      <c r="E166" s="367"/>
      <c r="F166" s="367"/>
      <c r="G166" s="367"/>
      <c r="H166" s="367"/>
      <c r="I166" s="367"/>
      <c r="J166" s="367"/>
      <c r="K166" s="367"/>
      <c r="L166" s="367"/>
      <c r="M166" s="367"/>
      <c r="N166" s="367"/>
      <c r="O166" s="368"/>
      <c r="P166" s="159"/>
    </row>
    <row r="167" spans="1:16" ht="85.5">
      <c r="A167" s="21" t="s">
        <v>0</v>
      </c>
      <c r="B167" s="21" t="s">
        <v>116</v>
      </c>
      <c r="C167" s="21" t="s">
        <v>1</v>
      </c>
      <c r="D167" s="21" t="s">
        <v>123</v>
      </c>
      <c r="E167" s="21" t="s">
        <v>28</v>
      </c>
      <c r="F167" s="21" t="s">
        <v>18</v>
      </c>
      <c r="G167" s="21" t="s">
        <v>118</v>
      </c>
      <c r="H167" s="21" t="s">
        <v>115</v>
      </c>
      <c r="I167" s="21" t="s">
        <v>112</v>
      </c>
      <c r="J167" s="21" t="s">
        <v>5</v>
      </c>
      <c r="K167" s="21" t="s">
        <v>6</v>
      </c>
      <c r="L167" s="21" t="s">
        <v>30</v>
      </c>
      <c r="M167" s="21" t="s">
        <v>22</v>
      </c>
      <c r="N167" s="22" t="s">
        <v>31</v>
      </c>
      <c r="O167" s="49" t="s">
        <v>11</v>
      </c>
      <c r="P167" s="159"/>
    </row>
    <row r="168" spans="1:16" ht="15" customHeight="1">
      <c r="A168" s="12">
        <v>1</v>
      </c>
      <c r="B168" s="32">
        <v>2</v>
      </c>
      <c r="C168" s="32">
        <v>3</v>
      </c>
      <c r="D168" s="32">
        <v>4</v>
      </c>
      <c r="E168" s="32">
        <v>5</v>
      </c>
      <c r="F168" s="32">
        <v>6</v>
      </c>
      <c r="G168" s="32">
        <v>7</v>
      </c>
      <c r="H168" s="32">
        <v>8</v>
      </c>
      <c r="I168" s="32">
        <v>9</v>
      </c>
      <c r="J168" s="32">
        <v>10</v>
      </c>
      <c r="K168" s="32">
        <v>11</v>
      </c>
      <c r="L168" s="32">
        <v>12</v>
      </c>
      <c r="M168" s="32">
        <v>13</v>
      </c>
      <c r="N168" s="33">
        <v>14</v>
      </c>
      <c r="O168" s="32">
        <v>15</v>
      </c>
      <c r="P168" s="159"/>
    </row>
    <row r="169" spans="1:16" ht="75" customHeight="1">
      <c r="A169" s="136">
        <v>1</v>
      </c>
      <c r="B169" s="340" t="s">
        <v>364</v>
      </c>
      <c r="C169" s="340" t="s">
        <v>365</v>
      </c>
      <c r="D169" s="130" t="s">
        <v>433</v>
      </c>
      <c r="E169" s="128">
        <v>16997</v>
      </c>
      <c r="F169" s="129" t="s">
        <v>434</v>
      </c>
      <c r="G169" s="128">
        <v>0.99</v>
      </c>
      <c r="H169" s="136">
        <v>33.9</v>
      </c>
      <c r="I169" s="137" t="s">
        <v>1910</v>
      </c>
      <c r="J169" s="136" t="s">
        <v>12</v>
      </c>
      <c r="K169" s="128" t="s">
        <v>12</v>
      </c>
      <c r="L169" s="136" t="s">
        <v>14</v>
      </c>
      <c r="M169" s="136"/>
      <c r="N169" s="136">
        <v>1</v>
      </c>
      <c r="O169" s="123"/>
      <c r="P169" s="159"/>
    </row>
    <row r="170" spans="1:16" ht="30">
      <c r="A170" s="136">
        <v>2</v>
      </c>
      <c r="B170" s="341"/>
      <c r="C170" s="341"/>
      <c r="D170" s="144" t="s">
        <v>436</v>
      </c>
      <c r="E170" s="128">
        <v>3636</v>
      </c>
      <c r="F170" s="137">
        <v>1904</v>
      </c>
      <c r="G170" s="141" t="s">
        <v>12</v>
      </c>
      <c r="H170" s="136">
        <v>0.2545</v>
      </c>
      <c r="I170" s="137" t="s">
        <v>1910</v>
      </c>
      <c r="J170" s="136" t="s">
        <v>12</v>
      </c>
      <c r="K170" s="128" t="s">
        <v>12</v>
      </c>
      <c r="L170" s="136" t="s">
        <v>14</v>
      </c>
      <c r="M170" s="136">
        <v>24273</v>
      </c>
      <c r="N170" s="136">
        <v>4</v>
      </c>
      <c r="O170" s="123"/>
      <c r="P170" s="159"/>
    </row>
    <row r="171" spans="1:16" ht="60">
      <c r="A171" s="136">
        <v>3</v>
      </c>
      <c r="B171" s="341"/>
      <c r="C171" s="341"/>
      <c r="D171" s="144" t="s">
        <v>437</v>
      </c>
      <c r="E171" s="128">
        <v>2024</v>
      </c>
      <c r="F171" s="141" t="s">
        <v>438</v>
      </c>
      <c r="G171" s="141" t="s">
        <v>12</v>
      </c>
      <c r="H171" s="136">
        <v>0.14168</v>
      </c>
      <c r="I171" s="137" t="s">
        <v>1910</v>
      </c>
      <c r="J171" s="136" t="s">
        <v>12</v>
      </c>
      <c r="K171" s="128" t="s">
        <v>12</v>
      </c>
      <c r="L171" s="136" t="s">
        <v>14</v>
      </c>
      <c r="M171" s="136">
        <v>24266</v>
      </c>
      <c r="N171" s="136">
        <v>5</v>
      </c>
      <c r="O171" s="123"/>
      <c r="P171" s="159"/>
    </row>
    <row r="172" spans="1:16" ht="45">
      <c r="A172" s="136">
        <v>4</v>
      </c>
      <c r="B172" s="341"/>
      <c r="C172" s="341"/>
      <c r="D172" s="144" t="s">
        <v>439</v>
      </c>
      <c r="E172" s="128">
        <v>1025</v>
      </c>
      <c r="F172" s="137" t="s">
        <v>440</v>
      </c>
      <c r="G172" s="141">
        <v>0.39</v>
      </c>
      <c r="H172" s="136">
        <v>7.17E-2</v>
      </c>
      <c r="I172" s="137" t="s">
        <v>1910</v>
      </c>
      <c r="J172" s="136" t="s">
        <v>12</v>
      </c>
      <c r="K172" s="128" t="s">
        <v>12</v>
      </c>
      <c r="L172" s="136" t="s">
        <v>14</v>
      </c>
      <c r="M172" s="136">
        <v>25642</v>
      </c>
      <c r="N172" s="136">
        <v>6</v>
      </c>
      <c r="O172" s="123"/>
      <c r="P172" s="159"/>
    </row>
    <row r="173" spans="1:16" ht="45">
      <c r="A173" s="136">
        <v>5</v>
      </c>
      <c r="B173" s="341"/>
      <c r="C173" s="341"/>
      <c r="D173" s="144" t="s">
        <v>441</v>
      </c>
      <c r="E173" s="128">
        <v>304</v>
      </c>
      <c r="F173" s="137" t="s">
        <v>442</v>
      </c>
      <c r="G173" s="137">
        <v>0.21</v>
      </c>
      <c r="H173" s="136">
        <v>2.12E-2</v>
      </c>
      <c r="I173" s="137" t="s">
        <v>1910</v>
      </c>
      <c r="J173" s="136" t="s">
        <v>12</v>
      </c>
      <c r="K173" s="128" t="s">
        <v>12</v>
      </c>
      <c r="L173" s="136" t="s">
        <v>14</v>
      </c>
      <c r="M173" s="136">
        <v>26042</v>
      </c>
      <c r="N173" s="136">
        <v>7</v>
      </c>
      <c r="O173" s="123"/>
      <c r="P173" s="159"/>
    </row>
    <row r="174" spans="1:16" ht="45">
      <c r="A174" s="136">
        <v>6</v>
      </c>
      <c r="B174" s="341"/>
      <c r="C174" s="341"/>
      <c r="D174" s="144" t="s">
        <v>443</v>
      </c>
      <c r="E174" s="128">
        <v>506</v>
      </c>
      <c r="F174" s="137" t="s">
        <v>444</v>
      </c>
      <c r="G174" s="137">
        <v>0.21</v>
      </c>
      <c r="H174" s="136">
        <v>2.53E-2</v>
      </c>
      <c r="I174" s="137" t="s">
        <v>1910</v>
      </c>
      <c r="J174" s="136" t="s">
        <v>12</v>
      </c>
      <c r="K174" s="128" t="s">
        <v>12</v>
      </c>
      <c r="L174" s="136" t="s">
        <v>14</v>
      </c>
      <c r="M174" s="136">
        <v>26042</v>
      </c>
      <c r="N174" s="136">
        <v>7</v>
      </c>
      <c r="O174" s="123"/>
      <c r="P174" s="159"/>
    </row>
    <row r="175" spans="1:16" ht="60">
      <c r="A175" s="136">
        <v>7</v>
      </c>
      <c r="B175" s="341"/>
      <c r="C175" s="341"/>
      <c r="D175" s="144" t="s">
        <v>445</v>
      </c>
      <c r="E175" s="128">
        <v>23473</v>
      </c>
      <c r="F175" s="137" t="s">
        <v>446</v>
      </c>
      <c r="G175" s="137">
        <v>0.42799999999999999</v>
      </c>
      <c r="H175" s="66">
        <v>27.786000000000001</v>
      </c>
      <c r="I175" s="137" t="s">
        <v>1910</v>
      </c>
      <c r="J175" s="136" t="s">
        <v>12</v>
      </c>
      <c r="K175" s="128" t="s">
        <v>12</v>
      </c>
      <c r="L175" s="136" t="s">
        <v>14</v>
      </c>
      <c r="M175" s="136">
        <v>23619</v>
      </c>
      <c r="N175" s="136">
        <v>8</v>
      </c>
      <c r="O175" s="123"/>
      <c r="P175" s="159"/>
    </row>
    <row r="176" spans="1:16" ht="45">
      <c r="A176" s="136">
        <v>8</v>
      </c>
      <c r="B176" s="341"/>
      <c r="C176" s="341"/>
      <c r="D176" s="144" t="s">
        <v>447</v>
      </c>
      <c r="E176" s="128">
        <v>670</v>
      </c>
      <c r="F176" s="141" t="s">
        <v>438</v>
      </c>
      <c r="G176" s="141" t="s">
        <v>12</v>
      </c>
      <c r="H176" s="66">
        <v>0.42899999999999999</v>
      </c>
      <c r="I176" s="137" t="s">
        <v>1910</v>
      </c>
      <c r="J176" s="136" t="s">
        <v>12</v>
      </c>
      <c r="K176" s="128" t="s">
        <v>12</v>
      </c>
      <c r="L176" s="136" t="s">
        <v>14</v>
      </c>
      <c r="M176" s="136">
        <v>23936</v>
      </c>
      <c r="N176" s="136">
        <v>9</v>
      </c>
      <c r="O176" s="123"/>
      <c r="P176" s="159"/>
    </row>
    <row r="177" spans="1:16" ht="45">
      <c r="A177" s="136">
        <v>9</v>
      </c>
      <c r="B177" s="341"/>
      <c r="C177" s="341"/>
      <c r="D177" s="144" t="s">
        <v>448</v>
      </c>
      <c r="E177" s="128">
        <v>1581</v>
      </c>
      <c r="F177" s="141" t="s">
        <v>438</v>
      </c>
      <c r="G177" s="141" t="s">
        <v>12</v>
      </c>
      <c r="H177" s="66">
        <v>1.0229999999999999</v>
      </c>
      <c r="I177" s="137" t="s">
        <v>1910</v>
      </c>
      <c r="J177" s="136" t="s">
        <v>12</v>
      </c>
      <c r="K177" s="128" t="s">
        <v>12</v>
      </c>
      <c r="L177" s="136" t="s">
        <v>14</v>
      </c>
      <c r="M177" s="136"/>
      <c r="N177" s="136">
        <v>10</v>
      </c>
      <c r="O177" s="123"/>
      <c r="P177" s="159"/>
    </row>
    <row r="178" spans="1:16" ht="60">
      <c r="A178" s="137">
        <v>10</v>
      </c>
      <c r="B178" s="341"/>
      <c r="C178" s="341"/>
      <c r="D178" s="144" t="s">
        <v>449</v>
      </c>
      <c r="E178" s="141">
        <v>1265</v>
      </c>
      <c r="F178" s="141" t="s">
        <v>438</v>
      </c>
      <c r="G178" s="141" t="s">
        <v>12</v>
      </c>
      <c r="H178" s="66">
        <v>0.82499999999999996</v>
      </c>
      <c r="I178" s="137" t="s">
        <v>1910</v>
      </c>
      <c r="J178" s="137" t="s">
        <v>12</v>
      </c>
      <c r="K178" s="141" t="s">
        <v>12</v>
      </c>
      <c r="L178" s="136" t="s">
        <v>14</v>
      </c>
      <c r="M178" s="137">
        <v>24099</v>
      </c>
      <c r="N178" s="137">
        <v>11</v>
      </c>
      <c r="O178" s="124"/>
      <c r="P178" s="159"/>
    </row>
    <row r="179" spans="1:16" ht="60">
      <c r="A179" s="137">
        <v>11</v>
      </c>
      <c r="B179" s="341"/>
      <c r="C179" s="341"/>
      <c r="D179" s="144" t="s">
        <v>450</v>
      </c>
      <c r="E179" s="141">
        <v>1214</v>
      </c>
      <c r="F179" s="141" t="s">
        <v>367</v>
      </c>
      <c r="G179" s="141" t="s">
        <v>12</v>
      </c>
      <c r="H179" s="84">
        <v>0.52800000000000002</v>
      </c>
      <c r="I179" s="137" t="s">
        <v>1910</v>
      </c>
      <c r="J179" s="137" t="s">
        <v>12</v>
      </c>
      <c r="K179" s="137" t="s">
        <v>12</v>
      </c>
      <c r="L179" s="136" t="s">
        <v>14</v>
      </c>
      <c r="M179" s="137">
        <v>23921</v>
      </c>
      <c r="N179" s="137">
        <v>12</v>
      </c>
      <c r="O179" s="124"/>
      <c r="P179" s="159"/>
    </row>
    <row r="180" spans="1:16" ht="75">
      <c r="A180" s="282">
        <v>12</v>
      </c>
      <c r="B180" s="341"/>
      <c r="C180" s="341"/>
      <c r="D180" s="289" t="s">
        <v>451</v>
      </c>
      <c r="E180" s="128">
        <v>1214</v>
      </c>
      <c r="F180" s="128" t="s">
        <v>367</v>
      </c>
      <c r="G180" s="128" t="s">
        <v>12</v>
      </c>
      <c r="H180" s="293">
        <v>0.79200000000000004</v>
      </c>
      <c r="I180" s="282" t="s">
        <v>1910</v>
      </c>
      <c r="J180" s="282" t="s">
        <v>12</v>
      </c>
      <c r="K180" s="282" t="s">
        <v>12</v>
      </c>
      <c r="L180" s="136" t="s">
        <v>14</v>
      </c>
      <c r="M180" s="282">
        <v>23936</v>
      </c>
      <c r="N180" s="282">
        <v>13</v>
      </c>
      <c r="O180" s="282"/>
      <c r="P180" s="159"/>
    </row>
    <row r="181" spans="1:16" ht="20.25" customHeight="1">
      <c r="A181" s="348"/>
      <c r="B181" s="348"/>
      <c r="C181" s="348"/>
      <c r="D181" s="348"/>
      <c r="E181" s="348"/>
      <c r="F181" s="348"/>
      <c r="G181" s="348"/>
      <c r="H181" s="348"/>
      <c r="I181" s="348"/>
      <c r="J181" s="348"/>
      <c r="K181" s="348"/>
      <c r="L181" s="348"/>
      <c r="M181" s="348"/>
      <c r="N181" s="348"/>
      <c r="O181" s="348"/>
      <c r="P181" s="348"/>
    </row>
    <row r="182" spans="1:16" ht="20.25">
      <c r="A182" s="336" t="s">
        <v>34</v>
      </c>
      <c r="B182" s="337"/>
      <c r="C182" s="337"/>
      <c r="D182" s="337"/>
      <c r="E182" s="337"/>
      <c r="F182" s="337"/>
      <c r="G182" s="337"/>
      <c r="H182" s="337"/>
      <c r="I182" s="337"/>
      <c r="J182" s="337"/>
      <c r="K182" s="337"/>
      <c r="L182" s="337"/>
      <c r="M182" s="337"/>
      <c r="N182" s="337"/>
      <c r="O182" s="337"/>
      <c r="P182" s="337"/>
    </row>
    <row r="183" spans="1:16" ht="85.5">
      <c r="A183" s="21" t="s">
        <v>0</v>
      </c>
      <c r="B183" s="21" t="s">
        <v>124</v>
      </c>
      <c r="C183" s="21" t="s">
        <v>1</v>
      </c>
      <c r="D183" s="21" t="s">
        <v>123</v>
      </c>
      <c r="E183" s="21" t="s">
        <v>28</v>
      </c>
      <c r="F183" s="21" t="s">
        <v>18</v>
      </c>
      <c r="G183" s="21" t="s">
        <v>118</v>
      </c>
      <c r="H183" s="21" t="s">
        <v>115</v>
      </c>
      <c r="I183" s="21" t="s">
        <v>112</v>
      </c>
      <c r="J183" s="21" t="s">
        <v>5</v>
      </c>
      <c r="K183" s="21" t="s">
        <v>6</v>
      </c>
      <c r="L183" s="21" t="s">
        <v>30</v>
      </c>
      <c r="M183" s="21" t="s">
        <v>22</v>
      </c>
      <c r="N183" s="22" t="s">
        <v>32</v>
      </c>
      <c r="O183" s="22" t="s">
        <v>31</v>
      </c>
      <c r="P183" s="20" t="s">
        <v>24</v>
      </c>
    </row>
    <row r="184" spans="1:16" ht="60">
      <c r="A184" s="137">
        <v>1</v>
      </c>
      <c r="B184" s="340" t="s">
        <v>452</v>
      </c>
      <c r="C184" s="340" t="s">
        <v>365</v>
      </c>
      <c r="D184" s="144" t="s">
        <v>453</v>
      </c>
      <c r="E184" s="69">
        <v>2428</v>
      </c>
      <c r="F184" s="141">
        <v>1998</v>
      </c>
      <c r="G184" s="141">
        <v>0.15</v>
      </c>
      <c r="H184" s="137">
        <v>0.45</v>
      </c>
      <c r="I184" s="137" t="s">
        <v>368</v>
      </c>
      <c r="J184" s="137" t="s">
        <v>12</v>
      </c>
      <c r="K184" s="137" t="s">
        <v>12</v>
      </c>
      <c r="L184" s="137" t="s">
        <v>435</v>
      </c>
      <c r="M184" s="137">
        <v>25879</v>
      </c>
      <c r="N184" s="137">
        <v>10</v>
      </c>
      <c r="O184" s="137">
        <v>3</v>
      </c>
      <c r="P184" s="137"/>
    </row>
    <row r="185" spans="1:16" ht="108" customHeight="1">
      <c r="A185" s="137">
        <v>2</v>
      </c>
      <c r="B185" s="342"/>
      <c r="C185" s="342"/>
      <c r="D185" s="144" t="s">
        <v>454</v>
      </c>
      <c r="E185" s="141">
        <v>2873</v>
      </c>
      <c r="F185" s="137" t="s">
        <v>455</v>
      </c>
      <c r="G185" s="137">
        <v>0.52</v>
      </c>
      <c r="H185" s="137">
        <v>0.52</v>
      </c>
      <c r="I185" s="137" t="s">
        <v>368</v>
      </c>
      <c r="J185" s="137" t="s">
        <v>12</v>
      </c>
      <c r="K185" s="137" t="s">
        <v>12</v>
      </c>
      <c r="L185" s="137" t="s">
        <v>435</v>
      </c>
      <c r="M185" s="137">
        <v>25885</v>
      </c>
      <c r="N185" s="137">
        <v>11</v>
      </c>
      <c r="O185" s="137">
        <v>2</v>
      </c>
      <c r="P185" s="137"/>
    </row>
    <row r="186" spans="1:16">
      <c r="A186" s="359"/>
      <c r="B186" s="359"/>
      <c r="C186" s="359"/>
      <c r="D186" s="359"/>
      <c r="E186" s="359"/>
      <c r="F186" s="359"/>
      <c r="G186" s="359"/>
      <c r="H186" s="359"/>
      <c r="I186" s="359"/>
      <c r="J186" s="359"/>
      <c r="K186" s="359"/>
      <c r="L186" s="359"/>
      <c r="M186" s="359"/>
      <c r="N186" s="359"/>
      <c r="O186" s="359"/>
      <c r="P186" s="390"/>
    </row>
    <row r="187" spans="1:16" ht="22.5">
      <c r="A187" s="338" t="s">
        <v>179</v>
      </c>
      <c r="B187" s="339"/>
      <c r="C187" s="339"/>
      <c r="D187" s="339"/>
      <c r="E187" s="339"/>
      <c r="F187" s="339"/>
      <c r="G187" s="339"/>
      <c r="H187" s="339"/>
      <c r="I187" s="339"/>
      <c r="J187" s="339"/>
      <c r="K187" s="339"/>
      <c r="L187" s="339"/>
      <c r="M187" s="339"/>
      <c r="N187" s="339"/>
      <c r="O187" s="339"/>
      <c r="P187" s="339"/>
    </row>
    <row r="188" spans="1:16" ht="20.25">
      <c r="A188" s="336" t="s">
        <v>16</v>
      </c>
      <c r="B188" s="337"/>
      <c r="C188" s="337"/>
      <c r="D188" s="337"/>
      <c r="E188" s="337"/>
      <c r="F188" s="337"/>
      <c r="G188" s="337"/>
      <c r="H188" s="337"/>
      <c r="I188" s="337"/>
      <c r="J188" s="337"/>
      <c r="K188" s="337"/>
      <c r="L188" s="337"/>
      <c r="M188" s="337"/>
      <c r="N188" s="337"/>
      <c r="O188" s="337"/>
      <c r="P188" s="337"/>
    </row>
    <row r="189" spans="1:16" ht="85.5">
      <c r="A189" s="21" t="s">
        <v>0</v>
      </c>
      <c r="B189" s="21" t="s">
        <v>119</v>
      </c>
      <c r="C189" s="21" t="s">
        <v>1</v>
      </c>
      <c r="D189" s="21" t="s">
        <v>120</v>
      </c>
      <c r="E189" s="21" t="s">
        <v>3</v>
      </c>
      <c r="F189" s="21" t="s">
        <v>4</v>
      </c>
      <c r="G189" s="21" t="s">
        <v>121</v>
      </c>
      <c r="H189" s="21" t="s">
        <v>122</v>
      </c>
      <c r="I189" s="21" t="s">
        <v>113</v>
      </c>
      <c r="J189" s="21" t="s">
        <v>5</v>
      </c>
      <c r="K189" s="21" t="s">
        <v>6</v>
      </c>
      <c r="L189" s="21" t="s">
        <v>7</v>
      </c>
      <c r="M189" s="22" t="s">
        <v>8</v>
      </c>
      <c r="N189" s="47" t="s">
        <v>9</v>
      </c>
      <c r="O189" s="48" t="s">
        <v>10</v>
      </c>
      <c r="P189" s="49" t="s">
        <v>11</v>
      </c>
    </row>
    <row r="190" spans="1:16">
      <c r="A190" s="21">
        <v>1</v>
      </c>
      <c r="B190" s="21">
        <v>2</v>
      </c>
      <c r="C190" s="21">
        <v>3</v>
      </c>
      <c r="D190" s="21">
        <v>4</v>
      </c>
      <c r="E190" s="21">
        <v>5</v>
      </c>
      <c r="F190" s="21">
        <v>6</v>
      </c>
      <c r="G190" s="21">
        <v>7</v>
      </c>
      <c r="H190" s="21">
        <v>8</v>
      </c>
      <c r="I190" s="21">
        <v>9</v>
      </c>
      <c r="J190" s="21">
        <v>10</v>
      </c>
      <c r="K190" s="21">
        <v>11</v>
      </c>
      <c r="L190" s="21">
        <v>12</v>
      </c>
      <c r="M190" s="21">
        <v>13</v>
      </c>
      <c r="N190" s="21">
        <v>14</v>
      </c>
      <c r="O190" s="48">
        <v>15</v>
      </c>
      <c r="P190" s="21">
        <v>16</v>
      </c>
    </row>
    <row r="191" spans="1:16" ht="135">
      <c r="A191" s="137">
        <v>1</v>
      </c>
      <c r="B191" s="310" t="s">
        <v>456</v>
      </c>
      <c r="C191" s="131" t="s">
        <v>457</v>
      </c>
      <c r="D191" s="131" t="s">
        <v>458</v>
      </c>
      <c r="E191" s="137">
        <v>3646.5</v>
      </c>
      <c r="F191" s="137" t="s">
        <v>459</v>
      </c>
      <c r="G191" s="137" t="s">
        <v>460</v>
      </c>
      <c r="H191" s="137" t="s">
        <v>461</v>
      </c>
      <c r="I191" s="137" t="s">
        <v>25</v>
      </c>
      <c r="J191" s="137" t="s">
        <v>12</v>
      </c>
      <c r="K191" s="137" t="s">
        <v>41</v>
      </c>
      <c r="L191" s="137" t="s">
        <v>41</v>
      </c>
      <c r="M191" s="137" t="s">
        <v>462</v>
      </c>
      <c r="N191" s="137" t="s">
        <v>463</v>
      </c>
      <c r="O191" s="137">
        <v>16282</v>
      </c>
      <c r="P191" s="137" t="s">
        <v>464</v>
      </c>
    </row>
    <row r="192" spans="1:16" ht="45" customHeight="1">
      <c r="A192" s="170"/>
      <c r="B192" s="332" t="s">
        <v>1912</v>
      </c>
      <c r="C192" s="333"/>
      <c r="D192" s="333"/>
      <c r="E192" s="333"/>
      <c r="F192" s="333"/>
      <c r="G192" s="333"/>
      <c r="H192" s="333"/>
      <c r="I192" s="333"/>
      <c r="J192" s="333"/>
      <c r="K192" s="333"/>
      <c r="L192" s="333"/>
      <c r="M192" s="333"/>
      <c r="N192" s="333"/>
      <c r="O192" s="333"/>
      <c r="P192" s="334"/>
    </row>
    <row r="193" spans="1:16" ht="99" hidden="1" customHeight="1">
      <c r="A193" s="92"/>
      <c r="B193" s="92"/>
      <c r="C193" s="169"/>
      <c r="D193" s="169"/>
      <c r="E193" s="169"/>
      <c r="F193" s="169"/>
      <c r="G193" s="169"/>
      <c r="H193" s="169"/>
      <c r="I193" s="169"/>
      <c r="J193" s="169"/>
      <c r="K193" s="169"/>
      <c r="L193" s="169"/>
      <c r="M193" s="169"/>
      <c r="N193" s="169"/>
      <c r="O193" s="169"/>
      <c r="P193" s="169"/>
    </row>
    <row r="194" spans="1:16" ht="15" hidden="1" customHeight="1">
      <c r="A194" s="76"/>
      <c r="B194" s="75"/>
      <c r="C194" s="78"/>
      <c r="D194" s="79"/>
      <c r="E194" s="37"/>
      <c r="F194" s="50"/>
      <c r="G194" s="37"/>
      <c r="H194" s="37"/>
      <c r="I194" s="8"/>
      <c r="J194" s="8"/>
      <c r="K194" s="8"/>
      <c r="L194" s="8"/>
      <c r="M194" s="8"/>
      <c r="N194" s="53"/>
      <c r="O194" s="8"/>
      <c r="P194" s="80"/>
    </row>
    <row r="195" spans="1:16" ht="30">
      <c r="A195" s="309">
        <v>2</v>
      </c>
      <c r="B195" s="310" t="s">
        <v>456</v>
      </c>
      <c r="C195" s="132" t="s">
        <v>2437</v>
      </c>
      <c r="D195" s="397" t="s">
        <v>2438</v>
      </c>
      <c r="E195" s="398"/>
      <c r="F195" s="398"/>
      <c r="G195" s="398"/>
      <c r="H195" s="398"/>
      <c r="I195" s="398"/>
      <c r="J195" s="398"/>
      <c r="K195" s="398"/>
      <c r="L195" s="398"/>
      <c r="M195" s="398"/>
      <c r="N195" s="398"/>
      <c r="O195" s="398"/>
      <c r="P195" s="399"/>
    </row>
    <row r="196" spans="1:16" ht="15" customHeight="1">
      <c r="A196" s="345"/>
      <c r="B196" s="346"/>
      <c r="C196" s="346"/>
      <c r="D196" s="346"/>
      <c r="E196" s="346"/>
      <c r="F196" s="346"/>
      <c r="G196" s="346"/>
      <c r="H196" s="346"/>
      <c r="I196" s="346"/>
      <c r="J196" s="346"/>
      <c r="K196" s="346"/>
      <c r="L196" s="346"/>
      <c r="M196" s="346"/>
      <c r="N196" s="346"/>
      <c r="O196" s="346"/>
      <c r="P196" s="346"/>
    </row>
    <row r="197" spans="1:16" ht="20.25" customHeight="1">
      <c r="A197" s="347" t="s">
        <v>27</v>
      </c>
      <c r="B197" s="347"/>
      <c r="C197" s="347"/>
      <c r="D197" s="347"/>
      <c r="E197" s="347"/>
      <c r="F197" s="347"/>
      <c r="G197" s="347"/>
      <c r="H197" s="347"/>
      <c r="I197" s="347"/>
      <c r="J197" s="347"/>
      <c r="K197" s="347"/>
      <c r="L197" s="347"/>
      <c r="M197" s="347"/>
      <c r="N197" s="347"/>
      <c r="O197" s="347"/>
      <c r="P197" s="349"/>
    </row>
    <row r="198" spans="1:16" ht="85.5">
      <c r="A198" s="21" t="s">
        <v>0</v>
      </c>
      <c r="B198" s="21" t="s">
        <v>116</v>
      </c>
      <c r="C198" s="21" t="s">
        <v>1</v>
      </c>
      <c r="D198" s="21" t="s">
        <v>123</v>
      </c>
      <c r="E198" s="22" t="s">
        <v>17</v>
      </c>
      <c r="F198" s="22" t="s">
        <v>18</v>
      </c>
      <c r="G198" s="21" t="s">
        <v>114</v>
      </c>
      <c r="H198" s="21" t="s">
        <v>115</v>
      </c>
      <c r="I198" s="21" t="s">
        <v>117</v>
      </c>
      <c r="J198" s="21" t="s">
        <v>5</v>
      </c>
      <c r="K198" s="21" t="s">
        <v>6</v>
      </c>
      <c r="L198" s="21" t="s">
        <v>21</v>
      </c>
      <c r="M198" s="21" t="s">
        <v>22</v>
      </c>
      <c r="N198" s="22" t="s">
        <v>23</v>
      </c>
      <c r="O198" s="20" t="s">
        <v>24</v>
      </c>
      <c r="P198" s="350"/>
    </row>
    <row r="199" spans="1:16" ht="15" customHeight="1">
      <c r="A199" s="12">
        <v>1</v>
      </c>
      <c r="B199" s="83">
        <v>2</v>
      </c>
      <c r="C199" s="83">
        <v>3</v>
      </c>
      <c r="D199" s="83">
        <v>4</v>
      </c>
      <c r="E199" s="83">
        <v>5</v>
      </c>
      <c r="F199" s="83">
        <v>6</v>
      </c>
      <c r="G199" s="83">
        <v>7</v>
      </c>
      <c r="H199" s="83">
        <v>8</v>
      </c>
      <c r="I199" s="83">
        <v>9</v>
      </c>
      <c r="J199" s="83">
        <v>10</v>
      </c>
      <c r="K199" s="83">
        <v>11</v>
      </c>
      <c r="L199" s="83">
        <v>12</v>
      </c>
      <c r="M199" s="83">
        <v>13</v>
      </c>
      <c r="N199" s="83">
        <v>14</v>
      </c>
      <c r="O199" s="83">
        <v>15</v>
      </c>
      <c r="P199" s="350"/>
    </row>
    <row r="200" spans="1:16" ht="135">
      <c r="A200" s="237">
        <v>1</v>
      </c>
      <c r="B200" s="234" t="s">
        <v>456</v>
      </c>
      <c r="C200" s="234" t="s">
        <v>457</v>
      </c>
      <c r="D200" s="234" t="s">
        <v>465</v>
      </c>
      <c r="E200" s="237">
        <v>14317.5</v>
      </c>
      <c r="F200" s="311" t="s">
        <v>459</v>
      </c>
      <c r="G200" s="237" t="s">
        <v>41</v>
      </c>
      <c r="H200" s="237" t="s">
        <v>466</v>
      </c>
      <c r="I200" s="237" t="s">
        <v>25</v>
      </c>
      <c r="J200" s="237" t="s">
        <v>12</v>
      </c>
      <c r="K200" s="237" t="s">
        <v>41</v>
      </c>
      <c r="L200" s="237" t="s">
        <v>41</v>
      </c>
      <c r="M200" s="237">
        <v>566188</v>
      </c>
      <c r="N200" s="237">
        <v>1</v>
      </c>
      <c r="O200" s="252" t="s">
        <v>1913</v>
      </c>
      <c r="P200" s="350"/>
    </row>
    <row r="201" spans="1:16" ht="30">
      <c r="A201" s="311">
        <v>2</v>
      </c>
      <c r="B201" s="310" t="s">
        <v>456</v>
      </c>
      <c r="C201" s="132" t="s">
        <v>2437</v>
      </c>
      <c r="D201" s="332" t="s">
        <v>2438</v>
      </c>
      <c r="E201" s="333"/>
      <c r="F201" s="333"/>
      <c r="G201" s="333"/>
      <c r="H201" s="333"/>
      <c r="I201" s="333"/>
      <c r="J201" s="333"/>
      <c r="K201" s="333"/>
      <c r="L201" s="333"/>
      <c r="M201" s="333"/>
      <c r="N201" s="333"/>
      <c r="O201" s="334"/>
      <c r="P201" s="351"/>
    </row>
    <row r="202" spans="1:16" ht="15" customHeight="1">
      <c r="A202" s="348"/>
      <c r="B202" s="348"/>
      <c r="C202" s="348"/>
      <c r="D202" s="348"/>
      <c r="E202" s="348"/>
      <c r="F202" s="348"/>
      <c r="G202" s="348"/>
      <c r="H202" s="348"/>
      <c r="I202" s="348"/>
      <c r="J202" s="348"/>
      <c r="K202" s="348"/>
      <c r="L202" s="348"/>
      <c r="M202" s="348"/>
      <c r="N202" s="348"/>
      <c r="O202" s="348"/>
      <c r="P202" s="348"/>
    </row>
    <row r="203" spans="1:16" ht="20.25" customHeight="1">
      <c r="A203" s="343" t="s">
        <v>33</v>
      </c>
      <c r="B203" s="343"/>
      <c r="C203" s="343"/>
      <c r="D203" s="343"/>
      <c r="E203" s="343"/>
      <c r="F203" s="343"/>
      <c r="G203" s="343"/>
      <c r="H203" s="343"/>
      <c r="I203" s="343"/>
      <c r="J203" s="343"/>
      <c r="K203" s="343"/>
      <c r="L203" s="343"/>
      <c r="M203" s="343"/>
      <c r="N203" s="343"/>
      <c r="O203" s="343"/>
      <c r="P203" s="349"/>
    </row>
    <row r="204" spans="1:16" ht="136.5" customHeight="1">
      <c r="A204" s="21" t="s">
        <v>0</v>
      </c>
      <c r="B204" s="21" t="s">
        <v>116</v>
      </c>
      <c r="C204" s="21" t="s">
        <v>1</v>
      </c>
      <c r="D204" s="21" t="s">
        <v>123</v>
      </c>
      <c r="E204" s="21" t="s">
        <v>28</v>
      </c>
      <c r="F204" s="21" t="s">
        <v>18</v>
      </c>
      <c r="G204" s="21" t="s">
        <v>118</v>
      </c>
      <c r="H204" s="21" t="s">
        <v>115</v>
      </c>
      <c r="I204" s="21" t="s">
        <v>112</v>
      </c>
      <c r="J204" s="21" t="s">
        <v>5</v>
      </c>
      <c r="K204" s="21" t="s">
        <v>6</v>
      </c>
      <c r="L204" s="21" t="s">
        <v>30</v>
      </c>
      <c r="M204" s="21" t="s">
        <v>22</v>
      </c>
      <c r="N204" s="22" t="s">
        <v>31</v>
      </c>
      <c r="O204" s="49" t="s">
        <v>11</v>
      </c>
      <c r="P204" s="350"/>
    </row>
    <row r="205" spans="1:16" ht="15" customHeight="1">
      <c r="A205" s="12">
        <v>1</v>
      </c>
      <c r="B205" s="32">
        <v>2</v>
      </c>
      <c r="C205" s="32">
        <v>3</v>
      </c>
      <c r="D205" s="32">
        <v>4</v>
      </c>
      <c r="E205" s="32">
        <v>5</v>
      </c>
      <c r="F205" s="32">
        <v>6</v>
      </c>
      <c r="G205" s="32">
        <v>7</v>
      </c>
      <c r="H205" s="32">
        <v>8</v>
      </c>
      <c r="I205" s="32">
        <v>9</v>
      </c>
      <c r="J205" s="32">
        <v>10</v>
      </c>
      <c r="K205" s="32">
        <v>11</v>
      </c>
      <c r="L205" s="32">
        <v>12</v>
      </c>
      <c r="M205" s="32">
        <v>13</v>
      </c>
      <c r="N205" s="33">
        <v>14</v>
      </c>
      <c r="O205" s="32">
        <v>15</v>
      </c>
      <c r="P205" s="350"/>
    </row>
    <row r="206" spans="1:16" ht="100.5" customHeight="1">
      <c r="A206" s="124">
        <v>1</v>
      </c>
      <c r="B206" s="121" t="s">
        <v>456</v>
      </c>
      <c r="C206" s="121" t="s">
        <v>467</v>
      </c>
      <c r="D206" s="121" t="s">
        <v>468</v>
      </c>
      <c r="E206" s="124">
        <v>25411</v>
      </c>
      <c r="F206" s="124" t="s">
        <v>469</v>
      </c>
      <c r="G206" s="124">
        <v>0.23</v>
      </c>
      <c r="H206" s="124" t="s">
        <v>470</v>
      </c>
      <c r="I206" s="124" t="s">
        <v>471</v>
      </c>
      <c r="J206" s="124" t="s">
        <v>12</v>
      </c>
      <c r="K206" s="124" t="s">
        <v>41</v>
      </c>
      <c r="L206" s="124" t="s">
        <v>41</v>
      </c>
      <c r="M206" s="124">
        <v>17573</v>
      </c>
      <c r="N206" s="124">
        <v>1</v>
      </c>
      <c r="O206" s="124" t="s">
        <v>472</v>
      </c>
      <c r="P206" s="350"/>
    </row>
    <row r="207" spans="1:16" ht="60">
      <c r="A207" s="124">
        <v>2</v>
      </c>
      <c r="B207" s="121" t="s">
        <v>456</v>
      </c>
      <c r="C207" s="121" t="s">
        <v>473</v>
      </c>
      <c r="D207" s="121" t="s">
        <v>474</v>
      </c>
      <c r="E207" s="124">
        <v>2943.22</v>
      </c>
      <c r="F207" s="124" t="s">
        <v>475</v>
      </c>
      <c r="G207" s="124">
        <v>0.04</v>
      </c>
      <c r="H207" s="124" t="s">
        <v>476</v>
      </c>
      <c r="I207" s="124" t="s">
        <v>472</v>
      </c>
      <c r="J207" s="124"/>
      <c r="K207" s="124" t="s">
        <v>41</v>
      </c>
      <c r="L207" s="124" t="s">
        <v>41</v>
      </c>
      <c r="M207" s="124">
        <v>566348</v>
      </c>
      <c r="N207" s="124">
        <v>2</v>
      </c>
      <c r="O207" s="124" t="s">
        <v>477</v>
      </c>
      <c r="P207" s="350"/>
    </row>
    <row r="208" spans="1:16" ht="45">
      <c r="A208" s="124">
        <v>3</v>
      </c>
      <c r="B208" s="121" t="s">
        <v>456</v>
      </c>
      <c r="C208" s="121" t="s">
        <v>457</v>
      </c>
      <c r="D208" s="121" t="s">
        <v>478</v>
      </c>
      <c r="E208" s="124">
        <v>2732</v>
      </c>
      <c r="F208" s="124" t="s">
        <v>479</v>
      </c>
      <c r="G208" s="124" t="s">
        <v>480</v>
      </c>
      <c r="H208" s="124" t="s">
        <v>481</v>
      </c>
      <c r="I208" s="124" t="s">
        <v>482</v>
      </c>
      <c r="J208" s="124" t="s">
        <v>12</v>
      </c>
      <c r="K208" s="124" t="s">
        <v>41</v>
      </c>
      <c r="L208" s="124" t="s">
        <v>41</v>
      </c>
      <c r="M208" s="124">
        <v>17668</v>
      </c>
      <c r="N208" s="124"/>
      <c r="O208" s="124" t="s">
        <v>483</v>
      </c>
      <c r="P208" s="350"/>
    </row>
    <row r="209" spans="1:16" ht="45" customHeight="1">
      <c r="A209" s="2">
        <v>4</v>
      </c>
      <c r="B209" s="310" t="s">
        <v>456</v>
      </c>
      <c r="C209" s="132" t="s">
        <v>2437</v>
      </c>
      <c r="D209" s="332" t="s">
        <v>2438</v>
      </c>
      <c r="E209" s="333"/>
      <c r="F209" s="333"/>
      <c r="G209" s="333"/>
      <c r="H209" s="333"/>
      <c r="I209" s="333"/>
      <c r="J209" s="333"/>
      <c r="K209" s="333"/>
      <c r="L209" s="333"/>
      <c r="M209" s="333"/>
      <c r="N209" s="333"/>
      <c r="O209" s="334"/>
      <c r="P209" s="351"/>
    </row>
    <row r="210" spans="1:16">
      <c r="A210" s="359"/>
      <c r="B210" s="359"/>
      <c r="C210" s="359"/>
      <c r="D210" s="359"/>
      <c r="E210" s="359"/>
      <c r="F210" s="359"/>
      <c r="G210" s="359"/>
      <c r="H210" s="359"/>
      <c r="I210" s="359"/>
      <c r="J210" s="359"/>
      <c r="K210" s="359"/>
      <c r="L210" s="359"/>
      <c r="M210" s="359"/>
      <c r="N210" s="359"/>
      <c r="O210" s="359"/>
      <c r="P210" s="359"/>
    </row>
    <row r="211" spans="1:16" ht="20.25">
      <c r="A211" s="336" t="s">
        <v>34</v>
      </c>
      <c r="B211" s="337"/>
      <c r="C211" s="337"/>
      <c r="D211" s="337"/>
      <c r="E211" s="337"/>
      <c r="F211" s="337"/>
      <c r="G211" s="337"/>
      <c r="H211" s="337"/>
      <c r="I211" s="337"/>
      <c r="J211" s="337"/>
      <c r="K211" s="337"/>
      <c r="L211" s="337"/>
      <c r="M211" s="337"/>
      <c r="N211" s="337"/>
      <c r="O211" s="337"/>
      <c r="P211" s="337"/>
    </row>
    <row r="212" spans="1:16" ht="85.5">
      <c r="A212" s="21" t="s">
        <v>0</v>
      </c>
      <c r="B212" s="21" t="s">
        <v>116</v>
      </c>
      <c r="C212" s="21" t="s">
        <v>1</v>
      </c>
      <c r="D212" s="21" t="s">
        <v>123</v>
      </c>
      <c r="E212" s="21" t="s">
        <v>28</v>
      </c>
      <c r="F212" s="21" t="s">
        <v>18</v>
      </c>
      <c r="G212" s="21" t="s">
        <v>111</v>
      </c>
      <c r="H212" s="21" t="s">
        <v>115</v>
      </c>
      <c r="I212" s="21" t="s">
        <v>112</v>
      </c>
      <c r="J212" s="21" t="s">
        <v>5</v>
      </c>
      <c r="K212" s="21" t="s">
        <v>6</v>
      </c>
      <c r="L212" s="21" t="s">
        <v>30</v>
      </c>
      <c r="M212" s="21" t="s">
        <v>22</v>
      </c>
      <c r="N212" s="22" t="s">
        <v>32</v>
      </c>
      <c r="O212" s="22" t="s">
        <v>31</v>
      </c>
      <c r="P212" s="20" t="s">
        <v>24</v>
      </c>
    </row>
    <row r="213" spans="1:16">
      <c r="A213" s="125">
        <v>1</v>
      </c>
      <c r="B213" s="32">
        <v>2</v>
      </c>
      <c r="C213" s="32">
        <v>3</v>
      </c>
      <c r="D213" s="32">
        <v>4</v>
      </c>
      <c r="E213" s="32">
        <v>5</v>
      </c>
      <c r="F213" s="32">
        <v>6</v>
      </c>
      <c r="G213" s="32">
        <v>7</v>
      </c>
      <c r="H213" s="32">
        <v>8</v>
      </c>
      <c r="I213" s="32">
        <v>9</v>
      </c>
      <c r="J213" s="32">
        <v>10</v>
      </c>
      <c r="K213" s="32">
        <v>11</v>
      </c>
      <c r="L213" s="32">
        <v>12</v>
      </c>
      <c r="M213" s="32">
        <v>13</v>
      </c>
      <c r="N213" s="32">
        <v>14</v>
      </c>
      <c r="O213" s="33">
        <v>15</v>
      </c>
      <c r="P213" s="21">
        <v>16</v>
      </c>
    </row>
    <row r="214" spans="1:16">
      <c r="A214" s="360" t="s">
        <v>26</v>
      </c>
      <c r="B214" s="361"/>
      <c r="C214" s="361"/>
      <c r="D214" s="361"/>
      <c r="E214" s="361"/>
      <c r="F214" s="361"/>
      <c r="G214" s="361"/>
      <c r="H214" s="361"/>
      <c r="I214" s="361"/>
      <c r="J214" s="361"/>
      <c r="K214" s="361"/>
      <c r="L214" s="361"/>
      <c r="M214" s="361"/>
      <c r="N214" s="361"/>
      <c r="O214" s="361"/>
      <c r="P214" s="362"/>
    </row>
    <row r="215" spans="1:16">
      <c r="A215" s="363"/>
      <c r="B215" s="364"/>
      <c r="C215" s="364"/>
      <c r="D215" s="364"/>
      <c r="E215" s="364"/>
      <c r="F215" s="364"/>
      <c r="G215" s="364"/>
      <c r="H215" s="364"/>
      <c r="I215" s="364"/>
      <c r="J215" s="364"/>
      <c r="K215" s="364"/>
      <c r="L215" s="364"/>
      <c r="M215" s="364"/>
      <c r="N215" s="364"/>
      <c r="O215" s="364"/>
      <c r="P215" s="365"/>
    </row>
    <row r="216" spans="1:16" ht="22.5">
      <c r="A216" s="338" t="s">
        <v>180</v>
      </c>
      <c r="B216" s="339"/>
      <c r="C216" s="339"/>
      <c r="D216" s="339"/>
      <c r="E216" s="339"/>
      <c r="F216" s="339"/>
      <c r="G216" s="339"/>
      <c r="H216" s="339"/>
      <c r="I216" s="339"/>
      <c r="J216" s="339"/>
      <c r="K216" s="339"/>
      <c r="L216" s="339"/>
      <c r="M216" s="339"/>
      <c r="N216" s="339"/>
      <c r="O216" s="339"/>
      <c r="P216" s="339"/>
    </row>
    <row r="217" spans="1:16" ht="20.25" customHeight="1">
      <c r="A217" s="336" t="s">
        <v>16</v>
      </c>
      <c r="B217" s="337"/>
      <c r="C217" s="337"/>
      <c r="D217" s="337"/>
      <c r="E217" s="337"/>
      <c r="F217" s="337"/>
      <c r="G217" s="337"/>
      <c r="H217" s="337"/>
      <c r="I217" s="337"/>
      <c r="J217" s="337"/>
      <c r="K217" s="337"/>
      <c r="L217" s="337"/>
      <c r="M217" s="337"/>
      <c r="N217" s="337"/>
      <c r="O217" s="337"/>
      <c r="P217" s="337"/>
    </row>
    <row r="218" spans="1:16" ht="85.5">
      <c r="A218" s="21" t="s">
        <v>0</v>
      </c>
      <c r="B218" s="21" t="s">
        <v>119</v>
      </c>
      <c r="C218" s="21" t="s">
        <v>1</v>
      </c>
      <c r="D218" s="21" t="s">
        <v>120</v>
      </c>
      <c r="E218" s="21" t="s">
        <v>3</v>
      </c>
      <c r="F218" s="21" t="s">
        <v>4</v>
      </c>
      <c r="G218" s="21" t="s">
        <v>121</v>
      </c>
      <c r="H218" s="21" t="s">
        <v>122</v>
      </c>
      <c r="I218" s="21" t="s">
        <v>113</v>
      </c>
      <c r="J218" s="21" t="s">
        <v>5</v>
      </c>
      <c r="K218" s="21" t="s">
        <v>6</v>
      </c>
      <c r="L218" s="21" t="s">
        <v>7</v>
      </c>
      <c r="M218" s="22" t="s">
        <v>8</v>
      </c>
      <c r="N218" s="47" t="s">
        <v>9</v>
      </c>
      <c r="O218" s="48" t="s">
        <v>10</v>
      </c>
      <c r="P218" s="49" t="s">
        <v>11</v>
      </c>
    </row>
    <row r="219" spans="1:16">
      <c r="A219" s="1">
        <v>1</v>
      </c>
      <c r="B219" s="21">
        <v>2</v>
      </c>
      <c r="C219" s="21">
        <v>3</v>
      </c>
      <c r="D219" s="21">
        <v>4</v>
      </c>
      <c r="E219" s="21">
        <v>5</v>
      </c>
      <c r="F219" s="21">
        <v>6</v>
      </c>
      <c r="G219" s="21">
        <v>7</v>
      </c>
      <c r="H219" s="21">
        <v>8</v>
      </c>
      <c r="I219" s="21">
        <v>9</v>
      </c>
      <c r="J219" s="21">
        <v>10</v>
      </c>
      <c r="K219" s="21">
        <v>11</v>
      </c>
      <c r="L219" s="21">
        <v>12</v>
      </c>
      <c r="M219" s="21">
        <v>13</v>
      </c>
      <c r="N219" s="21">
        <v>14</v>
      </c>
      <c r="O219" s="48">
        <v>15</v>
      </c>
      <c r="P219" s="21">
        <v>16</v>
      </c>
    </row>
    <row r="220" spans="1:16" s="90" customFormat="1">
      <c r="A220" s="68">
        <v>1</v>
      </c>
      <c r="B220" s="138" t="s">
        <v>484</v>
      </c>
      <c r="C220" s="68" t="s">
        <v>37</v>
      </c>
      <c r="D220" s="68" t="s">
        <v>37</v>
      </c>
      <c r="E220" s="356" t="s">
        <v>26</v>
      </c>
      <c r="F220" s="357"/>
      <c r="G220" s="357"/>
      <c r="H220" s="357"/>
      <c r="I220" s="357"/>
      <c r="J220" s="357"/>
      <c r="K220" s="357"/>
      <c r="L220" s="357"/>
      <c r="M220" s="357"/>
      <c r="N220" s="357"/>
      <c r="O220" s="357"/>
      <c r="P220" s="358"/>
    </row>
    <row r="221" spans="1:16">
      <c r="A221" s="348"/>
      <c r="B221" s="348"/>
      <c r="C221" s="348"/>
      <c r="D221" s="348"/>
      <c r="E221" s="348"/>
      <c r="F221" s="348"/>
      <c r="G221" s="348"/>
      <c r="H221" s="348"/>
      <c r="I221" s="348"/>
      <c r="J221" s="348"/>
      <c r="K221" s="348"/>
      <c r="L221" s="348"/>
      <c r="M221" s="348"/>
      <c r="N221" s="348"/>
      <c r="O221" s="348"/>
      <c r="P221" s="348"/>
    </row>
    <row r="222" spans="1:16" ht="20.25">
      <c r="A222" s="336" t="s">
        <v>27</v>
      </c>
      <c r="B222" s="337"/>
      <c r="C222" s="337"/>
      <c r="D222" s="337"/>
      <c r="E222" s="337"/>
      <c r="F222" s="337"/>
      <c r="G222" s="337"/>
      <c r="H222" s="337"/>
      <c r="I222" s="337"/>
      <c r="J222" s="337"/>
      <c r="K222" s="337"/>
      <c r="L222" s="337"/>
      <c r="M222" s="337"/>
      <c r="N222" s="337"/>
      <c r="O222" s="337"/>
      <c r="P222" s="337"/>
    </row>
    <row r="223" spans="1:16" ht="85.5">
      <c r="A223" s="21" t="s">
        <v>0</v>
      </c>
      <c r="B223" s="21" t="s">
        <v>116</v>
      </c>
      <c r="C223" s="21" t="s">
        <v>1</v>
      </c>
      <c r="D223" s="21" t="s">
        <v>123</v>
      </c>
      <c r="E223" s="22" t="s">
        <v>17</v>
      </c>
      <c r="F223" s="22" t="s">
        <v>18</v>
      </c>
      <c r="G223" s="21" t="s">
        <v>114</v>
      </c>
      <c r="H223" s="21" t="s">
        <v>115</v>
      </c>
      <c r="I223" s="21" t="s">
        <v>117</v>
      </c>
      <c r="J223" s="21" t="s">
        <v>5</v>
      </c>
      <c r="K223" s="21" t="s">
        <v>6</v>
      </c>
      <c r="L223" s="21" t="s">
        <v>21</v>
      </c>
      <c r="M223" s="21" t="s">
        <v>22</v>
      </c>
      <c r="N223" s="22" t="s">
        <v>23</v>
      </c>
      <c r="O223" s="20" t="s">
        <v>24</v>
      </c>
      <c r="P223" s="353"/>
    </row>
    <row r="224" spans="1:16">
      <c r="A224" s="12">
        <v>1</v>
      </c>
      <c r="B224" s="32">
        <v>2</v>
      </c>
      <c r="C224" s="32">
        <v>3</v>
      </c>
      <c r="D224" s="32">
        <v>4</v>
      </c>
      <c r="E224" s="32">
        <v>5</v>
      </c>
      <c r="F224" s="32">
        <v>6</v>
      </c>
      <c r="G224" s="32">
        <v>7</v>
      </c>
      <c r="H224" s="32">
        <v>8</v>
      </c>
      <c r="I224" s="32">
        <v>9</v>
      </c>
      <c r="J224" s="32">
        <v>10</v>
      </c>
      <c r="K224" s="32">
        <v>11</v>
      </c>
      <c r="L224" s="32">
        <v>12</v>
      </c>
      <c r="M224" s="32">
        <v>13</v>
      </c>
      <c r="N224" s="32">
        <v>14</v>
      </c>
      <c r="O224" s="32">
        <v>15</v>
      </c>
      <c r="P224" s="354"/>
    </row>
    <row r="225" spans="1:16" ht="120">
      <c r="A225" s="128">
        <v>1</v>
      </c>
      <c r="B225" s="236" t="s">
        <v>484</v>
      </c>
      <c r="C225" s="236" t="s">
        <v>485</v>
      </c>
      <c r="D225" s="236" t="s">
        <v>486</v>
      </c>
      <c r="E225" s="128">
        <v>11000</v>
      </c>
      <c r="F225" s="128" t="s">
        <v>487</v>
      </c>
      <c r="G225" s="128" t="s">
        <v>37</v>
      </c>
      <c r="H225" s="128" t="s">
        <v>488</v>
      </c>
      <c r="I225" s="128" t="s">
        <v>489</v>
      </c>
      <c r="J225" s="128" t="s">
        <v>490</v>
      </c>
      <c r="K225" s="128" t="s">
        <v>491</v>
      </c>
      <c r="L225" s="128" t="s">
        <v>37</v>
      </c>
      <c r="M225" s="128" t="s">
        <v>37</v>
      </c>
      <c r="N225" s="128">
        <v>1</v>
      </c>
      <c r="O225" s="253" t="s">
        <v>492</v>
      </c>
      <c r="P225" s="355"/>
    </row>
    <row r="226" spans="1:16">
      <c r="A226" s="352"/>
      <c r="B226" s="352"/>
      <c r="C226" s="352"/>
      <c r="D226" s="352"/>
      <c r="E226" s="352"/>
      <c r="F226" s="352"/>
      <c r="G226" s="352"/>
      <c r="H226" s="352"/>
      <c r="I226" s="352"/>
      <c r="J226" s="352"/>
      <c r="K226" s="352"/>
      <c r="L226" s="352"/>
      <c r="M226" s="352"/>
      <c r="N226" s="352"/>
      <c r="O226" s="352"/>
      <c r="P226" s="352"/>
    </row>
    <row r="227" spans="1:16" ht="20.25" customHeight="1">
      <c r="A227" s="343" t="s">
        <v>33</v>
      </c>
      <c r="B227" s="343"/>
      <c r="C227" s="343"/>
      <c r="D227" s="343"/>
      <c r="E227" s="343"/>
      <c r="F227" s="343"/>
      <c r="G227" s="343"/>
      <c r="H227" s="343"/>
      <c r="I227" s="343"/>
      <c r="J227" s="343"/>
      <c r="K227" s="343"/>
      <c r="L227" s="343"/>
      <c r="M227" s="343"/>
      <c r="N227" s="343"/>
      <c r="O227" s="343"/>
      <c r="P227" s="335"/>
    </row>
    <row r="228" spans="1:16" ht="85.5">
      <c r="A228" s="21" t="s">
        <v>0</v>
      </c>
      <c r="B228" s="21" t="s">
        <v>116</v>
      </c>
      <c r="C228" s="21" t="s">
        <v>1</v>
      </c>
      <c r="D228" s="21" t="s">
        <v>123</v>
      </c>
      <c r="E228" s="21" t="s">
        <v>28</v>
      </c>
      <c r="F228" s="21" t="s">
        <v>18</v>
      </c>
      <c r="G228" s="21" t="s">
        <v>118</v>
      </c>
      <c r="H228" s="21" t="s">
        <v>115</v>
      </c>
      <c r="I228" s="21" t="s">
        <v>112</v>
      </c>
      <c r="J228" s="21" t="s">
        <v>5</v>
      </c>
      <c r="K228" s="21" t="s">
        <v>6</v>
      </c>
      <c r="L228" s="21" t="s">
        <v>30</v>
      </c>
      <c r="M228" s="21" t="s">
        <v>22</v>
      </c>
      <c r="N228" s="22" t="s">
        <v>31</v>
      </c>
      <c r="O228" s="49" t="s">
        <v>11</v>
      </c>
      <c r="P228" s="335"/>
    </row>
    <row r="229" spans="1:16">
      <c r="A229" s="12">
        <v>1</v>
      </c>
      <c r="B229" s="32">
        <v>2</v>
      </c>
      <c r="C229" s="32">
        <v>3</v>
      </c>
      <c r="D229" s="32">
        <v>4</v>
      </c>
      <c r="E229" s="32">
        <v>5</v>
      </c>
      <c r="F229" s="32">
        <v>6</v>
      </c>
      <c r="G229" s="32">
        <v>7</v>
      </c>
      <c r="H229" s="32">
        <v>8</v>
      </c>
      <c r="I229" s="32">
        <v>9</v>
      </c>
      <c r="J229" s="32">
        <v>10</v>
      </c>
      <c r="K229" s="32">
        <v>11</v>
      </c>
      <c r="L229" s="32">
        <v>12</v>
      </c>
      <c r="M229" s="32">
        <v>13</v>
      </c>
      <c r="N229" s="33">
        <v>14</v>
      </c>
      <c r="O229" s="32">
        <v>15</v>
      </c>
      <c r="P229" s="335"/>
    </row>
    <row r="230" spans="1:16">
      <c r="A230" s="137">
        <v>1</v>
      </c>
      <c r="B230" s="137" t="s">
        <v>484</v>
      </c>
      <c r="C230" s="137" t="s">
        <v>37</v>
      </c>
      <c r="D230" s="137" t="s">
        <v>37</v>
      </c>
      <c r="E230" s="137" t="s">
        <v>26</v>
      </c>
      <c r="F230" s="137" t="s">
        <v>26</v>
      </c>
      <c r="G230" s="137" t="s">
        <v>26</v>
      </c>
      <c r="H230" s="137" t="s">
        <v>26</v>
      </c>
      <c r="I230" s="137" t="s">
        <v>26</v>
      </c>
      <c r="J230" s="137" t="s">
        <v>26</v>
      </c>
      <c r="K230" s="137" t="s">
        <v>26</v>
      </c>
      <c r="L230" s="137" t="s">
        <v>26</v>
      </c>
      <c r="M230" s="137" t="s">
        <v>26</v>
      </c>
      <c r="N230" s="137" t="s">
        <v>26</v>
      </c>
      <c r="O230" s="137" t="s">
        <v>26</v>
      </c>
      <c r="P230" s="335"/>
    </row>
    <row r="231" spans="1:16">
      <c r="A231" s="345"/>
      <c r="B231" s="346"/>
      <c r="C231" s="346"/>
      <c r="D231" s="346"/>
      <c r="E231" s="346"/>
      <c r="F231" s="346"/>
      <c r="G231" s="346"/>
      <c r="H231" s="346"/>
      <c r="I231" s="346"/>
      <c r="J231" s="346"/>
      <c r="K231" s="346"/>
      <c r="L231" s="346"/>
      <c r="M231" s="346"/>
      <c r="N231" s="346"/>
      <c r="O231" s="346"/>
      <c r="P231" s="346"/>
    </row>
    <row r="232" spans="1:16" ht="20.25">
      <c r="A232" s="336" t="s">
        <v>34</v>
      </c>
      <c r="B232" s="337"/>
      <c r="C232" s="337"/>
      <c r="D232" s="337"/>
      <c r="E232" s="337"/>
      <c r="F232" s="337"/>
      <c r="G232" s="337"/>
      <c r="H232" s="337"/>
      <c r="I232" s="337"/>
      <c r="J232" s="337"/>
      <c r="K232" s="337"/>
      <c r="L232" s="337"/>
      <c r="M232" s="337"/>
      <c r="N232" s="337"/>
      <c r="O232" s="337"/>
      <c r="P232" s="337"/>
    </row>
    <row r="233" spans="1:16" ht="85.5">
      <c r="A233" s="21" t="s">
        <v>0</v>
      </c>
      <c r="B233" s="21" t="s">
        <v>116</v>
      </c>
      <c r="C233" s="21" t="s">
        <v>1</v>
      </c>
      <c r="D233" s="21" t="s">
        <v>123</v>
      </c>
      <c r="E233" s="21" t="s">
        <v>28</v>
      </c>
      <c r="F233" s="21" t="s">
        <v>18</v>
      </c>
      <c r="G233" s="21" t="s">
        <v>111</v>
      </c>
      <c r="H233" s="21" t="s">
        <v>115</v>
      </c>
      <c r="I233" s="21" t="s">
        <v>112</v>
      </c>
      <c r="J233" s="21" t="s">
        <v>5</v>
      </c>
      <c r="K233" s="21" t="s">
        <v>6</v>
      </c>
      <c r="L233" s="21" t="s">
        <v>30</v>
      </c>
      <c r="M233" s="21" t="s">
        <v>22</v>
      </c>
      <c r="N233" s="22" t="s">
        <v>32</v>
      </c>
      <c r="O233" s="22" t="s">
        <v>31</v>
      </c>
      <c r="P233" s="20" t="s">
        <v>24</v>
      </c>
    </row>
    <row r="234" spans="1:16">
      <c r="A234" s="12">
        <v>1</v>
      </c>
      <c r="B234" s="32">
        <v>2</v>
      </c>
      <c r="C234" s="32">
        <v>3</v>
      </c>
      <c r="D234" s="32">
        <v>4</v>
      </c>
      <c r="E234" s="32">
        <v>5</v>
      </c>
      <c r="F234" s="32">
        <v>6</v>
      </c>
      <c r="G234" s="32">
        <v>7</v>
      </c>
      <c r="H234" s="32">
        <v>8</v>
      </c>
      <c r="I234" s="32">
        <v>9</v>
      </c>
      <c r="J234" s="32">
        <v>10</v>
      </c>
      <c r="K234" s="32">
        <v>11</v>
      </c>
      <c r="L234" s="32">
        <v>12</v>
      </c>
      <c r="M234" s="32">
        <v>13</v>
      </c>
      <c r="N234" s="32">
        <v>14</v>
      </c>
      <c r="O234" s="33">
        <v>15</v>
      </c>
      <c r="P234" s="21">
        <v>16</v>
      </c>
    </row>
    <row r="235" spans="1:16">
      <c r="A235" s="77">
        <v>1</v>
      </c>
      <c r="B235" s="137" t="s">
        <v>484</v>
      </c>
      <c r="C235" s="77" t="s">
        <v>37</v>
      </c>
      <c r="D235" s="77" t="s">
        <v>37</v>
      </c>
      <c r="E235" s="373" t="s">
        <v>26</v>
      </c>
      <c r="F235" s="374"/>
      <c r="G235" s="374"/>
      <c r="H235" s="374"/>
      <c r="I235" s="374"/>
      <c r="J235" s="374"/>
      <c r="K235" s="374"/>
      <c r="L235" s="374"/>
      <c r="M235" s="374"/>
      <c r="N235" s="374"/>
      <c r="O235" s="374"/>
      <c r="P235" s="375"/>
    </row>
    <row r="236" spans="1:16">
      <c r="A236" s="373" t="s">
        <v>48</v>
      </c>
      <c r="B236" s="374"/>
      <c r="C236" s="374"/>
      <c r="D236" s="374"/>
      <c r="E236" s="374"/>
      <c r="F236" s="374"/>
      <c r="G236" s="374"/>
      <c r="H236" s="374"/>
      <c r="I236" s="374"/>
      <c r="J236" s="374"/>
      <c r="K236" s="374"/>
      <c r="L236" s="374"/>
      <c r="M236" s="374"/>
      <c r="N236" s="374"/>
      <c r="O236" s="374"/>
      <c r="P236" s="375"/>
    </row>
    <row r="237" spans="1:16" ht="22.5">
      <c r="A237" s="338" t="s">
        <v>181</v>
      </c>
      <c r="B237" s="339"/>
      <c r="C237" s="339"/>
      <c r="D237" s="339"/>
      <c r="E237" s="339"/>
      <c r="F237" s="339"/>
      <c r="G237" s="339"/>
      <c r="H237" s="339"/>
      <c r="I237" s="339"/>
      <c r="J237" s="339"/>
      <c r="K237" s="339"/>
      <c r="L237" s="339"/>
      <c r="M237" s="339"/>
      <c r="N237" s="339"/>
      <c r="O237" s="339"/>
      <c r="P237" s="339"/>
    </row>
    <row r="238" spans="1:16" ht="20.25">
      <c r="A238" s="336" t="s">
        <v>16</v>
      </c>
      <c r="B238" s="337"/>
      <c r="C238" s="337"/>
      <c r="D238" s="337"/>
      <c r="E238" s="337"/>
      <c r="F238" s="337"/>
      <c r="G238" s="337"/>
      <c r="H238" s="337"/>
      <c r="I238" s="337"/>
      <c r="J238" s="337"/>
      <c r="K238" s="337"/>
      <c r="L238" s="337"/>
      <c r="M238" s="337"/>
      <c r="N238" s="337"/>
      <c r="O238" s="337"/>
      <c r="P238" s="337"/>
    </row>
    <row r="239" spans="1:16" ht="85.5">
      <c r="A239" s="21" t="s">
        <v>0</v>
      </c>
      <c r="B239" s="21" t="s">
        <v>119</v>
      </c>
      <c r="C239" s="21" t="s">
        <v>1</v>
      </c>
      <c r="D239" s="21" t="s">
        <v>120</v>
      </c>
      <c r="E239" s="21" t="s">
        <v>3</v>
      </c>
      <c r="F239" s="21" t="s">
        <v>4</v>
      </c>
      <c r="G239" s="21" t="s">
        <v>121</v>
      </c>
      <c r="H239" s="21" t="s">
        <v>122</v>
      </c>
      <c r="I239" s="21" t="s">
        <v>113</v>
      </c>
      <c r="J239" s="21" t="s">
        <v>5</v>
      </c>
      <c r="K239" s="21" t="s">
        <v>6</v>
      </c>
      <c r="L239" s="21" t="s">
        <v>7</v>
      </c>
      <c r="M239" s="22" t="s">
        <v>8</v>
      </c>
      <c r="N239" s="47" t="s">
        <v>9</v>
      </c>
      <c r="O239" s="48" t="s">
        <v>10</v>
      </c>
      <c r="P239" s="49" t="s">
        <v>11</v>
      </c>
    </row>
    <row r="240" spans="1:16">
      <c r="A240" s="1">
        <v>1</v>
      </c>
      <c r="B240" s="21">
        <v>2</v>
      </c>
      <c r="C240" s="21">
        <v>3</v>
      </c>
      <c r="D240" s="21">
        <v>4</v>
      </c>
      <c r="E240" s="21">
        <v>5</v>
      </c>
      <c r="F240" s="21">
        <v>6</v>
      </c>
      <c r="G240" s="21">
        <v>7</v>
      </c>
      <c r="H240" s="21">
        <v>8</v>
      </c>
      <c r="I240" s="21">
        <v>9</v>
      </c>
      <c r="J240" s="21">
        <v>10</v>
      </c>
      <c r="K240" s="21">
        <v>11</v>
      </c>
      <c r="L240" s="21">
        <v>12</v>
      </c>
      <c r="M240" s="21">
        <v>13</v>
      </c>
      <c r="N240" s="21">
        <v>14</v>
      </c>
      <c r="O240" s="48">
        <v>15</v>
      </c>
      <c r="P240" s="21">
        <v>16</v>
      </c>
    </row>
    <row r="241" spans="1:16" ht="45">
      <c r="A241" s="137">
        <v>1</v>
      </c>
      <c r="B241" s="340" t="s">
        <v>1943</v>
      </c>
      <c r="C241" s="376" t="s">
        <v>1941</v>
      </c>
      <c r="D241" s="131" t="s">
        <v>1917</v>
      </c>
      <c r="E241" s="137">
        <v>2000</v>
      </c>
      <c r="F241" s="137" t="s">
        <v>1918</v>
      </c>
      <c r="G241" s="137">
        <v>0.14000000000000001</v>
      </c>
      <c r="H241" s="137">
        <v>1.32</v>
      </c>
      <c r="I241" s="137" t="s">
        <v>320</v>
      </c>
      <c r="J241" s="137" t="s">
        <v>49</v>
      </c>
      <c r="K241" s="137" t="s">
        <v>49</v>
      </c>
      <c r="L241" s="137" t="s">
        <v>49</v>
      </c>
      <c r="M241" s="137" t="s">
        <v>49</v>
      </c>
      <c r="N241" s="137" t="s">
        <v>49</v>
      </c>
      <c r="O241" s="137" t="s">
        <v>49</v>
      </c>
      <c r="P241" s="137" t="s">
        <v>1919</v>
      </c>
    </row>
    <row r="242" spans="1:16" ht="60">
      <c r="A242" s="137">
        <v>2</v>
      </c>
      <c r="B242" s="341"/>
      <c r="C242" s="376"/>
      <c r="D242" s="131" t="s">
        <v>1920</v>
      </c>
      <c r="E242" s="137">
        <v>392</v>
      </c>
      <c r="F242" s="137" t="s">
        <v>1921</v>
      </c>
      <c r="G242" s="137">
        <v>0.12</v>
      </c>
      <c r="H242" s="137">
        <v>0.24</v>
      </c>
      <c r="I242" s="137" t="s">
        <v>15</v>
      </c>
      <c r="J242" s="137" t="s">
        <v>15</v>
      </c>
      <c r="K242" s="137" t="s">
        <v>15</v>
      </c>
      <c r="L242" s="137" t="s">
        <v>15</v>
      </c>
      <c r="M242" s="137" t="s">
        <v>15</v>
      </c>
      <c r="N242" s="137" t="s">
        <v>15</v>
      </c>
      <c r="O242" s="137" t="s">
        <v>15</v>
      </c>
      <c r="P242" s="137" t="s">
        <v>1922</v>
      </c>
    </row>
    <row r="243" spans="1:16" ht="30">
      <c r="A243" s="137">
        <v>3</v>
      </c>
      <c r="B243" s="341"/>
      <c r="C243" s="376"/>
      <c r="D243" s="131" t="s">
        <v>1923</v>
      </c>
      <c r="E243" s="85">
        <v>2149.5650000000001</v>
      </c>
      <c r="F243" s="137" t="s">
        <v>1924</v>
      </c>
      <c r="G243" s="137">
        <v>0.05</v>
      </c>
      <c r="H243" s="137">
        <v>0.2</v>
      </c>
      <c r="I243" s="137" t="s">
        <v>45</v>
      </c>
      <c r="J243" s="137" t="s">
        <v>45</v>
      </c>
      <c r="K243" s="137" t="s">
        <v>45</v>
      </c>
      <c r="L243" s="137" t="s">
        <v>45</v>
      </c>
      <c r="M243" s="137" t="s">
        <v>45</v>
      </c>
      <c r="N243" s="137" t="s">
        <v>45</v>
      </c>
      <c r="O243" s="137"/>
      <c r="P243" s="137"/>
    </row>
    <row r="244" spans="1:16" ht="135">
      <c r="A244" s="137">
        <v>4</v>
      </c>
      <c r="B244" s="341"/>
      <c r="C244" s="377" t="s">
        <v>1942</v>
      </c>
      <c r="D244" s="144" t="s">
        <v>1925</v>
      </c>
      <c r="E244" s="141" t="s">
        <v>1939</v>
      </c>
      <c r="F244" s="55" t="s">
        <v>1926</v>
      </c>
      <c r="G244" s="137" t="s">
        <v>1940</v>
      </c>
      <c r="H244" s="141" t="s">
        <v>1927</v>
      </c>
      <c r="I244" s="141" t="s">
        <v>1928</v>
      </c>
      <c r="J244" s="141" t="s">
        <v>12</v>
      </c>
      <c r="K244" s="141" t="s">
        <v>12</v>
      </c>
      <c r="L244" s="141" t="s">
        <v>1929</v>
      </c>
      <c r="M244" s="141" t="s">
        <v>1930</v>
      </c>
      <c r="N244" s="141" t="s">
        <v>1931</v>
      </c>
      <c r="O244" s="141"/>
      <c r="P244" s="141" t="s">
        <v>1938</v>
      </c>
    </row>
    <row r="245" spans="1:16" ht="105">
      <c r="A245" s="137">
        <v>5</v>
      </c>
      <c r="B245" s="342"/>
      <c r="C245" s="377"/>
      <c r="D245" s="144" t="s">
        <v>1932</v>
      </c>
      <c r="E245" s="141">
        <v>3367.73</v>
      </c>
      <c r="F245" s="55">
        <v>34683</v>
      </c>
      <c r="G245" s="141">
        <v>9.2999999999999999E-2</v>
      </c>
      <c r="H245" s="141" t="s">
        <v>1933</v>
      </c>
      <c r="I245" s="141" t="s">
        <v>1934</v>
      </c>
      <c r="J245" s="141" t="s">
        <v>12</v>
      </c>
      <c r="K245" s="141" t="s">
        <v>12</v>
      </c>
      <c r="L245" s="141" t="s">
        <v>1935</v>
      </c>
      <c r="M245" s="141" t="s">
        <v>1930</v>
      </c>
      <c r="N245" s="141" t="s">
        <v>1936</v>
      </c>
      <c r="O245" s="141"/>
      <c r="P245" s="141" t="s">
        <v>1937</v>
      </c>
    </row>
    <row r="246" spans="1:16">
      <c r="A246" s="378"/>
      <c r="B246" s="379"/>
      <c r="C246" s="379"/>
      <c r="D246" s="379"/>
      <c r="E246" s="379"/>
      <c r="F246" s="379"/>
      <c r="G246" s="379"/>
      <c r="H246" s="379"/>
      <c r="I246" s="379"/>
      <c r="J246" s="379"/>
      <c r="K246" s="379"/>
      <c r="L246" s="379"/>
      <c r="M246" s="379"/>
      <c r="N246" s="379"/>
      <c r="O246" s="379"/>
      <c r="P246" s="380"/>
    </row>
    <row r="247" spans="1:16" ht="20.25" customHeight="1">
      <c r="A247" s="347" t="s">
        <v>27</v>
      </c>
      <c r="B247" s="347"/>
      <c r="C247" s="347"/>
      <c r="D247" s="347"/>
      <c r="E247" s="347"/>
      <c r="F247" s="347"/>
      <c r="G247" s="347"/>
      <c r="H247" s="347"/>
      <c r="I247" s="347"/>
      <c r="J247" s="347"/>
      <c r="K247" s="347"/>
      <c r="L247" s="347"/>
      <c r="M247" s="347"/>
      <c r="N247" s="347"/>
      <c r="O247" s="347"/>
      <c r="P247" s="370"/>
    </row>
    <row r="248" spans="1:16" ht="85.5">
      <c r="A248" s="21" t="s">
        <v>0</v>
      </c>
      <c r="B248" s="21" t="s">
        <v>116</v>
      </c>
      <c r="C248" s="21" t="s">
        <v>1</v>
      </c>
      <c r="D248" s="21" t="s">
        <v>123</v>
      </c>
      <c r="E248" s="22" t="s">
        <v>17</v>
      </c>
      <c r="F248" s="22" t="s">
        <v>18</v>
      </c>
      <c r="G248" s="21" t="s">
        <v>114</v>
      </c>
      <c r="H248" s="21" t="s">
        <v>115</v>
      </c>
      <c r="I248" s="21" t="s">
        <v>128</v>
      </c>
      <c r="J248" s="21" t="s">
        <v>5</v>
      </c>
      <c r="K248" s="21" t="s">
        <v>6</v>
      </c>
      <c r="L248" s="21" t="s">
        <v>21</v>
      </c>
      <c r="M248" s="21" t="s">
        <v>22</v>
      </c>
      <c r="N248" s="22" t="s">
        <v>23</v>
      </c>
      <c r="O248" s="20" t="s">
        <v>24</v>
      </c>
      <c r="P248" s="371"/>
    </row>
    <row r="249" spans="1:16">
      <c r="A249" s="12">
        <v>1</v>
      </c>
      <c r="B249" s="32">
        <v>2</v>
      </c>
      <c r="C249" s="32">
        <v>3</v>
      </c>
      <c r="D249" s="32">
        <v>4</v>
      </c>
      <c r="E249" s="32">
        <v>5</v>
      </c>
      <c r="F249" s="32">
        <v>6</v>
      </c>
      <c r="G249" s="32">
        <v>7</v>
      </c>
      <c r="H249" s="32">
        <v>8</v>
      </c>
      <c r="I249" s="32">
        <v>9</v>
      </c>
      <c r="J249" s="32">
        <v>10</v>
      </c>
      <c r="K249" s="32">
        <v>11</v>
      </c>
      <c r="L249" s="32">
        <v>12</v>
      </c>
      <c r="M249" s="32">
        <v>13</v>
      </c>
      <c r="N249" s="32">
        <v>14</v>
      </c>
      <c r="O249" s="32">
        <v>15</v>
      </c>
      <c r="P249" s="371"/>
    </row>
    <row r="250" spans="1:16" ht="45">
      <c r="A250" s="137">
        <v>1</v>
      </c>
      <c r="B250" s="376" t="s">
        <v>1944</v>
      </c>
      <c r="C250" s="376" t="s">
        <v>1941</v>
      </c>
      <c r="D250" s="131" t="s">
        <v>1945</v>
      </c>
      <c r="E250" s="141">
        <v>3773</v>
      </c>
      <c r="F250" s="141" t="s">
        <v>1946</v>
      </c>
      <c r="G250" s="141">
        <v>0.15</v>
      </c>
      <c r="H250" s="141">
        <v>2.15</v>
      </c>
      <c r="I250" s="137" t="s">
        <v>15</v>
      </c>
      <c r="J250" s="137" t="s">
        <v>15</v>
      </c>
      <c r="K250" s="137" t="s">
        <v>15</v>
      </c>
      <c r="L250" s="137" t="s">
        <v>15</v>
      </c>
      <c r="M250" s="137" t="s">
        <v>15</v>
      </c>
      <c r="N250" s="137">
        <v>7</v>
      </c>
      <c r="O250" s="137" t="s">
        <v>1947</v>
      </c>
      <c r="P250" s="371"/>
    </row>
    <row r="251" spans="1:16" ht="30">
      <c r="A251" s="237">
        <v>2</v>
      </c>
      <c r="B251" s="340"/>
      <c r="C251" s="340"/>
      <c r="D251" s="234" t="s">
        <v>1948</v>
      </c>
      <c r="E251" s="237">
        <v>5000</v>
      </c>
      <c r="F251" s="237" t="s">
        <v>1949</v>
      </c>
      <c r="G251" s="237">
        <v>0.03</v>
      </c>
      <c r="H251" s="237">
        <v>2.5</v>
      </c>
      <c r="I251" s="237" t="s">
        <v>45</v>
      </c>
      <c r="J251" s="237" t="s">
        <v>45</v>
      </c>
      <c r="K251" s="237" t="s">
        <v>45</v>
      </c>
      <c r="L251" s="237" t="s">
        <v>45</v>
      </c>
      <c r="M251" s="237" t="s">
        <v>45</v>
      </c>
      <c r="N251" s="237">
        <v>8</v>
      </c>
      <c r="O251" s="237" t="s">
        <v>1950</v>
      </c>
      <c r="P251" s="372"/>
    </row>
    <row r="252" spans="1:16">
      <c r="A252" s="369"/>
      <c r="B252" s="369"/>
      <c r="C252" s="369"/>
      <c r="D252" s="369"/>
      <c r="E252" s="369"/>
      <c r="F252" s="369"/>
      <c r="G252" s="369"/>
      <c r="H252" s="369"/>
      <c r="I252" s="369"/>
      <c r="J252" s="369"/>
      <c r="K252" s="369"/>
      <c r="L252" s="369"/>
      <c r="M252" s="369"/>
      <c r="N252" s="369"/>
      <c r="O252" s="369"/>
      <c r="P252" s="369"/>
    </row>
    <row r="253" spans="1:16" ht="20.25" customHeight="1">
      <c r="A253" s="366" t="s">
        <v>33</v>
      </c>
      <c r="B253" s="367"/>
      <c r="C253" s="367"/>
      <c r="D253" s="367"/>
      <c r="E253" s="367"/>
      <c r="F253" s="367"/>
      <c r="G253" s="367"/>
      <c r="H253" s="367"/>
      <c r="I253" s="367"/>
      <c r="J253" s="367"/>
      <c r="K253" s="367"/>
      <c r="L253" s="367"/>
      <c r="M253" s="367"/>
      <c r="N253" s="367"/>
      <c r="O253" s="368"/>
      <c r="P253" s="353"/>
    </row>
    <row r="254" spans="1:16" ht="85.5">
      <c r="A254" s="21" t="s">
        <v>0</v>
      </c>
      <c r="B254" s="21" t="s">
        <v>116</v>
      </c>
      <c r="C254" s="21" t="s">
        <v>1</v>
      </c>
      <c r="D254" s="21" t="s">
        <v>123</v>
      </c>
      <c r="E254" s="21" t="s">
        <v>28</v>
      </c>
      <c r="F254" s="21" t="s">
        <v>18</v>
      </c>
      <c r="G254" s="21" t="s">
        <v>118</v>
      </c>
      <c r="H254" s="21" t="s">
        <v>115</v>
      </c>
      <c r="I254" s="21" t="s">
        <v>112</v>
      </c>
      <c r="J254" s="21" t="s">
        <v>5</v>
      </c>
      <c r="K254" s="21" t="s">
        <v>6</v>
      </c>
      <c r="L254" s="21" t="s">
        <v>30</v>
      </c>
      <c r="M254" s="21" t="s">
        <v>22</v>
      </c>
      <c r="N254" s="22" t="s">
        <v>31</v>
      </c>
      <c r="O254" s="49" t="s">
        <v>11</v>
      </c>
      <c r="P254" s="354"/>
    </row>
    <row r="255" spans="1:16">
      <c r="A255" s="12">
        <v>1</v>
      </c>
      <c r="B255" s="32">
        <v>2</v>
      </c>
      <c r="C255" s="32">
        <v>3</v>
      </c>
      <c r="D255" s="32">
        <v>4</v>
      </c>
      <c r="E255" s="32">
        <v>5</v>
      </c>
      <c r="F255" s="32">
        <v>6</v>
      </c>
      <c r="G255" s="32">
        <v>7</v>
      </c>
      <c r="H255" s="32">
        <v>8</v>
      </c>
      <c r="I255" s="32">
        <v>9</v>
      </c>
      <c r="J255" s="32">
        <v>10</v>
      </c>
      <c r="K255" s="32">
        <v>11</v>
      </c>
      <c r="L255" s="32">
        <v>12</v>
      </c>
      <c r="M255" s="32">
        <v>13</v>
      </c>
      <c r="N255" s="33">
        <v>14</v>
      </c>
      <c r="O255" s="32">
        <v>15</v>
      </c>
      <c r="P255" s="354"/>
    </row>
    <row r="256" spans="1:16" ht="75">
      <c r="A256" s="84">
        <v>1</v>
      </c>
      <c r="B256" s="340" t="s">
        <v>1944</v>
      </c>
      <c r="C256" s="376" t="s">
        <v>1941</v>
      </c>
      <c r="D256" s="131" t="s">
        <v>1951</v>
      </c>
      <c r="E256" s="84">
        <v>4678</v>
      </c>
      <c r="F256" s="84" t="s">
        <v>1946</v>
      </c>
      <c r="G256" s="36">
        <v>7.4999999999999997E-2</v>
      </c>
      <c r="H256" s="84">
        <v>3.25</v>
      </c>
      <c r="I256" s="137" t="s">
        <v>45</v>
      </c>
      <c r="J256" s="137" t="s">
        <v>45</v>
      </c>
      <c r="K256" s="137" t="s">
        <v>45</v>
      </c>
      <c r="L256" s="137" t="s">
        <v>45</v>
      </c>
      <c r="M256" s="137" t="s">
        <v>45</v>
      </c>
      <c r="N256" s="84">
        <v>10</v>
      </c>
      <c r="O256" s="84"/>
      <c r="P256" s="354"/>
    </row>
    <row r="257" spans="1:16" ht="45">
      <c r="A257" s="137">
        <v>2</v>
      </c>
      <c r="B257" s="341"/>
      <c r="C257" s="376"/>
      <c r="D257" s="131" t="s">
        <v>1952</v>
      </c>
      <c r="E257" s="137">
        <v>1000</v>
      </c>
      <c r="F257" s="137" t="s">
        <v>1953</v>
      </c>
      <c r="G257" s="85">
        <v>6.6000000000000003E-2</v>
      </c>
      <c r="H257" s="137">
        <v>0.14000000000000001</v>
      </c>
      <c r="I257" s="137" t="s">
        <v>45</v>
      </c>
      <c r="J257" s="137" t="s">
        <v>45</v>
      </c>
      <c r="K257" s="137" t="s">
        <v>45</v>
      </c>
      <c r="L257" s="137" t="s">
        <v>45</v>
      </c>
      <c r="M257" s="137" t="s">
        <v>45</v>
      </c>
      <c r="N257" s="137">
        <v>11</v>
      </c>
      <c r="O257" s="137" t="s">
        <v>50</v>
      </c>
      <c r="P257" s="354"/>
    </row>
    <row r="258" spans="1:16" ht="45">
      <c r="A258" s="137">
        <v>3</v>
      </c>
      <c r="B258" s="341"/>
      <c r="C258" s="376"/>
      <c r="D258" s="131" t="s">
        <v>1954</v>
      </c>
      <c r="E258" s="137">
        <v>1424.3</v>
      </c>
      <c r="F258" s="137" t="s">
        <v>1955</v>
      </c>
      <c r="G258" s="85">
        <v>0.9</v>
      </c>
      <c r="H258" s="85">
        <v>2</v>
      </c>
      <c r="I258" s="137" t="s">
        <v>45</v>
      </c>
      <c r="J258" s="137" t="s">
        <v>45</v>
      </c>
      <c r="K258" s="137" t="s">
        <v>45</v>
      </c>
      <c r="L258" s="137" t="s">
        <v>45</v>
      </c>
      <c r="M258" s="137" t="s">
        <v>45</v>
      </c>
      <c r="N258" s="137">
        <v>12</v>
      </c>
      <c r="O258" s="137" t="s">
        <v>1950</v>
      </c>
      <c r="P258" s="354"/>
    </row>
    <row r="259" spans="1:16" ht="45">
      <c r="A259" s="137">
        <v>4</v>
      </c>
      <c r="B259" s="342"/>
      <c r="C259" s="144" t="s">
        <v>1942</v>
      </c>
      <c r="D259" s="144" t="s">
        <v>1925</v>
      </c>
      <c r="E259" s="141" t="s">
        <v>1956</v>
      </c>
      <c r="F259" s="55">
        <v>32121</v>
      </c>
      <c r="G259" s="141">
        <v>0.4</v>
      </c>
      <c r="H259" s="141" t="s">
        <v>1957</v>
      </c>
      <c r="I259" s="141" t="s">
        <v>1928</v>
      </c>
      <c r="J259" s="141" t="s">
        <v>12</v>
      </c>
      <c r="K259" s="141" t="s">
        <v>12</v>
      </c>
      <c r="L259" s="141" t="s">
        <v>12</v>
      </c>
      <c r="M259" s="141"/>
      <c r="N259" s="141">
        <v>1</v>
      </c>
      <c r="O259" s="141"/>
      <c r="P259" s="355"/>
    </row>
    <row r="260" spans="1:16">
      <c r="A260" s="446"/>
      <c r="B260" s="447"/>
      <c r="C260" s="447"/>
      <c r="D260" s="447"/>
      <c r="E260" s="447"/>
      <c r="F260" s="447"/>
      <c r="G260" s="447"/>
      <c r="H260" s="447"/>
      <c r="I260" s="447"/>
      <c r="J260" s="447"/>
      <c r="K260" s="447"/>
      <c r="L260" s="447"/>
      <c r="M260" s="447"/>
      <c r="N260" s="447"/>
      <c r="O260" s="447"/>
      <c r="P260" s="447"/>
    </row>
    <row r="261" spans="1:16" ht="20.25">
      <c r="A261" s="336" t="s">
        <v>34</v>
      </c>
      <c r="B261" s="337"/>
      <c r="C261" s="337"/>
      <c r="D261" s="337"/>
      <c r="E261" s="337"/>
      <c r="F261" s="337"/>
      <c r="G261" s="337"/>
      <c r="H261" s="337"/>
      <c r="I261" s="337"/>
      <c r="J261" s="337"/>
      <c r="K261" s="337"/>
      <c r="L261" s="337"/>
      <c r="M261" s="337"/>
      <c r="N261" s="337"/>
      <c r="O261" s="337"/>
      <c r="P261" s="337"/>
    </row>
    <row r="262" spans="1:16" ht="85.5">
      <c r="A262" s="21" t="s">
        <v>0</v>
      </c>
      <c r="B262" s="21" t="s">
        <v>116</v>
      </c>
      <c r="C262" s="21" t="s">
        <v>1</v>
      </c>
      <c r="D262" s="21" t="s">
        <v>123</v>
      </c>
      <c r="E262" s="21" t="s">
        <v>28</v>
      </c>
      <c r="F262" s="21" t="s">
        <v>18</v>
      </c>
      <c r="G262" s="21" t="s">
        <v>111</v>
      </c>
      <c r="H262" s="21" t="s">
        <v>115</v>
      </c>
      <c r="I262" s="21" t="s">
        <v>112</v>
      </c>
      <c r="J262" s="21" t="s">
        <v>5</v>
      </c>
      <c r="K262" s="21" t="s">
        <v>6</v>
      </c>
      <c r="L262" s="21" t="s">
        <v>30</v>
      </c>
      <c r="M262" s="21" t="s">
        <v>22</v>
      </c>
      <c r="N262" s="22" t="s">
        <v>32</v>
      </c>
      <c r="O262" s="22" t="s">
        <v>31</v>
      </c>
      <c r="P262" s="20" t="s">
        <v>24</v>
      </c>
    </row>
    <row r="263" spans="1:16">
      <c r="A263" s="12">
        <v>1</v>
      </c>
      <c r="B263" s="32">
        <v>2</v>
      </c>
      <c r="C263" s="32">
        <v>3</v>
      </c>
      <c r="D263" s="32">
        <v>4</v>
      </c>
      <c r="E263" s="32">
        <v>5</v>
      </c>
      <c r="F263" s="32">
        <v>6</v>
      </c>
      <c r="G263" s="32">
        <v>7</v>
      </c>
      <c r="H263" s="32">
        <v>8</v>
      </c>
      <c r="I263" s="32">
        <v>9</v>
      </c>
      <c r="J263" s="32">
        <v>10</v>
      </c>
      <c r="K263" s="32">
        <v>11</v>
      </c>
      <c r="L263" s="32">
        <v>12</v>
      </c>
      <c r="M263" s="32">
        <v>13</v>
      </c>
      <c r="N263" s="32">
        <v>14</v>
      </c>
      <c r="O263" s="33">
        <v>15</v>
      </c>
      <c r="P263" s="21">
        <v>16</v>
      </c>
    </row>
    <row r="264" spans="1:16" ht="60">
      <c r="A264" s="137">
        <v>1</v>
      </c>
      <c r="B264" s="376" t="s">
        <v>1944</v>
      </c>
      <c r="C264" s="376" t="s">
        <v>1958</v>
      </c>
      <c r="D264" s="131" t="s">
        <v>1959</v>
      </c>
      <c r="E264" s="137">
        <v>13004</v>
      </c>
      <c r="F264" s="137" t="s">
        <v>1960</v>
      </c>
      <c r="G264" s="137">
        <v>0.19</v>
      </c>
      <c r="H264" s="137">
        <v>41.6</v>
      </c>
      <c r="I264" s="137" t="s">
        <v>320</v>
      </c>
      <c r="J264" s="137" t="s">
        <v>49</v>
      </c>
      <c r="K264" s="137" t="s">
        <v>49</v>
      </c>
      <c r="L264" s="137" t="s">
        <v>49</v>
      </c>
      <c r="M264" s="137" t="s">
        <v>49</v>
      </c>
      <c r="N264" s="137" t="s">
        <v>15</v>
      </c>
      <c r="O264" s="137">
        <v>1</v>
      </c>
      <c r="P264" s="137" t="s">
        <v>49</v>
      </c>
    </row>
    <row r="265" spans="1:16" ht="60">
      <c r="A265" s="137">
        <v>2</v>
      </c>
      <c r="B265" s="376"/>
      <c r="C265" s="376"/>
      <c r="D265" s="131" t="s">
        <v>1961</v>
      </c>
      <c r="E265" s="137">
        <v>3000</v>
      </c>
      <c r="F265" s="137" t="s">
        <v>1962</v>
      </c>
      <c r="G265" s="137">
        <v>0.48</v>
      </c>
      <c r="H265" s="137">
        <v>0.6</v>
      </c>
      <c r="I265" s="137" t="s">
        <v>320</v>
      </c>
      <c r="J265" s="137" t="s">
        <v>49</v>
      </c>
      <c r="K265" s="137" t="s">
        <v>49</v>
      </c>
      <c r="L265" s="137" t="s">
        <v>49</v>
      </c>
      <c r="M265" s="137" t="s">
        <v>49</v>
      </c>
      <c r="N265" s="137" t="s">
        <v>15</v>
      </c>
      <c r="O265" s="137">
        <v>2</v>
      </c>
      <c r="P265" s="137" t="s">
        <v>49</v>
      </c>
    </row>
    <row r="266" spans="1:16" ht="45">
      <c r="A266" s="137">
        <v>3</v>
      </c>
      <c r="B266" s="376"/>
      <c r="C266" s="376"/>
      <c r="D266" s="131" t="s">
        <v>1963</v>
      </c>
      <c r="E266" s="137">
        <v>1782</v>
      </c>
      <c r="F266" s="137" t="s">
        <v>1964</v>
      </c>
      <c r="G266" s="137">
        <v>0.18</v>
      </c>
      <c r="H266" s="137">
        <v>0.32</v>
      </c>
      <c r="I266" s="137" t="s">
        <v>320</v>
      </c>
      <c r="J266" s="137" t="s">
        <v>49</v>
      </c>
      <c r="K266" s="137" t="s">
        <v>49</v>
      </c>
      <c r="L266" s="137" t="s">
        <v>49</v>
      </c>
      <c r="M266" s="137" t="s">
        <v>49</v>
      </c>
      <c r="N266" s="137" t="s">
        <v>15</v>
      </c>
      <c r="O266" s="137">
        <v>3</v>
      </c>
      <c r="P266" s="137" t="s">
        <v>49</v>
      </c>
    </row>
    <row r="267" spans="1:16" ht="60">
      <c r="A267" s="137">
        <v>4</v>
      </c>
      <c r="B267" s="376"/>
      <c r="C267" s="376"/>
      <c r="D267" s="131" t="s">
        <v>1965</v>
      </c>
      <c r="E267" s="137">
        <v>1396</v>
      </c>
      <c r="F267" s="137" t="s">
        <v>1966</v>
      </c>
      <c r="G267" s="137">
        <v>0.23</v>
      </c>
      <c r="H267" s="137" t="s">
        <v>15</v>
      </c>
      <c r="I267" s="137" t="s">
        <v>320</v>
      </c>
      <c r="J267" s="137" t="s">
        <v>49</v>
      </c>
      <c r="K267" s="137" t="s">
        <v>49</v>
      </c>
      <c r="L267" s="137" t="s">
        <v>49</v>
      </c>
      <c r="M267" s="137" t="s">
        <v>49</v>
      </c>
      <c r="N267" s="137" t="s">
        <v>15</v>
      </c>
      <c r="O267" s="137">
        <v>4</v>
      </c>
      <c r="P267" s="137"/>
    </row>
    <row r="268" spans="1:16" ht="45">
      <c r="A268" s="137">
        <v>5</v>
      </c>
      <c r="B268" s="376"/>
      <c r="C268" s="376"/>
      <c r="D268" s="131" t="s">
        <v>1967</v>
      </c>
      <c r="E268" s="137">
        <v>2025</v>
      </c>
      <c r="F268" s="137" t="s">
        <v>1968</v>
      </c>
      <c r="G268" s="137">
        <v>0.72</v>
      </c>
      <c r="H268" s="137" t="s">
        <v>15</v>
      </c>
      <c r="I268" s="137" t="s">
        <v>320</v>
      </c>
      <c r="J268" s="137" t="s">
        <v>49</v>
      </c>
      <c r="K268" s="137" t="s">
        <v>49</v>
      </c>
      <c r="L268" s="137" t="s">
        <v>49</v>
      </c>
      <c r="M268" s="137" t="s">
        <v>49</v>
      </c>
      <c r="N268" s="137" t="s">
        <v>15</v>
      </c>
      <c r="O268" s="137">
        <v>5</v>
      </c>
      <c r="P268" s="137"/>
    </row>
    <row r="269" spans="1:16" ht="45">
      <c r="A269" s="137">
        <v>6</v>
      </c>
      <c r="B269" s="376"/>
      <c r="C269" s="376"/>
      <c r="D269" s="131" t="s">
        <v>1969</v>
      </c>
      <c r="E269" s="137">
        <v>2025</v>
      </c>
      <c r="F269" s="137" t="s">
        <v>1970</v>
      </c>
      <c r="G269" s="137">
        <v>0.55000000000000004</v>
      </c>
      <c r="H269" s="137" t="s">
        <v>15</v>
      </c>
      <c r="I269" s="137" t="s">
        <v>320</v>
      </c>
      <c r="J269" s="137" t="s">
        <v>49</v>
      </c>
      <c r="K269" s="137" t="s">
        <v>49</v>
      </c>
      <c r="L269" s="137" t="s">
        <v>49</v>
      </c>
      <c r="M269" s="137" t="s">
        <v>49</v>
      </c>
      <c r="N269" s="137" t="s">
        <v>15</v>
      </c>
      <c r="O269" s="137">
        <v>6</v>
      </c>
      <c r="P269" s="137"/>
    </row>
    <row r="270" spans="1:16" ht="45">
      <c r="A270" s="137">
        <v>7</v>
      </c>
      <c r="B270" s="376"/>
      <c r="C270" s="376" t="s">
        <v>1958</v>
      </c>
      <c r="D270" s="131" t="s">
        <v>1971</v>
      </c>
      <c r="E270" s="137">
        <v>2025</v>
      </c>
      <c r="F270" s="137" t="s">
        <v>1972</v>
      </c>
      <c r="G270" s="137">
        <v>0.48</v>
      </c>
      <c r="H270" s="137" t="s">
        <v>15</v>
      </c>
      <c r="I270" s="137" t="s">
        <v>320</v>
      </c>
      <c r="J270" s="137" t="s">
        <v>49</v>
      </c>
      <c r="K270" s="137" t="s">
        <v>49</v>
      </c>
      <c r="L270" s="137" t="s">
        <v>49</v>
      </c>
      <c r="M270" s="137" t="s">
        <v>49</v>
      </c>
      <c r="N270" s="137" t="s">
        <v>15</v>
      </c>
      <c r="O270" s="137">
        <v>7</v>
      </c>
      <c r="P270" s="137"/>
    </row>
    <row r="271" spans="1:16" ht="90">
      <c r="A271" s="137">
        <v>8</v>
      </c>
      <c r="B271" s="376"/>
      <c r="C271" s="376"/>
      <c r="D271" s="131" t="s">
        <v>1973</v>
      </c>
      <c r="E271" s="137">
        <v>3615.85</v>
      </c>
      <c r="F271" s="137" t="s">
        <v>1974</v>
      </c>
      <c r="G271" s="137">
        <v>2.6918000000000002</v>
      </c>
      <c r="H271" s="137" t="s">
        <v>15</v>
      </c>
      <c r="I271" s="137" t="s">
        <v>15</v>
      </c>
      <c r="J271" s="137" t="s">
        <v>15</v>
      </c>
      <c r="K271" s="137" t="s">
        <v>15</v>
      </c>
      <c r="L271" s="137" t="s">
        <v>15</v>
      </c>
      <c r="M271" s="137" t="s">
        <v>15</v>
      </c>
      <c r="N271" s="137" t="s">
        <v>15</v>
      </c>
      <c r="O271" s="137">
        <v>8</v>
      </c>
      <c r="P271" s="137" t="s">
        <v>1975</v>
      </c>
    </row>
    <row r="272" spans="1:16" ht="45">
      <c r="A272" s="137">
        <v>9</v>
      </c>
      <c r="B272" s="376"/>
      <c r="C272" s="376"/>
      <c r="D272" s="131" t="s">
        <v>1976</v>
      </c>
      <c r="E272" s="137">
        <v>1162</v>
      </c>
      <c r="F272" s="137" t="s">
        <v>1977</v>
      </c>
      <c r="G272" s="137">
        <v>0.29089999999999999</v>
      </c>
      <c r="H272" s="137" t="s">
        <v>15</v>
      </c>
      <c r="I272" s="137" t="s">
        <v>15</v>
      </c>
      <c r="J272" s="137" t="s">
        <v>15</v>
      </c>
      <c r="K272" s="137" t="s">
        <v>15</v>
      </c>
      <c r="L272" s="137" t="s">
        <v>15</v>
      </c>
      <c r="M272" s="137" t="s">
        <v>15</v>
      </c>
      <c r="N272" s="137" t="s">
        <v>15</v>
      </c>
      <c r="O272" s="137">
        <v>9</v>
      </c>
      <c r="P272" s="137" t="s">
        <v>1978</v>
      </c>
    </row>
    <row r="273" spans="1:16">
      <c r="A273" s="137">
        <v>10</v>
      </c>
      <c r="B273" s="376"/>
      <c r="C273" s="376"/>
      <c r="D273" s="131" t="s">
        <v>1979</v>
      </c>
      <c r="E273" s="137">
        <v>5000</v>
      </c>
      <c r="F273" s="137" t="s">
        <v>1980</v>
      </c>
      <c r="G273" s="137">
        <v>7.0000000000000001E-3</v>
      </c>
      <c r="H273" s="137">
        <v>7.0000000000000007E-2</v>
      </c>
      <c r="I273" s="137" t="s">
        <v>15</v>
      </c>
      <c r="J273" s="137" t="s">
        <v>15</v>
      </c>
      <c r="K273" s="137" t="s">
        <v>15</v>
      </c>
      <c r="L273" s="137" t="s">
        <v>15</v>
      </c>
      <c r="M273" s="137" t="s">
        <v>15</v>
      </c>
      <c r="N273" s="137"/>
      <c r="O273" s="60">
        <v>13</v>
      </c>
      <c r="P273" s="137" t="s">
        <v>1950</v>
      </c>
    </row>
    <row r="274" spans="1:16">
      <c r="A274" s="137">
        <v>11</v>
      </c>
      <c r="B274" s="376"/>
      <c r="C274" s="376"/>
      <c r="D274" s="131" t="s">
        <v>1981</v>
      </c>
      <c r="E274" s="137">
        <v>7840.8</v>
      </c>
      <c r="F274" s="137" t="s">
        <v>1980</v>
      </c>
      <c r="G274" s="137">
        <v>2E-3</v>
      </c>
      <c r="H274" s="137">
        <v>0.02</v>
      </c>
      <c r="I274" s="137" t="s">
        <v>15</v>
      </c>
      <c r="J274" s="137" t="s">
        <v>15</v>
      </c>
      <c r="K274" s="137" t="s">
        <v>15</v>
      </c>
      <c r="L274" s="137" t="s">
        <v>15</v>
      </c>
      <c r="M274" s="137" t="s">
        <v>15</v>
      </c>
      <c r="N274" s="137"/>
      <c r="O274" s="60">
        <v>14</v>
      </c>
      <c r="P274" s="137" t="s">
        <v>1950</v>
      </c>
    </row>
    <row r="275" spans="1:16">
      <c r="A275" s="137">
        <v>12</v>
      </c>
      <c r="B275" s="376"/>
      <c r="C275" s="376"/>
      <c r="D275" s="131" t="s">
        <v>1982</v>
      </c>
      <c r="E275" s="137">
        <v>4180</v>
      </c>
      <c r="F275" s="137" t="s">
        <v>1983</v>
      </c>
      <c r="G275" s="137">
        <v>0.01</v>
      </c>
      <c r="H275" s="137">
        <v>0.5</v>
      </c>
      <c r="I275" s="137" t="s">
        <v>15</v>
      </c>
      <c r="J275" s="137" t="s">
        <v>15</v>
      </c>
      <c r="K275" s="137" t="s">
        <v>15</v>
      </c>
      <c r="L275" s="137" t="s">
        <v>15</v>
      </c>
      <c r="M275" s="137" t="s">
        <v>15</v>
      </c>
      <c r="N275" s="137"/>
      <c r="O275" s="60">
        <v>15</v>
      </c>
      <c r="P275" s="137" t="s">
        <v>1950</v>
      </c>
    </row>
    <row r="276" spans="1:16">
      <c r="A276" s="382"/>
      <c r="B276" s="382"/>
      <c r="C276" s="382"/>
      <c r="D276" s="382"/>
      <c r="E276" s="382"/>
      <c r="F276" s="382"/>
      <c r="G276" s="382"/>
      <c r="H276" s="382"/>
      <c r="I276" s="382"/>
      <c r="J276" s="382"/>
      <c r="K276" s="382"/>
      <c r="L276" s="382"/>
      <c r="M276" s="382"/>
      <c r="N276" s="382"/>
      <c r="O276" s="382"/>
      <c r="P276" s="382"/>
    </row>
    <row r="277" spans="1:16" ht="22.5">
      <c r="A277" s="338" t="s">
        <v>182</v>
      </c>
      <c r="B277" s="339"/>
      <c r="C277" s="339"/>
      <c r="D277" s="339"/>
      <c r="E277" s="339"/>
      <c r="F277" s="339"/>
      <c r="G277" s="339"/>
      <c r="H277" s="339"/>
      <c r="I277" s="339"/>
      <c r="J277" s="339"/>
      <c r="K277" s="339"/>
      <c r="L277" s="339"/>
      <c r="M277" s="339"/>
      <c r="N277" s="339"/>
      <c r="O277" s="339"/>
      <c r="P277" s="339"/>
    </row>
    <row r="278" spans="1:16" ht="20.25">
      <c r="A278" s="336" t="s">
        <v>16</v>
      </c>
      <c r="B278" s="337"/>
      <c r="C278" s="337"/>
      <c r="D278" s="337"/>
      <c r="E278" s="337"/>
      <c r="F278" s="337"/>
      <c r="G278" s="337"/>
      <c r="H278" s="337"/>
      <c r="I278" s="337"/>
      <c r="J278" s="337"/>
      <c r="K278" s="337"/>
      <c r="L278" s="337"/>
      <c r="M278" s="337"/>
      <c r="N278" s="337"/>
      <c r="O278" s="337"/>
      <c r="P278" s="337"/>
    </row>
    <row r="279" spans="1:16" ht="85.5">
      <c r="A279" s="21" t="s">
        <v>0</v>
      </c>
      <c r="B279" s="21" t="s">
        <v>119</v>
      </c>
      <c r="C279" s="21" t="s">
        <v>1</v>
      </c>
      <c r="D279" s="21" t="s">
        <v>120</v>
      </c>
      <c r="E279" s="21" t="s">
        <v>3</v>
      </c>
      <c r="F279" s="21" t="s">
        <v>4</v>
      </c>
      <c r="G279" s="21" t="s">
        <v>121</v>
      </c>
      <c r="H279" s="21" t="s">
        <v>122</v>
      </c>
      <c r="I279" s="21" t="s">
        <v>113</v>
      </c>
      <c r="J279" s="21" t="s">
        <v>5</v>
      </c>
      <c r="K279" s="21" t="s">
        <v>6</v>
      </c>
      <c r="L279" s="21" t="s">
        <v>7</v>
      </c>
      <c r="M279" s="22" t="s">
        <v>8</v>
      </c>
      <c r="N279" s="47" t="s">
        <v>9</v>
      </c>
      <c r="O279" s="48" t="s">
        <v>10</v>
      </c>
      <c r="P279" s="49" t="s">
        <v>11</v>
      </c>
    </row>
    <row r="280" spans="1:16">
      <c r="A280" s="1">
        <v>1</v>
      </c>
      <c r="B280" s="21">
        <v>2</v>
      </c>
      <c r="C280" s="21">
        <v>3</v>
      </c>
      <c r="D280" s="21">
        <v>4</v>
      </c>
      <c r="E280" s="21">
        <v>5</v>
      </c>
      <c r="F280" s="21">
        <v>6</v>
      </c>
      <c r="G280" s="21">
        <v>7</v>
      </c>
      <c r="H280" s="21">
        <v>8</v>
      </c>
      <c r="I280" s="21">
        <v>9</v>
      </c>
      <c r="J280" s="21">
        <v>10</v>
      </c>
      <c r="K280" s="21">
        <v>11</v>
      </c>
      <c r="L280" s="21">
        <v>12</v>
      </c>
      <c r="M280" s="21">
        <v>13</v>
      </c>
      <c r="N280" s="21">
        <v>14</v>
      </c>
      <c r="O280" s="48">
        <v>15</v>
      </c>
      <c r="P280" s="21">
        <v>16</v>
      </c>
    </row>
    <row r="281" spans="1:16" ht="91.5" customHeight="1">
      <c r="A281" s="137">
        <v>1</v>
      </c>
      <c r="B281" s="131" t="s">
        <v>493</v>
      </c>
      <c r="C281" s="131" t="s">
        <v>494</v>
      </c>
      <c r="D281" s="131" t="s">
        <v>42</v>
      </c>
      <c r="E281" s="137" t="s">
        <v>54</v>
      </c>
      <c r="F281" s="137" t="s">
        <v>54</v>
      </c>
      <c r="G281" s="137" t="s">
        <v>54</v>
      </c>
      <c r="H281" s="137" t="s">
        <v>54</v>
      </c>
      <c r="I281" s="137" t="s">
        <v>54</v>
      </c>
      <c r="J281" s="137" t="s">
        <v>54</v>
      </c>
      <c r="K281" s="137" t="s">
        <v>54</v>
      </c>
      <c r="L281" s="137" t="s">
        <v>54</v>
      </c>
      <c r="M281" s="137" t="s">
        <v>54</v>
      </c>
      <c r="N281" s="137" t="s">
        <v>54</v>
      </c>
      <c r="O281" s="137" t="s">
        <v>54</v>
      </c>
      <c r="P281" s="137" t="s">
        <v>15</v>
      </c>
    </row>
    <row r="282" spans="1:16" ht="75">
      <c r="A282" s="137">
        <v>2</v>
      </c>
      <c r="B282" s="171" t="s">
        <v>511</v>
      </c>
      <c r="C282" s="45" t="s">
        <v>512</v>
      </c>
      <c r="D282" s="64" t="s">
        <v>513</v>
      </c>
      <c r="E282" s="137">
        <v>4046.86</v>
      </c>
      <c r="F282" s="137" t="s">
        <v>514</v>
      </c>
      <c r="G282" s="137">
        <v>1.69</v>
      </c>
      <c r="H282" s="137" t="s">
        <v>515</v>
      </c>
      <c r="I282" s="137" t="s">
        <v>516</v>
      </c>
      <c r="J282" s="137" t="s">
        <v>12</v>
      </c>
      <c r="K282" s="137" t="s">
        <v>12</v>
      </c>
      <c r="L282" s="137" t="s">
        <v>12</v>
      </c>
      <c r="M282" s="65" t="s">
        <v>517</v>
      </c>
      <c r="N282" s="137" t="s">
        <v>12</v>
      </c>
      <c r="O282" s="137" t="s">
        <v>12</v>
      </c>
      <c r="P282" s="137"/>
    </row>
    <row r="283" spans="1:16" ht="105">
      <c r="A283" s="137">
        <v>3</v>
      </c>
      <c r="B283" s="171" t="s">
        <v>511</v>
      </c>
      <c r="C283" s="45" t="s">
        <v>512</v>
      </c>
      <c r="D283" s="64" t="s">
        <v>518</v>
      </c>
      <c r="E283" s="137" t="s">
        <v>519</v>
      </c>
      <c r="F283" s="137" t="s">
        <v>520</v>
      </c>
      <c r="G283" s="137" t="s">
        <v>521</v>
      </c>
      <c r="H283" s="137" t="s">
        <v>43</v>
      </c>
      <c r="I283" s="137" t="s">
        <v>351</v>
      </c>
      <c r="J283" s="77" t="s">
        <v>12</v>
      </c>
      <c r="K283" s="77" t="s">
        <v>12</v>
      </c>
      <c r="L283" s="77" t="s">
        <v>12</v>
      </c>
      <c r="M283" s="137" t="s">
        <v>522</v>
      </c>
      <c r="N283" s="77" t="s">
        <v>12</v>
      </c>
      <c r="O283" s="77" t="s">
        <v>12</v>
      </c>
      <c r="P283" s="137" t="s">
        <v>523</v>
      </c>
    </row>
    <row r="284" spans="1:16" ht="90">
      <c r="A284" s="77">
        <v>4</v>
      </c>
      <c r="B284" s="171" t="s">
        <v>511</v>
      </c>
      <c r="C284" s="45" t="s">
        <v>512</v>
      </c>
      <c r="D284" s="64" t="s">
        <v>524</v>
      </c>
      <c r="E284" s="137" t="s">
        <v>525</v>
      </c>
      <c r="F284" s="77" t="s">
        <v>526</v>
      </c>
      <c r="G284" s="137" t="s">
        <v>527</v>
      </c>
      <c r="H284" s="77" t="s">
        <v>12</v>
      </c>
      <c r="I284" s="77" t="s">
        <v>368</v>
      </c>
      <c r="J284" s="77" t="s">
        <v>12</v>
      </c>
      <c r="K284" s="77" t="s">
        <v>12</v>
      </c>
      <c r="L284" s="77" t="s">
        <v>12</v>
      </c>
      <c r="M284" s="77" t="s">
        <v>36</v>
      </c>
      <c r="N284" s="137"/>
      <c r="O284" s="77" t="s">
        <v>12</v>
      </c>
      <c r="P284" s="77"/>
    </row>
    <row r="285" spans="1:16" ht="45">
      <c r="A285" s="137">
        <v>5</v>
      </c>
      <c r="B285" s="171" t="s">
        <v>511</v>
      </c>
      <c r="C285" s="45" t="s">
        <v>512</v>
      </c>
      <c r="D285" s="64" t="s">
        <v>528</v>
      </c>
      <c r="E285" s="137" t="s">
        <v>529</v>
      </c>
      <c r="F285" s="137" t="s">
        <v>530</v>
      </c>
      <c r="G285" s="137" t="s">
        <v>531</v>
      </c>
      <c r="H285" s="77" t="s">
        <v>12</v>
      </c>
      <c r="I285" s="137" t="s">
        <v>532</v>
      </c>
      <c r="J285" s="77" t="s">
        <v>12</v>
      </c>
      <c r="K285" s="77" t="s">
        <v>12</v>
      </c>
      <c r="L285" s="137" t="s">
        <v>36</v>
      </c>
      <c r="M285" s="137" t="s">
        <v>36</v>
      </c>
      <c r="N285" s="137"/>
      <c r="O285" s="77" t="s">
        <v>12</v>
      </c>
      <c r="P285" s="137" t="s">
        <v>533</v>
      </c>
    </row>
    <row r="286" spans="1:16">
      <c r="A286" s="383"/>
      <c r="B286" s="384"/>
      <c r="C286" s="384"/>
      <c r="D286" s="384"/>
      <c r="E286" s="384"/>
      <c r="F286" s="384"/>
      <c r="G286" s="384"/>
      <c r="H286" s="384"/>
      <c r="I286" s="384"/>
      <c r="J286" s="384"/>
      <c r="K286" s="384"/>
      <c r="L286" s="384"/>
      <c r="M286" s="384"/>
      <c r="N286" s="384"/>
      <c r="O286" s="384"/>
      <c r="P286" s="385"/>
    </row>
    <row r="287" spans="1:16" ht="20.25" customHeight="1">
      <c r="A287" s="347" t="s">
        <v>27</v>
      </c>
      <c r="B287" s="347"/>
      <c r="C287" s="347"/>
      <c r="D287" s="347"/>
      <c r="E287" s="347"/>
      <c r="F287" s="347"/>
      <c r="G287" s="347"/>
      <c r="H287" s="347"/>
      <c r="I287" s="347"/>
      <c r="J287" s="347"/>
      <c r="K287" s="347"/>
      <c r="L287" s="347"/>
      <c r="M287" s="347"/>
      <c r="N287" s="347"/>
      <c r="O287" s="347"/>
      <c r="P287" s="370"/>
    </row>
    <row r="288" spans="1:16" ht="85.5">
      <c r="A288" s="21" t="s">
        <v>0</v>
      </c>
      <c r="B288" s="21" t="s">
        <v>116</v>
      </c>
      <c r="C288" s="21" t="s">
        <v>1</v>
      </c>
      <c r="D288" s="21" t="s">
        <v>123</v>
      </c>
      <c r="E288" s="22" t="s">
        <v>17</v>
      </c>
      <c r="F288" s="22" t="s">
        <v>18</v>
      </c>
      <c r="G288" s="21" t="s">
        <v>114</v>
      </c>
      <c r="H288" s="21" t="s">
        <v>115</v>
      </c>
      <c r="I288" s="21" t="s">
        <v>20</v>
      </c>
      <c r="J288" s="21" t="s">
        <v>5</v>
      </c>
      <c r="K288" s="21" t="s">
        <v>6</v>
      </c>
      <c r="L288" s="21" t="s">
        <v>21</v>
      </c>
      <c r="M288" s="21" t="s">
        <v>22</v>
      </c>
      <c r="N288" s="22" t="s">
        <v>23</v>
      </c>
      <c r="O288" s="20" t="s">
        <v>24</v>
      </c>
      <c r="P288" s="371"/>
    </row>
    <row r="289" spans="1:16" ht="15" customHeight="1">
      <c r="A289" s="12">
        <v>1</v>
      </c>
      <c r="B289" s="32">
        <v>2</v>
      </c>
      <c r="C289" s="32">
        <v>3</v>
      </c>
      <c r="D289" s="32">
        <v>4</v>
      </c>
      <c r="E289" s="32">
        <v>5</v>
      </c>
      <c r="F289" s="32">
        <v>6</v>
      </c>
      <c r="G289" s="32">
        <v>7</v>
      </c>
      <c r="H289" s="32">
        <v>8</v>
      </c>
      <c r="I289" s="32">
        <v>9</v>
      </c>
      <c r="J289" s="32">
        <v>10</v>
      </c>
      <c r="K289" s="32">
        <v>11</v>
      </c>
      <c r="L289" s="32">
        <v>12</v>
      </c>
      <c r="M289" s="32">
        <v>13</v>
      </c>
      <c r="N289" s="32">
        <v>14</v>
      </c>
      <c r="O289" s="32">
        <v>15</v>
      </c>
      <c r="P289" s="371"/>
    </row>
    <row r="290" spans="1:16" ht="45">
      <c r="A290" s="137">
        <v>1</v>
      </c>
      <c r="B290" s="340" t="s">
        <v>493</v>
      </c>
      <c r="C290" s="376" t="s">
        <v>494</v>
      </c>
      <c r="D290" s="131" t="s">
        <v>495</v>
      </c>
      <c r="E290" s="137" t="s">
        <v>496</v>
      </c>
      <c r="F290" s="137">
        <v>1942</v>
      </c>
      <c r="G290" s="137" t="s">
        <v>42</v>
      </c>
      <c r="H290" s="137" t="s">
        <v>42</v>
      </c>
      <c r="I290" s="137" t="s">
        <v>343</v>
      </c>
      <c r="J290" s="137" t="s">
        <v>54</v>
      </c>
      <c r="K290" s="137" t="s">
        <v>54</v>
      </c>
      <c r="L290" s="137" t="s">
        <v>14</v>
      </c>
      <c r="M290" s="137" t="s">
        <v>42</v>
      </c>
      <c r="N290" s="137">
        <v>1</v>
      </c>
      <c r="O290" s="137" t="s">
        <v>15</v>
      </c>
      <c r="P290" s="371"/>
    </row>
    <row r="291" spans="1:16" ht="90">
      <c r="A291" s="137">
        <v>2</v>
      </c>
      <c r="B291" s="341"/>
      <c r="C291" s="376"/>
      <c r="D291" s="131" t="s">
        <v>497</v>
      </c>
      <c r="E291" s="137" t="s">
        <v>498</v>
      </c>
      <c r="F291" s="137" t="s">
        <v>42</v>
      </c>
      <c r="G291" s="137" t="s">
        <v>54</v>
      </c>
      <c r="H291" s="137" t="s">
        <v>54</v>
      </c>
      <c r="I291" s="137" t="s">
        <v>499</v>
      </c>
      <c r="J291" s="137" t="s">
        <v>42</v>
      </c>
      <c r="K291" s="137" t="s">
        <v>500</v>
      </c>
      <c r="L291" s="137" t="s">
        <v>14</v>
      </c>
      <c r="M291" s="137" t="s">
        <v>42</v>
      </c>
      <c r="N291" s="137">
        <v>2</v>
      </c>
      <c r="O291" s="137" t="s">
        <v>501</v>
      </c>
      <c r="P291" s="371"/>
    </row>
    <row r="292" spans="1:16" ht="75">
      <c r="A292" s="137">
        <v>3</v>
      </c>
      <c r="B292" s="341"/>
      <c r="C292" s="35"/>
      <c r="D292" s="131" t="s">
        <v>502</v>
      </c>
      <c r="E292" s="137" t="s">
        <v>503</v>
      </c>
      <c r="F292" s="137">
        <v>1975</v>
      </c>
      <c r="G292" s="137" t="s">
        <v>54</v>
      </c>
      <c r="H292" s="137" t="s">
        <v>54</v>
      </c>
      <c r="I292" s="137" t="s">
        <v>499</v>
      </c>
      <c r="J292" s="137" t="s">
        <v>42</v>
      </c>
      <c r="K292" s="137" t="s">
        <v>504</v>
      </c>
      <c r="L292" s="137" t="s">
        <v>14</v>
      </c>
      <c r="M292" s="137" t="s">
        <v>42</v>
      </c>
      <c r="N292" s="137">
        <v>3</v>
      </c>
      <c r="O292" s="137" t="s">
        <v>501</v>
      </c>
      <c r="P292" s="371"/>
    </row>
    <row r="293" spans="1:16" ht="60">
      <c r="A293" s="137">
        <v>4</v>
      </c>
      <c r="B293" s="341"/>
      <c r="C293" s="45" t="s">
        <v>512</v>
      </c>
      <c r="D293" s="145" t="s">
        <v>534</v>
      </c>
      <c r="E293" s="67" t="s">
        <v>535</v>
      </c>
      <c r="F293" s="67">
        <v>1989</v>
      </c>
      <c r="G293" s="140" t="s">
        <v>536</v>
      </c>
      <c r="H293" s="140" t="s">
        <v>43</v>
      </c>
      <c r="I293" s="34" t="s">
        <v>25</v>
      </c>
      <c r="J293" s="67" t="s">
        <v>54</v>
      </c>
      <c r="K293" s="67" t="s">
        <v>54</v>
      </c>
      <c r="L293" s="67" t="s">
        <v>54</v>
      </c>
      <c r="M293" s="140" t="s">
        <v>43</v>
      </c>
      <c r="N293" s="67">
        <v>3</v>
      </c>
      <c r="O293" s="67"/>
      <c r="P293" s="371"/>
    </row>
    <row r="294" spans="1:16" ht="60">
      <c r="A294" s="137">
        <v>5</v>
      </c>
      <c r="B294" s="341"/>
      <c r="C294" s="45" t="s">
        <v>512</v>
      </c>
      <c r="D294" s="145" t="s">
        <v>537</v>
      </c>
      <c r="E294" s="67" t="s">
        <v>538</v>
      </c>
      <c r="F294" s="67">
        <v>1998</v>
      </c>
      <c r="G294" s="140" t="s">
        <v>536</v>
      </c>
      <c r="H294" s="140" t="s">
        <v>43</v>
      </c>
      <c r="I294" s="34" t="s">
        <v>25</v>
      </c>
      <c r="J294" s="67" t="s">
        <v>54</v>
      </c>
      <c r="K294" s="67" t="s">
        <v>54</v>
      </c>
      <c r="L294" s="67" t="s">
        <v>54</v>
      </c>
      <c r="M294" s="140" t="s">
        <v>43</v>
      </c>
      <c r="N294" s="67">
        <v>4</v>
      </c>
      <c r="O294" s="67"/>
      <c r="P294" s="371"/>
    </row>
    <row r="295" spans="1:16" ht="75">
      <c r="A295" s="137">
        <v>6</v>
      </c>
      <c r="B295" s="341"/>
      <c r="C295" s="45" t="s">
        <v>512</v>
      </c>
      <c r="D295" s="145" t="s">
        <v>539</v>
      </c>
      <c r="E295" s="140" t="s">
        <v>540</v>
      </c>
      <c r="F295" s="140">
        <v>1963</v>
      </c>
      <c r="G295" s="140" t="s">
        <v>541</v>
      </c>
      <c r="H295" s="140" t="s">
        <v>43</v>
      </c>
      <c r="I295" s="34" t="s">
        <v>25</v>
      </c>
      <c r="J295" s="67" t="s">
        <v>54</v>
      </c>
      <c r="K295" s="67" t="s">
        <v>54</v>
      </c>
      <c r="L295" s="67" t="s">
        <v>54</v>
      </c>
      <c r="M295" s="140" t="s">
        <v>43</v>
      </c>
      <c r="N295" s="34">
        <v>2</v>
      </c>
      <c r="O295" s="140" t="s">
        <v>542</v>
      </c>
      <c r="P295" s="371"/>
    </row>
    <row r="296" spans="1:16" ht="135">
      <c r="A296" s="137">
        <v>7</v>
      </c>
      <c r="B296" s="341"/>
      <c r="C296" s="45" t="s">
        <v>512</v>
      </c>
      <c r="D296" s="131" t="s">
        <v>518</v>
      </c>
      <c r="E296" s="137" t="s">
        <v>543</v>
      </c>
      <c r="F296" s="137" t="s">
        <v>544</v>
      </c>
      <c r="G296" s="137" t="s">
        <v>545</v>
      </c>
      <c r="H296" s="137" t="s">
        <v>43</v>
      </c>
      <c r="I296" s="137" t="s">
        <v>351</v>
      </c>
      <c r="J296" s="137" t="s">
        <v>38</v>
      </c>
      <c r="K296" s="137" t="s">
        <v>38</v>
      </c>
      <c r="L296" s="137" t="s">
        <v>38</v>
      </c>
      <c r="M296" s="137" t="s">
        <v>43</v>
      </c>
      <c r="N296" s="87">
        <v>5</v>
      </c>
      <c r="O296" s="137" t="s">
        <v>546</v>
      </c>
      <c r="P296" s="371"/>
    </row>
    <row r="297" spans="1:16" customFormat="1" ht="90">
      <c r="A297" s="137">
        <v>8</v>
      </c>
      <c r="B297" s="341"/>
      <c r="C297" s="131" t="s">
        <v>547</v>
      </c>
      <c r="D297" s="131" t="s">
        <v>548</v>
      </c>
      <c r="E297" s="137" t="s">
        <v>549</v>
      </c>
      <c r="F297" s="73">
        <v>21889</v>
      </c>
      <c r="G297" s="137" t="s">
        <v>15</v>
      </c>
      <c r="H297" s="137" t="s">
        <v>15</v>
      </c>
      <c r="I297" s="137" t="s">
        <v>52</v>
      </c>
      <c r="J297" s="137" t="s">
        <v>15</v>
      </c>
      <c r="K297" s="137" t="s">
        <v>15</v>
      </c>
      <c r="L297" s="137" t="s">
        <v>15</v>
      </c>
      <c r="M297" s="137" t="s">
        <v>15</v>
      </c>
      <c r="N297" s="137">
        <v>7</v>
      </c>
      <c r="O297" s="77"/>
      <c r="P297" s="371"/>
    </row>
    <row r="298" spans="1:16" customFormat="1" ht="75">
      <c r="A298" s="137">
        <v>9</v>
      </c>
      <c r="B298" s="341"/>
      <c r="C298" s="45" t="s">
        <v>512</v>
      </c>
      <c r="D298" s="131" t="s">
        <v>550</v>
      </c>
      <c r="E298" s="137" t="s">
        <v>551</v>
      </c>
      <c r="F298" s="73">
        <v>36197</v>
      </c>
      <c r="G298" s="137" t="s">
        <v>552</v>
      </c>
      <c r="H298" s="137" t="s">
        <v>15</v>
      </c>
      <c r="I298" s="137" t="s">
        <v>553</v>
      </c>
      <c r="J298" s="137" t="s">
        <v>15</v>
      </c>
      <c r="K298" s="137" t="s">
        <v>15</v>
      </c>
      <c r="L298" s="137" t="s">
        <v>15</v>
      </c>
      <c r="M298" s="137" t="s">
        <v>15</v>
      </c>
      <c r="N298" s="137">
        <v>8</v>
      </c>
      <c r="O298" s="137"/>
      <c r="P298" s="371"/>
    </row>
    <row r="299" spans="1:16" ht="60">
      <c r="A299" s="137">
        <v>10</v>
      </c>
      <c r="B299" s="341"/>
      <c r="C299" s="45" t="s">
        <v>512</v>
      </c>
      <c r="D299" s="131" t="s">
        <v>554</v>
      </c>
      <c r="E299" s="137" t="s">
        <v>555</v>
      </c>
      <c r="F299" s="77" t="s">
        <v>556</v>
      </c>
      <c r="G299" s="137" t="s">
        <v>557</v>
      </c>
      <c r="H299" s="137" t="s">
        <v>15</v>
      </c>
      <c r="I299" s="137" t="s">
        <v>553</v>
      </c>
      <c r="J299" s="137" t="s">
        <v>15</v>
      </c>
      <c r="K299" s="137" t="s">
        <v>15</v>
      </c>
      <c r="L299" s="137" t="s">
        <v>15</v>
      </c>
      <c r="M299" s="137" t="s">
        <v>15</v>
      </c>
      <c r="N299" s="137">
        <v>9</v>
      </c>
      <c r="O299" s="77"/>
      <c r="P299" s="371"/>
    </row>
    <row r="300" spans="1:16" ht="60">
      <c r="A300" s="137">
        <v>11</v>
      </c>
      <c r="B300" s="341"/>
      <c r="C300" s="45" t="s">
        <v>512</v>
      </c>
      <c r="D300" s="131" t="s">
        <v>558</v>
      </c>
      <c r="E300" s="137" t="s">
        <v>559</v>
      </c>
      <c r="F300" s="73">
        <v>31507</v>
      </c>
      <c r="G300" s="137" t="s">
        <v>560</v>
      </c>
      <c r="H300" s="137" t="s">
        <v>15</v>
      </c>
      <c r="I300" s="137" t="s">
        <v>553</v>
      </c>
      <c r="J300" s="137" t="s">
        <v>15</v>
      </c>
      <c r="K300" s="137" t="s">
        <v>15</v>
      </c>
      <c r="L300" s="137" t="s">
        <v>15</v>
      </c>
      <c r="M300" s="137" t="s">
        <v>15</v>
      </c>
      <c r="N300" s="137">
        <v>10</v>
      </c>
      <c r="O300" s="77"/>
      <c r="P300" s="371"/>
    </row>
    <row r="301" spans="1:16" ht="60">
      <c r="A301" s="137">
        <v>12</v>
      </c>
      <c r="B301" s="341"/>
      <c r="C301" s="45" t="s">
        <v>512</v>
      </c>
      <c r="D301" s="131" t="s">
        <v>561</v>
      </c>
      <c r="E301" s="137" t="s">
        <v>562</v>
      </c>
      <c r="F301" s="73">
        <v>31507</v>
      </c>
      <c r="G301" s="137" t="s">
        <v>563</v>
      </c>
      <c r="H301" s="137" t="s">
        <v>15</v>
      </c>
      <c r="I301" s="137" t="s">
        <v>553</v>
      </c>
      <c r="J301" s="137" t="s">
        <v>15</v>
      </c>
      <c r="K301" s="137" t="s">
        <v>15</v>
      </c>
      <c r="L301" s="137" t="s">
        <v>15</v>
      </c>
      <c r="M301" s="137" t="s">
        <v>15</v>
      </c>
      <c r="N301" s="137">
        <v>11</v>
      </c>
      <c r="O301" s="77"/>
      <c r="P301" s="371"/>
    </row>
    <row r="302" spans="1:16" ht="75">
      <c r="A302" s="237">
        <v>13</v>
      </c>
      <c r="B302" s="341"/>
      <c r="C302" s="254" t="s">
        <v>512</v>
      </c>
      <c r="D302" s="234" t="s">
        <v>564</v>
      </c>
      <c r="E302" s="237">
        <v>1335.491</v>
      </c>
      <c r="F302" s="237">
        <v>1950</v>
      </c>
      <c r="G302" s="237" t="s">
        <v>42</v>
      </c>
      <c r="H302" s="237" t="s">
        <v>565</v>
      </c>
      <c r="I302" s="237" t="s">
        <v>566</v>
      </c>
      <c r="J302" s="237" t="s">
        <v>38</v>
      </c>
      <c r="K302" s="237" t="s">
        <v>38</v>
      </c>
      <c r="L302" s="237" t="s">
        <v>38</v>
      </c>
      <c r="M302" s="237" t="s">
        <v>38</v>
      </c>
      <c r="N302" s="255">
        <v>16</v>
      </c>
      <c r="O302" s="237"/>
      <c r="P302" s="372"/>
    </row>
    <row r="303" spans="1:16" ht="15" customHeight="1">
      <c r="A303" s="348"/>
      <c r="B303" s="348"/>
      <c r="C303" s="348"/>
      <c r="D303" s="348"/>
      <c r="E303" s="348"/>
      <c r="F303" s="348"/>
      <c r="G303" s="348"/>
      <c r="H303" s="348"/>
      <c r="I303" s="348"/>
      <c r="J303" s="348"/>
      <c r="K303" s="348"/>
      <c r="L303" s="348"/>
      <c r="M303" s="348"/>
      <c r="N303" s="348"/>
      <c r="O303" s="348"/>
      <c r="P303" s="348"/>
    </row>
    <row r="304" spans="1:16" customFormat="1" ht="20.25" customHeight="1">
      <c r="A304" s="343" t="s">
        <v>33</v>
      </c>
      <c r="B304" s="343"/>
      <c r="C304" s="343"/>
      <c r="D304" s="343"/>
      <c r="E304" s="343"/>
      <c r="F304" s="343"/>
      <c r="G304" s="343"/>
      <c r="H304" s="343"/>
      <c r="I304" s="343"/>
      <c r="J304" s="343"/>
      <c r="K304" s="343"/>
      <c r="L304" s="343"/>
      <c r="M304" s="343"/>
      <c r="N304" s="343"/>
      <c r="O304" s="343"/>
      <c r="P304" s="370"/>
    </row>
    <row r="305" spans="1:16" customFormat="1" ht="85.5">
      <c r="A305" s="21" t="s">
        <v>0</v>
      </c>
      <c r="B305" s="21" t="s">
        <v>116</v>
      </c>
      <c r="C305" s="21" t="s">
        <v>1</v>
      </c>
      <c r="D305" s="21" t="s">
        <v>123</v>
      </c>
      <c r="E305" s="21" t="s">
        <v>28</v>
      </c>
      <c r="F305" s="21" t="s">
        <v>18</v>
      </c>
      <c r="G305" s="21" t="s">
        <v>118</v>
      </c>
      <c r="H305" s="21" t="s">
        <v>115</v>
      </c>
      <c r="I305" s="21" t="s">
        <v>112</v>
      </c>
      <c r="J305" s="21" t="s">
        <v>5</v>
      </c>
      <c r="K305" s="21" t="s">
        <v>6</v>
      </c>
      <c r="L305" s="21" t="s">
        <v>30</v>
      </c>
      <c r="M305" s="21" t="s">
        <v>22</v>
      </c>
      <c r="N305" s="22" t="s">
        <v>31</v>
      </c>
      <c r="O305" s="49" t="s">
        <v>11</v>
      </c>
      <c r="P305" s="371"/>
    </row>
    <row r="306" spans="1:16" customFormat="1" ht="15" customHeight="1">
      <c r="A306" s="12">
        <v>1</v>
      </c>
      <c r="B306" s="32">
        <v>2</v>
      </c>
      <c r="C306" s="32">
        <v>3</v>
      </c>
      <c r="D306" s="32">
        <v>4</v>
      </c>
      <c r="E306" s="32">
        <v>5</v>
      </c>
      <c r="F306" s="32">
        <v>6</v>
      </c>
      <c r="G306" s="32">
        <v>7</v>
      </c>
      <c r="H306" s="32">
        <v>8</v>
      </c>
      <c r="I306" s="32">
        <v>9</v>
      </c>
      <c r="J306" s="32">
        <v>10</v>
      </c>
      <c r="K306" s="32">
        <v>11</v>
      </c>
      <c r="L306" s="32">
        <v>12</v>
      </c>
      <c r="M306" s="32">
        <v>13</v>
      </c>
      <c r="N306" s="33">
        <v>14</v>
      </c>
      <c r="O306" s="32">
        <v>15</v>
      </c>
      <c r="P306" s="371"/>
    </row>
    <row r="307" spans="1:16" customFormat="1" ht="73.5" customHeight="1">
      <c r="A307" s="137">
        <v>1</v>
      </c>
      <c r="B307" s="340" t="s">
        <v>493</v>
      </c>
      <c r="C307" s="131" t="s">
        <v>494</v>
      </c>
      <c r="D307" s="131" t="s">
        <v>505</v>
      </c>
      <c r="E307" s="182">
        <v>40468.559999999998</v>
      </c>
      <c r="F307" s="139" t="s">
        <v>506</v>
      </c>
      <c r="G307" s="137" t="s">
        <v>507</v>
      </c>
      <c r="H307" s="137" t="s">
        <v>42</v>
      </c>
      <c r="I307" s="137" t="s">
        <v>343</v>
      </c>
      <c r="J307" s="137" t="s">
        <v>110</v>
      </c>
      <c r="K307" s="137" t="s">
        <v>110</v>
      </c>
      <c r="L307" s="137" t="s">
        <v>14</v>
      </c>
      <c r="M307" s="137" t="s">
        <v>42</v>
      </c>
      <c r="N307" s="137">
        <v>1</v>
      </c>
      <c r="O307" s="135"/>
      <c r="P307" s="371"/>
    </row>
    <row r="308" spans="1:16" ht="75">
      <c r="A308" s="67">
        <v>2</v>
      </c>
      <c r="B308" s="342"/>
      <c r="C308" s="45" t="s">
        <v>512</v>
      </c>
      <c r="D308" s="145" t="s">
        <v>567</v>
      </c>
      <c r="E308" s="140" t="s">
        <v>568</v>
      </c>
      <c r="F308" s="140">
        <v>1963</v>
      </c>
      <c r="G308" s="140" t="s">
        <v>569</v>
      </c>
      <c r="H308" s="140" t="s">
        <v>43</v>
      </c>
      <c r="I308" s="67" t="s">
        <v>25</v>
      </c>
      <c r="J308" s="67" t="s">
        <v>54</v>
      </c>
      <c r="K308" s="67" t="s">
        <v>54</v>
      </c>
      <c r="L308" s="67" t="s">
        <v>54</v>
      </c>
      <c r="M308" s="140" t="s">
        <v>43</v>
      </c>
      <c r="N308" s="67">
        <v>2</v>
      </c>
      <c r="O308" s="140" t="s">
        <v>570</v>
      </c>
      <c r="P308" s="372"/>
    </row>
    <row r="309" spans="1:16">
      <c r="A309" s="386"/>
      <c r="B309" s="387"/>
      <c r="C309" s="387"/>
      <c r="D309" s="387"/>
      <c r="E309" s="387"/>
      <c r="F309" s="387"/>
      <c r="G309" s="387"/>
      <c r="H309" s="387"/>
      <c r="I309" s="387"/>
      <c r="J309" s="387"/>
      <c r="K309" s="387"/>
      <c r="L309" s="387"/>
      <c r="M309" s="387"/>
      <c r="N309" s="387"/>
      <c r="O309" s="387"/>
      <c r="P309" s="387"/>
    </row>
    <row r="310" spans="1:16" ht="20.25">
      <c r="A310" s="336" t="s">
        <v>34</v>
      </c>
      <c r="B310" s="337"/>
      <c r="C310" s="337"/>
      <c r="D310" s="337"/>
      <c r="E310" s="337"/>
      <c r="F310" s="337"/>
      <c r="G310" s="337"/>
      <c r="H310" s="337"/>
      <c r="I310" s="337"/>
      <c r="J310" s="337"/>
      <c r="K310" s="337"/>
      <c r="L310" s="337"/>
      <c r="M310" s="337"/>
      <c r="N310" s="337"/>
      <c r="O310" s="337"/>
      <c r="P310" s="337"/>
    </row>
    <row r="311" spans="1:16" ht="85.5">
      <c r="A311" s="21" t="s">
        <v>0</v>
      </c>
      <c r="B311" s="21" t="s">
        <v>116</v>
      </c>
      <c r="C311" s="21" t="s">
        <v>1</v>
      </c>
      <c r="D311" s="21" t="s">
        <v>123</v>
      </c>
      <c r="E311" s="21" t="s">
        <v>28</v>
      </c>
      <c r="F311" s="21" t="s">
        <v>18</v>
      </c>
      <c r="G311" s="21" t="s">
        <v>111</v>
      </c>
      <c r="H311" s="21" t="s">
        <v>115</v>
      </c>
      <c r="I311" s="21" t="s">
        <v>112</v>
      </c>
      <c r="J311" s="21" t="s">
        <v>5</v>
      </c>
      <c r="K311" s="21" t="s">
        <v>6</v>
      </c>
      <c r="L311" s="21" t="s">
        <v>30</v>
      </c>
      <c r="M311" s="21" t="s">
        <v>22</v>
      </c>
      <c r="N311" s="22" t="s">
        <v>32</v>
      </c>
      <c r="O311" s="22" t="s">
        <v>31</v>
      </c>
      <c r="P311" s="20" t="s">
        <v>24</v>
      </c>
    </row>
    <row r="312" spans="1:16">
      <c r="A312" s="12">
        <v>1</v>
      </c>
      <c r="B312" s="32">
        <v>2</v>
      </c>
      <c r="C312" s="32">
        <v>3</v>
      </c>
      <c r="D312" s="32">
        <v>4</v>
      </c>
      <c r="E312" s="32">
        <v>5</v>
      </c>
      <c r="F312" s="32">
        <v>6</v>
      </c>
      <c r="G312" s="32">
        <v>7</v>
      </c>
      <c r="H312" s="32">
        <v>8</v>
      </c>
      <c r="I312" s="32">
        <v>9</v>
      </c>
      <c r="J312" s="32">
        <v>10</v>
      </c>
      <c r="K312" s="32">
        <v>11</v>
      </c>
      <c r="L312" s="32">
        <v>12</v>
      </c>
      <c r="M312" s="32">
        <v>13</v>
      </c>
      <c r="N312" s="32">
        <v>14</v>
      </c>
      <c r="O312" s="33">
        <v>15</v>
      </c>
      <c r="P312" s="21">
        <v>16</v>
      </c>
    </row>
    <row r="313" spans="1:16" ht="75">
      <c r="A313" s="137">
        <v>1</v>
      </c>
      <c r="B313" s="376" t="s">
        <v>493</v>
      </c>
      <c r="C313" s="6" t="s">
        <v>508</v>
      </c>
      <c r="D313" s="131" t="s">
        <v>509</v>
      </c>
      <c r="E313" s="137" t="s">
        <v>43</v>
      </c>
      <c r="F313" s="137">
        <v>2002</v>
      </c>
      <c r="G313" s="137" t="s">
        <v>42</v>
      </c>
      <c r="H313" s="137" t="s">
        <v>42</v>
      </c>
      <c r="I313" s="137" t="s">
        <v>343</v>
      </c>
      <c r="J313" s="137" t="s">
        <v>110</v>
      </c>
      <c r="K313" s="137" t="s">
        <v>510</v>
      </c>
      <c r="L313" s="137" t="s">
        <v>14</v>
      </c>
      <c r="M313" s="137" t="s">
        <v>42</v>
      </c>
      <c r="N313" s="137">
        <v>4</v>
      </c>
      <c r="O313" s="137">
        <v>2</v>
      </c>
      <c r="P313" s="137" t="s">
        <v>15</v>
      </c>
    </row>
    <row r="314" spans="1:16" ht="113.25" customHeight="1">
      <c r="A314" s="137">
        <v>2</v>
      </c>
      <c r="B314" s="376"/>
      <c r="C314" s="381" t="s">
        <v>512</v>
      </c>
      <c r="D314" s="131" t="s">
        <v>571</v>
      </c>
      <c r="E314" s="137" t="s">
        <v>572</v>
      </c>
      <c r="F314" s="137" t="s">
        <v>573</v>
      </c>
      <c r="G314" s="137">
        <v>1.34</v>
      </c>
      <c r="H314" s="143" t="s">
        <v>42</v>
      </c>
      <c r="I314" s="40" t="s">
        <v>351</v>
      </c>
      <c r="J314" s="143" t="s">
        <v>110</v>
      </c>
      <c r="K314" s="143" t="s">
        <v>110</v>
      </c>
      <c r="L314" s="143" t="s">
        <v>14</v>
      </c>
      <c r="M314" s="143" t="s">
        <v>574</v>
      </c>
      <c r="N314" s="137">
        <v>1</v>
      </c>
      <c r="O314" s="137">
        <v>1</v>
      </c>
      <c r="P314" s="137"/>
    </row>
    <row r="315" spans="1:16" ht="110.25" customHeight="1">
      <c r="A315" s="137">
        <v>3</v>
      </c>
      <c r="B315" s="376"/>
      <c r="C315" s="381"/>
      <c r="D315" s="131" t="s">
        <v>518</v>
      </c>
      <c r="E315" s="137" t="s">
        <v>575</v>
      </c>
      <c r="F315" s="137" t="s">
        <v>520</v>
      </c>
      <c r="G315" s="137" t="s">
        <v>576</v>
      </c>
      <c r="H315" s="137" t="s">
        <v>43</v>
      </c>
      <c r="I315" s="137" t="s">
        <v>351</v>
      </c>
      <c r="J315" s="137" t="s">
        <v>38</v>
      </c>
      <c r="K315" s="137" t="s">
        <v>38</v>
      </c>
      <c r="L315" s="137" t="s">
        <v>38</v>
      </c>
      <c r="M315" s="137" t="s">
        <v>43</v>
      </c>
      <c r="N315" s="77">
        <v>6</v>
      </c>
      <c r="O315" s="77">
        <v>3</v>
      </c>
      <c r="P315" s="137" t="s">
        <v>523</v>
      </c>
    </row>
    <row r="316" spans="1:16" ht="210">
      <c r="A316" s="137">
        <v>4</v>
      </c>
      <c r="B316" s="376"/>
      <c r="C316" s="381"/>
      <c r="D316" s="185" t="s">
        <v>577</v>
      </c>
      <c r="E316" s="183">
        <v>4532</v>
      </c>
      <c r="F316" s="183">
        <v>1949</v>
      </c>
      <c r="G316" s="183">
        <v>3.0000000000000001E-5</v>
      </c>
      <c r="H316" s="77" t="s">
        <v>12</v>
      </c>
      <c r="I316" s="137" t="s">
        <v>578</v>
      </c>
      <c r="J316" s="77" t="s">
        <v>12</v>
      </c>
      <c r="K316" s="77" t="s">
        <v>12</v>
      </c>
      <c r="L316" s="77" t="s">
        <v>12</v>
      </c>
      <c r="M316" s="77" t="s">
        <v>12</v>
      </c>
      <c r="N316" s="77">
        <v>15</v>
      </c>
      <c r="O316" s="77">
        <v>4</v>
      </c>
      <c r="P316" s="77"/>
    </row>
    <row r="317" spans="1:16" ht="45">
      <c r="A317" s="137">
        <v>5</v>
      </c>
      <c r="B317" s="376"/>
      <c r="C317" s="381"/>
      <c r="D317" s="185" t="s">
        <v>579</v>
      </c>
      <c r="E317" s="183">
        <v>1333</v>
      </c>
      <c r="F317" s="184" t="s">
        <v>12</v>
      </c>
      <c r="G317" s="183">
        <v>7.4999999999999997E-2</v>
      </c>
      <c r="H317" s="77" t="s">
        <v>12</v>
      </c>
      <c r="I317" s="77" t="s">
        <v>580</v>
      </c>
      <c r="J317" s="77" t="s">
        <v>12</v>
      </c>
      <c r="K317" s="77" t="s">
        <v>12</v>
      </c>
      <c r="L317" s="77" t="s">
        <v>12</v>
      </c>
      <c r="M317" s="77" t="s">
        <v>12</v>
      </c>
      <c r="N317" s="77">
        <v>12</v>
      </c>
      <c r="O317" s="77">
        <v>5</v>
      </c>
      <c r="P317" s="77"/>
    </row>
    <row r="318" spans="1:16" ht="45">
      <c r="A318" s="137">
        <v>6</v>
      </c>
      <c r="B318" s="376"/>
      <c r="C318" s="381"/>
      <c r="D318" s="185" t="s">
        <v>581</v>
      </c>
      <c r="E318" s="183">
        <v>2023</v>
      </c>
      <c r="F318" s="183" t="s">
        <v>582</v>
      </c>
      <c r="G318" s="183">
        <v>7.0000000000000001E-3</v>
      </c>
      <c r="H318" s="77" t="s">
        <v>12</v>
      </c>
      <c r="I318" s="137" t="s">
        <v>580</v>
      </c>
      <c r="J318" s="77" t="s">
        <v>12</v>
      </c>
      <c r="K318" s="77" t="s">
        <v>12</v>
      </c>
      <c r="L318" s="77" t="s">
        <v>12</v>
      </c>
      <c r="M318" s="77" t="s">
        <v>12</v>
      </c>
      <c r="N318" s="77">
        <v>13</v>
      </c>
      <c r="O318" s="77">
        <v>6</v>
      </c>
      <c r="P318" s="77"/>
    </row>
    <row r="319" spans="1:16" ht="45">
      <c r="A319" s="137">
        <v>7</v>
      </c>
      <c r="B319" s="376"/>
      <c r="C319" s="381"/>
      <c r="D319" s="185" t="s">
        <v>583</v>
      </c>
      <c r="E319" s="183">
        <v>3764</v>
      </c>
      <c r="F319" s="183">
        <v>1959</v>
      </c>
      <c r="G319" s="183">
        <v>1.4E-3</v>
      </c>
      <c r="H319" s="77" t="s">
        <v>12</v>
      </c>
      <c r="I319" s="137" t="s">
        <v>580</v>
      </c>
      <c r="J319" s="77" t="s">
        <v>12</v>
      </c>
      <c r="K319" s="77" t="s">
        <v>12</v>
      </c>
      <c r="L319" s="77" t="s">
        <v>12</v>
      </c>
      <c r="M319" s="77" t="s">
        <v>12</v>
      </c>
      <c r="N319" s="77">
        <v>14</v>
      </c>
      <c r="O319" s="77">
        <v>7</v>
      </c>
      <c r="P319" s="77"/>
    </row>
    <row r="320" spans="1:16">
      <c r="A320" s="352"/>
      <c r="B320" s="352"/>
      <c r="C320" s="352"/>
      <c r="D320" s="352"/>
      <c r="E320" s="352"/>
      <c r="F320" s="352"/>
      <c r="G320" s="352"/>
      <c r="H320" s="352"/>
      <c r="I320" s="352"/>
      <c r="J320" s="352"/>
      <c r="K320" s="352"/>
      <c r="L320" s="352"/>
      <c r="M320" s="352"/>
      <c r="N320" s="352"/>
      <c r="O320" s="352"/>
      <c r="P320" s="352"/>
    </row>
    <row r="321" spans="1:16" ht="22.5">
      <c r="A321" s="338" t="s">
        <v>183</v>
      </c>
      <c r="B321" s="339"/>
      <c r="C321" s="339"/>
      <c r="D321" s="339"/>
      <c r="E321" s="339"/>
      <c r="F321" s="339"/>
      <c r="G321" s="339"/>
      <c r="H321" s="339"/>
      <c r="I321" s="339"/>
      <c r="J321" s="339"/>
      <c r="K321" s="339"/>
      <c r="L321" s="339"/>
      <c r="M321" s="339"/>
      <c r="N321" s="339"/>
      <c r="O321" s="339"/>
      <c r="P321" s="339"/>
    </row>
    <row r="322" spans="1:16" ht="20.25">
      <c r="A322" s="336" t="s">
        <v>16</v>
      </c>
      <c r="B322" s="337"/>
      <c r="C322" s="337"/>
      <c r="D322" s="337"/>
      <c r="E322" s="337"/>
      <c r="F322" s="337"/>
      <c r="G322" s="337"/>
      <c r="H322" s="337"/>
      <c r="I322" s="337"/>
      <c r="J322" s="337"/>
      <c r="K322" s="337"/>
      <c r="L322" s="337"/>
      <c r="M322" s="337"/>
      <c r="N322" s="337"/>
      <c r="O322" s="337"/>
      <c r="P322" s="337"/>
    </row>
    <row r="323" spans="1:16" ht="103.5" customHeight="1">
      <c r="A323" s="21" t="s">
        <v>0</v>
      </c>
      <c r="B323" s="21" t="s">
        <v>119</v>
      </c>
      <c r="C323" s="21" t="s">
        <v>1</v>
      </c>
      <c r="D323" s="21" t="s">
        <v>120</v>
      </c>
      <c r="E323" s="21" t="s">
        <v>3</v>
      </c>
      <c r="F323" s="21" t="s">
        <v>4</v>
      </c>
      <c r="G323" s="21" t="s">
        <v>121</v>
      </c>
      <c r="H323" s="21" t="s">
        <v>122</v>
      </c>
      <c r="I323" s="21" t="s">
        <v>113</v>
      </c>
      <c r="J323" s="21" t="s">
        <v>5</v>
      </c>
      <c r="K323" s="21" t="s">
        <v>6</v>
      </c>
      <c r="L323" s="21" t="s">
        <v>7</v>
      </c>
      <c r="M323" s="22" t="s">
        <v>8</v>
      </c>
      <c r="N323" s="47" t="s">
        <v>9</v>
      </c>
      <c r="O323" s="48" t="s">
        <v>10</v>
      </c>
      <c r="P323" s="49" t="s">
        <v>11</v>
      </c>
    </row>
    <row r="324" spans="1:16">
      <c r="A324" s="1">
        <v>1</v>
      </c>
      <c r="B324" s="21">
        <v>2</v>
      </c>
      <c r="C324" s="21">
        <v>3</v>
      </c>
      <c r="D324" s="21">
        <v>4</v>
      </c>
      <c r="E324" s="21">
        <v>5</v>
      </c>
      <c r="F324" s="21">
        <v>6</v>
      </c>
      <c r="G324" s="21">
        <v>7</v>
      </c>
      <c r="H324" s="21">
        <v>8</v>
      </c>
      <c r="I324" s="21">
        <v>9</v>
      </c>
      <c r="J324" s="21">
        <v>10</v>
      </c>
      <c r="K324" s="21">
        <v>11</v>
      </c>
      <c r="L324" s="21">
        <v>12</v>
      </c>
      <c r="M324" s="21">
        <v>13</v>
      </c>
      <c r="N324" s="21">
        <v>14</v>
      </c>
      <c r="O324" s="48">
        <v>15</v>
      </c>
      <c r="P324" s="21">
        <v>16</v>
      </c>
    </row>
    <row r="325" spans="1:16" ht="150">
      <c r="A325" s="67">
        <v>1</v>
      </c>
      <c r="B325" s="451" t="s">
        <v>2143</v>
      </c>
      <c r="C325" s="451" t="s">
        <v>1790</v>
      </c>
      <c r="D325" s="154" t="s">
        <v>2133</v>
      </c>
      <c r="E325" s="151">
        <v>221219.16</v>
      </c>
      <c r="F325" s="190" t="s">
        <v>1791</v>
      </c>
      <c r="G325" s="151" t="s">
        <v>54</v>
      </c>
      <c r="H325" s="148" t="s">
        <v>1792</v>
      </c>
      <c r="I325" s="151" t="s">
        <v>799</v>
      </c>
      <c r="J325" s="151" t="s">
        <v>15</v>
      </c>
      <c r="K325" s="151" t="s">
        <v>15</v>
      </c>
      <c r="L325" s="189" t="s">
        <v>15</v>
      </c>
      <c r="M325" s="153" t="s">
        <v>1793</v>
      </c>
      <c r="N325" s="148" t="s">
        <v>26</v>
      </c>
      <c r="O325" s="148" t="s">
        <v>26</v>
      </c>
      <c r="P325" s="153" t="s">
        <v>1793</v>
      </c>
    </row>
    <row r="326" spans="1:16" ht="60">
      <c r="A326" s="67">
        <v>2</v>
      </c>
      <c r="B326" s="452"/>
      <c r="C326" s="452"/>
      <c r="D326" s="154" t="s">
        <v>2134</v>
      </c>
      <c r="E326" s="151">
        <v>9590.4</v>
      </c>
      <c r="F326" s="190">
        <v>39142</v>
      </c>
      <c r="G326" s="151" t="s">
        <v>54</v>
      </c>
      <c r="H326" s="151" t="s">
        <v>1794</v>
      </c>
      <c r="I326" s="151" t="s">
        <v>15</v>
      </c>
      <c r="J326" s="151" t="s">
        <v>15</v>
      </c>
      <c r="K326" s="151" t="s">
        <v>15</v>
      </c>
      <c r="L326" s="151" t="s">
        <v>1795</v>
      </c>
      <c r="M326" s="151" t="s">
        <v>1796</v>
      </c>
      <c r="N326" s="151" t="s">
        <v>1797</v>
      </c>
      <c r="O326" s="151"/>
      <c r="P326" s="191" t="s">
        <v>2136</v>
      </c>
    </row>
    <row r="327" spans="1:16" ht="45">
      <c r="A327" s="67">
        <v>3</v>
      </c>
      <c r="B327" s="453"/>
      <c r="C327" s="453"/>
      <c r="D327" s="154" t="s">
        <v>2135</v>
      </c>
      <c r="E327" s="151">
        <v>3796.2</v>
      </c>
      <c r="F327" s="151" t="s">
        <v>1798</v>
      </c>
      <c r="G327" s="151" t="s">
        <v>15</v>
      </c>
      <c r="H327" s="151" t="s">
        <v>1799</v>
      </c>
      <c r="I327" s="151" t="s">
        <v>15</v>
      </c>
      <c r="J327" s="151" t="s">
        <v>15</v>
      </c>
      <c r="K327" s="151" t="s">
        <v>15</v>
      </c>
      <c r="L327" s="151" t="s">
        <v>1795</v>
      </c>
      <c r="M327" s="151" t="s">
        <v>15</v>
      </c>
      <c r="N327" s="151" t="s">
        <v>1795</v>
      </c>
      <c r="O327" s="151" t="s">
        <v>1800</v>
      </c>
      <c r="P327" s="191" t="s">
        <v>2138</v>
      </c>
    </row>
    <row r="328" spans="1:16" ht="51.75" customHeight="1">
      <c r="A328" s="445"/>
      <c r="B328" s="443" t="s">
        <v>2137</v>
      </c>
      <c r="C328" s="443"/>
      <c r="D328" s="443"/>
      <c r="E328" s="443"/>
      <c r="F328" s="443"/>
      <c r="G328" s="443"/>
      <c r="H328" s="443"/>
      <c r="I328" s="443"/>
      <c r="J328" s="443"/>
      <c r="K328" s="443"/>
      <c r="L328" s="443"/>
      <c r="M328" s="443"/>
      <c r="N328" s="443"/>
      <c r="O328" s="443"/>
      <c r="P328" s="443"/>
    </row>
    <row r="329" spans="1:16" s="10" customFormat="1">
      <c r="A329" s="445"/>
      <c r="B329" s="444" t="s">
        <v>2139</v>
      </c>
      <c r="C329" s="444"/>
      <c r="D329" s="444"/>
      <c r="E329" s="444"/>
      <c r="F329" s="444"/>
      <c r="G329" s="444"/>
      <c r="H329" s="444"/>
      <c r="I329" s="444"/>
      <c r="J329" s="444"/>
      <c r="K329" s="444"/>
      <c r="L329" s="444"/>
      <c r="M329" s="444"/>
      <c r="N329" s="444"/>
      <c r="O329" s="444"/>
      <c r="P329" s="444"/>
    </row>
    <row r="330" spans="1:16" s="10" customFormat="1">
      <c r="A330" s="459"/>
      <c r="B330" s="460"/>
      <c r="C330" s="460"/>
      <c r="D330" s="460"/>
      <c r="E330" s="460"/>
      <c r="F330" s="460"/>
      <c r="G330" s="460"/>
      <c r="H330" s="460"/>
      <c r="I330" s="460"/>
      <c r="J330" s="460"/>
      <c r="K330" s="460"/>
      <c r="L330" s="460"/>
      <c r="M330" s="460"/>
      <c r="N330" s="460"/>
      <c r="O330" s="460"/>
      <c r="P330" s="460"/>
    </row>
    <row r="331" spans="1:16" s="10" customFormat="1" ht="20.25" customHeight="1">
      <c r="A331" s="336" t="s">
        <v>27</v>
      </c>
      <c r="B331" s="337"/>
      <c r="C331" s="337"/>
      <c r="D331" s="337"/>
      <c r="E331" s="337"/>
      <c r="F331" s="337"/>
      <c r="G331" s="337"/>
      <c r="H331" s="337"/>
      <c r="I331" s="337"/>
      <c r="J331" s="337"/>
      <c r="K331" s="337"/>
      <c r="L331" s="337"/>
      <c r="M331" s="337"/>
      <c r="N331" s="337"/>
      <c r="O331" s="337"/>
      <c r="P331" s="463"/>
    </row>
    <row r="332" spans="1:16" s="10" customFormat="1" ht="85.5">
      <c r="A332" s="21" t="s">
        <v>0</v>
      </c>
      <c r="B332" s="21" t="s">
        <v>116</v>
      </c>
      <c r="C332" s="21" t="s">
        <v>1</v>
      </c>
      <c r="D332" s="21" t="s">
        <v>123</v>
      </c>
      <c r="E332" s="22" t="s">
        <v>17</v>
      </c>
      <c r="F332" s="22" t="s">
        <v>18</v>
      </c>
      <c r="G332" s="21" t="s">
        <v>114</v>
      </c>
      <c r="H332" s="21" t="s">
        <v>115</v>
      </c>
      <c r="I332" s="21" t="s">
        <v>117</v>
      </c>
      <c r="J332" s="21" t="s">
        <v>5</v>
      </c>
      <c r="K332" s="21" t="s">
        <v>6</v>
      </c>
      <c r="L332" s="21" t="s">
        <v>21</v>
      </c>
      <c r="M332" s="21" t="s">
        <v>22</v>
      </c>
      <c r="N332" s="22" t="s">
        <v>23</v>
      </c>
      <c r="O332" s="192" t="s">
        <v>24</v>
      </c>
      <c r="P332" s="463"/>
    </row>
    <row r="333" spans="1:16" s="10" customFormat="1">
      <c r="A333" s="12">
        <v>1</v>
      </c>
      <c r="B333" s="32">
        <v>2</v>
      </c>
      <c r="C333" s="32">
        <v>3</v>
      </c>
      <c r="D333" s="32">
        <v>4</v>
      </c>
      <c r="E333" s="32">
        <v>5</v>
      </c>
      <c r="F333" s="32">
        <v>6</v>
      </c>
      <c r="G333" s="32">
        <v>7</v>
      </c>
      <c r="H333" s="32">
        <v>8</v>
      </c>
      <c r="I333" s="32">
        <v>9</v>
      </c>
      <c r="J333" s="32">
        <v>10</v>
      </c>
      <c r="K333" s="32">
        <v>11</v>
      </c>
      <c r="L333" s="32">
        <v>12</v>
      </c>
      <c r="M333" s="32">
        <v>13</v>
      </c>
      <c r="N333" s="32">
        <v>14</v>
      </c>
      <c r="O333" s="149">
        <v>15</v>
      </c>
      <c r="P333" s="463"/>
    </row>
    <row r="334" spans="1:16" s="10" customFormat="1" ht="60">
      <c r="A334" s="151">
        <v>1</v>
      </c>
      <c r="B334" s="451" t="s">
        <v>2143</v>
      </c>
      <c r="C334" s="154" t="s">
        <v>1802</v>
      </c>
      <c r="D334" s="154" t="s">
        <v>1803</v>
      </c>
      <c r="E334" s="151">
        <v>12648.91</v>
      </c>
      <c r="F334" s="151" t="s">
        <v>1804</v>
      </c>
      <c r="G334" s="151" t="s">
        <v>15</v>
      </c>
      <c r="H334" s="151" t="s">
        <v>1805</v>
      </c>
      <c r="I334" s="151" t="s">
        <v>1806</v>
      </c>
      <c r="J334" s="151" t="s">
        <v>15</v>
      </c>
      <c r="K334" s="151" t="s">
        <v>15</v>
      </c>
      <c r="L334" s="151" t="s">
        <v>15</v>
      </c>
      <c r="M334" s="151" t="s">
        <v>1807</v>
      </c>
      <c r="N334" s="151" t="s">
        <v>15</v>
      </c>
      <c r="O334" s="194" t="s">
        <v>15</v>
      </c>
      <c r="P334" s="463"/>
    </row>
    <row r="335" spans="1:16" s="10" customFormat="1" ht="60">
      <c r="A335" s="151">
        <v>2</v>
      </c>
      <c r="B335" s="453"/>
      <c r="C335" s="154" t="s">
        <v>1802</v>
      </c>
      <c r="D335" s="154" t="s">
        <v>1808</v>
      </c>
      <c r="E335" s="151">
        <v>10796.14</v>
      </c>
      <c r="F335" s="151" t="s">
        <v>1809</v>
      </c>
      <c r="G335" s="195">
        <v>0.18</v>
      </c>
      <c r="H335" s="151" t="s">
        <v>1810</v>
      </c>
      <c r="I335" s="151" t="s">
        <v>1811</v>
      </c>
      <c r="J335" s="151" t="s">
        <v>15</v>
      </c>
      <c r="K335" s="151" t="s">
        <v>15</v>
      </c>
      <c r="L335" s="151" t="s">
        <v>15</v>
      </c>
      <c r="M335" s="151" t="s">
        <v>1807</v>
      </c>
      <c r="N335" s="151" t="s">
        <v>15</v>
      </c>
      <c r="O335" s="194" t="s">
        <v>15</v>
      </c>
      <c r="P335" s="463"/>
    </row>
    <row r="336" spans="1:16" s="10" customFormat="1">
      <c r="A336" s="461"/>
      <c r="B336" s="462"/>
      <c r="C336" s="462"/>
      <c r="D336" s="462"/>
      <c r="E336" s="462"/>
      <c r="F336" s="462"/>
      <c r="G336" s="462"/>
      <c r="H336" s="462"/>
      <c r="I336" s="462"/>
      <c r="J336" s="462"/>
      <c r="K336" s="462"/>
      <c r="L336" s="462"/>
      <c r="M336" s="462"/>
      <c r="N336" s="462"/>
      <c r="O336" s="462"/>
      <c r="P336" s="463"/>
    </row>
    <row r="337" spans="1:16" s="10" customFormat="1" ht="20.25" customHeight="1">
      <c r="A337" s="336" t="s">
        <v>33</v>
      </c>
      <c r="B337" s="337"/>
      <c r="C337" s="337"/>
      <c r="D337" s="337"/>
      <c r="E337" s="337"/>
      <c r="F337" s="337"/>
      <c r="G337" s="337"/>
      <c r="H337" s="337"/>
      <c r="I337" s="337"/>
      <c r="J337" s="337"/>
      <c r="K337" s="337"/>
      <c r="L337" s="337"/>
      <c r="M337" s="337"/>
      <c r="N337" s="337"/>
      <c r="O337" s="391"/>
      <c r="P337" s="463"/>
    </row>
    <row r="338" spans="1:16" s="10" customFormat="1" ht="85.5">
      <c r="A338" s="21" t="s">
        <v>0</v>
      </c>
      <c r="B338" s="21" t="s">
        <v>116</v>
      </c>
      <c r="C338" s="21" t="s">
        <v>1</v>
      </c>
      <c r="D338" s="21" t="s">
        <v>123</v>
      </c>
      <c r="E338" s="21" t="s">
        <v>28</v>
      </c>
      <c r="F338" s="21" t="s">
        <v>18</v>
      </c>
      <c r="G338" s="21" t="s">
        <v>118</v>
      </c>
      <c r="H338" s="21" t="s">
        <v>115</v>
      </c>
      <c r="I338" s="21" t="s">
        <v>112</v>
      </c>
      <c r="J338" s="21" t="s">
        <v>5</v>
      </c>
      <c r="K338" s="21" t="s">
        <v>6</v>
      </c>
      <c r="L338" s="21" t="s">
        <v>30</v>
      </c>
      <c r="M338" s="21" t="s">
        <v>22</v>
      </c>
      <c r="N338" s="22" t="s">
        <v>31</v>
      </c>
      <c r="O338" s="193" t="s">
        <v>11</v>
      </c>
      <c r="P338" s="463"/>
    </row>
    <row r="339" spans="1:16" s="10" customFormat="1">
      <c r="A339" s="12">
        <v>1</v>
      </c>
      <c r="B339" s="32">
        <v>2</v>
      </c>
      <c r="C339" s="32">
        <v>3</v>
      </c>
      <c r="D339" s="32">
        <v>4</v>
      </c>
      <c r="E339" s="32">
        <v>5</v>
      </c>
      <c r="F339" s="32">
        <v>6</v>
      </c>
      <c r="G339" s="32">
        <v>7</v>
      </c>
      <c r="H339" s="32">
        <v>8</v>
      </c>
      <c r="I339" s="32">
        <v>9</v>
      </c>
      <c r="J339" s="32">
        <v>10</v>
      </c>
      <c r="K339" s="32">
        <v>11</v>
      </c>
      <c r="L339" s="32">
        <v>12</v>
      </c>
      <c r="M339" s="32">
        <v>13</v>
      </c>
      <c r="N339" s="33">
        <v>14</v>
      </c>
      <c r="O339" s="149">
        <v>15</v>
      </c>
      <c r="P339" s="463"/>
    </row>
    <row r="340" spans="1:16" s="10" customFormat="1" ht="75">
      <c r="A340" s="151">
        <v>1</v>
      </c>
      <c r="B340" s="464" t="s">
        <v>2140</v>
      </c>
      <c r="C340" s="451" t="s">
        <v>1812</v>
      </c>
      <c r="D340" s="154" t="s">
        <v>1813</v>
      </c>
      <c r="E340" s="148" t="s">
        <v>1814</v>
      </c>
      <c r="F340" s="151" t="s">
        <v>1815</v>
      </c>
      <c r="G340" s="148" t="s">
        <v>1816</v>
      </c>
      <c r="H340" s="148" t="s">
        <v>1817</v>
      </c>
      <c r="I340" s="151" t="s">
        <v>15</v>
      </c>
      <c r="J340" s="151" t="s">
        <v>15</v>
      </c>
      <c r="K340" s="151" t="s">
        <v>15</v>
      </c>
      <c r="L340" s="151" t="s">
        <v>15</v>
      </c>
      <c r="M340" s="151" t="s">
        <v>1818</v>
      </c>
      <c r="N340" s="151">
        <v>1</v>
      </c>
      <c r="O340" s="194" t="s">
        <v>15</v>
      </c>
      <c r="P340" s="463"/>
    </row>
    <row r="341" spans="1:16" s="10" customFormat="1" ht="90">
      <c r="A341" s="151">
        <v>2</v>
      </c>
      <c r="B341" s="465"/>
      <c r="C341" s="452"/>
      <c r="D341" s="154" t="s">
        <v>1819</v>
      </c>
      <c r="E341" s="151" t="s">
        <v>1820</v>
      </c>
      <c r="F341" s="151" t="s">
        <v>1821</v>
      </c>
      <c r="G341" s="151">
        <v>10.54</v>
      </c>
      <c r="H341" s="148" t="s">
        <v>1822</v>
      </c>
      <c r="I341" s="151" t="s">
        <v>15</v>
      </c>
      <c r="J341" s="151" t="s">
        <v>15</v>
      </c>
      <c r="K341" s="151" t="s">
        <v>15</v>
      </c>
      <c r="L341" s="151" t="s">
        <v>15</v>
      </c>
      <c r="M341" s="151" t="s">
        <v>1823</v>
      </c>
      <c r="N341" s="151">
        <v>2</v>
      </c>
      <c r="O341" s="194" t="s">
        <v>15</v>
      </c>
      <c r="P341" s="463"/>
    </row>
    <row r="342" spans="1:16" s="10" customFormat="1" ht="135">
      <c r="A342" s="151">
        <v>3</v>
      </c>
      <c r="B342" s="465"/>
      <c r="C342" s="452"/>
      <c r="D342" s="154" t="s">
        <v>1824</v>
      </c>
      <c r="E342" s="151" t="s">
        <v>1825</v>
      </c>
      <c r="F342" s="151" t="s">
        <v>1826</v>
      </c>
      <c r="G342" s="151">
        <v>0.6</v>
      </c>
      <c r="H342" s="148" t="s">
        <v>1827</v>
      </c>
      <c r="I342" s="151" t="s">
        <v>15</v>
      </c>
      <c r="J342" s="151" t="s">
        <v>15</v>
      </c>
      <c r="K342" s="151" t="s">
        <v>15</v>
      </c>
      <c r="L342" s="151" t="s">
        <v>15</v>
      </c>
      <c r="M342" s="151"/>
      <c r="N342" s="151">
        <v>3</v>
      </c>
      <c r="O342" s="194" t="s">
        <v>15</v>
      </c>
      <c r="P342" s="463"/>
    </row>
    <row r="343" spans="1:16" ht="135">
      <c r="A343" s="151">
        <v>4</v>
      </c>
      <c r="B343" s="465"/>
      <c r="C343" s="452"/>
      <c r="D343" s="154" t="s">
        <v>1828</v>
      </c>
      <c r="E343" s="151" t="s">
        <v>1829</v>
      </c>
      <c r="F343" s="151" t="s">
        <v>1830</v>
      </c>
      <c r="G343" s="151">
        <v>0.04</v>
      </c>
      <c r="H343" s="148" t="s">
        <v>1831</v>
      </c>
      <c r="I343" s="151" t="s">
        <v>15</v>
      </c>
      <c r="J343" s="151" t="s">
        <v>15</v>
      </c>
      <c r="K343" s="151" t="s">
        <v>15</v>
      </c>
      <c r="L343" s="151" t="s">
        <v>15</v>
      </c>
      <c r="M343" s="151"/>
      <c r="N343" s="151">
        <v>4</v>
      </c>
      <c r="O343" s="196" t="s">
        <v>15</v>
      </c>
      <c r="P343" s="463"/>
    </row>
    <row r="344" spans="1:16" ht="135">
      <c r="A344" s="151">
        <v>5</v>
      </c>
      <c r="B344" s="465"/>
      <c r="C344" s="452"/>
      <c r="D344" s="154" t="s">
        <v>1832</v>
      </c>
      <c r="E344" s="151" t="s">
        <v>1833</v>
      </c>
      <c r="F344" s="151" t="s">
        <v>1834</v>
      </c>
      <c r="G344" s="151">
        <v>4.99</v>
      </c>
      <c r="H344" s="148" t="s">
        <v>1835</v>
      </c>
      <c r="I344" s="151" t="s">
        <v>15</v>
      </c>
      <c r="J344" s="151" t="s">
        <v>15</v>
      </c>
      <c r="K344" s="151" t="s">
        <v>15</v>
      </c>
      <c r="L344" s="151" t="s">
        <v>15</v>
      </c>
      <c r="M344" s="151" t="s">
        <v>1836</v>
      </c>
      <c r="N344" s="151">
        <v>5</v>
      </c>
      <c r="O344" s="206" t="s">
        <v>1837</v>
      </c>
      <c r="P344" s="463"/>
    </row>
    <row r="345" spans="1:16" ht="105">
      <c r="A345" s="151">
        <v>6</v>
      </c>
      <c r="B345" s="465"/>
      <c r="C345" s="452"/>
      <c r="D345" s="154" t="s">
        <v>1838</v>
      </c>
      <c r="E345" s="151" t="s">
        <v>1839</v>
      </c>
      <c r="F345" s="151" t="s">
        <v>1840</v>
      </c>
      <c r="G345" s="151">
        <v>41.92</v>
      </c>
      <c r="H345" s="148" t="s">
        <v>1841</v>
      </c>
      <c r="I345" s="151" t="s">
        <v>15</v>
      </c>
      <c r="J345" s="151" t="s">
        <v>15</v>
      </c>
      <c r="K345" s="151" t="s">
        <v>15</v>
      </c>
      <c r="L345" s="151" t="s">
        <v>15</v>
      </c>
      <c r="M345" s="151" t="s">
        <v>1842</v>
      </c>
      <c r="N345" s="151">
        <v>6</v>
      </c>
      <c r="O345" s="194" t="s">
        <v>15</v>
      </c>
      <c r="P345" s="463"/>
    </row>
    <row r="346" spans="1:16" ht="75">
      <c r="A346" s="151">
        <v>7</v>
      </c>
      <c r="B346" s="465"/>
      <c r="C346" s="452"/>
      <c r="D346" s="154" t="s">
        <v>1843</v>
      </c>
      <c r="E346" s="151" t="s">
        <v>1844</v>
      </c>
      <c r="F346" s="151" t="s">
        <v>1845</v>
      </c>
      <c r="G346" s="151">
        <v>0.04</v>
      </c>
      <c r="H346" s="148" t="s">
        <v>1846</v>
      </c>
      <c r="I346" s="151" t="s">
        <v>15</v>
      </c>
      <c r="J346" s="151" t="s">
        <v>15</v>
      </c>
      <c r="K346" s="151" t="s">
        <v>15</v>
      </c>
      <c r="L346" s="151" t="s">
        <v>15</v>
      </c>
      <c r="M346" s="151" t="s">
        <v>15</v>
      </c>
      <c r="N346" s="151">
        <v>7</v>
      </c>
      <c r="O346" s="194" t="s">
        <v>15</v>
      </c>
      <c r="P346" s="463"/>
    </row>
    <row r="347" spans="1:16" ht="105">
      <c r="A347" s="151">
        <v>8</v>
      </c>
      <c r="B347" s="465"/>
      <c r="C347" s="452"/>
      <c r="D347" s="154" t="s">
        <v>1847</v>
      </c>
      <c r="E347" s="151" t="s">
        <v>1848</v>
      </c>
      <c r="F347" s="151" t="s">
        <v>1849</v>
      </c>
      <c r="G347" s="151">
        <v>0.74</v>
      </c>
      <c r="H347" s="148" t="s">
        <v>1850</v>
      </c>
      <c r="I347" s="151" t="s">
        <v>15</v>
      </c>
      <c r="J347" s="151" t="s">
        <v>15</v>
      </c>
      <c r="K347" s="151" t="s">
        <v>15</v>
      </c>
      <c r="L347" s="151" t="s">
        <v>15</v>
      </c>
      <c r="M347" s="151" t="s">
        <v>15</v>
      </c>
      <c r="N347" s="151">
        <v>8</v>
      </c>
      <c r="O347" s="194" t="s">
        <v>15</v>
      </c>
      <c r="P347" s="463"/>
    </row>
    <row r="348" spans="1:16" ht="75">
      <c r="A348" s="151">
        <v>9</v>
      </c>
      <c r="B348" s="465"/>
      <c r="C348" s="452"/>
      <c r="D348" s="154" t="s">
        <v>1851</v>
      </c>
      <c r="E348" s="151" t="s">
        <v>1852</v>
      </c>
      <c r="F348" s="151" t="s">
        <v>1853</v>
      </c>
      <c r="G348" s="151">
        <v>0.12</v>
      </c>
      <c r="H348" s="148" t="s">
        <v>1854</v>
      </c>
      <c r="I348" s="151" t="s">
        <v>15</v>
      </c>
      <c r="J348" s="151" t="s">
        <v>15</v>
      </c>
      <c r="K348" s="151" t="s">
        <v>15</v>
      </c>
      <c r="L348" s="151" t="s">
        <v>15</v>
      </c>
      <c r="M348" s="151" t="s">
        <v>15</v>
      </c>
      <c r="N348" s="151">
        <v>9</v>
      </c>
      <c r="O348" s="194" t="s">
        <v>15</v>
      </c>
      <c r="P348" s="463"/>
    </row>
    <row r="349" spans="1:16" ht="90">
      <c r="A349" s="151">
        <v>10</v>
      </c>
      <c r="B349" s="465"/>
      <c r="C349" s="452"/>
      <c r="D349" s="154" t="s">
        <v>1855</v>
      </c>
      <c r="E349" s="151" t="s">
        <v>1856</v>
      </c>
      <c r="F349" s="151" t="s">
        <v>1857</v>
      </c>
      <c r="G349" s="151" t="s">
        <v>54</v>
      </c>
      <c r="H349" s="148" t="s">
        <v>1858</v>
      </c>
      <c r="I349" s="151" t="s">
        <v>15</v>
      </c>
      <c r="J349" s="151" t="s">
        <v>15</v>
      </c>
      <c r="K349" s="151" t="s">
        <v>15</v>
      </c>
      <c r="L349" s="151" t="s">
        <v>15</v>
      </c>
      <c r="M349" s="151" t="s">
        <v>1859</v>
      </c>
      <c r="N349" s="151">
        <v>10</v>
      </c>
      <c r="O349" s="194" t="s">
        <v>15</v>
      </c>
      <c r="P349" s="463"/>
    </row>
    <row r="350" spans="1:16" ht="60">
      <c r="A350" s="151">
        <v>11</v>
      </c>
      <c r="B350" s="465"/>
      <c r="C350" s="452"/>
      <c r="D350" s="154" t="s">
        <v>1860</v>
      </c>
      <c r="E350" s="151" t="s">
        <v>1861</v>
      </c>
      <c r="F350" s="151" t="s">
        <v>15</v>
      </c>
      <c r="G350" s="151">
        <v>5.0000000000000001E-4</v>
      </c>
      <c r="H350" s="148" t="s">
        <v>1862</v>
      </c>
      <c r="I350" s="151" t="s">
        <v>15</v>
      </c>
      <c r="J350" s="151" t="s">
        <v>15</v>
      </c>
      <c r="K350" s="151" t="s">
        <v>15</v>
      </c>
      <c r="L350" s="151" t="s">
        <v>15</v>
      </c>
      <c r="M350" s="151"/>
      <c r="N350" s="151">
        <v>11</v>
      </c>
      <c r="O350" s="194" t="s">
        <v>1863</v>
      </c>
      <c r="P350" s="463"/>
    </row>
    <row r="351" spans="1:16" ht="60">
      <c r="A351" s="151">
        <v>12</v>
      </c>
      <c r="B351" s="465"/>
      <c r="C351" s="452"/>
      <c r="D351" s="154" t="s">
        <v>1864</v>
      </c>
      <c r="E351" s="151" t="s">
        <v>1865</v>
      </c>
      <c r="F351" s="151" t="s">
        <v>1866</v>
      </c>
      <c r="G351" s="151">
        <v>6.9999999999999999E-4</v>
      </c>
      <c r="H351" s="148" t="s">
        <v>1867</v>
      </c>
      <c r="I351" s="151" t="s">
        <v>15</v>
      </c>
      <c r="J351" s="151" t="s">
        <v>15</v>
      </c>
      <c r="K351" s="151" t="s">
        <v>15</v>
      </c>
      <c r="L351" s="151" t="s">
        <v>15</v>
      </c>
      <c r="M351" s="151"/>
      <c r="N351" s="151">
        <v>12</v>
      </c>
      <c r="O351" s="194" t="s">
        <v>15</v>
      </c>
      <c r="P351" s="463"/>
    </row>
    <row r="352" spans="1:16" ht="75">
      <c r="A352" s="151">
        <v>13</v>
      </c>
      <c r="B352" s="465"/>
      <c r="C352" s="452"/>
      <c r="D352" s="154" t="s">
        <v>1868</v>
      </c>
      <c r="E352" s="151" t="s">
        <v>1869</v>
      </c>
      <c r="F352" s="151" t="s">
        <v>1870</v>
      </c>
      <c r="G352" s="151">
        <v>0.11</v>
      </c>
      <c r="H352" s="148" t="s">
        <v>1871</v>
      </c>
      <c r="I352" s="151" t="s">
        <v>15</v>
      </c>
      <c r="J352" s="151" t="s">
        <v>15</v>
      </c>
      <c r="K352" s="151" t="s">
        <v>15</v>
      </c>
      <c r="L352" s="151" t="s">
        <v>15</v>
      </c>
      <c r="M352" s="151"/>
      <c r="N352" s="151">
        <v>13</v>
      </c>
      <c r="O352" s="194" t="s">
        <v>15</v>
      </c>
      <c r="P352" s="463"/>
    </row>
    <row r="353" spans="1:16" ht="90">
      <c r="A353" s="151">
        <v>14</v>
      </c>
      <c r="B353" s="465"/>
      <c r="C353" s="452"/>
      <c r="D353" s="154" t="s">
        <v>1872</v>
      </c>
      <c r="E353" s="151">
        <v>316.05</v>
      </c>
      <c r="F353" s="151" t="s">
        <v>54</v>
      </c>
      <c r="G353" s="151">
        <v>0.03</v>
      </c>
      <c r="H353" s="151" t="s">
        <v>1873</v>
      </c>
      <c r="I353" s="151" t="s">
        <v>54</v>
      </c>
      <c r="J353" s="151" t="s">
        <v>15</v>
      </c>
      <c r="K353" s="151" t="s">
        <v>15</v>
      </c>
      <c r="L353" s="151" t="s">
        <v>15</v>
      </c>
      <c r="M353" s="151"/>
      <c r="N353" s="44">
        <v>14</v>
      </c>
      <c r="O353" s="194" t="s">
        <v>1874</v>
      </c>
      <c r="P353" s="463"/>
    </row>
    <row r="354" spans="1:16" ht="90">
      <c r="A354" s="151">
        <v>15</v>
      </c>
      <c r="B354" s="466"/>
      <c r="C354" s="453"/>
      <c r="D354" s="46" t="s">
        <v>1875</v>
      </c>
      <c r="E354" s="151" t="s">
        <v>1876</v>
      </c>
      <c r="F354" s="151" t="s">
        <v>54</v>
      </c>
      <c r="G354" s="151" t="s">
        <v>1877</v>
      </c>
      <c r="H354" s="148" t="s">
        <v>43</v>
      </c>
      <c r="I354" s="151" t="s">
        <v>15</v>
      </c>
      <c r="J354" s="151" t="s">
        <v>15</v>
      </c>
      <c r="K354" s="151" t="s">
        <v>15</v>
      </c>
      <c r="L354" s="151" t="s">
        <v>15</v>
      </c>
      <c r="M354" s="151" t="s">
        <v>15</v>
      </c>
      <c r="N354" s="151">
        <v>15</v>
      </c>
      <c r="O354" s="196" t="s">
        <v>15</v>
      </c>
      <c r="P354" s="463"/>
    </row>
    <row r="355" spans="1:16">
      <c r="A355" s="407"/>
      <c r="B355" s="359"/>
      <c r="C355" s="359"/>
      <c r="D355" s="359"/>
      <c r="E355" s="359"/>
      <c r="F355" s="359"/>
      <c r="G355" s="359"/>
      <c r="H355" s="359"/>
      <c r="I355" s="359"/>
      <c r="J355" s="359"/>
      <c r="K355" s="359"/>
      <c r="L355" s="359"/>
      <c r="M355" s="359"/>
      <c r="N355" s="359"/>
      <c r="O355" s="359"/>
      <c r="P355" s="359"/>
    </row>
    <row r="356" spans="1:16" ht="20.25">
      <c r="A356" s="336" t="s">
        <v>34</v>
      </c>
      <c r="B356" s="337"/>
      <c r="C356" s="337"/>
      <c r="D356" s="337"/>
      <c r="E356" s="337"/>
      <c r="F356" s="337"/>
      <c r="G356" s="337"/>
      <c r="H356" s="337"/>
      <c r="I356" s="337"/>
      <c r="J356" s="337"/>
      <c r="K356" s="337"/>
      <c r="L356" s="337"/>
      <c r="M356" s="337"/>
      <c r="N356" s="337"/>
      <c r="O356" s="337"/>
      <c r="P356" s="337"/>
    </row>
    <row r="357" spans="1:16" ht="85.5">
      <c r="A357" s="21" t="s">
        <v>0</v>
      </c>
      <c r="B357" s="21" t="s">
        <v>116</v>
      </c>
      <c r="C357" s="21" t="s">
        <v>1</v>
      </c>
      <c r="D357" s="21" t="s">
        <v>123</v>
      </c>
      <c r="E357" s="21" t="s">
        <v>28</v>
      </c>
      <c r="F357" s="21" t="s">
        <v>18</v>
      </c>
      <c r="G357" s="21" t="s">
        <v>111</v>
      </c>
      <c r="H357" s="21" t="s">
        <v>115</v>
      </c>
      <c r="I357" s="21" t="s">
        <v>112</v>
      </c>
      <c r="J357" s="21" t="s">
        <v>5</v>
      </c>
      <c r="K357" s="21" t="s">
        <v>6</v>
      </c>
      <c r="L357" s="21" t="s">
        <v>30</v>
      </c>
      <c r="M357" s="21" t="s">
        <v>22</v>
      </c>
      <c r="N357" s="22" t="s">
        <v>32</v>
      </c>
      <c r="O357" s="22" t="s">
        <v>31</v>
      </c>
      <c r="P357" s="20" t="s">
        <v>24</v>
      </c>
    </row>
    <row r="358" spans="1:16">
      <c r="A358" s="12">
        <v>1</v>
      </c>
      <c r="B358" s="32">
        <v>2</v>
      </c>
      <c r="C358" s="32">
        <v>3</v>
      </c>
      <c r="D358" s="32">
        <v>4</v>
      </c>
      <c r="E358" s="32">
        <v>5</v>
      </c>
      <c r="F358" s="32">
        <v>6</v>
      </c>
      <c r="G358" s="32">
        <v>7</v>
      </c>
      <c r="H358" s="32">
        <v>8</v>
      </c>
      <c r="I358" s="32">
        <v>9</v>
      </c>
      <c r="J358" s="32">
        <v>10</v>
      </c>
      <c r="K358" s="32">
        <v>11</v>
      </c>
      <c r="L358" s="32">
        <v>12</v>
      </c>
      <c r="M358" s="32">
        <v>13</v>
      </c>
      <c r="N358" s="32">
        <v>14</v>
      </c>
      <c r="O358" s="33">
        <v>15</v>
      </c>
      <c r="P358" s="21">
        <v>16</v>
      </c>
    </row>
    <row r="359" spans="1:16">
      <c r="A359" s="454" t="s">
        <v>26</v>
      </c>
      <c r="B359" s="445"/>
      <c r="C359" s="445"/>
      <c r="D359" s="445"/>
      <c r="E359" s="445"/>
      <c r="F359" s="445"/>
      <c r="G359" s="445"/>
      <c r="H359" s="445"/>
      <c r="I359" s="445"/>
      <c r="J359" s="445"/>
      <c r="K359" s="445"/>
      <c r="L359" s="445"/>
      <c r="M359" s="445"/>
      <c r="N359" s="445"/>
      <c r="O359" s="445"/>
      <c r="P359" s="445"/>
    </row>
    <row r="360" spans="1:16">
      <c r="A360" s="445"/>
      <c r="B360" s="445"/>
      <c r="C360" s="445"/>
      <c r="D360" s="445"/>
      <c r="E360" s="445"/>
      <c r="F360" s="445"/>
      <c r="G360" s="445"/>
      <c r="H360" s="445"/>
      <c r="I360" s="445"/>
      <c r="J360" s="445"/>
      <c r="K360" s="445"/>
      <c r="L360" s="445"/>
      <c r="M360" s="445"/>
      <c r="N360" s="445"/>
      <c r="O360" s="445"/>
      <c r="P360" s="445"/>
    </row>
    <row r="361" spans="1:16" ht="22.5">
      <c r="A361" s="402" t="s">
        <v>184</v>
      </c>
      <c r="B361" s="403"/>
      <c r="C361" s="403"/>
      <c r="D361" s="403"/>
      <c r="E361" s="403"/>
      <c r="F361" s="403"/>
      <c r="G361" s="403"/>
      <c r="H361" s="403"/>
      <c r="I361" s="403"/>
      <c r="J361" s="403"/>
      <c r="K361" s="403"/>
      <c r="L361" s="403"/>
      <c r="M361" s="403"/>
      <c r="N361" s="403"/>
      <c r="O361" s="403"/>
      <c r="P361" s="403"/>
    </row>
    <row r="362" spans="1:16" ht="20.25">
      <c r="A362" s="400" t="s">
        <v>16</v>
      </c>
      <c r="B362" s="401"/>
      <c r="C362" s="401"/>
      <c r="D362" s="401"/>
      <c r="E362" s="401"/>
      <c r="F362" s="401"/>
      <c r="G362" s="401"/>
      <c r="H362" s="401"/>
      <c r="I362" s="401"/>
      <c r="J362" s="401"/>
      <c r="K362" s="401"/>
      <c r="L362" s="401"/>
      <c r="M362" s="401"/>
      <c r="N362" s="401"/>
      <c r="O362" s="401"/>
      <c r="P362" s="401"/>
    </row>
    <row r="363" spans="1:16" s="98" customFormat="1" ht="85.5">
      <c r="A363" s="21" t="s">
        <v>0</v>
      </c>
      <c r="B363" s="21" t="s">
        <v>119</v>
      </c>
      <c r="C363" s="21" t="s">
        <v>1</v>
      </c>
      <c r="D363" s="21" t="s">
        <v>120</v>
      </c>
      <c r="E363" s="21" t="s">
        <v>3</v>
      </c>
      <c r="F363" s="21" t="s">
        <v>4</v>
      </c>
      <c r="G363" s="21" t="s">
        <v>121</v>
      </c>
      <c r="H363" s="21" t="s">
        <v>122</v>
      </c>
      <c r="I363" s="21" t="s">
        <v>113</v>
      </c>
      <c r="J363" s="21" t="s">
        <v>5</v>
      </c>
      <c r="K363" s="21" t="s">
        <v>6</v>
      </c>
      <c r="L363" s="21" t="s">
        <v>7</v>
      </c>
      <c r="M363" s="22" t="s">
        <v>8</v>
      </c>
      <c r="N363" s="47" t="s">
        <v>9</v>
      </c>
      <c r="O363" s="48" t="s">
        <v>10</v>
      </c>
      <c r="P363" s="49" t="s">
        <v>11</v>
      </c>
    </row>
    <row r="364" spans="1:16">
      <c r="A364" s="1">
        <v>1</v>
      </c>
      <c r="B364" s="21">
        <v>2</v>
      </c>
      <c r="C364" s="21">
        <v>3</v>
      </c>
      <c r="D364" s="21">
        <v>4</v>
      </c>
      <c r="E364" s="21">
        <v>5</v>
      </c>
      <c r="F364" s="21">
        <v>6</v>
      </c>
      <c r="G364" s="21">
        <v>7</v>
      </c>
      <c r="H364" s="21">
        <v>8</v>
      </c>
      <c r="I364" s="21">
        <v>9</v>
      </c>
      <c r="J364" s="21">
        <v>10</v>
      </c>
      <c r="K364" s="21">
        <v>11</v>
      </c>
      <c r="L364" s="21">
        <v>12</v>
      </c>
      <c r="M364" s="21">
        <v>13</v>
      </c>
      <c r="N364" s="21">
        <v>14</v>
      </c>
      <c r="O364" s="48">
        <v>15</v>
      </c>
      <c r="P364" s="21">
        <v>16</v>
      </c>
    </row>
    <row r="365" spans="1:16">
      <c r="A365" s="96"/>
      <c r="B365" s="97"/>
      <c r="C365" s="422" t="s">
        <v>26</v>
      </c>
      <c r="D365" s="423"/>
      <c r="E365" s="423"/>
      <c r="F365" s="423"/>
      <c r="G365" s="423"/>
      <c r="H365" s="423"/>
      <c r="I365" s="423"/>
      <c r="J365" s="423"/>
      <c r="K365" s="423"/>
      <c r="L365" s="423"/>
      <c r="M365" s="423"/>
      <c r="N365" s="423"/>
      <c r="O365" s="423"/>
      <c r="P365" s="424"/>
    </row>
    <row r="366" spans="1:16">
      <c r="A366" s="456"/>
      <c r="B366" s="457"/>
      <c r="C366" s="457"/>
      <c r="D366" s="457"/>
      <c r="E366" s="457"/>
      <c r="F366" s="457"/>
      <c r="G366" s="457"/>
      <c r="H366" s="457"/>
      <c r="I366" s="457"/>
      <c r="J366" s="457"/>
      <c r="K366" s="457"/>
      <c r="L366" s="457"/>
      <c r="M366" s="457"/>
      <c r="N366" s="457"/>
      <c r="O366" s="457"/>
      <c r="P366" s="458"/>
    </row>
    <row r="367" spans="1:16" ht="20.25" customHeight="1">
      <c r="A367" s="406" t="s">
        <v>27</v>
      </c>
      <c r="B367" s="406"/>
      <c r="C367" s="406"/>
      <c r="D367" s="406"/>
      <c r="E367" s="406"/>
      <c r="F367" s="406"/>
      <c r="G367" s="406"/>
      <c r="H367" s="406"/>
      <c r="I367" s="406"/>
      <c r="J367" s="406"/>
      <c r="K367" s="406"/>
      <c r="L367" s="406"/>
      <c r="M367" s="406"/>
      <c r="N367" s="406"/>
      <c r="O367" s="406"/>
      <c r="P367" s="455"/>
    </row>
    <row r="368" spans="1:16" s="54" customFormat="1" ht="85.5">
      <c r="A368" s="21" t="s">
        <v>0</v>
      </c>
      <c r="B368" s="21" t="s">
        <v>116</v>
      </c>
      <c r="C368" s="21" t="s">
        <v>1</v>
      </c>
      <c r="D368" s="21" t="s">
        <v>123</v>
      </c>
      <c r="E368" s="22" t="s">
        <v>17</v>
      </c>
      <c r="F368" s="22" t="s">
        <v>18</v>
      </c>
      <c r="G368" s="21" t="s">
        <v>114</v>
      </c>
      <c r="H368" s="21" t="s">
        <v>115</v>
      </c>
      <c r="I368" s="21" t="s">
        <v>117</v>
      </c>
      <c r="J368" s="21" t="s">
        <v>5</v>
      </c>
      <c r="K368" s="21" t="s">
        <v>6</v>
      </c>
      <c r="L368" s="21" t="s">
        <v>21</v>
      </c>
      <c r="M368" s="21" t="s">
        <v>22</v>
      </c>
      <c r="N368" s="22" t="s">
        <v>23</v>
      </c>
      <c r="O368" s="20" t="s">
        <v>24</v>
      </c>
      <c r="P368" s="455"/>
    </row>
    <row r="369" spans="1:16" s="54" customFormat="1">
      <c r="A369" s="94">
        <v>1</v>
      </c>
      <c r="B369" s="88">
        <v>2</v>
      </c>
      <c r="C369" s="88">
        <v>3</v>
      </c>
      <c r="D369" s="88">
        <v>4</v>
      </c>
      <c r="E369" s="88">
        <v>5</v>
      </c>
      <c r="F369" s="88">
        <v>6</v>
      </c>
      <c r="G369" s="88">
        <v>7</v>
      </c>
      <c r="H369" s="88">
        <v>8</v>
      </c>
      <c r="I369" s="88">
        <v>9</v>
      </c>
      <c r="J369" s="88">
        <v>10</v>
      </c>
      <c r="K369" s="88">
        <v>11</v>
      </c>
      <c r="L369" s="88">
        <v>12</v>
      </c>
      <c r="M369" s="88">
        <v>13</v>
      </c>
      <c r="N369" s="88">
        <v>14</v>
      </c>
      <c r="O369" s="88">
        <v>15</v>
      </c>
      <c r="P369" s="455"/>
    </row>
    <row r="370" spans="1:16" s="54" customFormat="1">
      <c r="A370" s="344">
        <v>1</v>
      </c>
      <c r="B370" s="376" t="s">
        <v>584</v>
      </c>
      <c r="C370" s="376" t="s">
        <v>585</v>
      </c>
      <c r="D370" s="376" t="s">
        <v>586</v>
      </c>
      <c r="E370" s="348" t="s">
        <v>587</v>
      </c>
      <c r="F370" s="348">
        <v>1998</v>
      </c>
      <c r="G370" s="348" t="s">
        <v>588</v>
      </c>
      <c r="H370" s="348" t="s">
        <v>589</v>
      </c>
      <c r="I370" s="348" t="s">
        <v>55</v>
      </c>
      <c r="J370" s="348" t="s">
        <v>590</v>
      </c>
      <c r="K370" s="348" t="s">
        <v>591</v>
      </c>
      <c r="L370" s="348" t="s">
        <v>26</v>
      </c>
      <c r="M370" s="348" t="s">
        <v>12</v>
      </c>
      <c r="N370" s="348">
        <v>1</v>
      </c>
      <c r="O370" s="425"/>
      <c r="P370" s="455"/>
    </row>
    <row r="371" spans="1:16" s="54" customFormat="1">
      <c r="A371" s="344"/>
      <c r="B371" s="376"/>
      <c r="C371" s="376"/>
      <c r="D371" s="376"/>
      <c r="E371" s="348"/>
      <c r="F371" s="348"/>
      <c r="G371" s="348"/>
      <c r="H371" s="348"/>
      <c r="I371" s="348"/>
      <c r="J371" s="348"/>
      <c r="K371" s="348"/>
      <c r="L371" s="348"/>
      <c r="M371" s="348"/>
      <c r="N371" s="348"/>
      <c r="O371" s="425"/>
      <c r="P371" s="455"/>
    </row>
    <row r="372" spans="1:16" s="54" customFormat="1" ht="20.25" customHeight="1">
      <c r="A372" s="406" t="s">
        <v>33</v>
      </c>
      <c r="B372" s="406"/>
      <c r="C372" s="406"/>
      <c r="D372" s="406"/>
      <c r="E372" s="406"/>
      <c r="F372" s="406"/>
      <c r="G372" s="406"/>
      <c r="H372" s="406"/>
      <c r="I372" s="406"/>
      <c r="J372" s="406"/>
      <c r="K372" s="406"/>
      <c r="L372" s="406"/>
      <c r="M372" s="406"/>
      <c r="N372" s="406"/>
      <c r="O372" s="406"/>
      <c r="P372" s="455"/>
    </row>
    <row r="373" spans="1:16" s="54" customFormat="1" ht="85.5">
      <c r="A373" s="21" t="s">
        <v>0</v>
      </c>
      <c r="B373" s="21" t="s">
        <v>116</v>
      </c>
      <c r="C373" s="21" t="s">
        <v>1</v>
      </c>
      <c r="D373" s="21" t="s">
        <v>123</v>
      </c>
      <c r="E373" s="21" t="s">
        <v>28</v>
      </c>
      <c r="F373" s="21" t="s">
        <v>18</v>
      </c>
      <c r="G373" s="21" t="s">
        <v>118</v>
      </c>
      <c r="H373" s="21" t="s">
        <v>115</v>
      </c>
      <c r="I373" s="21" t="s">
        <v>112</v>
      </c>
      <c r="J373" s="21" t="s">
        <v>5</v>
      </c>
      <c r="K373" s="21" t="s">
        <v>6</v>
      </c>
      <c r="L373" s="21" t="s">
        <v>30</v>
      </c>
      <c r="M373" s="21" t="s">
        <v>22</v>
      </c>
      <c r="N373" s="22" t="s">
        <v>31</v>
      </c>
      <c r="O373" s="49" t="s">
        <v>11</v>
      </c>
      <c r="P373" s="455"/>
    </row>
    <row r="374" spans="1:16">
      <c r="A374" s="94">
        <v>1</v>
      </c>
      <c r="B374" s="88">
        <v>2</v>
      </c>
      <c r="C374" s="88">
        <v>3</v>
      </c>
      <c r="D374" s="88">
        <v>4</v>
      </c>
      <c r="E374" s="88">
        <v>5</v>
      </c>
      <c r="F374" s="88">
        <v>6</v>
      </c>
      <c r="G374" s="88">
        <v>7</v>
      </c>
      <c r="H374" s="88">
        <v>8</v>
      </c>
      <c r="I374" s="88">
        <v>9</v>
      </c>
      <c r="J374" s="88">
        <v>10</v>
      </c>
      <c r="K374" s="88">
        <v>11</v>
      </c>
      <c r="L374" s="88">
        <v>12</v>
      </c>
      <c r="M374" s="88">
        <v>13</v>
      </c>
      <c r="N374" s="82">
        <v>14</v>
      </c>
      <c r="O374" s="88">
        <v>15</v>
      </c>
      <c r="P374" s="455"/>
    </row>
    <row r="375" spans="1:16" ht="45">
      <c r="A375" s="160">
        <v>1</v>
      </c>
      <c r="B375" s="29" t="s">
        <v>584</v>
      </c>
      <c r="C375" s="29" t="s">
        <v>585</v>
      </c>
      <c r="D375" s="29" t="s">
        <v>592</v>
      </c>
      <c r="E375" s="160" t="s">
        <v>593</v>
      </c>
      <c r="F375" s="160">
        <v>1998</v>
      </c>
      <c r="G375" s="167" t="s">
        <v>12</v>
      </c>
      <c r="H375" s="167" t="s">
        <v>589</v>
      </c>
      <c r="I375" s="167" t="s">
        <v>55</v>
      </c>
      <c r="J375" s="200" t="s">
        <v>2141</v>
      </c>
      <c r="K375" s="167" t="s">
        <v>589</v>
      </c>
      <c r="L375" s="167" t="s">
        <v>41</v>
      </c>
      <c r="M375" s="167" t="s">
        <v>12</v>
      </c>
      <c r="N375" s="167">
        <v>2</v>
      </c>
      <c r="O375" s="150"/>
      <c r="P375" s="455"/>
    </row>
    <row r="376" spans="1:16" s="10" customFormat="1" ht="40.5" customHeight="1">
      <c r="A376" s="198"/>
      <c r="B376" s="199" t="s">
        <v>1906</v>
      </c>
      <c r="C376" s="448" t="s">
        <v>590</v>
      </c>
      <c r="D376" s="449"/>
      <c r="E376" s="449"/>
      <c r="F376" s="449"/>
      <c r="G376" s="449"/>
      <c r="H376" s="449"/>
      <c r="I376" s="449"/>
      <c r="J376" s="449"/>
      <c r="K376" s="449"/>
      <c r="L376" s="449"/>
      <c r="M376" s="449"/>
      <c r="N376" s="449"/>
      <c r="O376" s="450"/>
      <c r="P376" s="455"/>
    </row>
    <row r="377" spans="1:16" s="10" customFormat="1" ht="20.25">
      <c r="A377" s="400" t="s">
        <v>34</v>
      </c>
      <c r="B377" s="401"/>
      <c r="C377" s="401"/>
      <c r="D377" s="401"/>
      <c r="E377" s="401"/>
      <c r="F377" s="401"/>
      <c r="G377" s="401"/>
      <c r="H377" s="401"/>
      <c r="I377" s="401"/>
      <c r="J377" s="401"/>
      <c r="K377" s="401"/>
      <c r="L377" s="401"/>
      <c r="M377" s="401"/>
      <c r="N377" s="401"/>
      <c r="O377" s="401"/>
      <c r="P377" s="401"/>
    </row>
    <row r="378" spans="1:16" ht="85.5">
      <c r="A378" s="21" t="s">
        <v>0</v>
      </c>
      <c r="B378" s="21" t="s">
        <v>116</v>
      </c>
      <c r="C378" s="21" t="s">
        <v>1</v>
      </c>
      <c r="D378" s="21" t="s">
        <v>123</v>
      </c>
      <c r="E378" s="21" t="s">
        <v>28</v>
      </c>
      <c r="F378" s="21" t="s">
        <v>18</v>
      </c>
      <c r="G378" s="21" t="s">
        <v>111</v>
      </c>
      <c r="H378" s="21" t="s">
        <v>115</v>
      </c>
      <c r="I378" s="21" t="s">
        <v>112</v>
      </c>
      <c r="J378" s="21" t="s">
        <v>5</v>
      </c>
      <c r="K378" s="21" t="s">
        <v>6</v>
      </c>
      <c r="L378" s="21" t="s">
        <v>30</v>
      </c>
      <c r="M378" s="21" t="s">
        <v>22</v>
      </c>
      <c r="N378" s="22" t="s">
        <v>32</v>
      </c>
      <c r="O378" s="22" t="s">
        <v>31</v>
      </c>
      <c r="P378" s="20" t="s">
        <v>24</v>
      </c>
    </row>
    <row r="379" spans="1:16">
      <c r="A379" s="94">
        <v>1</v>
      </c>
      <c r="B379" s="88">
        <v>2</v>
      </c>
      <c r="C379" s="88">
        <v>3</v>
      </c>
      <c r="D379" s="88">
        <v>4</v>
      </c>
      <c r="E379" s="88">
        <v>5</v>
      </c>
      <c r="F379" s="88">
        <v>6</v>
      </c>
      <c r="G379" s="88">
        <v>7</v>
      </c>
      <c r="H379" s="88">
        <v>8</v>
      </c>
      <c r="I379" s="88">
        <v>9</v>
      </c>
      <c r="J379" s="88">
        <v>10</v>
      </c>
      <c r="K379" s="88">
        <v>11</v>
      </c>
      <c r="L379" s="88">
        <v>12</v>
      </c>
      <c r="M379" s="88">
        <v>13</v>
      </c>
      <c r="N379" s="88">
        <v>14</v>
      </c>
      <c r="O379" s="82">
        <v>15</v>
      </c>
      <c r="P379" s="89">
        <v>16</v>
      </c>
    </row>
    <row r="380" spans="1:16" ht="45">
      <c r="A380" s="148">
        <v>1</v>
      </c>
      <c r="B380" s="340" t="s">
        <v>584</v>
      </c>
      <c r="C380" s="340" t="s">
        <v>585</v>
      </c>
      <c r="D380" s="146" t="s">
        <v>586</v>
      </c>
      <c r="E380" s="148" t="s">
        <v>587</v>
      </c>
      <c r="F380" s="148">
        <v>1988</v>
      </c>
      <c r="G380" s="148" t="s">
        <v>12</v>
      </c>
      <c r="H380" s="148" t="s">
        <v>589</v>
      </c>
      <c r="I380" s="148" t="s">
        <v>55</v>
      </c>
      <c r="J380" s="213" t="s">
        <v>1906</v>
      </c>
      <c r="K380" s="148" t="s">
        <v>589</v>
      </c>
      <c r="L380" s="148" t="s">
        <v>41</v>
      </c>
      <c r="M380" s="148" t="s">
        <v>12</v>
      </c>
      <c r="N380" s="148">
        <v>1</v>
      </c>
      <c r="O380" s="148" t="s">
        <v>12</v>
      </c>
      <c r="P380" s="148"/>
    </row>
    <row r="381" spans="1:16">
      <c r="A381" s="348">
        <v>2</v>
      </c>
      <c r="B381" s="341"/>
      <c r="C381" s="341"/>
      <c r="D381" s="376" t="s">
        <v>594</v>
      </c>
      <c r="E381" s="348" t="s">
        <v>593</v>
      </c>
      <c r="F381" s="348">
        <v>1998</v>
      </c>
      <c r="G381" s="348" t="s">
        <v>12</v>
      </c>
      <c r="H381" s="348" t="s">
        <v>589</v>
      </c>
      <c r="I381" s="348" t="s">
        <v>55</v>
      </c>
      <c r="J381" s="404" t="s">
        <v>1906</v>
      </c>
      <c r="K381" s="348" t="s">
        <v>589</v>
      </c>
      <c r="L381" s="348" t="s">
        <v>41</v>
      </c>
      <c r="M381" s="348" t="s">
        <v>12</v>
      </c>
      <c r="N381" s="348" t="s">
        <v>12</v>
      </c>
      <c r="O381" s="348">
        <v>1</v>
      </c>
      <c r="P381" s="348"/>
    </row>
    <row r="382" spans="1:16">
      <c r="A382" s="348"/>
      <c r="B382" s="341"/>
      <c r="C382" s="341"/>
      <c r="D382" s="376"/>
      <c r="E382" s="348"/>
      <c r="F382" s="348"/>
      <c r="G382" s="348"/>
      <c r="H382" s="348"/>
      <c r="I382" s="348"/>
      <c r="J382" s="404"/>
      <c r="K382" s="348"/>
      <c r="L382" s="348"/>
      <c r="M382" s="348"/>
      <c r="N382" s="348"/>
      <c r="O382" s="348"/>
      <c r="P382" s="348"/>
    </row>
    <row r="383" spans="1:16">
      <c r="A383" s="348"/>
      <c r="B383" s="341"/>
      <c r="C383" s="341"/>
      <c r="D383" s="376"/>
      <c r="E383" s="348"/>
      <c r="F383" s="348"/>
      <c r="G383" s="348"/>
      <c r="H383" s="348"/>
      <c r="I383" s="348"/>
      <c r="J383" s="404"/>
      <c r="K383" s="348"/>
      <c r="L383" s="348"/>
      <c r="M383" s="348"/>
      <c r="N383" s="348"/>
      <c r="O383" s="348"/>
      <c r="P383" s="348"/>
    </row>
    <row r="384" spans="1:16" ht="37.5" customHeight="1">
      <c r="A384" s="147"/>
      <c r="B384" s="201" t="s">
        <v>1906</v>
      </c>
      <c r="C384" s="426" t="s">
        <v>590</v>
      </c>
      <c r="D384" s="426"/>
      <c r="E384" s="426"/>
      <c r="F384" s="426"/>
      <c r="G384" s="426"/>
      <c r="H384" s="426"/>
      <c r="I384" s="426"/>
      <c r="J384" s="426"/>
      <c r="K384" s="426"/>
      <c r="L384" s="426"/>
      <c r="M384" s="426"/>
      <c r="N384" s="426"/>
      <c r="O384" s="426"/>
      <c r="P384" s="426"/>
    </row>
    <row r="385" spans="1:16">
      <c r="A385" s="427"/>
      <c r="B385" s="427"/>
      <c r="C385" s="427"/>
      <c r="D385" s="427"/>
      <c r="E385" s="427"/>
      <c r="F385" s="427"/>
      <c r="G385" s="427"/>
      <c r="H385" s="427"/>
      <c r="I385" s="427"/>
      <c r="J385" s="427"/>
      <c r="K385" s="427"/>
      <c r="L385" s="427"/>
      <c r="M385" s="427"/>
      <c r="N385" s="427"/>
      <c r="O385" s="427"/>
      <c r="P385" s="428"/>
    </row>
    <row r="386" spans="1:16" ht="22.5">
      <c r="A386" s="402" t="s">
        <v>185</v>
      </c>
      <c r="B386" s="403"/>
      <c r="C386" s="403"/>
      <c r="D386" s="403"/>
      <c r="E386" s="403"/>
      <c r="F386" s="403"/>
      <c r="G386" s="403"/>
      <c r="H386" s="403"/>
      <c r="I386" s="403"/>
      <c r="J386" s="403"/>
      <c r="K386" s="403"/>
      <c r="L386" s="403"/>
      <c r="M386" s="403"/>
      <c r="N386" s="403"/>
      <c r="O386" s="403"/>
      <c r="P386" s="403"/>
    </row>
    <row r="387" spans="1:16" ht="20.25">
      <c r="A387" s="400" t="s">
        <v>16</v>
      </c>
      <c r="B387" s="401"/>
      <c r="C387" s="401"/>
      <c r="D387" s="401"/>
      <c r="E387" s="401"/>
      <c r="F387" s="401"/>
      <c r="G387" s="401"/>
      <c r="H387" s="401"/>
      <c r="I387" s="401"/>
      <c r="J387" s="401"/>
      <c r="K387" s="401"/>
      <c r="L387" s="401"/>
      <c r="M387" s="401"/>
      <c r="N387" s="401"/>
      <c r="O387" s="401"/>
      <c r="P387" s="401"/>
    </row>
    <row r="388" spans="1:16" ht="85.5">
      <c r="A388" s="21" t="s">
        <v>0</v>
      </c>
      <c r="B388" s="21" t="s">
        <v>119</v>
      </c>
      <c r="C388" s="21" t="s">
        <v>1</v>
      </c>
      <c r="D388" s="21" t="s">
        <v>120</v>
      </c>
      <c r="E388" s="21" t="s">
        <v>3</v>
      </c>
      <c r="F388" s="21" t="s">
        <v>4</v>
      </c>
      <c r="G388" s="21" t="s">
        <v>121</v>
      </c>
      <c r="H388" s="21" t="s">
        <v>122</v>
      </c>
      <c r="I388" s="21" t="s">
        <v>113</v>
      </c>
      <c r="J388" s="21" t="s">
        <v>5</v>
      </c>
      <c r="K388" s="21" t="s">
        <v>6</v>
      </c>
      <c r="L388" s="21" t="s">
        <v>7</v>
      </c>
      <c r="M388" s="22" t="s">
        <v>8</v>
      </c>
      <c r="N388" s="47" t="s">
        <v>9</v>
      </c>
      <c r="O388" s="48" t="s">
        <v>10</v>
      </c>
      <c r="P388" s="49" t="s">
        <v>11</v>
      </c>
    </row>
    <row r="389" spans="1:16">
      <c r="A389" s="1">
        <v>1</v>
      </c>
      <c r="B389" s="21">
        <v>2</v>
      </c>
      <c r="C389" s="21">
        <v>3</v>
      </c>
      <c r="D389" s="21">
        <v>4</v>
      </c>
      <c r="E389" s="21">
        <v>5</v>
      </c>
      <c r="F389" s="21">
        <v>6</v>
      </c>
      <c r="G389" s="21">
        <v>7</v>
      </c>
      <c r="H389" s="21">
        <v>8</v>
      </c>
      <c r="I389" s="21">
        <v>9</v>
      </c>
      <c r="J389" s="21">
        <v>10</v>
      </c>
      <c r="K389" s="21">
        <v>11</v>
      </c>
      <c r="L389" s="21">
        <v>12</v>
      </c>
      <c r="M389" s="21">
        <v>13</v>
      </c>
      <c r="N389" s="21">
        <v>14</v>
      </c>
      <c r="O389" s="48">
        <v>15</v>
      </c>
      <c r="P389" s="21">
        <v>16</v>
      </c>
    </row>
    <row r="390" spans="1:16" ht="60">
      <c r="A390" s="65">
        <v>1</v>
      </c>
      <c r="B390" s="405" t="s">
        <v>2142</v>
      </c>
      <c r="C390" s="405" t="s">
        <v>595</v>
      </c>
      <c r="D390" s="127" t="s">
        <v>2149</v>
      </c>
      <c r="E390" s="65">
        <v>2023</v>
      </c>
      <c r="F390" s="65" t="s">
        <v>43</v>
      </c>
      <c r="G390" s="65" t="s">
        <v>597</v>
      </c>
      <c r="H390" s="65" t="s">
        <v>15</v>
      </c>
      <c r="I390" s="65" t="s">
        <v>598</v>
      </c>
      <c r="J390" s="65" t="s">
        <v>15</v>
      </c>
      <c r="K390" s="65" t="s">
        <v>15</v>
      </c>
      <c r="L390" s="65" t="s">
        <v>599</v>
      </c>
      <c r="M390" s="148" t="s">
        <v>14</v>
      </c>
      <c r="N390" s="65" t="s">
        <v>15</v>
      </c>
      <c r="O390" s="156" t="s">
        <v>12</v>
      </c>
    </row>
    <row r="391" spans="1:16" ht="75">
      <c r="A391" s="158">
        <v>2</v>
      </c>
      <c r="B391" s="405"/>
      <c r="C391" s="405"/>
      <c r="D391" s="207" t="s">
        <v>2148</v>
      </c>
      <c r="E391" s="158">
        <v>3500</v>
      </c>
      <c r="F391" s="43" t="s">
        <v>15</v>
      </c>
      <c r="G391" s="43" t="s">
        <v>15</v>
      </c>
      <c r="H391" s="43" t="s">
        <v>15</v>
      </c>
      <c r="I391" s="43" t="s">
        <v>602</v>
      </c>
      <c r="J391" s="43" t="s">
        <v>15</v>
      </c>
      <c r="K391" s="43" t="s">
        <v>15</v>
      </c>
      <c r="L391" s="43" t="s">
        <v>15</v>
      </c>
      <c r="M391" s="148" t="s">
        <v>14</v>
      </c>
      <c r="N391" s="43" t="s">
        <v>15</v>
      </c>
      <c r="O391" s="156" t="s">
        <v>12</v>
      </c>
    </row>
    <row r="392" spans="1:16" ht="60">
      <c r="A392" s="40">
        <v>3</v>
      </c>
      <c r="B392" s="405"/>
      <c r="C392" s="405"/>
      <c r="D392" s="209" t="s">
        <v>604</v>
      </c>
      <c r="E392" s="40">
        <v>201</v>
      </c>
      <c r="F392" s="40" t="s">
        <v>13</v>
      </c>
      <c r="G392" s="40" t="s">
        <v>13</v>
      </c>
      <c r="H392" s="43" t="s">
        <v>15</v>
      </c>
      <c r="I392" s="40" t="s">
        <v>605</v>
      </c>
      <c r="J392" s="43" t="s">
        <v>15</v>
      </c>
      <c r="K392" s="40" t="s">
        <v>606</v>
      </c>
      <c r="L392" s="43" t="s">
        <v>15</v>
      </c>
      <c r="M392" s="148" t="s">
        <v>14</v>
      </c>
      <c r="N392" s="40" t="s">
        <v>13</v>
      </c>
      <c r="O392" s="156" t="s">
        <v>12</v>
      </c>
    </row>
    <row r="393" spans="1:16" ht="45">
      <c r="A393" s="148">
        <v>4</v>
      </c>
      <c r="B393" s="405"/>
      <c r="C393" s="405"/>
      <c r="D393" s="165" t="s">
        <v>607</v>
      </c>
      <c r="E393" s="148">
        <v>190</v>
      </c>
      <c r="F393" s="148" t="s">
        <v>608</v>
      </c>
      <c r="G393" s="148" t="s">
        <v>608</v>
      </c>
      <c r="H393" s="148" t="s">
        <v>609</v>
      </c>
      <c r="I393" s="148" t="s">
        <v>610</v>
      </c>
      <c r="J393" s="148" t="s">
        <v>12</v>
      </c>
      <c r="K393" s="148" t="s">
        <v>12</v>
      </c>
      <c r="L393" s="148" t="s">
        <v>12</v>
      </c>
      <c r="M393" s="148" t="s">
        <v>14</v>
      </c>
      <c r="N393" s="148" t="s">
        <v>611</v>
      </c>
      <c r="O393" s="156" t="s">
        <v>12</v>
      </c>
    </row>
    <row r="394" spans="1:16" ht="45">
      <c r="A394" s="148">
        <v>5</v>
      </c>
      <c r="B394" s="405"/>
      <c r="C394" s="405"/>
      <c r="D394" s="165" t="s">
        <v>612</v>
      </c>
      <c r="E394" s="148">
        <v>714</v>
      </c>
      <c r="F394" s="172">
        <v>15363</v>
      </c>
      <c r="G394" s="148">
        <v>8.1500000000000003E-2</v>
      </c>
      <c r="H394" s="148" t="s">
        <v>613</v>
      </c>
      <c r="I394" s="148" t="s">
        <v>614</v>
      </c>
      <c r="J394" s="148" t="s">
        <v>12</v>
      </c>
      <c r="K394" s="148" t="s">
        <v>12</v>
      </c>
      <c r="L394" s="148" t="s">
        <v>12</v>
      </c>
      <c r="M394" s="148" t="s">
        <v>14</v>
      </c>
      <c r="N394" s="148" t="s">
        <v>615</v>
      </c>
      <c r="O394" s="156" t="s">
        <v>12</v>
      </c>
    </row>
    <row r="395" spans="1:16" ht="90">
      <c r="A395" s="148">
        <v>6</v>
      </c>
      <c r="B395" s="405"/>
      <c r="C395" s="405"/>
      <c r="D395" s="165" t="s">
        <v>616</v>
      </c>
      <c r="E395" s="148">
        <v>500</v>
      </c>
      <c r="F395" s="172">
        <v>14276</v>
      </c>
      <c r="G395" s="148">
        <v>7.1499999999999994E-2</v>
      </c>
      <c r="H395" s="148" t="s">
        <v>617</v>
      </c>
      <c r="I395" s="148" t="s">
        <v>614</v>
      </c>
      <c r="J395" s="148" t="s">
        <v>12</v>
      </c>
      <c r="K395" s="148" t="s">
        <v>12</v>
      </c>
      <c r="L395" s="148" t="s">
        <v>618</v>
      </c>
      <c r="M395" s="148" t="s">
        <v>14</v>
      </c>
      <c r="N395" s="148" t="s">
        <v>619</v>
      </c>
      <c r="O395" s="156" t="s">
        <v>12</v>
      </c>
    </row>
    <row r="396" spans="1:16" ht="75">
      <c r="A396" s="148">
        <v>7</v>
      </c>
      <c r="B396" s="405"/>
      <c r="C396" s="405"/>
      <c r="D396" s="165" t="s">
        <v>616</v>
      </c>
      <c r="E396" s="148">
        <v>1870</v>
      </c>
      <c r="F396" s="172" t="s">
        <v>608</v>
      </c>
      <c r="G396" s="148" t="s">
        <v>608</v>
      </c>
      <c r="H396" s="148" t="s">
        <v>620</v>
      </c>
      <c r="I396" s="148" t="s">
        <v>614</v>
      </c>
      <c r="J396" s="148" t="s">
        <v>12</v>
      </c>
      <c r="K396" s="148" t="s">
        <v>12</v>
      </c>
      <c r="L396" s="148" t="s">
        <v>12</v>
      </c>
      <c r="M396" s="148" t="s">
        <v>14</v>
      </c>
      <c r="N396" s="148" t="s">
        <v>621</v>
      </c>
      <c r="O396" s="156" t="s">
        <v>12</v>
      </c>
    </row>
    <row r="397" spans="1:16" ht="75">
      <c r="A397" s="148">
        <v>8</v>
      </c>
      <c r="B397" s="405"/>
      <c r="C397" s="405"/>
      <c r="D397" s="165" t="s">
        <v>616</v>
      </c>
      <c r="E397" s="148">
        <v>6600</v>
      </c>
      <c r="F397" s="172">
        <v>14276</v>
      </c>
      <c r="G397" s="148" t="s">
        <v>608</v>
      </c>
      <c r="H397" s="148" t="s">
        <v>622</v>
      </c>
      <c r="I397" s="148" t="s">
        <v>614</v>
      </c>
      <c r="J397" s="148" t="s">
        <v>12</v>
      </c>
      <c r="K397" s="148" t="s">
        <v>12</v>
      </c>
      <c r="L397" s="148" t="s">
        <v>12</v>
      </c>
      <c r="M397" s="148" t="s">
        <v>14</v>
      </c>
      <c r="N397" s="148" t="s">
        <v>621</v>
      </c>
      <c r="O397" s="156" t="s">
        <v>12</v>
      </c>
    </row>
    <row r="398" spans="1:16" ht="45">
      <c r="A398" s="160">
        <v>9</v>
      </c>
      <c r="B398" s="405"/>
      <c r="C398" s="405"/>
      <c r="D398" s="29" t="s">
        <v>624</v>
      </c>
      <c r="E398" s="160">
        <v>1200</v>
      </c>
      <c r="F398" s="160" t="s">
        <v>625</v>
      </c>
      <c r="G398" s="120">
        <v>0.86</v>
      </c>
      <c r="H398" s="120" t="s">
        <v>49</v>
      </c>
      <c r="I398" s="120" t="s">
        <v>49</v>
      </c>
      <c r="J398" s="120" t="s">
        <v>49</v>
      </c>
      <c r="K398" s="120" t="s">
        <v>49</v>
      </c>
      <c r="L398" s="120" t="s">
        <v>49</v>
      </c>
      <c r="M398" s="148" t="s">
        <v>14</v>
      </c>
      <c r="N398" s="148" t="s">
        <v>626</v>
      </c>
      <c r="O398" s="156" t="s">
        <v>12</v>
      </c>
    </row>
    <row r="399" spans="1:16" ht="45">
      <c r="A399" s="160">
        <v>10</v>
      </c>
      <c r="B399" s="405"/>
      <c r="C399" s="405"/>
      <c r="D399" s="29" t="s">
        <v>627</v>
      </c>
      <c r="E399" s="160">
        <v>2600</v>
      </c>
      <c r="F399" s="160" t="s">
        <v>625</v>
      </c>
      <c r="G399" s="160">
        <v>0.78</v>
      </c>
      <c r="H399" s="120" t="s">
        <v>49</v>
      </c>
      <c r="I399" s="120" t="s">
        <v>49</v>
      </c>
      <c r="J399" s="120" t="s">
        <v>49</v>
      </c>
      <c r="K399" s="120" t="s">
        <v>49</v>
      </c>
      <c r="L399" s="120" t="s">
        <v>49</v>
      </c>
      <c r="M399" s="148" t="s">
        <v>14</v>
      </c>
      <c r="N399" s="148" t="s">
        <v>626</v>
      </c>
      <c r="O399" s="156" t="s">
        <v>12</v>
      </c>
    </row>
    <row r="400" spans="1:16" ht="75">
      <c r="A400" s="160">
        <v>11</v>
      </c>
      <c r="B400" s="405"/>
      <c r="C400" s="405"/>
      <c r="D400" s="29" t="s">
        <v>628</v>
      </c>
      <c r="E400" s="160">
        <v>9700</v>
      </c>
      <c r="F400" s="160" t="s">
        <v>629</v>
      </c>
      <c r="G400" s="160">
        <v>8747</v>
      </c>
      <c r="H400" s="120" t="s">
        <v>49</v>
      </c>
      <c r="I400" s="120" t="s">
        <v>49</v>
      </c>
      <c r="J400" s="120" t="s">
        <v>49</v>
      </c>
      <c r="K400" s="120" t="s">
        <v>49</v>
      </c>
      <c r="L400" s="120" t="s">
        <v>49</v>
      </c>
      <c r="M400" s="148" t="s">
        <v>14</v>
      </c>
      <c r="N400" s="148" t="s">
        <v>626</v>
      </c>
      <c r="O400" s="156" t="s">
        <v>12</v>
      </c>
    </row>
    <row r="401" spans="1:15" ht="60">
      <c r="A401" s="160">
        <v>12</v>
      </c>
      <c r="B401" s="405"/>
      <c r="C401" s="405"/>
      <c r="D401" s="29" t="s">
        <v>630</v>
      </c>
      <c r="E401" s="160">
        <v>5500</v>
      </c>
      <c r="F401" s="160" t="s">
        <v>631</v>
      </c>
      <c r="G401" s="160">
        <v>5940</v>
      </c>
      <c r="H401" s="120" t="s">
        <v>49</v>
      </c>
      <c r="I401" s="120" t="s">
        <v>49</v>
      </c>
      <c r="J401" s="120" t="s">
        <v>49</v>
      </c>
      <c r="K401" s="120" t="s">
        <v>49</v>
      </c>
      <c r="L401" s="120" t="s">
        <v>49</v>
      </c>
      <c r="M401" s="148" t="s">
        <v>14</v>
      </c>
      <c r="N401" s="148" t="s">
        <v>626</v>
      </c>
      <c r="O401" s="156" t="s">
        <v>12</v>
      </c>
    </row>
    <row r="402" spans="1:15" ht="75">
      <c r="A402" s="160">
        <v>13</v>
      </c>
      <c r="B402" s="405"/>
      <c r="C402" s="405"/>
      <c r="D402" s="29" t="s">
        <v>632</v>
      </c>
      <c r="E402" s="160">
        <v>2630</v>
      </c>
      <c r="F402" s="160" t="s">
        <v>629</v>
      </c>
      <c r="G402" s="160">
        <v>2630</v>
      </c>
      <c r="H402" s="120" t="s">
        <v>49</v>
      </c>
      <c r="I402" s="120" t="s">
        <v>49</v>
      </c>
      <c r="J402" s="120" t="s">
        <v>49</v>
      </c>
      <c r="K402" s="120" t="s">
        <v>49</v>
      </c>
      <c r="L402" s="120" t="s">
        <v>49</v>
      </c>
      <c r="M402" s="148" t="s">
        <v>14</v>
      </c>
      <c r="N402" s="148" t="s">
        <v>626</v>
      </c>
      <c r="O402" s="156" t="s">
        <v>12</v>
      </c>
    </row>
    <row r="403" spans="1:15" ht="45">
      <c r="A403" s="160">
        <v>14</v>
      </c>
      <c r="B403" s="405"/>
      <c r="C403" s="405"/>
      <c r="D403" s="29" t="s">
        <v>633</v>
      </c>
      <c r="E403" s="160">
        <v>2020</v>
      </c>
      <c r="F403" s="160" t="s">
        <v>634</v>
      </c>
      <c r="G403" s="160">
        <v>2094</v>
      </c>
      <c r="H403" s="120" t="s">
        <v>49</v>
      </c>
      <c r="I403" s="120" t="s">
        <v>49</v>
      </c>
      <c r="J403" s="120" t="s">
        <v>49</v>
      </c>
      <c r="K403" s="120" t="s">
        <v>49</v>
      </c>
      <c r="L403" s="120" t="s">
        <v>49</v>
      </c>
      <c r="M403" s="148" t="s">
        <v>14</v>
      </c>
      <c r="N403" s="148" t="s">
        <v>626</v>
      </c>
      <c r="O403" s="156" t="s">
        <v>12</v>
      </c>
    </row>
    <row r="404" spans="1:15" ht="90">
      <c r="A404" s="160">
        <v>15</v>
      </c>
      <c r="B404" s="405"/>
      <c r="C404" s="405"/>
      <c r="D404" s="29" t="s">
        <v>635</v>
      </c>
      <c r="E404" s="160">
        <v>6100</v>
      </c>
      <c r="F404" s="160" t="s">
        <v>636</v>
      </c>
      <c r="G404" s="160">
        <v>12036</v>
      </c>
      <c r="H404" s="120" t="s">
        <v>49</v>
      </c>
      <c r="I404" s="120" t="s">
        <v>49</v>
      </c>
      <c r="J404" s="120" t="s">
        <v>49</v>
      </c>
      <c r="K404" s="120" t="s">
        <v>49</v>
      </c>
      <c r="L404" s="120" t="s">
        <v>49</v>
      </c>
      <c r="M404" s="148" t="s">
        <v>14</v>
      </c>
      <c r="N404" s="148" t="s">
        <v>626</v>
      </c>
      <c r="O404" s="156" t="s">
        <v>12</v>
      </c>
    </row>
    <row r="405" spans="1:15" ht="60">
      <c r="A405" s="160">
        <v>16</v>
      </c>
      <c r="B405" s="405"/>
      <c r="C405" s="405"/>
      <c r="D405" s="29" t="s">
        <v>637</v>
      </c>
      <c r="E405" s="160">
        <v>3950</v>
      </c>
      <c r="F405" s="160" t="s">
        <v>638</v>
      </c>
      <c r="G405" s="160">
        <v>2519</v>
      </c>
      <c r="H405" s="120" t="s">
        <v>49</v>
      </c>
      <c r="I405" s="120" t="s">
        <v>49</v>
      </c>
      <c r="J405" s="120" t="s">
        <v>49</v>
      </c>
      <c r="K405" s="120" t="s">
        <v>49</v>
      </c>
      <c r="L405" s="120" t="s">
        <v>49</v>
      </c>
      <c r="M405" s="148" t="s">
        <v>14</v>
      </c>
      <c r="N405" s="148" t="s">
        <v>626</v>
      </c>
      <c r="O405" s="156" t="s">
        <v>12</v>
      </c>
    </row>
    <row r="406" spans="1:15" ht="45">
      <c r="A406" s="160">
        <v>17</v>
      </c>
      <c r="B406" s="405"/>
      <c r="C406" s="405"/>
      <c r="D406" s="29" t="s">
        <v>639</v>
      </c>
      <c r="E406" s="160">
        <v>4550</v>
      </c>
      <c r="F406" s="160" t="s">
        <v>640</v>
      </c>
      <c r="G406" s="160">
        <v>9478</v>
      </c>
      <c r="H406" s="120" t="s">
        <v>49</v>
      </c>
      <c r="I406" s="120" t="s">
        <v>49</v>
      </c>
      <c r="J406" s="120" t="s">
        <v>49</v>
      </c>
      <c r="K406" s="120" t="s">
        <v>49</v>
      </c>
      <c r="L406" s="120" t="s">
        <v>49</v>
      </c>
      <c r="M406" s="148" t="s">
        <v>14</v>
      </c>
      <c r="N406" s="148" t="s">
        <v>626</v>
      </c>
      <c r="O406" s="156" t="s">
        <v>12</v>
      </c>
    </row>
    <row r="407" spans="1:15" ht="60">
      <c r="A407" s="160">
        <v>18</v>
      </c>
      <c r="B407" s="405"/>
      <c r="C407" s="405"/>
      <c r="D407" s="29" t="s">
        <v>641</v>
      </c>
      <c r="E407" s="160">
        <v>22760</v>
      </c>
      <c r="F407" s="120" t="s">
        <v>49</v>
      </c>
      <c r="G407" s="120" t="s">
        <v>49</v>
      </c>
      <c r="H407" s="120" t="s">
        <v>49</v>
      </c>
      <c r="I407" s="120" t="s">
        <v>49</v>
      </c>
      <c r="J407" s="120" t="s">
        <v>49</v>
      </c>
      <c r="K407" s="120" t="s">
        <v>49</v>
      </c>
      <c r="L407" s="120" t="s">
        <v>49</v>
      </c>
      <c r="M407" s="148" t="s">
        <v>14</v>
      </c>
      <c r="N407" s="148" t="s">
        <v>626</v>
      </c>
      <c r="O407" s="156" t="s">
        <v>12</v>
      </c>
    </row>
    <row r="408" spans="1:15" ht="60">
      <c r="A408" s="160">
        <v>19</v>
      </c>
      <c r="B408" s="405"/>
      <c r="C408" s="405"/>
      <c r="D408" s="29" t="s">
        <v>642</v>
      </c>
      <c r="E408" s="160">
        <v>2600</v>
      </c>
      <c r="F408" s="160" t="s">
        <v>643</v>
      </c>
      <c r="G408" s="160">
        <v>9865</v>
      </c>
      <c r="H408" s="120" t="s">
        <v>49</v>
      </c>
      <c r="I408" s="120" t="s">
        <v>49</v>
      </c>
      <c r="J408" s="120" t="s">
        <v>49</v>
      </c>
      <c r="K408" s="120" t="s">
        <v>49</v>
      </c>
      <c r="L408" s="120" t="s">
        <v>49</v>
      </c>
      <c r="M408" s="148" t="s">
        <v>14</v>
      </c>
      <c r="N408" s="148" t="s">
        <v>626</v>
      </c>
      <c r="O408" s="156" t="s">
        <v>12</v>
      </c>
    </row>
    <row r="409" spans="1:15" ht="45">
      <c r="A409" s="148">
        <v>20</v>
      </c>
      <c r="B409" s="405"/>
      <c r="C409" s="408" t="s">
        <v>645</v>
      </c>
      <c r="D409" s="197" t="s">
        <v>646</v>
      </c>
      <c r="E409" s="156">
        <v>2200</v>
      </c>
      <c r="F409" s="148" t="s">
        <v>40</v>
      </c>
      <c r="G409" s="148" t="s">
        <v>40</v>
      </c>
      <c r="H409" s="148" t="s">
        <v>40</v>
      </c>
      <c r="I409" s="148" t="s">
        <v>14</v>
      </c>
      <c r="J409" s="148" t="s">
        <v>14</v>
      </c>
      <c r="K409" s="148" t="s">
        <v>14</v>
      </c>
      <c r="L409" s="148" t="s">
        <v>647</v>
      </c>
      <c r="M409" s="148" t="s">
        <v>14</v>
      </c>
      <c r="N409" s="148" t="s">
        <v>626</v>
      </c>
      <c r="O409" s="156" t="s">
        <v>12</v>
      </c>
    </row>
    <row r="410" spans="1:15" ht="45">
      <c r="A410" s="148">
        <v>21</v>
      </c>
      <c r="B410" s="405"/>
      <c r="C410" s="408"/>
      <c r="D410" s="197" t="s">
        <v>649</v>
      </c>
      <c r="E410" s="156">
        <v>430</v>
      </c>
      <c r="F410" s="148" t="s">
        <v>650</v>
      </c>
      <c r="G410" s="148" t="s">
        <v>40</v>
      </c>
      <c r="H410" s="148" t="s">
        <v>40</v>
      </c>
      <c r="I410" s="148" t="s">
        <v>14</v>
      </c>
      <c r="J410" s="148" t="s">
        <v>14</v>
      </c>
      <c r="K410" s="148" t="s">
        <v>14</v>
      </c>
      <c r="L410" s="148" t="s">
        <v>647</v>
      </c>
      <c r="M410" s="148" t="s">
        <v>14</v>
      </c>
      <c r="N410" s="148" t="s">
        <v>626</v>
      </c>
      <c r="O410" s="156" t="s">
        <v>12</v>
      </c>
    </row>
    <row r="411" spans="1:15" ht="30">
      <c r="A411" s="148">
        <v>22</v>
      </c>
      <c r="B411" s="405"/>
      <c r="C411" s="408"/>
      <c r="D411" s="197" t="s">
        <v>651</v>
      </c>
      <c r="E411" s="156">
        <v>2730</v>
      </c>
      <c r="F411" s="148" t="s">
        <v>652</v>
      </c>
      <c r="G411" s="148" t="s">
        <v>40</v>
      </c>
      <c r="H411" s="148" t="s">
        <v>40</v>
      </c>
      <c r="I411" s="148" t="s">
        <v>14</v>
      </c>
      <c r="J411" s="148" t="s">
        <v>14</v>
      </c>
      <c r="K411" s="148" t="s">
        <v>14</v>
      </c>
      <c r="L411" s="148" t="s">
        <v>647</v>
      </c>
      <c r="M411" s="148" t="s">
        <v>14</v>
      </c>
      <c r="N411" s="148" t="s">
        <v>626</v>
      </c>
      <c r="O411" s="156" t="s">
        <v>12</v>
      </c>
    </row>
    <row r="412" spans="1:15" ht="45">
      <c r="A412" s="148">
        <v>23</v>
      </c>
      <c r="B412" s="405"/>
      <c r="C412" s="408"/>
      <c r="D412" s="197" t="s">
        <v>653</v>
      </c>
      <c r="E412" s="156">
        <v>4850</v>
      </c>
      <c r="F412" s="148" t="s">
        <v>40</v>
      </c>
      <c r="G412" s="148" t="s">
        <v>40</v>
      </c>
      <c r="H412" s="148" t="s">
        <v>40</v>
      </c>
      <c r="I412" s="148" t="s">
        <v>14</v>
      </c>
      <c r="J412" s="148" t="s">
        <v>14</v>
      </c>
      <c r="K412" s="148" t="s">
        <v>14</v>
      </c>
      <c r="L412" s="148" t="s">
        <v>647</v>
      </c>
      <c r="M412" s="148" t="s">
        <v>14</v>
      </c>
      <c r="N412" s="148" t="s">
        <v>626</v>
      </c>
      <c r="O412" s="156" t="s">
        <v>12</v>
      </c>
    </row>
    <row r="413" spans="1:15" ht="45">
      <c r="A413" s="148">
        <v>24</v>
      </c>
      <c r="B413" s="405"/>
      <c r="C413" s="408"/>
      <c r="D413" s="197" t="s">
        <v>654</v>
      </c>
      <c r="E413" s="156">
        <v>440</v>
      </c>
      <c r="F413" s="148" t="s">
        <v>40</v>
      </c>
      <c r="G413" s="148" t="s">
        <v>40</v>
      </c>
      <c r="H413" s="148" t="s">
        <v>40</v>
      </c>
      <c r="I413" s="148" t="s">
        <v>14</v>
      </c>
      <c r="J413" s="148" t="s">
        <v>14</v>
      </c>
      <c r="K413" s="148" t="s">
        <v>14</v>
      </c>
      <c r="L413" s="148" t="s">
        <v>655</v>
      </c>
      <c r="M413" s="148" t="s">
        <v>14</v>
      </c>
      <c r="N413" s="148" t="s">
        <v>626</v>
      </c>
      <c r="O413" s="156" t="s">
        <v>12</v>
      </c>
    </row>
    <row r="414" spans="1:15" ht="30">
      <c r="A414" s="148">
        <v>25</v>
      </c>
      <c r="B414" s="405"/>
      <c r="C414" s="408"/>
      <c r="D414" s="165" t="s">
        <v>656</v>
      </c>
      <c r="E414" s="44">
        <v>300</v>
      </c>
      <c r="F414" s="148" t="s">
        <v>42</v>
      </c>
      <c r="G414" s="148" t="s">
        <v>42</v>
      </c>
      <c r="H414" s="148" t="s">
        <v>40</v>
      </c>
      <c r="I414" s="148" t="s">
        <v>14</v>
      </c>
      <c r="J414" s="148" t="s">
        <v>14</v>
      </c>
      <c r="K414" s="148" t="s">
        <v>14</v>
      </c>
      <c r="L414" s="148" t="s">
        <v>657</v>
      </c>
      <c r="M414" s="148" t="s">
        <v>14</v>
      </c>
      <c r="N414" s="148" t="s">
        <v>626</v>
      </c>
      <c r="O414" s="156" t="s">
        <v>12</v>
      </c>
    </row>
    <row r="415" spans="1:15" ht="45">
      <c r="A415" s="148">
        <v>26</v>
      </c>
      <c r="B415" s="405"/>
      <c r="C415" s="408"/>
      <c r="D415" s="165" t="s">
        <v>658</v>
      </c>
      <c r="E415" s="148" t="s">
        <v>659</v>
      </c>
      <c r="F415" s="148" t="s">
        <v>42</v>
      </c>
      <c r="G415" s="148" t="s">
        <v>42</v>
      </c>
      <c r="H415" s="148" t="s">
        <v>40</v>
      </c>
      <c r="I415" s="148" t="s">
        <v>14</v>
      </c>
      <c r="J415" s="148" t="s">
        <v>14</v>
      </c>
      <c r="K415" s="148" t="s">
        <v>14</v>
      </c>
      <c r="L415" s="148" t="s">
        <v>657</v>
      </c>
      <c r="M415" s="148" t="s">
        <v>14</v>
      </c>
      <c r="N415" s="148" t="s">
        <v>626</v>
      </c>
      <c r="O415" s="156" t="s">
        <v>12</v>
      </c>
    </row>
    <row r="416" spans="1:15" ht="45">
      <c r="A416" s="148">
        <v>27</v>
      </c>
      <c r="B416" s="405"/>
      <c r="C416" s="408"/>
      <c r="D416" s="165" t="s">
        <v>660</v>
      </c>
      <c r="E416" s="148" t="s">
        <v>661</v>
      </c>
      <c r="F416" s="148" t="s">
        <v>42</v>
      </c>
      <c r="G416" s="148" t="s">
        <v>42</v>
      </c>
      <c r="H416" s="148" t="s">
        <v>40</v>
      </c>
      <c r="I416" s="148" t="s">
        <v>14</v>
      </c>
      <c r="J416" s="148" t="s">
        <v>14</v>
      </c>
      <c r="K416" s="148" t="s">
        <v>14</v>
      </c>
      <c r="L416" s="148" t="s">
        <v>662</v>
      </c>
      <c r="M416" s="148" t="s">
        <v>14</v>
      </c>
      <c r="N416" s="148" t="s">
        <v>626</v>
      </c>
      <c r="O416" s="156" t="s">
        <v>12</v>
      </c>
    </row>
    <row r="417" spans="1:15" ht="30">
      <c r="A417" s="148">
        <v>28</v>
      </c>
      <c r="B417" s="405"/>
      <c r="C417" s="408"/>
      <c r="D417" s="165" t="s">
        <v>663</v>
      </c>
      <c r="E417" s="148">
        <v>2300</v>
      </c>
      <c r="F417" s="148" t="s">
        <v>42</v>
      </c>
      <c r="G417" s="148" t="s">
        <v>42</v>
      </c>
      <c r="H417" s="148" t="s">
        <v>40</v>
      </c>
      <c r="I417" s="148" t="s">
        <v>14</v>
      </c>
      <c r="J417" s="148" t="s">
        <v>14</v>
      </c>
      <c r="K417" s="148" t="s">
        <v>14</v>
      </c>
      <c r="L417" s="148" t="s">
        <v>657</v>
      </c>
      <c r="M417" s="148" t="s">
        <v>14</v>
      </c>
      <c r="N417" s="148" t="s">
        <v>626</v>
      </c>
      <c r="O417" s="156" t="s">
        <v>12</v>
      </c>
    </row>
    <row r="418" spans="1:15" ht="45">
      <c r="A418" s="148">
        <v>29</v>
      </c>
      <c r="B418" s="405"/>
      <c r="C418" s="408"/>
      <c r="D418" s="165" t="s">
        <v>664</v>
      </c>
      <c r="E418" s="148">
        <v>2300</v>
      </c>
      <c r="F418" s="148" t="s">
        <v>42</v>
      </c>
      <c r="G418" s="148" t="s">
        <v>42</v>
      </c>
      <c r="H418" s="148" t="s">
        <v>40</v>
      </c>
      <c r="I418" s="148" t="s">
        <v>14</v>
      </c>
      <c r="J418" s="148" t="s">
        <v>14</v>
      </c>
      <c r="K418" s="148" t="s">
        <v>14</v>
      </c>
      <c r="L418" s="148" t="s">
        <v>657</v>
      </c>
      <c r="M418" s="148" t="s">
        <v>14</v>
      </c>
      <c r="N418" s="148" t="s">
        <v>626</v>
      </c>
      <c r="O418" s="156" t="s">
        <v>12</v>
      </c>
    </row>
    <row r="419" spans="1:15" ht="45">
      <c r="A419" s="148">
        <v>30</v>
      </c>
      <c r="B419" s="405"/>
      <c r="C419" s="408"/>
      <c r="D419" s="197" t="s">
        <v>665</v>
      </c>
      <c r="E419" s="148">
        <v>9500</v>
      </c>
      <c r="F419" s="148" t="s">
        <v>666</v>
      </c>
      <c r="G419" s="148" t="s">
        <v>40</v>
      </c>
      <c r="H419" s="148" t="s">
        <v>40</v>
      </c>
      <c r="I419" s="148" t="s">
        <v>14</v>
      </c>
      <c r="J419" s="148" t="s">
        <v>14</v>
      </c>
      <c r="K419" s="148" t="s">
        <v>14</v>
      </c>
      <c r="L419" s="148" t="s">
        <v>662</v>
      </c>
      <c r="M419" s="148" t="s">
        <v>14</v>
      </c>
      <c r="N419" s="148" t="s">
        <v>626</v>
      </c>
      <c r="O419" s="156" t="s">
        <v>12</v>
      </c>
    </row>
    <row r="420" spans="1:15" ht="45">
      <c r="A420" s="148">
        <v>31</v>
      </c>
      <c r="B420" s="405"/>
      <c r="C420" s="408"/>
      <c r="D420" s="210" t="s">
        <v>667</v>
      </c>
      <c r="E420" s="148">
        <v>9900</v>
      </c>
      <c r="F420" s="148" t="s">
        <v>40</v>
      </c>
      <c r="G420" s="148" t="s">
        <v>40</v>
      </c>
      <c r="H420" s="148" t="s">
        <v>40</v>
      </c>
      <c r="I420" s="148" t="s">
        <v>40</v>
      </c>
      <c r="J420" s="148" t="s">
        <v>40</v>
      </c>
      <c r="K420" s="148" t="s">
        <v>40</v>
      </c>
      <c r="L420" s="148" t="s">
        <v>668</v>
      </c>
      <c r="M420" s="148" t="s">
        <v>14</v>
      </c>
      <c r="N420" s="148" t="s">
        <v>626</v>
      </c>
      <c r="O420" s="156" t="s">
        <v>12</v>
      </c>
    </row>
    <row r="421" spans="1:15" ht="45">
      <c r="A421" s="148">
        <v>32</v>
      </c>
      <c r="B421" s="405"/>
      <c r="C421" s="408"/>
      <c r="D421" s="210" t="s">
        <v>669</v>
      </c>
      <c r="E421" s="148">
        <v>100</v>
      </c>
      <c r="F421" s="148" t="s">
        <v>40</v>
      </c>
      <c r="G421" s="148" t="s">
        <v>40</v>
      </c>
      <c r="H421" s="148" t="s">
        <v>40</v>
      </c>
      <c r="I421" s="148" t="s">
        <v>40</v>
      </c>
      <c r="J421" s="148" t="s">
        <v>40</v>
      </c>
      <c r="K421" s="148" t="s">
        <v>40</v>
      </c>
      <c r="L421" s="148" t="s">
        <v>668</v>
      </c>
      <c r="M421" s="148" t="s">
        <v>14</v>
      </c>
      <c r="N421" s="148" t="s">
        <v>626</v>
      </c>
      <c r="O421" s="156" t="s">
        <v>12</v>
      </c>
    </row>
    <row r="422" spans="1:15" ht="45">
      <c r="A422" s="148">
        <v>33</v>
      </c>
      <c r="B422" s="405"/>
      <c r="C422" s="408"/>
      <c r="D422" s="210" t="s">
        <v>670</v>
      </c>
      <c r="E422" s="148">
        <v>80</v>
      </c>
      <c r="F422" s="148" t="s">
        <v>40</v>
      </c>
      <c r="G422" s="148" t="s">
        <v>40</v>
      </c>
      <c r="H422" s="148" t="s">
        <v>40</v>
      </c>
      <c r="I422" s="148" t="s">
        <v>40</v>
      </c>
      <c r="J422" s="148" t="s">
        <v>40</v>
      </c>
      <c r="K422" s="148" t="s">
        <v>40</v>
      </c>
      <c r="L422" s="148" t="s">
        <v>668</v>
      </c>
      <c r="M422" s="148" t="s">
        <v>14</v>
      </c>
      <c r="N422" s="148" t="s">
        <v>626</v>
      </c>
      <c r="O422" s="156" t="s">
        <v>12</v>
      </c>
    </row>
    <row r="423" spans="1:15" ht="45">
      <c r="A423" s="148">
        <v>34</v>
      </c>
      <c r="B423" s="405"/>
      <c r="C423" s="408"/>
      <c r="D423" s="210" t="s">
        <v>671</v>
      </c>
      <c r="E423" s="148">
        <v>9600</v>
      </c>
      <c r="F423" s="148" t="s">
        <v>40</v>
      </c>
      <c r="G423" s="148" t="s">
        <v>40</v>
      </c>
      <c r="H423" s="148" t="s">
        <v>40</v>
      </c>
      <c r="I423" s="148" t="s">
        <v>40</v>
      </c>
      <c r="J423" s="148" t="s">
        <v>40</v>
      </c>
      <c r="K423" s="148" t="s">
        <v>40</v>
      </c>
      <c r="L423" s="148" t="s">
        <v>668</v>
      </c>
      <c r="M423" s="148" t="s">
        <v>14</v>
      </c>
      <c r="N423" s="148" t="s">
        <v>626</v>
      </c>
      <c r="O423" s="156" t="s">
        <v>12</v>
      </c>
    </row>
    <row r="424" spans="1:15" ht="45">
      <c r="A424" s="148">
        <v>35</v>
      </c>
      <c r="B424" s="405"/>
      <c r="C424" s="408"/>
      <c r="D424" s="210" t="s">
        <v>672</v>
      </c>
      <c r="E424" s="148">
        <v>2780</v>
      </c>
      <c r="F424" s="148" t="s">
        <v>40</v>
      </c>
      <c r="G424" s="148" t="s">
        <v>40</v>
      </c>
      <c r="H424" s="148" t="s">
        <v>40</v>
      </c>
      <c r="I424" s="148" t="s">
        <v>40</v>
      </c>
      <c r="J424" s="148" t="s">
        <v>40</v>
      </c>
      <c r="K424" s="148" t="s">
        <v>40</v>
      </c>
      <c r="L424" s="148" t="s">
        <v>668</v>
      </c>
      <c r="M424" s="148" t="s">
        <v>14</v>
      </c>
      <c r="N424" s="148" t="s">
        <v>626</v>
      </c>
      <c r="O424" s="156" t="s">
        <v>12</v>
      </c>
    </row>
    <row r="425" spans="1:15" ht="45">
      <c r="A425" s="148">
        <v>36</v>
      </c>
      <c r="B425" s="405"/>
      <c r="C425" s="408"/>
      <c r="D425" s="210" t="s">
        <v>673</v>
      </c>
      <c r="E425" s="148">
        <v>80</v>
      </c>
      <c r="F425" s="148" t="s">
        <v>40</v>
      </c>
      <c r="G425" s="148" t="s">
        <v>40</v>
      </c>
      <c r="H425" s="148" t="s">
        <v>40</v>
      </c>
      <c r="I425" s="148" t="s">
        <v>40</v>
      </c>
      <c r="J425" s="148" t="s">
        <v>40</v>
      </c>
      <c r="K425" s="148" t="s">
        <v>40</v>
      </c>
      <c r="L425" s="148" t="s">
        <v>668</v>
      </c>
      <c r="M425" s="148" t="s">
        <v>14</v>
      </c>
      <c r="N425" s="148" t="s">
        <v>626</v>
      </c>
      <c r="O425" s="156" t="s">
        <v>12</v>
      </c>
    </row>
    <row r="426" spans="1:15" ht="77.25" customHeight="1">
      <c r="A426" s="148">
        <v>37</v>
      </c>
      <c r="B426" s="405"/>
      <c r="C426" s="408"/>
      <c r="D426" s="210" t="s">
        <v>674</v>
      </c>
      <c r="E426" s="148">
        <v>2300</v>
      </c>
      <c r="F426" s="148" t="s">
        <v>40</v>
      </c>
      <c r="G426" s="148" t="s">
        <v>40</v>
      </c>
      <c r="H426" s="148" t="s">
        <v>40</v>
      </c>
      <c r="I426" s="148" t="s">
        <v>40</v>
      </c>
      <c r="J426" s="148" t="s">
        <v>40</v>
      </c>
      <c r="K426" s="148" t="s">
        <v>40</v>
      </c>
      <c r="L426" s="148" t="s">
        <v>668</v>
      </c>
      <c r="M426" s="148" t="s">
        <v>14</v>
      </c>
      <c r="N426" s="148" t="s">
        <v>626</v>
      </c>
      <c r="O426" s="156" t="s">
        <v>12</v>
      </c>
    </row>
    <row r="427" spans="1:15" ht="78" customHeight="1">
      <c r="A427" s="156">
        <v>38</v>
      </c>
      <c r="B427" s="405"/>
      <c r="C427" s="408"/>
      <c r="D427" s="29" t="s">
        <v>675</v>
      </c>
      <c r="E427" s="160">
        <v>13700</v>
      </c>
      <c r="F427" s="160" t="s">
        <v>40</v>
      </c>
      <c r="G427" s="160" t="s">
        <v>40</v>
      </c>
      <c r="H427" s="160" t="s">
        <v>40</v>
      </c>
      <c r="I427" s="148" t="s">
        <v>14</v>
      </c>
      <c r="J427" s="148" t="s">
        <v>14</v>
      </c>
      <c r="K427" s="148" t="s">
        <v>14</v>
      </c>
      <c r="L427" s="148" t="s">
        <v>676</v>
      </c>
      <c r="M427" s="148" t="s">
        <v>14</v>
      </c>
      <c r="N427" s="148" t="s">
        <v>626</v>
      </c>
      <c r="O427" s="156" t="s">
        <v>12</v>
      </c>
    </row>
    <row r="428" spans="1:15" ht="78.75" customHeight="1">
      <c r="A428" s="156">
        <v>39</v>
      </c>
      <c r="B428" s="405"/>
      <c r="C428" s="408"/>
      <c r="D428" s="127" t="s">
        <v>677</v>
      </c>
      <c r="E428" s="65">
        <v>150</v>
      </c>
      <c r="F428" s="160" t="s">
        <v>40</v>
      </c>
      <c r="G428" s="160" t="s">
        <v>40</v>
      </c>
      <c r="H428" s="160" t="s">
        <v>40</v>
      </c>
      <c r="I428" s="148" t="s">
        <v>14</v>
      </c>
      <c r="J428" s="148" t="s">
        <v>14</v>
      </c>
      <c r="K428" s="148" t="s">
        <v>14</v>
      </c>
      <c r="L428" s="148" t="s">
        <v>678</v>
      </c>
      <c r="M428" s="148" t="s">
        <v>14</v>
      </c>
      <c r="N428" s="148" t="s">
        <v>626</v>
      </c>
      <c r="O428" s="156" t="s">
        <v>12</v>
      </c>
    </row>
    <row r="429" spans="1:15" ht="90.75" customHeight="1">
      <c r="A429" s="156">
        <v>40</v>
      </c>
      <c r="B429" s="405"/>
      <c r="C429" s="408"/>
      <c r="D429" s="211" t="s">
        <v>679</v>
      </c>
      <c r="E429" s="204">
        <v>1100</v>
      </c>
      <c r="F429" s="160" t="s">
        <v>40</v>
      </c>
      <c r="G429" s="160" t="s">
        <v>40</v>
      </c>
      <c r="H429" s="160" t="s">
        <v>40</v>
      </c>
      <c r="I429" s="148" t="s">
        <v>14</v>
      </c>
      <c r="J429" s="148" t="s">
        <v>14</v>
      </c>
      <c r="K429" s="148" t="s">
        <v>14</v>
      </c>
      <c r="L429" s="148" t="s">
        <v>680</v>
      </c>
      <c r="M429" s="148" t="s">
        <v>14</v>
      </c>
      <c r="N429" s="148" t="s">
        <v>626</v>
      </c>
      <c r="O429" s="156" t="s">
        <v>12</v>
      </c>
    </row>
    <row r="430" spans="1:15" ht="62.25" customHeight="1">
      <c r="A430" s="156">
        <v>41</v>
      </c>
      <c r="B430" s="405"/>
      <c r="C430" s="408"/>
      <c r="D430" s="211" t="s">
        <v>681</v>
      </c>
      <c r="E430" s="204">
        <v>230</v>
      </c>
      <c r="F430" s="160" t="s">
        <v>40</v>
      </c>
      <c r="G430" s="160" t="s">
        <v>40</v>
      </c>
      <c r="H430" s="160" t="s">
        <v>40</v>
      </c>
      <c r="I430" s="148" t="s">
        <v>14</v>
      </c>
      <c r="J430" s="148" t="s">
        <v>14</v>
      </c>
      <c r="K430" s="148" t="s">
        <v>14</v>
      </c>
      <c r="L430" s="148" t="s">
        <v>680</v>
      </c>
      <c r="M430" s="148" t="s">
        <v>14</v>
      </c>
      <c r="N430" s="148" t="s">
        <v>626</v>
      </c>
      <c r="O430" s="156" t="s">
        <v>12</v>
      </c>
    </row>
    <row r="431" spans="1:15" ht="93" customHeight="1">
      <c r="A431" s="156">
        <v>42</v>
      </c>
      <c r="B431" s="405"/>
      <c r="C431" s="408"/>
      <c r="D431" s="127" t="s">
        <v>682</v>
      </c>
      <c r="E431" s="204">
        <v>200</v>
      </c>
      <c r="F431" s="160" t="s">
        <v>40</v>
      </c>
      <c r="G431" s="160" t="s">
        <v>40</v>
      </c>
      <c r="H431" s="160" t="s">
        <v>40</v>
      </c>
      <c r="I431" s="148" t="s">
        <v>14</v>
      </c>
      <c r="J431" s="148" t="s">
        <v>14</v>
      </c>
      <c r="K431" s="148" t="s">
        <v>14</v>
      </c>
      <c r="L431" s="148" t="s">
        <v>680</v>
      </c>
      <c r="M431" s="148" t="s">
        <v>14</v>
      </c>
      <c r="N431" s="148" t="s">
        <v>626</v>
      </c>
      <c r="O431" s="156" t="s">
        <v>12</v>
      </c>
    </row>
    <row r="432" spans="1:15" ht="62.25" customHeight="1">
      <c r="A432" s="156">
        <v>43</v>
      </c>
      <c r="B432" s="405"/>
      <c r="C432" s="408"/>
      <c r="D432" s="211" t="s">
        <v>683</v>
      </c>
      <c r="E432" s="204">
        <v>11860</v>
      </c>
      <c r="F432" s="160" t="s">
        <v>40</v>
      </c>
      <c r="G432" s="160" t="s">
        <v>40</v>
      </c>
      <c r="H432" s="160" t="s">
        <v>40</v>
      </c>
      <c r="I432" s="148" t="s">
        <v>14</v>
      </c>
      <c r="J432" s="148" t="s">
        <v>14</v>
      </c>
      <c r="K432" s="148" t="s">
        <v>14</v>
      </c>
      <c r="L432" s="148" t="s">
        <v>680</v>
      </c>
      <c r="M432" s="148" t="s">
        <v>14</v>
      </c>
      <c r="N432" s="148" t="s">
        <v>626</v>
      </c>
      <c r="O432" s="156" t="s">
        <v>12</v>
      </c>
    </row>
    <row r="433" spans="1:16" ht="62.25" customHeight="1">
      <c r="A433" s="156">
        <v>44</v>
      </c>
      <c r="B433" s="405"/>
      <c r="C433" s="408"/>
      <c r="D433" s="211" t="s">
        <v>684</v>
      </c>
      <c r="E433" s="204">
        <v>6600</v>
      </c>
      <c r="F433" s="204" t="s">
        <v>685</v>
      </c>
      <c r="G433" s="204" t="s">
        <v>43</v>
      </c>
      <c r="H433" s="160" t="s">
        <v>40</v>
      </c>
      <c r="I433" s="148" t="s">
        <v>14</v>
      </c>
      <c r="J433" s="148" t="s">
        <v>14</v>
      </c>
      <c r="K433" s="148" t="s">
        <v>14</v>
      </c>
      <c r="L433" s="148" t="s">
        <v>680</v>
      </c>
      <c r="M433" s="148" t="s">
        <v>14</v>
      </c>
      <c r="N433" s="148" t="s">
        <v>626</v>
      </c>
      <c r="O433" s="156" t="s">
        <v>12</v>
      </c>
    </row>
    <row r="434" spans="1:16" ht="62.25" customHeight="1">
      <c r="A434" s="156">
        <v>45</v>
      </c>
      <c r="B434" s="405"/>
      <c r="C434" s="408"/>
      <c r="D434" s="211" t="s">
        <v>686</v>
      </c>
      <c r="E434" s="204">
        <v>14083</v>
      </c>
      <c r="F434" s="204" t="s">
        <v>687</v>
      </c>
      <c r="G434" s="204" t="s">
        <v>43</v>
      </c>
      <c r="H434" s="160" t="s">
        <v>40</v>
      </c>
      <c r="I434" s="148" t="s">
        <v>14</v>
      </c>
      <c r="J434" s="148" t="s">
        <v>14</v>
      </c>
      <c r="K434" s="148" t="s">
        <v>14</v>
      </c>
      <c r="L434" s="148" t="s">
        <v>680</v>
      </c>
      <c r="M434" s="148" t="s">
        <v>14</v>
      </c>
      <c r="N434" s="148" t="s">
        <v>626</v>
      </c>
      <c r="O434" s="156" t="s">
        <v>12</v>
      </c>
    </row>
    <row r="435" spans="1:16" ht="62.25" customHeight="1">
      <c r="A435" s="158">
        <v>46</v>
      </c>
      <c r="B435" s="405"/>
      <c r="C435" s="408"/>
      <c r="D435" s="211" t="s">
        <v>688</v>
      </c>
      <c r="E435" s="204">
        <v>50</v>
      </c>
      <c r="F435" s="204" t="s">
        <v>685</v>
      </c>
      <c r="G435" s="204" t="s">
        <v>43</v>
      </c>
      <c r="H435" s="148" t="s">
        <v>40</v>
      </c>
      <c r="I435" s="158" t="s">
        <v>14</v>
      </c>
      <c r="J435" s="158" t="s">
        <v>14</v>
      </c>
      <c r="K435" s="158" t="s">
        <v>14</v>
      </c>
      <c r="L435" s="158" t="s">
        <v>689</v>
      </c>
      <c r="M435" s="148" t="s">
        <v>14</v>
      </c>
      <c r="N435" s="148" t="s">
        <v>626</v>
      </c>
      <c r="O435" s="156" t="s">
        <v>12</v>
      </c>
    </row>
    <row r="436" spans="1:16" ht="62.25" customHeight="1">
      <c r="A436" s="158">
        <v>47</v>
      </c>
      <c r="B436" s="405"/>
      <c r="C436" s="408"/>
      <c r="D436" s="211" t="s">
        <v>690</v>
      </c>
      <c r="E436" s="204">
        <v>2900</v>
      </c>
      <c r="F436" s="204" t="s">
        <v>685</v>
      </c>
      <c r="G436" s="204" t="s">
        <v>43</v>
      </c>
      <c r="H436" s="148" t="s">
        <v>40</v>
      </c>
      <c r="I436" s="158" t="s">
        <v>14</v>
      </c>
      <c r="J436" s="158" t="s">
        <v>14</v>
      </c>
      <c r="K436" s="158" t="s">
        <v>14</v>
      </c>
      <c r="L436" s="158" t="s">
        <v>689</v>
      </c>
      <c r="M436" s="148" t="s">
        <v>14</v>
      </c>
      <c r="N436" s="148" t="s">
        <v>626</v>
      </c>
      <c r="O436" s="156" t="s">
        <v>12</v>
      </c>
    </row>
    <row r="437" spans="1:16">
      <c r="A437" s="407"/>
      <c r="B437" s="359"/>
      <c r="C437" s="359"/>
      <c r="D437" s="359"/>
      <c r="E437" s="359"/>
      <c r="F437" s="359"/>
      <c r="G437" s="359"/>
      <c r="H437" s="359"/>
      <c r="I437" s="359"/>
      <c r="J437" s="359"/>
      <c r="K437" s="359"/>
      <c r="L437" s="359"/>
      <c r="M437" s="359"/>
      <c r="N437" s="359"/>
      <c r="O437" s="359"/>
      <c r="P437" s="390"/>
    </row>
    <row r="438" spans="1:16" ht="20.25" customHeight="1">
      <c r="A438" s="406" t="s">
        <v>27</v>
      </c>
      <c r="B438" s="406"/>
      <c r="C438" s="406"/>
      <c r="D438" s="406"/>
      <c r="E438" s="406"/>
      <c r="F438" s="406"/>
      <c r="G438" s="406"/>
      <c r="H438" s="406"/>
      <c r="I438" s="406"/>
      <c r="J438" s="406"/>
      <c r="K438" s="406"/>
      <c r="L438" s="406"/>
      <c r="M438" s="406"/>
      <c r="N438" s="406"/>
      <c r="O438" s="406"/>
      <c r="P438" s="413"/>
    </row>
    <row r="439" spans="1:16" ht="62.25" customHeight="1">
      <c r="A439" s="21" t="s">
        <v>0</v>
      </c>
      <c r="B439" s="21" t="s">
        <v>116</v>
      </c>
      <c r="C439" s="21" t="s">
        <v>1</v>
      </c>
      <c r="D439" s="21" t="s">
        <v>123</v>
      </c>
      <c r="E439" s="22" t="s">
        <v>17</v>
      </c>
      <c r="F439" s="22" t="s">
        <v>18</v>
      </c>
      <c r="G439" s="21" t="s">
        <v>114</v>
      </c>
      <c r="H439" s="21" t="s">
        <v>115</v>
      </c>
      <c r="I439" s="21" t="s">
        <v>117</v>
      </c>
      <c r="J439" s="21" t="s">
        <v>5</v>
      </c>
      <c r="K439" s="21" t="s">
        <v>6</v>
      </c>
      <c r="L439" s="21" t="s">
        <v>21</v>
      </c>
      <c r="M439" s="21" t="s">
        <v>22</v>
      </c>
      <c r="N439" s="22" t="s">
        <v>23</v>
      </c>
      <c r="O439" s="20" t="s">
        <v>24</v>
      </c>
      <c r="P439" s="414"/>
    </row>
    <row r="440" spans="1:16">
      <c r="A440" s="12">
        <v>1</v>
      </c>
      <c r="B440" s="83">
        <v>2</v>
      </c>
      <c r="C440" s="83">
        <v>3</v>
      </c>
      <c r="D440" s="83">
        <v>4</v>
      </c>
      <c r="E440" s="83">
        <v>5</v>
      </c>
      <c r="F440" s="83">
        <v>6</v>
      </c>
      <c r="G440" s="83">
        <v>7</v>
      </c>
      <c r="H440" s="83">
        <v>8</v>
      </c>
      <c r="I440" s="83">
        <v>9</v>
      </c>
      <c r="J440" s="83">
        <v>10</v>
      </c>
      <c r="K440" s="83">
        <v>11</v>
      </c>
      <c r="L440" s="83">
        <v>12</v>
      </c>
      <c r="M440" s="83">
        <v>13</v>
      </c>
      <c r="N440" s="83">
        <v>14</v>
      </c>
      <c r="O440" s="83">
        <v>15</v>
      </c>
      <c r="P440" s="414"/>
    </row>
    <row r="441" spans="1:16" ht="62.25" customHeight="1">
      <c r="A441" s="148">
        <v>1</v>
      </c>
      <c r="B441" s="408" t="s">
        <v>691</v>
      </c>
      <c r="C441" s="409" t="s">
        <v>645</v>
      </c>
      <c r="D441" s="7" t="s">
        <v>692</v>
      </c>
      <c r="E441" s="158">
        <v>62.98</v>
      </c>
      <c r="F441" s="158">
        <v>1963</v>
      </c>
      <c r="G441" s="158" t="s">
        <v>693</v>
      </c>
      <c r="H441" s="65" t="s">
        <v>694</v>
      </c>
      <c r="I441" s="158" t="s">
        <v>320</v>
      </c>
      <c r="J441" s="158" t="s">
        <v>12</v>
      </c>
      <c r="K441" s="158" t="s">
        <v>12</v>
      </c>
      <c r="L441" s="158" t="s">
        <v>695</v>
      </c>
      <c r="M441" s="65" t="s">
        <v>12</v>
      </c>
      <c r="N441" s="158">
        <v>5</v>
      </c>
      <c r="O441" s="157" t="s">
        <v>696</v>
      </c>
      <c r="P441" s="414"/>
    </row>
    <row r="442" spans="1:16" ht="60">
      <c r="A442" s="65">
        <v>2</v>
      </c>
      <c r="B442" s="408"/>
      <c r="C442" s="409"/>
      <c r="D442" s="127" t="s">
        <v>698</v>
      </c>
      <c r="E442" s="65">
        <v>2156</v>
      </c>
      <c r="F442" s="65" t="s">
        <v>43</v>
      </c>
      <c r="G442" s="65" t="s">
        <v>699</v>
      </c>
      <c r="H442" s="65" t="s">
        <v>15</v>
      </c>
      <c r="I442" s="65" t="s">
        <v>700</v>
      </c>
      <c r="J442" s="65" t="s">
        <v>15</v>
      </c>
      <c r="K442" s="65" t="s">
        <v>15</v>
      </c>
      <c r="L442" s="65" t="s">
        <v>15</v>
      </c>
      <c r="M442" s="65" t="s">
        <v>12</v>
      </c>
      <c r="N442" s="65">
        <v>6</v>
      </c>
      <c r="O442" s="120" t="s">
        <v>49</v>
      </c>
      <c r="P442" s="414"/>
    </row>
    <row r="443" spans="1:16" ht="45">
      <c r="A443" s="158">
        <v>3</v>
      </c>
      <c r="B443" s="408"/>
      <c r="C443" s="409"/>
      <c r="D443" s="7" t="s">
        <v>701</v>
      </c>
      <c r="E443" s="158">
        <v>26.3</v>
      </c>
      <c r="F443" s="158">
        <v>1942</v>
      </c>
      <c r="G443" s="158" t="s">
        <v>54</v>
      </c>
      <c r="H443" s="158" t="s">
        <v>54</v>
      </c>
      <c r="I443" s="158" t="s">
        <v>54</v>
      </c>
      <c r="J443" s="158" t="s">
        <v>54</v>
      </c>
      <c r="K443" s="158" t="s">
        <v>54</v>
      </c>
      <c r="L443" s="158" t="s">
        <v>54</v>
      </c>
      <c r="M443" s="65" t="s">
        <v>12</v>
      </c>
      <c r="N443" s="158">
        <v>7</v>
      </c>
      <c r="O443" s="120" t="s">
        <v>49</v>
      </c>
      <c r="P443" s="414"/>
    </row>
    <row r="444" spans="1:16" ht="45">
      <c r="A444" s="158">
        <v>4</v>
      </c>
      <c r="B444" s="408"/>
      <c r="C444" s="409"/>
      <c r="D444" s="7" t="s">
        <v>702</v>
      </c>
      <c r="E444" s="158">
        <v>250</v>
      </c>
      <c r="F444" s="43" t="s">
        <v>15</v>
      </c>
      <c r="G444" s="215">
        <v>0.03</v>
      </c>
      <c r="H444" s="43" t="s">
        <v>15</v>
      </c>
      <c r="I444" s="203" t="s">
        <v>703</v>
      </c>
      <c r="J444" s="43" t="s">
        <v>15</v>
      </c>
      <c r="K444" s="43" t="s">
        <v>15</v>
      </c>
      <c r="L444" s="43" t="s">
        <v>15</v>
      </c>
      <c r="M444" s="65" t="s">
        <v>12</v>
      </c>
      <c r="N444" s="43">
        <v>8</v>
      </c>
      <c r="O444" s="43" t="s">
        <v>15</v>
      </c>
      <c r="P444" s="414"/>
    </row>
    <row r="445" spans="1:16" ht="45">
      <c r="A445" s="158">
        <v>5</v>
      </c>
      <c r="B445" s="408"/>
      <c r="C445" s="409"/>
      <c r="D445" s="7" t="s">
        <v>704</v>
      </c>
      <c r="E445" s="158">
        <v>130</v>
      </c>
      <c r="F445" s="43" t="s">
        <v>15</v>
      </c>
      <c r="G445" s="215">
        <v>0.1888</v>
      </c>
      <c r="H445" s="43" t="s">
        <v>15</v>
      </c>
      <c r="I445" s="203" t="s">
        <v>703</v>
      </c>
      <c r="J445" s="43" t="s">
        <v>15</v>
      </c>
      <c r="K445" s="43" t="s">
        <v>15</v>
      </c>
      <c r="L445" s="43" t="s">
        <v>15</v>
      </c>
      <c r="M445" s="65" t="s">
        <v>12</v>
      </c>
      <c r="N445" s="43">
        <v>9</v>
      </c>
      <c r="O445" s="43" t="s">
        <v>15</v>
      </c>
      <c r="P445" s="414"/>
    </row>
    <row r="446" spans="1:16" ht="45">
      <c r="A446" s="158">
        <v>6</v>
      </c>
      <c r="B446" s="408"/>
      <c r="C446" s="409"/>
      <c r="D446" s="7" t="s">
        <v>705</v>
      </c>
      <c r="E446" s="158">
        <v>1214</v>
      </c>
      <c r="F446" s="158" t="s">
        <v>13</v>
      </c>
      <c r="G446" s="158" t="s">
        <v>13</v>
      </c>
      <c r="H446" s="158" t="s">
        <v>706</v>
      </c>
      <c r="I446" s="158" t="s">
        <v>605</v>
      </c>
      <c r="J446" s="158" t="s">
        <v>706</v>
      </c>
      <c r="K446" s="158" t="s">
        <v>597</v>
      </c>
      <c r="L446" s="158" t="s">
        <v>707</v>
      </c>
      <c r="M446" s="65" t="s">
        <v>12</v>
      </c>
      <c r="N446" s="158">
        <v>12</v>
      </c>
      <c r="O446" s="120" t="s">
        <v>49</v>
      </c>
      <c r="P446" s="414"/>
    </row>
    <row r="447" spans="1:16" ht="30">
      <c r="A447" s="158">
        <v>7</v>
      </c>
      <c r="B447" s="408"/>
      <c r="C447" s="409"/>
      <c r="D447" s="7" t="s">
        <v>708</v>
      </c>
      <c r="E447" s="158">
        <v>2491.6</v>
      </c>
      <c r="F447" s="158" t="s">
        <v>13</v>
      </c>
      <c r="G447" s="158" t="s">
        <v>13</v>
      </c>
      <c r="H447" s="158" t="s">
        <v>706</v>
      </c>
      <c r="I447" s="158" t="s">
        <v>605</v>
      </c>
      <c r="J447" s="158" t="s">
        <v>706</v>
      </c>
      <c r="K447" s="158" t="s">
        <v>597</v>
      </c>
      <c r="L447" s="158" t="s">
        <v>707</v>
      </c>
      <c r="M447" s="65" t="s">
        <v>12</v>
      </c>
      <c r="N447" s="158">
        <v>13</v>
      </c>
      <c r="O447" s="120" t="s">
        <v>49</v>
      </c>
      <c r="P447" s="414"/>
    </row>
    <row r="448" spans="1:16" ht="45">
      <c r="A448" s="65">
        <v>8</v>
      </c>
      <c r="B448" s="408"/>
      <c r="C448" s="409"/>
      <c r="D448" s="29" t="s">
        <v>709</v>
      </c>
      <c r="E448" s="160" t="s">
        <v>710</v>
      </c>
      <c r="F448" s="160" t="s">
        <v>711</v>
      </c>
      <c r="G448" s="160">
        <v>1204</v>
      </c>
      <c r="H448" s="120" t="s">
        <v>49</v>
      </c>
      <c r="I448" s="120" t="s">
        <v>49</v>
      </c>
      <c r="J448" s="120" t="s">
        <v>49</v>
      </c>
      <c r="K448" s="120" t="s">
        <v>49</v>
      </c>
      <c r="L448" s="120" t="s">
        <v>49</v>
      </c>
      <c r="M448" s="65" t="s">
        <v>12</v>
      </c>
      <c r="N448" s="120">
        <v>14</v>
      </c>
      <c r="O448" s="120" t="s">
        <v>49</v>
      </c>
      <c r="P448" s="414"/>
    </row>
    <row r="449" spans="1:16" ht="30">
      <c r="A449" s="65">
        <v>9</v>
      </c>
      <c r="B449" s="408"/>
      <c r="C449" s="409"/>
      <c r="D449" s="29" t="s">
        <v>712</v>
      </c>
      <c r="E449" s="160" t="s">
        <v>713</v>
      </c>
      <c r="F449" s="160">
        <v>2010</v>
      </c>
      <c r="G449" s="65">
        <v>7.0000000000000007E-2</v>
      </c>
      <c r="H449" s="120" t="s">
        <v>49</v>
      </c>
      <c r="I449" s="120" t="s">
        <v>49</v>
      </c>
      <c r="J449" s="120" t="s">
        <v>49</v>
      </c>
      <c r="K449" s="120" t="s">
        <v>49</v>
      </c>
      <c r="L449" s="120" t="s">
        <v>49</v>
      </c>
      <c r="M449" s="65" t="s">
        <v>12</v>
      </c>
      <c r="N449" s="120">
        <v>15</v>
      </c>
      <c r="O449" s="120" t="s">
        <v>49</v>
      </c>
      <c r="P449" s="414"/>
    </row>
    <row r="450" spans="1:16" ht="45">
      <c r="A450" s="158">
        <v>10</v>
      </c>
      <c r="B450" s="408"/>
      <c r="C450" s="409"/>
      <c r="D450" s="127" t="s">
        <v>714</v>
      </c>
      <c r="E450" s="204" t="s">
        <v>715</v>
      </c>
      <c r="F450" s="160" t="s">
        <v>40</v>
      </c>
      <c r="G450" s="160" t="s">
        <v>40</v>
      </c>
      <c r="H450" s="148" t="s">
        <v>40</v>
      </c>
      <c r="I450" s="158" t="s">
        <v>14</v>
      </c>
      <c r="J450" s="158" t="s">
        <v>14</v>
      </c>
      <c r="K450" s="158" t="s">
        <v>14</v>
      </c>
      <c r="L450" s="158" t="s">
        <v>689</v>
      </c>
      <c r="M450" s="65" t="s">
        <v>12</v>
      </c>
      <c r="N450" s="158">
        <v>18</v>
      </c>
      <c r="O450" s="120" t="s">
        <v>49</v>
      </c>
      <c r="P450" s="414"/>
    </row>
    <row r="451" spans="1:16" ht="45">
      <c r="A451" s="158">
        <v>11</v>
      </c>
      <c r="B451" s="408"/>
      <c r="C451" s="409"/>
      <c r="D451" s="127" t="s">
        <v>716</v>
      </c>
      <c r="E451" s="204" t="s">
        <v>717</v>
      </c>
      <c r="F451" s="160" t="s">
        <v>40</v>
      </c>
      <c r="G451" s="160" t="s">
        <v>40</v>
      </c>
      <c r="H451" s="148" t="s">
        <v>40</v>
      </c>
      <c r="I451" s="158" t="s">
        <v>14</v>
      </c>
      <c r="J451" s="158" t="s">
        <v>14</v>
      </c>
      <c r="K451" s="158" t="s">
        <v>14</v>
      </c>
      <c r="L451" s="158" t="s">
        <v>689</v>
      </c>
      <c r="M451" s="65" t="s">
        <v>12</v>
      </c>
      <c r="N451" s="158">
        <v>19</v>
      </c>
      <c r="O451" s="120" t="s">
        <v>49</v>
      </c>
      <c r="P451" s="414"/>
    </row>
    <row r="452" spans="1:16" ht="75">
      <c r="A452" s="158">
        <v>12</v>
      </c>
      <c r="B452" s="408"/>
      <c r="C452" s="409"/>
      <c r="D452" s="127" t="s">
        <v>718</v>
      </c>
      <c r="E452" s="156">
        <v>1100</v>
      </c>
      <c r="F452" s="148" t="s">
        <v>40</v>
      </c>
      <c r="G452" s="148" t="s">
        <v>40</v>
      </c>
      <c r="H452" s="148" t="s">
        <v>40</v>
      </c>
      <c r="I452" s="158" t="s">
        <v>14</v>
      </c>
      <c r="J452" s="158" t="s">
        <v>14</v>
      </c>
      <c r="K452" s="158" t="s">
        <v>14</v>
      </c>
      <c r="L452" s="158" t="s">
        <v>689</v>
      </c>
      <c r="M452" s="65" t="s">
        <v>12</v>
      </c>
      <c r="N452" s="158">
        <v>20</v>
      </c>
      <c r="O452" s="120" t="s">
        <v>49</v>
      </c>
      <c r="P452" s="414"/>
    </row>
    <row r="453" spans="1:16" ht="90">
      <c r="A453" s="158">
        <v>13</v>
      </c>
      <c r="B453" s="408"/>
      <c r="C453" s="409"/>
      <c r="D453" s="197" t="s">
        <v>719</v>
      </c>
      <c r="E453" s="148">
        <v>1990</v>
      </c>
      <c r="F453" s="148">
        <v>1990</v>
      </c>
      <c r="G453" s="148" t="s">
        <v>40</v>
      </c>
      <c r="H453" s="148" t="s">
        <v>40</v>
      </c>
      <c r="I453" s="158" t="s">
        <v>14</v>
      </c>
      <c r="J453" s="158" t="s">
        <v>14</v>
      </c>
      <c r="K453" s="158" t="s">
        <v>14</v>
      </c>
      <c r="L453" s="158" t="s">
        <v>689</v>
      </c>
      <c r="M453" s="65" t="s">
        <v>12</v>
      </c>
      <c r="N453" s="158">
        <v>21</v>
      </c>
      <c r="O453" s="120" t="s">
        <v>49</v>
      </c>
      <c r="P453" s="414"/>
    </row>
    <row r="454" spans="1:16" ht="45">
      <c r="A454" s="158">
        <v>14</v>
      </c>
      <c r="B454" s="408"/>
      <c r="C454" s="409"/>
      <c r="D454" s="127" t="s">
        <v>720</v>
      </c>
      <c r="E454" s="156">
        <v>230</v>
      </c>
      <c r="F454" s="148" t="s">
        <v>40</v>
      </c>
      <c r="G454" s="148" t="s">
        <v>40</v>
      </c>
      <c r="H454" s="148" t="s">
        <v>40</v>
      </c>
      <c r="I454" s="158" t="s">
        <v>14</v>
      </c>
      <c r="J454" s="158" t="s">
        <v>14</v>
      </c>
      <c r="K454" s="158" t="s">
        <v>14</v>
      </c>
      <c r="L454" s="158" t="s">
        <v>689</v>
      </c>
      <c r="M454" s="65" t="s">
        <v>12</v>
      </c>
      <c r="N454" s="158">
        <v>22</v>
      </c>
      <c r="O454" s="120" t="s">
        <v>49</v>
      </c>
      <c r="P454" s="414"/>
    </row>
    <row r="455" spans="1:16" ht="45">
      <c r="A455" s="158">
        <v>15</v>
      </c>
      <c r="B455" s="408"/>
      <c r="C455" s="409"/>
      <c r="D455" s="127" t="s">
        <v>721</v>
      </c>
      <c r="E455" s="156">
        <v>300</v>
      </c>
      <c r="F455" s="148" t="s">
        <v>40</v>
      </c>
      <c r="G455" s="148" t="s">
        <v>40</v>
      </c>
      <c r="H455" s="148" t="s">
        <v>40</v>
      </c>
      <c r="I455" s="158" t="s">
        <v>14</v>
      </c>
      <c r="J455" s="158" t="s">
        <v>14</v>
      </c>
      <c r="K455" s="158" t="s">
        <v>14</v>
      </c>
      <c r="L455" s="158" t="s">
        <v>689</v>
      </c>
      <c r="M455" s="65" t="s">
        <v>12</v>
      </c>
      <c r="N455" s="158">
        <v>23</v>
      </c>
      <c r="O455" s="120" t="s">
        <v>49</v>
      </c>
      <c r="P455" s="414"/>
    </row>
    <row r="456" spans="1:16" ht="45">
      <c r="A456" s="158">
        <v>16</v>
      </c>
      <c r="B456" s="408"/>
      <c r="C456" s="409"/>
      <c r="D456" s="29" t="s">
        <v>722</v>
      </c>
      <c r="E456" s="160">
        <v>3268</v>
      </c>
      <c r="F456" s="148" t="s">
        <v>40</v>
      </c>
      <c r="G456" s="148" t="s">
        <v>40</v>
      </c>
      <c r="H456" s="148" t="s">
        <v>40</v>
      </c>
      <c r="I456" s="158" t="s">
        <v>14</v>
      </c>
      <c r="J456" s="158" t="s">
        <v>14</v>
      </c>
      <c r="K456" s="158" t="s">
        <v>14</v>
      </c>
      <c r="L456" s="158" t="s">
        <v>689</v>
      </c>
      <c r="M456" s="65" t="s">
        <v>12</v>
      </c>
      <c r="N456" s="158">
        <v>24</v>
      </c>
      <c r="O456" s="120" t="s">
        <v>49</v>
      </c>
      <c r="P456" s="414"/>
    </row>
    <row r="457" spans="1:16" ht="75">
      <c r="A457" s="158">
        <v>17</v>
      </c>
      <c r="B457" s="408"/>
      <c r="C457" s="409"/>
      <c r="D457" s="211" t="s">
        <v>723</v>
      </c>
      <c r="E457" s="204">
        <v>80</v>
      </c>
      <c r="F457" s="148" t="s">
        <v>40</v>
      </c>
      <c r="G457" s="148" t="s">
        <v>40</v>
      </c>
      <c r="H457" s="148" t="s">
        <v>40</v>
      </c>
      <c r="I457" s="158" t="s">
        <v>14</v>
      </c>
      <c r="J457" s="158" t="s">
        <v>14</v>
      </c>
      <c r="K457" s="158" t="s">
        <v>14</v>
      </c>
      <c r="L457" s="158" t="s">
        <v>689</v>
      </c>
      <c r="M457" s="65" t="s">
        <v>12</v>
      </c>
      <c r="N457" s="158">
        <v>25</v>
      </c>
      <c r="O457" s="120" t="s">
        <v>49</v>
      </c>
      <c r="P457" s="414"/>
    </row>
    <row r="458" spans="1:16" ht="45">
      <c r="A458" s="158">
        <v>18</v>
      </c>
      <c r="B458" s="408"/>
      <c r="C458" s="409"/>
      <c r="D458" s="211" t="s">
        <v>724</v>
      </c>
      <c r="E458" s="204">
        <v>202</v>
      </c>
      <c r="F458" s="148" t="s">
        <v>40</v>
      </c>
      <c r="G458" s="148" t="s">
        <v>40</v>
      </c>
      <c r="H458" s="148" t="s">
        <v>40</v>
      </c>
      <c r="I458" s="158" t="s">
        <v>14</v>
      </c>
      <c r="J458" s="158" t="s">
        <v>14</v>
      </c>
      <c r="K458" s="158" t="s">
        <v>14</v>
      </c>
      <c r="L458" s="158" t="s">
        <v>689</v>
      </c>
      <c r="M458" s="65" t="s">
        <v>12</v>
      </c>
      <c r="N458" s="158">
        <v>26</v>
      </c>
      <c r="O458" s="120" t="s">
        <v>49</v>
      </c>
      <c r="P458" s="414"/>
    </row>
    <row r="459" spans="1:16" ht="45">
      <c r="A459" s="158">
        <v>19</v>
      </c>
      <c r="B459" s="408"/>
      <c r="C459" s="409"/>
      <c r="D459" s="127" t="s">
        <v>725</v>
      </c>
      <c r="E459" s="65">
        <v>870</v>
      </c>
      <c r="F459" s="148" t="s">
        <v>40</v>
      </c>
      <c r="G459" s="148" t="s">
        <v>40</v>
      </c>
      <c r="H459" s="148" t="s">
        <v>40</v>
      </c>
      <c r="I459" s="158" t="s">
        <v>14</v>
      </c>
      <c r="J459" s="158" t="s">
        <v>14</v>
      </c>
      <c r="K459" s="158" t="s">
        <v>14</v>
      </c>
      <c r="L459" s="158" t="s">
        <v>689</v>
      </c>
      <c r="M459" s="65" t="s">
        <v>12</v>
      </c>
      <c r="N459" s="158">
        <v>27</v>
      </c>
      <c r="O459" s="120" t="s">
        <v>49</v>
      </c>
      <c r="P459" s="414"/>
    </row>
    <row r="460" spans="1:16" ht="45">
      <c r="A460" s="158">
        <v>20</v>
      </c>
      <c r="B460" s="408"/>
      <c r="C460" s="409"/>
      <c r="D460" s="211" t="s">
        <v>726</v>
      </c>
      <c r="E460" s="204">
        <v>780</v>
      </c>
      <c r="F460" s="148" t="s">
        <v>40</v>
      </c>
      <c r="G460" s="148" t="s">
        <v>40</v>
      </c>
      <c r="H460" s="148" t="s">
        <v>40</v>
      </c>
      <c r="I460" s="158" t="s">
        <v>14</v>
      </c>
      <c r="J460" s="158" t="s">
        <v>14</v>
      </c>
      <c r="K460" s="158" t="s">
        <v>14</v>
      </c>
      <c r="L460" s="158" t="s">
        <v>689</v>
      </c>
      <c r="M460" s="65" t="s">
        <v>12</v>
      </c>
      <c r="N460" s="158">
        <v>28</v>
      </c>
      <c r="O460" s="120" t="s">
        <v>49</v>
      </c>
      <c r="P460" s="414"/>
    </row>
    <row r="461" spans="1:16" ht="45">
      <c r="A461" s="158">
        <v>21</v>
      </c>
      <c r="B461" s="408"/>
      <c r="C461" s="409"/>
      <c r="D461" s="211" t="s">
        <v>727</v>
      </c>
      <c r="E461" s="204">
        <v>1550</v>
      </c>
      <c r="F461" s="204" t="s">
        <v>728</v>
      </c>
      <c r="G461" s="204" t="s">
        <v>43</v>
      </c>
      <c r="H461" s="148" t="s">
        <v>40</v>
      </c>
      <c r="I461" s="158" t="s">
        <v>14</v>
      </c>
      <c r="J461" s="158" t="s">
        <v>14</v>
      </c>
      <c r="K461" s="158" t="s">
        <v>14</v>
      </c>
      <c r="L461" s="158" t="s">
        <v>689</v>
      </c>
      <c r="M461" s="65" t="s">
        <v>12</v>
      </c>
      <c r="N461" s="158">
        <v>29</v>
      </c>
      <c r="O461" s="120" t="s">
        <v>49</v>
      </c>
      <c r="P461" s="414"/>
    </row>
    <row r="462" spans="1:16" ht="30">
      <c r="A462" s="158">
        <v>22</v>
      </c>
      <c r="B462" s="408"/>
      <c r="C462" s="409"/>
      <c r="D462" s="211" t="s">
        <v>729</v>
      </c>
      <c r="E462" s="204">
        <v>3060</v>
      </c>
      <c r="F462" s="204" t="s">
        <v>730</v>
      </c>
      <c r="G462" s="204" t="s">
        <v>43</v>
      </c>
      <c r="H462" s="148" t="s">
        <v>40</v>
      </c>
      <c r="I462" s="158" t="s">
        <v>14</v>
      </c>
      <c r="J462" s="158" t="s">
        <v>14</v>
      </c>
      <c r="K462" s="158" t="s">
        <v>14</v>
      </c>
      <c r="L462" s="158" t="s">
        <v>689</v>
      </c>
      <c r="M462" s="65" t="s">
        <v>12</v>
      </c>
      <c r="N462" s="158">
        <v>30</v>
      </c>
      <c r="O462" s="120" t="s">
        <v>49</v>
      </c>
      <c r="P462" s="414"/>
    </row>
    <row r="463" spans="1:16" ht="30">
      <c r="A463" s="158">
        <v>23</v>
      </c>
      <c r="B463" s="408"/>
      <c r="C463" s="409"/>
      <c r="D463" s="211" t="s">
        <v>731</v>
      </c>
      <c r="E463" s="204">
        <v>1500</v>
      </c>
      <c r="F463" s="204" t="s">
        <v>732</v>
      </c>
      <c r="G463" s="204" t="s">
        <v>43</v>
      </c>
      <c r="H463" s="148" t="s">
        <v>40</v>
      </c>
      <c r="I463" s="158" t="s">
        <v>14</v>
      </c>
      <c r="J463" s="158" t="s">
        <v>14</v>
      </c>
      <c r="K463" s="158" t="s">
        <v>14</v>
      </c>
      <c r="L463" s="158" t="s">
        <v>733</v>
      </c>
      <c r="M463" s="65" t="s">
        <v>12</v>
      </c>
      <c r="N463" s="158">
        <v>31</v>
      </c>
      <c r="O463" s="120" t="s">
        <v>49</v>
      </c>
      <c r="P463" s="414"/>
    </row>
    <row r="464" spans="1:16">
      <c r="A464" s="410"/>
      <c r="B464" s="411"/>
      <c r="C464" s="411"/>
      <c r="D464" s="411"/>
      <c r="E464" s="411"/>
      <c r="F464" s="411"/>
      <c r="G464" s="411"/>
      <c r="H464" s="411"/>
      <c r="I464" s="411"/>
      <c r="J464" s="411"/>
      <c r="K464" s="411"/>
      <c r="L464" s="411"/>
      <c r="M464" s="411"/>
      <c r="N464" s="411"/>
      <c r="O464" s="412"/>
      <c r="P464" s="414"/>
    </row>
    <row r="465" spans="1:16" ht="20.25" customHeight="1">
      <c r="A465" s="400" t="s">
        <v>33</v>
      </c>
      <c r="B465" s="401"/>
      <c r="C465" s="401"/>
      <c r="D465" s="401"/>
      <c r="E465" s="401"/>
      <c r="F465" s="401"/>
      <c r="G465" s="401"/>
      <c r="H465" s="401"/>
      <c r="I465" s="401"/>
      <c r="J465" s="401"/>
      <c r="K465" s="401"/>
      <c r="L465" s="401"/>
      <c r="M465" s="401"/>
      <c r="N465" s="401"/>
      <c r="O465" s="401"/>
      <c r="P465" s="414"/>
    </row>
    <row r="466" spans="1:16" ht="85.5">
      <c r="A466" s="38" t="s">
        <v>0</v>
      </c>
      <c r="B466" s="38" t="s">
        <v>35</v>
      </c>
      <c r="C466" s="38" t="s">
        <v>1</v>
      </c>
      <c r="D466" s="38" t="s">
        <v>2</v>
      </c>
      <c r="E466" s="38" t="s">
        <v>28</v>
      </c>
      <c r="F466" s="38" t="s">
        <v>18</v>
      </c>
      <c r="G466" s="38" t="s">
        <v>29</v>
      </c>
      <c r="H466" s="38" t="s">
        <v>19</v>
      </c>
      <c r="I466" s="38" t="s">
        <v>112</v>
      </c>
      <c r="J466" s="38" t="s">
        <v>5</v>
      </c>
      <c r="K466" s="38" t="s">
        <v>6</v>
      </c>
      <c r="L466" s="38" t="s">
        <v>30</v>
      </c>
      <c r="M466" s="38" t="s">
        <v>22</v>
      </c>
      <c r="N466" s="51" t="s">
        <v>31</v>
      </c>
      <c r="O466" s="52" t="s">
        <v>11</v>
      </c>
      <c r="P466" s="414"/>
    </row>
    <row r="467" spans="1:16">
      <c r="A467" s="11">
        <v>1</v>
      </c>
      <c r="B467" s="39">
        <v>2</v>
      </c>
      <c r="C467" s="39">
        <v>3</v>
      </c>
      <c r="D467" s="39">
        <v>4</v>
      </c>
      <c r="E467" s="39">
        <v>5</v>
      </c>
      <c r="F467" s="39">
        <v>6</v>
      </c>
      <c r="G467" s="39">
        <v>7</v>
      </c>
      <c r="H467" s="39">
        <v>8</v>
      </c>
      <c r="I467" s="39">
        <v>9</v>
      </c>
      <c r="J467" s="39">
        <v>10</v>
      </c>
      <c r="K467" s="39">
        <v>11</v>
      </c>
      <c r="L467" s="39">
        <v>12</v>
      </c>
      <c r="M467" s="39">
        <v>13</v>
      </c>
      <c r="N467" s="56">
        <v>14</v>
      </c>
      <c r="O467" s="39">
        <v>15</v>
      </c>
      <c r="P467" s="414"/>
    </row>
    <row r="468" spans="1:16" ht="45">
      <c r="A468" s="173">
        <v>1</v>
      </c>
      <c r="B468" s="416" t="s">
        <v>600</v>
      </c>
      <c r="C468" s="419" t="s">
        <v>734</v>
      </c>
      <c r="D468" s="157" t="s">
        <v>735</v>
      </c>
      <c r="E468" s="158" t="s">
        <v>736</v>
      </c>
      <c r="F468" s="158">
        <v>1942</v>
      </c>
      <c r="G468" s="77" t="s">
        <v>12</v>
      </c>
      <c r="H468" s="77" t="s">
        <v>12</v>
      </c>
      <c r="I468" s="77" t="s">
        <v>12</v>
      </c>
      <c r="J468" s="77" t="s">
        <v>12</v>
      </c>
      <c r="K468" s="77" t="s">
        <v>12</v>
      </c>
      <c r="L468" s="77" t="s">
        <v>12</v>
      </c>
      <c r="M468" s="77" t="s">
        <v>12</v>
      </c>
      <c r="N468" s="173">
        <v>5</v>
      </c>
      <c r="O468" s="173"/>
      <c r="P468" s="414"/>
    </row>
    <row r="469" spans="1:16" ht="60">
      <c r="A469" s="158">
        <v>2</v>
      </c>
      <c r="B469" s="417"/>
      <c r="C469" s="420"/>
      <c r="D469" s="157" t="s">
        <v>737</v>
      </c>
      <c r="E469" s="158">
        <v>1222</v>
      </c>
      <c r="F469" s="43" t="s">
        <v>15</v>
      </c>
      <c r="G469" s="43" t="s">
        <v>15</v>
      </c>
      <c r="H469" s="43" t="s">
        <v>15</v>
      </c>
      <c r="I469" s="203" t="s">
        <v>703</v>
      </c>
      <c r="J469" s="43" t="s">
        <v>15</v>
      </c>
      <c r="K469" s="43" t="s">
        <v>15</v>
      </c>
      <c r="L469" s="43" t="s">
        <v>15</v>
      </c>
      <c r="M469" s="43" t="s">
        <v>15</v>
      </c>
      <c r="N469" s="43">
        <v>6</v>
      </c>
      <c r="O469" s="158" t="s">
        <v>738</v>
      </c>
      <c r="P469" s="414"/>
    </row>
    <row r="470" spans="1:16" ht="45">
      <c r="A470" s="77">
        <v>3</v>
      </c>
      <c r="B470" s="417"/>
      <c r="C470" s="420"/>
      <c r="D470" s="146" t="s">
        <v>607</v>
      </c>
      <c r="E470" s="77">
        <v>1060</v>
      </c>
      <c r="F470" s="148" t="s">
        <v>608</v>
      </c>
      <c r="G470" s="148" t="s">
        <v>608</v>
      </c>
      <c r="H470" s="148" t="s">
        <v>740</v>
      </c>
      <c r="I470" s="77" t="s">
        <v>614</v>
      </c>
      <c r="J470" s="77" t="s">
        <v>12</v>
      </c>
      <c r="K470" s="77" t="s">
        <v>12</v>
      </c>
      <c r="L470" s="77" t="s">
        <v>36</v>
      </c>
      <c r="M470" s="9">
        <v>365</v>
      </c>
      <c r="N470" s="148">
        <v>8</v>
      </c>
      <c r="O470" s="148" t="s">
        <v>741</v>
      </c>
      <c r="P470" s="414"/>
    </row>
    <row r="471" spans="1:16" ht="60">
      <c r="A471" s="167">
        <v>4</v>
      </c>
      <c r="B471" s="417"/>
      <c r="C471" s="420"/>
      <c r="D471" s="155" t="s">
        <v>742</v>
      </c>
      <c r="E471" s="167">
        <v>1790</v>
      </c>
      <c r="F471" s="167" t="s">
        <v>37</v>
      </c>
      <c r="G471" s="167" t="s">
        <v>37</v>
      </c>
      <c r="H471" s="167" t="s">
        <v>37</v>
      </c>
      <c r="I471" s="160" t="s">
        <v>743</v>
      </c>
      <c r="J471" s="167" t="s">
        <v>37</v>
      </c>
      <c r="K471" s="167" t="s">
        <v>37</v>
      </c>
      <c r="L471" s="167" t="s">
        <v>37</v>
      </c>
      <c r="M471" s="167" t="s">
        <v>37</v>
      </c>
      <c r="N471" s="167">
        <v>9</v>
      </c>
      <c r="O471" s="167"/>
      <c r="P471" s="414"/>
    </row>
    <row r="472" spans="1:16" ht="73.5" customHeight="1">
      <c r="A472" s="167">
        <v>5</v>
      </c>
      <c r="B472" s="417"/>
      <c r="C472" s="420"/>
      <c r="D472" s="155" t="s">
        <v>744</v>
      </c>
      <c r="E472" s="167">
        <v>1400</v>
      </c>
      <c r="F472" s="167" t="s">
        <v>745</v>
      </c>
      <c r="G472" s="167" t="s">
        <v>37</v>
      </c>
      <c r="H472" s="167" t="s">
        <v>37</v>
      </c>
      <c r="I472" s="160" t="s">
        <v>743</v>
      </c>
      <c r="J472" s="167" t="s">
        <v>37</v>
      </c>
      <c r="K472" s="167" t="s">
        <v>37</v>
      </c>
      <c r="L472" s="167" t="s">
        <v>37</v>
      </c>
      <c r="M472" s="167" t="s">
        <v>37</v>
      </c>
      <c r="N472" s="167">
        <v>10</v>
      </c>
      <c r="O472" s="167"/>
      <c r="P472" s="414"/>
    </row>
    <row r="473" spans="1:16" ht="78.75" customHeight="1">
      <c r="A473" s="167">
        <v>6</v>
      </c>
      <c r="B473" s="417"/>
      <c r="C473" s="420"/>
      <c r="D473" s="155" t="s">
        <v>746</v>
      </c>
      <c r="E473" s="167">
        <v>3720</v>
      </c>
      <c r="F473" s="167" t="s">
        <v>745</v>
      </c>
      <c r="G473" s="167" t="s">
        <v>37</v>
      </c>
      <c r="H473" s="167" t="s">
        <v>37</v>
      </c>
      <c r="I473" s="160" t="s">
        <v>743</v>
      </c>
      <c r="J473" s="167" t="s">
        <v>37</v>
      </c>
      <c r="K473" s="167" t="s">
        <v>37</v>
      </c>
      <c r="L473" s="167" t="s">
        <v>37</v>
      </c>
      <c r="M473" s="167" t="s">
        <v>37</v>
      </c>
      <c r="N473" s="167">
        <v>11</v>
      </c>
      <c r="O473" s="160" t="s">
        <v>747</v>
      </c>
      <c r="P473" s="414"/>
    </row>
    <row r="474" spans="1:16" ht="75">
      <c r="A474" s="167">
        <v>7</v>
      </c>
      <c r="B474" s="417"/>
      <c r="C474" s="420"/>
      <c r="D474" s="155" t="s">
        <v>748</v>
      </c>
      <c r="E474" s="167">
        <v>1575</v>
      </c>
      <c r="F474" s="167" t="s">
        <v>745</v>
      </c>
      <c r="G474" s="167" t="s">
        <v>37</v>
      </c>
      <c r="H474" s="167" t="s">
        <v>37</v>
      </c>
      <c r="I474" s="160" t="s">
        <v>743</v>
      </c>
      <c r="J474" s="167" t="s">
        <v>37</v>
      </c>
      <c r="K474" s="167" t="s">
        <v>37</v>
      </c>
      <c r="L474" s="167" t="s">
        <v>37</v>
      </c>
      <c r="M474" s="167" t="s">
        <v>37</v>
      </c>
      <c r="N474" s="167">
        <v>12</v>
      </c>
      <c r="O474" s="65" t="s">
        <v>749</v>
      </c>
      <c r="P474" s="414"/>
    </row>
    <row r="475" spans="1:16" ht="89.25">
      <c r="A475" s="77">
        <v>8</v>
      </c>
      <c r="B475" s="417"/>
      <c r="C475" s="420"/>
      <c r="D475" s="46" t="s">
        <v>750</v>
      </c>
      <c r="E475" s="156">
        <v>200</v>
      </c>
      <c r="F475" s="77" t="s">
        <v>40</v>
      </c>
      <c r="G475" s="77" t="s">
        <v>40</v>
      </c>
      <c r="H475" s="77" t="s">
        <v>40</v>
      </c>
      <c r="I475" s="77" t="s">
        <v>14</v>
      </c>
      <c r="J475" s="77" t="s">
        <v>14</v>
      </c>
      <c r="K475" s="77" t="s">
        <v>14</v>
      </c>
      <c r="L475" s="148" t="s">
        <v>689</v>
      </c>
      <c r="M475" s="167" t="s">
        <v>37</v>
      </c>
      <c r="N475" s="77">
        <v>14</v>
      </c>
      <c r="O475" s="220" t="s">
        <v>2150</v>
      </c>
      <c r="P475" s="414"/>
    </row>
    <row r="476" spans="1:16" ht="89.25">
      <c r="A476" s="77">
        <v>9</v>
      </c>
      <c r="B476" s="417"/>
      <c r="C476" s="420"/>
      <c r="D476" s="46" t="s">
        <v>751</v>
      </c>
      <c r="E476" s="156">
        <v>64750</v>
      </c>
      <c r="F476" s="77" t="s">
        <v>40</v>
      </c>
      <c r="G476" s="77" t="s">
        <v>40</v>
      </c>
      <c r="H476" s="77" t="s">
        <v>40</v>
      </c>
      <c r="I476" s="77" t="s">
        <v>14</v>
      </c>
      <c r="J476" s="77" t="s">
        <v>14</v>
      </c>
      <c r="K476" s="77" t="s">
        <v>14</v>
      </c>
      <c r="L476" s="148" t="s">
        <v>689</v>
      </c>
      <c r="M476" s="167" t="s">
        <v>37</v>
      </c>
      <c r="N476" s="77">
        <v>15</v>
      </c>
      <c r="O476" s="220" t="s">
        <v>2151</v>
      </c>
      <c r="P476" s="414"/>
    </row>
    <row r="477" spans="1:16" ht="45">
      <c r="A477" s="77">
        <v>10</v>
      </c>
      <c r="B477" s="417"/>
      <c r="C477" s="420"/>
      <c r="D477" s="216" t="s">
        <v>752</v>
      </c>
      <c r="E477" s="204">
        <v>693</v>
      </c>
      <c r="F477" s="167" t="s">
        <v>753</v>
      </c>
      <c r="G477" s="77" t="s">
        <v>40</v>
      </c>
      <c r="H477" s="77" t="s">
        <v>40</v>
      </c>
      <c r="I477" s="77" t="s">
        <v>14</v>
      </c>
      <c r="J477" s="77" t="s">
        <v>14</v>
      </c>
      <c r="K477" s="77" t="s">
        <v>14</v>
      </c>
      <c r="L477" s="148" t="s">
        <v>689</v>
      </c>
      <c r="M477" s="167" t="s">
        <v>37</v>
      </c>
      <c r="N477" s="77">
        <v>16</v>
      </c>
      <c r="O477" s="204" t="s">
        <v>754</v>
      </c>
      <c r="P477" s="414"/>
    </row>
    <row r="478" spans="1:16" ht="60">
      <c r="A478" s="77">
        <v>11</v>
      </c>
      <c r="B478" s="417"/>
      <c r="C478" s="420"/>
      <c r="D478" s="31" t="s">
        <v>755</v>
      </c>
      <c r="E478" s="204">
        <v>309.39999999999998</v>
      </c>
      <c r="F478" s="77" t="s">
        <v>40</v>
      </c>
      <c r="G478" s="77" t="s">
        <v>40</v>
      </c>
      <c r="H478" s="77" t="s">
        <v>40</v>
      </c>
      <c r="I478" s="77" t="s">
        <v>14</v>
      </c>
      <c r="J478" s="77" t="s">
        <v>14</v>
      </c>
      <c r="K478" s="77" t="s">
        <v>14</v>
      </c>
      <c r="L478" s="148" t="s">
        <v>689</v>
      </c>
      <c r="M478" s="167" t="s">
        <v>37</v>
      </c>
      <c r="N478" s="77">
        <v>17</v>
      </c>
      <c r="O478" s="204" t="s">
        <v>756</v>
      </c>
      <c r="P478" s="414"/>
    </row>
    <row r="479" spans="1:16" ht="60">
      <c r="A479" s="77">
        <v>12</v>
      </c>
      <c r="B479" s="417"/>
      <c r="C479" s="420"/>
      <c r="D479" s="31" t="s">
        <v>757</v>
      </c>
      <c r="E479" s="204" t="s">
        <v>758</v>
      </c>
      <c r="F479" s="77" t="s">
        <v>40</v>
      </c>
      <c r="G479" s="77" t="s">
        <v>40</v>
      </c>
      <c r="H479" s="77" t="s">
        <v>40</v>
      </c>
      <c r="I479" s="77" t="s">
        <v>14</v>
      </c>
      <c r="J479" s="77" t="s">
        <v>14</v>
      </c>
      <c r="K479" s="77" t="s">
        <v>14</v>
      </c>
      <c r="L479" s="148" t="s">
        <v>689</v>
      </c>
      <c r="M479" s="167" t="s">
        <v>37</v>
      </c>
      <c r="N479" s="77">
        <v>18</v>
      </c>
      <c r="O479" s="204" t="s">
        <v>759</v>
      </c>
      <c r="P479" s="414"/>
    </row>
    <row r="480" spans="1:16" ht="74.25">
      <c r="A480" s="77">
        <v>13</v>
      </c>
      <c r="B480" s="417"/>
      <c r="C480" s="420"/>
      <c r="D480" s="31" t="s">
        <v>760</v>
      </c>
      <c r="E480" s="156">
        <v>600</v>
      </c>
      <c r="F480" s="77" t="s">
        <v>40</v>
      </c>
      <c r="G480" s="77" t="s">
        <v>40</v>
      </c>
      <c r="H480" s="77" t="s">
        <v>40</v>
      </c>
      <c r="I480" s="77" t="s">
        <v>14</v>
      </c>
      <c r="J480" s="77" t="s">
        <v>14</v>
      </c>
      <c r="K480" s="77" t="s">
        <v>14</v>
      </c>
      <c r="L480" s="148" t="s">
        <v>689</v>
      </c>
      <c r="M480" s="167" t="s">
        <v>37</v>
      </c>
      <c r="N480" s="77">
        <v>19</v>
      </c>
      <c r="O480" s="220" t="s">
        <v>2152</v>
      </c>
      <c r="P480" s="414"/>
    </row>
    <row r="481" spans="1:16" ht="104.25">
      <c r="A481" s="77">
        <v>14</v>
      </c>
      <c r="B481" s="417"/>
      <c r="C481" s="420"/>
      <c r="D481" s="155" t="s">
        <v>761</v>
      </c>
      <c r="E481" s="167">
        <v>18400</v>
      </c>
      <c r="F481" s="77" t="s">
        <v>40</v>
      </c>
      <c r="G481" s="77" t="s">
        <v>40</v>
      </c>
      <c r="H481" s="77" t="s">
        <v>40</v>
      </c>
      <c r="I481" s="77" t="s">
        <v>14</v>
      </c>
      <c r="J481" s="77" t="s">
        <v>14</v>
      </c>
      <c r="K481" s="77" t="s">
        <v>14</v>
      </c>
      <c r="L481" s="148" t="s">
        <v>689</v>
      </c>
      <c r="M481" s="167" t="s">
        <v>37</v>
      </c>
      <c r="N481" s="77">
        <v>20</v>
      </c>
      <c r="O481" s="221" t="s">
        <v>2153</v>
      </c>
      <c r="P481" s="414"/>
    </row>
    <row r="482" spans="1:16" ht="120">
      <c r="A482" s="77">
        <v>15</v>
      </c>
      <c r="B482" s="417"/>
      <c r="C482" s="420"/>
      <c r="D482" s="216" t="s">
        <v>762</v>
      </c>
      <c r="E482" s="204">
        <v>170</v>
      </c>
      <c r="F482" s="77" t="s">
        <v>40</v>
      </c>
      <c r="G482" s="77" t="s">
        <v>40</v>
      </c>
      <c r="H482" s="77" t="s">
        <v>40</v>
      </c>
      <c r="I482" s="77" t="s">
        <v>14</v>
      </c>
      <c r="J482" s="77" t="s">
        <v>14</v>
      </c>
      <c r="K482" s="77" t="s">
        <v>14</v>
      </c>
      <c r="L482" s="148" t="s">
        <v>689</v>
      </c>
      <c r="M482" s="65" t="s">
        <v>12</v>
      </c>
      <c r="N482" s="77">
        <v>23</v>
      </c>
      <c r="O482" s="204" t="s">
        <v>763</v>
      </c>
      <c r="P482" s="414"/>
    </row>
    <row r="483" spans="1:16" ht="45">
      <c r="A483" s="77"/>
      <c r="B483" s="418"/>
      <c r="C483" s="421"/>
      <c r="D483" s="57"/>
      <c r="E483" s="148"/>
      <c r="F483" s="167"/>
      <c r="G483" s="148"/>
      <c r="H483" s="148"/>
      <c r="I483" s="77"/>
      <c r="J483" s="77"/>
      <c r="K483" s="77"/>
      <c r="L483" s="87"/>
      <c r="M483" s="8" t="s">
        <v>49</v>
      </c>
      <c r="N483" s="9">
        <v>2</v>
      </c>
      <c r="O483" s="148" t="s">
        <v>53</v>
      </c>
      <c r="P483" s="415"/>
    </row>
    <row r="484" spans="1:16">
      <c r="A484" s="467"/>
      <c r="B484" s="467"/>
      <c r="C484" s="467"/>
      <c r="D484" s="467"/>
      <c r="E484" s="467"/>
      <c r="F484" s="467"/>
      <c r="G484" s="467"/>
      <c r="H484" s="467"/>
      <c r="I484" s="467"/>
      <c r="J484" s="467"/>
      <c r="K484" s="467"/>
      <c r="L484" s="467"/>
      <c r="M484" s="467"/>
      <c r="N484" s="467"/>
      <c r="O484" s="467"/>
      <c r="P484" s="467"/>
    </row>
    <row r="485" spans="1:16" ht="20.25">
      <c r="A485" s="400" t="s">
        <v>34</v>
      </c>
      <c r="B485" s="401"/>
      <c r="C485" s="401"/>
      <c r="D485" s="401"/>
      <c r="E485" s="401"/>
      <c r="F485" s="401"/>
      <c r="G485" s="401"/>
      <c r="H485" s="401"/>
      <c r="I485" s="401"/>
      <c r="J485" s="401"/>
      <c r="K485" s="401"/>
      <c r="L485" s="401"/>
      <c r="M485" s="401"/>
      <c r="N485" s="401"/>
      <c r="O485" s="401"/>
      <c r="P485" s="401"/>
    </row>
    <row r="486" spans="1:16" ht="85.5">
      <c r="A486" s="21" t="s">
        <v>0</v>
      </c>
      <c r="B486" s="21" t="s">
        <v>116</v>
      </c>
      <c r="C486" s="21" t="s">
        <v>1</v>
      </c>
      <c r="D486" s="21" t="s">
        <v>123</v>
      </c>
      <c r="E486" s="21" t="s">
        <v>28</v>
      </c>
      <c r="F486" s="21" t="s">
        <v>18</v>
      </c>
      <c r="G486" s="21" t="s">
        <v>111</v>
      </c>
      <c r="H486" s="21" t="s">
        <v>115</v>
      </c>
      <c r="I486" s="21" t="s">
        <v>112</v>
      </c>
      <c r="J486" s="21" t="s">
        <v>5</v>
      </c>
      <c r="K486" s="21" t="s">
        <v>6</v>
      </c>
      <c r="L486" s="21" t="s">
        <v>30</v>
      </c>
      <c r="M486" s="21" t="s">
        <v>22</v>
      </c>
      <c r="N486" s="22" t="s">
        <v>32</v>
      </c>
      <c r="O486" s="22" t="s">
        <v>31</v>
      </c>
      <c r="P486" s="20" t="s">
        <v>24</v>
      </c>
    </row>
    <row r="487" spans="1:16" ht="20.25" customHeight="1">
      <c r="A487" s="12">
        <v>1</v>
      </c>
      <c r="B487" s="83">
        <v>2</v>
      </c>
      <c r="C487" s="83">
        <v>3</v>
      </c>
      <c r="D487" s="83">
        <v>4</v>
      </c>
      <c r="E487" s="83">
        <v>5</v>
      </c>
      <c r="F487" s="83">
        <v>6</v>
      </c>
      <c r="G487" s="83">
        <v>7</v>
      </c>
      <c r="H487" s="83">
        <v>8</v>
      </c>
      <c r="I487" s="83">
        <v>9</v>
      </c>
      <c r="J487" s="83">
        <v>10</v>
      </c>
      <c r="K487" s="83">
        <v>11</v>
      </c>
      <c r="L487" s="83">
        <v>12</v>
      </c>
      <c r="M487" s="83">
        <v>13</v>
      </c>
      <c r="N487" s="83">
        <v>14</v>
      </c>
      <c r="O487" s="81">
        <v>15</v>
      </c>
      <c r="P487" s="21">
        <v>16</v>
      </c>
    </row>
    <row r="488" spans="1:16" ht="135" customHeight="1">
      <c r="A488" s="148">
        <v>1</v>
      </c>
      <c r="B488" s="157" t="s">
        <v>764</v>
      </c>
      <c r="C488" s="471" t="s">
        <v>765</v>
      </c>
      <c r="D488" s="146" t="s">
        <v>766</v>
      </c>
      <c r="E488" s="158">
        <v>716.6</v>
      </c>
      <c r="F488" s="148" t="s">
        <v>767</v>
      </c>
      <c r="G488" s="148" t="s">
        <v>767</v>
      </c>
      <c r="H488" s="158" t="s">
        <v>39</v>
      </c>
      <c r="I488" s="158" t="s">
        <v>703</v>
      </c>
      <c r="J488" s="158" t="s">
        <v>12</v>
      </c>
      <c r="K488" s="158" t="s">
        <v>12</v>
      </c>
      <c r="L488" s="158" t="s">
        <v>689</v>
      </c>
      <c r="M488" s="160" t="s">
        <v>37</v>
      </c>
      <c r="N488" s="158">
        <v>1</v>
      </c>
      <c r="O488" s="148">
        <v>1</v>
      </c>
      <c r="P488" s="220" t="s">
        <v>768</v>
      </c>
    </row>
    <row r="489" spans="1:16" ht="75">
      <c r="A489" s="160">
        <v>2</v>
      </c>
      <c r="B489" s="468" t="s">
        <v>2154</v>
      </c>
      <c r="C489" s="472"/>
      <c r="D489" s="216" t="s">
        <v>769</v>
      </c>
      <c r="E489" s="204">
        <v>1251</v>
      </c>
      <c r="F489" s="204">
        <v>1968</v>
      </c>
      <c r="G489" s="204">
        <v>1.86</v>
      </c>
      <c r="H489" s="160" t="s">
        <v>13</v>
      </c>
      <c r="I489" s="160" t="s">
        <v>770</v>
      </c>
      <c r="J489" s="160" t="s">
        <v>13</v>
      </c>
      <c r="K489" s="160" t="s">
        <v>13</v>
      </c>
      <c r="L489" s="158" t="s">
        <v>689</v>
      </c>
      <c r="M489" s="160" t="s">
        <v>37</v>
      </c>
      <c r="N489" s="160">
        <v>2</v>
      </c>
      <c r="O489" s="160">
        <v>2</v>
      </c>
      <c r="P489" s="204" t="s">
        <v>771</v>
      </c>
    </row>
    <row r="490" spans="1:16" ht="60">
      <c r="A490" s="160">
        <v>3</v>
      </c>
      <c r="B490" s="469"/>
      <c r="C490" s="473"/>
      <c r="D490" s="31" t="s">
        <v>931</v>
      </c>
      <c r="E490" s="160" t="s">
        <v>772</v>
      </c>
      <c r="F490" s="160">
        <v>1914</v>
      </c>
      <c r="G490" s="160">
        <v>3.4999999999999997E-5</v>
      </c>
      <c r="H490" s="160"/>
      <c r="I490" s="160" t="s">
        <v>770</v>
      </c>
      <c r="J490" s="160" t="s">
        <v>13</v>
      </c>
      <c r="K490" s="160" t="s">
        <v>13</v>
      </c>
      <c r="L490" s="158" t="s">
        <v>689</v>
      </c>
      <c r="M490" s="160" t="s">
        <v>37</v>
      </c>
      <c r="N490" s="160">
        <v>3</v>
      </c>
      <c r="O490" s="160">
        <v>3</v>
      </c>
      <c r="P490" s="160" t="s">
        <v>773</v>
      </c>
    </row>
    <row r="491" spans="1:16" ht="45">
      <c r="A491" s="65">
        <v>4</v>
      </c>
      <c r="B491" s="469"/>
      <c r="C491" s="224" t="s">
        <v>774</v>
      </c>
      <c r="D491" s="224" t="s">
        <v>775</v>
      </c>
      <c r="E491" s="202">
        <v>5752</v>
      </c>
      <c r="F491" s="202" t="s">
        <v>43</v>
      </c>
      <c r="G491" s="202" t="s">
        <v>699</v>
      </c>
      <c r="H491" s="202"/>
      <c r="I491" s="202" t="s">
        <v>776</v>
      </c>
      <c r="J491" s="202" t="s">
        <v>15</v>
      </c>
      <c r="K491" s="202" t="s">
        <v>15</v>
      </c>
      <c r="L491" s="202" t="s">
        <v>15</v>
      </c>
      <c r="M491" s="202" t="s">
        <v>15</v>
      </c>
      <c r="N491" s="202">
        <v>4</v>
      </c>
      <c r="O491" s="202">
        <v>4</v>
      </c>
      <c r="P491" s="205"/>
    </row>
    <row r="492" spans="1:16" ht="45">
      <c r="A492" s="160">
        <v>5</v>
      </c>
      <c r="B492" s="469"/>
      <c r="C492" s="146" t="s">
        <v>765</v>
      </c>
      <c r="D492" s="157" t="s">
        <v>777</v>
      </c>
      <c r="E492" s="158">
        <v>809</v>
      </c>
      <c r="F492" s="158" t="s">
        <v>778</v>
      </c>
      <c r="G492" s="222" t="s">
        <v>779</v>
      </c>
      <c r="H492" s="222" t="s">
        <v>56</v>
      </c>
      <c r="I492" s="158" t="s">
        <v>780</v>
      </c>
      <c r="J492" s="158" t="s">
        <v>781</v>
      </c>
      <c r="K492" s="158" t="s">
        <v>781</v>
      </c>
      <c r="L492" s="158" t="s">
        <v>689</v>
      </c>
      <c r="M492" s="160" t="s">
        <v>37</v>
      </c>
      <c r="N492" s="158">
        <v>10</v>
      </c>
      <c r="O492" s="206">
        <v>7</v>
      </c>
      <c r="P492" s="222" t="s">
        <v>779</v>
      </c>
    </row>
    <row r="493" spans="1:16" ht="45">
      <c r="A493" s="148">
        <v>6</v>
      </c>
      <c r="B493" s="469"/>
      <c r="C493" s="146" t="s">
        <v>765</v>
      </c>
      <c r="D493" s="155" t="s">
        <v>782</v>
      </c>
      <c r="E493" s="160">
        <v>1900</v>
      </c>
      <c r="F493" s="160" t="s">
        <v>745</v>
      </c>
      <c r="G493" s="160" t="s">
        <v>37</v>
      </c>
      <c r="H493" s="160" t="s">
        <v>37</v>
      </c>
      <c r="I493" s="160" t="s">
        <v>743</v>
      </c>
      <c r="J493" s="160" t="s">
        <v>37</v>
      </c>
      <c r="K493" s="160" t="s">
        <v>37</v>
      </c>
      <c r="L493" s="158" t="s">
        <v>689</v>
      </c>
      <c r="M493" s="160" t="s">
        <v>37</v>
      </c>
      <c r="N493" s="160">
        <v>11</v>
      </c>
      <c r="O493" s="160">
        <v>13</v>
      </c>
      <c r="P493" s="120" t="s">
        <v>56</v>
      </c>
    </row>
    <row r="494" spans="1:16" ht="78" customHeight="1">
      <c r="A494" s="148">
        <v>7</v>
      </c>
      <c r="B494" s="469"/>
      <c r="C494" s="146" t="s">
        <v>765</v>
      </c>
      <c r="D494" s="225" t="s">
        <v>783</v>
      </c>
      <c r="E494" s="156">
        <v>2500</v>
      </c>
      <c r="F494" s="148">
        <v>1982</v>
      </c>
      <c r="G494" s="148" t="s">
        <v>40</v>
      </c>
      <c r="H494" s="148" t="s">
        <v>40</v>
      </c>
      <c r="I494" s="158" t="s">
        <v>14</v>
      </c>
      <c r="J494" s="158" t="s">
        <v>14</v>
      </c>
      <c r="K494" s="158" t="s">
        <v>14</v>
      </c>
      <c r="L494" s="158" t="s">
        <v>689</v>
      </c>
      <c r="M494" s="160" t="s">
        <v>37</v>
      </c>
      <c r="N494" s="158">
        <v>16</v>
      </c>
      <c r="O494" s="158">
        <v>21</v>
      </c>
      <c r="P494" s="221" t="s">
        <v>784</v>
      </c>
    </row>
    <row r="495" spans="1:16" ht="60">
      <c r="A495" s="148">
        <v>8</v>
      </c>
      <c r="B495" s="470"/>
      <c r="C495" s="146" t="s">
        <v>765</v>
      </c>
      <c r="D495" s="216" t="s">
        <v>785</v>
      </c>
      <c r="E495" s="204">
        <v>657.9</v>
      </c>
      <c r="F495" s="160" t="s">
        <v>40</v>
      </c>
      <c r="G495" s="160" t="s">
        <v>786</v>
      </c>
      <c r="H495" s="148" t="s">
        <v>40</v>
      </c>
      <c r="I495" s="158" t="s">
        <v>14</v>
      </c>
      <c r="J495" s="158" t="s">
        <v>14</v>
      </c>
      <c r="K495" s="158" t="s">
        <v>14</v>
      </c>
      <c r="L495" s="158" t="s">
        <v>689</v>
      </c>
      <c r="M495" s="160" t="s">
        <v>37</v>
      </c>
      <c r="N495" s="158">
        <v>17</v>
      </c>
      <c r="O495" s="158">
        <v>22</v>
      </c>
      <c r="P495" s="204" t="s">
        <v>787</v>
      </c>
    </row>
    <row r="496" spans="1:16">
      <c r="A496" s="474"/>
      <c r="B496" s="427"/>
      <c r="C496" s="427"/>
      <c r="D496" s="427"/>
      <c r="E496" s="427"/>
      <c r="F496" s="427"/>
      <c r="G496" s="427"/>
      <c r="H496" s="427"/>
      <c r="I496" s="427"/>
      <c r="J496" s="427"/>
      <c r="K496" s="427"/>
      <c r="L496" s="427"/>
      <c r="M496" s="427"/>
      <c r="N496" s="427"/>
      <c r="O496" s="427"/>
      <c r="P496" s="427"/>
    </row>
    <row r="497" spans="1:16" ht="22.5">
      <c r="A497" s="402" t="s">
        <v>186</v>
      </c>
      <c r="B497" s="403"/>
      <c r="C497" s="403"/>
      <c r="D497" s="403"/>
      <c r="E497" s="403"/>
      <c r="F497" s="403"/>
      <c r="G497" s="403"/>
      <c r="H497" s="403"/>
      <c r="I497" s="403"/>
      <c r="J497" s="403"/>
      <c r="K497" s="403"/>
      <c r="L497" s="403"/>
      <c r="M497" s="403"/>
      <c r="N497" s="403"/>
      <c r="O497" s="403"/>
      <c r="P497" s="403"/>
    </row>
    <row r="498" spans="1:16" ht="20.25">
      <c r="A498" s="400" t="s">
        <v>16</v>
      </c>
      <c r="B498" s="401"/>
      <c r="C498" s="401"/>
      <c r="D498" s="401"/>
      <c r="E498" s="401"/>
      <c r="F498" s="401"/>
      <c r="G498" s="401"/>
      <c r="H498" s="401"/>
      <c r="I498" s="401"/>
      <c r="J498" s="401"/>
      <c r="K498" s="401"/>
      <c r="L498" s="401"/>
      <c r="M498" s="401"/>
      <c r="N498" s="401"/>
      <c r="O498" s="401"/>
      <c r="P498" s="401"/>
    </row>
    <row r="499" spans="1:16" ht="85.5">
      <c r="A499" s="21" t="s">
        <v>0</v>
      </c>
      <c r="B499" s="21" t="s">
        <v>119</v>
      </c>
      <c r="C499" s="21" t="s">
        <v>1</v>
      </c>
      <c r="D499" s="21" t="s">
        <v>120</v>
      </c>
      <c r="E499" s="21" t="s">
        <v>3</v>
      </c>
      <c r="F499" s="21" t="s">
        <v>4</v>
      </c>
      <c r="G499" s="21" t="s">
        <v>121</v>
      </c>
      <c r="H499" s="21" t="s">
        <v>122</v>
      </c>
      <c r="I499" s="21" t="s">
        <v>113</v>
      </c>
      <c r="J499" s="21" t="s">
        <v>5</v>
      </c>
      <c r="K499" s="21" t="s">
        <v>6</v>
      </c>
      <c r="L499" s="21" t="s">
        <v>7</v>
      </c>
      <c r="M499" s="22" t="s">
        <v>8</v>
      </c>
      <c r="N499" s="47" t="s">
        <v>9</v>
      </c>
      <c r="O499" s="48" t="s">
        <v>10</v>
      </c>
      <c r="P499" s="49" t="s">
        <v>11</v>
      </c>
    </row>
    <row r="500" spans="1:16">
      <c r="A500" s="1">
        <v>1</v>
      </c>
      <c r="B500" s="21">
        <v>2</v>
      </c>
      <c r="C500" s="21">
        <v>3</v>
      </c>
      <c r="D500" s="21">
        <v>4</v>
      </c>
      <c r="E500" s="21">
        <v>5</v>
      </c>
      <c r="F500" s="21">
        <v>6</v>
      </c>
      <c r="G500" s="21">
        <v>7</v>
      </c>
      <c r="H500" s="21">
        <v>8</v>
      </c>
      <c r="I500" s="21">
        <v>9</v>
      </c>
      <c r="J500" s="21">
        <v>10</v>
      </c>
      <c r="K500" s="21">
        <v>11</v>
      </c>
      <c r="L500" s="21">
        <v>12</v>
      </c>
      <c r="M500" s="21">
        <v>13</v>
      </c>
      <c r="N500" s="21">
        <v>14</v>
      </c>
      <c r="O500" s="48">
        <v>15</v>
      </c>
      <c r="P500" s="21">
        <v>16</v>
      </c>
    </row>
    <row r="501" spans="1:16" ht="45">
      <c r="A501" s="214">
        <v>1</v>
      </c>
      <c r="B501" s="146" t="s">
        <v>793</v>
      </c>
      <c r="C501" s="146" t="s">
        <v>788</v>
      </c>
      <c r="D501" s="146" t="s">
        <v>789</v>
      </c>
      <c r="E501" s="148">
        <v>3024</v>
      </c>
      <c r="F501" s="148" t="s">
        <v>790</v>
      </c>
      <c r="G501" s="148">
        <v>2.0299999999999998</v>
      </c>
      <c r="H501" s="148" t="s">
        <v>49</v>
      </c>
      <c r="I501" s="148" t="s">
        <v>351</v>
      </c>
      <c r="J501" s="148" t="s">
        <v>49</v>
      </c>
      <c r="K501" s="148" t="s">
        <v>49</v>
      </c>
      <c r="L501" s="148" t="s">
        <v>49</v>
      </c>
      <c r="M501" s="148" t="s">
        <v>792</v>
      </c>
      <c r="N501" s="148" t="s">
        <v>49</v>
      </c>
      <c r="O501" s="148" t="s">
        <v>49</v>
      </c>
      <c r="P501" s="148" t="s">
        <v>49</v>
      </c>
    </row>
    <row r="502" spans="1:16" ht="20.25" customHeight="1">
      <c r="A502" s="378"/>
      <c r="B502" s="379"/>
      <c r="C502" s="379"/>
      <c r="D502" s="379"/>
      <c r="E502" s="379"/>
      <c r="F502" s="379"/>
      <c r="G502" s="379"/>
      <c r="H502" s="379"/>
      <c r="I502" s="379"/>
      <c r="J502" s="379"/>
      <c r="K502" s="379"/>
      <c r="L502" s="379"/>
      <c r="M502" s="379"/>
      <c r="N502" s="379"/>
      <c r="O502" s="379"/>
      <c r="P502" s="380"/>
    </row>
    <row r="503" spans="1:16" ht="20.25" customHeight="1">
      <c r="A503" s="400" t="s">
        <v>27</v>
      </c>
      <c r="B503" s="401"/>
      <c r="C503" s="401"/>
      <c r="D503" s="401"/>
      <c r="E503" s="401"/>
      <c r="F503" s="401"/>
      <c r="G503" s="401"/>
      <c r="H503" s="401"/>
      <c r="I503" s="401"/>
      <c r="J503" s="401"/>
      <c r="K503" s="401"/>
      <c r="L503" s="401"/>
      <c r="M503" s="401"/>
      <c r="N503" s="401"/>
      <c r="O503" s="401"/>
      <c r="P503" s="455"/>
    </row>
    <row r="504" spans="1:16" ht="85.5">
      <c r="A504" s="21" t="s">
        <v>0</v>
      </c>
      <c r="B504" s="21" t="s">
        <v>116</v>
      </c>
      <c r="C504" s="21" t="s">
        <v>1</v>
      </c>
      <c r="D504" s="21" t="s">
        <v>123</v>
      </c>
      <c r="E504" s="22" t="s">
        <v>17</v>
      </c>
      <c r="F504" s="22" t="s">
        <v>18</v>
      </c>
      <c r="G504" s="21" t="s">
        <v>114</v>
      </c>
      <c r="H504" s="21" t="s">
        <v>115</v>
      </c>
      <c r="I504" s="21" t="s">
        <v>117</v>
      </c>
      <c r="J504" s="21" t="s">
        <v>5</v>
      </c>
      <c r="K504" s="21" t="s">
        <v>6</v>
      </c>
      <c r="L504" s="21" t="s">
        <v>21</v>
      </c>
      <c r="M504" s="21" t="s">
        <v>22</v>
      </c>
      <c r="N504" s="22" t="s">
        <v>23</v>
      </c>
      <c r="O504" s="192" t="s">
        <v>24</v>
      </c>
      <c r="P504" s="455"/>
    </row>
    <row r="505" spans="1:16" ht="16.5" customHeight="1">
      <c r="A505" s="12">
        <v>1</v>
      </c>
      <c r="B505" s="32">
        <v>2</v>
      </c>
      <c r="C505" s="32">
        <v>3</v>
      </c>
      <c r="D505" s="32">
        <v>4</v>
      </c>
      <c r="E505" s="32">
        <v>5</v>
      </c>
      <c r="F505" s="32">
        <v>6</v>
      </c>
      <c r="G505" s="32">
        <v>7</v>
      </c>
      <c r="H505" s="32">
        <v>8</v>
      </c>
      <c r="I505" s="32">
        <v>9</v>
      </c>
      <c r="J505" s="32">
        <v>10</v>
      </c>
      <c r="K505" s="32">
        <v>11</v>
      </c>
      <c r="L505" s="32">
        <v>12</v>
      </c>
      <c r="M505" s="32">
        <v>13</v>
      </c>
      <c r="N505" s="32">
        <v>14</v>
      </c>
      <c r="O505" s="149">
        <v>15</v>
      </c>
      <c r="P505" s="455"/>
    </row>
    <row r="506" spans="1:16" ht="30">
      <c r="A506" s="235">
        <v>1</v>
      </c>
      <c r="B506" s="340" t="s">
        <v>794</v>
      </c>
      <c r="C506" s="376" t="s">
        <v>795</v>
      </c>
      <c r="D506" s="146" t="s">
        <v>796</v>
      </c>
      <c r="E506" s="148" t="s">
        <v>797</v>
      </c>
      <c r="F506" s="148" t="s">
        <v>798</v>
      </c>
      <c r="G506" s="148">
        <v>0.11</v>
      </c>
      <c r="H506" s="148" t="s">
        <v>12</v>
      </c>
      <c r="I506" s="148" t="s">
        <v>799</v>
      </c>
      <c r="J506" s="148" t="s">
        <v>12</v>
      </c>
      <c r="K506" s="148" t="s">
        <v>12</v>
      </c>
      <c r="L506" s="148" t="s">
        <v>12</v>
      </c>
      <c r="M506" s="148" t="s">
        <v>12</v>
      </c>
      <c r="N506" s="148">
        <v>1</v>
      </c>
      <c r="O506" s="477" t="s">
        <v>800</v>
      </c>
      <c r="P506" s="455"/>
    </row>
    <row r="507" spans="1:16" ht="75">
      <c r="A507" s="235">
        <v>2</v>
      </c>
      <c r="B507" s="341"/>
      <c r="C507" s="376"/>
      <c r="D507" s="146" t="s">
        <v>801</v>
      </c>
      <c r="E507" s="148" t="s">
        <v>802</v>
      </c>
      <c r="F507" s="148" t="s">
        <v>803</v>
      </c>
      <c r="G507" s="148">
        <v>4.4999999999999998E-2</v>
      </c>
      <c r="H507" s="148" t="s">
        <v>12</v>
      </c>
      <c r="I507" s="148" t="s">
        <v>799</v>
      </c>
      <c r="J507" s="148" t="s">
        <v>12</v>
      </c>
      <c r="K507" s="148" t="s">
        <v>12</v>
      </c>
      <c r="L507" s="148" t="s">
        <v>12</v>
      </c>
      <c r="M507" s="148" t="s">
        <v>12</v>
      </c>
      <c r="N507" s="148">
        <v>2</v>
      </c>
      <c r="O507" s="378"/>
      <c r="P507" s="455"/>
    </row>
    <row r="508" spans="1:16" ht="45">
      <c r="A508" s="235">
        <v>3</v>
      </c>
      <c r="B508" s="341"/>
      <c r="C508" s="376"/>
      <c r="D508" s="146" t="s">
        <v>804</v>
      </c>
      <c r="E508" s="148" t="s">
        <v>805</v>
      </c>
      <c r="F508" s="148" t="s">
        <v>806</v>
      </c>
      <c r="G508" s="148" t="s">
        <v>26</v>
      </c>
      <c r="H508" s="148" t="s">
        <v>12</v>
      </c>
      <c r="I508" s="148" t="s">
        <v>799</v>
      </c>
      <c r="J508" s="148" t="s">
        <v>12</v>
      </c>
      <c r="K508" s="148" t="s">
        <v>12</v>
      </c>
      <c r="L508" s="148" t="s">
        <v>12</v>
      </c>
      <c r="M508" s="148" t="s">
        <v>12</v>
      </c>
      <c r="N508" s="148">
        <v>3</v>
      </c>
      <c r="O508" s="152" t="s">
        <v>807</v>
      </c>
      <c r="P508" s="455"/>
    </row>
    <row r="509" spans="1:16" ht="45">
      <c r="A509" s="235">
        <v>4</v>
      </c>
      <c r="B509" s="341"/>
      <c r="C509" s="376"/>
      <c r="D509" s="146" t="s">
        <v>808</v>
      </c>
      <c r="E509" s="158" t="s">
        <v>809</v>
      </c>
      <c r="F509" s="158" t="s">
        <v>810</v>
      </c>
      <c r="G509" s="158" t="s">
        <v>57</v>
      </c>
      <c r="H509" s="148" t="s">
        <v>12</v>
      </c>
      <c r="I509" s="158" t="s">
        <v>811</v>
      </c>
      <c r="J509" s="148" t="s">
        <v>12</v>
      </c>
      <c r="K509" s="148" t="s">
        <v>12</v>
      </c>
      <c r="L509" s="148" t="s">
        <v>12</v>
      </c>
      <c r="M509" s="148" t="s">
        <v>12</v>
      </c>
      <c r="N509" s="158">
        <v>4</v>
      </c>
      <c r="O509" s="212"/>
      <c r="P509" s="455"/>
    </row>
    <row r="510" spans="1:16" ht="30">
      <c r="A510" s="235">
        <v>5</v>
      </c>
      <c r="B510" s="341"/>
      <c r="C510" s="340" t="s">
        <v>812</v>
      </c>
      <c r="D510" s="146" t="s">
        <v>813</v>
      </c>
      <c r="E510" s="148">
        <v>133.31</v>
      </c>
      <c r="F510" s="148">
        <v>1987</v>
      </c>
      <c r="G510" s="148">
        <v>0.02</v>
      </c>
      <c r="H510" s="148" t="s">
        <v>12</v>
      </c>
      <c r="I510" s="148" t="s">
        <v>351</v>
      </c>
      <c r="J510" s="148" t="s">
        <v>12</v>
      </c>
      <c r="K510" s="148" t="s">
        <v>12</v>
      </c>
      <c r="L510" s="148" t="s">
        <v>12</v>
      </c>
      <c r="M510" s="148" t="s">
        <v>12</v>
      </c>
      <c r="N510" s="148" t="s">
        <v>12</v>
      </c>
      <c r="O510" s="152"/>
      <c r="P510" s="455"/>
    </row>
    <row r="511" spans="1:16" ht="30">
      <c r="A511" s="235">
        <v>6</v>
      </c>
      <c r="B511" s="341"/>
      <c r="C511" s="341"/>
      <c r="D511" s="146" t="s">
        <v>814</v>
      </c>
      <c r="E511" s="148">
        <v>143</v>
      </c>
      <c r="F511" s="148">
        <v>1990</v>
      </c>
      <c r="G511" s="148">
        <v>0.08</v>
      </c>
      <c r="H511" s="148" t="s">
        <v>12</v>
      </c>
      <c r="I511" s="148" t="s">
        <v>351</v>
      </c>
      <c r="J511" s="148" t="s">
        <v>12</v>
      </c>
      <c r="K511" s="148" t="s">
        <v>12</v>
      </c>
      <c r="L511" s="148" t="s">
        <v>12</v>
      </c>
      <c r="M511" s="148" t="s">
        <v>12</v>
      </c>
      <c r="N511" s="148" t="s">
        <v>12</v>
      </c>
      <c r="O511" s="59"/>
      <c r="P511" s="455"/>
    </row>
    <row r="512" spans="1:16" ht="30">
      <c r="A512" s="235">
        <v>7</v>
      </c>
      <c r="B512" s="342"/>
      <c r="C512" s="342"/>
      <c r="D512" s="146" t="s">
        <v>815</v>
      </c>
      <c r="E512" s="148">
        <v>1012</v>
      </c>
      <c r="F512" s="148" t="s">
        <v>816</v>
      </c>
      <c r="G512" s="148">
        <v>5.6000000000000001E-2</v>
      </c>
      <c r="H512" s="148" t="s">
        <v>12</v>
      </c>
      <c r="I512" s="148" t="s">
        <v>351</v>
      </c>
      <c r="J512" s="148" t="s">
        <v>12</v>
      </c>
      <c r="K512" s="148" t="s">
        <v>12</v>
      </c>
      <c r="L512" s="148" t="s">
        <v>12</v>
      </c>
      <c r="M512" s="148" t="s">
        <v>12</v>
      </c>
      <c r="N512" s="148" t="s">
        <v>12</v>
      </c>
      <c r="O512" s="59"/>
      <c r="P512" s="455"/>
    </row>
    <row r="513" spans="1:16">
      <c r="A513" s="475"/>
      <c r="B513" s="476"/>
      <c r="C513" s="476"/>
      <c r="D513" s="476"/>
      <c r="E513" s="476"/>
      <c r="F513" s="476"/>
      <c r="G513" s="476"/>
      <c r="H513" s="476"/>
      <c r="I513" s="476"/>
      <c r="J513" s="476"/>
      <c r="K513" s="476"/>
      <c r="L513" s="476"/>
      <c r="M513" s="476"/>
      <c r="N513" s="476"/>
      <c r="O513" s="476"/>
      <c r="P513" s="476"/>
    </row>
    <row r="514" spans="1:16" ht="20.25">
      <c r="A514" s="400" t="s">
        <v>33</v>
      </c>
      <c r="B514" s="401"/>
      <c r="C514" s="401"/>
      <c r="D514" s="401"/>
      <c r="E514" s="401"/>
      <c r="F514" s="401"/>
      <c r="G514" s="401"/>
      <c r="H514" s="401"/>
      <c r="I514" s="401"/>
      <c r="J514" s="401"/>
      <c r="K514" s="401"/>
      <c r="L514" s="401"/>
      <c r="M514" s="401"/>
      <c r="N514" s="401"/>
      <c r="O514" s="401"/>
      <c r="P514" s="401"/>
    </row>
    <row r="515" spans="1:16" ht="85.5">
      <c r="A515" s="21" t="s">
        <v>0</v>
      </c>
      <c r="B515" s="21" t="s">
        <v>116</v>
      </c>
      <c r="C515" s="21" t="s">
        <v>1</v>
      </c>
      <c r="D515" s="21" t="s">
        <v>123</v>
      </c>
      <c r="E515" s="21" t="s">
        <v>28</v>
      </c>
      <c r="F515" s="21" t="s">
        <v>18</v>
      </c>
      <c r="G515" s="21" t="s">
        <v>118</v>
      </c>
      <c r="H515" s="21" t="s">
        <v>115</v>
      </c>
      <c r="I515" s="21" t="s">
        <v>112</v>
      </c>
      <c r="J515" s="21" t="s">
        <v>5</v>
      </c>
      <c r="K515" s="21" t="s">
        <v>6</v>
      </c>
      <c r="L515" s="21" t="s">
        <v>30</v>
      </c>
      <c r="M515" s="21" t="s">
        <v>22</v>
      </c>
      <c r="N515" s="22" t="s">
        <v>31</v>
      </c>
      <c r="O515" s="49" t="s">
        <v>11</v>
      </c>
      <c r="P515" s="429"/>
    </row>
    <row r="516" spans="1:16">
      <c r="A516" s="12">
        <v>1</v>
      </c>
      <c r="B516" s="32">
        <v>2</v>
      </c>
      <c r="C516" s="32">
        <v>3</v>
      </c>
      <c r="D516" s="32">
        <v>4</v>
      </c>
      <c r="E516" s="32">
        <v>5</v>
      </c>
      <c r="F516" s="32">
        <v>6</v>
      </c>
      <c r="G516" s="32">
        <v>7</v>
      </c>
      <c r="H516" s="32">
        <v>8</v>
      </c>
      <c r="I516" s="32">
        <v>9</v>
      </c>
      <c r="J516" s="32">
        <v>10</v>
      </c>
      <c r="K516" s="32">
        <v>11</v>
      </c>
      <c r="L516" s="32">
        <v>12</v>
      </c>
      <c r="M516" s="32">
        <v>13</v>
      </c>
      <c r="N516" s="33">
        <v>14</v>
      </c>
      <c r="O516" s="32">
        <v>15</v>
      </c>
      <c r="P516" s="430"/>
    </row>
    <row r="517" spans="1:16" ht="45">
      <c r="A517" s="214">
        <v>1</v>
      </c>
      <c r="B517" s="478" t="s">
        <v>794</v>
      </c>
      <c r="C517" s="478" t="s">
        <v>817</v>
      </c>
      <c r="D517" s="58" t="s">
        <v>796</v>
      </c>
      <c r="E517" s="214" t="s">
        <v>797</v>
      </c>
      <c r="F517" s="174" t="s">
        <v>798</v>
      </c>
      <c r="G517" s="214">
        <v>0.11</v>
      </c>
      <c r="H517" s="214" t="s">
        <v>12</v>
      </c>
      <c r="I517" s="214" t="s">
        <v>799</v>
      </c>
      <c r="J517" s="214" t="s">
        <v>12</v>
      </c>
      <c r="K517" s="214" t="s">
        <v>12</v>
      </c>
      <c r="L517" s="214" t="s">
        <v>12</v>
      </c>
      <c r="M517" s="214" t="s">
        <v>12</v>
      </c>
      <c r="N517" s="214">
        <v>1</v>
      </c>
      <c r="O517" s="353" t="s">
        <v>800</v>
      </c>
      <c r="P517" s="430"/>
    </row>
    <row r="518" spans="1:16" ht="75">
      <c r="A518" s="214">
        <v>2</v>
      </c>
      <c r="B518" s="479"/>
      <c r="C518" s="479"/>
      <c r="D518" s="58" t="s">
        <v>801</v>
      </c>
      <c r="E518" s="214" t="s">
        <v>802</v>
      </c>
      <c r="F518" s="174" t="s">
        <v>803</v>
      </c>
      <c r="G518" s="214">
        <v>4.4999999999999998E-2</v>
      </c>
      <c r="H518" s="214" t="s">
        <v>12</v>
      </c>
      <c r="I518" s="214" t="s">
        <v>799</v>
      </c>
      <c r="J518" s="214" t="s">
        <v>12</v>
      </c>
      <c r="K518" s="214" t="s">
        <v>12</v>
      </c>
      <c r="L518" s="214" t="s">
        <v>12</v>
      </c>
      <c r="M518" s="214" t="s">
        <v>12</v>
      </c>
      <c r="N518" s="214">
        <v>2</v>
      </c>
      <c r="O518" s="355"/>
      <c r="P518" s="430"/>
    </row>
    <row r="519" spans="1:16" ht="45">
      <c r="A519" s="214">
        <v>3</v>
      </c>
      <c r="B519" s="479"/>
      <c r="C519" s="480"/>
      <c r="D519" s="146" t="s">
        <v>818</v>
      </c>
      <c r="E519" s="148" t="s">
        <v>819</v>
      </c>
      <c r="F519" s="77" t="s">
        <v>810</v>
      </c>
      <c r="G519" s="214" t="s">
        <v>12</v>
      </c>
      <c r="H519" s="214" t="s">
        <v>12</v>
      </c>
      <c r="I519" s="214" t="s">
        <v>12</v>
      </c>
      <c r="J519" s="214" t="s">
        <v>12</v>
      </c>
      <c r="K519" s="214" t="s">
        <v>12</v>
      </c>
      <c r="L519" s="214" t="s">
        <v>12</v>
      </c>
      <c r="M519" s="214" t="s">
        <v>12</v>
      </c>
      <c r="N519" s="77">
        <v>3</v>
      </c>
      <c r="O519" s="77"/>
      <c r="P519" s="430"/>
    </row>
    <row r="520" spans="1:16" ht="45">
      <c r="A520" s="226">
        <v>4</v>
      </c>
      <c r="B520" s="479"/>
      <c r="C520" s="227" t="s">
        <v>812</v>
      </c>
      <c r="D520" s="227" t="s">
        <v>820</v>
      </c>
      <c r="E520" s="228">
        <v>37.47</v>
      </c>
      <c r="F520" s="228" t="s">
        <v>821</v>
      </c>
      <c r="G520" s="228" t="s">
        <v>2155</v>
      </c>
      <c r="H520" s="228"/>
      <c r="I520" s="228" t="s">
        <v>351</v>
      </c>
      <c r="J520" s="228"/>
      <c r="K520" s="228"/>
      <c r="L520" s="228"/>
      <c r="M520" s="228"/>
      <c r="N520" s="228">
        <v>5</v>
      </c>
      <c r="O520" s="228"/>
      <c r="P520" s="430"/>
    </row>
    <row r="521" spans="1:16">
      <c r="A521" s="348"/>
      <c r="B521" s="348"/>
      <c r="C521" s="348"/>
      <c r="D521" s="348"/>
      <c r="E521" s="348"/>
      <c r="F521" s="348"/>
      <c r="G521" s="348"/>
      <c r="H521" s="348"/>
      <c r="I521" s="348"/>
      <c r="J521" s="348"/>
      <c r="K521" s="348"/>
      <c r="L521" s="348"/>
      <c r="M521" s="348"/>
      <c r="N521" s="348"/>
      <c r="O521" s="348"/>
      <c r="P521" s="348"/>
    </row>
    <row r="522" spans="1:16" ht="20.25">
      <c r="A522" s="400" t="s">
        <v>34</v>
      </c>
      <c r="B522" s="401"/>
      <c r="C522" s="401"/>
      <c r="D522" s="401"/>
      <c r="E522" s="401"/>
      <c r="F522" s="401"/>
      <c r="G522" s="401"/>
      <c r="H522" s="401"/>
      <c r="I522" s="401"/>
      <c r="J522" s="401"/>
      <c r="K522" s="401"/>
      <c r="L522" s="401"/>
      <c r="M522" s="401"/>
      <c r="N522" s="401"/>
      <c r="O522" s="401"/>
      <c r="P522" s="401"/>
    </row>
    <row r="523" spans="1:16" ht="85.5">
      <c r="A523" s="21" t="s">
        <v>0</v>
      </c>
      <c r="B523" s="21" t="s">
        <v>116</v>
      </c>
      <c r="C523" s="21" t="s">
        <v>1</v>
      </c>
      <c r="D523" s="21" t="s">
        <v>123</v>
      </c>
      <c r="E523" s="21" t="s">
        <v>28</v>
      </c>
      <c r="F523" s="21" t="s">
        <v>18</v>
      </c>
      <c r="G523" s="21" t="s">
        <v>111</v>
      </c>
      <c r="H523" s="21" t="s">
        <v>115</v>
      </c>
      <c r="I523" s="21" t="s">
        <v>112</v>
      </c>
      <c r="J523" s="21" t="s">
        <v>5</v>
      </c>
      <c r="K523" s="21" t="s">
        <v>6</v>
      </c>
      <c r="L523" s="21" t="s">
        <v>30</v>
      </c>
      <c r="M523" s="21" t="s">
        <v>22</v>
      </c>
      <c r="N523" s="22" t="s">
        <v>32</v>
      </c>
      <c r="O523" s="22" t="s">
        <v>31</v>
      </c>
      <c r="P523" s="20" t="s">
        <v>24</v>
      </c>
    </row>
    <row r="524" spans="1:16">
      <c r="A524" s="12">
        <v>1</v>
      </c>
      <c r="B524" s="32">
        <v>2</v>
      </c>
      <c r="C524" s="32">
        <v>3</v>
      </c>
      <c r="D524" s="32">
        <v>4</v>
      </c>
      <c r="E524" s="32">
        <v>5</v>
      </c>
      <c r="F524" s="32">
        <v>6</v>
      </c>
      <c r="G524" s="32">
        <v>7</v>
      </c>
      <c r="H524" s="32">
        <v>8</v>
      </c>
      <c r="I524" s="32">
        <v>9</v>
      </c>
      <c r="J524" s="32">
        <v>10</v>
      </c>
      <c r="K524" s="32">
        <v>11</v>
      </c>
      <c r="L524" s="32">
        <v>12</v>
      </c>
      <c r="M524" s="32">
        <v>13</v>
      </c>
      <c r="N524" s="32">
        <v>14</v>
      </c>
      <c r="O524" s="33">
        <v>15</v>
      </c>
      <c r="P524" s="21">
        <v>16</v>
      </c>
    </row>
    <row r="525" spans="1:16" ht="30">
      <c r="A525" s="148">
        <v>1</v>
      </c>
      <c r="B525" s="340" t="s">
        <v>794</v>
      </c>
      <c r="C525" s="340" t="s">
        <v>822</v>
      </c>
      <c r="D525" s="146" t="s">
        <v>796</v>
      </c>
      <c r="E525" s="148" t="s">
        <v>797</v>
      </c>
      <c r="F525" s="148" t="s">
        <v>798</v>
      </c>
      <c r="G525" s="148">
        <v>0.11</v>
      </c>
      <c r="H525" s="148" t="s">
        <v>12</v>
      </c>
      <c r="I525" s="148" t="s">
        <v>799</v>
      </c>
      <c r="J525" s="148" t="s">
        <v>12</v>
      </c>
      <c r="K525" s="148" t="s">
        <v>12</v>
      </c>
      <c r="L525" s="148" t="s">
        <v>12</v>
      </c>
      <c r="M525" s="148" t="s">
        <v>12</v>
      </c>
      <c r="N525" s="148">
        <v>1</v>
      </c>
      <c r="O525" s="148">
        <v>1</v>
      </c>
      <c r="P525" s="148"/>
    </row>
    <row r="526" spans="1:16" ht="75">
      <c r="A526" s="148">
        <v>2</v>
      </c>
      <c r="B526" s="341"/>
      <c r="C526" s="341"/>
      <c r="D526" s="146" t="s">
        <v>801</v>
      </c>
      <c r="E526" s="148" t="s">
        <v>802</v>
      </c>
      <c r="F526" s="148" t="s">
        <v>803</v>
      </c>
      <c r="G526" s="148">
        <v>4.4999999999999998E-2</v>
      </c>
      <c r="H526" s="148" t="s">
        <v>12</v>
      </c>
      <c r="I526" s="148" t="s">
        <v>799</v>
      </c>
      <c r="J526" s="148" t="s">
        <v>12</v>
      </c>
      <c r="K526" s="148" t="s">
        <v>12</v>
      </c>
      <c r="L526" s="148" t="s">
        <v>12</v>
      </c>
      <c r="M526" s="148" t="s">
        <v>12</v>
      </c>
      <c r="N526" s="148">
        <v>2</v>
      </c>
      <c r="O526" s="148">
        <v>2</v>
      </c>
      <c r="P526" s="148"/>
    </row>
    <row r="527" spans="1:16" ht="45">
      <c r="A527" s="148">
        <v>3</v>
      </c>
      <c r="B527" s="341"/>
      <c r="C527" s="341"/>
      <c r="D527" s="146" t="s">
        <v>804</v>
      </c>
      <c r="E527" s="148" t="s">
        <v>805</v>
      </c>
      <c r="F527" s="148" t="s">
        <v>806</v>
      </c>
      <c r="G527" s="148" t="s">
        <v>26</v>
      </c>
      <c r="H527" s="148" t="s">
        <v>12</v>
      </c>
      <c r="I527" s="148" t="s">
        <v>799</v>
      </c>
      <c r="J527" s="148" t="s">
        <v>12</v>
      </c>
      <c r="K527" s="148" t="s">
        <v>12</v>
      </c>
      <c r="L527" s="148" t="s">
        <v>12</v>
      </c>
      <c r="M527" s="148" t="s">
        <v>12</v>
      </c>
      <c r="N527" s="148">
        <v>3</v>
      </c>
      <c r="O527" s="148" t="s">
        <v>12</v>
      </c>
      <c r="P527" s="148"/>
    </row>
    <row r="528" spans="1:16" ht="75">
      <c r="A528" s="148">
        <v>4</v>
      </c>
      <c r="B528" s="341"/>
      <c r="C528" s="341"/>
      <c r="D528" s="146" t="s">
        <v>823</v>
      </c>
      <c r="E528" s="148" t="s">
        <v>824</v>
      </c>
      <c r="F528" s="148" t="s">
        <v>825</v>
      </c>
      <c r="G528" s="148" t="s">
        <v>826</v>
      </c>
      <c r="H528" s="148" t="s">
        <v>827</v>
      </c>
      <c r="I528" s="148" t="s">
        <v>828</v>
      </c>
      <c r="J528" s="148" t="s">
        <v>110</v>
      </c>
      <c r="K528" s="148" t="s">
        <v>110</v>
      </c>
      <c r="L528" s="148" t="s">
        <v>110</v>
      </c>
      <c r="M528" s="148" t="s">
        <v>12</v>
      </c>
      <c r="N528" s="148">
        <v>5</v>
      </c>
      <c r="O528" s="148">
        <v>8</v>
      </c>
      <c r="P528" s="148"/>
    </row>
    <row r="529" spans="1:16" ht="45">
      <c r="A529" s="148">
        <v>5</v>
      </c>
      <c r="B529" s="341"/>
      <c r="C529" s="341"/>
      <c r="D529" s="146" t="s">
        <v>829</v>
      </c>
      <c r="E529" s="345" t="s">
        <v>830</v>
      </c>
      <c r="F529" s="346"/>
      <c r="G529" s="346"/>
      <c r="H529" s="346"/>
      <c r="I529" s="346"/>
      <c r="J529" s="346"/>
      <c r="K529" s="346"/>
      <c r="L529" s="346"/>
      <c r="M529" s="346"/>
      <c r="N529" s="346"/>
      <c r="O529" s="346"/>
      <c r="P529" s="481"/>
    </row>
    <row r="530" spans="1:16" ht="30">
      <c r="A530" s="148">
        <v>6</v>
      </c>
      <c r="B530" s="341"/>
      <c r="C530" s="341"/>
      <c r="D530" s="376" t="s">
        <v>831</v>
      </c>
      <c r="E530" s="148">
        <v>2064</v>
      </c>
      <c r="F530" s="148" t="s">
        <v>832</v>
      </c>
      <c r="G530" s="148" t="s">
        <v>42</v>
      </c>
      <c r="H530" s="148" t="s">
        <v>833</v>
      </c>
      <c r="I530" s="148" t="s">
        <v>68</v>
      </c>
      <c r="J530" s="148" t="s">
        <v>12</v>
      </c>
      <c r="K530" s="148" t="s">
        <v>12</v>
      </c>
      <c r="L530" s="148" t="s">
        <v>12</v>
      </c>
      <c r="M530" s="148" t="s">
        <v>12</v>
      </c>
      <c r="N530" s="148" t="s">
        <v>834</v>
      </c>
      <c r="O530" s="148" t="s">
        <v>835</v>
      </c>
      <c r="P530" s="148"/>
    </row>
    <row r="531" spans="1:16" ht="75">
      <c r="A531" s="148">
        <v>7</v>
      </c>
      <c r="B531" s="341"/>
      <c r="C531" s="341"/>
      <c r="D531" s="376"/>
      <c r="E531" s="148">
        <v>108</v>
      </c>
      <c r="F531" s="148" t="s">
        <v>836</v>
      </c>
      <c r="G531" s="148" t="s">
        <v>574</v>
      </c>
      <c r="H531" s="148" t="s">
        <v>837</v>
      </c>
      <c r="I531" s="148" t="s">
        <v>838</v>
      </c>
      <c r="J531" s="148" t="s">
        <v>839</v>
      </c>
      <c r="K531" s="148" t="s">
        <v>12</v>
      </c>
      <c r="L531" s="148" t="s">
        <v>12</v>
      </c>
      <c r="M531" s="148" t="s">
        <v>12</v>
      </c>
      <c r="N531" s="148" t="s">
        <v>834</v>
      </c>
      <c r="O531" s="148" t="s">
        <v>835</v>
      </c>
      <c r="P531" s="148" t="s">
        <v>840</v>
      </c>
    </row>
    <row r="532" spans="1:16" ht="30">
      <c r="A532" s="148">
        <v>8</v>
      </c>
      <c r="B532" s="341"/>
      <c r="C532" s="341"/>
      <c r="D532" s="376"/>
      <c r="E532" s="148" t="s">
        <v>841</v>
      </c>
      <c r="F532" s="148" t="s">
        <v>842</v>
      </c>
      <c r="G532" s="148" t="s">
        <v>843</v>
      </c>
      <c r="H532" s="148" t="s">
        <v>844</v>
      </c>
      <c r="I532" s="148" t="s">
        <v>703</v>
      </c>
      <c r="J532" s="148" t="s">
        <v>12</v>
      </c>
      <c r="K532" s="148" t="s">
        <v>12</v>
      </c>
      <c r="L532" s="148" t="s">
        <v>12</v>
      </c>
      <c r="M532" s="148" t="s">
        <v>12</v>
      </c>
      <c r="N532" s="148" t="s">
        <v>834</v>
      </c>
      <c r="O532" s="148" t="s">
        <v>835</v>
      </c>
      <c r="P532" s="148" t="s">
        <v>845</v>
      </c>
    </row>
    <row r="533" spans="1:16" ht="45">
      <c r="A533" s="148">
        <v>9</v>
      </c>
      <c r="B533" s="341"/>
      <c r="C533" s="342"/>
      <c r="D533" s="146" t="s">
        <v>846</v>
      </c>
      <c r="E533" s="156" t="s">
        <v>847</v>
      </c>
      <c r="F533" s="156" t="s">
        <v>574</v>
      </c>
      <c r="G533" s="148" t="s">
        <v>12</v>
      </c>
      <c r="H533" s="148" t="s">
        <v>12</v>
      </c>
      <c r="I533" s="148" t="s">
        <v>799</v>
      </c>
      <c r="J533" s="148" t="s">
        <v>12</v>
      </c>
      <c r="K533" s="148" t="s">
        <v>12</v>
      </c>
      <c r="L533" s="148" t="s">
        <v>12</v>
      </c>
      <c r="M533" s="148" t="s">
        <v>12</v>
      </c>
      <c r="N533" s="148">
        <v>8</v>
      </c>
      <c r="O533" s="148">
        <v>13</v>
      </c>
      <c r="P533" s="148" t="s">
        <v>848</v>
      </c>
    </row>
    <row r="534" spans="1:16" ht="30">
      <c r="A534" s="148">
        <v>10</v>
      </c>
      <c r="B534" s="341"/>
      <c r="C534" s="340" t="s">
        <v>788</v>
      </c>
      <c r="D534" s="146" t="s">
        <v>849</v>
      </c>
      <c r="E534" s="148">
        <v>560.25</v>
      </c>
      <c r="F534" s="148" t="s">
        <v>850</v>
      </c>
      <c r="G534" s="148">
        <v>0.76</v>
      </c>
      <c r="H534" s="148" t="s">
        <v>12</v>
      </c>
      <c r="I534" s="148" t="s">
        <v>791</v>
      </c>
      <c r="J534" s="148" t="s">
        <v>12</v>
      </c>
      <c r="K534" s="148" t="s">
        <v>12</v>
      </c>
      <c r="L534" s="148" t="s">
        <v>12</v>
      </c>
      <c r="M534" s="148" t="s">
        <v>12</v>
      </c>
      <c r="N534" s="148" t="s">
        <v>12</v>
      </c>
      <c r="O534" s="148">
        <v>7</v>
      </c>
      <c r="P534" s="148"/>
    </row>
    <row r="535" spans="1:16" ht="30">
      <c r="A535" s="148">
        <v>11</v>
      </c>
      <c r="B535" s="342"/>
      <c r="C535" s="342"/>
      <c r="D535" s="146" t="s">
        <v>851</v>
      </c>
      <c r="E535" s="148">
        <v>1108.25</v>
      </c>
      <c r="F535" s="148" t="s">
        <v>852</v>
      </c>
      <c r="G535" s="148">
        <v>4.09</v>
      </c>
      <c r="H535" s="148" t="s">
        <v>12</v>
      </c>
      <c r="I535" s="148" t="s">
        <v>791</v>
      </c>
      <c r="J535" s="148" t="s">
        <v>12</v>
      </c>
      <c r="K535" s="148" t="s">
        <v>12</v>
      </c>
      <c r="L535" s="148" t="s">
        <v>12</v>
      </c>
      <c r="M535" s="148" t="s">
        <v>12</v>
      </c>
      <c r="N535" s="148" t="s">
        <v>12</v>
      </c>
      <c r="O535" s="148">
        <v>6</v>
      </c>
      <c r="P535" s="148"/>
    </row>
    <row r="536" spans="1:16">
      <c r="A536" s="427"/>
      <c r="B536" s="427"/>
      <c r="C536" s="427"/>
      <c r="D536" s="427"/>
      <c r="E536" s="427"/>
      <c r="F536" s="427"/>
      <c r="G536" s="427"/>
      <c r="H536" s="427"/>
      <c r="I536" s="427"/>
      <c r="J536" s="427"/>
      <c r="K536" s="427"/>
      <c r="L536" s="427"/>
      <c r="M536" s="427"/>
      <c r="N536" s="427"/>
      <c r="O536" s="427"/>
      <c r="P536" s="427"/>
    </row>
    <row r="537" spans="1:16" ht="22.5">
      <c r="A537" s="402" t="s">
        <v>187</v>
      </c>
      <c r="B537" s="403"/>
      <c r="C537" s="403"/>
      <c r="D537" s="403"/>
      <c r="E537" s="403"/>
      <c r="F537" s="403"/>
      <c r="G537" s="403"/>
      <c r="H537" s="403"/>
      <c r="I537" s="403"/>
      <c r="J537" s="403"/>
      <c r="K537" s="403"/>
      <c r="L537" s="403"/>
      <c r="M537" s="403"/>
      <c r="N537" s="403"/>
      <c r="O537" s="403"/>
      <c r="P537" s="403"/>
    </row>
    <row r="538" spans="1:16" ht="20.25">
      <c r="A538" s="400" t="s">
        <v>16</v>
      </c>
      <c r="B538" s="401"/>
      <c r="C538" s="401"/>
      <c r="D538" s="401"/>
      <c r="E538" s="401"/>
      <c r="F538" s="401"/>
      <c r="G538" s="401"/>
      <c r="H538" s="401"/>
      <c r="I538" s="401"/>
      <c r="J538" s="401"/>
      <c r="K538" s="401"/>
      <c r="L538" s="401"/>
      <c r="M538" s="401"/>
      <c r="N538" s="401"/>
      <c r="O538" s="401"/>
      <c r="P538" s="401"/>
    </row>
    <row r="539" spans="1:16" ht="85.5">
      <c r="A539" s="21" t="s">
        <v>0</v>
      </c>
      <c r="B539" s="21" t="s">
        <v>119</v>
      </c>
      <c r="C539" s="21" t="s">
        <v>1</v>
      </c>
      <c r="D539" s="21" t="s">
        <v>120</v>
      </c>
      <c r="E539" s="21" t="s">
        <v>3</v>
      </c>
      <c r="F539" s="21" t="s">
        <v>4</v>
      </c>
      <c r="G539" s="21" t="s">
        <v>121</v>
      </c>
      <c r="H539" s="21" t="s">
        <v>122</v>
      </c>
      <c r="I539" s="21" t="s">
        <v>113</v>
      </c>
      <c r="J539" s="21" t="s">
        <v>5</v>
      </c>
      <c r="K539" s="21" t="s">
        <v>6</v>
      </c>
      <c r="L539" s="21" t="s">
        <v>7</v>
      </c>
      <c r="M539" s="22" t="s">
        <v>8</v>
      </c>
      <c r="N539" s="47" t="s">
        <v>9</v>
      </c>
      <c r="O539" s="48" t="s">
        <v>10</v>
      </c>
      <c r="P539" s="49" t="s">
        <v>11</v>
      </c>
    </row>
    <row r="540" spans="1:16">
      <c r="A540" s="1">
        <v>1</v>
      </c>
      <c r="B540" s="21">
        <v>2</v>
      </c>
      <c r="C540" s="21">
        <v>3</v>
      </c>
      <c r="D540" s="21">
        <v>4</v>
      </c>
      <c r="E540" s="21">
        <v>5</v>
      </c>
      <c r="F540" s="21">
        <v>6</v>
      </c>
      <c r="G540" s="21">
        <v>7</v>
      </c>
      <c r="H540" s="21">
        <v>8</v>
      </c>
      <c r="I540" s="21">
        <v>9</v>
      </c>
      <c r="J540" s="21">
        <v>10</v>
      </c>
      <c r="K540" s="21">
        <v>11</v>
      </c>
      <c r="L540" s="21">
        <v>12</v>
      </c>
      <c r="M540" s="21">
        <v>13</v>
      </c>
      <c r="N540" s="21">
        <v>14</v>
      </c>
      <c r="O540" s="48">
        <v>15</v>
      </c>
      <c r="P540" s="21">
        <v>16</v>
      </c>
    </row>
    <row r="541" spans="1:16" ht="75">
      <c r="A541" s="248">
        <v>1</v>
      </c>
      <c r="B541" s="482" t="s">
        <v>2183</v>
      </c>
      <c r="C541" s="485" t="s">
        <v>2184</v>
      </c>
      <c r="D541" s="331" t="s">
        <v>2185</v>
      </c>
      <c r="E541" s="40">
        <v>950</v>
      </c>
      <c r="F541" s="259" t="s">
        <v>2186</v>
      </c>
      <c r="G541" s="259" t="s">
        <v>2187</v>
      </c>
      <c r="H541" s="248"/>
      <c r="I541" s="248" t="s">
        <v>25</v>
      </c>
      <c r="J541" s="248" t="s">
        <v>12</v>
      </c>
      <c r="K541" s="248" t="s">
        <v>12</v>
      </c>
      <c r="L541" s="248" t="s">
        <v>12</v>
      </c>
      <c r="M541" s="248" t="s">
        <v>12</v>
      </c>
      <c r="N541" s="40" t="s">
        <v>2188</v>
      </c>
      <c r="O541" s="248"/>
      <c r="P541" s="40"/>
    </row>
    <row r="542" spans="1:16" ht="135">
      <c r="A542" s="248">
        <v>2</v>
      </c>
      <c r="B542" s="483"/>
      <c r="C542" s="485"/>
      <c r="D542" s="331" t="s">
        <v>2189</v>
      </c>
      <c r="E542" s="40">
        <v>155</v>
      </c>
      <c r="F542" s="259" t="s">
        <v>42</v>
      </c>
      <c r="G542" s="259" t="s">
        <v>2190</v>
      </c>
      <c r="H542" s="248"/>
      <c r="I542" s="248" t="s">
        <v>25</v>
      </c>
      <c r="J542" s="248" t="s">
        <v>12</v>
      </c>
      <c r="K542" s="248" t="s">
        <v>12</v>
      </c>
      <c r="L542" s="248" t="s">
        <v>12</v>
      </c>
      <c r="M542" s="248" t="s">
        <v>12</v>
      </c>
      <c r="N542" s="40" t="s">
        <v>2188</v>
      </c>
      <c r="O542" s="248"/>
      <c r="P542" s="40" t="s">
        <v>48</v>
      </c>
    </row>
    <row r="543" spans="1:16" ht="20.25" customHeight="1">
      <c r="A543" s="248">
        <v>3</v>
      </c>
      <c r="B543" s="483"/>
      <c r="C543" s="485"/>
      <c r="D543" s="331" t="s">
        <v>2191</v>
      </c>
      <c r="E543" s="40">
        <v>1325</v>
      </c>
      <c r="F543" s="40">
        <v>1901</v>
      </c>
      <c r="G543" s="40" t="s">
        <v>2192</v>
      </c>
      <c r="H543" s="248"/>
      <c r="I543" s="248" t="s">
        <v>25</v>
      </c>
      <c r="J543" s="248" t="s">
        <v>12</v>
      </c>
      <c r="K543" s="248" t="s">
        <v>12</v>
      </c>
      <c r="L543" s="248" t="s">
        <v>12</v>
      </c>
      <c r="M543" s="248" t="s">
        <v>12</v>
      </c>
      <c r="N543" s="40"/>
      <c r="O543" s="248"/>
      <c r="P543" s="40"/>
    </row>
    <row r="544" spans="1:16" ht="45">
      <c r="A544" s="248">
        <v>4</v>
      </c>
      <c r="B544" s="483"/>
      <c r="C544" s="485"/>
      <c r="D544" s="331" t="s">
        <v>2193</v>
      </c>
      <c r="E544" s="40">
        <v>597</v>
      </c>
      <c r="F544" s="259">
        <v>1993</v>
      </c>
      <c r="G544" s="260">
        <v>3.1E-2</v>
      </c>
      <c r="H544" s="248"/>
      <c r="I544" s="248" t="s">
        <v>25</v>
      </c>
      <c r="J544" s="248" t="s">
        <v>12</v>
      </c>
      <c r="K544" s="248" t="s">
        <v>12</v>
      </c>
      <c r="L544" s="248" t="s">
        <v>12</v>
      </c>
      <c r="M544" s="248" t="s">
        <v>12</v>
      </c>
      <c r="N544" s="40"/>
      <c r="O544" s="248"/>
      <c r="P544" s="40"/>
    </row>
    <row r="545" spans="1:16" ht="60">
      <c r="A545" s="248">
        <v>5</v>
      </c>
      <c r="B545" s="483"/>
      <c r="C545" s="485"/>
      <c r="D545" s="331" t="s">
        <v>2194</v>
      </c>
      <c r="E545" s="40">
        <v>1719.9</v>
      </c>
      <c r="F545" s="259" t="s">
        <v>2195</v>
      </c>
      <c r="G545" s="40" t="s">
        <v>2196</v>
      </c>
      <c r="H545" s="248"/>
      <c r="I545" s="248" t="s">
        <v>25</v>
      </c>
      <c r="J545" s="248" t="s">
        <v>12</v>
      </c>
      <c r="K545" s="248" t="s">
        <v>12</v>
      </c>
      <c r="L545" s="248" t="s">
        <v>12</v>
      </c>
      <c r="M545" s="248" t="s">
        <v>12</v>
      </c>
      <c r="N545" s="40"/>
      <c r="O545" s="248"/>
      <c r="P545" s="40" t="s">
        <v>2197</v>
      </c>
    </row>
    <row r="546" spans="1:16" ht="90">
      <c r="A546" s="248">
        <v>6</v>
      </c>
      <c r="B546" s="483"/>
      <c r="C546" s="485"/>
      <c r="D546" s="331" t="s">
        <v>2198</v>
      </c>
      <c r="E546" s="40">
        <v>376</v>
      </c>
      <c r="F546" s="40" t="s">
        <v>2199</v>
      </c>
      <c r="G546" s="40" t="s">
        <v>2200</v>
      </c>
      <c r="H546" s="248"/>
      <c r="I546" s="248" t="s">
        <v>25</v>
      </c>
      <c r="J546" s="248" t="s">
        <v>12</v>
      </c>
      <c r="K546" s="248" t="s">
        <v>12</v>
      </c>
      <c r="L546" s="248" t="s">
        <v>12</v>
      </c>
      <c r="M546" s="248" t="s">
        <v>12</v>
      </c>
      <c r="N546" s="40" t="s">
        <v>2188</v>
      </c>
      <c r="O546" s="248"/>
      <c r="P546" s="40"/>
    </row>
    <row r="547" spans="1:16" ht="105">
      <c r="A547" s="248">
        <v>7</v>
      </c>
      <c r="B547" s="483"/>
      <c r="C547" s="485"/>
      <c r="D547" s="331" t="s">
        <v>2201</v>
      </c>
      <c r="E547" s="40">
        <v>2155</v>
      </c>
      <c r="F547" s="40" t="s">
        <v>2202</v>
      </c>
      <c r="G547" s="40" t="s">
        <v>2203</v>
      </c>
      <c r="H547" s="248"/>
      <c r="I547" s="248" t="s">
        <v>25</v>
      </c>
      <c r="J547" s="248" t="s">
        <v>12</v>
      </c>
      <c r="K547" s="248" t="s">
        <v>12</v>
      </c>
      <c r="L547" s="248" t="s">
        <v>12</v>
      </c>
      <c r="M547" s="248" t="s">
        <v>12</v>
      </c>
      <c r="N547" s="40" t="s">
        <v>2188</v>
      </c>
      <c r="O547" s="248"/>
      <c r="P547" s="40"/>
    </row>
    <row r="548" spans="1:16" ht="30">
      <c r="A548" s="248">
        <v>8</v>
      </c>
      <c r="B548" s="483"/>
      <c r="C548" s="485" t="s">
        <v>2184</v>
      </c>
      <c r="D548" s="331" t="s">
        <v>2204</v>
      </c>
      <c r="E548" s="40">
        <v>2347</v>
      </c>
      <c r="F548" s="261"/>
      <c r="G548" s="486" t="s">
        <v>2205</v>
      </c>
      <c r="H548" s="248"/>
      <c r="I548" s="248" t="s">
        <v>25</v>
      </c>
      <c r="J548" s="248" t="s">
        <v>12</v>
      </c>
      <c r="K548" s="248" t="s">
        <v>12</v>
      </c>
      <c r="L548" s="248" t="s">
        <v>12</v>
      </c>
      <c r="M548" s="248" t="s">
        <v>12</v>
      </c>
      <c r="N548" s="486" t="s">
        <v>2206</v>
      </c>
      <c r="O548" s="248"/>
      <c r="P548" s="486" t="s">
        <v>2207</v>
      </c>
    </row>
    <row r="549" spans="1:16">
      <c r="A549" s="248">
        <v>9</v>
      </c>
      <c r="B549" s="483"/>
      <c r="C549" s="485"/>
      <c r="D549" s="331" t="s">
        <v>2208</v>
      </c>
      <c r="E549" s="40">
        <v>17442</v>
      </c>
      <c r="F549" s="262"/>
      <c r="G549" s="487"/>
      <c r="H549" s="248"/>
      <c r="I549" s="248" t="s">
        <v>25</v>
      </c>
      <c r="J549" s="248" t="s">
        <v>12</v>
      </c>
      <c r="K549" s="248" t="s">
        <v>12</v>
      </c>
      <c r="L549" s="248" t="s">
        <v>12</v>
      </c>
      <c r="M549" s="248" t="s">
        <v>12</v>
      </c>
      <c r="N549" s="487"/>
      <c r="O549" s="248"/>
      <c r="P549" s="487"/>
    </row>
    <row r="550" spans="1:16" ht="30">
      <c r="A550" s="248">
        <v>10</v>
      </c>
      <c r="B550" s="483"/>
      <c r="C550" s="485"/>
      <c r="D550" s="331" t="s">
        <v>2209</v>
      </c>
      <c r="E550" s="40">
        <v>49088</v>
      </c>
      <c r="F550" s="489" t="s">
        <v>2210</v>
      </c>
      <c r="G550" s="487"/>
      <c r="H550" s="248"/>
      <c r="I550" s="248" t="s">
        <v>25</v>
      </c>
      <c r="J550" s="248" t="s">
        <v>12</v>
      </c>
      <c r="K550" s="248" t="s">
        <v>12</v>
      </c>
      <c r="L550" s="248" t="s">
        <v>12</v>
      </c>
      <c r="M550" s="248" t="s">
        <v>12</v>
      </c>
      <c r="N550" s="487"/>
      <c r="O550" s="248"/>
      <c r="P550" s="487"/>
    </row>
    <row r="551" spans="1:16" ht="20.25" customHeight="1">
      <c r="A551" s="248">
        <v>11</v>
      </c>
      <c r="B551" s="483"/>
      <c r="C551" s="485"/>
      <c r="D551" s="331" t="s">
        <v>2211</v>
      </c>
      <c r="E551" s="40">
        <v>1578</v>
      </c>
      <c r="F551" s="489"/>
      <c r="G551" s="487"/>
      <c r="H551" s="248"/>
      <c r="I551" s="248" t="s">
        <v>25</v>
      </c>
      <c r="J551" s="248" t="s">
        <v>12</v>
      </c>
      <c r="K551" s="248" t="s">
        <v>12</v>
      </c>
      <c r="L551" s="248" t="s">
        <v>12</v>
      </c>
      <c r="M551" s="248" t="s">
        <v>12</v>
      </c>
      <c r="N551" s="487"/>
      <c r="O551" s="248"/>
      <c r="P551" s="487"/>
    </row>
    <row r="552" spans="1:16" ht="30">
      <c r="A552" s="248">
        <v>12</v>
      </c>
      <c r="B552" s="483"/>
      <c r="C552" s="485"/>
      <c r="D552" s="331" t="s">
        <v>2212</v>
      </c>
      <c r="E552" s="40">
        <v>11534</v>
      </c>
      <c r="F552" s="489"/>
      <c r="G552" s="487"/>
      <c r="H552" s="248"/>
      <c r="I552" s="248" t="s">
        <v>25</v>
      </c>
      <c r="J552" s="248" t="s">
        <v>12</v>
      </c>
      <c r="K552" s="248" t="s">
        <v>12</v>
      </c>
      <c r="L552" s="248" t="s">
        <v>12</v>
      </c>
      <c r="M552" s="248" t="s">
        <v>12</v>
      </c>
      <c r="N552" s="487"/>
      <c r="O552" s="248"/>
      <c r="P552" s="487"/>
    </row>
    <row r="553" spans="1:16">
      <c r="A553" s="248">
        <v>13</v>
      </c>
      <c r="B553" s="483"/>
      <c r="C553" s="485"/>
      <c r="D553" s="331" t="s">
        <v>2213</v>
      </c>
      <c r="E553" s="40">
        <v>78671</v>
      </c>
      <c r="F553" s="489"/>
      <c r="G553" s="487"/>
      <c r="H553" s="248"/>
      <c r="I553" s="248" t="s">
        <v>25</v>
      </c>
      <c r="J553" s="248" t="s">
        <v>12</v>
      </c>
      <c r="K553" s="248" t="s">
        <v>12</v>
      </c>
      <c r="L553" s="248" t="s">
        <v>12</v>
      </c>
      <c r="M553" s="248" t="s">
        <v>12</v>
      </c>
      <c r="N553" s="487"/>
      <c r="O553" s="248"/>
      <c r="P553" s="487"/>
    </row>
    <row r="554" spans="1:16">
      <c r="A554" s="248">
        <v>14</v>
      </c>
      <c r="B554" s="483"/>
      <c r="C554" s="485"/>
      <c r="D554" s="331" t="s">
        <v>2214</v>
      </c>
      <c r="E554" s="40">
        <v>25495</v>
      </c>
      <c r="F554" s="489"/>
      <c r="G554" s="487"/>
      <c r="H554" s="248"/>
      <c r="I554" s="248" t="s">
        <v>25</v>
      </c>
      <c r="J554" s="248" t="s">
        <v>12</v>
      </c>
      <c r="K554" s="248" t="s">
        <v>12</v>
      </c>
      <c r="L554" s="248" t="s">
        <v>12</v>
      </c>
      <c r="M554" s="248" t="s">
        <v>12</v>
      </c>
      <c r="N554" s="487"/>
      <c r="O554" s="248"/>
      <c r="P554" s="487"/>
    </row>
    <row r="555" spans="1:16">
      <c r="A555" s="248">
        <v>15</v>
      </c>
      <c r="B555" s="483"/>
      <c r="C555" s="485"/>
      <c r="D555" s="331" t="s">
        <v>2215</v>
      </c>
      <c r="E555" s="40">
        <v>27680</v>
      </c>
      <c r="F555" s="489"/>
      <c r="G555" s="487"/>
      <c r="H555" s="248"/>
      <c r="I555" s="248" t="s">
        <v>25</v>
      </c>
      <c r="J555" s="248" t="s">
        <v>12</v>
      </c>
      <c r="K555" s="248" t="s">
        <v>12</v>
      </c>
      <c r="L555" s="248" t="s">
        <v>12</v>
      </c>
      <c r="M555" s="248" t="s">
        <v>12</v>
      </c>
      <c r="N555" s="487"/>
      <c r="O555" s="248"/>
      <c r="P555" s="487"/>
    </row>
    <row r="556" spans="1:16" ht="30">
      <c r="A556" s="248">
        <v>16</v>
      </c>
      <c r="B556" s="483"/>
      <c r="C556" s="485"/>
      <c r="D556" s="331" t="s">
        <v>2216</v>
      </c>
      <c r="E556" s="40">
        <v>26102</v>
      </c>
      <c r="F556" s="489"/>
      <c r="G556" s="487"/>
      <c r="H556" s="248"/>
      <c r="I556" s="248" t="s">
        <v>25</v>
      </c>
      <c r="J556" s="248" t="s">
        <v>12</v>
      </c>
      <c r="K556" s="248" t="s">
        <v>12</v>
      </c>
      <c r="L556" s="248" t="s">
        <v>12</v>
      </c>
      <c r="M556" s="248" t="s">
        <v>12</v>
      </c>
      <c r="N556" s="487"/>
      <c r="O556" s="248"/>
      <c r="P556" s="487"/>
    </row>
    <row r="557" spans="1:16">
      <c r="A557" s="248">
        <v>17</v>
      </c>
      <c r="B557" s="483"/>
      <c r="C557" s="485"/>
      <c r="D557" s="331" t="s">
        <v>2217</v>
      </c>
      <c r="E557" s="40">
        <v>33710</v>
      </c>
      <c r="F557" s="489"/>
      <c r="G557" s="487"/>
      <c r="H557" s="248"/>
      <c r="I557" s="248" t="s">
        <v>25</v>
      </c>
      <c r="J557" s="248" t="s">
        <v>12</v>
      </c>
      <c r="K557" s="248" t="s">
        <v>12</v>
      </c>
      <c r="L557" s="248" t="s">
        <v>12</v>
      </c>
      <c r="M557" s="248" t="s">
        <v>12</v>
      </c>
      <c r="N557" s="487"/>
      <c r="O557" s="248"/>
      <c r="P557" s="487"/>
    </row>
    <row r="558" spans="1:16">
      <c r="A558" s="248">
        <v>18</v>
      </c>
      <c r="B558" s="483"/>
      <c r="C558" s="485"/>
      <c r="D558" s="331" t="s">
        <v>2218</v>
      </c>
      <c r="E558" s="40">
        <v>16268</v>
      </c>
      <c r="F558" s="489"/>
      <c r="G558" s="487"/>
      <c r="H558" s="248"/>
      <c r="I558" s="248" t="s">
        <v>25</v>
      </c>
      <c r="J558" s="248" t="s">
        <v>12</v>
      </c>
      <c r="K558" s="248" t="s">
        <v>12</v>
      </c>
      <c r="L558" s="248" t="s">
        <v>12</v>
      </c>
      <c r="M558" s="248" t="s">
        <v>12</v>
      </c>
      <c r="N558" s="487"/>
      <c r="O558" s="248"/>
      <c r="P558" s="487"/>
    </row>
    <row r="559" spans="1:16">
      <c r="A559" s="248">
        <v>19</v>
      </c>
      <c r="B559" s="483"/>
      <c r="C559" s="485"/>
      <c r="D559" s="331" t="s">
        <v>2219</v>
      </c>
      <c r="E559" s="40">
        <v>8701</v>
      </c>
      <c r="F559" s="489"/>
      <c r="G559" s="487"/>
      <c r="H559" s="248"/>
      <c r="I559" s="248" t="s">
        <v>25</v>
      </c>
      <c r="J559" s="248" t="s">
        <v>12</v>
      </c>
      <c r="K559" s="248" t="s">
        <v>12</v>
      </c>
      <c r="L559" s="248" t="s">
        <v>12</v>
      </c>
      <c r="M559" s="248" t="s">
        <v>12</v>
      </c>
      <c r="N559" s="487"/>
      <c r="O559" s="248"/>
      <c r="P559" s="487"/>
    </row>
    <row r="560" spans="1:16">
      <c r="A560" s="248">
        <v>20</v>
      </c>
      <c r="B560" s="483"/>
      <c r="C560" s="485"/>
      <c r="D560" s="331" t="s">
        <v>2220</v>
      </c>
      <c r="E560" s="40">
        <v>7042</v>
      </c>
      <c r="F560" s="489"/>
      <c r="G560" s="487"/>
      <c r="H560" s="248"/>
      <c r="I560" s="248" t="s">
        <v>25</v>
      </c>
      <c r="J560" s="248" t="s">
        <v>12</v>
      </c>
      <c r="K560" s="248" t="s">
        <v>12</v>
      </c>
      <c r="L560" s="248" t="s">
        <v>12</v>
      </c>
      <c r="M560" s="248" t="s">
        <v>12</v>
      </c>
      <c r="N560" s="487"/>
      <c r="O560" s="248"/>
      <c r="P560" s="487"/>
    </row>
    <row r="561" spans="1:16">
      <c r="A561" s="248">
        <v>21</v>
      </c>
      <c r="B561" s="483"/>
      <c r="C561" s="485"/>
      <c r="D561" s="331" t="s">
        <v>2221</v>
      </c>
      <c r="E561" s="40">
        <v>9753</v>
      </c>
      <c r="F561" s="489"/>
      <c r="G561" s="487"/>
      <c r="H561" s="248"/>
      <c r="I561" s="248" t="s">
        <v>25</v>
      </c>
      <c r="J561" s="248" t="s">
        <v>12</v>
      </c>
      <c r="K561" s="248" t="s">
        <v>12</v>
      </c>
      <c r="L561" s="248" t="s">
        <v>12</v>
      </c>
      <c r="M561" s="248" t="s">
        <v>12</v>
      </c>
      <c r="N561" s="487"/>
      <c r="O561" s="248"/>
      <c r="P561" s="487"/>
    </row>
    <row r="562" spans="1:16">
      <c r="A562" s="248">
        <v>22</v>
      </c>
      <c r="B562" s="483"/>
      <c r="C562" s="485"/>
      <c r="D562" s="331" t="s">
        <v>2222</v>
      </c>
      <c r="E562" s="40">
        <v>67501</v>
      </c>
      <c r="F562" s="489"/>
      <c r="G562" s="487"/>
      <c r="H562" s="248"/>
      <c r="I562" s="248" t="s">
        <v>25</v>
      </c>
      <c r="J562" s="248" t="s">
        <v>12</v>
      </c>
      <c r="K562" s="248" t="s">
        <v>12</v>
      </c>
      <c r="L562" s="248" t="s">
        <v>12</v>
      </c>
      <c r="M562" s="248" t="s">
        <v>12</v>
      </c>
      <c r="N562" s="487"/>
      <c r="O562" s="248"/>
      <c r="P562" s="487"/>
    </row>
    <row r="563" spans="1:16">
      <c r="A563" s="248">
        <v>23</v>
      </c>
      <c r="B563" s="483"/>
      <c r="C563" s="485"/>
      <c r="D563" s="331" t="s">
        <v>2223</v>
      </c>
      <c r="E563" s="40">
        <v>40752</v>
      </c>
      <c r="F563" s="489"/>
      <c r="G563" s="487"/>
      <c r="H563" s="248"/>
      <c r="I563" s="248" t="s">
        <v>25</v>
      </c>
      <c r="J563" s="248" t="s">
        <v>12</v>
      </c>
      <c r="K563" s="248" t="s">
        <v>12</v>
      </c>
      <c r="L563" s="248" t="s">
        <v>12</v>
      </c>
      <c r="M563" s="248" t="s">
        <v>12</v>
      </c>
      <c r="N563" s="487"/>
      <c r="O563" s="248"/>
      <c r="P563" s="487"/>
    </row>
    <row r="564" spans="1:16">
      <c r="A564" s="248">
        <v>24</v>
      </c>
      <c r="B564" s="483"/>
      <c r="C564" s="485"/>
      <c r="D564" s="331" t="s">
        <v>2224</v>
      </c>
      <c r="E564" s="40">
        <v>3035</v>
      </c>
      <c r="F564" s="489"/>
      <c r="G564" s="488"/>
      <c r="H564" s="248"/>
      <c r="I564" s="248" t="s">
        <v>25</v>
      </c>
      <c r="J564" s="248" t="s">
        <v>12</v>
      </c>
      <c r="K564" s="248" t="s">
        <v>12</v>
      </c>
      <c r="L564" s="248" t="s">
        <v>12</v>
      </c>
      <c r="M564" s="248" t="s">
        <v>12</v>
      </c>
      <c r="N564" s="488"/>
      <c r="O564" s="248"/>
      <c r="P564" s="488"/>
    </row>
    <row r="565" spans="1:16">
      <c r="A565" s="248">
        <v>25</v>
      </c>
      <c r="B565" s="483"/>
      <c r="C565" s="485"/>
      <c r="D565" s="331" t="s">
        <v>2225</v>
      </c>
      <c r="E565" s="40">
        <v>4694</v>
      </c>
      <c r="F565" s="262"/>
      <c r="G565" s="40" t="s">
        <v>15</v>
      </c>
      <c r="H565" s="248"/>
      <c r="I565" s="248" t="s">
        <v>25</v>
      </c>
      <c r="J565" s="248" t="s">
        <v>12</v>
      </c>
      <c r="K565" s="248" t="s">
        <v>12</v>
      </c>
      <c r="L565" s="248" t="s">
        <v>12</v>
      </c>
      <c r="M565" s="248" t="s">
        <v>12</v>
      </c>
      <c r="N565" s="486"/>
      <c r="O565" s="248"/>
      <c r="P565" s="486" t="s">
        <v>2226</v>
      </c>
    </row>
    <row r="566" spans="1:16">
      <c r="A566" s="248">
        <v>26</v>
      </c>
      <c r="B566" s="483"/>
      <c r="C566" s="485"/>
      <c r="D566" s="331" t="s">
        <v>2227</v>
      </c>
      <c r="E566" s="40">
        <v>10117</v>
      </c>
      <c r="F566" s="263"/>
      <c r="G566" s="40" t="s">
        <v>15</v>
      </c>
      <c r="H566" s="248"/>
      <c r="I566" s="264" t="s">
        <v>25</v>
      </c>
      <c r="J566" s="248" t="s">
        <v>12</v>
      </c>
      <c r="K566" s="248" t="s">
        <v>12</v>
      </c>
      <c r="L566" s="248" t="s">
        <v>12</v>
      </c>
      <c r="M566" s="248" t="s">
        <v>12</v>
      </c>
      <c r="N566" s="488"/>
      <c r="O566" s="248"/>
      <c r="P566" s="488"/>
    </row>
    <row r="567" spans="1:16" ht="60">
      <c r="A567" s="248">
        <v>27</v>
      </c>
      <c r="B567" s="483"/>
      <c r="C567" s="485"/>
      <c r="D567" s="331" t="s">
        <v>2228</v>
      </c>
      <c r="E567" s="40">
        <v>15824</v>
      </c>
      <c r="F567" s="40" t="s">
        <v>2229</v>
      </c>
      <c r="G567" s="40">
        <v>0.44</v>
      </c>
      <c r="H567" s="248"/>
      <c r="I567" s="248" t="s">
        <v>47</v>
      </c>
      <c r="J567" s="248" t="s">
        <v>12</v>
      </c>
      <c r="K567" s="248" t="s">
        <v>12</v>
      </c>
      <c r="L567" s="248" t="s">
        <v>12</v>
      </c>
      <c r="M567" s="248" t="s">
        <v>12</v>
      </c>
      <c r="N567" s="40"/>
      <c r="O567" s="248"/>
      <c r="P567" s="40" t="s">
        <v>2230</v>
      </c>
    </row>
    <row r="568" spans="1:16" ht="60">
      <c r="A568" s="248">
        <v>28</v>
      </c>
      <c r="B568" s="483"/>
      <c r="C568" s="485"/>
      <c r="D568" s="331" t="s">
        <v>2231</v>
      </c>
      <c r="E568" s="40">
        <v>15581</v>
      </c>
      <c r="F568" s="40">
        <v>1998</v>
      </c>
      <c r="G568" s="40">
        <v>8.3000000000000004E-2</v>
      </c>
      <c r="H568" s="248"/>
      <c r="I568" s="248" t="s">
        <v>25</v>
      </c>
      <c r="J568" s="248" t="s">
        <v>12</v>
      </c>
      <c r="K568" s="248" t="s">
        <v>12</v>
      </c>
      <c r="L568" s="248" t="s">
        <v>12</v>
      </c>
      <c r="M568" s="248" t="s">
        <v>12</v>
      </c>
      <c r="N568" s="265"/>
      <c r="O568" s="248"/>
      <c r="P568" s="265"/>
    </row>
    <row r="569" spans="1:16" ht="45">
      <c r="A569" s="248">
        <v>29</v>
      </c>
      <c r="B569" s="483"/>
      <c r="C569" s="485"/>
      <c r="D569" s="331" t="s">
        <v>2232</v>
      </c>
      <c r="E569" s="40">
        <v>12141</v>
      </c>
      <c r="F569" s="40" t="s">
        <v>2233</v>
      </c>
      <c r="G569" s="40">
        <v>3.0000000000000001E-3</v>
      </c>
      <c r="H569" s="248"/>
      <c r="I569" s="248" t="s">
        <v>25</v>
      </c>
      <c r="J569" s="248" t="s">
        <v>12</v>
      </c>
      <c r="K569" s="248" t="s">
        <v>12</v>
      </c>
      <c r="L569" s="248" t="s">
        <v>12</v>
      </c>
      <c r="M569" s="248" t="s">
        <v>12</v>
      </c>
      <c r="N569" s="40"/>
      <c r="O569" s="248"/>
      <c r="P569" s="40"/>
    </row>
    <row r="570" spans="1:16" ht="60">
      <c r="A570" s="248">
        <v>30</v>
      </c>
      <c r="B570" s="483"/>
      <c r="C570" s="485"/>
      <c r="D570" s="331" t="s">
        <v>2234</v>
      </c>
      <c r="E570" s="40">
        <v>2833</v>
      </c>
      <c r="F570" s="40" t="s">
        <v>42</v>
      </c>
      <c r="G570" s="40" t="s">
        <v>2235</v>
      </c>
      <c r="H570" s="248"/>
      <c r="I570" s="248" t="s">
        <v>25</v>
      </c>
      <c r="J570" s="248" t="s">
        <v>12</v>
      </c>
      <c r="K570" s="248" t="s">
        <v>12</v>
      </c>
      <c r="L570" s="248" t="s">
        <v>12</v>
      </c>
      <c r="M570" s="248" t="s">
        <v>12</v>
      </c>
      <c r="N570" s="40"/>
      <c r="O570" s="248"/>
      <c r="P570" s="40"/>
    </row>
    <row r="571" spans="1:16" ht="60">
      <c r="A571" s="248">
        <v>31</v>
      </c>
      <c r="B571" s="483"/>
      <c r="C571" s="485"/>
      <c r="D571" s="331" t="s">
        <v>2236</v>
      </c>
      <c r="E571" s="40">
        <v>371</v>
      </c>
      <c r="F571" s="40" t="s">
        <v>42</v>
      </c>
      <c r="G571" s="40" t="s">
        <v>2235</v>
      </c>
      <c r="H571" s="248"/>
      <c r="I571" s="248" t="s">
        <v>25</v>
      </c>
      <c r="J571" s="248" t="s">
        <v>12</v>
      </c>
      <c r="K571" s="248" t="s">
        <v>12</v>
      </c>
      <c r="L571" s="248" t="s">
        <v>12</v>
      </c>
      <c r="M571" s="248" t="s">
        <v>12</v>
      </c>
      <c r="N571" s="40" t="s">
        <v>2188</v>
      </c>
      <c r="O571" s="248"/>
      <c r="P571" s="40"/>
    </row>
    <row r="572" spans="1:16" ht="45">
      <c r="A572" s="248">
        <v>32</v>
      </c>
      <c r="B572" s="483"/>
      <c r="C572" s="485"/>
      <c r="D572" s="331" t="s">
        <v>2237</v>
      </c>
      <c r="E572" s="40">
        <v>4978</v>
      </c>
      <c r="F572" s="40" t="s">
        <v>42</v>
      </c>
      <c r="G572" s="40">
        <v>1.1999999999999999E-3</v>
      </c>
      <c r="H572" s="248"/>
      <c r="I572" s="248" t="s">
        <v>25</v>
      </c>
      <c r="J572" s="248" t="s">
        <v>12</v>
      </c>
      <c r="K572" s="248" t="s">
        <v>12</v>
      </c>
      <c r="L572" s="248" t="s">
        <v>12</v>
      </c>
      <c r="M572" s="248" t="s">
        <v>12</v>
      </c>
      <c r="N572" s="40" t="s">
        <v>2238</v>
      </c>
      <c r="O572" s="248"/>
      <c r="P572" s="40"/>
    </row>
    <row r="573" spans="1:16" ht="30">
      <c r="A573" s="248">
        <v>33</v>
      </c>
      <c r="B573" s="483"/>
      <c r="C573" s="485"/>
      <c r="D573" s="331" t="s">
        <v>2239</v>
      </c>
      <c r="E573" s="40">
        <v>1473</v>
      </c>
      <c r="F573" s="40" t="s">
        <v>42</v>
      </c>
      <c r="G573" s="40">
        <v>9.7999999999999997E-3</v>
      </c>
      <c r="H573" s="248"/>
      <c r="I573" s="248" t="s">
        <v>25</v>
      </c>
      <c r="J573" s="248" t="s">
        <v>12</v>
      </c>
      <c r="K573" s="248" t="s">
        <v>12</v>
      </c>
      <c r="L573" s="248" t="s">
        <v>12</v>
      </c>
      <c r="M573" s="248" t="s">
        <v>12</v>
      </c>
      <c r="N573" s="40" t="s">
        <v>2240</v>
      </c>
      <c r="O573" s="248"/>
      <c r="P573" s="40" t="s">
        <v>2197</v>
      </c>
    </row>
    <row r="574" spans="1:16" ht="60">
      <c r="A574" s="248">
        <v>34</v>
      </c>
      <c r="B574" s="483"/>
      <c r="C574" s="485"/>
      <c r="D574" s="331" t="s">
        <v>2241</v>
      </c>
      <c r="E574" s="40">
        <v>595</v>
      </c>
      <c r="F574" s="40" t="s">
        <v>42</v>
      </c>
      <c r="G574" s="40" t="s">
        <v>2235</v>
      </c>
      <c r="H574" s="248"/>
      <c r="I574" s="248" t="s">
        <v>25</v>
      </c>
      <c r="J574" s="248" t="s">
        <v>12</v>
      </c>
      <c r="K574" s="248" t="s">
        <v>12</v>
      </c>
      <c r="L574" s="248" t="s">
        <v>12</v>
      </c>
      <c r="M574" s="248" t="s">
        <v>12</v>
      </c>
      <c r="N574" s="40" t="s">
        <v>2188</v>
      </c>
      <c r="O574" s="248"/>
      <c r="P574" s="40"/>
    </row>
    <row r="575" spans="1:16" ht="75">
      <c r="A575" s="248">
        <v>35</v>
      </c>
      <c r="B575" s="483"/>
      <c r="C575" s="485"/>
      <c r="D575" s="331" t="s">
        <v>2242</v>
      </c>
      <c r="E575" s="40">
        <v>1766</v>
      </c>
      <c r="F575" s="40" t="s">
        <v>2243</v>
      </c>
      <c r="G575" s="40" t="s">
        <v>2244</v>
      </c>
      <c r="H575" s="248"/>
      <c r="I575" s="248" t="s">
        <v>25</v>
      </c>
      <c r="J575" s="248" t="s">
        <v>12</v>
      </c>
      <c r="K575" s="248" t="s">
        <v>12</v>
      </c>
      <c r="L575" s="248" t="s">
        <v>12</v>
      </c>
      <c r="M575" s="248" t="s">
        <v>12</v>
      </c>
      <c r="N575" s="40"/>
      <c r="O575" s="248"/>
      <c r="P575" s="40"/>
    </row>
    <row r="576" spans="1:16" ht="90">
      <c r="A576" s="248">
        <v>36</v>
      </c>
      <c r="B576" s="483"/>
      <c r="C576" s="485" t="s">
        <v>2184</v>
      </c>
      <c r="D576" s="331" t="s">
        <v>2245</v>
      </c>
      <c r="E576" s="259">
        <v>15000</v>
      </c>
      <c r="F576" s="40">
        <v>1988</v>
      </c>
      <c r="G576" s="40" t="s">
        <v>2246</v>
      </c>
      <c r="H576" s="248"/>
      <c r="I576" s="248" t="s">
        <v>25</v>
      </c>
      <c r="J576" s="248" t="s">
        <v>12</v>
      </c>
      <c r="K576" s="248" t="s">
        <v>12</v>
      </c>
      <c r="L576" s="248" t="s">
        <v>12</v>
      </c>
      <c r="M576" s="248" t="s">
        <v>12</v>
      </c>
      <c r="N576" s="40"/>
      <c r="O576" s="248"/>
      <c r="P576" s="40"/>
    </row>
    <row r="577" spans="1:16" ht="45">
      <c r="A577" s="248">
        <v>37</v>
      </c>
      <c r="B577" s="483"/>
      <c r="C577" s="485"/>
      <c r="D577" s="331" t="s">
        <v>2247</v>
      </c>
      <c r="E577" s="40">
        <v>11000</v>
      </c>
      <c r="F577" s="40" t="s">
        <v>2248</v>
      </c>
      <c r="G577" s="40" t="s">
        <v>2249</v>
      </c>
      <c r="H577" s="248"/>
      <c r="I577" s="248" t="s">
        <v>25</v>
      </c>
      <c r="J577" s="248" t="s">
        <v>12</v>
      </c>
      <c r="K577" s="248" t="s">
        <v>12</v>
      </c>
      <c r="L577" s="248" t="s">
        <v>12</v>
      </c>
      <c r="M577" s="248" t="s">
        <v>12</v>
      </c>
      <c r="N577" s="40"/>
      <c r="O577" s="248"/>
      <c r="P577" s="40"/>
    </row>
    <row r="578" spans="1:16">
      <c r="A578" s="248">
        <v>38</v>
      </c>
      <c r="B578" s="483"/>
      <c r="C578" s="485"/>
      <c r="D578" s="331" t="s">
        <v>2250</v>
      </c>
      <c r="E578" s="40">
        <v>850</v>
      </c>
      <c r="F578" s="40" t="s">
        <v>2251</v>
      </c>
      <c r="G578" s="260">
        <v>8.2000000000000003E-2</v>
      </c>
      <c r="H578" s="248"/>
      <c r="I578" s="248" t="s">
        <v>25</v>
      </c>
      <c r="J578" s="248" t="s">
        <v>12</v>
      </c>
      <c r="K578" s="248" t="s">
        <v>12</v>
      </c>
      <c r="L578" s="248" t="s">
        <v>12</v>
      </c>
      <c r="M578" s="248" t="s">
        <v>12</v>
      </c>
      <c r="N578" s="40"/>
      <c r="O578" s="248"/>
      <c r="P578" s="40"/>
    </row>
    <row r="579" spans="1:16">
      <c r="A579" s="248">
        <v>39</v>
      </c>
      <c r="B579" s="483"/>
      <c r="C579" s="485"/>
      <c r="D579" s="331" t="s">
        <v>2252</v>
      </c>
      <c r="E579" s="40">
        <v>550</v>
      </c>
      <c r="F579" s="40">
        <v>1994</v>
      </c>
      <c r="G579" s="260">
        <v>0.03</v>
      </c>
      <c r="H579" s="248"/>
      <c r="I579" s="264" t="s">
        <v>25</v>
      </c>
      <c r="J579" s="248" t="s">
        <v>12</v>
      </c>
      <c r="K579" s="248" t="s">
        <v>12</v>
      </c>
      <c r="L579" s="248" t="s">
        <v>12</v>
      </c>
      <c r="M579" s="248" t="s">
        <v>12</v>
      </c>
      <c r="N579" s="40"/>
      <c r="O579" s="248"/>
      <c r="P579" s="40"/>
    </row>
    <row r="580" spans="1:16" ht="45">
      <c r="A580" s="248">
        <v>40</v>
      </c>
      <c r="B580" s="483"/>
      <c r="C580" s="485"/>
      <c r="D580" s="331" t="s">
        <v>2253</v>
      </c>
      <c r="E580" s="40">
        <v>3800</v>
      </c>
      <c r="F580" s="40">
        <v>1996</v>
      </c>
      <c r="G580" s="40" t="s">
        <v>2254</v>
      </c>
      <c r="H580" s="248"/>
      <c r="I580" s="248" t="s">
        <v>2255</v>
      </c>
      <c r="J580" s="248" t="s">
        <v>2256</v>
      </c>
      <c r="K580" s="248" t="s">
        <v>12</v>
      </c>
      <c r="L580" s="248" t="s">
        <v>12</v>
      </c>
      <c r="M580" s="248" t="s">
        <v>12</v>
      </c>
      <c r="N580" s="40"/>
      <c r="O580" s="248"/>
      <c r="P580" s="248"/>
    </row>
    <row r="581" spans="1:16" ht="255">
      <c r="A581" s="248">
        <v>41</v>
      </c>
      <c r="B581" s="483"/>
      <c r="C581" s="485"/>
      <c r="D581" s="331" t="s">
        <v>2257</v>
      </c>
      <c r="E581" s="40">
        <v>201</v>
      </c>
      <c r="F581" s="40" t="s">
        <v>2258</v>
      </c>
      <c r="G581" s="40" t="s">
        <v>40</v>
      </c>
      <c r="H581" s="248"/>
      <c r="I581" s="248" t="s">
        <v>25</v>
      </c>
      <c r="J581" s="248" t="s">
        <v>12</v>
      </c>
      <c r="K581" s="248" t="s">
        <v>12</v>
      </c>
      <c r="L581" s="248" t="s">
        <v>12</v>
      </c>
      <c r="M581" s="248" t="s">
        <v>12</v>
      </c>
      <c r="N581" s="40"/>
      <c r="O581" s="248"/>
      <c r="P581" s="40" t="s">
        <v>2259</v>
      </c>
    </row>
    <row r="582" spans="1:16" ht="30">
      <c r="A582" s="248">
        <v>42</v>
      </c>
      <c r="B582" s="484"/>
      <c r="C582" s="485"/>
      <c r="D582" s="240" t="s">
        <v>2260</v>
      </c>
      <c r="E582" s="248">
        <v>932</v>
      </c>
      <c r="F582" s="248">
        <v>1963</v>
      </c>
      <c r="G582" s="248" t="s">
        <v>40</v>
      </c>
      <c r="H582" s="248"/>
      <c r="I582" s="248" t="s">
        <v>25</v>
      </c>
      <c r="J582" s="248" t="s">
        <v>12</v>
      </c>
      <c r="K582" s="248" t="s">
        <v>12</v>
      </c>
      <c r="L582" s="248" t="s">
        <v>12</v>
      </c>
      <c r="M582" s="248" t="s">
        <v>12</v>
      </c>
      <c r="N582" s="248"/>
      <c r="O582" s="248"/>
      <c r="P582" s="248"/>
    </row>
    <row r="583" spans="1:16">
      <c r="A583" s="491"/>
      <c r="B583" s="491"/>
      <c r="C583" s="491"/>
      <c r="D583" s="491"/>
      <c r="E583" s="491"/>
      <c r="F583" s="491"/>
      <c r="G583" s="491"/>
      <c r="H583" s="491"/>
      <c r="I583" s="491"/>
      <c r="J583" s="491"/>
      <c r="K583" s="491"/>
      <c r="L583" s="491"/>
      <c r="M583" s="491"/>
      <c r="N583" s="491"/>
      <c r="O583" s="491"/>
      <c r="P583" s="491"/>
    </row>
    <row r="584" spans="1:16" ht="20.25" customHeight="1">
      <c r="A584" s="406" t="s">
        <v>27</v>
      </c>
      <c r="B584" s="406"/>
      <c r="C584" s="406"/>
      <c r="D584" s="406"/>
      <c r="E584" s="406"/>
      <c r="F584" s="406"/>
      <c r="G584" s="406"/>
      <c r="H584" s="406"/>
      <c r="I584" s="406"/>
      <c r="J584" s="406"/>
      <c r="K584" s="406"/>
      <c r="L584" s="406"/>
      <c r="M584" s="406"/>
      <c r="N584" s="406"/>
      <c r="O584" s="406"/>
      <c r="P584" s="495"/>
    </row>
    <row r="585" spans="1:16" ht="85.5">
      <c r="A585" s="21" t="s">
        <v>0</v>
      </c>
      <c r="B585" s="21" t="s">
        <v>116</v>
      </c>
      <c r="C585" s="21" t="s">
        <v>1</v>
      </c>
      <c r="D585" s="21" t="s">
        <v>123</v>
      </c>
      <c r="E585" s="22" t="s">
        <v>17</v>
      </c>
      <c r="F585" s="22" t="s">
        <v>18</v>
      </c>
      <c r="G585" s="21" t="s">
        <v>114</v>
      </c>
      <c r="H585" s="21" t="s">
        <v>115</v>
      </c>
      <c r="I585" s="21" t="s">
        <v>20</v>
      </c>
      <c r="J585" s="21" t="s">
        <v>5</v>
      </c>
      <c r="K585" s="21" t="s">
        <v>6</v>
      </c>
      <c r="L585" s="21" t="s">
        <v>21</v>
      </c>
      <c r="M585" s="21" t="s">
        <v>22</v>
      </c>
      <c r="N585" s="22" t="s">
        <v>23</v>
      </c>
      <c r="O585" s="20" t="s">
        <v>24</v>
      </c>
      <c r="P585" s="496"/>
    </row>
    <row r="586" spans="1:16">
      <c r="A586" s="12">
        <v>1</v>
      </c>
      <c r="B586" s="32">
        <v>2</v>
      </c>
      <c r="C586" s="32">
        <v>3</v>
      </c>
      <c r="D586" s="32">
        <v>4</v>
      </c>
      <c r="E586" s="32">
        <v>5</v>
      </c>
      <c r="F586" s="32">
        <v>6</v>
      </c>
      <c r="G586" s="32">
        <v>7</v>
      </c>
      <c r="H586" s="32">
        <v>8</v>
      </c>
      <c r="I586" s="32">
        <v>9</v>
      </c>
      <c r="J586" s="32">
        <v>10</v>
      </c>
      <c r="K586" s="32">
        <v>11</v>
      </c>
      <c r="L586" s="32">
        <v>12</v>
      </c>
      <c r="M586" s="32">
        <v>13</v>
      </c>
      <c r="N586" s="32">
        <v>14</v>
      </c>
      <c r="O586" s="32">
        <v>15</v>
      </c>
      <c r="P586" s="496"/>
    </row>
    <row r="587" spans="1:16" ht="105">
      <c r="A587" s="266">
        <v>1</v>
      </c>
      <c r="B587" s="340" t="s">
        <v>2183</v>
      </c>
      <c r="C587" s="340" t="s">
        <v>2184</v>
      </c>
      <c r="D587" s="269" t="s">
        <v>2261</v>
      </c>
      <c r="E587" s="267" t="s">
        <v>2262</v>
      </c>
      <c r="F587" s="266" t="s">
        <v>2263</v>
      </c>
      <c r="G587" s="266" t="s">
        <v>2264</v>
      </c>
      <c r="H587" s="246"/>
      <c r="I587" s="246" t="s">
        <v>799</v>
      </c>
      <c r="J587" s="246" t="s">
        <v>12</v>
      </c>
      <c r="K587" s="246" t="s">
        <v>12</v>
      </c>
      <c r="L587" s="246" t="s">
        <v>12</v>
      </c>
      <c r="M587" s="246"/>
      <c r="N587" s="246"/>
      <c r="O587" s="266" t="s">
        <v>2265</v>
      </c>
      <c r="P587" s="496"/>
    </row>
    <row r="588" spans="1:16" ht="150">
      <c r="A588" s="266">
        <v>2</v>
      </c>
      <c r="B588" s="341"/>
      <c r="C588" s="341"/>
      <c r="D588" s="269" t="s">
        <v>2266</v>
      </c>
      <c r="E588" s="267" t="s">
        <v>2267</v>
      </c>
      <c r="F588" s="266" t="s">
        <v>41</v>
      </c>
      <c r="G588" s="266" t="s">
        <v>2268</v>
      </c>
      <c r="H588" s="246"/>
      <c r="I588" s="246" t="s">
        <v>799</v>
      </c>
      <c r="J588" s="246" t="s">
        <v>12</v>
      </c>
      <c r="K588" s="246" t="s">
        <v>12</v>
      </c>
      <c r="L588" s="246" t="s">
        <v>12</v>
      </c>
      <c r="M588" s="246"/>
      <c r="N588" s="246"/>
      <c r="O588" s="266" t="s">
        <v>2269</v>
      </c>
      <c r="P588" s="496"/>
    </row>
    <row r="589" spans="1:16" ht="60">
      <c r="A589" s="266">
        <v>3</v>
      </c>
      <c r="B589" s="341"/>
      <c r="C589" s="341"/>
      <c r="D589" s="269" t="s">
        <v>2270</v>
      </c>
      <c r="E589" s="266" t="s">
        <v>2271</v>
      </c>
      <c r="F589" s="266">
        <v>1901</v>
      </c>
      <c r="G589" s="266" t="s">
        <v>2272</v>
      </c>
      <c r="H589" s="246"/>
      <c r="I589" s="246" t="s">
        <v>799</v>
      </c>
      <c r="J589" s="246" t="s">
        <v>12</v>
      </c>
      <c r="K589" s="246" t="s">
        <v>12</v>
      </c>
      <c r="L589" s="246" t="s">
        <v>12</v>
      </c>
      <c r="M589" s="246"/>
      <c r="N589" s="246"/>
      <c r="O589" s="266" t="s">
        <v>2273</v>
      </c>
      <c r="P589" s="496"/>
    </row>
    <row r="590" spans="1:16" ht="45">
      <c r="A590" s="266">
        <v>4</v>
      </c>
      <c r="B590" s="341"/>
      <c r="C590" s="341"/>
      <c r="D590" s="269" t="s">
        <v>2274</v>
      </c>
      <c r="E590" s="266" t="s">
        <v>2275</v>
      </c>
      <c r="F590" s="266" t="s">
        <v>2276</v>
      </c>
      <c r="G590" s="266">
        <v>0.9</v>
      </c>
      <c r="H590" s="246"/>
      <c r="I590" s="246" t="s">
        <v>799</v>
      </c>
      <c r="J590" s="246" t="s">
        <v>12</v>
      </c>
      <c r="K590" s="246" t="s">
        <v>12</v>
      </c>
      <c r="L590" s="246" t="s">
        <v>12</v>
      </c>
      <c r="M590" s="246"/>
      <c r="N590" s="246"/>
      <c r="O590" s="266" t="s">
        <v>2277</v>
      </c>
      <c r="P590" s="496"/>
    </row>
    <row r="591" spans="1:16" ht="75">
      <c r="A591" s="266">
        <v>5</v>
      </c>
      <c r="B591" s="341"/>
      <c r="C591" s="341"/>
      <c r="D591" s="269" t="s">
        <v>2278</v>
      </c>
      <c r="E591" s="266" t="s">
        <v>2279</v>
      </c>
      <c r="F591" s="266" t="s">
        <v>2280</v>
      </c>
      <c r="G591" s="266">
        <v>0.38</v>
      </c>
      <c r="H591" s="246"/>
      <c r="I591" s="246" t="s">
        <v>799</v>
      </c>
      <c r="J591" s="246" t="s">
        <v>12</v>
      </c>
      <c r="K591" s="246" t="s">
        <v>12</v>
      </c>
      <c r="L591" s="246" t="s">
        <v>12</v>
      </c>
      <c r="M591" s="246"/>
      <c r="N591" s="246"/>
      <c r="O591" s="266"/>
      <c r="P591" s="496"/>
    </row>
    <row r="592" spans="1:16" ht="90">
      <c r="A592" s="266">
        <v>6</v>
      </c>
      <c r="B592" s="341"/>
      <c r="C592" s="341"/>
      <c r="D592" s="269" t="s">
        <v>2281</v>
      </c>
      <c r="E592" s="266" t="s">
        <v>2282</v>
      </c>
      <c r="F592" s="266" t="s">
        <v>42</v>
      </c>
      <c r="G592" s="266" t="s">
        <v>2283</v>
      </c>
      <c r="H592" s="246"/>
      <c r="I592" s="246" t="s">
        <v>799</v>
      </c>
      <c r="J592" s="246" t="s">
        <v>12</v>
      </c>
      <c r="K592" s="246" t="s">
        <v>12</v>
      </c>
      <c r="L592" s="246" t="s">
        <v>12</v>
      </c>
      <c r="M592" s="246"/>
      <c r="N592" s="246"/>
      <c r="O592" s="266"/>
      <c r="P592" s="496"/>
    </row>
    <row r="593" spans="1:16" ht="45">
      <c r="A593" s="266">
        <v>7</v>
      </c>
      <c r="B593" s="341"/>
      <c r="C593" s="341"/>
      <c r="D593" s="269" t="s">
        <v>2284</v>
      </c>
      <c r="E593" s="266" t="s">
        <v>2285</v>
      </c>
      <c r="F593" s="266">
        <v>1986</v>
      </c>
      <c r="G593" s="266">
        <v>0.11</v>
      </c>
      <c r="H593" s="246"/>
      <c r="I593" s="246" t="s">
        <v>799</v>
      </c>
      <c r="J593" s="246" t="s">
        <v>12</v>
      </c>
      <c r="K593" s="246" t="s">
        <v>12</v>
      </c>
      <c r="L593" s="246" t="s">
        <v>12</v>
      </c>
      <c r="M593" s="246"/>
      <c r="N593" s="246"/>
      <c r="O593" s="266"/>
      <c r="P593" s="496"/>
    </row>
    <row r="594" spans="1:16" ht="75">
      <c r="A594" s="266">
        <v>8</v>
      </c>
      <c r="B594" s="341"/>
      <c r="C594" s="341"/>
      <c r="D594" s="269" t="s">
        <v>2286</v>
      </c>
      <c r="E594" s="266" t="s">
        <v>2287</v>
      </c>
      <c r="F594" s="266" t="s">
        <v>2288</v>
      </c>
      <c r="G594" s="266">
        <v>0.02</v>
      </c>
      <c r="H594" s="246"/>
      <c r="I594" s="246" t="s">
        <v>799</v>
      </c>
      <c r="J594" s="246" t="s">
        <v>12</v>
      </c>
      <c r="K594" s="246" t="s">
        <v>12</v>
      </c>
      <c r="L594" s="246" t="s">
        <v>12</v>
      </c>
      <c r="M594" s="246"/>
      <c r="N594" s="246"/>
      <c r="O594" s="266"/>
      <c r="P594" s="496"/>
    </row>
    <row r="595" spans="1:16" ht="30">
      <c r="A595" s="266">
        <v>9</v>
      </c>
      <c r="B595" s="341"/>
      <c r="C595" s="341"/>
      <c r="D595" s="269" t="s">
        <v>2289</v>
      </c>
      <c r="E595" s="266" t="s">
        <v>2290</v>
      </c>
      <c r="F595" s="266">
        <v>1995</v>
      </c>
      <c r="G595" s="266">
        <v>0.25</v>
      </c>
      <c r="H595" s="246"/>
      <c r="I595" s="246" t="s">
        <v>799</v>
      </c>
      <c r="J595" s="246" t="s">
        <v>12</v>
      </c>
      <c r="K595" s="246" t="s">
        <v>12</v>
      </c>
      <c r="L595" s="246" t="s">
        <v>12</v>
      </c>
      <c r="M595" s="246"/>
      <c r="N595" s="246"/>
      <c r="O595" s="266"/>
      <c r="P595" s="496"/>
    </row>
    <row r="596" spans="1:16" ht="60">
      <c r="A596" s="266">
        <v>10</v>
      </c>
      <c r="B596" s="341"/>
      <c r="C596" s="341"/>
      <c r="D596" s="247" t="s">
        <v>2291</v>
      </c>
      <c r="E596" s="266" t="s">
        <v>2292</v>
      </c>
      <c r="F596" s="266" t="s">
        <v>2293</v>
      </c>
      <c r="G596" s="266">
        <v>0.06</v>
      </c>
      <c r="H596" s="246"/>
      <c r="I596" s="246" t="s">
        <v>799</v>
      </c>
      <c r="J596" s="246" t="s">
        <v>12</v>
      </c>
      <c r="K596" s="246" t="s">
        <v>12</v>
      </c>
      <c r="L596" s="246" t="s">
        <v>12</v>
      </c>
      <c r="M596" s="246"/>
      <c r="N596" s="246"/>
      <c r="O596" s="266" t="s">
        <v>2294</v>
      </c>
      <c r="P596" s="496"/>
    </row>
    <row r="597" spans="1:16">
      <c r="A597" s="266">
        <v>11</v>
      </c>
      <c r="B597" s="341"/>
      <c r="C597" s="341"/>
      <c r="D597" s="269" t="s">
        <v>2295</v>
      </c>
      <c r="E597" s="266" t="s">
        <v>2296</v>
      </c>
      <c r="F597" s="266">
        <v>1995</v>
      </c>
      <c r="G597" s="266">
        <v>0.28000000000000003</v>
      </c>
      <c r="H597" s="246"/>
      <c r="I597" s="246" t="s">
        <v>799</v>
      </c>
      <c r="J597" s="246" t="s">
        <v>12</v>
      </c>
      <c r="K597" s="246" t="s">
        <v>12</v>
      </c>
      <c r="L597" s="246" t="s">
        <v>12</v>
      </c>
      <c r="M597" s="246"/>
      <c r="N597" s="246"/>
      <c r="O597" s="266"/>
      <c r="P597" s="496"/>
    </row>
    <row r="598" spans="1:16">
      <c r="A598" s="266">
        <v>12</v>
      </c>
      <c r="B598" s="341"/>
      <c r="C598" s="341"/>
      <c r="D598" s="269" t="s">
        <v>2297</v>
      </c>
      <c r="E598" s="266" t="s">
        <v>2298</v>
      </c>
      <c r="F598" s="266" t="s">
        <v>2299</v>
      </c>
      <c r="G598" s="266">
        <v>0.19</v>
      </c>
      <c r="H598" s="246"/>
      <c r="I598" s="246" t="s">
        <v>2255</v>
      </c>
      <c r="J598" s="246" t="s">
        <v>2300</v>
      </c>
      <c r="K598" s="246" t="s">
        <v>12</v>
      </c>
      <c r="L598" s="246" t="s">
        <v>12</v>
      </c>
      <c r="M598" s="246"/>
      <c r="N598" s="246"/>
      <c r="O598" s="266" t="s">
        <v>2301</v>
      </c>
      <c r="P598" s="496"/>
    </row>
    <row r="599" spans="1:16" ht="134.25">
      <c r="A599" s="266">
        <v>13</v>
      </c>
      <c r="B599" s="341"/>
      <c r="C599" s="341"/>
      <c r="D599" s="269" t="s">
        <v>2302</v>
      </c>
      <c r="E599" s="266" t="s">
        <v>2303</v>
      </c>
      <c r="F599" s="266">
        <v>1988</v>
      </c>
      <c r="G599" s="266" t="s">
        <v>2304</v>
      </c>
      <c r="H599" s="246"/>
      <c r="I599" s="246" t="s">
        <v>799</v>
      </c>
      <c r="J599" s="246" t="s">
        <v>12</v>
      </c>
      <c r="K599" s="246" t="s">
        <v>12</v>
      </c>
      <c r="L599" s="246" t="s">
        <v>12</v>
      </c>
      <c r="M599" s="246"/>
      <c r="N599" s="246"/>
      <c r="O599" s="266"/>
      <c r="P599" s="496"/>
    </row>
    <row r="600" spans="1:16" ht="45">
      <c r="A600" s="266">
        <v>14</v>
      </c>
      <c r="B600" s="341"/>
      <c r="C600" s="341"/>
      <c r="D600" s="269" t="s">
        <v>2305</v>
      </c>
      <c r="E600" s="266" t="s">
        <v>2306</v>
      </c>
      <c r="F600" s="266">
        <v>1993</v>
      </c>
      <c r="G600" s="266">
        <v>0.91</v>
      </c>
      <c r="H600" s="246"/>
      <c r="I600" s="246" t="s">
        <v>47</v>
      </c>
      <c r="J600" s="246" t="s">
        <v>12</v>
      </c>
      <c r="K600" s="246" t="s">
        <v>12</v>
      </c>
      <c r="L600" s="246" t="s">
        <v>12</v>
      </c>
      <c r="M600" s="246"/>
      <c r="N600" s="246"/>
      <c r="O600" s="266"/>
      <c r="P600" s="496"/>
    </row>
    <row r="601" spans="1:16" ht="60">
      <c r="A601" s="266">
        <v>15</v>
      </c>
      <c r="B601" s="341"/>
      <c r="C601" s="341"/>
      <c r="D601" s="269" t="s">
        <v>2307</v>
      </c>
      <c r="E601" s="266" t="s">
        <v>2308</v>
      </c>
      <c r="F601" s="266">
        <v>1998</v>
      </c>
      <c r="G601" s="266">
        <v>0.83</v>
      </c>
      <c r="H601" s="246"/>
      <c r="I601" s="246" t="s">
        <v>799</v>
      </c>
      <c r="J601" s="246" t="s">
        <v>12</v>
      </c>
      <c r="K601" s="246" t="s">
        <v>12</v>
      </c>
      <c r="L601" s="246" t="s">
        <v>12</v>
      </c>
      <c r="M601" s="246"/>
      <c r="N601" s="246"/>
      <c r="O601" s="266"/>
      <c r="P601" s="496"/>
    </row>
    <row r="602" spans="1:16" ht="30">
      <c r="A602" s="266">
        <v>16</v>
      </c>
      <c r="B602" s="341"/>
      <c r="C602" s="341"/>
      <c r="D602" s="269" t="s">
        <v>2309</v>
      </c>
      <c r="E602" s="266" t="s">
        <v>2310</v>
      </c>
      <c r="F602" s="266">
        <v>1993</v>
      </c>
      <c r="G602" s="266">
        <v>0.85</v>
      </c>
      <c r="H602" s="246"/>
      <c r="I602" s="246" t="s">
        <v>799</v>
      </c>
      <c r="J602" s="246" t="s">
        <v>12</v>
      </c>
      <c r="K602" s="246" t="s">
        <v>12</v>
      </c>
      <c r="L602" s="246" t="s">
        <v>12</v>
      </c>
      <c r="M602" s="246"/>
      <c r="N602" s="246"/>
      <c r="O602" s="266"/>
      <c r="P602" s="496"/>
    </row>
    <row r="603" spans="1:16" ht="30">
      <c r="A603" s="266">
        <v>17</v>
      </c>
      <c r="B603" s="341"/>
      <c r="C603" s="341"/>
      <c r="D603" s="269" t="s">
        <v>2311</v>
      </c>
      <c r="E603" s="267" t="s">
        <v>2312</v>
      </c>
      <c r="F603" s="266" t="s">
        <v>2313</v>
      </c>
      <c r="G603" s="266" t="s">
        <v>42</v>
      </c>
      <c r="H603" s="246"/>
      <c r="I603" s="246" t="s">
        <v>799</v>
      </c>
      <c r="J603" s="246" t="s">
        <v>12</v>
      </c>
      <c r="K603" s="246" t="s">
        <v>12</v>
      </c>
      <c r="L603" s="246" t="s">
        <v>12</v>
      </c>
      <c r="M603" s="246"/>
      <c r="N603" s="246"/>
      <c r="O603" s="266" t="s">
        <v>2314</v>
      </c>
      <c r="P603" s="496"/>
    </row>
    <row r="604" spans="1:16" ht="30">
      <c r="A604" s="266">
        <v>18</v>
      </c>
      <c r="B604" s="341"/>
      <c r="C604" s="341"/>
      <c r="D604" s="269" t="s">
        <v>2315</v>
      </c>
      <c r="E604" s="267" t="s">
        <v>2316</v>
      </c>
      <c r="F604" s="266" t="s">
        <v>12</v>
      </c>
      <c r="G604" s="266" t="s">
        <v>12</v>
      </c>
      <c r="H604" s="246"/>
      <c r="I604" s="246" t="s">
        <v>799</v>
      </c>
      <c r="J604" s="246" t="s">
        <v>12</v>
      </c>
      <c r="K604" s="246" t="s">
        <v>12</v>
      </c>
      <c r="L604" s="246" t="s">
        <v>12</v>
      </c>
      <c r="M604" s="246"/>
      <c r="N604" s="246"/>
      <c r="O604" s="266"/>
      <c r="P604" s="496"/>
    </row>
    <row r="605" spans="1:16">
      <c r="A605" s="266">
        <v>19</v>
      </c>
      <c r="B605" s="341"/>
      <c r="C605" s="341"/>
      <c r="D605" s="269" t="s">
        <v>2317</v>
      </c>
      <c r="E605" s="267" t="s">
        <v>2318</v>
      </c>
      <c r="F605" s="266" t="s">
        <v>12</v>
      </c>
      <c r="G605" s="267">
        <v>9.7999999999999997E-3</v>
      </c>
      <c r="H605" s="246"/>
      <c r="I605" s="246" t="s">
        <v>799</v>
      </c>
      <c r="J605" s="246" t="s">
        <v>12</v>
      </c>
      <c r="K605" s="246" t="s">
        <v>12</v>
      </c>
      <c r="L605" s="246" t="s">
        <v>12</v>
      </c>
      <c r="M605" s="246"/>
      <c r="N605" s="246"/>
      <c r="O605" s="266"/>
      <c r="P605" s="496"/>
    </row>
    <row r="606" spans="1:16" ht="30">
      <c r="A606" s="266">
        <v>20</v>
      </c>
      <c r="B606" s="341"/>
      <c r="C606" s="342"/>
      <c r="D606" s="269" t="s">
        <v>2319</v>
      </c>
      <c r="E606" s="266" t="s">
        <v>2320</v>
      </c>
      <c r="F606" s="266">
        <v>1994</v>
      </c>
      <c r="G606" s="266">
        <v>0.2</v>
      </c>
      <c r="H606" s="246"/>
      <c r="I606" s="246" t="s">
        <v>799</v>
      </c>
      <c r="J606" s="246" t="s">
        <v>12</v>
      </c>
      <c r="K606" s="246" t="s">
        <v>12</v>
      </c>
      <c r="L606" s="246" t="s">
        <v>12</v>
      </c>
      <c r="M606" s="246"/>
      <c r="N606" s="246"/>
      <c r="O606" s="266"/>
      <c r="P606" s="496"/>
    </row>
    <row r="607" spans="1:16" ht="75">
      <c r="A607" s="266">
        <v>21</v>
      </c>
      <c r="B607" s="341"/>
      <c r="C607" s="376" t="s">
        <v>2321</v>
      </c>
      <c r="D607" s="245" t="s">
        <v>2322</v>
      </c>
      <c r="E607" s="246">
        <v>2400</v>
      </c>
      <c r="F607" s="246" t="s">
        <v>2323</v>
      </c>
      <c r="G607" s="246">
        <v>8.3748E-3</v>
      </c>
      <c r="H607" s="246">
        <v>6892116</v>
      </c>
      <c r="I607" s="246" t="s">
        <v>2324</v>
      </c>
      <c r="J607" s="246" t="s">
        <v>2325</v>
      </c>
      <c r="K607" s="246" t="s">
        <v>2326</v>
      </c>
      <c r="L607" s="246" t="s">
        <v>26</v>
      </c>
      <c r="M607" s="246" t="s">
        <v>2327</v>
      </c>
      <c r="N607" s="246">
        <v>1</v>
      </c>
      <c r="O607" s="246" t="s">
        <v>26</v>
      </c>
      <c r="P607" s="496"/>
    </row>
    <row r="608" spans="1:16" ht="75">
      <c r="A608" s="266">
        <v>22</v>
      </c>
      <c r="B608" s="341"/>
      <c r="C608" s="376"/>
      <c r="D608" s="245" t="s">
        <v>2328</v>
      </c>
      <c r="E608" s="246">
        <v>3900</v>
      </c>
      <c r="F608" s="246" t="s">
        <v>2329</v>
      </c>
      <c r="G608" s="246">
        <v>1.9060299999999999E-2</v>
      </c>
      <c r="H608" s="246">
        <v>26828343</v>
      </c>
      <c r="I608" s="246" t="s">
        <v>2324</v>
      </c>
      <c r="J608" s="246" t="s">
        <v>2325</v>
      </c>
      <c r="K608" s="246" t="s">
        <v>2330</v>
      </c>
      <c r="L608" s="246" t="s">
        <v>26</v>
      </c>
      <c r="M608" s="246" t="s">
        <v>2327</v>
      </c>
      <c r="N608" s="246">
        <v>2</v>
      </c>
      <c r="O608" s="246" t="s">
        <v>26</v>
      </c>
      <c r="P608" s="496"/>
    </row>
    <row r="609" spans="1:16" ht="75">
      <c r="A609" s="266">
        <v>23</v>
      </c>
      <c r="B609" s="341"/>
      <c r="C609" s="376"/>
      <c r="D609" s="245" t="s">
        <v>2331</v>
      </c>
      <c r="E609" s="246">
        <v>340</v>
      </c>
      <c r="F609" s="246">
        <v>1901</v>
      </c>
      <c r="G609" s="246">
        <v>0</v>
      </c>
      <c r="H609" s="246">
        <v>3000000</v>
      </c>
      <c r="I609" s="246" t="s">
        <v>2332</v>
      </c>
      <c r="J609" s="246" t="s">
        <v>2333</v>
      </c>
      <c r="K609" s="246" t="s">
        <v>2333</v>
      </c>
      <c r="L609" s="246" t="s">
        <v>26</v>
      </c>
      <c r="M609" s="246" t="s">
        <v>2327</v>
      </c>
      <c r="N609" s="246">
        <v>3</v>
      </c>
      <c r="O609" s="246" t="s">
        <v>2334</v>
      </c>
      <c r="P609" s="496"/>
    </row>
    <row r="610" spans="1:16" ht="90">
      <c r="A610" s="268">
        <v>24</v>
      </c>
      <c r="B610" s="342"/>
      <c r="C610" s="340"/>
      <c r="D610" s="244" t="s">
        <v>2335</v>
      </c>
      <c r="E610" s="243">
        <v>13325</v>
      </c>
      <c r="F610" s="243" t="s">
        <v>2336</v>
      </c>
      <c r="G610" s="243">
        <v>0.15700929999999999</v>
      </c>
      <c r="H610" s="243">
        <v>1570093</v>
      </c>
      <c r="I610" s="243" t="s">
        <v>2324</v>
      </c>
      <c r="J610" s="243" t="s">
        <v>2337</v>
      </c>
      <c r="K610" s="243" t="s">
        <v>2338</v>
      </c>
      <c r="L610" s="243" t="s">
        <v>26</v>
      </c>
      <c r="M610" s="243" t="s">
        <v>2327</v>
      </c>
      <c r="N610" s="243">
        <v>4</v>
      </c>
      <c r="O610" s="243" t="s">
        <v>26</v>
      </c>
      <c r="P610" s="497"/>
    </row>
    <row r="611" spans="1:16">
      <c r="A611" s="492"/>
      <c r="B611" s="493"/>
      <c r="C611" s="493"/>
      <c r="D611" s="493"/>
      <c r="E611" s="493"/>
      <c r="F611" s="493"/>
      <c r="G611" s="493"/>
      <c r="H611" s="493"/>
      <c r="I611" s="493"/>
      <c r="J611" s="493"/>
      <c r="K611" s="493"/>
      <c r="L611" s="493"/>
      <c r="M611" s="493"/>
      <c r="N611" s="493"/>
      <c r="O611" s="493"/>
      <c r="P611" s="494"/>
    </row>
    <row r="612" spans="1:16" ht="20.25" customHeight="1">
      <c r="A612" s="406" t="s">
        <v>33</v>
      </c>
      <c r="B612" s="406"/>
      <c r="C612" s="406"/>
      <c r="D612" s="406"/>
      <c r="E612" s="406"/>
      <c r="F612" s="406"/>
      <c r="G612" s="406"/>
      <c r="H612" s="406"/>
      <c r="I612" s="406"/>
      <c r="J612" s="406"/>
      <c r="K612" s="406"/>
      <c r="L612" s="406"/>
      <c r="M612" s="406"/>
      <c r="N612" s="406"/>
      <c r="O612" s="406"/>
      <c r="P612" s="455"/>
    </row>
    <row r="613" spans="1:16" ht="85.5">
      <c r="A613" s="21" t="s">
        <v>0</v>
      </c>
      <c r="B613" s="21" t="s">
        <v>116</v>
      </c>
      <c r="C613" s="21" t="s">
        <v>1</v>
      </c>
      <c r="D613" s="21" t="s">
        <v>123</v>
      </c>
      <c r="E613" s="21" t="s">
        <v>28</v>
      </c>
      <c r="F613" s="21" t="s">
        <v>18</v>
      </c>
      <c r="G613" s="21" t="s">
        <v>118</v>
      </c>
      <c r="H613" s="21" t="s">
        <v>115</v>
      </c>
      <c r="I613" s="21" t="s">
        <v>112</v>
      </c>
      <c r="J613" s="21" t="s">
        <v>5</v>
      </c>
      <c r="K613" s="21" t="s">
        <v>6</v>
      </c>
      <c r="L613" s="21" t="s">
        <v>30</v>
      </c>
      <c r="M613" s="21" t="s">
        <v>22</v>
      </c>
      <c r="N613" s="22" t="s">
        <v>31</v>
      </c>
      <c r="O613" s="49" t="s">
        <v>11</v>
      </c>
      <c r="P613" s="455"/>
    </row>
    <row r="614" spans="1:16">
      <c r="A614" s="12">
        <v>1</v>
      </c>
      <c r="B614" s="32">
        <v>2</v>
      </c>
      <c r="C614" s="32">
        <v>3</v>
      </c>
      <c r="D614" s="32">
        <v>4</v>
      </c>
      <c r="E614" s="32">
        <v>5</v>
      </c>
      <c r="F614" s="32">
        <v>6</v>
      </c>
      <c r="G614" s="32">
        <v>7</v>
      </c>
      <c r="H614" s="32">
        <v>8</v>
      </c>
      <c r="I614" s="32">
        <v>9</v>
      </c>
      <c r="J614" s="32">
        <v>10</v>
      </c>
      <c r="K614" s="32">
        <v>11</v>
      </c>
      <c r="L614" s="32">
        <v>12</v>
      </c>
      <c r="M614" s="32">
        <v>13</v>
      </c>
      <c r="N614" s="33">
        <v>14</v>
      </c>
      <c r="O614" s="32">
        <v>15</v>
      </c>
      <c r="P614" s="455"/>
    </row>
    <row r="615" spans="1:16" ht="45">
      <c r="A615" s="270">
        <v>1</v>
      </c>
      <c r="B615" s="348" t="s">
        <v>2183</v>
      </c>
      <c r="C615" s="348" t="s">
        <v>2184</v>
      </c>
      <c r="D615" s="269" t="s">
        <v>2339</v>
      </c>
      <c r="E615" s="266" t="s">
        <v>2340</v>
      </c>
      <c r="F615" s="266">
        <v>1986</v>
      </c>
      <c r="G615" s="266">
        <v>0.45</v>
      </c>
      <c r="H615" s="266">
        <v>8.07</v>
      </c>
      <c r="I615" s="246" t="s">
        <v>12</v>
      </c>
      <c r="J615" s="246" t="s">
        <v>12</v>
      </c>
      <c r="K615" s="246" t="s">
        <v>12</v>
      </c>
      <c r="L615" s="246" t="s">
        <v>12</v>
      </c>
      <c r="M615" s="246" t="s">
        <v>12</v>
      </c>
      <c r="N615" s="246">
        <v>1</v>
      </c>
      <c r="O615" s="270" t="s">
        <v>2341</v>
      </c>
      <c r="P615" s="455"/>
    </row>
    <row r="616" spans="1:16" ht="30">
      <c r="A616" s="270">
        <v>2</v>
      </c>
      <c r="B616" s="348"/>
      <c r="C616" s="348"/>
      <c r="D616" s="269" t="s">
        <v>2342</v>
      </c>
      <c r="E616" s="266" t="s">
        <v>2343</v>
      </c>
      <c r="F616" s="266">
        <v>1988</v>
      </c>
      <c r="G616" s="266">
        <v>0.02</v>
      </c>
      <c r="H616" s="266">
        <v>7.11</v>
      </c>
      <c r="I616" s="246" t="s">
        <v>12</v>
      </c>
      <c r="J616" s="246" t="s">
        <v>12</v>
      </c>
      <c r="K616" s="246" t="s">
        <v>12</v>
      </c>
      <c r="L616" s="246" t="s">
        <v>12</v>
      </c>
      <c r="M616" s="246" t="s">
        <v>12</v>
      </c>
      <c r="N616" s="246">
        <v>2</v>
      </c>
      <c r="O616" s="270"/>
      <c r="P616" s="455"/>
    </row>
    <row r="617" spans="1:16" ht="30">
      <c r="A617" s="266">
        <v>3</v>
      </c>
      <c r="B617" s="348"/>
      <c r="C617" s="348"/>
      <c r="D617" s="269" t="s">
        <v>2344</v>
      </c>
      <c r="E617" s="266" t="s">
        <v>2345</v>
      </c>
      <c r="F617" s="266">
        <v>1995</v>
      </c>
      <c r="G617" s="266">
        <v>7.0000000000000007E-2</v>
      </c>
      <c r="H617" s="266">
        <v>0.2</v>
      </c>
      <c r="I617" s="246" t="s">
        <v>12</v>
      </c>
      <c r="J617" s="246" t="s">
        <v>12</v>
      </c>
      <c r="K617" s="246" t="s">
        <v>12</v>
      </c>
      <c r="L617" s="246" t="s">
        <v>12</v>
      </c>
      <c r="M617" s="246" t="s">
        <v>12</v>
      </c>
      <c r="N617" s="246">
        <v>3</v>
      </c>
      <c r="O617" s="246" t="s">
        <v>2346</v>
      </c>
      <c r="P617" s="455"/>
    </row>
    <row r="618" spans="1:16" ht="45">
      <c r="A618" s="246">
        <v>4</v>
      </c>
      <c r="B618" s="348"/>
      <c r="C618" s="348"/>
      <c r="D618" s="269" t="s">
        <v>2347</v>
      </c>
      <c r="E618" s="266" t="s">
        <v>2348</v>
      </c>
      <c r="F618" s="266" t="s">
        <v>2349</v>
      </c>
      <c r="G618" s="266">
        <v>0.12</v>
      </c>
      <c r="H618" s="266">
        <v>0.06</v>
      </c>
      <c r="I618" s="246" t="s">
        <v>12</v>
      </c>
      <c r="J618" s="246" t="s">
        <v>12</v>
      </c>
      <c r="K618" s="246" t="s">
        <v>12</v>
      </c>
      <c r="L618" s="246" t="s">
        <v>12</v>
      </c>
      <c r="M618" s="246" t="s">
        <v>12</v>
      </c>
      <c r="N618" s="246">
        <v>4</v>
      </c>
      <c r="O618" s="246"/>
      <c r="P618" s="455"/>
    </row>
    <row r="619" spans="1:16">
      <c r="A619" s="246">
        <v>5</v>
      </c>
      <c r="B619" s="348"/>
      <c r="C619" s="348"/>
      <c r="D619" s="269" t="s">
        <v>2350</v>
      </c>
      <c r="E619" s="266" t="s">
        <v>15</v>
      </c>
      <c r="F619" s="266" t="s">
        <v>15</v>
      </c>
      <c r="G619" s="266" t="s">
        <v>15</v>
      </c>
      <c r="H619" s="266"/>
      <c r="I619" s="246" t="s">
        <v>12</v>
      </c>
      <c r="J619" s="246" t="s">
        <v>12</v>
      </c>
      <c r="K619" s="246" t="s">
        <v>12</v>
      </c>
      <c r="L619" s="246" t="s">
        <v>12</v>
      </c>
      <c r="M619" s="246" t="s">
        <v>12</v>
      </c>
      <c r="N619" s="246">
        <v>5</v>
      </c>
      <c r="O619" s="246"/>
      <c r="P619" s="455"/>
    </row>
    <row r="620" spans="1:16" ht="60">
      <c r="A620" s="246">
        <v>6</v>
      </c>
      <c r="B620" s="348"/>
      <c r="C620" s="348"/>
      <c r="D620" s="269" t="s">
        <v>2351</v>
      </c>
      <c r="E620" s="266" t="s">
        <v>2352</v>
      </c>
      <c r="F620" s="266">
        <v>1993</v>
      </c>
      <c r="G620" s="266">
        <v>0.54</v>
      </c>
      <c r="H620" s="266">
        <v>0.3</v>
      </c>
      <c r="I620" s="246" t="s">
        <v>12</v>
      </c>
      <c r="J620" s="246" t="s">
        <v>12</v>
      </c>
      <c r="K620" s="246" t="s">
        <v>12</v>
      </c>
      <c r="L620" s="246" t="s">
        <v>12</v>
      </c>
      <c r="M620" s="246" t="s">
        <v>12</v>
      </c>
      <c r="N620" s="246">
        <v>6</v>
      </c>
      <c r="O620" s="246"/>
      <c r="P620" s="455"/>
    </row>
    <row r="621" spans="1:16" ht="60">
      <c r="A621" s="246">
        <v>7</v>
      </c>
      <c r="B621" s="348"/>
      <c r="C621" s="348"/>
      <c r="D621" s="269" t="s">
        <v>2307</v>
      </c>
      <c r="E621" s="266" t="s">
        <v>2353</v>
      </c>
      <c r="F621" s="266">
        <v>1998</v>
      </c>
      <c r="G621" s="266">
        <v>0.35</v>
      </c>
      <c r="H621" s="266">
        <v>0.21</v>
      </c>
      <c r="I621" s="246" t="s">
        <v>12</v>
      </c>
      <c r="J621" s="246" t="s">
        <v>12</v>
      </c>
      <c r="K621" s="246" t="s">
        <v>12</v>
      </c>
      <c r="L621" s="246" t="s">
        <v>12</v>
      </c>
      <c r="M621" s="246" t="s">
        <v>12</v>
      </c>
      <c r="N621" s="246">
        <v>7</v>
      </c>
      <c r="O621" s="246"/>
      <c r="P621" s="455"/>
    </row>
    <row r="622" spans="1:16" ht="45">
      <c r="A622" s="246">
        <v>8</v>
      </c>
      <c r="B622" s="348"/>
      <c r="C622" s="348"/>
      <c r="D622" s="269" t="s">
        <v>2232</v>
      </c>
      <c r="E622" s="266" t="s">
        <v>2354</v>
      </c>
      <c r="F622" s="266">
        <v>1989</v>
      </c>
      <c r="G622" s="266">
        <v>0.59</v>
      </c>
      <c r="H622" s="266">
        <v>0.66</v>
      </c>
      <c r="I622" s="246" t="s">
        <v>12</v>
      </c>
      <c r="J622" s="246" t="s">
        <v>12</v>
      </c>
      <c r="K622" s="246" t="s">
        <v>12</v>
      </c>
      <c r="L622" s="246" t="s">
        <v>12</v>
      </c>
      <c r="M622" s="246" t="s">
        <v>12</v>
      </c>
      <c r="N622" s="246">
        <v>8</v>
      </c>
      <c r="O622" s="246"/>
      <c r="P622" s="455"/>
    </row>
    <row r="623" spans="1:16" ht="75">
      <c r="A623" s="248">
        <v>9</v>
      </c>
      <c r="B623" s="348"/>
      <c r="C623" s="246" t="s">
        <v>2355</v>
      </c>
      <c r="D623" s="329" t="s">
        <v>2356</v>
      </c>
      <c r="E623" s="246">
        <v>4740</v>
      </c>
      <c r="F623" s="246" t="s">
        <v>2323</v>
      </c>
      <c r="G623" s="246">
        <v>1.35747E-2</v>
      </c>
      <c r="H623" s="246">
        <v>7030416</v>
      </c>
      <c r="I623" s="246" t="s">
        <v>2324</v>
      </c>
      <c r="J623" s="246" t="s">
        <v>2325</v>
      </c>
      <c r="K623" s="246" t="s">
        <v>2357</v>
      </c>
      <c r="L623" s="246" t="s">
        <v>26</v>
      </c>
      <c r="M623" s="246" t="s">
        <v>2327</v>
      </c>
      <c r="N623" s="246">
        <v>1</v>
      </c>
      <c r="O623" s="246" t="s">
        <v>26</v>
      </c>
      <c r="P623" s="455"/>
    </row>
    <row r="624" spans="1:16">
      <c r="A624" s="490"/>
      <c r="B624" s="490"/>
      <c r="C624" s="490"/>
      <c r="D624" s="490"/>
      <c r="E624" s="490"/>
      <c r="F624" s="490"/>
      <c r="G624" s="490"/>
      <c r="H624" s="490"/>
      <c r="I624" s="490"/>
      <c r="J624" s="490"/>
      <c r="K624" s="490"/>
      <c r="L624" s="490"/>
      <c r="M624" s="490"/>
      <c r="N624" s="490"/>
      <c r="O624" s="490"/>
      <c r="P624" s="490"/>
    </row>
    <row r="625" spans="1:16" ht="20.25" customHeight="1">
      <c r="A625" s="400" t="s">
        <v>34</v>
      </c>
      <c r="B625" s="401"/>
      <c r="C625" s="401"/>
      <c r="D625" s="401"/>
      <c r="E625" s="401"/>
      <c r="F625" s="401"/>
      <c r="G625" s="401"/>
      <c r="H625" s="401"/>
      <c r="I625" s="401"/>
      <c r="J625" s="401"/>
      <c r="K625" s="401"/>
      <c r="L625" s="401"/>
      <c r="M625" s="401"/>
      <c r="N625" s="401"/>
      <c r="O625" s="401"/>
      <c r="P625" s="401"/>
    </row>
    <row r="626" spans="1:16" ht="85.5">
      <c r="A626" s="21" t="s">
        <v>0</v>
      </c>
      <c r="B626" s="21" t="s">
        <v>116</v>
      </c>
      <c r="C626" s="21" t="s">
        <v>1</v>
      </c>
      <c r="D626" s="21" t="s">
        <v>123</v>
      </c>
      <c r="E626" s="21" t="s">
        <v>28</v>
      </c>
      <c r="F626" s="21" t="s">
        <v>18</v>
      </c>
      <c r="G626" s="21" t="s">
        <v>111</v>
      </c>
      <c r="H626" s="21" t="s">
        <v>115</v>
      </c>
      <c r="I626" s="21" t="s">
        <v>112</v>
      </c>
      <c r="J626" s="21" t="s">
        <v>5</v>
      </c>
      <c r="K626" s="21" t="s">
        <v>6</v>
      </c>
      <c r="L626" s="21" t="s">
        <v>30</v>
      </c>
      <c r="M626" s="21" t="s">
        <v>22</v>
      </c>
      <c r="N626" s="22" t="s">
        <v>32</v>
      </c>
      <c r="O626" s="22" t="s">
        <v>31</v>
      </c>
      <c r="P626" s="20" t="s">
        <v>24</v>
      </c>
    </row>
    <row r="627" spans="1:16">
      <c r="A627" s="12">
        <v>1</v>
      </c>
      <c r="B627" s="32">
        <v>2</v>
      </c>
      <c r="C627" s="32">
        <v>3</v>
      </c>
      <c r="D627" s="32">
        <v>4</v>
      </c>
      <c r="E627" s="32">
        <v>5</v>
      </c>
      <c r="F627" s="32">
        <v>6</v>
      </c>
      <c r="G627" s="32">
        <v>7</v>
      </c>
      <c r="H627" s="32">
        <v>8</v>
      </c>
      <c r="I627" s="32">
        <v>9</v>
      </c>
      <c r="J627" s="32">
        <v>10</v>
      </c>
      <c r="K627" s="32">
        <v>11</v>
      </c>
      <c r="L627" s="32">
        <v>12</v>
      </c>
      <c r="M627" s="32">
        <v>13</v>
      </c>
      <c r="N627" s="32">
        <v>14</v>
      </c>
      <c r="O627" s="33">
        <v>15</v>
      </c>
      <c r="P627" s="21">
        <v>16</v>
      </c>
    </row>
    <row r="628" spans="1:16" ht="60">
      <c r="A628" s="266">
        <v>1</v>
      </c>
      <c r="B628" s="340" t="s">
        <v>2183</v>
      </c>
      <c r="C628" s="340" t="s">
        <v>2184</v>
      </c>
      <c r="D628" s="330" t="s">
        <v>2291</v>
      </c>
      <c r="E628" s="266" t="s">
        <v>2292</v>
      </c>
      <c r="F628" s="266" t="s">
        <v>2293</v>
      </c>
      <c r="G628" s="266">
        <v>0.06</v>
      </c>
      <c r="H628" s="246"/>
      <c r="I628" s="246" t="s">
        <v>799</v>
      </c>
      <c r="J628" s="246" t="s">
        <v>12</v>
      </c>
      <c r="K628" s="246" t="s">
        <v>12</v>
      </c>
      <c r="L628" s="246" t="s">
        <v>12</v>
      </c>
      <c r="M628" s="246"/>
      <c r="N628" s="246"/>
      <c r="O628" s="266">
        <v>4</v>
      </c>
      <c r="P628" s="246"/>
    </row>
    <row r="629" spans="1:16">
      <c r="A629" s="266">
        <v>2</v>
      </c>
      <c r="B629" s="341"/>
      <c r="C629" s="341"/>
      <c r="D629" s="269" t="s">
        <v>2295</v>
      </c>
      <c r="E629" s="266" t="s">
        <v>2296</v>
      </c>
      <c r="F629" s="266">
        <v>1995</v>
      </c>
      <c r="G629" s="266">
        <v>0.28000000000000003</v>
      </c>
      <c r="H629" s="246"/>
      <c r="I629" s="246" t="s">
        <v>799</v>
      </c>
      <c r="J629" s="246" t="s">
        <v>12</v>
      </c>
      <c r="K629" s="246" t="s">
        <v>12</v>
      </c>
      <c r="L629" s="246" t="s">
        <v>12</v>
      </c>
      <c r="M629" s="246"/>
      <c r="N629" s="246"/>
      <c r="O629" s="266">
        <v>3</v>
      </c>
      <c r="P629" s="246"/>
    </row>
    <row r="630" spans="1:16" ht="135">
      <c r="A630" s="266">
        <v>3</v>
      </c>
      <c r="B630" s="341"/>
      <c r="C630" s="341"/>
      <c r="D630" s="269" t="s">
        <v>2302</v>
      </c>
      <c r="E630" s="266" t="s">
        <v>2303</v>
      </c>
      <c r="F630" s="266">
        <v>1988</v>
      </c>
      <c r="G630" s="266" t="s">
        <v>2358</v>
      </c>
      <c r="H630" s="246"/>
      <c r="I630" s="246" t="s">
        <v>799</v>
      </c>
      <c r="J630" s="246" t="s">
        <v>12</v>
      </c>
      <c r="K630" s="246" t="s">
        <v>12</v>
      </c>
      <c r="L630" s="246" t="s">
        <v>12</v>
      </c>
      <c r="M630" s="246"/>
      <c r="N630" s="246"/>
      <c r="O630" s="266">
        <v>5</v>
      </c>
      <c r="P630" s="246"/>
    </row>
    <row r="631" spans="1:16" ht="45">
      <c r="A631" s="266">
        <v>4</v>
      </c>
      <c r="B631" s="341"/>
      <c r="C631" s="341"/>
      <c r="D631" s="269" t="s">
        <v>2305</v>
      </c>
      <c r="E631" s="266" t="s">
        <v>2306</v>
      </c>
      <c r="F631" s="266">
        <v>1993</v>
      </c>
      <c r="G631" s="266">
        <v>0.91</v>
      </c>
      <c r="H631" s="246"/>
      <c r="I631" s="246" t="s">
        <v>47</v>
      </c>
      <c r="J631" s="246" t="s">
        <v>12</v>
      </c>
      <c r="K631" s="246" t="s">
        <v>12</v>
      </c>
      <c r="L631" s="246" t="s">
        <v>12</v>
      </c>
      <c r="M631" s="246"/>
      <c r="N631" s="246"/>
      <c r="O631" s="266">
        <v>6</v>
      </c>
      <c r="P631" s="246"/>
    </row>
    <row r="632" spans="1:16" ht="60">
      <c r="A632" s="266">
        <v>5</v>
      </c>
      <c r="B632" s="341"/>
      <c r="C632" s="341"/>
      <c r="D632" s="269" t="s">
        <v>2307</v>
      </c>
      <c r="E632" s="266" t="s">
        <v>2308</v>
      </c>
      <c r="F632" s="266">
        <v>1998</v>
      </c>
      <c r="G632" s="266">
        <v>0.83</v>
      </c>
      <c r="H632" s="246"/>
      <c r="I632" s="246" t="s">
        <v>799</v>
      </c>
      <c r="J632" s="246" t="s">
        <v>12</v>
      </c>
      <c r="K632" s="246" t="s">
        <v>12</v>
      </c>
      <c r="L632" s="246" t="s">
        <v>12</v>
      </c>
      <c r="M632" s="246"/>
      <c r="N632" s="246"/>
      <c r="O632" s="266">
        <v>7</v>
      </c>
      <c r="P632" s="246"/>
    </row>
    <row r="633" spans="1:16" ht="30">
      <c r="A633" s="266">
        <v>6</v>
      </c>
      <c r="B633" s="341"/>
      <c r="C633" s="341"/>
      <c r="D633" s="269" t="s">
        <v>2309</v>
      </c>
      <c r="E633" s="266" t="s">
        <v>2310</v>
      </c>
      <c r="F633" s="266">
        <v>1993</v>
      </c>
      <c r="G633" s="266">
        <v>0.85</v>
      </c>
      <c r="H633" s="246"/>
      <c r="I633" s="246" t="s">
        <v>799</v>
      </c>
      <c r="J633" s="246" t="s">
        <v>12</v>
      </c>
      <c r="K633" s="246" t="s">
        <v>12</v>
      </c>
      <c r="L633" s="246" t="s">
        <v>12</v>
      </c>
      <c r="M633" s="246"/>
      <c r="N633" s="246"/>
      <c r="O633" s="266">
        <v>8</v>
      </c>
      <c r="P633" s="246"/>
    </row>
    <row r="634" spans="1:16" ht="60">
      <c r="A634" s="266">
        <v>7</v>
      </c>
      <c r="B634" s="341"/>
      <c r="C634" s="341"/>
      <c r="D634" s="269" t="s">
        <v>2359</v>
      </c>
      <c r="E634" s="266" t="s">
        <v>2271</v>
      </c>
      <c r="F634" s="266">
        <v>1901</v>
      </c>
      <c r="G634" s="266" t="s">
        <v>2272</v>
      </c>
      <c r="H634" s="246"/>
      <c r="I634" s="246" t="s">
        <v>799</v>
      </c>
      <c r="J634" s="246" t="s">
        <v>12</v>
      </c>
      <c r="K634" s="246" t="s">
        <v>12</v>
      </c>
      <c r="L634" s="246" t="s">
        <v>12</v>
      </c>
      <c r="M634" s="246"/>
      <c r="N634" s="246"/>
      <c r="O634" s="246"/>
      <c r="P634" s="266" t="s">
        <v>2273</v>
      </c>
    </row>
    <row r="635" spans="1:16" ht="45">
      <c r="A635" s="266">
        <v>8</v>
      </c>
      <c r="B635" s="341"/>
      <c r="C635" s="341"/>
      <c r="D635" s="269" t="s">
        <v>2274</v>
      </c>
      <c r="E635" s="266" t="s">
        <v>2275</v>
      </c>
      <c r="F635" s="266" t="s">
        <v>2276</v>
      </c>
      <c r="G635" s="266">
        <v>0.9</v>
      </c>
      <c r="H635" s="246"/>
      <c r="I635" s="246" t="s">
        <v>799</v>
      </c>
      <c r="J635" s="246" t="s">
        <v>12</v>
      </c>
      <c r="K635" s="246" t="s">
        <v>12</v>
      </c>
      <c r="L635" s="246" t="s">
        <v>12</v>
      </c>
      <c r="M635" s="246"/>
      <c r="N635" s="246"/>
      <c r="O635" s="246"/>
      <c r="P635" s="266" t="s">
        <v>2277</v>
      </c>
    </row>
    <row r="636" spans="1:16" ht="75">
      <c r="A636" s="266">
        <v>9</v>
      </c>
      <c r="B636" s="341"/>
      <c r="C636" s="341"/>
      <c r="D636" s="269" t="s">
        <v>2278</v>
      </c>
      <c r="E636" s="266" t="s">
        <v>2279</v>
      </c>
      <c r="F636" s="266" t="s">
        <v>2280</v>
      </c>
      <c r="G636" s="266">
        <v>0.38</v>
      </c>
      <c r="H636" s="246"/>
      <c r="I636" s="246" t="s">
        <v>799</v>
      </c>
      <c r="J636" s="246" t="s">
        <v>12</v>
      </c>
      <c r="K636" s="246" t="s">
        <v>12</v>
      </c>
      <c r="L636" s="246" t="s">
        <v>12</v>
      </c>
      <c r="M636" s="246"/>
      <c r="N636" s="246"/>
      <c r="O636" s="266"/>
      <c r="P636" s="246"/>
    </row>
    <row r="637" spans="1:16" ht="90">
      <c r="A637" s="266">
        <v>10</v>
      </c>
      <c r="B637" s="341"/>
      <c r="C637" s="341"/>
      <c r="D637" s="269" t="s">
        <v>2281</v>
      </c>
      <c r="E637" s="266" t="s">
        <v>2282</v>
      </c>
      <c r="F637" s="266" t="s">
        <v>42</v>
      </c>
      <c r="G637" s="266" t="s">
        <v>2360</v>
      </c>
      <c r="H637" s="246"/>
      <c r="I637" s="246" t="s">
        <v>799</v>
      </c>
      <c r="J637" s="246" t="s">
        <v>12</v>
      </c>
      <c r="K637" s="246" t="s">
        <v>12</v>
      </c>
      <c r="L637" s="246" t="s">
        <v>12</v>
      </c>
      <c r="M637" s="246"/>
      <c r="N637" s="246"/>
      <c r="O637" s="266"/>
      <c r="P637" s="246"/>
    </row>
    <row r="638" spans="1:16" ht="45">
      <c r="A638" s="266">
        <v>11</v>
      </c>
      <c r="B638" s="341"/>
      <c r="C638" s="341"/>
      <c r="D638" s="269" t="s">
        <v>2284</v>
      </c>
      <c r="E638" s="266" t="s">
        <v>2285</v>
      </c>
      <c r="F638" s="266">
        <v>1986</v>
      </c>
      <c r="G638" s="266">
        <v>0.11</v>
      </c>
      <c r="H638" s="246"/>
      <c r="I638" s="246" t="s">
        <v>799</v>
      </c>
      <c r="J638" s="246" t="s">
        <v>12</v>
      </c>
      <c r="K638" s="246" t="s">
        <v>12</v>
      </c>
      <c r="L638" s="246" t="s">
        <v>12</v>
      </c>
      <c r="M638" s="246"/>
      <c r="N638" s="246"/>
      <c r="O638" s="266"/>
      <c r="P638" s="246"/>
    </row>
    <row r="639" spans="1:16" ht="75">
      <c r="A639" s="266">
        <v>12</v>
      </c>
      <c r="B639" s="341"/>
      <c r="C639" s="341"/>
      <c r="D639" s="269" t="s">
        <v>2286</v>
      </c>
      <c r="E639" s="266" t="s">
        <v>2287</v>
      </c>
      <c r="F639" s="266" t="s">
        <v>2288</v>
      </c>
      <c r="G639" s="266">
        <v>0.02</v>
      </c>
      <c r="H639" s="246"/>
      <c r="I639" s="246" t="s">
        <v>799</v>
      </c>
      <c r="J639" s="246" t="s">
        <v>12</v>
      </c>
      <c r="K639" s="246" t="s">
        <v>12</v>
      </c>
      <c r="L639" s="246" t="s">
        <v>12</v>
      </c>
      <c r="M639" s="246"/>
      <c r="N639" s="246"/>
      <c r="O639" s="266"/>
      <c r="P639" s="246"/>
    </row>
    <row r="640" spans="1:16" ht="30">
      <c r="A640" s="266">
        <v>13</v>
      </c>
      <c r="B640" s="341"/>
      <c r="C640" s="341"/>
      <c r="D640" s="269" t="s">
        <v>2289</v>
      </c>
      <c r="E640" s="266" t="s">
        <v>2290</v>
      </c>
      <c r="F640" s="266">
        <v>1995</v>
      </c>
      <c r="G640" s="266">
        <v>0.25</v>
      </c>
      <c r="H640" s="246"/>
      <c r="I640" s="246" t="s">
        <v>799</v>
      </c>
      <c r="J640" s="246" t="s">
        <v>12</v>
      </c>
      <c r="K640" s="246" t="s">
        <v>12</v>
      </c>
      <c r="L640" s="246" t="s">
        <v>12</v>
      </c>
      <c r="M640" s="246"/>
      <c r="N640" s="246"/>
      <c r="O640" s="266"/>
      <c r="P640" s="246"/>
    </row>
    <row r="641" spans="1:16">
      <c r="A641" s="266">
        <v>14</v>
      </c>
      <c r="B641" s="341"/>
      <c r="C641" s="341"/>
      <c r="D641" s="269" t="s">
        <v>2297</v>
      </c>
      <c r="E641" s="266" t="s">
        <v>2298</v>
      </c>
      <c r="F641" s="266" t="s">
        <v>2299</v>
      </c>
      <c r="G641" s="266">
        <v>0.19</v>
      </c>
      <c r="H641" s="246"/>
      <c r="I641" s="246" t="s">
        <v>2255</v>
      </c>
      <c r="J641" s="246" t="s">
        <v>2300</v>
      </c>
      <c r="K641" s="246" t="s">
        <v>12</v>
      </c>
      <c r="L641" s="246" t="s">
        <v>12</v>
      </c>
      <c r="M641" s="246"/>
      <c r="N641" s="246"/>
      <c r="O641" s="246"/>
      <c r="P641" s="266" t="s">
        <v>2301</v>
      </c>
    </row>
    <row r="642" spans="1:16" ht="30">
      <c r="A642" s="266">
        <v>15</v>
      </c>
      <c r="B642" s="341"/>
      <c r="C642" s="341"/>
      <c r="D642" s="269" t="s">
        <v>2311</v>
      </c>
      <c r="E642" s="267" t="s">
        <v>2312</v>
      </c>
      <c r="F642" s="266" t="s">
        <v>2313</v>
      </c>
      <c r="G642" s="266" t="s">
        <v>42</v>
      </c>
      <c r="H642" s="246"/>
      <c r="I642" s="246" t="s">
        <v>799</v>
      </c>
      <c r="J642" s="246" t="s">
        <v>12</v>
      </c>
      <c r="K642" s="246" t="s">
        <v>12</v>
      </c>
      <c r="L642" s="246" t="s">
        <v>12</v>
      </c>
      <c r="M642" s="246"/>
      <c r="N642" s="246"/>
      <c r="O642" s="246"/>
      <c r="P642" s="266" t="s">
        <v>2314</v>
      </c>
    </row>
    <row r="643" spans="1:16" ht="30">
      <c r="A643" s="266">
        <v>16</v>
      </c>
      <c r="B643" s="341"/>
      <c r="C643" s="341"/>
      <c r="D643" s="269" t="s">
        <v>2315</v>
      </c>
      <c r="E643" s="267" t="s">
        <v>2316</v>
      </c>
      <c r="F643" s="266" t="s">
        <v>12</v>
      </c>
      <c r="G643" s="266" t="s">
        <v>12</v>
      </c>
      <c r="H643" s="246"/>
      <c r="I643" s="246" t="s">
        <v>799</v>
      </c>
      <c r="J643" s="246" t="s">
        <v>12</v>
      </c>
      <c r="K643" s="246" t="s">
        <v>12</v>
      </c>
      <c r="L643" s="246" t="s">
        <v>12</v>
      </c>
      <c r="M643" s="246"/>
      <c r="N643" s="246"/>
      <c r="O643" s="266"/>
      <c r="P643" s="246"/>
    </row>
    <row r="644" spans="1:16">
      <c r="A644" s="266">
        <v>17</v>
      </c>
      <c r="B644" s="341"/>
      <c r="C644" s="341"/>
      <c r="D644" s="269" t="s">
        <v>2317</v>
      </c>
      <c r="E644" s="267" t="s">
        <v>2318</v>
      </c>
      <c r="F644" s="266" t="s">
        <v>12</v>
      </c>
      <c r="G644" s="267">
        <v>9.7999999999999997E-3</v>
      </c>
      <c r="H644" s="246"/>
      <c r="I644" s="246" t="s">
        <v>799</v>
      </c>
      <c r="J644" s="246" t="s">
        <v>12</v>
      </c>
      <c r="K644" s="246" t="s">
        <v>12</v>
      </c>
      <c r="L644" s="246" t="s">
        <v>12</v>
      </c>
      <c r="M644" s="246"/>
      <c r="N644" s="246"/>
      <c r="O644" s="266"/>
      <c r="P644" s="246"/>
    </row>
    <row r="645" spans="1:16" ht="30">
      <c r="A645" s="266">
        <v>18</v>
      </c>
      <c r="B645" s="342"/>
      <c r="C645" s="342"/>
      <c r="D645" s="269" t="s">
        <v>2319</v>
      </c>
      <c r="E645" s="266" t="s">
        <v>2320</v>
      </c>
      <c r="F645" s="266">
        <v>1994</v>
      </c>
      <c r="G645" s="266">
        <v>0.2</v>
      </c>
      <c r="H645" s="246"/>
      <c r="I645" s="246" t="s">
        <v>799</v>
      </c>
      <c r="J645" s="246" t="s">
        <v>12</v>
      </c>
      <c r="K645" s="246" t="s">
        <v>12</v>
      </c>
      <c r="L645" s="246" t="s">
        <v>12</v>
      </c>
      <c r="M645" s="246"/>
      <c r="N645" s="246"/>
      <c r="O645" s="266"/>
      <c r="P645" s="246"/>
    </row>
    <row r="646" spans="1:16">
      <c r="A646" s="356"/>
      <c r="B646" s="357"/>
      <c r="C646" s="357"/>
      <c r="D646" s="357"/>
      <c r="E646" s="357"/>
      <c r="F646" s="357"/>
      <c r="G646" s="357"/>
      <c r="H646" s="357"/>
      <c r="I646" s="357"/>
      <c r="J646" s="357"/>
      <c r="K646" s="357"/>
      <c r="L646" s="357"/>
      <c r="M646" s="357"/>
      <c r="N646" s="357"/>
      <c r="O646" s="357"/>
      <c r="P646" s="358"/>
    </row>
  </sheetData>
  <mergeCells count="243">
    <mergeCell ref="B615:B623"/>
    <mergeCell ref="C615:C622"/>
    <mergeCell ref="A624:P624"/>
    <mergeCell ref="A612:O612"/>
    <mergeCell ref="P612:P623"/>
    <mergeCell ref="B628:B645"/>
    <mergeCell ref="C628:C645"/>
    <mergeCell ref="A646:P646"/>
    <mergeCell ref="A583:P583"/>
    <mergeCell ref="B587:B610"/>
    <mergeCell ref="C587:C606"/>
    <mergeCell ref="C607:C610"/>
    <mergeCell ref="A611:P611"/>
    <mergeCell ref="A584:O584"/>
    <mergeCell ref="P584:P610"/>
    <mergeCell ref="A625:P625"/>
    <mergeCell ref="B541:B582"/>
    <mergeCell ref="C541:C547"/>
    <mergeCell ref="C548:C575"/>
    <mergeCell ref="G548:G564"/>
    <mergeCell ref="N548:N564"/>
    <mergeCell ref="P548:P564"/>
    <mergeCell ref="F550:F564"/>
    <mergeCell ref="N565:N566"/>
    <mergeCell ref="P565:P566"/>
    <mergeCell ref="C576:C582"/>
    <mergeCell ref="A536:P536"/>
    <mergeCell ref="A484:P484"/>
    <mergeCell ref="B489:B495"/>
    <mergeCell ref="A502:P502"/>
    <mergeCell ref="C488:C490"/>
    <mergeCell ref="A496:P496"/>
    <mergeCell ref="A503:O503"/>
    <mergeCell ref="P503:P512"/>
    <mergeCell ref="A513:P513"/>
    <mergeCell ref="O506:O507"/>
    <mergeCell ref="A514:P514"/>
    <mergeCell ref="A522:P522"/>
    <mergeCell ref="B525:B535"/>
    <mergeCell ref="B517:B520"/>
    <mergeCell ref="C517:C519"/>
    <mergeCell ref="O517:O518"/>
    <mergeCell ref="C525:C533"/>
    <mergeCell ref="E529:P529"/>
    <mergeCell ref="D530:D532"/>
    <mergeCell ref="C534:C535"/>
    <mergeCell ref="B506:B512"/>
    <mergeCell ref="C506:C509"/>
    <mergeCell ref="C510:C512"/>
    <mergeCell ref="A521:P521"/>
    <mergeCell ref="P367:P376"/>
    <mergeCell ref="A366:P366"/>
    <mergeCell ref="A330:P330"/>
    <mergeCell ref="A337:O337"/>
    <mergeCell ref="A336:O336"/>
    <mergeCell ref="A331:O331"/>
    <mergeCell ref="P331:P354"/>
    <mergeCell ref="B340:B354"/>
    <mergeCell ref="C340:C354"/>
    <mergeCell ref="H370:H371"/>
    <mergeCell ref="I370:I371"/>
    <mergeCell ref="J370:J371"/>
    <mergeCell ref="K370:K371"/>
    <mergeCell ref="L370:L371"/>
    <mergeCell ref="E370:E371"/>
    <mergeCell ref="F370:F371"/>
    <mergeCell ref="G370:G371"/>
    <mergeCell ref="A111:P111"/>
    <mergeCell ref="D381:D383"/>
    <mergeCell ref="M370:M371"/>
    <mergeCell ref="B328:P328"/>
    <mergeCell ref="B329:P329"/>
    <mergeCell ref="A328:A329"/>
    <mergeCell ref="A261:P261"/>
    <mergeCell ref="B256:B259"/>
    <mergeCell ref="C256:C258"/>
    <mergeCell ref="A260:P260"/>
    <mergeCell ref="I381:I383"/>
    <mergeCell ref="C376:O376"/>
    <mergeCell ref="A321:P321"/>
    <mergeCell ref="A322:P322"/>
    <mergeCell ref="A356:P356"/>
    <mergeCell ref="A370:A371"/>
    <mergeCell ref="A277:P277"/>
    <mergeCell ref="B325:B327"/>
    <mergeCell ref="C325:C327"/>
    <mergeCell ref="B334:B335"/>
    <mergeCell ref="A355:P355"/>
    <mergeCell ref="A359:P359"/>
    <mergeCell ref="A360:P360"/>
    <mergeCell ref="A372:O372"/>
    <mergeCell ref="A1:P1"/>
    <mergeCell ref="A112:P112"/>
    <mergeCell ref="A101:P101"/>
    <mergeCell ref="A2:P2"/>
    <mergeCell ref="A55:P55"/>
    <mergeCell ref="B6:B52"/>
    <mergeCell ref="C6:C43"/>
    <mergeCell ref="C44:C48"/>
    <mergeCell ref="C49:C52"/>
    <mergeCell ref="B59:B79"/>
    <mergeCell ref="C59:C64"/>
    <mergeCell ref="C65:C72"/>
    <mergeCell ref="C73:C79"/>
    <mergeCell ref="B84:B99"/>
    <mergeCell ref="C84:C88"/>
    <mergeCell ref="C89:C96"/>
    <mergeCell ref="C97:C99"/>
    <mergeCell ref="B104:B110"/>
    <mergeCell ref="C104:C105"/>
    <mergeCell ref="A3:P3"/>
    <mergeCell ref="B54:P54"/>
    <mergeCell ref="C107:C110"/>
    <mergeCell ref="B53:P53"/>
    <mergeCell ref="A53:A54"/>
    <mergeCell ref="C468:C483"/>
    <mergeCell ref="A381:A383"/>
    <mergeCell ref="A537:P537"/>
    <mergeCell ref="A538:P538"/>
    <mergeCell ref="A361:P361"/>
    <mergeCell ref="A362:P362"/>
    <mergeCell ref="A377:P377"/>
    <mergeCell ref="C365:P365"/>
    <mergeCell ref="B370:B371"/>
    <mergeCell ref="C370:C371"/>
    <mergeCell ref="N370:N371"/>
    <mergeCell ref="O370:O371"/>
    <mergeCell ref="E381:E383"/>
    <mergeCell ref="G381:G383"/>
    <mergeCell ref="H381:H383"/>
    <mergeCell ref="C390:C408"/>
    <mergeCell ref="C409:C436"/>
    <mergeCell ref="C384:P384"/>
    <mergeCell ref="A385:P385"/>
    <mergeCell ref="B380:B383"/>
    <mergeCell ref="C380:C383"/>
    <mergeCell ref="P515:P520"/>
    <mergeCell ref="D370:D371"/>
    <mergeCell ref="A367:O367"/>
    <mergeCell ref="D195:P195"/>
    <mergeCell ref="A387:P387"/>
    <mergeCell ref="A485:P485"/>
    <mergeCell ref="A497:P497"/>
    <mergeCell ref="A498:P498"/>
    <mergeCell ref="J381:J383"/>
    <mergeCell ref="K381:K383"/>
    <mergeCell ref="L381:L383"/>
    <mergeCell ref="M381:M383"/>
    <mergeCell ref="N381:N383"/>
    <mergeCell ref="O381:O383"/>
    <mergeCell ref="P381:P383"/>
    <mergeCell ref="F381:F383"/>
    <mergeCell ref="B390:B436"/>
    <mergeCell ref="A386:P386"/>
    <mergeCell ref="A438:O438"/>
    <mergeCell ref="A437:P437"/>
    <mergeCell ref="B441:B463"/>
    <mergeCell ref="C441:C463"/>
    <mergeCell ref="A464:O464"/>
    <mergeCell ref="A465:O465"/>
    <mergeCell ref="P438:P483"/>
    <mergeCell ref="A216:P216"/>
    <mergeCell ref="B468:B483"/>
    <mergeCell ref="D209:O209"/>
    <mergeCell ref="B155:B164"/>
    <mergeCell ref="A186:P186"/>
    <mergeCell ref="B192:P192"/>
    <mergeCell ref="A196:P196"/>
    <mergeCell ref="P56:P79"/>
    <mergeCell ref="C184:C185"/>
    <mergeCell ref="A182:P182"/>
    <mergeCell ref="A187:P187"/>
    <mergeCell ref="A188:P188"/>
    <mergeCell ref="C169:C180"/>
    <mergeCell ref="B184:B185"/>
    <mergeCell ref="C116:C149"/>
    <mergeCell ref="A113:P113"/>
    <mergeCell ref="B116:B150"/>
    <mergeCell ref="B169:B180"/>
    <mergeCell ref="A56:O56"/>
    <mergeCell ref="A151:P151"/>
    <mergeCell ref="A152:O152"/>
    <mergeCell ref="A166:O166"/>
    <mergeCell ref="A80:P80"/>
    <mergeCell ref="A165:P165"/>
    <mergeCell ref="P197:P201"/>
    <mergeCell ref="A181:P181"/>
    <mergeCell ref="C314:C319"/>
    <mergeCell ref="B313:B319"/>
    <mergeCell ref="A320:P320"/>
    <mergeCell ref="B307:B308"/>
    <mergeCell ref="B264:B275"/>
    <mergeCell ref="C264:C269"/>
    <mergeCell ref="C270:C275"/>
    <mergeCell ref="A276:P276"/>
    <mergeCell ref="A286:P286"/>
    <mergeCell ref="B290:B302"/>
    <mergeCell ref="A287:O287"/>
    <mergeCell ref="A304:O304"/>
    <mergeCell ref="A309:P309"/>
    <mergeCell ref="A278:P278"/>
    <mergeCell ref="C290:C291"/>
    <mergeCell ref="A310:P310"/>
    <mergeCell ref="A303:P303"/>
    <mergeCell ref="P304:P308"/>
    <mergeCell ref="P287:P302"/>
    <mergeCell ref="A253:O253"/>
    <mergeCell ref="A252:P252"/>
    <mergeCell ref="P247:P251"/>
    <mergeCell ref="P253:P259"/>
    <mergeCell ref="A236:P236"/>
    <mergeCell ref="E235:P235"/>
    <mergeCell ref="C241:C243"/>
    <mergeCell ref="C244:C245"/>
    <mergeCell ref="B241:B245"/>
    <mergeCell ref="A246:P246"/>
    <mergeCell ref="B250:B251"/>
    <mergeCell ref="C250:C251"/>
    <mergeCell ref="A247:O247"/>
    <mergeCell ref="D201:O201"/>
    <mergeCell ref="P227:P230"/>
    <mergeCell ref="A232:P232"/>
    <mergeCell ref="A237:P237"/>
    <mergeCell ref="A238:P238"/>
    <mergeCell ref="C155:C164"/>
    <mergeCell ref="A81:O81"/>
    <mergeCell ref="A100:P100"/>
    <mergeCell ref="A227:O227"/>
    <mergeCell ref="A231:P231"/>
    <mergeCell ref="A197:O197"/>
    <mergeCell ref="A203:O203"/>
    <mergeCell ref="A202:P202"/>
    <mergeCell ref="P203:P209"/>
    <mergeCell ref="A221:P221"/>
    <mergeCell ref="A226:P226"/>
    <mergeCell ref="P223:P225"/>
    <mergeCell ref="E220:P220"/>
    <mergeCell ref="A210:P210"/>
    <mergeCell ref="A214:P214"/>
    <mergeCell ref="A215:P215"/>
    <mergeCell ref="A222:P222"/>
    <mergeCell ref="A211:P211"/>
    <mergeCell ref="A217:P217"/>
  </mergeCells>
  <hyperlinks>
    <hyperlink ref="G244" r:id="rId1" display="0.03@ Rs.144/- Per sqr yrd."/>
  </hyperlinks>
  <printOptions headings="1" gridLines="1"/>
  <pageMargins left="1.5" right="0.7" top="0.75" bottom="0.75" header="0.3" footer="0.3"/>
  <pageSetup paperSize="5" scale="48" orientation="landscape" r:id="rId2"/>
</worksheet>
</file>

<file path=xl/worksheets/sheet2.xml><?xml version="1.0" encoding="utf-8"?>
<worksheet xmlns="http://schemas.openxmlformats.org/spreadsheetml/2006/main" xmlns:r="http://schemas.openxmlformats.org/officeDocument/2006/relationships">
  <dimension ref="A1:Q185"/>
  <sheetViews>
    <sheetView view="pageBreakPreview" zoomScale="60" workbookViewId="0">
      <selection activeCell="B162" sqref="B162:B183"/>
    </sheetView>
  </sheetViews>
  <sheetFormatPr defaultRowHeight="14.25"/>
  <cols>
    <col min="1" max="1" width="7.7109375" style="15" customWidth="1"/>
    <col min="2" max="2" width="15.7109375" style="24" customWidth="1"/>
    <col min="3" max="3" width="22.7109375" style="15" customWidth="1"/>
    <col min="4" max="4" width="24.7109375" style="15" customWidth="1"/>
    <col min="5" max="5" width="30.7109375" style="15" customWidth="1"/>
    <col min="6" max="6" width="13.7109375" style="23" customWidth="1"/>
    <col min="7" max="7" width="21.7109375" style="15" customWidth="1"/>
    <col min="8" max="8" width="18.7109375" style="15" customWidth="1"/>
    <col min="9" max="9" width="18.7109375" style="18" customWidth="1"/>
    <col min="10" max="10" width="14.7109375" style="15" customWidth="1"/>
    <col min="11" max="11" width="18.7109375" style="15" customWidth="1"/>
    <col min="12" max="13" width="10.7109375" style="15" customWidth="1"/>
    <col min="14" max="14" width="20.7109375" style="15" customWidth="1"/>
    <col min="15" max="15" width="15.7109375" style="15" customWidth="1"/>
    <col min="16" max="16" width="12.28515625" style="15" customWidth="1"/>
    <col min="17" max="16384" width="9.140625" style="15"/>
  </cols>
  <sheetData>
    <row r="1" spans="1:16" s="13" customFormat="1" ht="20.25" customHeight="1">
      <c r="A1" s="502" t="s">
        <v>59</v>
      </c>
      <c r="B1" s="502"/>
      <c r="C1" s="502"/>
      <c r="D1" s="502"/>
      <c r="E1" s="502"/>
      <c r="F1" s="502"/>
      <c r="G1" s="502"/>
      <c r="H1" s="502"/>
      <c r="I1" s="502"/>
      <c r="J1" s="502"/>
      <c r="K1" s="502"/>
      <c r="L1" s="502"/>
      <c r="M1" s="502"/>
      <c r="N1" s="502"/>
      <c r="O1" s="502"/>
    </row>
    <row r="2" spans="1:16" ht="22.5" customHeight="1">
      <c r="A2" s="432" t="s">
        <v>177</v>
      </c>
      <c r="B2" s="432"/>
      <c r="C2" s="432"/>
      <c r="D2" s="432"/>
      <c r="E2" s="432"/>
      <c r="F2" s="432"/>
      <c r="G2" s="432"/>
      <c r="H2" s="432"/>
      <c r="I2" s="432"/>
      <c r="J2" s="432"/>
      <c r="K2" s="432"/>
      <c r="L2" s="432"/>
      <c r="M2" s="432"/>
      <c r="N2" s="432"/>
      <c r="O2" s="432"/>
    </row>
    <row r="3" spans="1:16" ht="99.75">
      <c r="A3" s="20" t="s">
        <v>0</v>
      </c>
      <c r="B3" s="20" t="s">
        <v>129</v>
      </c>
      <c r="C3" s="20" t="s">
        <v>130</v>
      </c>
      <c r="D3" s="20" t="s">
        <v>61</v>
      </c>
      <c r="E3" s="20" t="s">
        <v>62</v>
      </c>
      <c r="F3" s="20" t="s">
        <v>125</v>
      </c>
      <c r="G3" s="20" t="s">
        <v>63</v>
      </c>
      <c r="H3" s="286" t="s">
        <v>126</v>
      </c>
      <c r="I3" s="20" t="s">
        <v>127</v>
      </c>
      <c r="J3" s="20" t="s">
        <v>64</v>
      </c>
      <c r="K3" s="286" t="s">
        <v>131</v>
      </c>
      <c r="L3" s="22" t="s">
        <v>65</v>
      </c>
      <c r="M3" s="22" t="s">
        <v>66</v>
      </c>
      <c r="N3" s="286" t="s">
        <v>132</v>
      </c>
      <c r="O3" s="20" t="s">
        <v>67</v>
      </c>
    </row>
    <row r="4" spans="1:16">
      <c r="A4" s="295">
        <v>1</v>
      </c>
      <c r="B4" s="295">
        <v>2</v>
      </c>
      <c r="C4" s="295">
        <v>3</v>
      </c>
      <c r="D4" s="295">
        <v>4</v>
      </c>
      <c r="E4" s="295">
        <v>5</v>
      </c>
      <c r="F4" s="295">
        <v>6</v>
      </c>
      <c r="G4" s="295">
        <v>7</v>
      </c>
      <c r="H4" s="295">
        <v>8</v>
      </c>
      <c r="I4" s="286">
        <v>9</v>
      </c>
      <c r="J4" s="295">
        <v>10</v>
      </c>
      <c r="K4" s="295">
        <v>11</v>
      </c>
      <c r="L4" s="295">
        <v>12</v>
      </c>
      <c r="M4" s="295">
        <v>13</v>
      </c>
      <c r="N4" s="295">
        <v>14</v>
      </c>
      <c r="O4" s="295">
        <v>15</v>
      </c>
      <c r="P4" s="14"/>
    </row>
    <row r="5" spans="1:16" ht="30" customHeight="1">
      <c r="A5" s="278">
        <v>1</v>
      </c>
      <c r="B5" s="348" t="s">
        <v>853</v>
      </c>
      <c r="C5" s="376" t="s">
        <v>189</v>
      </c>
      <c r="D5" s="70" t="s">
        <v>276</v>
      </c>
      <c r="E5" s="279" t="s">
        <v>861</v>
      </c>
      <c r="F5" s="60">
        <v>208</v>
      </c>
      <c r="G5" s="60" t="s">
        <v>191</v>
      </c>
      <c r="H5" s="60" t="s">
        <v>191</v>
      </c>
      <c r="I5" s="60">
        <v>6.9999999999999999E-4</v>
      </c>
      <c r="J5" s="278" t="s">
        <v>12</v>
      </c>
      <c r="K5" s="87" t="s">
        <v>15</v>
      </c>
      <c r="L5" s="278">
        <v>1</v>
      </c>
      <c r="M5" s="87" t="s">
        <v>15</v>
      </c>
      <c r="N5" s="87" t="s">
        <v>15</v>
      </c>
      <c r="O5" s="508" t="s">
        <v>880</v>
      </c>
      <c r="P5" s="14"/>
    </row>
    <row r="6" spans="1:16" ht="90">
      <c r="A6" s="278">
        <v>2</v>
      </c>
      <c r="B6" s="348"/>
      <c r="C6" s="376"/>
      <c r="D6" s="70" t="s">
        <v>277</v>
      </c>
      <c r="E6" s="279" t="s">
        <v>862</v>
      </c>
      <c r="F6" s="60">
        <v>122.81</v>
      </c>
      <c r="G6" s="60">
        <v>1919</v>
      </c>
      <c r="H6" s="60">
        <v>1919</v>
      </c>
      <c r="I6" s="60">
        <v>6.9999999999999994E-5</v>
      </c>
      <c r="J6" s="278" t="s">
        <v>12</v>
      </c>
      <c r="K6" s="87" t="s">
        <v>15</v>
      </c>
      <c r="L6" s="278">
        <v>2</v>
      </c>
      <c r="M6" s="87" t="s">
        <v>15</v>
      </c>
      <c r="N6" s="87" t="s">
        <v>15</v>
      </c>
      <c r="O6" s="508"/>
      <c r="P6" s="14"/>
    </row>
    <row r="7" spans="1:16" ht="45">
      <c r="A7" s="278">
        <v>3</v>
      </c>
      <c r="B7" s="348"/>
      <c r="C7" s="376"/>
      <c r="D7" s="70" t="s">
        <v>278</v>
      </c>
      <c r="E7" s="279" t="s">
        <v>863</v>
      </c>
      <c r="F7" s="60">
        <v>325</v>
      </c>
      <c r="G7" s="60">
        <v>1877</v>
      </c>
      <c r="H7" s="60">
        <v>1877</v>
      </c>
      <c r="I7" s="60">
        <v>4.0000000000000002E-4</v>
      </c>
      <c r="J7" s="278" t="s">
        <v>12</v>
      </c>
      <c r="K7" s="87" t="s">
        <v>15</v>
      </c>
      <c r="L7" s="278">
        <v>3</v>
      </c>
      <c r="M7" s="87">
        <v>2</v>
      </c>
      <c r="N7" s="87" t="s">
        <v>15</v>
      </c>
      <c r="O7" s="508"/>
      <c r="P7" s="14"/>
    </row>
    <row r="8" spans="1:16" ht="45">
      <c r="A8" s="278">
        <v>4</v>
      </c>
      <c r="B8" s="348"/>
      <c r="C8" s="376"/>
      <c r="D8" s="70" t="s">
        <v>279</v>
      </c>
      <c r="E8" s="279" t="s">
        <v>864</v>
      </c>
      <c r="F8" s="60">
        <v>76.92</v>
      </c>
      <c r="G8" s="60">
        <v>1903</v>
      </c>
      <c r="H8" s="60">
        <v>1903</v>
      </c>
      <c r="I8" s="60">
        <v>2.0000000000000001E-4</v>
      </c>
      <c r="J8" s="278" t="s">
        <v>12</v>
      </c>
      <c r="K8" s="87" t="s">
        <v>15</v>
      </c>
      <c r="L8" s="278">
        <v>4</v>
      </c>
      <c r="M8" s="87" t="s">
        <v>15</v>
      </c>
      <c r="N8" s="87" t="s">
        <v>15</v>
      </c>
      <c r="O8" s="508"/>
      <c r="P8" s="14"/>
    </row>
    <row r="9" spans="1:16" ht="45">
      <c r="A9" s="278">
        <v>5</v>
      </c>
      <c r="B9" s="348"/>
      <c r="C9" s="376"/>
      <c r="D9" s="70" t="s">
        <v>280</v>
      </c>
      <c r="E9" s="279" t="s">
        <v>865</v>
      </c>
      <c r="F9" s="60">
        <v>198</v>
      </c>
      <c r="G9" s="60">
        <v>1875</v>
      </c>
      <c r="H9" s="60">
        <v>1875</v>
      </c>
      <c r="I9" s="60">
        <v>4.0000000000000002E-4</v>
      </c>
      <c r="J9" s="278" t="s">
        <v>12</v>
      </c>
      <c r="K9" s="87" t="s">
        <v>15</v>
      </c>
      <c r="L9" s="278">
        <v>5</v>
      </c>
      <c r="M9" s="87">
        <v>1</v>
      </c>
      <c r="N9" s="87" t="s">
        <v>15</v>
      </c>
      <c r="O9" s="508"/>
      <c r="P9" s="14"/>
    </row>
    <row r="10" spans="1:16" ht="30">
      <c r="A10" s="278">
        <v>6</v>
      </c>
      <c r="B10" s="348"/>
      <c r="C10" s="376"/>
      <c r="D10" s="70" t="s">
        <v>855</v>
      </c>
      <c r="E10" s="279" t="s">
        <v>866</v>
      </c>
      <c r="F10" s="60">
        <v>106</v>
      </c>
      <c r="G10" s="60">
        <v>1919</v>
      </c>
      <c r="H10" s="60">
        <v>1919</v>
      </c>
      <c r="I10" s="60">
        <v>2.9999999999999997E-4</v>
      </c>
      <c r="J10" s="278" t="s">
        <v>12</v>
      </c>
      <c r="K10" s="87" t="s">
        <v>15</v>
      </c>
      <c r="L10" s="278">
        <v>6</v>
      </c>
      <c r="M10" s="87" t="s">
        <v>15</v>
      </c>
      <c r="N10" s="87" t="s">
        <v>15</v>
      </c>
      <c r="O10" s="508"/>
      <c r="P10" s="14"/>
    </row>
    <row r="11" spans="1:16" ht="45">
      <c r="A11" s="278">
        <v>7</v>
      </c>
      <c r="B11" s="348"/>
      <c r="C11" s="376"/>
      <c r="D11" s="285" t="s">
        <v>856</v>
      </c>
      <c r="E11" s="166" t="s">
        <v>15</v>
      </c>
      <c r="F11" s="119">
        <v>14610.97</v>
      </c>
      <c r="G11" s="119" t="s">
        <v>12</v>
      </c>
      <c r="H11" s="119" t="s">
        <v>12</v>
      </c>
      <c r="I11" s="119">
        <v>1.4999999999999999E-2</v>
      </c>
      <c r="J11" s="284" t="s">
        <v>12</v>
      </c>
      <c r="K11" s="120" t="s">
        <v>15</v>
      </c>
      <c r="L11" s="278"/>
      <c r="M11" s="87"/>
      <c r="N11" s="87"/>
      <c r="O11" s="508"/>
      <c r="P11" s="14"/>
    </row>
    <row r="12" spans="1:16" ht="60">
      <c r="A12" s="278">
        <v>8</v>
      </c>
      <c r="B12" s="348"/>
      <c r="C12" s="376"/>
      <c r="D12" s="285" t="s">
        <v>857</v>
      </c>
      <c r="E12" s="166" t="s">
        <v>15</v>
      </c>
      <c r="F12" s="119">
        <v>4047</v>
      </c>
      <c r="G12" s="119" t="s">
        <v>12</v>
      </c>
      <c r="H12" s="119" t="s">
        <v>12</v>
      </c>
      <c r="I12" s="119">
        <v>4.0000000000000001E-3</v>
      </c>
      <c r="J12" s="284" t="s">
        <v>12</v>
      </c>
      <c r="K12" s="120" t="s">
        <v>15</v>
      </c>
      <c r="L12" s="278"/>
      <c r="M12" s="87" t="s">
        <v>15</v>
      </c>
      <c r="N12" s="87" t="s">
        <v>15</v>
      </c>
      <c r="O12" s="508"/>
      <c r="P12" s="14"/>
    </row>
    <row r="13" spans="1:16" ht="30">
      <c r="A13" s="278">
        <v>9</v>
      </c>
      <c r="B13" s="348"/>
      <c r="C13" s="376" t="s">
        <v>281</v>
      </c>
      <c r="D13" s="285" t="s">
        <v>282</v>
      </c>
      <c r="E13" s="285" t="s">
        <v>867</v>
      </c>
      <c r="F13" s="278">
        <v>2650</v>
      </c>
      <c r="G13" s="278"/>
      <c r="H13" s="278" t="s">
        <v>12</v>
      </c>
      <c r="I13" s="278" t="s">
        <v>285</v>
      </c>
      <c r="J13" s="278" t="s">
        <v>12</v>
      </c>
      <c r="K13" s="278" t="s">
        <v>41</v>
      </c>
      <c r="L13" s="278">
        <v>7</v>
      </c>
      <c r="M13" s="278">
        <v>1</v>
      </c>
      <c r="N13" s="278" t="s">
        <v>12</v>
      </c>
      <c r="O13" s="278" t="s">
        <v>41</v>
      </c>
      <c r="P13" s="14"/>
    </row>
    <row r="14" spans="1:16" ht="30">
      <c r="A14" s="278">
        <v>10</v>
      </c>
      <c r="B14" s="348"/>
      <c r="C14" s="376"/>
      <c r="D14" s="285" t="s">
        <v>287</v>
      </c>
      <c r="E14" s="285" t="s">
        <v>868</v>
      </c>
      <c r="F14" s="294">
        <v>500</v>
      </c>
      <c r="G14" s="278"/>
      <c r="H14" s="278" t="s">
        <v>238</v>
      </c>
      <c r="I14" s="294">
        <v>0.05</v>
      </c>
      <c r="J14" s="278" t="s">
        <v>288</v>
      </c>
      <c r="K14" s="294" t="s">
        <v>289</v>
      </c>
      <c r="L14" s="278">
        <v>8</v>
      </c>
      <c r="M14" s="278"/>
      <c r="N14" s="278"/>
      <c r="O14" s="278"/>
      <c r="P14" s="14"/>
    </row>
    <row r="15" spans="1:16" ht="30">
      <c r="A15" s="278">
        <v>11</v>
      </c>
      <c r="B15" s="348"/>
      <c r="C15" s="376"/>
      <c r="D15" s="285" t="s">
        <v>290</v>
      </c>
      <c r="E15" s="285" t="s">
        <v>869</v>
      </c>
      <c r="F15" s="280" t="s">
        <v>291</v>
      </c>
      <c r="G15" s="278"/>
      <c r="H15" s="280" t="s">
        <v>292</v>
      </c>
      <c r="I15" s="280" t="s">
        <v>293</v>
      </c>
      <c r="J15" s="280" t="s">
        <v>258</v>
      </c>
      <c r="K15" s="294"/>
      <c r="L15" s="278">
        <v>9</v>
      </c>
      <c r="M15" s="278"/>
      <c r="N15" s="278"/>
      <c r="O15" s="278"/>
      <c r="P15" s="14"/>
    </row>
    <row r="16" spans="1:16" ht="30">
      <c r="A16" s="278">
        <v>12</v>
      </c>
      <c r="B16" s="348"/>
      <c r="C16" s="376"/>
      <c r="D16" s="285" t="s">
        <v>294</v>
      </c>
      <c r="E16" s="285" t="s">
        <v>870</v>
      </c>
      <c r="F16" s="280" t="s">
        <v>295</v>
      </c>
      <c r="G16" s="278"/>
      <c r="H16" s="280" t="s">
        <v>296</v>
      </c>
      <c r="I16" s="280" t="s">
        <v>297</v>
      </c>
      <c r="J16" s="280" t="s">
        <v>298</v>
      </c>
      <c r="K16" s="294"/>
      <c r="L16" s="278">
        <v>10</v>
      </c>
      <c r="M16" s="278"/>
      <c r="N16" s="278"/>
      <c r="O16" s="278"/>
      <c r="P16" s="14"/>
    </row>
    <row r="17" spans="1:16" ht="30">
      <c r="A17" s="278">
        <v>13</v>
      </c>
      <c r="B17" s="348"/>
      <c r="C17" s="376"/>
      <c r="D17" s="285" t="s">
        <v>299</v>
      </c>
      <c r="E17" s="285" t="s">
        <v>871</v>
      </c>
      <c r="F17" s="280" t="s">
        <v>300</v>
      </c>
      <c r="G17" s="278"/>
      <c r="H17" s="280" t="s">
        <v>301</v>
      </c>
      <c r="I17" s="280" t="s">
        <v>12</v>
      </c>
      <c r="J17" s="280" t="s">
        <v>302</v>
      </c>
      <c r="K17" s="294"/>
      <c r="L17" s="278">
        <v>11</v>
      </c>
      <c r="M17" s="278"/>
      <c r="N17" s="278"/>
      <c r="O17" s="278"/>
      <c r="P17" s="14"/>
    </row>
    <row r="18" spans="1:16" ht="60">
      <c r="A18" s="278">
        <v>14</v>
      </c>
      <c r="B18" s="348"/>
      <c r="C18" s="376"/>
      <c r="D18" s="285" t="s">
        <v>303</v>
      </c>
      <c r="E18" s="285" t="s">
        <v>872</v>
      </c>
      <c r="F18" s="280">
        <v>1800</v>
      </c>
      <c r="G18" s="278"/>
      <c r="H18" s="280"/>
      <c r="I18" s="280"/>
      <c r="J18" s="280"/>
      <c r="K18" s="294" t="s">
        <v>306</v>
      </c>
      <c r="L18" s="278">
        <v>12</v>
      </c>
      <c r="M18" s="278"/>
      <c r="N18" s="278"/>
      <c r="O18" s="278"/>
      <c r="P18" s="14"/>
    </row>
    <row r="19" spans="1:16" ht="30">
      <c r="A19" s="278">
        <v>15</v>
      </c>
      <c r="B19" s="348"/>
      <c r="C19" s="376"/>
      <c r="D19" s="285" t="s">
        <v>307</v>
      </c>
      <c r="E19" s="285" t="s">
        <v>873</v>
      </c>
      <c r="F19" s="280">
        <v>203.2</v>
      </c>
      <c r="G19" s="278"/>
      <c r="H19" s="280" t="s">
        <v>308</v>
      </c>
      <c r="I19" s="280" t="s">
        <v>309</v>
      </c>
      <c r="J19" s="280" t="s">
        <v>310</v>
      </c>
      <c r="K19" s="294"/>
      <c r="L19" s="278">
        <v>13</v>
      </c>
      <c r="M19" s="278"/>
      <c r="N19" s="278"/>
      <c r="O19" s="278"/>
      <c r="P19" s="14"/>
    </row>
    <row r="20" spans="1:16" ht="60">
      <c r="A20" s="278">
        <v>16</v>
      </c>
      <c r="B20" s="348"/>
      <c r="C20" s="376"/>
      <c r="D20" s="285" t="s">
        <v>311</v>
      </c>
      <c r="E20" s="285" t="s">
        <v>874</v>
      </c>
      <c r="F20" s="294">
        <v>500</v>
      </c>
      <c r="G20" s="278"/>
      <c r="H20" s="278"/>
      <c r="I20" s="294"/>
      <c r="J20" s="278"/>
      <c r="K20" s="294" t="s">
        <v>306</v>
      </c>
      <c r="L20" s="278">
        <v>14</v>
      </c>
      <c r="M20" s="278"/>
      <c r="N20" s="278"/>
      <c r="O20" s="278"/>
      <c r="P20" s="14"/>
    </row>
    <row r="21" spans="1:16" ht="60">
      <c r="A21" s="278">
        <v>17</v>
      </c>
      <c r="B21" s="348"/>
      <c r="C21" s="279" t="s">
        <v>854</v>
      </c>
      <c r="D21" s="285" t="s">
        <v>858</v>
      </c>
      <c r="E21" s="285" t="s">
        <v>875</v>
      </c>
      <c r="F21" s="278" t="s">
        <v>876</v>
      </c>
      <c r="G21" s="278" t="s">
        <v>877</v>
      </c>
      <c r="H21" s="280" t="s">
        <v>15</v>
      </c>
      <c r="I21" s="278">
        <v>1.59</v>
      </c>
      <c r="J21" s="278">
        <v>2.46</v>
      </c>
      <c r="K21" s="278" t="s">
        <v>41</v>
      </c>
      <c r="L21" s="278" t="s">
        <v>15</v>
      </c>
      <c r="M21" s="278">
        <v>3</v>
      </c>
      <c r="N21" s="278" t="s">
        <v>41</v>
      </c>
      <c r="O21" s="278"/>
      <c r="P21" s="14"/>
    </row>
    <row r="22" spans="1:16" ht="75">
      <c r="A22" s="278">
        <v>18</v>
      </c>
      <c r="B22" s="348"/>
      <c r="C22" s="376" t="s">
        <v>312</v>
      </c>
      <c r="D22" s="285" t="s">
        <v>313</v>
      </c>
      <c r="E22" s="17"/>
      <c r="F22" s="60">
        <v>1247</v>
      </c>
      <c r="G22" s="60" t="s">
        <v>2483</v>
      </c>
      <c r="H22" s="119"/>
      <c r="I22" s="119">
        <v>1.1499999999999999</v>
      </c>
      <c r="J22" s="119"/>
      <c r="K22" s="119" t="s">
        <v>316</v>
      </c>
      <c r="L22" s="119">
        <v>20</v>
      </c>
      <c r="M22" s="119">
        <v>1</v>
      </c>
      <c r="N22" s="119" t="s">
        <v>316</v>
      </c>
      <c r="O22" s="119"/>
      <c r="P22" s="14"/>
    </row>
    <row r="23" spans="1:16" ht="45" customHeight="1">
      <c r="A23" s="278">
        <v>19</v>
      </c>
      <c r="B23" s="348"/>
      <c r="C23" s="376"/>
      <c r="D23" s="285" t="s">
        <v>329</v>
      </c>
      <c r="E23" s="285" t="s">
        <v>352</v>
      </c>
      <c r="F23" s="119">
        <v>206.96</v>
      </c>
      <c r="G23" s="119" t="s">
        <v>330</v>
      </c>
      <c r="H23" s="119" t="s">
        <v>110</v>
      </c>
      <c r="I23" s="119" t="s">
        <v>42</v>
      </c>
      <c r="J23" s="119" t="s">
        <v>42</v>
      </c>
      <c r="K23" s="119" t="s">
        <v>42</v>
      </c>
      <c r="L23" s="119">
        <v>21</v>
      </c>
      <c r="M23" s="119">
        <v>1</v>
      </c>
      <c r="N23" s="119" t="s">
        <v>879</v>
      </c>
      <c r="O23" s="119" t="s">
        <v>331</v>
      </c>
      <c r="P23" s="14"/>
    </row>
    <row r="24" spans="1:16" ht="45" customHeight="1">
      <c r="A24" s="278">
        <v>20</v>
      </c>
      <c r="B24" s="348"/>
      <c r="C24" s="376"/>
      <c r="D24" s="285" t="s">
        <v>859</v>
      </c>
      <c r="E24" s="285" t="s">
        <v>319</v>
      </c>
      <c r="F24" s="119">
        <v>684.92</v>
      </c>
      <c r="G24" s="119" t="s">
        <v>42</v>
      </c>
      <c r="H24" s="119" t="s">
        <v>110</v>
      </c>
      <c r="I24" s="119" t="s">
        <v>42</v>
      </c>
      <c r="J24" s="119" t="s">
        <v>42</v>
      </c>
      <c r="K24" s="119" t="s">
        <v>42</v>
      </c>
      <c r="L24" s="119">
        <v>22</v>
      </c>
      <c r="M24" s="119" t="s">
        <v>110</v>
      </c>
      <c r="N24" s="119" t="s">
        <v>42</v>
      </c>
      <c r="O24" s="119" t="s">
        <v>321</v>
      </c>
      <c r="P24" s="14"/>
    </row>
    <row r="25" spans="1:16" ht="45" customHeight="1">
      <c r="A25" s="278">
        <v>21</v>
      </c>
      <c r="B25" s="348"/>
      <c r="C25" s="376"/>
      <c r="D25" s="285" t="s">
        <v>859</v>
      </c>
      <c r="E25" s="285" t="s">
        <v>322</v>
      </c>
      <c r="F25" s="119">
        <v>140.12</v>
      </c>
      <c r="G25" s="119" t="s">
        <v>42</v>
      </c>
      <c r="H25" s="119" t="s">
        <v>110</v>
      </c>
      <c r="I25" s="119" t="s">
        <v>42</v>
      </c>
      <c r="J25" s="119" t="s">
        <v>42</v>
      </c>
      <c r="K25" s="119" t="s">
        <v>42</v>
      </c>
      <c r="L25" s="119">
        <v>23</v>
      </c>
      <c r="M25" s="119" t="s">
        <v>110</v>
      </c>
      <c r="N25" s="119" t="s">
        <v>42</v>
      </c>
      <c r="O25" s="119" t="s">
        <v>15</v>
      </c>
      <c r="P25" s="14"/>
    </row>
    <row r="26" spans="1:16" ht="45">
      <c r="A26" s="278">
        <v>22</v>
      </c>
      <c r="B26" s="348"/>
      <c r="C26" s="376"/>
      <c r="D26" s="285" t="s">
        <v>328</v>
      </c>
      <c r="E26" s="285" t="s">
        <v>42</v>
      </c>
      <c r="F26" s="119" t="s">
        <v>42</v>
      </c>
      <c r="G26" s="119" t="s">
        <v>42</v>
      </c>
      <c r="H26" s="119" t="s">
        <v>42</v>
      </c>
      <c r="I26" s="119" t="s">
        <v>42</v>
      </c>
      <c r="J26" s="119" t="s">
        <v>42</v>
      </c>
      <c r="K26" s="119" t="s">
        <v>42</v>
      </c>
      <c r="L26" s="119">
        <v>24</v>
      </c>
      <c r="M26" s="119" t="s">
        <v>42</v>
      </c>
      <c r="N26" s="119" t="s">
        <v>42</v>
      </c>
      <c r="O26" s="119"/>
      <c r="P26" s="14"/>
    </row>
    <row r="27" spans="1:16" ht="45" customHeight="1">
      <c r="A27" s="278">
        <v>23</v>
      </c>
      <c r="B27" s="348"/>
      <c r="C27" s="376"/>
      <c r="D27" s="285" t="s">
        <v>860</v>
      </c>
      <c r="E27" s="285" t="s">
        <v>860</v>
      </c>
      <c r="F27" s="119">
        <v>978</v>
      </c>
      <c r="G27" s="119" t="s">
        <v>42</v>
      </c>
      <c r="H27" s="119" t="s">
        <v>42</v>
      </c>
      <c r="I27" s="119" t="s">
        <v>42</v>
      </c>
      <c r="J27" s="119" t="s">
        <v>42</v>
      </c>
      <c r="K27" s="119" t="s">
        <v>42</v>
      </c>
      <c r="L27" s="119">
        <v>25</v>
      </c>
      <c r="M27" s="119" t="s">
        <v>42</v>
      </c>
      <c r="N27" s="119" t="s">
        <v>42</v>
      </c>
      <c r="O27" s="119"/>
      <c r="P27" s="14"/>
    </row>
    <row r="28" spans="1:16" ht="75">
      <c r="A28" s="278">
        <v>24</v>
      </c>
      <c r="B28" s="348"/>
      <c r="C28" s="376"/>
      <c r="D28" s="285" t="s">
        <v>317</v>
      </c>
      <c r="E28" s="285" t="s">
        <v>878</v>
      </c>
      <c r="F28" s="119">
        <v>1000</v>
      </c>
      <c r="G28" s="119" t="s">
        <v>318</v>
      </c>
      <c r="H28" s="119" t="s">
        <v>42</v>
      </c>
      <c r="I28" s="119">
        <v>0.72</v>
      </c>
      <c r="J28" s="119" t="s">
        <v>316</v>
      </c>
      <c r="K28" s="119" t="s">
        <v>316</v>
      </c>
      <c r="L28" s="119">
        <v>26</v>
      </c>
      <c r="M28" s="119" t="s">
        <v>316</v>
      </c>
      <c r="N28" s="119"/>
      <c r="O28" s="119" t="s">
        <v>316</v>
      </c>
      <c r="P28" s="14"/>
    </row>
    <row r="29" spans="1:16">
      <c r="A29" s="17"/>
      <c r="B29" s="303"/>
      <c r="C29" s="17"/>
      <c r="D29" s="17"/>
      <c r="E29" s="17"/>
      <c r="F29" s="304"/>
      <c r="G29" s="17"/>
      <c r="H29" s="17"/>
      <c r="I29" s="305"/>
      <c r="J29" s="17"/>
      <c r="K29" s="17"/>
      <c r="L29" s="17"/>
      <c r="M29" s="17"/>
      <c r="N29" s="17"/>
      <c r="O29" s="17"/>
    </row>
    <row r="30" spans="1:16" ht="22.5">
      <c r="A30" s="432" t="s">
        <v>178</v>
      </c>
      <c r="B30" s="432"/>
      <c r="C30" s="432"/>
      <c r="D30" s="432"/>
      <c r="E30" s="432"/>
      <c r="F30" s="432"/>
      <c r="G30" s="432"/>
      <c r="H30" s="432"/>
      <c r="I30" s="432"/>
      <c r="J30" s="432"/>
      <c r="K30" s="432"/>
      <c r="L30" s="432"/>
      <c r="M30" s="432"/>
      <c r="N30" s="432"/>
      <c r="O30" s="432"/>
    </row>
    <row r="31" spans="1:16" ht="99.75">
      <c r="A31" s="20" t="s">
        <v>0</v>
      </c>
      <c r="B31" s="20" t="s">
        <v>129</v>
      </c>
      <c r="C31" s="20" t="s">
        <v>130</v>
      </c>
      <c r="D31" s="20" t="s">
        <v>61</v>
      </c>
      <c r="E31" s="20" t="s">
        <v>62</v>
      </c>
      <c r="F31" s="20" t="s">
        <v>125</v>
      </c>
      <c r="G31" s="20" t="s">
        <v>63</v>
      </c>
      <c r="H31" s="286" t="s">
        <v>126</v>
      </c>
      <c r="I31" s="20" t="s">
        <v>127</v>
      </c>
      <c r="J31" s="20" t="s">
        <v>64</v>
      </c>
      <c r="K31" s="286" t="s">
        <v>131</v>
      </c>
      <c r="L31" s="22" t="s">
        <v>65</v>
      </c>
      <c r="M31" s="22" t="s">
        <v>66</v>
      </c>
      <c r="N31" s="286" t="s">
        <v>132</v>
      </c>
      <c r="O31" s="20" t="s">
        <v>67</v>
      </c>
    </row>
    <row r="32" spans="1:16" ht="120.75" customHeight="1">
      <c r="A32" s="278">
        <v>1</v>
      </c>
      <c r="B32" s="376" t="s">
        <v>452</v>
      </c>
      <c r="C32" s="376" t="s">
        <v>365</v>
      </c>
      <c r="D32" s="168" t="s">
        <v>417</v>
      </c>
      <c r="E32" s="292" t="s">
        <v>881</v>
      </c>
      <c r="F32" s="278">
        <v>360</v>
      </c>
      <c r="G32" s="278">
        <v>1886</v>
      </c>
      <c r="H32" s="278" t="s">
        <v>12</v>
      </c>
      <c r="I32" s="278" t="s">
        <v>12</v>
      </c>
      <c r="J32" s="278">
        <v>1.8</v>
      </c>
      <c r="K32" s="278" t="s">
        <v>435</v>
      </c>
      <c r="L32" s="278">
        <v>1</v>
      </c>
      <c r="M32" s="278" t="s">
        <v>12</v>
      </c>
      <c r="N32" s="278" t="s">
        <v>435</v>
      </c>
      <c r="O32" s="278" t="s">
        <v>882</v>
      </c>
    </row>
    <row r="33" spans="1:15" ht="60">
      <c r="A33" s="278">
        <v>2</v>
      </c>
      <c r="B33" s="376"/>
      <c r="C33" s="376"/>
      <c r="D33" s="292" t="s">
        <v>883</v>
      </c>
      <c r="E33" s="292" t="s">
        <v>884</v>
      </c>
      <c r="F33" s="278">
        <v>1864.5</v>
      </c>
      <c r="G33" s="278">
        <v>1989</v>
      </c>
      <c r="H33" s="278" t="s">
        <v>12</v>
      </c>
      <c r="I33" s="278">
        <v>0.97</v>
      </c>
      <c r="J33" s="278">
        <v>12.2</v>
      </c>
      <c r="K33" s="278" t="s">
        <v>435</v>
      </c>
      <c r="L33" s="278">
        <v>2</v>
      </c>
      <c r="M33" s="278" t="s">
        <v>12</v>
      </c>
      <c r="N33" s="278" t="s">
        <v>435</v>
      </c>
      <c r="O33" s="278" t="s">
        <v>885</v>
      </c>
    </row>
    <row r="34" spans="1:15" ht="60">
      <c r="A34" s="278">
        <v>3</v>
      </c>
      <c r="B34" s="376"/>
      <c r="C34" s="376"/>
      <c r="D34" s="292" t="s">
        <v>886</v>
      </c>
      <c r="E34" s="292" t="s">
        <v>887</v>
      </c>
      <c r="F34" s="278">
        <v>200</v>
      </c>
      <c r="G34" s="278">
        <v>1897</v>
      </c>
      <c r="H34" s="278" t="s">
        <v>12</v>
      </c>
      <c r="I34" s="278" t="s">
        <v>12</v>
      </c>
      <c r="J34" s="278">
        <v>0.08</v>
      </c>
      <c r="K34" s="278" t="s">
        <v>435</v>
      </c>
      <c r="L34" s="278">
        <v>3</v>
      </c>
      <c r="M34" s="278" t="s">
        <v>12</v>
      </c>
      <c r="N34" s="278" t="s">
        <v>435</v>
      </c>
      <c r="O34" s="278" t="s">
        <v>882</v>
      </c>
    </row>
    <row r="35" spans="1:15" ht="60">
      <c r="A35" s="278">
        <v>4</v>
      </c>
      <c r="B35" s="376"/>
      <c r="C35" s="376"/>
      <c r="D35" s="31" t="s">
        <v>425</v>
      </c>
      <c r="E35" s="292" t="s">
        <v>888</v>
      </c>
      <c r="F35" s="278">
        <v>421</v>
      </c>
      <c r="G35" s="278">
        <v>1878</v>
      </c>
      <c r="H35" s="278" t="s">
        <v>12</v>
      </c>
      <c r="I35" s="278" t="s">
        <v>12</v>
      </c>
      <c r="J35" s="278">
        <v>0.08</v>
      </c>
      <c r="K35" s="278" t="s">
        <v>435</v>
      </c>
      <c r="L35" s="278">
        <v>4</v>
      </c>
      <c r="M35" s="278" t="s">
        <v>12</v>
      </c>
      <c r="N35" s="278" t="s">
        <v>435</v>
      </c>
      <c r="O35" s="278" t="s">
        <v>882</v>
      </c>
    </row>
    <row r="36" spans="1:15" ht="75">
      <c r="A36" s="278">
        <v>5</v>
      </c>
      <c r="B36" s="376"/>
      <c r="C36" s="376"/>
      <c r="D36" s="292" t="s">
        <v>426</v>
      </c>
      <c r="E36" s="292" t="s">
        <v>889</v>
      </c>
      <c r="F36" s="278">
        <v>117</v>
      </c>
      <c r="G36" s="278">
        <v>1999</v>
      </c>
      <c r="H36" s="278" t="s">
        <v>12</v>
      </c>
      <c r="I36" s="278">
        <v>0.21</v>
      </c>
      <c r="J36" s="278">
        <v>0.1</v>
      </c>
      <c r="K36" s="278" t="s">
        <v>435</v>
      </c>
      <c r="L36" s="278">
        <v>5</v>
      </c>
      <c r="M36" s="278" t="s">
        <v>12</v>
      </c>
      <c r="N36" s="278" t="s">
        <v>435</v>
      </c>
      <c r="O36" s="278" t="s">
        <v>890</v>
      </c>
    </row>
    <row r="37" spans="1:15" ht="75">
      <c r="A37" s="278">
        <v>6</v>
      </c>
      <c r="B37" s="376"/>
      <c r="C37" s="376"/>
      <c r="D37" s="292" t="s">
        <v>427</v>
      </c>
      <c r="E37" s="292" t="s">
        <v>891</v>
      </c>
      <c r="F37" s="278">
        <v>90</v>
      </c>
      <c r="G37" s="278">
        <v>1881</v>
      </c>
      <c r="H37" s="278" t="s">
        <v>12</v>
      </c>
      <c r="I37" s="278" t="s">
        <v>12</v>
      </c>
      <c r="J37" s="278">
        <v>0.08</v>
      </c>
      <c r="K37" s="278" t="s">
        <v>435</v>
      </c>
      <c r="L37" s="278">
        <v>6</v>
      </c>
      <c r="M37" s="278" t="s">
        <v>12</v>
      </c>
      <c r="N37" s="278"/>
      <c r="O37" s="278" t="s">
        <v>882</v>
      </c>
    </row>
    <row r="38" spans="1:15" ht="60">
      <c r="A38" s="278">
        <v>7</v>
      </c>
      <c r="B38" s="376"/>
      <c r="C38" s="376"/>
      <c r="D38" s="292" t="s">
        <v>428</v>
      </c>
      <c r="E38" s="292" t="s">
        <v>892</v>
      </c>
      <c r="F38" s="278">
        <v>721</v>
      </c>
      <c r="G38" s="278">
        <v>1878</v>
      </c>
      <c r="H38" s="278" t="s">
        <v>12</v>
      </c>
      <c r="I38" s="278" t="s">
        <v>12</v>
      </c>
      <c r="J38" s="278">
        <v>0.88</v>
      </c>
      <c r="K38" s="278" t="s">
        <v>435</v>
      </c>
      <c r="L38" s="278">
        <v>7</v>
      </c>
      <c r="M38" s="278" t="s">
        <v>12</v>
      </c>
      <c r="N38" s="278" t="s">
        <v>435</v>
      </c>
      <c r="O38" s="278" t="s">
        <v>882</v>
      </c>
    </row>
    <row r="39" spans="1:15" ht="60">
      <c r="A39" s="278">
        <v>8</v>
      </c>
      <c r="B39" s="376"/>
      <c r="C39" s="376"/>
      <c r="D39" s="292" t="s">
        <v>893</v>
      </c>
      <c r="E39" s="292" t="s">
        <v>894</v>
      </c>
      <c r="F39" s="278">
        <v>18</v>
      </c>
      <c r="G39" s="278">
        <v>1904</v>
      </c>
      <c r="H39" s="278" t="s">
        <v>12</v>
      </c>
      <c r="I39" s="278" t="s">
        <v>12</v>
      </c>
      <c r="J39" s="278">
        <v>0.01</v>
      </c>
      <c r="K39" s="278" t="s">
        <v>435</v>
      </c>
      <c r="L39" s="278">
        <v>8</v>
      </c>
      <c r="M39" s="278" t="s">
        <v>12</v>
      </c>
      <c r="N39" s="278" t="s">
        <v>435</v>
      </c>
      <c r="O39" s="278" t="s">
        <v>882</v>
      </c>
    </row>
    <row r="40" spans="1:15" ht="60">
      <c r="A40" s="278">
        <v>9</v>
      </c>
      <c r="B40" s="376"/>
      <c r="C40" s="376"/>
      <c r="D40" s="292" t="s">
        <v>895</v>
      </c>
      <c r="E40" s="292" t="s">
        <v>896</v>
      </c>
      <c r="F40" s="278">
        <v>88</v>
      </c>
      <c r="G40" s="278">
        <v>1860</v>
      </c>
      <c r="H40" s="278" t="s">
        <v>12</v>
      </c>
      <c r="I40" s="278" t="s">
        <v>12</v>
      </c>
      <c r="J40" s="278">
        <v>0.01</v>
      </c>
      <c r="K40" s="278" t="s">
        <v>435</v>
      </c>
      <c r="L40" s="278">
        <v>9</v>
      </c>
      <c r="M40" s="278" t="s">
        <v>12</v>
      </c>
      <c r="N40" s="278" t="s">
        <v>435</v>
      </c>
      <c r="O40" s="278" t="s">
        <v>882</v>
      </c>
    </row>
    <row r="41" spans="1:15" ht="60">
      <c r="A41" s="278">
        <v>10</v>
      </c>
      <c r="B41" s="376"/>
      <c r="C41" s="376"/>
      <c r="D41" s="292" t="s">
        <v>897</v>
      </c>
      <c r="E41" s="292" t="s">
        <v>898</v>
      </c>
      <c r="F41" s="278">
        <v>191</v>
      </c>
      <c r="G41" s="278">
        <v>2003</v>
      </c>
      <c r="H41" s="278" t="s">
        <v>12</v>
      </c>
      <c r="I41" s="278">
        <v>0.36</v>
      </c>
      <c r="J41" s="278">
        <v>0.33</v>
      </c>
      <c r="K41" s="278" t="s">
        <v>435</v>
      </c>
      <c r="L41" s="278" t="s">
        <v>12</v>
      </c>
      <c r="M41" s="278">
        <v>1</v>
      </c>
      <c r="N41" s="278" t="s">
        <v>435</v>
      </c>
      <c r="O41" s="278"/>
    </row>
    <row r="42" spans="1:15" ht="60">
      <c r="A42" s="348">
        <v>11</v>
      </c>
      <c r="B42" s="376"/>
      <c r="C42" s="376"/>
      <c r="D42" s="377" t="s">
        <v>899</v>
      </c>
      <c r="E42" s="292" t="s">
        <v>900</v>
      </c>
      <c r="F42" s="278">
        <v>128</v>
      </c>
      <c r="G42" s="278">
        <v>1886</v>
      </c>
      <c r="H42" s="278" t="s">
        <v>12</v>
      </c>
      <c r="I42" s="278" t="s">
        <v>12</v>
      </c>
      <c r="J42" s="278">
        <v>0.02</v>
      </c>
      <c r="K42" s="278" t="s">
        <v>435</v>
      </c>
      <c r="L42" s="278" t="s">
        <v>12</v>
      </c>
      <c r="M42" s="278">
        <v>2</v>
      </c>
      <c r="N42" s="278" t="s">
        <v>435</v>
      </c>
      <c r="O42" s="278" t="s">
        <v>882</v>
      </c>
    </row>
    <row r="43" spans="1:15" ht="60">
      <c r="A43" s="348"/>
      <c r="B43" s="376"/>
      <c r="C43" s="376"/>
      <c r="D43" s="377"/>
      <c r="E43" s="292" t="s">
        <v>901</v>
      </c>
      <c r="F43" s="278">
        <v>191</v>
      </c>
      <c r="G43" s="278">
        <v>2004</v>
      </c>
      <c r="H43" s="278" t="s">
        <v>12</v>
      </c>
      <c r="I43" s="278">
        <v>0.83</v>
      </c>
      <c r="J43" s="278">
        <v>0.93</v>
      </c>
      <c r="K43" s="278" t="s">
        <v>435</v>
      </c>
      <c r="L43" s="278" t="s">
        <v>12</v>
      </c>
      <c r="M43" s="278">
        <v>2</v>
      </c>
      <c r="N43" s="278" t="s">
        <v>435</v>
      </c>
      <c r="O43" s="278" t="s">
        <v>902</v>
      </c>
    </row>
    <row r="44" spans="1:15" ht="60">
      <c r="A44" s="278">
        <v>12</v>
      </c>
      <c r="B44" s="376"/>
      <c r="C44" s="376"/>
      <c r="D44" s="31" t="s">
        <v>903</v>
      </c>
      <c r="E44" s="292" t="s">
        <v>904</v>
      </c>
      <c r="F44" s="278">
        <v>130</v>
      </c>
      <c r="G44" s="278">
        <v>1867</v>
      </c>
      <c r="H44" s="278" t="s">
        <v>12</v>
      </c>
      <c r="I44" s="278" t="s">
        <v>12</v>
      </c>
      <c r="J44" s="278">
        <v>7.0000000000000007E-2</v>
      </c>
      <c r="K44" s="278" t="s">
        <v>435</v>
      </c>
      <c r="L44" s="278">
        <v>10</v>
      </c>
      <c r="M44" s="278" t="s">
        <v>12</v>
      </c>
      <c r="N44" s="278" t="s">
        <v>435</v>
      </c>
      <c r="O44" s="278" t="s">
        <v>905</v>
      </c>
    </row>
    <row r="45" spans="1:15">
      <c r="A45" s="17"/>
      <c r="B45" s="303"/>
      <c r="C45" s="17"/>
      <c r="D45" s="17"/>
      <c r="E45" s="17"/>
      <c r="F45" s="304"/>
      <c r="G45" s="17"/>
      <c r="H45" s="17"/>
      <c r="I45" s="305"/>
      <c r="J45" s="17"/>
      <c r="K45" s="17"/>
      <c r="L45" s="17"/>
      <c r="M45" s="17"/>
      <c r="N45" s="17"/>
      <c r="O45" s="17"/>
    </row>
    <row r="46" spans="1:15" ht="22.5" customHeight="1">
      <c r="A46" s="432" t="s">
        <v>179</v>
      </c>
      <c r="B46" s="432"/>
      <c r="C46" s="432"/>
      <c r="D46" s="432"/>
      <c r="E46" s="432"/>
      <c r="F46" s="432"/>
      <c r="G46" s="432"/>
      <c r="H46" s="432"/>
      <c r="I46" s="432"/>
      <c r="J46" s="432"/>
      <c r="K46" s="432"/>
      <c r="L46" s="432"/>
      <c r="M46" s="432"/>
      <c r="N46" s="432"/>
      <c r="O46" s="432"/>
    </row>
    <row r="47" spans="1:15" ht="99.75">
      <c r="A47" s="20" t="s">
        <v>0</v>
      </c>
      <c r="B47" s="20" t="s">
        <v>129</v>
      </c>
      <c r="C47" s="20" t="s">
        <v>130</v>
      </c>
      <c r="D47" s="20" t="s">
        <v>61</v>
      </c>
      <c r="E47" s="20" t="s">
        <v>62</v>
      </c>
      <c r="F47" s="20" t="s">
        <v>125</v>
      </c>
      <c r="G47" s="20" t="s">
        <v>63</v>
      </c>
      <c r="H47" s="286" t="s">
        <v>126</v>
      </c>
      <c r="I47" s="20" t="s">
        <v>127</v>
      </c>
      <c r="J47" s="20" t="s">
        <v>64</v>
      </c>
      <c r="K47" s="286" t="s">
        <v>131</v>
      </c>
      <c r="L47" s="22" t="s">
        <v>65</v>
      </c>
      <c r="M47" s="22" t="s">
        <v>66</v>
      </c>
      <c r="N47" s="286" t="s">
        <v>132</v>
      </c>
      <c r="O47" s="20" t="s">
        <v>67</v>
      </c>
    </row>
    <row r="48" spans="1:15">
      <c r="A48" s="295">
        <v>1</v>
      </c>
      <c r="B48" s="295">
        <v>2</v>
      </c>
      <c r="C48" s="295">
        <v>3</v>
      </c>
      <c r="D48" s="295">
        <v>4</v>
      </c>
      <c r="E48" s="295">
        <v>5</v>
      </c>
      <c r="F48" s="295">
        <v>6</v>
      </c>
      <c r="G48" s="295">
        <v>7</v>
      </c>
      <c r="H48" s="295">
        <v>8</v>
      </c>
      <c r="I48" s="286">
        <v>9</v>
      </c>
      <c r="J48" s="295">
        <v>10</v>
      </c>
      <c r="K48" s="295">
        <v>11</v>
      </c>
      <c r="L48" s="295">
        <v>12</v>
      </c>
      <c r="M48" s="295">
        <v>13</v>
      </c>
      <c r="N48" s="295">
        <v>14</v>
      </c>
      <c r="O48" s="295">
        <v>15</v>
      </c>
    </row>
    <row r="49" spans="1:15" ht="375">
      <c r="A49" s="278">
        <v>1</v>
      </c>
      <c r="B49" s="279" t="s">
        <v>456</v>
      </c>
      <c r="C49" s="279" t="s">
        <v>457</v>
      </c>
      <c r="D49" s="279" t="s">
        <v>906</v>
      </c>
      <c r="E49" s="308" t="s">
        <v>2436</v>
      </c>
      <c r="F49" s="278">
        <v>26863</v>
      </c>
      <c r="G49" s="278" t="s">
        <v>907</v>
      </c>
      <c r="H49" s="278" t="s">
        <v>12</v>
      </c>
      <c r="I49" s="278" t="s">
        <v>908</v>
      </c>
      <c r="J49" s="278">
        <v>47.26</v>
      </c>
      <c r="K49" s="278" t="s">
        <v>909</v>
      </c>
      <c r="L49" s="278" t="s">
        <v>108</v>
      </c>
      <c r="M49" s="278" t="s">
        <v>41</v>
      </c>
      <c r="N49" s="278" t="s">
        <v>12</v>
      </c>
      <c r="O49" s="278" t="s">
        <v>910</v>
      </c>
    </row>
    <row r="50" spans="1:15" ht="147" customHeight="1">
      <c r="A50" s="239">
        <v>2</v>
      </c>
      <c r="B50" s="242" t="s">
        <v>456</v>
      </c>
      <c r="C50" s="242" t="s">
        <v>2173</v>
      </c>
      <c r="D50" s="242" t="s">
        <v>2174</v>
      </c>
      <c r="E50" s="242" t="s">
        <v>2174</v>
      </c>
      <c r="F50" s="239" t="s">
        <v>2175</v>
      </c>
      <c r="G50" s="239" t="s">
        <v>2176</v>
      </c>
      <c r="H50" s="239" t="s">
        <v>2177</v>
      </c>
      <c r="I50" s="239" t="s">
        <v>2178</v>
      </c>
      <c r="J50" s="239" t="s">
        <v>2178</v>
      </c>
      <c r="K50" s="239" t="s">
        <v>2179</v>
      </c>
      <c r="L50" s="239" t="s">
        <v>2177</v>
      </c>
      <c r="M50" s="239" t="s">
        <v>2180</v>
      </c>
      <c r="N50" s="239" t="s">
        <v>2177</v>
      </c>
      <c r="O50" s="279" t="s">
        <v>2181</v>
      </c>
    </row>
    <row r="51" spans="1:15" ht="15">
      <c r="A51" s="348"/>
      <c r="B51" s="348"/>
      <c r="C51" s="348"/>
      <c r="D51" s="348"/>
      <c r="E51" s="348"/>
      <c r="F51" s="348"/>
      <c r="G51" s="348"/>
      <c r="H51" s="348"/>
      <c r="I51" s="348"/>
      <c r="J51" s="348"/>
      <c r="K51" s="348"/>
      <c r="L51" s="348"/>
      <c r="M51" s="348"/>
      <c r="N51" s="348"/>
      <c r="O51" s="348"/>
    </row>
    <row r="52" spans="1:15" ht="22.5" customHeight="1">
      <c r="A52" s="432" t="s">
        <v>180</v>
      </c>
      <c r="B52" s="432"/>
      <c r="C52" s="432"/>
      <c r="D52" s="432"/>
      <c r="E52" s="432"/>
      <c r="F52" s="432"/>
      <c r="G52" s="432"/>
      <c r="H52" s="432"/>
      <c r="I52" s="432"/>
      <c r="J52" s="432"/>
      <c r="K52" s="432"/>
      <c r="L52" s="432"/>
      <c r="M52" s="432"/>
      <c r="N52" s="432"/>
      <c r="O52" s="432"/>
    </row>
    <row r="53" spans="1:15" ht="99.75">
      <c r="A53" s="20" t="s">
        <v>0</v>
      </c>
      <c r="B53" s="20" t="s">
        <v>129</v>
      </c>
      <c r="C53" s="20" t="s">
        <v>130</v>
      </c>
      <c r="D53" s="20" t="s">
        <v>61</v>
      </c>
      <c r="E53" s="20" t="s">
        <v>62</v>
      </c>
      <c r="F53" s="20" t="s">
        <v>125</v>
      </c>
      <c r="G53" s="20" t="s">
        <v>63</v>
      </c>
      <c r="H53" s="286" t="s">
        <v>126</v>
      </c>
      <c r="I53" s="20" t="s">
        <v>127</v>
      </c>
      <c r="J53" s="20" t="s">
        <v>64</v>
      </c>
      <c r="K53" s="286" t="s">
        <v>131</v>
      </c>
      <c r="L53" s="22" t="s">
        <v>65</v>
      </c>
      <c r="M53" s="22" t="s">
        <v>66</v>
      </c>
      <c r="N53" s="286" t="s">
        <v>132</v>
      </c>
      <c r="O53" s="20" t="s">
        <v>67</v>
      </c>
    </row>
    <row r="54" spans="1:15" ht="210">
      <c r="A54" s="288">
        <v>1</v>
      </c>
      <c r="B54" s="279" t="s">
        <v>484</v>
      </c>
      <c r="C54" s="279" t="s">
        <v>485</v>
      </c>
      <c r="D54" s="279" t="s">
        <v>911</v>
      </c>
      <c r="E54" s="279" t="s">
        <v>1916</v>
      </c>
      <c r="F54" s="288" t="s">
        <v>1915</v>
      </c>
      <c r="G54" s="288" t="s">
        <v>912</v>
      </c>
      <c r="H54" s="288" t="s">
        <v>37</v>
      </c>
      <c r="I54" s="288" t="s">
        <v>37</v>
      </c>
      <c r="J54" s="288" t="s">
        <v>37</v>
      </c>
      <c r="K54" s="288" t="s">
        <v>37</v>
      </c>
      <c r="L54" s="288">
        <v>1</v>
      </c>
      <c r="M54" s="288" t="s">
        <v>26</v>
      </c>
      <c r="N54" s="288" t="s">
        <v>913</v>
      </c>
      <c r="O54" s="288"/>
    </row>
    <row r="55" spans="1:15">
      <c r="A55" s="505"/>
      <c r="B55" s="505"/>
      <c r="C55" s="505"/>
      <c r="D55" s="505"/>
      <c r="E55" s="505"/>
      <c r="F55" s="505"/>
      <c r="G55" s="505"/>
      <c r="H55" s="505"/>
      <c r="I55" s="505"/>
      <c r="J55" s="505"/>
      <c r="K55" s="505"/>
      <c r="L55" s="505"/>
      <c r="M55" s="505"/>
      <c r="N55" s="505"/>
      <c r="O55" s="505"/>
    </row>
    <row r="56" spans="1:15" ht="22.5">
      <c r="A56" s="432" t="s">
        <v>181</v>
      </c>
      <c r="B56" s="432"/>
      <c r="C56" s="432"/>
      <c r="D56" s="432"/>
      <c r="E56" s="432"/>
      <c r="F56" s="432"/>
      <c r="G56" s="432"/>
      <c r="H56" s="432"/>
      <c r="I56" s="432"/>
      <c r="J56" s="432"/>
      <c r="K56" s="432"/>
      <c r="L56" s="432"/>
      <c r="M56" s="432"/>
      <c r="N56" s="432"/>
      <c r="O56" s="432"/>
    </row>
    <row r="57" spans="1:15" ht="99.75">
      <c r="A57" s="20" t="s">
        <v>0</v>
      </c>
      <c r="B57" s="20" t="s">
        <v>129</v>
      </c>
      <c r="C57" s="20" t="s">
        <v>130</v>
      </c>
      <c r="D57" s="20" t="s">
        <v>61</v>
      </c>
      <c r="E57" s="20" t="s">
        <v>62</v>
      </c>
      <c r="F57" s="20" t="s">
        <v>125</v>
      </c>
      <c r="G57" s="20" t="s">
        <v>63</v>
      </c>
      <c r="H57" s="286" t="s">
        <v>126</v>
      </c>
      <c r="I57" s="20" t="s">
        <v>127</v>
      </c>
      <c r="J57" s="20" t="s">
        <v>64</v>
      </c>
      <c r="K57" s="286" t="s">
        <v>131</v>
      </c>
      <c r="L57" s="22" t="s">
        <v>65</v>
      </c>
      <c r="M57" s="22" t="s">
        <v>66</v>
      </c>
      <c r="N57" s="286" t="s">
        <v>132</v>
      </c>
      <c r="O57" s="20" t="s">
        <v>67</v>
      </c>
    </row>
    <row r="58" spans="1:15">
      <c r="A58" s="295">
        <v>1</v>
      </c>
      <c r="B58" s="295">
        <v>2</v>
      </c>
      <c r="C58" s="295">
        <v>3</v>
      </c>
      <c r="D58" s="295">
        <v>4</v>
      </c>
      <c r="E58" s="295">
        <v>5</v>
      </c>
      <c r="F58" s="295">
        <v>6</v>
      </c>
      <c r="G58" s="295">
        <v>7</v>
      </c>
      <c r="H58" s="295">
        <v>8</v>
      </c>
      <c r="I58" s="286">
        <v>9</v>
      </c>
      <c r="J58" s="295">
        <v>10</v>
      </c>
      <c r="K58" s="295">
        <v>11</v>
      </c>
      <c r="L58" s="295">
        <v>12</v>
      </c>
      <c r="M58" s="295">
        <v>13</v>
      </c>
      <c r="N58" s="295">
        <v>14</v>
      </c>
      <c r="O58" s="295">
        <v>15</v>
      </c>
    </row>
    <row r="59" spans="1:15" ht="60">
      <c r="A59" s="60">
        <v>1</v>
      </c>
      <c r="B59" s="377" t="s">
        <v>1943</v>
      </c>
      <c r="C59" s="509" t="s">
        <v>1984</v>
      </c>
      <c r="D59" s="279" t="s">
        <v>1959</v>
      </c>
      <c r="E59" s="279" t="s">
        <v>1985</v>
      </c>
      <c r="F59" s="176">
        <v>1500</v>
      </c>
      <c r="G59" s="60" t="s">
        <v>1960</v>
      </c>
      <c r="H59" s="177" t="s">
        <v>49</v>
      </c>
      <c r="I59" s="60">
        <v>0.19</v>
      </c>
      <c r="J59" s="178">
        <v>6</v>
      </c>
      <c r="K59" s="177" t="s">
        <v>49</v>
      </c>
      <c r="L59" s="177" t="s">
        <v>49</v>
      </c>
      <c r="M59" s="177">
        <v>1</v>
      </c>
      <c r="N59" s="60" t="s">
        <v>51</v>
      </c>
      <c r="O59" s="60" t="s">
        <v>51</v>
      </c>
    </row>
    <row r="60" spans="1:15" ht="60">
      <c r="A60" s="60">
        <v>2</v>
      </c>
      <c r="B60" s="377"/>
      <c r="C60" s="509"/>
      <c r="D60" s="279" t="s">
        <v>1961</v>
      </c>
      <c r="E60" s="279" t="s">
        <v>1986</v>
      </c>
      <c r="F60" s="176">
        <v>406.2</v>
      </c>
      <c r="G60" s="60" t="s">
        <v>1962</v>
      </c>
      <c r="H60" s="177" t="s">
        <v>49</v>
      </c>
      <c r="I60" s="60">
        <v>0.48</v>
      </c>
      <c r="J60" s="178">
        <v>0.6</v>
      </c>
      <c r="K60" s="177" t="s">
        <v>49</v>
      </c>
      <c r="L60" s="177" t="s">
        <v>49</v>
      </c>
      <c r="M60" s="60">
        <v>2</v>
      </c>
      <c r="N60" s="60" t="s">
        <v>51</v>
      </c>
      <c r="O60" s="60" t="s">
        <v>51</v>
      </c>
    </row>
    <row r="61" spans="1:15" ht="45">
      <c r="A61" s="60">
        <v>3</v>
      </c>
      <c r="B61" s="377"/>
      <c r="C61" s="509"/>
      <c r="D61" s="279" t="s">
        <v>1963</v>
      </c>
      <c r="E61" s="279" t="s">
        <v>1987</v>
      </c>
      <c r="F61" s="176">
        <v>188</v>
      </c>
      <c r="G61" s="60" t="s">
        <v>1964</v>
      </c>
      <c r="H61" s="177" t="s">
        <v>49</v>
      </c>
      <c r="I61" s="60">
        <v>0.18</v>
      </c>
      <c r="J61" s="178">
        <v>0.32</v>
      </c>
      <c r="K61" s="177" t="s">
        <v>49</v>
      </c>
      <c r="L61" s="177" t="s">
        <v>49</v>
      </c>
      <c r="M61" s="60">
        <v>3</v>
      </c>
      <c r="N61" s="60" t="s">
        <v>51</v>
      </c>
      <c r="O61" s="60" t="s">
        <v>51</v>
      </c>
    </row>
    <row r="62" spans="1:15" ht="30">
      <c r="A62" s="281">
        <v>4</v>
      </c>
      <c r="B62" s="377"/>
      <c r="C62" s="509"/>
      <c r="D62" s="279" t="s">
        <v>1988</v>
      </c>
      <c r="E62" s="279" t="s">
        <v>1989</v>
      </c>
      <c r="F62" s="179">
        <v>248</v>
      </c>
      <c r="G62" s="281" t="s">
        <v>1968</v>
      </c>
      <c r="H62" s="177" t="s">
        <v>49</v>
      </c>
      <c r="I62" s="281">
        <v>0.36</v>
      </c>
      <c r="J62" s="180" t="s">
        <v>49</v>
      </c>
      <c r="K62" s="177" t="s">
        <v>49</v>
      </c>
      <c r="L62" s="177" t="s">
        <v>49</v>
      </c>
      <c r="M62" s="281">
        <v>4</v>
      </c>
      <c r="N62" s="177" t="s">
        <v>49</v>
      </c>
      <c r="O62" s="177" t="s">
        <v>49</v>
      </c>
    </row>
    <row r="63" spans="1:15" ht="45">
      <c r="A63" s="281">
        <v>5</v>
      </c>
      <c r="B63" s="377"/>
      <c r="C63" s="509"/>
      <c r="D63" s="279" t="s">
        <v>1990</v>
      </c>
      <c r="E63" s="279" t="s">
        <v>1991</v>
      </c>
      <c r="F63" s="179">
        <v>196</v>
      </c>
      <c r="G63" s="281" t="s">
        <v>1970</v>
      </c>
      <c r="H63" s="177" t="s">
        <v>49</v>
      </c>
      <c r="I63" s="281">
        <v>0.33</v>
      </c>
      <c r="J63" s="180" t="s">
        <v>49</v>
      </c>
      <c r="K63" s="177" t="s">
        <v>49</v>
      </c>
      <c r="L63" s="177" t="s">
        <v>49</v>
      </c>
      <c r="M63" s="281">
        <v>5</v>
      </c>
      <c r="N63" s="177" t="s">
        <v>49</v>
      </c>
      <c r="O63" s="177" t="s">
        <v>49</v>
      </c>
    </row>
    <row r="64" spans="1:15" ht="30">
      <c r="A64" s="281">
        <v>6</v>
      </c>
      <c r="B64" s="377"/>
      <c r="C64" s="509"/>
      <c r="D64" s="279" t="s">
        <v>1992</v>
      </c>
      <c r="E64" s="279" t="s">
        <v>1971</v>
      </c>
      <c r="F64" s="179">
        <v>216</v>
      </c>
      <c r="G64" s="281" t="s">
        <v>1972</v>
      </c>
      <c r="H64" s="177" t="s">
        <v>49</v>
      </c>
      <c r="I64" s="281">
        <v>0.26</v>
      </c>
      <c r="J64" s="180" t="s">
        <v>49</v>
      </c>
      <c r="K64" s="177" t="s">
        <v>49</v>
      </c>
      <c r="L64" s="177" t="s">
        <v>49</v>
      </c>
      <c r="M64" s="281">
        <v>6</v>
      </c>
      <c r="N64" s="177" t="s">
        <v>49</v>
      </c>
      <c r="O64" s="177" t="s">
        <v>49</v>
      </c>
    </row>
    <row r="65" spans="1:17" ht="120">
      <c r="A65" s="281">
        <v>7</v>
      </c>
      <c r="B65" s="377"/>
      <c r="C65" s="509"/>
      <c r="D65" s="279" t="s">
        <v>1973</v>
      </c>
      <c r="E65" s="279" t="s">
        <v>1993</v>
      </c>
      <c r="F65" s="179">
        <v>380.25</v>
      </c>
      <c r="G65" s="281" t="s">
        <v>1974</v>
      </c>
      <c r="H65" s="177" t="s">
        <v>49</v>
      </c>
      <c r="I65" s="85">
        <v>2.6918000000000002</v>
      </c>
      <c r="J65" s="8" t="s">
        <v>15</v>
      </c>
      <c r="K65" s="8" t="s">
        <v>15</v>
      </c>
      <c r="L65" s="8" t="s">
        <v>15</v>
      </c>
      <c r="M65" s="8">
        <v>8</v>
      </c>
      <c r="N65" s="278" t="s">
        <v>1994</v>
      </c>
      <c r="O65" s="177"/>
    </row>
    <row r="66" spans="1:17" ht="45">
      <c r="A66" s="281">
        <v>8</v>
      </c>
      <c r="B66" s="377"/>
      <c r="C66" s="509"/>
      <c r="D66" s="279" t="s">
        <v>1976</v>
      </c>
      <c r="E66" s="279" t="s">
        <v>1995</v>
      </c>
      <c r="F66" s="179">
        <v>289.8</v>
      </c>
      <c r="G66" s="281" t="s">
        <v>1977</v>
      </c>
      <c r="H66" s="177" t="s">
        <v>49</v>
      </c>
      <c r="I66" s="85">
        <v>0.29089999999999999</v>
      </c>
      <c r="J66" s="8" t="s">
        <v>15</v>
      </c>
      <c r="K66" s="8" t="s">
        <v>15</v>
      </c>
      <c r="L66" s="8" t="s">
        <v>15</v>
      </c>
      <c r="M66" s="8">
        <v>9</v>
      </c>
      <c r="N66" s="278" t="s">
        <v>1978</v>
      </c>
      <c r="O66" s="177"/>
    </row>
    <row r="67" spans="1:17" ht="60">
      <c r="A67" s="281">
        <v>9</v>
      </c>
      <c r="B67" s="377"/>
      <c r="C67" s="509"/>
      <c r="D67" s="279" t="s">
        <v>1996</v>
      </c>
      <c r="E67" s="279" t="s">
        <v>1997</v>
      </c>
      <c r="F67" s="181">
        <v>543</v>
      </c>
      <c r="G67" s="281" t="s">
        <v>1998</v>
      </c>
      <c r="H67" s="177" t="s">
        <v>49</v>
      </c>
      <c r="I67" s="281">
        <v>0.61</v>
      </c>
      <c r="J67" s="175">
        <v>2.5</v>
      </c>
      <c r="K67" s="177" t="s">
        <v>49</v>
      </c>
      <c r="L67" s="177">
        <v>1</v>
      </c>
      <c r="M67" s="177" t="s">
        <v>49</v>
      </c>
      <c r="N67" s="177" t="s">
        <v>49</v>
      </c>
      <c r="O67" s="177" t="s">
        <v>49</v>
      </c>
    </row>
    <row r="68" spans="1:17" ht="30">
      <c r="A68" s="281">
        <v>10</v>
      </c>
      <c r="B68" s="377"/>
      <c r="C68" s="509"/>
      <c r="D68" s="279" t="s">
        <v>1999</v>
      </c>
      <c r="E68" s="279" t="s">
        <v>2000</v>
      </c>
      <c r="F68" s="179">
        <v>835</v>
      </c>
      <c r="G68" s="278" t="s">
        <v>1949</v>
      </c>
      <c r="H68" s="278" t="s">
        <v>45</v>
      </c>
      <c r="I68" s="278">
        <v>0.92</v>
      </c>
      <c r="J68" s="278" t="s">
        <v>45</v>
      </c>
      <c r="K68" s="278" t="s">
        <v>45</v>
      </c>
      <c r="L68" s="278">
        <v>2</v>
      </c>
      <c r="M68" s="8" t="s">
        <v>15</v>
      </c>
      <c r="N68" s="278" t="s">
        <v>2001</v>
      </c>
      <c r="O68" s="288"/>
    </row>
    <row r="69" spans="1:17" ht="30">
      <c r="A69" s="281">
        <v>11</v>
      </c>
      <c r="B69" s="377"/>
      <c r="C69" s="509"/>
      <c r="D69" s="279" t="s">
        <v>1979</v>
      </c>
      <c r="E69" s="279" t="s">
        <v>2002</v>
      </c>
      <c r="F69" s="179">
        <v>300</v>
      </c>
      <c r="G69" s="278" t="s">
        <v>1980</v>
      </c>
      <c r="H69" s="278" t="s">
        <v>45</v>
      </c>
      <c r="I69" s="85">
        <v>0.2445</v>
      </c>
      <c r="J69" s="278" t="s">
        <v>45</v>
      </c>
      <c r="K69" s="278" t="s">
        <v>45</v>
      </c>
      <c r="L69" s="8" t="s">
        <v>15</v>
      </c>
      <c r="M69" s="278">
        <v>10</v>
      </c>
      <c r="N69" s="278" t="s">
        <v>2001</v>
      </c>
      <c r="O69" s="288"/>
    </row>
    <row r="70" spans="1:17" ht="30">
      <c r="A70" s="281">
        <v>12</v>
      </c>
      <c r="B70" s="377"/>
      <c r="C70" s="509"/>
      <c r="D70" s="279" t="s">
        <v>1981</v>
      </c>
      <c r="E70" s="279" t="s">
        <v>2003</v>
      </c>
      <c r="F70" s="179">
        <v>197</v>
      </c>
      <c r="G70" s="278" t="s">
        <v>1980</v>
      </c>
      <c r="H70" s="278" t="s">
        <v>45</v>
      </c>
      <c r="I70" s="85">
        <v>0.29770000000000002</v>
      </c>
      <c r="J70" s="278" t="s">
        <v>45</v>
      </c>
      <c r="K70" s="278" t="s">
        <v>45</v>
      </c>
      <c r="L70" s="8" t="s">
        <v>15</v>
      </c>
      <c r="M70" s="278">
        <v>11</v>
      </c>
      <c r="N70" s="278" t="s">
        <v>2001</v>
      </c>
      <c r="O70" s="288"/>
    </row>
    <row r="71" spans="1:17" ht="30">
      <c r="A71" s="281">
        <v>13</v>
      </c>
      <c r="B71" s="377"/>
      <c r="C71" s="509"/>
      <c r="D71" s="279" t="s">
        <v>1982</v>
      </c>
      <c r="E71" s="279" t="s">
        <v>2004</v>
      </c>
      <c r="F71" s="179">
        <v>223</v>
      </c>
      <c r="G71" s="278" t="s">
        <v>1983</v>
      </c>
      <c r="H71" s="278" t="s">
        <v>45</v>
      </c>
      <c r="I71" s="85">
        <v>0.2447</v>
      </c>
      <c r="J71" s="278" t="s">
        <v>45</v>
      </c>
      <c r="K71" s="278" t="s">
        <v>45</v>
      </c>
      <c r="L71" s="8" t="s">
        <v>15</v>
      </c>
      <c r="M71" s="278">
        <v>12</v>
      </c>
      <c r="N71" s="278" t="s">
        <v>2001</v>
      </c>
      <c r="O71" s="288"/>
      <c r="P71" s="63"/>
      <c r="Q71" s="99"/>
    </row>
    <row r="72" spans="1:17" ht="75">
      <c r="A72" s="290">
        <v>14</v>
      </c>
      <c r="B72" s="377"/>
      <c r="C72" s="377" t="s">
        <v>2005</v>
      </c>
      <c r="D72" s="292" t="s">
        <v>2006</v>
      </c>
      <c r="E72" s="292" t="s">
        <v>2007</v>
      </c>
      <c r="F72" s="294">
        <v>4794</v>
      </c>
      <c r="G72" s="290" t="s">
        <v>12</v>
      </c>
      <c r="H72" s="290" t="s">
        <v>12</v>
      </c>
      <c r="I72" s="290" t="s">
        <v>12</v>
      </c>
      <c r="J72" s="294" t="s">
        <v>2008</v>
      </c>
      <c r="K72" s="294" t="s">
        <v>2009</v>
      </c>
      <c r="L72" s="294" t="s">
        <v>12</v>
      </c>
      <c r="M72" s="294" t="s">
        <v>12</v>
      </c>
      <c r="N72" s="294" t="s">
        <v>12</v>
      </c>
      <c r="O72" s="294" t="s">
        <v>2010</v>
      </c>
      <c r="P72" s="63"/>
      <c r="Q72" s="99"/>
    </row>
    <row r="73" spans="1:17" ht="60">
      <c r="A73" s="290">
        <v>15</v>
      </c>
      <c r="B73" s="377"/>
      <c r="C73" s="377"/>
      <c r="D73" s="292" t="s">
        <v>2011</v>
      </c>
      <c r="E73" s="292" t="s">
        <v>2012</v>
      </c>
      <c r="F73" s="294">
        <v>8268</v>
      </c>
      <c r="G73" s="290">
        <v>1962</v>
      </c>
      <c r="H73" s="294" t="s">
        <v>12</v>
      </c>
      <c r="I73" s="290">
        <v>1.5E-3</v>
      </c>
      <c r="J73" s="294" t="s">
        <v>2013</v>
      </c>
      <c r="K73" s="290" t="s">
        <v>343</v>
      </c>
      <c r="L73" s="294" t="s">
        <v>12</v>
      </c>
      <c r="M73" s="294" t="s">
        <v>12</v>
      </c>
      <c r="N73" s="294" t="s">
        <v>12</v>
      </c>
      <c r="O73" s="294"/>
      <c r="P73" s="63"/>
      <c r="Q73" s="99"/>
    </row>
    <row r="74" spans="1:17" ht="60">
      <c r="A74" s="290">
        <v>16</v>
      </c>
      <c r="B74" s="377"/>
      <c r="C74" s="377"/>
      <c r="D74" s="292" t="s">
        <v>2014</v>
      </c>
      <c r="E74" s="292" t="s">
        <v>2015</v>
      </c>
      <c r="F74" s="294">
        <v>23077</v>
      </c>
      <c r="G74" s="294">
        <v>1988</v>
      </c>
      <c r="H74" s="294" t="s">
        <v>12</v>
      </c>
      <c r="I74" s="290">
        <v>1.7899999999999999E-2</v>
      </c>
      <c r="J74" s="294" t="s">
        <v>2013</v>
      </c>
      <c r="K74" s="290" t="s">
        <v>343</v>
      </c>
      <c r="L74" s="294" t="s">
        <v>12</v>
      </c>
      <c r="M74" s="294" t="s">
        <v>12</v>
      </c>
      <c r="N74" s="294" t="s">
        <v>12</v>
      </c>
      <c r="O74" s="294" t="s">
        <v>2016</v>
      </c>
      <c r="P74" s="91"/>
      <c r="Q74" s="92"/>
    </row>
    <row r="75" spans="1:17">
      <c r="A75" s="505"/>
      <c r="B75" s="505"/>
      <c r="C75" s="505"/>
      <c r="D75" s="505"/>
      <c r="E75" s="505"/>
      <c r="F75" s="505"/>
      <c r="G75" s="505"/>
      <c r="H75" s="505"/>
      <c r="I75" s="505"/>
      <c r="J75" s="505"/>
      <c r="K75" s="505"/>
      <c r="L75" s="505"/>
      <c r="M75" s="505"/>
      <c r="N75" s="505"/>
      <c r="O75" s="505"/>
    </row>
    <row r="76" spans="1:17" ht="22.5">
      <c r="A76" s="432" t="s">
        <v>182</v>
      </c>
      <c r="B76" s="432"/>
      <c r="C76" s="432"/>
      <c r="D76" s="432"/>
      <c r="E76" s="432"/>
      <c r="F76" s="432"/>
      <c r="G76" s="432"/>
      <c r="H76" s="432"/>
      <c r="I76" s="432"/>
      <c r="J76" s="432"/>
      <c r="K76" s="432"/>
      <c r="L76" s="432"/>
      <c r="M76" s="432"/>
      <c r="N76" s="432"/>
      <c r="O76" s="432"/>
    </row>
    <row r="77" spans="1:17" ht="99.75">
      <c r="A77" s="20" t="s">
        <v>0</v>
      </c>
      <c r="B77" s="20" t="s">
        <v>129</v>
      </c>
      <c r="C77" s="20" t="s">
        <v>130</v>
      </c>
      <c r="D77" s="20" t="s">
        <v>61</v>
      </c>
      <c r="E77" s="20" t="s">
        <v>62</v>
      </c>
      <c r="F77" s="20" t="s">
        <v>125</v>
      </c>
      <c r="G77" s="20" t="s">
        <v>63</v>
      </c>
      <c r="H77" s="286" t="s">
        <v>126</v>
      </c>
      <c r="I77" s="20" t="s">
        <v>127</v>
      </c>
      <c r="J77" s="20" t="s">
        <v>64</v>
      </c>
      <c r="K77" s="286" t="s">
        <v>131</v>
      </c>
      <c r="L77" s="22" t="s">
        <v>65</v>
      </c>
      <c r="M77" s="22" t="s">
        <v>66</v>
      </c>
      <c r="N77" s="286" t="s">
        <v>132</v>
      </c>
      <c r="O77" s="20" t="s">
        <v>67</v>
      </c>
    </row>
    <row r="78" spans="1:17">
      <c r="A78" s="295">
        <v>1</v>
      </c>
      <c r="B78" s="295">
        <v>2</v>
      </c>
      <c r="C78" s="295">
        <v>3</v>
      </c>
      <c r="D78" s="295">
        <v>4</v>
      </c>
      <c r="E78" s="295">
        <v>5</v>
      </c>
      <c r="F78" s="295">
        <v>6</v>
      </c>
      <c r="G78" s="295">
        <v>7</v>
      </c>
      <c r="H78" s="295">
        <v>8</v>
      </c>
      <c r="I78" s="286">
        <v>9</v>
      </c>
      <c r="J78" s="295">
        <v>10</v>
      </c>
      <c r="K78" s="295">
        <v>11</v>
      </c>
      <c r="L78" s="295">
        <v>12</v>
      </c>
      <c r="M78" s="295">
        <v>13</v>
      </c>
      <c r="N78" s="295">
        <v>14</v>
      </c>
      <c r="O78" s="295">
        <v>15</v>
      </c>
    </row>
    <row r="79" spans="1:17" ht="105">
      <c r="A79" s="278">
        <v>1</v>
      </c>
      <c r="B79" s="340" t="s">
        <v>493</v>
      </c>
      <c r="C79" s="376" t="s">
        <v>494</v>
      </c>
      <c r="D79" s="279" t="s">
        <v>914</v>
      </c>
      <c r="E79" s="279" t="s">
        <v>2046</v>
      </c>
      <c r="F79" s="278" t="s">
        <v>915</v>
      </c>
      <c r="G79" s="278">
        <v>1942</v>
      </c>
      <c r="H79" s="278" t="s">
        <v>54</v>
      </c>
      <c r="I79" s="278" t="s">
        <v>54</v>
      </c>
      <c r="J79" s="278" t="s">
        <v>42</v>
      </c>
      <c r="K79" s="278"/>
      <c r="L79" s="278">
        <v>1</v>
      </c>
      <c r="M79" s="278" t="s">
        <v>54</v>
      </c>
      <c r="N79" s="278" t="s">
        <v>42</v>
      </c>
      <c r="O79" s="297"/>
    </row>
    <row r="80" spans="1:17" ht="90" hidden="1" customHeight="1">
      <c r="A80" s="278">
        <v>2</v>
      </c>
      <c r="B80" s="341"/>
      <c r="C80" s="376"/>
      <c r="D80" s="279" t="s">
        <v>2017</v>
      </c>
      <c r="E80" s="279" t="s">
        <v>916</v>
      </c>
      <c r="F80" s="278" t="s">
        <v>917</v>
      </c>
      <c r="G80" s="278" t="s">
        <v>42</v>
      </c>
      <c r="H80" s="278" t="s">
        <v>54</v>
      </c>
      <c r="I80" s="278" t="s">
        <v>42</v>
      </c>
      <c r="J80" s="278" t="s">
        <v>54</v>
      </c>
      <c r="K80" s="278" t="s">
        <v>42</v>
      </c>
      <c r="L80" s="278">
        <v>2</v>
      </c>
      <c r="M80" s="278" t="s">
        <v>54</v>
      </c>
      <c r="N80" s="278" t="s">
        <v>42</v>
      </c>
      <c r="O80" s="297"/>
    </row>
    <row r="81" spans="1:15" ht="90" customHeight="1">
      <c r="A81" s="312">
        <v>2</v>
      </c>
      <c r="B81" s="341"/>
      <c r="C81" s="376"/>
      <c r="D81" s="313" t="s">
        <v>2439</v>
      </c>
      <c r="E81" s="313" t="s">
        <v>916</v>
      </c>
      <c r="F81" s="313" t="s">
        <v>917</v>
      </c>
      <c r="G81" s="313" t="s">
        <v>42</v>
      </c>
      <c r="H81" s="313" t="s">
        <v>54</v>
      </c>
      <c r="I81" s="313" t="s">
        <v>42</v>
      </c>
      <c r="J81" s="313" t="s">
        <v>54</v>
      </c>
      <c r="K81" s="313" t="s">
        <v>42</v>
      </c>
      <c r="L81" s="313">
        <v>2</v>
      </c>
      <c r="M81" s="313" t="s">
        <v>54</v>
      </c>
      <c r="N81" s="313" t="s">
        <v>42</v>
      </c>
      <c r="O81" s="313"/>
    </row>
    <row r="82" spans="1:15" ht="75">
      <c r="A82" s="278">
        <v>3</v>
      </c>
      <c r="B82" s="341"/>
      <c r="C82" s="376"/>
      <c r="D82" s="279" t="s">
        <v>918</v>
      </c>
      <c r="E82" s="279" t="s">
        <v>2047</v>
      </c>
      <c r="F82" s="278">
        <v>1411.88</v>
      </c>
      <c r="G82" s="278">
        <v>1975</v>
      </c>
      <c r="H82" s="278" t="s">
        <v>54</v>
      </c>
      <c r="I82" s="278" t="s">
        <v>42</v>
      </c>
      <c r="J82" s="278" t="s">
        <v>54</v>
      </c>
      <c r="K82" s="278" t="s">
        <v>42</v>
      </c>
      <c r="L82" s="278">
        <v>3</v>
      </c>
      <c r="M82" s="278" t="s">
        <v>54</v>
      </c>
      <c r="N82" s="278" t="s">
        <v>42</v>
      </c>
      <c r="O82" s="297"/>
    </row>
    <row r="83" spans="1:15" ht="45">
      <c r="A83" s="278">
        <v>4</v>
      </c>
      <c r="B83" s="341"/>
      <c r="C83" s="376"/>
      <c r="D83" s="279" t="s">
        <v>919</v>
      </c>
      <c r="E83" s="279" t="s">
        <v>2047</v>
      </c>
      <c r="F83" s="278">
        <v>300</v>
      </c>
      <c r="G83" s="278">
        <v>2002</v>
      </c>
      <c r="H83" s="278" t="s">
        <v>42</v>
      </c>
      <c r="I83" s="278" t="s">
        <v>42</v>
      </c>
      <c r="J83" s="278" t="s">
        <v>42</v>
      </c>
      <c r="K83" s="278" t="s">
        <v>42</v>
      </c>
      <c r="L83" s="278" t="s">
        <v>54</v>
      </c>
      <c r="M83" s="278">
        <v>1</v>
      </c>
      <c r="N83" s="278" t="s">
        <v>42</v>
      </c>
      <c r="O83" s="297"/>
    </row>
    <row r="84" spans="1:15" ht="60">
      <c r="A84" s="312">
        <v>5</v>
      </c>
      <c r="B84" s="341"/>
      <c r="C84" s="511" t="s">
        <v>512</v>
      </c>
      <c r="D84" s="313" t="s">
        <v>571</v>
      </c>
      <c r="E84" s="312" t="s">
        <v>2440</v>
      </c>
      <c r="F84" s="312" t="s">
        <v>12</v>
      </c>
      <c r="G84" s="312" t="s">
        <v>12</v>
      </c>
      <c r="H84" s="312" t="s">
        <v>12</v>
      </c>
      <c r="I84" s="312" t="s">
        <v>12</v>
      </c>
      <c r="J84" s="312" t="s">
        <v>12</v>
      </c>
      <c r="K84" s="312" t="s">
        <v>41</v>
      </c>
      <c r="L84" s="312" t="s">
        <v>110</v>
      </c>
      <c r="M84" s="312">
        <v>1</v>
      </c>
      <c r="N84" s="312" t="s">
        <v>2441</v>
      </c>
      <c r="O84" s="312"/>
    </row>
    <row r="85" spans="1:15" ht="120">
      <c r="A85" s="312">
        <v>6</v>
      </c>
      <c r="B85" s="341"/>
      <c r="C85" s="512"/>
      <c r="D85" s="316" t="s">
        <v>539</v>
      </c>
      <c r="E85" s="239" t="s">
        <v>2442</v>
      </c>
      <c r="F85" s="239" t="s">
        <v>2443</v>
      </c>
      <c r="G85" s="67">
        <v>1963</v>
      </c>
      <c r="H85" s="67" t="s">
        <v>12</v>
      </c>
      <c r="I85" s="67" t="s">
        <v>2444</v>
      </c>
      <c r="J85" s="239" t="s">
        <v>42</v>
      </c>
      <c r="K85" s="67" t="s">
        <v>41</v>
      </c>
      <c r="L85" s="67">
        <v>3</v>
      </c>
      <c r="M85" s="67" t="s">
        <v>12</v>
      </c>
      <c r="N85" s="67" t="s">
        <v>14</v>
      </c>
      <c r="O85" s="239" t="s">
        <v>2445</v>
      </c>
    </row>
    <row r="86" spans="1:15" ht="120">
      <c r="A86" s="312">
        <v>7</v>
      </c>
      <c r="B86" s="341"/>
      <c r="C86" s="512"/>
      <c r="D86" s="316" t="s">
        <v>534</v>
      </c>
      <c r="E86" s="239" t="s">
        <v>2446</v>
      </c>
      <c r="F86" s="239" t="s">
        <v>2447</v>
      </c>
      <c r="G86" s="67">
        <v>1989</v>
      </c>
      <c r="H86" s="67" t="s">
        <v>12</v>
      </c>
      <c r="I86" s="67" t="s">
        <v>2448</v>
      </c>
      <c r="J86" s="239" t="s">
        <v>42</v>
      </c>
      <c r="K86" s="67" t="s">
        <v>41</v>
      </c>
      <c r="L86" s="67">
        <v>1</v>
      </c>
      <c r="M86" s="67" t="s">
        <v>12</v>
      </c>
      <c r="N86" s="67" t="s">
        <v>14</v>
      </c>
      <c r="O86" s="239" t="s">
        <v>2449</v>
      </c>
    </row>
    <row r="87" spans="1:15" ht="60">
      <c r="A87" s="312">
        <v>8</v>
      </c>
      <c r="B87" s="341"/>
      <c r="C87" s="512"/>
      <c r="D87" s="316" t="s">
        <v>537</v>
      </c>
      <c r="E87" s="239" t="s">
        <v>2446</v>
      </c>
      <c r="F87" s="239" t="s">
        <v>2450</v>
      </c>
      <c r="G87" s="67">
        <v>1998</v>
      </c>
      <c r="H87" s="67" t="s">
        <v>12</v>
      </c>
      <c r="I87" s="67" t="s">
        <v>2451</v>
      </c>
      <c r="J87" s="239" t="s">
        <v>42</v>
      </c>
      <c r="K87" s="67" t="s">
        <v>41</v>
      </c>
      <c r="L87" s="67">
        <v>2</v>
      </c>
      <c r="M87" s="67" t="s">
        <v>12</v>
      </c>
      <c r="N87" s="67" t="s">
        <v>14</v>
      </c>
      <c r="O87" s="239" t="s">
        <v>2452</v>
      </c>
    </row>
    <row r="88" spans="1:15" ht="150">
      <c r="A88" s="312">
        <v>9</v>
      </c>
      <c r="B88" s="341"/>
      <c r="C88" s="512"/>
      <c r="D88" s="313" t="s">
        <v>518</v>
      </c>
      <c r="E88" s="312" t="s">
        <v>546</v>
      </c>
      <c r="F88" s="312" t="s">
        <v>2453</v>
      </c>
      <c r="G88" s="312" t="s">
        <v>2453</v>
      </c>
      <c r="H88" s="312" t="s">
        <v>2454</v>
      </c>
      <c r="I88" s="312" t="s">
        <v>2453</v>
      </c>
      <c r="J88" s="312" t="s">
        <v>43</v>
      </c>
      <c r="K88" s="312" t="s">
        <v>38</v>
      </c>
      <c r="L88" s="312">
        <v>4</v>
      </c>
      <c r="M88" s="312" t="s">
        <v>38</v>
      </c>
      <c r="N88" s="312" t="s">
        <v>2453</v>
      </c>
      <c r="O88" s="312" t="s">
        <v>546</v>
      </c>
    </row>
    <row r="89" spans="1:15" ht="255">
      <c r="A89" s="312">
        <v>10</v>
      </c>
      <c r="B89" s="341"/>
      <c r="C89" s="512"/>
      <c r="D89" s="313" t="s">
        <v>518</v>
      </c>
      <c r="E89" s="312" t="s">
        <v>2455</v>
      </c>
      <c r="F89" s="312" t="s">
        <v>2456</v>
      </c>
      <c r="G89" s="312" t="s">
        <v>2050</v>
      </c>
      <c r="H89" s="312" t="s">
        <v>110</v>
      </c>
      <c r="I89" s="312" t="s">
        <v>38</v>
      </c>
      <c r="J89" s="312" t="s">
        <v>43</v>
      </c>
      <c r="K89" s="312" t="s">
        <v>38</v>
      </c>
      <c r="L89" s="312" t="s">
        <v>38</v>
      </c>
      <c r="M89" s="312">
        <v>2</v>
      </c>
      <c r="N89" s="312" t="s">
        <v>2050</v>
      </c>
      <c r="O89" s="312" t="s">
        <v>2455</v>
      </c>
    </row>
    <row r="90" spans="1:15" ht="90">
      <c r="A90" s="312">
        <v>11</v>
      </c>
      <c r="B90" s="341"/>
      <c r="C90" s="512"/>
      <c r="D90" s="313" t="s">
        <v>548</v>
      </c>
      <c r="E90" s="312" t="s">
        <v>2457</v>
      </c>
      <c r="F90" s="312" t="s">
        <v>12</v>
      </c>
      <c r="G90" s="314" t="s">
        <v>15</v>
      </c>
      <c r="H90" s="314" t="s">
        <v>15</v>
      </c>
      <c r="I90" s="314" t="s">
        <v>15</v>
      </c>
      <c r="J90" s="314" t="s">
        <v>15</v>
      </c>
      <c r="K90" s="314" t="s">
        <v>15</v>
      </c>
      <c r="L90" s="314">
        <v>5</v>
      </c>
      <c r="M90" s="314" t="s">
        <v>12</v>
      </c>
      <c r="N90" s="314" t="s">
        <v>15</v>
      </c>
      <c r="O90" s="315" t="s">
        <v>2458</v>
      </c>
    </row>
    <row r="91" spans="1:15" ht="75">
      <c r="A91" s="312">
        <v>12</v>
      </c>
      <c r="B91" s="341"/>
      <c r="C91" s="512"/>
      <c r="D91" s="313" t="s">
        <v>550</v>
      </c>
      <c r="E91" s="312" t="s">
        <v>2459</v>
      </c>
      <c r="F91" s="312" t="s">
        <v>12</v>
      </c>
      <c r="G91" s="314" t="s">
        <v>15</v>
      </c>
      <c r="H91" s="314" t="s">
        <v>15</v>
      </c>
      <c r="I91" s="314" t="s">
        <v>15</v>
      </c>
      <c r="J91" s="314" t="s">
        <v>15</v>
      </c>
      <c r="K91" s="314" t="s">
        <v>15</v>
      </c>
      <c r="L91" s="314">
        <v>6</v>
      </c>
      <c r="M91" s="314" t="s">
        <v>12</v>
      </c>
      <c r="N91" s="314" t="s">
        <v>15</v>
      </c>
      <c r="O91" s="312"/>
    </row>
    <row r="92" spans="1:15" ht="60">
      <c r="A92" s="312">
        <v>13</v>
      </c>
      <c r="B92" s="341"/>
      <c r="C92" s="512"/>
      <c r="D92" s="313" t="s">
        <v>554</v>
      </c>
      <c r="E92" s="312" t="s">
        <v>2460</v>
      </c>
      <c r="F92" s="312" t="s">
        <v>12</v>
      </c>
      <c r="G92" s="314" t="s">
        <v>15</v>
      </c>
      <c r="H92" s="314" t="s">
        <v>15</v>
      </c>
      <c r="I92" s="314" t="s">
        <v>15</v>
      </c>
      <c r="J92" s="314" t="s">
        <v>15</v>
      </c>
      <c r="K92" s="314" t="s">
        <v>15</v>
      </c>
      <c r="L92" s="314">
        <v>7</v>
      </c>
      <c r="M92" s="314" t="s">
        <v>12</v>
      </c>
      <c r="N92" s="314" t="s">
        <v>15</v>
      </c>
      <c r="O92" s="312"/>
    </row>
    <row r="93" spans="1:15" ht="60">
      <c r="A93" s="312">
        <v>14</v>
      </c>
      <c r="B93" s="341"/>
      <c r="C93" s="512"/>
      <c r="D93" s="313" t="s">
        <v>558</v>
      </c>
      <c r="E93" s="312" t="s">
        <v>2461</v>
      </c>
      <c r="F93" s="312" t="s">
        <v>12</v>
      </c>
      <c r="G93" s="314" t="s">
        <v>15</v>
      </c>
      <c r="H93" s="314" t="s">
        <v>15</v>
      </c>
      <c r="I93" s="314" t="s">
        <v>15</v>
      </c>
      <c r="J93" s="314" t="s">
        <v>15</v>
      </c>
      <c r="K93" s="314" t="s">
        <v>15</v>
      </c>
      <c r="L93" s="314">
        <v>8</v>
      </c>
      <c r="M93" s="314" t="s">
        <v>12</v>
      </c>
      <c r="N93" s="314" t="s">
        <v>15</v>
      </c>
      <c r="O93" s="312"/>
    </row>
    <row r="94" spans="1:15" ht="60">
      <c r="A94" s="312">
        <v>15</v>
      </c>
      <c r="B94" s="341"/>
      <c r="C94" s="512"/>
      <c r="D94" s="313" t="s">
        <v>2462</v>
      </c>
      <c r="E94" s="312" t="s">
        <v>2463</v>
      </c>
      <c r="F94" s="312" t="s">
        <v>12</v>
      </c>
      <c r="G94" s="314" t="s">
        <v>15</v>
      </c>
      <c r="H94" s="314" t="s">
        <v>15</v>
      </c>
      <c r="I94" s="314" t="s">
        <v>15</v>
      </c>
      <c r="J94" s="314" t="s">
        <v>15</v>
      </c>
      <c r="K94" s="314" t="s">
        <v>15</v>
      </c>
      <c r="L94" s="314">
        <v>9</v>
      </c>
      <c r="M94" s="314" t="s">
        <v>12</v>
      </c>
      <c r="N94" s="314" t="s">
        <v>15</v>
      </c>
      <c r="O94" s="312"/>
    </row>
    <row r="95" spans="1:15" ht="45">
      <c r="A95" s="312">
        <v>16</v>
      </c>
      <c r="B95" s="341"/>
      <c r="C95" s="512"/>
      <c r="D95" s="317" t="s">
        <v>2464</v>
      </c>
      <c r="E95" s="312" t="s">
        <v>2465</v>
      </c>
      <c r="F95" s="60">
        <v>35.5</v>
      </c>
      <c r="G95" s="60" t="s">
        <v>12</v>
      </c>
      <c r="H95" s="60" t="s">
        <v>12</v>
      </c>
      <c r="I95" s="60">
        <v>3.0000000000000001E-5</v>
      </c>
      <c r="J95" s="60">
        <v>0.09</v>
      </c>
      <c r="K95" s="314" t="s">
        <v>12</v>
      </c>
      <c r="L95" s="314" t="s">
        <v>12</v>
      </c>
      <c r="M95" s="314">
        <v>4</v>
      </c>
      <c r="N95" s="314" t="s">
        <v>12</v>
      </c>
      <c r="O95" s="320" t="s">
        <v>2466</v>
      </c>
    </row>
    <row r="96" spans="1:15" ht="30">
      <c r="A96" s="312">
        <v>17</v>
      </c>
      <c r="B96" s="341"/>
      <c r="C96" s="512"/>
      <c r="D96" s="317" t="s">
        <v>2467</v>
      </c>
      <c r="E96" s="312" t="s">
        <v>2468</v>
      </c>
      <c r="F96" s="60">
        <v>95</v>
      </c>
      <c r="G96" s="60" t="s">
        <v>12</v>
      </c>
      <c r="H96" s="60">
        <v>1989</v>
      </c>
      <c r="I96" s="60">
        <v>0.02</v>
      </c>
      <c r="J96" s="60">
        <v>1.29</v>
      </c>
      <c r="K96" s="314" t="s">
        <v>12</v>
      </c>
      <c r="L96" s="314" t="s">
        <v>12</v>
      </c>
      <c r="M96" s="314">
        <v>5</v>
      </c>
      <c r="N96" s="314" t="s">
        <v>12</v>
      </c>
      <c r="O96" s="320" t="s">
        <v>2466</v>
      </c>
    </row>
    <row r="97" spans="1:16" ht="45">
      <c r="A97" s="312">
        <v>18</v>
      </c>
      <c r="B97" s="341"/>
      <c r="C97" s="512"/>
      <c r="D97" s="317" t="s">
        <v>2469</v>
      </c>
      <c r="E97" s="312" t="s">
        <v>2470</v>
      </c>
      <c r="F97" s="60">
        <v>718.03</v>
      </c>
      <c r="G97" s="60" t="s">
        <v>12</v>
      </c>
      <c r="H97" s="60">
        <v>1959</v>
      </c>
      <c r="I97" s="60">
        <v>1.7299999999999999E-2</v>
      </c>
      <c r="J97" s="60">
        <v>2.67</v>
      </c>
      <c r="K97" s="314" t="s">
        <v>12</v>
      </c>
      <c r="L97" s="314" t="s">
        <v>12</v>
      </c>
      <c r="M97" s="314">
        <v>6</v>
      </c>
      <c r="N97" s="314" t="s">
        <v>12</v>
      </c>
      <c r="O97" s="320" t="s">
        <v>2466</v>
      </c>
    </row>
    <row r="98" spans="1:16" ht="30">
      <c r="A98" s="312">
        <v>19</v>
      </c>
      <c r="B98" s="341"/>
      <c r="C98" s="512"/>
      <c r="D98" s="185" t="s">
        <v>2471</v>
      </c>
      <c r="E98" s="312" t="s">
        <v>2472</v>
      </c>
      <c r="F98" s="314" t="s">
        <v>12</v>
      </c>
      <c r="G98" s="314" t="s">
        <v>12</v>
      </c>
      <c r="H98" s="183" t="s">
        <v>12</v>
      </c>
      <c r="I98" s="183" t="s">
        <v>12</v>
      </c>
      <c r="J98" s="183" t="s">
        <v>12</v>
      </c>
      <c r="K98" s="314" t="s">
        <v>12</v>
      </c>
      <c r="L98" s="314" t="s">
        <v>12</v>
      </c>
      <c r="M98" s="314">
        <v>3</v>
      </c>
      <c r="N98" s="314" t="s">
        <v>12</v>
      </c>
      <c r="O98" s="320" t="s">
        <v>2466</v>
      </c>
    </row>
    <row r="99" spans="1:16" ht="75">
      <c r="A99" s="312">
        <v>20</v>
      </c>
      <c r="B99" s="342"/>
      <c r="C99" s="513"/>
      <c r="D99" s="313" t="s">
        <v>564</v>
      </c>
      <c r="E99" s="312" t="s">
        <v>2473</v>
      </c>
      <c r="F99" s="312" t="s">
        <v>2474</v>
      </c>
      <c r="G99" s="312" t="s">
        <v>42</v>
      </c>
      <c r="H99" s="312" t="s">
        <v>42</v>
      </c>
      <c r="I99" s="312" t="s">
        <v>38</v>
      </c>
      <c r="J99" s="312" t="s">
        <v>2475</v>
      </c>
      <c r="K99" s="312" t="s">
        <v>38</v>
      </c>
      <c r="L99" s="312">
        <v>10</v>
      </c>
      <c r="M99" s="312" t="s">
        <v>38</v>
      </c>
      <c r="N99" s="312" t="s">
        <v>38</v>
      </c>
      <c r="O99" s="312"/>
    </row>
    <row r="100" spans="1:16">
      <c r="A100" s="510"/>
      <c r="B100" s="510"/>
      <c r="C100" s="510"/>
      <c r="D100" s="510"/>
      <c r="E100" s="510"/>
      <c r="F100" s="510"/>
      <c r="G100" s="510"/>
      <c r="H100" s="510"/>
      <c r="I100" s="510"/>
      <c r="J100" s="510"/>
      <c r="K100" s="510"/>
      <c r="L100" s="510"/>
      <c r="M100" s="510"/>
      <c r="N100" s="510"/>
      <c r="O100" s="510"/>
    </row>
    <row r="101" spans="1:16" ht="22.5">
      <c r="A101" s="432" t="s">
        <v>183</v>
      </c>
      <c r="B101" s="432"/>
      <c r="C101" s="432"/>
      <c r="D101" s="432"/>
      <c r="E101" s="432"/>
      <c r="F101" s="432"/>
      <c r="G101" s="432"/>
      <c r="H101" s="432"/>
      <c r="I101" s="432"/>
      <c r="J101" s="432"/>
      <c r="K101" s="432"/>
      <c r="L101" s="432"/>
      <c r="M101" s="432"/>
      <c r="N101" s="432"/>
      <c r="O101" s="432"/>
    </row>
    <row r="102" spans="1:16" ht="99.75">
      <c r="A102" s="20" t="s">
        <v>0</v>
      </c>
      <c r="B102" s="20" t="s">
        <v>129</v>
      </c>
      <c r="C102" s="20" t="s">
        <v>130</v>
      </c>
      <c r="D102" s="20" t="s">
        <v>61</v>
      </c>
      <c r="E102" s="20" t="s">
        <v>62</v>
      </c>
      <c r="F102" s="20" t="s">
        <v>125</v>
      </c>
      <c r="G102" s="20" t="s">
        <v>63</v>
      </c>
      <c r="H102" s="286" t="s">
        <v>126</v>
      </c>
      <c r="I102" s="20" t="s">
        <v>127</v>
      </c>
      <c r="J102" s="20" t="s">
        <v>64</v>
      </c>
      <c r="K102" s="286" t="s">
        <v>131</v>
      </c>
      <c r="L102" s="22" t="s">
        <v>65</v>
      </c>
      <c r="M102" s="22" t="s">
        <v>66</v>
      </c>
      <c r="N102" s="286" t="s">
        <v>132</v>
      </c>
      <c r="O102" s="20" t="s">
        <v>67</v>
      </c>
    </row>
    <row r="103" spans="1:16">
      <c r="A103" s="295">
        <v>1</v>
      </c>
      <c r="B103" s="295">
        <v>2</v>
      </c>
      <c r="C103" s="295">
        <v>3</v>
      </c>
      <c r="D103" s="295">
        <v>4</v>
      </c>
      <c r="E103" s="295">
        <v>5</v>
      </c>
      <c r="F103" s="295">
        <v>6</v>
      </c>
      <c r="G103" s="295">
        <v>7</v>
      </c>
      <c r="H103" s="295">
        <v>8</v>
      </c>
      <c r="I103" s="286">
        <v>9</v>
      </c>
      <c r="J103" s="295">
        <v>10</v>
      </c>
      <c r="K103" s="295">
        <v>11</v>
      </c>
      <c r="L103" s="295">
        <v>12</v>
      </c>
      <c r="M103" s="295">
        <v>13</v>
      </c>
      <c r="N103" s="295">
        <v>14</v>
      </c>
      <c r="O103" s="295">
        <v>15</v>
      </c>
    </row>
    <row r="104" spans="1:16" ht="60">
      <c r="A104" s="239">
        <v>1</v>
      </c>
      <c r="B104" s="283" t="s">
        <v>1801</v>
      </c>
      <c r="C104" s="283" t="s">
        <v>1802</v>
      </c>
      <c r="D104" s="283" t="s">
        <v>1803</v>
      </c>
      <c r="E104" s="283" t="s">
        <v>1803</v>
      </c>
      <c r="F104" s="239">
        <v>12648.91</v>
      </c>
      <c r="G104" s="239" t="s">
        <v>1804</v>
      </c>
      <c r="H104" s="239" t="s">
        <v>1878</v>
      </c>
      <c r="I104" s="239" t="s">
        <v>15</v>
      </c>
      <c r="J104" s="239" t="s">
        <v>1805</v>
      </c>
      <c r="K104" s="239" t="s">
        <v>15</v>
      </c>
      <c r="L104" s="239">
        <v>1</v>
      </c>
      <c r="M104" s="239" t="s">
        <v>15</v>
      </c>
      <c r="N104" s="239" t="s">
        <v>1806</v>
      </c>
      <c r="O104" s="239" t="s">
        <v>15</v>
      </c>
    </row>
    <row r="105" spans="1:16" ht="60">
      <c r="A105" s="239">
        <v>2</v>
      </c>
      <c r="B105" s="283" t="s">
        <v>1801</v>
      </c>
      <c r="C105" s="283" t="s">
        <v>1802</v>
      </c>
      <c r="D105" s="283" t="s">
        <v>1808</v>
      </c>
      <c r="E105" s="283" t="s">
        <v>1808</v>
      </c>
      <c r="F105" s="239">
        <v>10796.14</v>
      </c>
      <c r="G105" s="239" t="s">
        <v>1809</v>
      </c>
      <c r="H105" s="278" t="s">
        <v>15</v>
      </c>
      <c r="I105" s="239">
        <v>0.18</v>
      </c>
      <c r="J105" s="239" t="s">
        <v>1810</v>
      </c>
      <c r="K105" s="239" t="s">
        <v>15</v>
      </c>
      <c r="L105" s="239">
        <v>2</v>
      </c>
      <c r="M105" s="239" t="s">
        <v>15</v>
      </c>
      <c r="N105" s="239" t="s">
        <v>15</v>
      </c>
      <c r="O105" s="239" t="s">
        <v>15</v>
      </c>
    </row>
    <row r="106" spans="1:16" s="103" customFormat="1">
      <c r="A106" s="505"/>
      <c r="B106" s="505"/>
      <c r="C106" s="505"/>
      <c r="D106" s="505"/>
      <c r="E106" s="505"/>
      <c r="F106" s="505"/>
      <c r="G106" s="505"/>
      <c r="H106" s="505"/>
      <c r="I106" s="505"/>
      <c r="J106" s="505"/>
      <c r="K106" s="505"/>
      <c r="L106" s="505"/>
      <c r="M106" s="505"/>
      <c r="N106" s="505"/>
      <c r="O106" s="505"/>
      <c r="P106" s="102"/>
    </row>
    <row r="107" spans="1:16" s="103" customFormat="1" ht="22.5">
      <c r="A107" s="504" t="s">
        <v>184</v>
      </c>
      <c r="B107" s="504"/>
      <c r="C107" s="504"/>
      <c r="D107" s="504"/>
      <c r="E107" s="504"/>
      <c r="F107" s="504"/>
      <c r="G107" s="504"/>
      <c r="H107" s="504"/>
      <c r="I107" s="504"/>
      <c r="J107" s="504"/>
      <c r="K107" s="504"/>
      <c r="L107" s="504"/>
      <c r="M107" s="504"/>
      <c r="N107" s="504"/>
      <c r="O107" s="504"/>
      <c r="P107" s="102"/>
    </row>
    <row r="108" spans="1:16" s="103" customFormat="1" ht="99.75">
      <c r="A108" s="20" t="s">
        <v>0</v>
      </c>
      <c r="B108" s="20" t="s">
        <v>129</v>
      </c>
      <c r="C108" s="20" t="s">
        <v>130</v>
      </c>
      <c r="D108" s="20" t="s">
        <v>61</v>
      </c>
      <c r="E108" s="20" t="s">
        <v>62</v>
      </c>
      <c r="F108" s="20" t="s">
        <v>125</v>
      </c>
      <c r="G108" s="20" t="s">
        <v>63</v>
      </c>
      <c r="H108" s="286" t="s">
        <v>126</v>
      </c>
      <c r="I108" s="20" t="s">
        <v>127</v>
      </c>
      <c r="J108" s="20" t="s">
        <v>64</v>
      </c>
      <c r="K108" s="286" t="s">
        <v>131</v>
      </c>
      <c r="L108" s="22" t="s">
        <v>65</v>
      </c>
      <c r="M108" s="22" t="s">
        <v>66</v>
      </c>
      <c r="N108" s="286" t="s">
        <v>132</v>
      </c>
      <c r="O108" s="20" t="s">
        <v>67</v>
      </c>
      <c r="P108" s="102"/>
    </row>
    <row r="109" spans="1:16" s="103" customFormat="1">
      <c r="A109" s="295">
        <v>1</v>
      </c>
      <c r="B109" s="295">
        <v>2</v>
      </c>
      <c r="C109" s="295">
        <v>3</v>
      </c>
      <c r="D109" s="295">
        <v>4</v>
      </c>
      <c r="E109" s="295">
        <v>5</v>
      </c>
      <c r="F109" s="295">
        <v>6</v>
      </c>
      <c r="G109" s="295">
        <v>7</v>
      </c>
      <c r="H109" s="295">
        <v>8</v>
      </c>
      <c r="I109" s="286">
        <v>9</v>
      </c>
      <c r="J109" s="295">
        <v>10</v>
      </c>
      <c r="K109" s="295">
        <v>11</v>
      </c>
      <c r="L109" s="295">
        <v>12</v>
      </c>
      <c r="M109" s="295">
        <v>13</v>
      </c>
      <c r="N109" s="295">
        <v>14</v>
      </c>
      <c r="O109" s="295">
        <v>15</v>
      </c>
      <c r="P109" s="102"/>
    </row>
    <row r="110" spans="1:16" s="103" customFormat="1" ht="45">
      <c r="A110" s="284">
        <v>1</v>
      </c>
      <c r="B110" s="301" t="s">
        <v>584</v>
      </c>
      <c r="C110" s="301" t="s">
        <v>585</v>
      </c>
      <c r="D110" s="301" t="s">
        <v>2147</v>
      </c>
      <c r="E110" s="301" t="s">
        <v>920</v>
      </c>
      <c r="F110" s="284" t="s">
        <v>921</v>
      </c>
      <c r="G110" s="284" t="s">
        <v>922</v>
      </c>
      <c r="H110" s="284">
        <v>2003</v>
      </c>
      <c r="I110" s="284" t="s">
        <v>923</v>
      </c>
      <c r="J110" s="284" t="s">
        <v>924</v>
      </c>
      <c r="K110" s="284" t="s">
        <v>12</v>
      </c>
      <c r="L110" s="284" t="s">
        <v>925</v>
      </c>
      <c r="M110" s="284">
        <v>1</v>
      </c>
      <c r="N110" s="284" t="s">
        <v>926</v>
      </c>
      <c r="O110" s="284"/>
      <c r="P110" s="102"/>
    </row>
    <row r="111" spans="1:16" s="103" customFormat="1">
      <c r="A111" s="505"/>
      <c r="B111" s="505"/>
      <c r="C111" s="505"/>
      <c r="D111" s="505"/>
      <c r="E111" s="505"/>
      <c r="F111" s="505"/>
      <c r="G111" s="505"/>
      <c r="H111" s="505"/>
      <c r="I111" s="505"/>
      <c r="J111" s="505"/>
      <c r="K111" s="505"/>
      <c r="L111" s="505"/>
      <c r="M111" s="505"/>
      <c r="N111" s="505"/>
      <c r="O111" s="505"/>
      <c r="P111" s="102"/>
    </row>
    <row r="112" spans="1:16" s="105" customFormat="1" ht="22.5">
      <c r="A112" s="504" t="s">
        <v>185</v>
      </c>
      <c r="B112" s="504"/>
      <c r="C112" s="504"/>
      <c r="D112" s="504"/>
      <c r="E112" s="504"/>
      <c r="F112" s="504"/>
      <c r="G112" s="504"/>
      <c r="H112" s="504"/>
      <c r="I112" s="504"/>
      <c r="J112" s="504"/>
      <c r="K112" s="504"/>
      <c r="L112" s="504"/>
      <c r="M112" s="504"/>
      <c r="N112" s="504"/>
      <c r="O112" s="504"/>
      <c r="P112" s="104"/>
    </row>
    <row r="113" spans="1:16" s="105" customFormat="1" ht="99.75">
      <c r="A113" s="20" t="s">
        <v>0</v>
      </c>
      <c r="B113" s="20" t="s">
        <v>129</v>
      </c>
      <c r="C113" s="20" t="s">
        <v>130</v>
      </c>
      <c r="D113" s="20" t="s">
        <v>61</v>
      </c>
      <c r="E113" s="20" t="s">
        <v>62</v>
      </c>
      <c r="F113" s="20" t="s">
        <v>125</v>
      </c>
      <c r="G113" s="20" t="s">
        <v>63</v>
      </c>
      <c r="H113" s="286" t="s">
        <v>126</v>
      </c>
      <c r="I113" s="20" t="s">
        <v>127</v>
      </c>
      <c r="J113" s="20" t="s">
        <v>64</v>
      </c>
      <c r="K113" s="286" t="s">
        <v>131</v>
      </c>
      <c r="L113" s="22" t="s">
        <v>65</v>
      </c>
      <c r="M113" s="22" t="s">
        <v>66</v>
      </c>
      <c r="N113" s="286" t="s">
        <v>132</v>
      </c>
      <c r="O113" s="20" t="s">
        <v>67</v>
      </c>
      <c r="P113" s="104"/>
    </row>
    <row r="114" spans="1:16" s="105" customFormat="1">
      <c r="A114" s="295">
        <v>1</v>
      </c>
      <c r="B114" s="295">
        <v>2</v>
      </c>
      <c r="C114" s="295">
        <v>3</v>
      </c>
      <c r="D114" s="295">
        <v>4</v>
      </c>
      <c r="E114" s="295">
        <v>5</v>
      </c>
      <c r="F114" s="295">
        <v>6</v>
      </c>
      <c r="G114" s="295">
        <v>7</v>
      </c>
      <c r="H114" s="295">
        <v>8</v>
      </c>
      <c r="I114" s="286">
        <v>9</v>
      </c>
      <c r="J114" s="295">
        <v>10</v>
      </c>
      <c r="K114" s="295">
        <v>11</v>
      </c>
      <c r="L114" s="295">
        <v>12</v>
      </c>
      <c r="M114" s="295">
        <v>13</v>
      </c>
      <c r="N114" s="295">
        <v>14</v>
      </c>
      <c r="O114" s="295">
        <v>15</v>
      </c>
      <c r="P114" s="104"/>
    </row>
    <row r="115" spans="1:16" s="105" customFormat="1" ht="274.5" customHeight="1">
      <c r="A115" s="203">
        <v>1</v>
      </c>
      <c r="B115" s="231" t="s">
        <v>600</v>
      </c>
      <c r="C115" s="231" t="s">
        <v>645</v>
      </c>
      <c r="D115" s="292" t="s">
        <v>927</v>
      </c>
      <c r="E115" s="203" t="s">
        <v>928</v>
      </c>
      <c r="F115" s="292" t="s">
        <v>2165</v>
      </c>
      <c r="G115" s="203" t="s">
        <v>929</v>
      </c>
      <c r="H115" s="278" t="s">
        <v>39</v>
      </c>
      <c r="I115" s="203" t="s">
        <v>43</v>
      </c>
      <c r="J115" s="215" t="s">
        <v>56</v>
      </c>
      <c r="K115" s="284" t="s">
        <v>13</v>
      </c>
      <c r="L115" s="278" t="s">
        <v>172</v>
      </c>
      <c r="M115" s="278">
        <v>1</v>
      </c>
      <c r="N115" s="65" t="s">
        <v>15</v>
      </c>
      <c r="O115" s="219" t="s">
        <v>768</v>
      </c>
      <c r="P115" s="104"/>
    </row>
    <row r="116" spans="1:16" s="101" customFormat="1" ht="135">
      <c r="A116" s="203">
        <v>2</v>
      </c>
      <c r="B116" s="231" t="s">
        <v>600</v>
      </c>
      <c r="C116" s="301" t="s">
        <v>2166</v>
      </c>
      <c r="D116" s="216" t="s">
        <v>769</v>
      </c>
      <c r="E116" s="284" t="s">
        <v>930</v>
      </c>
      <c r="F116" s="204">
        <v>1251</v>
      </c>
      <c r="G116" s="204">
        <v>1968</v>
      </c>
      <c r="H116" s="204">
        <v>1.86</v>
      </c>
      <c r="I116" s="284" t="s">
        <v>13</v>
      </c>
      <c r="J116" s="284" t="s">
        <v>770</v>
      </c>
      <c r="K116" s="284" t="s">
        <v>13</v>
      </c>
      <c r="L116" s="284" t="s">
        <v>172</v>
      </c>
      <c r="M116" s="284">
        <v>2</v>
      </c>
      <c r="N116" s="65" t="s">
        <v>15</v>
      </c>
      <c r="O116" s="216" t="s">
        <v>771</v>
      </c>
      <c r="P116" s="100"/>
    </row>
    <row r="117" spans="1:16" s="101" customFormat="1" ht="90">
      <c r="A117" s="278">
        <v>3</v>
      </c>
      <c r="B117" s="231" t="s">
        <v>600</v>
      </c>
      <c r="C117" s="301" t="s">
        <v>2166</v>
      </c>
      <c r="D117" s="292" t="s">
        <v>931</v>
      </c>
      <c r="E117" s="294" t="s">
        <v>932</v>
      </c>
      <c r="F117" s="278">
        <v>81</v>
      </c>
      <c r="G117" s="278">
        <v>1914</v>
      </c>
      <c r="H117" s="278" t="s">
        <v>13</v>
      </c>
      <c r="I117" s="278">
        <v>1.818E-4</v>
      </c>
      <c r="J117" s="292" t="s">
        <v>933</v>
      </c>
      <c r="K117" s="284" t="s">
        <v>13</v>
      </c>
      <c r="L117" s="284" t="s">
        <v>172</v>
      </c>
      <c r="M117" s="278">
        <v>3</v>
      </c>
      <c r="N117" s="65" t="s">
        <v>15</v>
      </c>
      <c r="O117" s="292" t="s">
        <v>934</v>
      </c>
      <c r="P117" s="100"/>
    </row>
    <row r="118" spans="1:16" s="101" customFormat="1" ht="45">
      <c r="A118" s="294">
        <v>4</v>
      </c>
      <c r="B118" s="31" t="s">
        <v>697</v>
      </c>
      <c r="C118" s="31" t="s">
        <v>774</v>
      </c>
      <c r="D118" s="31" t="s">
        <v>775</v>
      </c>
      <c r="E118" s="65" t="s">
        <v>596</v>
      </c>
      <c r="F118" s="65" t="s">
        <v>43</v>
      </c>
      <c r="G118" s="65" t="s">
        <v>699</v>
      </c>
      <c r="H118" s="65" t="s">
        <v>172</v>
      </c>
      <c r="I118" s="287" t="s">
        <v>776</v>
      </c>
      <c r="J118" s="65" t="s">
        <v>15</v>
      </c>
      <c r="K118" s="65" t="s">
        <v>15</v>
      </c>
      <c r="L118" s="65" t="s">
        <v>172</v>
      </c>
      <c r="M118" s="278">
        <v>4</v>
      </c>
      <c r="N118" s="65" t="s">
        <v>172</v>
      </c>
      <c r="O118" s="292"/>
      <c r="P118" s="100"/>
    </row>
    <row r="119" spans="1:16" s="101" customFormat="1" ht="300">
      <c r="A119" s="278">
        <v>5</v>
      </c>
      <c r="B119" s="231" t="s">
        <v>600</v>
      </c>
      <c r="C119" s="344" t="s">
        <v>2167</v>
      </c>
      <c r="D119" s="292" t="s">
        <v>692</v>
      </c>
      <c r="E119" s="278" t="s">
        <v>935</v>
      </c>
      <c r="F119" s="278">
        <v>62.98</v>
      </c>
      <c r="G119" s="278" t="s">
        <v>12</v>
      </c>
      <c r="H119" s="278">
        <v>1963</v>
      </c>
      <c r="I119" s="294" t="s">
        <v>693</v>
      </c>
      <c r="J119" s="284" t="s">
        <v>936</v>
      </c>
      <c r="K119" s="284" t="s">
        <v>12</v>
      </c>
      <c r="L119" s="284">
        <v>1</v>
      </c>
      <c r="M119" s="284" t="s">
        <v>172</v>
      </c>
      <c r="N119" s="284" t="s">
        <v>937</v>
      </c>
      <c r="O119" s="292" t="s">
        <v>696</v>
      </c>
      <c r="P119" s="100"/>
    </row>
    <row r="120" spans="1:16" s="101" customFormat="1" ht="45">
      <c r="A120" s="294">
        <v>6</v>
      </c>
      <c r="B120" s="231" t="s">
        <v>600</v>
      </c>
      <c r="C120" s="344"/>
      <c r="D120" s="292" t="s">
        <v>698</v>
      </c>
      <c r="E120" s="294" t="s">
        <v>938</v>
      </c>
      <c r="F120" s="294">
        <v>135</v>
      </c>
      <c r="G120" s="294" t="s">
        <v>43</v>
      </c>
      <c r="H120" s="294" t="s">
        <v>12</v>
      </c>
      <c r="I120" s="294">
        <v>5.2999999999999999E-2</v>
      </c>
      <c r="J120" s="294"/>
      <c r="K120" s="284" t="s">
        <v>13</v>
      </c>
      <c r="L120" s="294">
        <v>2</v>
      </c>
      <c r="M120" s="294" t="s">
        <v>172</v>
      </c>
      <c r="N120" s="294" t="s">
        <v>15</v>
      </c>
      <c r="O120" s="294" t="s">
        <v>15</v>
      </c>
      <c r="P120" s="100"/>
    </row>
    <row r="121" spans="1:16" s="101" customFormat="1" ht="45">
      <c r="A121" s="294">
        <v>7</v>
      </c>
      <c r="B121" s="231" t="s">
        <v>600</v>
      </c>
      <c r="C121" s="344"/>
      <c r="D121" s="292" t="s">
        <v>939</v>
      </c>
      <c r="E121" s="294" t="s">
        <v>940</v>
      </c>
      <c r="F121" s="7" t="s">
        <v>941</v>
      </c>
      <c r="G121" s="294">
        <v>1942</v>
      </c>
      <c r="H121" s="294" t="s">
        <v>54</v>
      </c>
      <c r="I121" s="294" t="s">
        <v>54</v>
      </c>
      <c r="J121" s="294" t="s">
        <v>54</v>
      </c>
      <c r="K121" s="294" t="s">
        <v>54</v>
      </c>
      <c r="L121" s="294">
        <v>3</v>
      </c>
      <c r="M121" s="294" t="s">
        <v>58</v>
      </c>
      <c r="N121" s="208"/>
      <c r="O121" s="7"/>
      <c r="P121" s="100"/>
    </row>
    <row r="122" spans="1:16" s="101" customFormat="1" ht="45">
      <c r="A122" s="294">
        <v>8</v>
      </c>
      <c r="B122" s="231" t="s">
        <v>600</v>
      </c>
      <c r="C122" s="344"/>
      <c r="D122" s="292" t="s">
        <v>942</v>
      </c>
      <c r="E122" s="294" t="s">
        <v>601</v>
      </c>
      <c r="F122" s="294">
        <v>250</v>
      </c>
      <c r="G122" s="43" t="s">
        <v>15</v>
      </c>
      <c r="H122" s="43" t="s">
        <v>15</v>
      </c>
      <c r="I122" s="215">
        <v>0.03</v>
      </c>
      <c r="J122" s="43" t="s">
        <v>15</v>
      </c>
      <c r="K122" s="284" t="s">
        <v>13</v>
      </c>
      <c r="L122" s="43">
        <v>4</v>
      </c>
      <c r="M122" s="294" t="s">
        <v>172</v>
      </c>
      <c r="N122" s="43" t="s">
        <v>15</v>
      </c>
      <c r="O122" s="43" t="s">
        <v>15</v>
      </c>
      <c r="P122" s="100"/>
    </row>
    <row r="123" spans="1:16" s="101" customFormat="1" ht="45">
      <c r="A123" s="294">
        <v>9</v>
      </c>
      <c r="B123" s="231" t="s">
        <v>600</v>
      </c>
      <c r="C123" s="344"/>
      <c r="D123" s="292" t="s">
        <v>943</v>
      </c>
      <c r="E123" s="294" t="s">
        <v>944</v>
      </c>
      <c r="F123" s="294">
        <v>130</v>
      </c>
      <c r="G123" s="43" t="s">
        <v>15</v>
      </c>
      <c r="H123" s="43" t="s">
        <v>15</v>
      </c>
      <c r="I123" s="215">
        <v>0.1888</v>
      </c>
      <c r="J123" s="43" t="s">
        <v>15</v>
      </c>
      <c r="K123" s="284" t="s">
        <v>13</v>
      </c>
      <c r="L123" s="43">
        <v>5</v>
      </c>
      <c r="M123" s="294" t="s">
        <v>172</v>
      </c>
      <c r="N123" s="43" t="s">
        <v>15</v>
      </c>
      <c r="O123" s="43" t="s">
        <v>15</v>
      </c>
      <c r="P123" s="100"/>
    </row>
    <row r="124" spans="1:16" s="101" customFormat="1" ht="45">
      <c r="A124" s="294">
        <v>10</v>
      </c>
      <c r="B124" s="231" t="s">
        <v>600</v>
      </c>
      <c r="C124" s="344"/>
      <c r="D124" s="31" t="s">
        <v>945</v>
      </c>
      <c r="E124" s="65" t="s">
        <v>603</v>
      </c>
      <c r="F124" s="65">
        <v>809</v>
      </c>
      <c r="G124" s="65" t="s">
        <v>707</v>
      </c>
      <c r="H124" s="65" t="s">
        <v>13</v>
      </c>
      <c r="I124" s="65" t="s">
        <v>13</v>
      </c>
      <c r="J124" s="65" t="s">
        <v>946</v>
      </c>
      <c r="K124" s="65" t="s">
        <v>780</v>
      </c>
      <c r="L124" s="65" t="s">
        <v>172</v>
      </c>
      <c r="M124" s="65">
        <v>5</v>
      </c>
      <c r="N124" s="65" t="s">
        <v>780</v>
      </c>
      <c r="O124" s="65" t="s">
        <v>58</v>
      </c>
      <c r="P124" s="100"/>
    </row>
    <row r="125" spans="1:16" s="101" customFormat="1" ht="45">
      <c r="A125" s="278">
        <v>11</v>
      </c>
      <c r="B125" s="301" t="s">
        <v>739</v>
      </c>
      <c r="C125" s="344"/>
      <c r="D125" s="301" t="s">
        <v>782</v>
      </c>
      <c r="E125" s="284">
        <v>1900</v>
      </c>
      <c r="F125" s="284" t="s">
        <v>745</v>
      </c>
      <c r="G125" s="284" t="s">
        <v>37</v>
      </c>
      <c r="H125" s="284" t="s">
        <v>37</v>
      </c>
      <c r="I125" s="284" t="s">
        <v>743</v>
      </c>
      <c r="J125" s="284" t="s">
        <v>37</v>
      </c>
      <c r="K125" s="284" t="s">
        <v>37</v>
      </c>
      <c r="L125" s="294" t="s">
        <v>172</v>
      </c>
      <c r="M125" s="284">
        <v>6</v>
      </c>
      <c r="N125" s="284"/>
      <c r="O125" s="284" t="s">
        <v>172</v>
      </c>
      <c r="P125" s="100"/>
    </row>
    <row r="126" spans="1:16" s="101" customFormat="1" ht="45">
      <c r="A126" s="294">
        <v>12</v>
      </c>
      <c r="B126" s="231" t="s">
        <v>600</v>
      </c>
      <c r="C126" s="344"/>
      <c r="D126" s="292" t="s">
        <v>947</v>
      </c>
      <c r="E126" s="294" t="s">
        <v>603</v>
      </c>
      <c r="F126" s="294">
        <v>1214</v>
      </c>
      <c r="G126" s="294" t="s">
        <v>707</v>
      </c>
      <c r="H126" s="294" t="s">
        <v>13</v>
      </c>
      <c r="I126" s="294" t="s">
        <v>13</v>
      </c>
      <c r="J126" s="294" t="s">
        <v>946</v>
      </c>
      <c r="K126" s="294" t="s">
        <v>780</v>
      </c>
      <c r="L126" s="294">
        <v>6</v>
      </c>
      <c r="M126" s="229" t="s">
        <v>172</v>
      </c>
      <c r="N126" s="294" t="s">
        <v>780</v>
      </c>
      <c r="O126" s="294" t="s">
        <v>58</v>
      </c>
      <c r="P126" s="100"/>
    </row>
    <row r="127" spans="1:16" s="101" customFormat="1" ht="45">
      <c r="A127" s="284">
        <v>13</v>
      </c>
      <c r="B127" s="231" t="s">
        <v>600</v>
      </c>
      <c r="C127" s="344"/>
      <c r="D127" s="292" t="s">
        <v>948</v>
      </c>
      <c r="E127" s="294" t="s">
        <v>603</v>
      </c>
      <c r="F127" s="294">
        <v>2491.6</v>
      </c>
      <c r="G127" s="294" t="s">
        <v>707</v>
      </c>
      <c r="H127" s="294" t="s">
        <v>13</v>
      </c>
      <c r="I127" s="294" t="s">
        <v>13</v>
      </c>
      <c r="J127" s="294" t="s">
        <v>946</v>
      </c>
      <c r="K127" s="294" t="s">
        <v>780</v>
      </c>
      <c r="L127" s="294">
        <v>7</v>
      </c>
      <c r="M127" s="229" t="s">
        <v>172</v>
      </c>
      <c r="N127" s="294" t="s">
        <v>780</v>
      </c>
      <c r="O127" s="229" t="s">
        <v>172</v>
      </c>
      <c r="P127" s="100"/>
    </row>
    <row r="128" spans="1:16" s="101" customFormat="1" ht="84.75" customHeight="1">
      <c r="A128" s="284">
        <v>14</v>
      </c>
      <c r="B128" s="231" t="s">
        <v>600</v>
      </c>
      <c r="C128" s="344"/>
      <c r="D128" s="301" t="s">
        <v>709</v>
      </c>
      <c r="E128" s="284" t="s">
        <v>623</v>
      </c>
      <c r="F128" s="284" t="s">
        <v>949</v>
      </c>
      <c r="G128" s="120" t="s">
        <v>49</v>
      </c>
      <c r="H128" s="120" t="s">
        <v>49</v>
      </c>
      <c r="I128" s="284">
        <v>1204</v>
      </c>
      <c r="J128" s="120" t="s">
        <v>49</v>
      </c>
      <c r="K128" s="284" t="s">
        <v>13</v>
      </c>
      <c r="L128" s="120">
        <v>8</v>
      </c>
      <c r="M128" s="284" t="s">
        <v>172</v>
      </c>
      <c r="N128" s="223" t="s">
        <v>49</v>
      </c>
      <c r="O128" s="223" t="s">
        <v>49</v>
      </c>
      <c r="P128" s="100"/>
    </row>
    <row r="129" spans="1:16" s="101" customFormat="1" ht="103.5" customHeight="1">
      <c r="A129" s="284">
        <v>15</v>
      </c>
      <c r="B129" s="231" t="s">
        <v>600</v>
      </c>
      <c r="C129" s="344"/>
      <c r="D129" s="301" t="s">
        <v>712</v>
      </c>
      <c r="E129" s="61" t="s">
        <v>623</v>
      </c>
      <c r="F129" s="284" t="s">
        <v>713</v>
      </c>
      <c r="G129" s="120" t="s">
        <v>49</v>
      </c>
      <c r="H129" s="120" t="s">
        <v>49</v>
      </c>
      <c r="I129" s="284">
        <v>7.0000000000000007E-2</v>
      </c>
      <c r="J129" s="120" t="s">
        <v>49</v>
      </c>
      <c r="K129" s="284" t="s">
        <v>13</v>
      </c>
      <c r="L129" s="120">
        <v>9</v>
      </c>
      <c r="M129" s="284" t="s">
        <v>172</v>
      </c>
      <c r="N129" s="223" t="s">
        <v>49</v>
      </c>
      <c r="O129" s="223" t="s">
        <v>49</v>
      </c>
      <c r="P129" s="100"/>
    </row>
    <row r="130" spans="1:16" ht="150">
      <c r="A130" s="284">
        <v>16</v>
      </c>
      <c r="B130" s="231" t="s">
        <v>600</v>
      </c>
      <c r="C130" s="344"/>
      <c r="D130" s="46" t="s">
        <v>783</v>
      </c>
      <c r="E130" s="284" t="s">
        <v>648</v>
      </c>
      <c r="F130" s="284" t="s">
        <v>39</v>
      </c>
      <c r="G130" s="284" t="s">
        <v>950</v>
      </c>
      <c r="H130" s="284" t="s">
        <v>39</v>
      </c>
      <c r="I130" s="284" t="s">
        <v>39</v>
      </c>
      <c r="J130" s="284" t="s">
        <v>39</v>
      </c>
      <c r="K130" s="284" t="s">
        <v>13</v>
      </c>
      <c r="L130" s="284" t="s">
        <v>172</v>
      </c>
      <c r="M130" s="284">
        <v>7</v>
      </c>
      <c r="N130" s="120" t="s">
        <v>49</v>
      </c>
      <c r="O130" s="230" t="s">
        <v>2156</v>
      </c>
    </row>
    <row r="131" spans="1:16" ht="90">
      <c r="A131" s="278">
        <v>17</v>
      </c>
      <c r="B131" s="231" t="s">
        <v>600</v>
      </c>
      <c r="C131" s="344"/>
      <c r="D131" s="216" t="s">
        <v>785</v>
      </c>
      <c r="E131" s="204" t="s">
        <v>951</v>
      </c>
      <c r="F131" s="284" t="s">
        <v>39</v>
      </c>
      <c r="G131" s="284" t="s">
        <v>786</v>
      </c>
      <c r="H131" s="284" t="s">
        <v>786</v>
      </c>
      <c r="I131" s="284" t="s">
        <v>39</v>
      </c>
      <c r="J131" s="284" t="s">
        <v>39</v>
      </c>
      <c r="K131" s="284" t="s">
        <v>13</v>
      </c>
      <c r="L131" s="284" t="s">
        <v>172</v>
      </c>
      <c r="M131" s="284">
        <v>8</v>
      </c>
      <c r="N131" s="120" t="s">
        <v>49</v>
      </c>
      <c r="O131" s="216" t="s">
        <v>787</v>
      </c>
    </row>
    <row r="132" spans="1:16" ht="105">
      <c r="A132" s="278">
        <v>18</v>
      </c>
      <c r="B132" s="231" t="s">
        <v>600</v>
      </c>
      <c r="C132" s="344"/>
      <c r="D132" s="216" t="s">
        <v>714</v>
      </c>
      <c r="E132" s="204" t="s">
        <v>952</v>
      </c>
      <c r="F132" s="278" t="s">
        <v>39</v>
      </c>
      <c r="G132" s="284" t="s">
        <v>40</v>
      </c>
      <c r="H132" s="284" t="s">
        <v>40</v>
      </c>
      <c r="I132" s="284" t="s">
        <v>40</v>
      </c>
      <c r="J132" s="284" t="s">
        <v>40</v>
      </c>
      <c r="K132" s="284" t="s">
        <v>13</v>
      </c>
      <c r="L132" s="278">
        <v>10</v>
      </c>
      <c r="M132" s="278" t="s">
        <v>172</v>
      </c>
      <c r="N132" s="120" t="s">
        <v>49</v>
      </c>
      <c r="O132" s="216" t="s">
        <v>953</v>
      </c>
    </row>
    <row r="133" spans="1:16" ht="105">
      <c r="A133" s="278">
        <v>19</v>
      </c>
      <c r="B133" s="231" t="s">
        <v>600</v>
      </c>
      <c r="C133" s="344"/>
      <c r="D133" s="216" t="s">
        <v>716</v>
      </c>
      <c r="E133" s="204" t="s">
        <v>952</v>
      </c>
      <c r="F133" s="278" t="s">
        <v>39</v>
      </c>
      <c r="G133" s="284" t="s">
        <v>40</v>
      </c>
      <c r="H133" s="284" t="s">
        <v>40</v>
      </c>
      <c r="I133" s="284" t="s">
        <v>40</v>
      </c>
      <c r="J133" s="284" t="s">
        <v>40</v>
      </c>
      <c r="K133" s="284" t="s">
        <v>13</v>
      </c>
      <c r="L133" s="278">
        <v>11</v>
      </c>
      <c r="M133" s="278" t="s">
        <v>172</v>
      </c>
      <c r="N133" s="120" t="s">
        <v>49</v>
      </c>
      <c r="O133" s="216" t="s">
        <v>953</v>
      </c>
    </row>
    <row r="134" spans="1:16" s="106" customFormat="1" ht="84" customHeight="1">
      <c r="A134" s="278">
        <v>20</v>
      </c>
      <c r="B134" s="231" t="s">
        <v>600</v>
      </c>
      <c r="C134" s="344"/>
      <c r="D134" s="46" t="s">
        <v>718</v>
      </c>
      <c r="E134" s="278" t="s">
        <v>954</v>
      </c>
      <c r="F134" s="278" t="s">
        <v>39</v>
      </c>
      <c r="G134" s="278" t="s">
        <v>39</v>
      </c>
      <c r="H134" s="278" t="s">
        <v>39</v>
      </c>
      <c r="I134" s="278" t="s">
        <v>39</v>
      </c>
      <c r="J134" s="278" t="s">
        <v>39</v>
      </c>
      <c r="K134" s="284" t="s">
        <v>13</v>
      </c>
      <c r="L134" s="278">
        <v>12</v>
      </c>
      <c r="M134" s="278" t="s">
        <v>172</v>
      </c>
      <c r="N134" s="120" t="s">
        <v>49</v>
      </c>
      <c r="O134" s="218" t="s">
        <v>2157</v>
      </c>
    </row>
    <row r="135" spans="1:16" s="106" customFormat="1" ht="133.5">
      <c r="A135" s="278">
        <v>21</v>
      </c>
      <c r="B135" s="231" t="s">
        <v>600</v>
      </c>
      <c r="C135" s="344"/>
      <c r="D135" s="46" t="s">
        <v>719</v>
      </c>
      <c r="E135" s="278" t="s">
        <v>955</v>
      </c>
      <c r="F135" s="278" t="s">
        <v>39</v>
      </c>
      <c r="G135" s="278" t="s">
        <v>39</v>
      </c>
      <c r="H135" s="278" t="s">
        <v>39</v>
      </c>
      <c r="I135" s="278" t="s">
        <v>39</v>
      </c>
      <c r="J135" s="278" t="s">
        <v>39</v>
      </c>
      <c r="K135" s="284" t="s">
        <v>13</v>
      </c>
      <c r="L135" s="278">
        <v>13</v>
      </c>
      <c r="M135" s="278" t="s">
        <v>172</v>
      </c>
      <c r="N135" s="120" t="s">
        <v>49</v>
      </c>
      <c r="O135" s="217" t="s">
        <v>2158</v>
      </c>
    </row>
    <row r="136" spans="1:16" customFormat="1" ht="133.5">
      <c r="A136" s="278">
        <v>22</v>
      </c>
      <c r="B136" s="231" t="s">
        <v>600</v>
      </c>
      <c r="C136" s="344"/>
      <c r="D136" s="46" t="s">
        <v>720</v>
      </c>
      <c r="E136" s="278" t="s">
        <v>956</v>
      </c>
      <c r="F136" s="278" t="s">
        <v>39</v>
      </c>
      <c r="G136" s="278" t="s">
        <v>39</v>
      </c>
      <c r="H136" s="278" t="s">
        <v>39</v>
      </c>
      <c r="I136" s="278" t="s">
        <v>39</v>
      </c>
      <c r="J136" s="278" t="s">
        <v>39</v>
      </c>
      <c r="K136" s="284" t="s">
        <v>13</v>
      </c>
      <c r="L136" s="278">
        <v>14</v>
      </c>
      <c r="M136" s="278" t="s">
        <v>172</v>
      </c>
      <c r="N136" s="120" t="s">
        <v>49</v>
      </c>
      <c r="O136" s="217" t="s">
        <v>2159</v>
      </c>
    </row>
    <row r="137" spans="1:16" customFormat="1" ht="148.5">
      <c r="A137" s="278">
        <v>23</v>
      </c>
      <c r="B137" s="231" t="s">
        <v>600</v>
      </c>
      <c r="C137" s="344"/>
      <c r="D137" s="46" t="s">
        <v>721</v>
      </c>
      <c r="E137" s="278" t="s">
        <v>956</v>
      </c>
      <c r="F137" s="278" t="s">
        <v>39</v>
      </c>
      <c r="G137" s="278" t="s">
        <v>39</v>
      </c>
      <c r="H137" s="278" t="s">
        <v>39</v>
      </c>
      <c r="I137" s="278" t="s">
        <v>39</v>
      </c>
      <c r="J137" s="278" t="s">
        <v>39</v>
      </c>
      <c r="K137" s="284" t="s">
        <v>13</v>
      </c>
      <c r="L137" s="278">
        <v>15</v>
      </c>
      <c r="M137" s="278" t="s">
        <v>172</v>
      </c>
      <c r="N137" s="120" t="s">
        <v>49</v>
      </c>
      <c r="O137" s="217" t="s">
        <v>2160</v>
      </c>
    </row>
    <row r="138" spans="1:16" customFormat="1" ht="148.5">
      <c r="A138" s="278">
        <v>24</v>
      </c>
      <c r="B138" s="231" t="s">
        <v>600</v>
      </c>
      <c r="C138" s="344"/>
      <c r="D138" s="301" t="s">
        <v>722</v>
      </c>
      <c r="E138" s="284" t="s">
        <v>957</v>
      </c>
      <c r="F138" s="278" t="s">
        <v>39</v>
      </c>
      <c r="G138" s="278" t="s">
        <v>39</v>
      </c>
      <c r="H138" s="278" t="s">
        <v>39</v>
      </c>
      <c r="I138" s="278" t="s">
        <v>39</v>
      </c>
      <c r="J138" s="278" t="s">
        <v>39</v>
      </c>
      <c r="K138" s="284" t="s">
        <v>13</v>
      </c>
      <c r="L138" s="278">
        <v>16</v>
      </c>
      <c r="M138" s="278" t="s">
        <v>172</v>
      </c>
      <c r="N138" s="120" t="s">
        <v>49</v>
      </c>
      <c r="O138" s="218" t="s">
        <v>2161</v>
      </c>
    </row>
    <row r="139" spans="1:16" customFormat="1" ht="135">
      <c r="A139" s="278">
        <v>25</v>
      </c>
      <c r="B139" s="231" t="s">
        <v>600</v>
      </c>
      <c r="C139" s="344"/>
      <c r="D139" s="216" t="s">
        <v>723</v>
      </c>
      <c r="E139" s="204" t="s">
        <v>958</v>
      </c>
      <c r="F139" s="278" t="s">
        <v>39</v>
      </c>
      <c r="G139" s="278" t="s">
        <v>39</v>
      </c>
      <c r="H139" s="278" t="s">
        <v>39</v>
      </c>
      <c r="I139" s="278" t="s">
        <v>39</v>
      </c>
      <c r="J139" s="278" t="s">
        <v>39</v>
      </c>
      <c r="K139" s="284" t="s">
        <v>13</v>
      </c>
      <c r="L139" s="278">
        <v>17</v>
      </c>
      <c r="M139" s="278" t="s">
        <v>172</v>
      </c>
      <c r="N139" s="120" t="s">
        <v>49</v>
      </c>
      <c r="O139" s="230" t="s">
        <v>959</v>
      </c>
    </row>
    <row r="140" spans="1:16" customFormat="1" ht="225">
      <c r="A140" s="278">
        <v>26</v>
      </c>
      <c r="B140" s="231" t="s">
        <v>600</v>
      </c>
      <c r="C140" s="344"/>
      <c r="D140" s="216" t="s">
        <v>724</v>
      </c>
      <c r="E140" s="204" t="s">
        <v>960</v>
      </c>
      <c r="F140" s="278" t="s">
        <v>39</v>
      </c>
      <c r="G140" s="278" t="s">
        <v>39</v>
      </c>
      <c r="H140" s="278" t="s">
        <v>39</v>
      </c>
      <c r="I140" s="278" t="s">
        <v>39</v>
      </c>
      <c r="J140" s="278" t="s">
        <v>39</v>
      </c>
      <c r="K140" s="284" t="s">
        <v>13</v>
      </c>
      <c r="L140" s="278">
        <v>18</v>
      </c>
      <c r="M140" s="278" t="s">
        <v>172</v>
      </c>
      <c r="N140" s="120" t="s">
        <v>49</v>
      </c>
      <c r="O140" s="216" t="s">
        <v>961</v>
      </c>
    </row>
    <row r="141" spans="1:16" customFormat="1" ht="135">
      <c r="A141" s="278">
        <v>27</v>
      </c>
      <c r="B141" s="231" t="s">
        <v>600</v>
      </c>
      <c r="C141" s="344"/>
      <c r="D141" s="31" t="s">
        <v>725</v>
      </c>
      <c r="E141" s="204" t="s">
        <v>960</v>
      </c>
      <c r="F141" s="278" t="s">
        <v>39</v>
      </c>
      <c r="G141" s="278" t="s">
        <v>39</v>
      </c>
      <c r="H141" s="278" t="s">
        <v>39</v>
      </c>
      <c r="I141" s="278" t="s">
        <v>39</v>
      </c>
      <c r="J141" s="278" t="s">
        <v>39</v>
      </c>
      <c r="K141" s="284" t="s">
        <v>13</v>
      </c>
      <c r="L141" s="278">
        <v>19</v>
      </c>
      <c r="M141" s="278" t="s">
        <v>172</v>
      </c>
      <c r="N141" s="120" t="s">
        <v>49</v>
      </c>
      <c r="O141" s="230" t="s">
        <v>959</v>
      </c>
    </row>
    <row r="142" spans="1:16" ht="165">
      <c r="A142" s="278">
        <v>28</v>
      </c>
      <c r="B142" s="231" t="s">
        <v>600</v>
      </c>
      <c r="C142" s="344"/>
      <c r="D142" s="216" t="s">
        <v>726</v>
      </c>
      <c r="E142" s="204" t="s">
        <v>960</v>
      </c>
      <c r="F142" s="278" t="s">
        <v>39</v>
      </c>
      <c r="G142" s="278" t="s">
        <v>39</v>
      </c>
      <c r="H142" s="278" t="s">
        <v>39</v>
      </c>
      <c r="I142" s="278" t="s">
        <v>39</v>
      </c>
      <c r="J142" s="278" t="s">
        <v>39</v>
      </c>
      <c r="K142" s="284" t="s">
        <v>13</v>
      </c>
      <c r="L142" s="278">
        <v>20</v>
      </c>
      <c r="M142" s="278" t="s">
        <v>172</v>
      </c>
      <c r="N142" s="120" t="s">
        <v>49</v>
      </c>
      <c r="O142" s="230" t="s">
        <v>962</v>
      </c>
    </row>
    <row r="143" spans="1:16" ht="148.5">
      <c r="A143" s="278">
        <v>29</v>
      </c>
      <c r="B143" s="231" t="s">
        <v>600</v>
      </c>
      <c r="C143" s="344"/>
      <c r="D143" s="216" t="s">
        <v>727</v>
      </c>
      <c r="E143" s="204" t="s">
        <v>963</v>
      </c>
      <c r="F143" s="204" t="s">
        <v>964</v>
      </c>
      <c r="G143" s="278" t="s">
        <v>39</v>
      </c>
      <c r="H143" s="278" t="s">
        <v>39</v>
      </c>
      <c r="I143" s="278" t="s">
        <v>39</v>
      </c>
      <c r="J143" s="278" t="s">
        <v>39</v>
      </c>
      <c r="K143" s="284" t="s">
        <v>13</v>
      </c>
      <c r="L143" s="278">
        <v>21</v>
      </c>
      <c r="M143" s="278" t="s">
        <v>172</v>
      </c>
      <c r="N143" s="120" t="s">
        <v>49</v>
      </c>
      <c r="O143" s="216" t="s">
        <v>2162</v>
      </c>
    </row>
    <row r="144" spans="1:16" ht="133.5">
      <c r="A144" s="278">
        <v>30</v>
      </c>
      <c r="B144" s="231" t="s">
        <v>600</v>
      </c>
      <c r="C144" s="344"/>
      <c r="D144" s="216" t="s">
        <v>729</v>
      </c>
      <c r="E144" s="204" t="s">
        <v>963</v>
      </c>
      <c r="F144" s="204" t="s">
        <v>965</v>
      </c>
      <c r="G144" s="278" t="s">
        <v>39</v>
      </c>
      <c r="H144" s="278" t="s">
        <v>39</v>
      </c>
      <c r="I144" s="278" t="s">
        <v>39</v>
      </c>
      <c r="J144" s="278" t="s">
        <v>39</v>
      </c>
      <c r="K144" s="284" t="s">
        <v>13</v>
      </c>
      <c r="L144" s="278">
        <v>22</v>
      </c>
      <c r="M144" s="278" t="s">
        <v>172</v>
      </c>
      <c r="N144" s="120" t="s">
        <v>49</v>
      </c>
      <c r="O144" s="216" t="s">
        <v>2163</v>
      </c>
    </row>
    <row r="145" spans="1:15" ht="163.5">
      <c r="A145" s="278">
        <v>31</v>
      </c>
      <c r="B145" s="231" t="s">
        <v>600</v>
      </c>
      <c r="C145" s="344"/>
      <c r="D145" s="216" t="s">
        <v>731</v>
      </c>
      <c r="E145" s="204" t="s">
        <v>966</v>
      </c>
      <c r="F145" s="204" t="s">
        <v>967</v>
      </c>
      <c r="G145" s="278" t="s">
        <v>39</v>
      </c>
      <c r="H145" s="278" t="s">
        <v>39</v>
      </c>
      <c r="I145" s="278" t="s">
        <v>39</v>
      </c>
      <c r="J145" s="278" t="s">
        <v>39</v>
      </c>
      <c r="K145" s="284" t="s">
        <v>13</v>
      </c>
      <c r="L145" s="278">
        <v>23</v>
      </c>
      <c r="M145" s="278" t="s">
        <v>172</v>
      </c>
      <c r="N145" s="120" t="s">
        <v>49</v>
      </c>
      <c r="O145" s="216" t="s">
        <v>2164</v>
      </c>
    </row>
    <row r="146" spans="1:15">
      <c r="A146" s="507"/>
      <c r="B146" s="507"/>
      <c r="C146" s="507"/>
      <c r="D146" s="507"/>
      <c r="E146" s="507"/>
      <c r="F146" s="507"/>
      <c r="G146" s="507"/>
      <c r="H146" s="507"/>
      <c r="I146" s="507"/>
      <c r="J146" s="507"/>
      <c r="K146" s="507"/>
      <c r="L146" s="507"/>
      <c r="M146" s="507"/>
      <c r="N146" s="507"/>
      <c r="O146" s="507"/>
    </row>
    <row r="147" spans="1:15" ht="23.25" customHeight="1">
      <c r="A147" s="506" t="s">
        <v>186</v>
      </c>
      <c r="B147" s="506"/>
      <c r="C147" s="506"/>
      <c r="D147" s="506"/>
      <c r="E147" s="506"/>
      <c r="F147" s="506"/>
      <c r="G147" s="506"/>
      <c r="H147" s="506"/>
      <c r="I147" s="506"/>
      <c r="J147" s="506"/>
      <c r="K147" s="506"/>
      <c r="L147" s="506"/>
      <c r="M147" s="506"/>
      <c r="N147" s="506"/>
      <c r="O147" s="506"/>
    </row>
    <row r="148" spans="1:15" ht="99.75">
      <c r="A148" s="20" t="s">
        <v>0</v>
      </c>
      <c r="B148" s="20" t="s">
        <v>129</v>
      </c>
      <c r="C148" s="20" t="s">
        <v>130</v>
      </c>
      <c r="D148" s="20" t="s">
        <v>61</v>
      </c>
      <c r="E148" s="20" t="s">
        <v>62</v>
      </c>
      <c r="F148" s="20" t="s">
        <v>125</v>
      </c>
      <c r="G148" s="20" t="s">
        <v>63</v>
      </c>
      <c r="H148" s="286" t="s">
        <v>126</v>
      </c>
      <c r="I148" s="20" t="s">
        <v>127</v>
      </c>
      <c r="J148" s="20" t="s">
        <v>64</v>
      </c>
      <c r="K148" s="286" t="s">
        <v>131</v>
      </c>
      <c r="L148" s="22" t="s">
        <v>65</v>
      </c>
      <c r="M148" s="22" t="s">
        <v>66</v>
      </c>
      <c r="N148" s="286" t="s">
        <v>132</v>
      </c>
      <c r="O148" s="20" t="s">
        <v>67</v>
      </c>
    </row>
    <row r="149" spans="1:15">
      <c r="A149" s="295">
        <v>1</v>
      </c>
      <c r="B149" s="295">
        <v>2</v>
      </c>
      <c r="C149" s="295">
        <v>3</v>
      </c>
      <c r="D149" s="295">
        <v>4</v>
      </c>
      <c r="E149" s="295">
        <v>5</v>
      </c>
      <c r="F149" s="295">
        <v>6</v>
      </c>
      <c r="G149" s="295">
        <v>7</v>
      </c>
      <c r="H149" s="295">
        <v>8</v>
      </c>
      <c r="I149" s="286">
        <v>9</v>
      </c>
      <c r="J149" s="295">
        <v>10</v>
      </c>
      <c r="K149" s="295">
        <v>11</v>
      </c>
      <c r="L149" s="295">
        <v>12</v>
      </c>
      <c r="M149" s="295">
        <v>13</v>
      </c>
      <c r="N149" s="295">
        <v>14</v>
      </c>
      <c r="O149" s="295">
        <v>15</v>
      </c>
    </row>
    <row r="150" spans="1:15" ht="45">
      <c r="A150" s="278">
        <v>1</v>
      </c>
      <c r="B150" s="376" t="s">
        <v>794</v>
      </c>
      <c r="C150" s="376" t="s">
        <v>968</v>
      </c>
      <c r="D150" s="279" t="s">
        <v>796</v>
      </c>
      <c r="E150" s="278" t="s">
        <v>969</v>
      </c>
      <c r="F150" s="281">
        <v>794</v>
      </c>
      <c r="G150" s="281">
        <v>2001</v>
      </c>
      <c r="H150" s="281" t="s">
        <v>12</v>
      </c>
      <c r="I150" s="281">
        <v>0.43</v>
      </c>
      <c r="J150" s="281" t="s">
        <v>12</v>
      </c>
      <c r="K150" s="281" t="s">
        <v>12</v>
      </c>
      <c r="L150" s="281">
        <v>1</v>
      </c>
      <c r="M150" s="281">
        <v>1</v>
      </c>
      <c r="N150" s="281" t="s">
        <v>41</v>
      </c>
      <c r="O150" s="278"/>
    </row>
    <row r="151" spans="1:15" ht="60">
      <c r="A151" s="278">
        <v>2</v>
      </c>
      <c r="B151" s="376"/>
      <c r="C151" s="376"/>
      <c r="D151" s="279" t="s">
        <v>970</v>
      </c>
      <c r="E151" s="278" t="s">
        <v>971</v>
      </c>
      <c r="F151" s="281">
        <v>325</v>
      </c>
      <c r="G151" s="281">
        <v>2009</v>
      </c>
      <c r="H151" s="281" t="s">
        <v>12</v>
      </c>
      <c r="I151" s="281">
        <v>0.43</v>
      </c>
      <c r="J151" s="281" t="s">
        <v>12</v>
      </c>
      <c r="K151" s="281" t="s">
        <v>12</v>
      </c>
      <c r="L151" s="281">
        <v>2</v>
      </c>
      <c r="M151" s="281">
        <v>2</v>
      </c>
      <c r="N151" s="281" t="s">
        <v>41</v>
      </c>
      <c r="O151" s="281"/>
    </row>
    <row r="152" spans="1:15" ht="45">
      <c r="A152" s="278">
        <v>3</v>
      </c>
      <c r="B152" s="376"/>
      <c r="C152" s="376"/>
      <c r="D152" s="279" t="s">
        <v>972</v>
      </c>
      <c r="E152" s="278" t="s">
        <v>973</v>
      </c>
      <c r="F152" s="281" t="s">
        <v>805</v>
      </c>
      <c r="G152" s="281" t="s">
        <v>806</v>
      </c>
      <c r="H152" s="281" t="s">
        <v>12</v>
      </c>
      <c r="I152" s="281" t="s">
        <v>26</v>
      </c>
      <c r="J152" s="281" t="s">
        <v>12</v>
      </c>
      <c r="K152" s="503"/>
      <c r="L152" s="281">
        <v>3</v>
      </c>
      <c r="M152" s="281">
        <v>3</v>
      </c>
      <c r="N152" s="281" t="s">
        <v>41</v>
      </c>
      <c r="O152" s="281"/>
    </row>
    <row r="153" spans="1:15" ht="30">
      <c r="A153" s="278">
        <v>4</v>
      </c>
      <c r="B153" s="376"/>
      <c r="C153" s="376"/>
      <c r="D153" s="279" t="s">
        <v>974</v>
      </c>
      <c r="E153" s="278" t="s">
        <v>975</v>
      </c>
      <c r="F153" s="294" t="s">
        <v>976</v>
      </c>
      <c r="G153" s="281" t="s">
        <v>810</v>
      </c>
      <c r="H153" s="281" t="s">
        <v>12</v>
      </c>
      <c r="I153" s="281" t="s">
        <v>12</v>
      </c>
      <c r="J153" s="281" t="s">
        <v>12</v>
      </c>
      <c r="K153" s="503"/>
      <c r="L153" s="281">
        <v>4</v>
      </c>
      <c r="M153" s="281" t="s">
        <v>12</v>
      </c>
      <c r="N153" s="281"/>
      <c r="O153" s="281"/>
    </row>
    <row r="154" spans="1:15" ht="75">
      <c r="A154" s="278">
        <v>5</v>
      </c>
      <c r="B154" s="376"/>
      <c r="C154" s="376"/>
      <c r="D154" s="279" t="s">
        <v>823</v>
      </c>
      <c r="E154" s="278" t="s">
        <v>977</v>
      </c>
      <c r="F154" s="278" t="s">
        <v>978</v>
      </c>
      <c r="G154" s="281" t="s">
        <v>12</v>
      </c>
      <c r="H154" s="278" t="s">
        <v>826</v>
      </c>
      <c r="I154" s="278" t="s">
        <v>826</v>
      </c>
      <c r="J154" s="281" t="s">
        <v>979</v>
      </c>
      <c r="K154" s="503"/>
      <c r="L154" s="281" t="s">
        <v>12</v>
      </c>
      <c r="M154" s="281">
        <v>4</v>
      </c>
      <c r="N154" s="281"/>
      <c r="O154" s="281"/>
    </row>
    <row r="155" spans="1:15" ht="30">
      <c r="A155" s="278">
        <v>6</v>
      </c>
      <c r="B155" s="376"/>
      <c r="C155" s="376"/>
      <c r="D155" s="376" t="s">
        <v>980</v>
      </c>
      <c r="E155" s="278" t="s">
        <v>981</v>
      </c>
      <c r="F155" s="278">
        <v>426.4</v>
      </c>
      <c r="G155" s="278" t="s">
        <v>982</v>
      </c>
      <c r="H155" s="278" t="s">
        <v>12</v>
      </c>
      <c r="I155" s="278" t="s">
        <v>12</v>
      </c>
      <c r="J155" s="278" t="s">
        <v>2169</v>
      </c>
      <c r="K155" s="503"/>
      <c r="L155" s="281" t="s">
        <v>12</v>
      </c>
      <c r="M155" s="278" t="s">
        <v>983</v>
      </c>
      <c r="N155" s="278" t="s">
        <v>12</v>
      </c>
      <c r="O155" s="278" t="s">
        <v>12</v>
      </c>
    </row>
    <row r="156" spans="1:15" ht="30">
      <c r="A156" s="278">
        <v>7</v>
      </c>
      <c r="B156" s="376"/>
      <c r="C156" s="376"/>
      <c r="D156" s="376"/>
      <c r="E156" s="278" t="s">
        <v>2168</v>
      </c>
      <c r="F156" s="278">
        <v>108</v>
      </c>
      <c r="G156" s="278" t="s">
        <v>984</v>
      </c>
      <c r="H156" s="278" t="s">
        <v>12</v>
      </c>
      <c r="I156" s="278" t="s">
        <v>985</v>
      </c>
      <c r="J156" s="278" t="s">
        <v>986</v>
      </c>
      <c r="K156" s="503"/>
      <c r="L156" s="281" t="s">
        <v>12</v>
      </c>
      <c r="M156" s="278" t="s">
        <v>983</v>
      </c>
      <c r="N156" s="278" t="s">
        <v>12</v>
      </c>
      <c r="O156" s="278" t="s">
        <v>12</v>
      </c>
    </row>
    <row r="157" spans="1:15" ht="45">
      <c r="A157" s="278">
        <v>8</v>
      </c>
      <c r="B157" s="376"/>
      <c r="C157" s="376"/>
      <c r="D157" s="279" t="s">
        <v>846</v>
      </c>
      <c r="E157" s="278" t="s">
        <v>987</v>
      </c>
      <c r="F157" s="9" t="s">
        <v>988</v>
      </c>
      <c r="G157" s="280" t="s">
        <v>42</v>
      </c>
      <c r="H157" s="281" t="s">
        <v>12</v>
      </c>
      <c r="I157" s="281" t="s">
        <v>12</v>
      </c>
      <c r="J157" s="281" t="s">
        <v>12</v>
      </c>
      <c r="K157" s="503"/>
      <c r="L157" s="281" t="s">
        <v>12</v>
      </c>
      <c r="M157" s="281">
        <v>9</v>
      </c>
      <c r="N157" s="281" t="s">
        <v>26</v>
      </c>
      <c r="O157" s="278" t="s">
        <v>12</v>
      </c>
    </row>
    <row r="158" spans="1:15">
      <c r="A158" s="498"/>
      <c r="B158" s="499"/>
      <c r="C158" s="499"/>
      <c r="D158" s="499"/>
      <c r="E158" s="499"/>
      <c r="F158" s="499"/>
      <c r="G158" s="499"/>
      <c r="H158" s="499"/>
      <c r="I158" s="499"/>
      <c r="J158" s="499"/>
      <c r="K158" s="499"/>
      <c r="L158" s="499"/>
      <c r="M158" s="499"/>
      <c r="N158" s="499"/>
      <c r="O158" s="500"/>
    </row>
    <row r="159" spans="1:15" ht="22.5">
      <c r="A159" s="506" t="s">
        <v>187</v>
      </c>
      <c r="B159" s="506"/>
      <c r="C159" s="506"/>
      <c r="D159" s="506"/>
      <c r="E159" s="506"/>
      <c r="F159" s="506"/>
      <c r="G159" s="506"/>
      <c r="H159" s="506"/>
      <c r="I159" s="506"/>
      <c r="J159" s="506"/>
      <c r="K159" s="506"/>
      <c r="L159" s="506"/>
      <c r="M159" s="506"/>
      <c r="N159" s="506"/>
      <c r="O159" s="506"/>
    </row>
    <row r="160" spans="1:15" ht="99.75">
      <c r="A160" s="20" t="s">
        <v>0</v>
      </c>
      <c r="B160" s="20" t="s">
        <v>129</v>
      </c>
      <c r="C160" s="20" t="s">
        <v>130</v>
      </c>
      <c r="D160" s="20" t="s">
        <v>61</v>
      </c>
      <c r="E160" s="20" t="s">
        <v>62</v>
      </c>
      <c r="F160" s="20" t="s">
        <v>125</v>
      </c>
      <c r="G160" s="20" t="s">
        <v>63</v>
      </c>
      <c r="H160" s="286" t="s">
        <v>126</v>
      </c>
      <c r="I160" s="20" t="s">
        <v>127</v>
      </c>
      <c r="J160" s="20" t="s">
        <v>64</v>
      </c>
      <c r="K160" s="286" t="s">
        <v>131</v>
      </c>
      <c r="L160" s="22" t="s">
        <v>65</v>
      </c>
      <c r="M160" s="22" t="s">
        <v>66</v>
      </c>
      <c r="N160" s="286" t="s">
        <v>132</v>
      </c>
      <c r="O160" s="20" t="s">
        <v>67</v>
      </c>
    </row>
    <row r="161" spans="1:15">
      <c r="A161" s="295">
        <v>1</v>
      </c>
      <c r="B161" s="295">
        <v>2</v>
      </c>
      <c r="C161" s="295">
        <v>3</v>
      </c>
      <c r="D161" s="295">
        <v>4</v>
      </c>
      <c r="E161" s="295">
        <v>5</v>
      </c>
      <c r="F161" s="295">
        <v>6</v>
      </c>
      <c r="G161" s="295">
        <v>7</v>
      </c>
      <c r="H161" s="295">
        <v>8</v>
      </c>
      <c r="I161" s="286">
        <v>9</v>
      </c>
      <c r="J161" s="295">
        <v>10</v>
      </c>
      <c r="K161" s="295">
        <v>11</v>
      </c>
      <c r="L161" s="295">
        <v>12</v>
      </c>
      <c r="M161" s="295">
        <v>13</v>
      </c>
      <c r="N161" s="295">
        <v>14</v>
      </c>
      <c r="O161" s="295">
        <v>15</v>
      </c>
    </row>
    <row r="162" spans="1:15" ht="90">
      <c r="A162" s="278">
        <v>1</v>
      </c>
      <c r="B162" s="376" t="s">
        <v>2183</v>
      </c>
      <c r="C162" s="376" t="s">
        <v>2184</v>
      </c>
      <c r="D162" s="269" t="s">
        <v>2261</v>
      </c>
      <c r="E162" s="271" t="s">
        <v>2262</v>
      </c>
      <c r="F162" s="278" t="s">
        <v>12</v>
      </c>
      <c r="G162" s="278">
        <v>1995</v>
      </c>
      <c r="H162" s="278" t="s">
        <v>12</v>
      </c>
      <c r="I162" s="278"/>
      <c r="J162" s="278" t="s">
        <v>12</v>
      </c>
      <c r="K162" s="278"/>
      <c r="L162" s="278">
        <v>1</v>
      </c>
      <c r="M162" s="278"/>
      <c r="N162" s="278"/>
      <c r="O162" s="278"/>
    </row>
    <row r="163" spans="1:15" ht="75">
      <c r="A163" s="278">
        <v>2</v>
      </c>
      <c r="B163" s="376"/>
      <c r="C163" s="376"/>
      <c r="D163" s="269" t="s">
        <v>2266</v>
      </c>
      <c r="E163" s="271" t="s">
        <v>2267</v>
      </c>
      <c r="F163" s="278" t="s">
        <v>12</v>
      </c>
      <c r="G163" s="278"/>
      <c r="H163" s="278" t="s">
        <v>12</v>
      </c>
      <c r="I163" s="278" t="s">
        <v>12</v>
      </c>
      <c r="J163" s="278" t="s">
        <v>12</v>
      </c>
      <c r="K163" s="278"/>
      <c r="L163" s="278">
        <v>2</v>
      </c>
      <c r="M163" s="278"/>
      <c r="N163" s="278"/>
      <c r="O163" s="278"/>
    </row>
    <row r="164" spans="1:15" ht="120">
      <c r="A164" s="266">
        <v>3</v>
      </c>
      <c r="B164" s="376"/>
      <c r="C164" s="376"/>
      <c r="D164" s="269" t="s">
        <v>2361</v>
      </c>
      <c r="E164" s="269" t="s">
        <v>2362</v>
      </c>
      <c r="F164" s="266" t="s">
        <v>2271</v>
      </c>
      <c r="G164" s="266">
        <v>1901</v>
      </c>
      <c r="H164" s="266" t="s">
        <v>12</v>
      </c>
      <c r="I164" s="266" t="s">
        <v>2272</v>
      </c>
      <c r="J164" s="278"/>
      <c r="K164" s="278"/>
      <c r="L164" s="278">
        <v>3</v>
      </c>
      <c r="M164" s="278"/>
      <c r="N164" s="278"/>
      <c r="O164" s="266" t="s">
        <v>2273</v>
      </c>
    </row>
    <row r="165" spans="1:15" ht="45">
      <c r="A165" s="266">
        <v>4</v>
      </c>
      <c r="B165" s="376"/>
      <c r="C165" s="376"/>
      <c r="D165" s="269" t="s">
        <v>2274</v>
      </c>
      <c r="E165" s="269" t="s">
        <v>2363</v>
      </c>
      <c r="F165" s="266" t="s">
        <v>2275</v>
      </c>
      <c r="G165" s="266" t="s">
        <v>2276</v>
      </c>
      <c r="H165" s="266" t="s">
        <v>12</v>
      </c>
      <c r="I165" s="266">
        <v>0.9</v>
      </c>
      <c r="J165" s="278"/>
      <c r="K165" s="278"/>
      <c r="L165" s="278">
        <v>4</v>
      </c>
      <c r="M165" s="278"/>
      <c r="N165" s="278"/>
      <c r="O165" s="266" t="s">
        <v>2277</v>
      </c>
    </row>
    <row r="166" spans="1:15" ht="75">
      <c r="A166" s="266">
        <v>5</v>
      </c>
      <c r="B166" s="376"/>
      <c r="C166" s="376"/>
      <c r="D166" s="269" t="s">
        <v>2278</v>
      </c>
      <c r="E166" s="269" t="s">
        <v>2364</v>
      </c>
      <c r="F166" s="266" t="s">
        <v>2279</v>
      </c>
      <c r="G166" s="266" t="s">
        <v>2280</v>
      </c>
      <c r="H166" s="266" t="s">
        <v>12</v>
      </c>
      <c r="I166" s="266">
        <v>0.38</v>
      </c>
      <c r="J166" s="278"/>
      <c r="K166" s="278"/>
      <c r="L166" s="278">
        <v>5</v>
      </c>
      <c r="M166" s="266"/>
      <c r="N166" s="266"/>
      <c r="O166" s="278"/>
    </row>
    <row r="167" spans="1:15" ht="75">
      <c r="A167" s="266">
        <v>6</v>
      </c>
      <c r="B167" s="376"/>
      <c r="C167" s="376"/>
      <c r="D167" s="269" t="s">
        <v>2281</v>
      </c>
      <c r="E167" s="269" t="s">
        <v>2365</v>
      </c>
      <c r="F167" s="266" t="s">
        <v>2282</v>
      </c>
      <c r="G167" s="266" t="s">
        <v>42</v>
      </c>
      <c r="H167" s="266" t="s">
        <v>12</v>
      </c>
      <c r="I167" s="266" t="s">
        <v>2360</v>
      </c>
      <c r="J167" s="278"/>
      <c r="K167" s="278"/>
      <c r="L167" s="278">
        <v>6</v>
      </c>
      <c r="M167" s="266"/>
      <c r="N167" s="266"/>
      <c r="O167" s="278"/>
    </row>
    <row r="168" spans="1:15" ht="45">
      <c r="A168" s="266">
        <v>7</v>
      </c>
      <c r="B168" s="376"/>
      <c r="C168" s="376"/>
      <c r="D168" s="269" t="s">
        <v>2284</v>
      </c>
      <c r="E168" s="269" t="s">
        <v>2366</v>
      </c>
      <c r="F168" s="266" t="s">
        <v>2285</v>
      </c>
      <c r="G168" s="266">
        <v>1986</v>
      </c>
      <c r="H168" s="266" t="s">
        <v>12</v>
      </c>
      <c r="I168" s="266">
        <v>0.11</v>
      </c>
      <c r="J168" s="278"/>
      <c r="K168" s="278"/>
      <c r="L168" s="278">
        <v>7</v>
      </c>
      <c r="M168" s="266"/>
      <c r="N168" s="266"/>
      <c r="O168" s="278"/>
    </row>
    <row r="169" spans="1:15" ht="75">
      <c r="A169" s="266">
        <v>8</v>
      </c>
      <c r="B169" s="376"/>
      <c r="C169" s="376"/>
      <c r="D169" s="269" t="s">
        <v>2286</v>
      </c>
      <c r="E169" s="269" t="s">
        <v>2367</v>
      </c>
      <c r="F169" s="266" t="s">
        <v>2287</v>
      </c>
      <c r="G169" s="266" t="s">
        <v>2288</v>
      </c>
      <c r="H169" s="266" t="s">
        <v>12</v>
      </c>
      <c r="I169" s="266">
        <v>0.02</v>
      </c>
      <c r="J169" s="278"/>
      <c r="K169" s="278"/>
      <c r="L169" s="278">
        <v>8</v>
      </c>
      <c r="M169" s="266"/>
      <c r="N169" s="266"/>
      <c r="O169" s="278"/>
    </row>
    <row r="170" spans="1:15" ht="45">
      <c r="A170" s="266">
        <v>9</v>
      </c>
      <c r="B170" s="376"/>
      <c r="C170" s="376"/>
      <c r="D170" s="269" t="s">
        <v>2289</v>
      </c>
      <c r="E170" s="269" t="s">
        <v>2367</v>
      </c>
      <c r="F170" s="266" t="s">
        <v>2290</v>
      </c>
      <c r="G170" s="266">
        <v>1995</v>
      </c>
      <c r="H170" s="266" t="s">
        <v>12</v>
      </c>
      <c r="I170" s="266">
        <v>0.25</v>
      </c>
      <c r="J170" s="278"/>
      <c r="K170" s="278"/>
      <c r="L170" s="278">
        <v>9</v>
      </c>
      <c r="M170" s="266"/>
      <c r="N170" s="266"/>
      <c r="O170" s="278"/>
    </row>
    <row r="171" spans="1:15" ht="30">
      <c r="A171" s="266">
        <v>10</v>
      </c>
      <c r="B171" s="376"/>
      <c r="C171" s="376"/>
      <c r="D171" s="269" t="s">
        <v>2297</v>
      </c>
      <c r="E171" s="269" t="s">
        <v>2297</v>
      </c>
      <c r="F171" s="266" t="s">
        <v>2298</v>
      </c>
      <c r="G171" s="266" t="s">
        <v>2299</v>
      </c>
      <c r="H171" s="266" t="s">
        <v>12</v>
      </c>
      <c r="I171" s="266">
        <v>0.19</v>
      </c>
      <c r="J171" s="278"/>
      <c r="K171" s="278"/>
      <c r="L171" s="278">
        <v>10</v>
      </c>
      <c r="M171" s="278"/>
      <c r="N171" s="278"/>
      <c r="O171" s="266" t="s">
        <v>2301</v>
      </c>
    </row>
    <row r="172" spans="1:15" ht="15">
      <c r="A172" s="266">
        <v>11</v>
      </c>
      <c r="B172" s="376"/>
      <c r="C172" s="376"/>
      <c r="D172" s="269" t="s">
        <v>2311</v>
      </c>
      <c r="E172" s="269" t="s">
        <v>2311</v>
      </c>
      <c r="F172" s="267" t="s">
        <v>2312</v>
      </c>
      <c r="G172" s="266" t="s">
        <v>2313</v>
      </c>
      <c r="H172" s="266" t="s">
        <v>12</v>
      </c>
      <c r="I172" s="266" t="s">
        <v>42</v>
      </c>
      <c r="J172" s="278"/>
      <c r="K172" s="278"/>
      <c r="L172" s="278">
        <v>13</v>
      </c>
      <c r="M172" s="278"/>
      <c r="N172" s="278"/>
      <c r="O172" s="266" t="s">
        <v>2314</v>
      </c>
    </row>
    <row r="173" spans="1:15" ht="45">
      <c r="A173" s="266">
        <v>12</v>
      </c>
      <c r="B173" s="376"/>
      <c r="C173" s="376"/>
      <c r="D173" s="269" t="s">
        <v>2315</v>
      </c>
      <c r="E173" s="269" t="s">
        <v>2315</v>
      </c>
      <c r="F173" s="267" t="s">
        <v>2316</v>
      </c>
      <c r="G173" s="266" t="s">
        <v>12</v>
      </c>
      <c r="H173" s="266" t="s">
        <v>12</v>
      </c>
      <c r="I173" s="266" t="s">
        <v>12</v>
      </c>
      <c r="J173" s="278"/>
      <c r="K173" s="278"/>
      <c r="L173" s="278">
        <v>18</v>
      </c>
      <c r="M173" s="266"/>
      <c r="N173" s="266"/>
      <c r="O173" s="278"/>
    </row>
    <row r="174" spans="1:15" ht="15">
      <c r="A174" s="266">
        <v>13</v>
      </c>
      <c r="B174" s="376"/>
      <c r="C174" s="376"/>
      <c r="D174" s="269" t="s">
        <v>2317</v>
      </c>
      <c r="E174" s="269" t="s">
        <v>2317</v>
      </c>
      <c r="F174" s="267" t="s">
        <v>2318</v>
      </c>
      <c r="G174" s="266" t="s">
        <v>12</v>
      </c>
      <c r="H174" s="266" t="s">
        <v>12</v>
      </c>
      <c r="I174" s="267">
        <v>9.7999999999999997E-3</v>
      </c>
      <c r="J174" s="278"/>
      <c r="K174" s="278"/>
      <c r="L174" s="278">
        <v>19</v>
      </c>
      <c r="M174" s="266"/>
      <c r="N174" s="266"/>
      <c r="O174" s="278"/>
    </row>
    <row r="175" spans="1:15" ht="30">
      <c r="A175" s="266">
        <v>14</v>
      </c>
      <c r="B175" s="376"/>
      <c r="C175" s="376"/>
      <c r="D175" s="269" t="s">
        <v>2319</v>
      </c>
      <c r="E175" s="269" t="s">
        <v>2319</v>
      </c>
      <c r="F175" s="266" t="s">
        <v>2320</v>
      </c>
      <c r="G175" s="266">
        <v>1994</v>
      </c>
      <c r="H175" s="266" t="s">
        <v>12</v>
      </c>
      <c r="I175" s="266">
        <v>0.2</v>
      </c>
      <c r="J175" s="278"/>
      <c r="K175" s="278"/>
      <c r="L175" s="278">
        <v>20</v>
      </c>
      <c r="M175" s="266"/>
      <c r="N175" s="266"/>
      <c r="O175" s="278"/>
    </row>
    <row r="176" spans="1:15" ht="30">
      <c r="A176" s="266">
        <v>15</v>
      </c>
      <c r="B176" s="376"/>
      <c r="C176" s="376"/>
      <c r="D176" s="269" t="s">
        <v>2368</v>
      </c>
      <c r="E176" s="269" t="s">
        <v>2369</v>
      </c>
      <c r="F176" s="278">
        <v>143</v>
      </c>
      <c r="G176" s="278">
        <v>2019</v>
      </c>
      <c r="H176" s="266" t="s">
        <v>12</v>
      </c>
      <c r="I176" s="278" t="s">
        <v>12</v>
      </c>
      <c r="J176" s="278"/>
      <c r="K176" s="278"/>
      <c r="L176" s="278"/>
      <c r="M176" s="278"/>
      <c r="N176" s="278"/>
      <c r="O176" s="278"/>
    </row>
    <row r="177" spans="1:15" ht="45">
      <c r="A177" s="266">
        <v>16</v>
      </c>
      <c r="B177" s="376"/>
      <c r="C177" s="376"/>
      <c r="D177" s="269" t="s">
        <v>2370</v>
      </c>
      <c r="E177" s="269" t="s">
        <v>2371</v>
      </c>
      <c r="F177" s="267" t="s">
        <v>2372</v>
      </c>
      <c r="G177" s="278">
        <v>2020</v>
      </c>
      <c r="H177" s="266" t="s">
        <v>12</v>
      </c>
      <c r="I177" s="278" t="s">
        <v>12</v>
      </c>
      <c r="J177" s="278"/>
      <c r="K177" s="278"/>
      <c r="L177" s="278"/>
      <c r="M177" s="278"/>
      <c r="N177" s="278"/>
      <c r="O177" s="278"/>
    </row>
    <row r="178" spans="1:15" ht="30">
      <c r="A178" s="266">
        <v>17</v>
      </c>
      <c r="B178" s="376"/>
      <c r="C178" s="376"/>
      <c r="D178" s="269" t="s">
        <v>2373</v>
      </c>
      <c r="E178" s="279" t="s">
        <v>2374</v>
      </c>
      <c r="F178" s="278">
        <v>156.41999999999999</v>
      </c>
      <c r="G178" s="278">
        <v>2019</v>
      </c>
      <c r="H178" s="266" t="s">
        <v>12</v>
      </c>
      <c r="I178" s="278" t="s">
        <v>12</v>
      </c>
      <c r="J178" s="278"/>
      <c r="K178" s="278"/>
      <c r="L178" s="278"/>
      <c r="M178" s="278"/>
      <c r="N178" s="278"/>
      <c r="O178" s="278"/>
    </row>
    <row r="179" spans="1:15" ht="60">
      <c r="A179" s="266">
        <v>18</v>
      </c>
      <c r="B179" s="376"/>
      <c r="C179" s="376"/>
      <c r="D179" s="269" t="s">
        <v>2375</v>
      </c>
      <c r="E179" s="269" t="s">
        <v>2376</v>
      </c>
      <c r="F179" s="278">
        <v>344</v>
      </c>
      <c r="G179" s="278">
        <v>2019</v>
      </c>
      <c r="H179" s="266" t="s">
        <v>12</v>
      </c>
      <c r="I179" s="278" t="s">
        <v>12</v>
      </c>
      <c r="J179" s="278"/>
      <c r="K179" s="278"/>
      <c r="L179" s="278"/>
      <c r="M179" s="278"/>
      <c r="N179" s="278"/>
      <c r="O179" s="278"/>
    </row>
    <row r="180" spans="1:15" ht="60">
      <c r="A180" s="266">
        <v>19</v>
      </c>
      <c r="B180" s="376"/>
      <c r="C180" s="376" t="s">
        <v>2321</v>
      </c>
      <c r="D180" s="279" t="s">
        <v>2384</v>
      </c>
      <c r="E180" s="279" t="s">
        <v>2391</v>
      </c>
      <c r="F180" s="85">
        <v>1623</v>
      </c>
      <c r="G180" s="278" t="s">
        <v>2377</v>
      </c>
      <c r="H180" s="278" t="s">
        <v>38</v>
      </c>
      <c r="I180" s="278" t="s">
        <v>2378</v>
      </c>
      <c r="J180" s="278">
        <v>4.03</v>
      </c>
      <c r="K180" s="278" t="s">
        <v>41</v>
      </c>
      <c r="L180" s="278">
        <v>1</v>
      </c>
      <c r="M180" s="278" t="s">
        <v>38</v>
      </c>
      <c r="N180" s="278" t="s">
        <v>38</v>
      </c>
      <c r="O180" s="278" t="s">
        <v>2379</v>
      </c>
    </row>
    <row r="181" spans="1:15" ht="60">
      <c r="A181" s="266">
        <v>20</v>
      </c>
      <c r="B181" s="376"/>
      <c r="C181" s="376"/>
      <c r="D181" s="279" t="s">
        <v>2386</v>
      </c>
      <c r="E181" s="279" t="s">
        <v>2390</v>
      </c>
      <c r="F181" s="85">
        <v>2965</v>
      </c>
      <c r="G181" s="278" t="s">
        <v>2380</v>
      </c>
      <c r="H181" s="278" t="s">
        <v>38</v>
      </c>
      <c r="I181" s="278">
        <v>2.67</v>
      </c>
      <c r="J181" s="278">
        <v>9.0299999999999994</v>
      </c>
      <c r="K181" s="278" t="s">
        <v>41</v>
      </c>
      <c r="L181" s="278">
        <v>2</v>
      </c>
      <c r="M181" s="278" t="s">
        <v>38</v>
      </c>
      <c r="N181" s="278" t="s">
        <v>38</v>
      </c>
      <c r="O181" s="278" t="s">
        <v>41</v>
      </c>
    </row>
    <row r="182" spans="1:15" ht="135">
      <c r="A182" s="266">
        <v>21</v>
      </c>
      <c r="B182" s="376"/>
      <c r="C182" s="376"/>
      <c r="D182" s="279" t="s">
        <v>2385</v>
      </c>
      <c r="E182" s="279" t="s">
        <v>2389</v>
      </c>
      <c r="F182" s="85">
        <v>340</v>
      </c>
      <c r="G182" s="278" t="s">
        <v>2381</v>
      </c>
      <c r="H182" s="278" t="s">
        <v>38</v>
      </c>
      <c r="I182" s="278" t="s">
        <v>2382</v>
      </c>
      <c r="J182" s="284">
        <v>0.3</v>
      </c>
      <c r="K182" s="278" t="s">
        <v>41</v>
      </c>
      <c r="L182" s="278">
        <v>3</v>
      </c>
      <c r="M182" s="278" t="s">
        <v>38</v>
      </c>
      <c r="N182" s="278" t="s">
        <v>38</v>
      </c>
      <c r="O182" s="278" t="s">
        <v>41</v>
      </c>
    </row>
    <row r="183" spans="1:15" ht="60">
      <c r="A183" s="266">
        <v>22</v>
      </c>
      <c r="B183" s="376"/>
      <c r="C183" s="376"/>
      <c r="D183" s="279" t="s">
        <v>2387</v>
      </c>
      <c r="E183" s="279" t="s">
        <v>2388</v>
      </c>
      <c r="F183" s="85">
        <v>1714</v>
      </c>
      <c r="G183" s="278" t="s">
        <v>2383</v>
      </c>
      <c r="H183" s="278" t="s">
        <v>38</v>
      </c>
      <c r="I183" s="278">
        <v>3.83</v>
      </c>
      <c r="J183" s="284">
        <v>3.98</v>
      </c>
      <c r="K183" s="278" t="s">
        <v>41</v>
      </c>
      <c r="L183" s="278">
        <v>4</v>
      </c>
      <c r="M183" s="278" t="s">
        <v>38</v>
      </c>
      <c r="N183" s="278" t="s">
        <v>38</v>
      </c>
      <c r="O183" s="278" t="s">
        <v>41</v>
      </c>
    </row>
    <row r="184" spans="1:15" ht="15">
      <c r="A184" s="501"/>
      <c r="B184" s="501"/>
      <c r="C184" s="501"/>
      <c r="D184" s="501"/>
      <c r="E184" s="501"/>
      <c r="F184" s="501"/>
      <c r="G184" s="501"/>
      <c r="H184" s="501"/>
      <c r="I184" s="501"/>
      <c r="J184" s="501"/>
      <c r="K184" s="501"/>
      <c r="L184" s="501"/>
      <c r="M184" s="501"/>
      <c r="N184" s="501"/>
      <c r="O184" s="501"/>
    </row>
    <row r="185" spans="1:15">
      <c r="A185" s="514"/>
      <c r="B185" s="514"/>
      <c r="C185" s="514"/>
      <c r="D185" s="514"/>
      <c r="E185" s="514"/>
      <c r="F185" s="514"/>
      <c r="G185" s="514"/>
      <c r="H185" s="514"/>
      <c r="I185" s="514"/>
      <c r="J185" s="514"/>
      <c r="K185" s="514"/>
      <c r="L185" s="514"/>
      <c r="M185" s="514"/>
      <c r="N185" s="514"/>
      <c r="O185" s="514"/>
    </row>
  </sheetData>
  <mergeCells count="45">
    <mergeCell ref="B162:B183"/>
    <mergeCell ref="C162:C179"/>
    <mergeCell ref="C180:C183"/>
    <mergeCell ref="A185:O185"/>
    <mergeCell ref="A159:O159"/>
    <mergeCell ref="C72:C74"/>
    <mergeCell ref="A76:O76"/>
    <mergeCell ref="A106:O106"/>
    <mergeCell ref="A101:O101"/>
    <mergeCell ref="A100:O100"/>
    <mergeCell ref="A75:O75"/>
    <mergeCell ref="B79:B99"/>
    <mergeCell ref="C84:C99"/>
    <mergeCell ref="A30:O30"/>
    <mergeCell ref="C5:C12"/>
    <mergeCell ref="A147:O147"/>
    <mergeCell ref="A146:O146"/>
    <mergeCell ref="A2:O2"/>
    <mergeCell ref="C13:C20"/>
    <mergeCell ref="C22:C28"/>
    <mergeCell ref="O5:O12"/>
    <mergeCell ref="A111:O111"/>
    <mergeCell ref="C119:C145"/>
    <mergeCell ref="A42:A43"/>
    <mergeCell ref="D42:D43"/>
    <mergeCell ref="A46:O46"/>
    <mergeCell ref="A52:O52"/>
    <mergeCell ref="B59:B74"/>
    <mergeCell ref="C59:C71"/>
    <mergeCell ref="A158:O158"/>
    <mergeCell ref="A184:O184"/>
    <mergeCell ref="A1:O1"/>
    <mergeCell ref="K152:K157"/>
    <mergeCell ref="B150:B157"/>
    <mergeCell ref="C150:C157"/>
    <mergeCell ref="D155:D156"/>
    <mergeCell ref="A56:O56"/>
    <mergeCell ref="C79:C83"/>
    <mergeCell ref="A107:O107"/>
    <mergeCell ref="A112:O112"/>
    <mergeCell ref="B5:B28"/>
    <mergeCell ref="B32:B44"/>
    <mergeCell ref="C32:C44"/>
    <mergeCell ref="A51:O51"/>
    <mergeCell ref="A55:O55"/>
  </mergeCells>
  <pageMargins left="1.5" right="0.7" top="0.75" bottom="0.75" header="0.3" footer="0.3"/>
  <pageSetup paperSize="5" scale="55" orientation="landscape" r:id="rId1"/>
  <rowBreaks count="4" manualBreakCount="4">
    <brk id="50" max="14" man="1"/>
    <brk id="100" max="14" man="1"/>
    <brk id="141" max="14" man="1"/>
    <brk id="153" max="14" man="1"/>
  </rowBreaks>
</worksheet>
</file>

<file path=xl/worksheets/sheet3.xml><?xml version="1.0" encoding="utf-8"?>
<worksheet xmlns="http://schemas.openxmlformats.org/spreadsheetml/2006/main" xmlns:r="http://schemas.openxmlformats.org/officeDocument/2006/relationships">
  <dimension ref="A1:U355"/>
  <sheetViews>
    <sheetView view="pageBreakPreview" zoomScale="60" zoomScaleNormal="70" workbookViewId="0">
      <selection activeCell="G360" sqref="G360"/>
    </sheetView>
  </sheetViews>
  <sheetFormatPr defaultRowHeight="14.25"/>
  <cols>
    <col min="1" max="1" width="10" style="15" customWidth="1"/>
    <col min="2" max="2" width="18.7109375" style="15" customWidth="1"/>
    <col min="3" max="3" width="30.28515625" style="15" customWidth="1"/>
    <col min="4" max="4" width="33.28515625" style="15" customWidth="1"/>
    <col min="5" max="5" width="19.7109375" style="15" customWidth="1"/>
    <col min="6" max="6" width="13.7109375" style="15" customWidth="1"/>
    <col min="7" max="7" width="18.5703125" style="15" customWidth="1"/>
    <col min="8" max="8" width="19.85546875" style="15" customWidth="1"/>
    <col min="9" max="9" width="17.7109375" style="18" customWidth="1"/>
    <col min="10" max="10" width="15.140625" style="15" customWidth="1"/>
    <col min="11" max="11" width="14.7109375" style="15" customWidth="1"/>
    <col min="12" max="12" width="11.5703125" style="15" customWidth="1"/>
    <col min="13" max="13" width="11.7109375" style="15" customWidth="1"/>
    <col min="14" max="14" width="10.7109375" style="15" customWidth="1"/>
    <col min="15" max="15" width="12" style="15" customWidth="1"/>
    <col min="16" max="16" width="34.140625" style="15" customWidth="1"/>
    <col min="17" max="17" width="12.28515625" style="15" customWidth="1"/>
    <col min="18" max="16384" width="9.140625" style="15"/>
  </cols>
  <sheetData>
    <row r="1" spans="1:17" s="13" customFormat="1" ht="25.5" customHeight="1">
      <c r="A1" s="542" t="s">
        <v>2430</v>
      </c>
      <c r="B1" s="543"/>
      <c r="C1" s="543"/>
      <c r="D1" s="543"/>
      <c r="E1" s="543"/>
      <c r="F1" s="543"/>
      <c r="G1" s="543"/>
      <c r="H1" s="543"/>
      <c r="I1" s="543"/>
      <c r="J1" s="543"/>
      <c r="K1" s="543"/>
      <c r="L1" s="543"/>
      <c r="M1" s="543"/>
      <c r="N1" s="543"/>
      <c r="O1" s="543"/>
      <c r="P1" s="544"/>
    </row>
    <row r="2" spans="1:17" ht="22.5" customHeight="1">
      <c r="A2" s="432" t="s">
        <v>177</v>
      </c>
      <c r="B2" s="432"/>
      <c r="C2" s="432"/>
      <c r="D2" s="432"/>
      <c r="E2" s="432"/>
      <c r="F2" s="432"/>
      <c r="G2" s="432"/>
      <c r="H2" s="432"/>
      <c r="I2" s="432"/>
      <c r="J2" s="432"/>
      <c r="K2" s="432"/>
      <c r="L2" s="432"/>
      <c r="M2" s="432"/>
      <c r="N2" s="432"/>
      <c r="O2" s="432"/>
      <c r="P2" s="432"/>
      <c r="Q2" s="14"/>
    </row>
    <row r="3" spans="1:17" ht="20.25">
      <c r="A3" s="526" t="s">
        <v>174</v>
      </c>
      <c r="B3" s="526"/>
      <c r="C3" s="526"/>
      <c r="D3" s="526"/>
      <c r="E3" s="526"/>
      <c r="F3" s="526"/>
      <c r="G3" s="526"/>
      <c r="H3" s="526"/>
      <c r="I3" s="526"/>
      <c r="J3" s="526"/>
      <c r="K3" s="526"/>
      <c r="L3" s="526"/>
      <c r="M3" s="528"/>
      <c r="N3" s="528"/>
      <c r="O3" s="528"/>
      <c r="P3" s="528"/>
      <c r="Q3" s="14"/>
    </row>
    <row r="4" spans="1:17" ht="114" customHeight="1">
      <c r="A4" s="20" t="s">
        <v>0</v>
      </c>
      <c r="B4" s="20" t="s">
        <v>116</v>
      </c>
      <c r="C4" s="20" t="s">
        <v>69</v>
      </c>
      <c r="D4" s="20" t="s">
        <v>70</v>
      </c>
      <c r="E4" s="20" t="s">
        <v>173</v>
      </c>
      <c r="F4" s="20" t="s">
        <v>63</v>
      </c>
      <c r="G4" s="286" t="s">
        <v>71</v>
      </c>
      <c r="H4" s="20" t="s">
        <v>175</v>
      </c>
      <c r="I4" s="20" t="s">
        <v>64</v>
      </c>
      <c r="J4" s="286" t="s">
        <v>72</v>
      </c>
      <c r="K4" s="22" t="s">
        <v>73</v>
      </c>
      <c r="L4" s="22" t="s">
        <v>66</v>
      </c>
      <c r="M4" s="528"/>
      <c r="N4" s="528"/>
      <c r="O4" s="528"/>
      <c r="P4" s="528"/>
      <c r="Q4" s="14"/>
    </row>
    <row r="5" spans="1:17" ht="13.5" customHeight="1">
      <c r="A5" s="295">
        <v>1</v>
      </c>
      <c r="B5" s="295">
        <v>2</v>
      </c>
      <c r="C5" s="295">
        <v>3</v>
      </c>
      <c r="D5" s="295">
        <v>4</v>
      </c>
      <c r="E5" s="295">
        <v>5</v>
      </c>
      <c r="F5" s="295">
        <v>6</v>
      </c>
      <c r="G5" s="295">
        <v>7</v>
      </c>
      <c r="H5" s="295">
        <v>8</v>
      </c>
      <c r="I5" s="286">
        <v>9</v>
      </c>
      <c r="J5" s="295">
        <v>10</v>
      </c>
      <c r="K5" s="295">
        <v>11</v>
      </c>
      <c r="L5" s="295">
        <v>12</v>
      </c>
      <c r="M5" s="528"/>
      <c r="N5" s="528"/>
      <c r="O5" s="528"/>
      <c r="P5" s="528"/>
      <c r="Q5" s="14"/>
    </row>
    <row r="6" spans="1:17" ht="30">
      <c r="A6" s="278">
        <v>1</v>
      </c>
      <c r="B6" s="376" t="s">
        <v>275</v>
      </c>
      <c r="C6" s="376" t="s">
        <v>189</v>
      </c>
      <c r="D6" s="132" t="s">
        <v>332</v>
      </c>
      <c r="E6" s="37">
        <v>352</v>
      </c>
      <c r="F6" s="37">
        <v>1877</v>
      </c>
      <c r="G6" s="37">
        <v>1877</v>
      </c>
      <c r="H6" s="37">
        <v>0.03</v>
      </c>
      <c r="I6" s="278" t="s">
        <v>12</v>
      </c>
      <c r="J6" s="87" t="s">
        <v>15</v>
      </c>
      <c r="K6" s="278">
        <v>1</v>
      </c>
      <c r="L6" s="87">
        <v>2</v>
      </c>
      <c r="M6" s="528"/>
      <c r="N6" s="528"/>
      <c r="O6" s="528"/>
      <c r="P6" s="528"/>
      <c r="Q6" s="14"/>
    </row>
    <row r="7" spans="1:17" ht="30">
      <c r="A7" s="278">
        <v>2</v>
      </c>
      <c r="B7" s="376"/>
      <c r="C7" s="376"/>
      <c r="D7" s="132" t="s">
        <v>333</v>
      </c>
      <c r="E7" s="37">
        <v>76.92</v>
      </c>
      <c r="F7" s="37">
        <v>1903</v>
      </c>
      <c r="G7" s="37">
        <v>1903</v>
      </c>
      <c r="H7" s="37">
        <v>2E-3</v>
      </c>
      <c r="I7" s="278" t="s">
        <v>12</v>
      </c>
      <c r="J7" s="87" t="s">
        <v>15</v>
      </c>
      <c r="K7" s="278">
        <v>2</v>
      </c>
      <c r="L7" s="87" t="s">
        <v>15</v>
      </c>
      <c r="M7" s="528"/>
      <c r="N7" s="528"/>
      <c r="O7" s="528"/>
      <c r="P7" s="528"/>
      <c r="Q7" s="14"/>
    </row>
    <row r="8" spans="1:17" ht="30">
      <c r="A8" s="278">
        <v>3</v>
      </c>
      <c r="B8" s="376"/>
      <c r="C8" s="376"/>
      <c r="D8" s="132" t="s">
        <v>334</v>
      </c>
      <c r="E8" s="37">
        <v>122.81</v>
      </c>
      <c r="F8" s="37">
        <v>1919</v>
      </c>
      <c r="G8" s="37">
        <v>1919</v>
      </c>
      <c r="H8" s="37">
        <v>6.9999999999999999E-4</v>
      </c>
      <c r="I8" s="278" t="s">
        <v>12</v>
      </c>
      <c r="J8" s="87" t="s">
        <v>15</v>
      </c>
      <c r="K8" s="278">
        <v>3</v>
      </c>
      <c r="L8" s="87" t="s">
        <v>15</v>
      </c>
      <c r="M8" s="528"/>
      <c r="N8" s="528"/>
      <c r="O8" s="528"/>
      <c r="P8" s="528"/>
      <c r="Q8" s="14"/>
    </row>
    <row r="9" spans="1:17" ht="30">
      <c r="A9" s="278">
        <v>4</v>
      </c>
      <c r="B9" s="376"/>
      <c r="C9" s="376"/>
      <c r="D9" s="132" t="s">
        <v>335</v>
      </c>
      <c r="E9" s="37">
        <v>198</v>
      </c>
      <c r="F9" s="37">
        <v>1875</v>
      </c>
      <c r="G9" s="37">
        <v>1875</v>
      </c>
      <c r="H9" s="37">
        <v>4.0000000000000001E-3</v>
      </c>
      <c r="I9" s="278" t="s">
        <v>12</v>
      </c>
      <c r="J9" s="87" t="s">
        <v>15</v>
      </c>
      <c r="K9" s="278">
        <v>4</v>
      </c>
      <c r="L9" s="278">
        <v>1</v>
      </c>
      <c r="M9" s="528"/>
      <c r="N9" s="528"/>
      <c r="O9" s="528"/>
      <c r="P9" s="528"/>
      <c r="Q9" s="14"/>
    </row>
    <row r="10" spans="1:17" ht="30">
      <c r="A10" s="278">
        <v>5</v>
      </c>
      <c r="B10" s="376"/>
      <c r="C10" s="376"/>
      <c r="D10" s="132" t="s">
        <v>336</v>
      </c>
      <c r="E10" s="37">
        <v>304</v>
      </c>
      <c r="F10" s="37">
        <v>1875</v>
      </c>
      <c r="G10" s="37">
        <v>1875</v>
      </c>
      <c r="H10" s="37">
        <v>7.0000000000000001E-3</v>
      </c>
      <c r="I10" s="278" t="s">
        <v>12</v>
      </c>
      <c r="J10" s="87" t="s">
        <v>15</v>
      </c>
      <c r="K10" s="278">
        <v>5</v>
      </c>
      <c r="L10" s="87" t="s">
        <v>15</v>
      </c>
      <c r="M10" s="528"/>
      <c r="N10" s="528"/>
      <c r="O10" s="528"/>
      <c r="P10" s="528"/>
      <c r="Q10" s="14"/>
    </row>
    <row r="11" spans="1:17" ht="30">
      <c r="A11" s="278">
        <v>6</v>
      </c>
      <c r="B11" s="376"/>
      <c r="C11" s="376" t="s">
        <v>281</v>
      </c>
      <c r="D11" s="132" t="s">
        <v>337</v>
      </c>
      <c r="E11" s="278">
        <v>20894</v>
      </c>
      <c r="F11" s="278" t="s">
        <v>338</v>
      </c>
      <c r="G11" s="278" t="s">
        <v>12</v>
      </c>
      <c r="H11" s="278"/>
      <c r="I11" s="278"/>
      <c r="J11" s="278"/>
      <c r="K11" s="278">
        <v>6</v>
      </c>
      <c r="L11" s="278"/>
      <c r="M11" s="528"/>
      <c r="N11" s="528"/>
      <c r="O11" s="528"/>
      <c r="P11" s="528"/>
      <c r="Q11" s="14"/>
    </row>
    <row r="12" spans="1:17" ht="15">
      <c r="A12" s="278">
        <v>7</v>
      </c>
      <c r="B12" s="376"/>
      <c r="C12" s="376"/>
      <c r="D12" s="132" t="s">
        <v>339</v>
      </c>
      <c r="E12" s="278">
        <v>20894</v>
      </c>
      <c r="F12" s="278"/>
      <c r="G12" s="278"/>
      <c r="H12" s="278"/>
      <c r="I12" s="278"/>
      <c r="J12" s="278"/>
      <c r="K12" s="278">
        <v>7</v>
      </c>
      <c r="L12" s="278"/>
      <c r="M12" s="528"/>
      <c r="N12" s="528"/>
      <c r="O12" s="528"/>
      <c r="P12" s="528"/>
      <c r="Q12" s="14"/>
    </row>
    <row r="13" spans="1:17" ht="15">
      <c r="A13" s="278">
        <v>8</v>
      </c>
      <c r="B13" s="376"/>
      <c r="C13" s="376"/>
      <c r="D13" s="132" t="s">
        <v>340</v>
      </c>
      <c r="E13" s="278"/>
      <c r="F13" s="278"/>
      <c r="G13" s="278"/>
      <c r="H13" s="278"/>
      <c r="I13" s="278"/>
      <c r="J13" s="278"/>
      <c r="K13" s="278">
        <v>8</v>
      </c>
      <c r="L13" s="278"/>
      <c r="M13" s="528"/>
      <c r="N13" s="528"/>
      <c r="O13" s="528"/>
      <c r="P13" s="528"/>
      <c r="Q13" s="14"/>
    </row>
    <row r="14" spans="1:17" ht="15">
      <c r="A14" s="278">
        <v>9</v>
      </c>
      <c r="B14" s="376"/>
      <c r="C14" s="376"/>
      <c r="D14" s="132" t="s">
        <v>342</v>
      </c>
      <c r="E14" s="278"/>
      <c r="F14" s="278"/>
      <c r="G14" s="278"/>
      <c r="H14" s="278"/>
      <c r="I14" s="278"/>
      <c r="J14" s="278"/>
      <c r="K14" s="278">
        <v>9</v>
      </c>
      <c r="L14" s="278"/>
      <c r="M14" s="528"/>
      <c r="N14" s="528"/>
      <c r="O14" s="528"/>
      <c r="P14" s="528"/>
      <c r="Q14" s="14"/>
    </row>
    <row r="15" spans="1:17" ht="15">
      <c r="A15" s="278">
        <v>10</v>
      </c>
      <c r="B15" s="376"/>
      <c r="C15" s="376"/>
      <c r="D15" s="132" t="s">
        <v>344</v>
      </c>
      <c r="E15" s="278">
        <v>332</v>
      </c>
      <c r="F15" s="278"/>
      <c r="G15" s="278" t="s">
        <v>345</v>
      </c>
      <c r="H15" s="278">
        <v>0.27</v>
      </c>
      <c r="I15" s="278"/>
      <c r="J15" s="278"/>
      <c r="K15" s="278">
        <v>10</v>
      </c>
      <c r="L15" s="278"/>
      <c r="M15" s="528"/>
      <c r="N15" s="528"/>
      <c r="O15" s="528"/>
      <c r="P15" s="528"/>
      <c r="Q15" s="14"/>
    </row>
    <row r="16" spans="1:17" ht="30">
      <c r="A16" s="278">
        <v>11</v>
      </c>
      <c r="B16" s="376"/>
      <c r="C16" s="376"/>
      <c r="D16" s="132" t="s">
        <v>346</v>
      </c>
      <c r="E16" s="278">
        <v>202.7</v>
      </c>
      <c r="F16" s="278"/>
      <c r="G16" s="278" t="s">
        <v>296</v>
      </c>
      <c r="H16" s="278">
        <v>0.13</v>
      </c>
      <c r="I16" s="278"/>
      <c r="J16" s="278"/>
      <c r="K16" s="278">
        <v>11</v>
      </c>
      <c r="L16" s="278"/>
      <c r="M16" s="528"/>
      <c r="N16" s="528"/>
      <c r="O16" s="528"/>
      <c r="P16" s="528"/>
      <c r="Q16" s="14"/>
    </row>
    <row r="17" spans="1:21" ht="15">
      <c r="A17" s="278">
        <v>12</v>
      </c>
      <c r="B17" s="376"/>
      <c r="C17" s="376"/>
      <c r="D17" s="132" t="s">
        <v>347</v>
      </c>
      <c r="E17" s="278">
        <v>84</v>
      </c>
      <c r="F17" s="278"/>
      <c r="G17" s="278" t="s">
        <v>348</v>
      </c>
      <c r="H17" s="278">
        <v>0.51</v>
      </c>
      <c r="I17" s="278"/>
      <c r="J17" s="278"/>
      <c r="K17" s="278">
        <v>12</v>
      </c>
      <c r="L17" s="278"/>
      <c r="M17" s="528"/>
      <c r="N17" s="528"/>
      <c r="O17" s="528"/>
      <c r="P17" s="528"/>
      <c r="Q17" s="14"/>
    </row>
    <row r="18" spans="1:21" ht="15">
      <c r="A18" s="278">
        <v>13</v>
      </c>
      <c r="B18" s="376"/>
      <c r="C18" s="376"/>
      <c r="D18" s="132" t="s">
        <v>349</v>
      </c>
      <c r="E18" s="278">
        <v>181.2</v>
      </c>
      <c r="F18" s="278"/>
      <c r="G18" s="278" t="s">
        <v>308</v>
      </c>
      <c r="H18" s="278">
        <v>0.88</v>
      </c>
      <c r="I18" s="278"/>
      <c r="J18" s="278"/>
      <c r="K18" s="278">
        <v>13</v>
      </c>
      <c r="L18" s="278"/>
      <c r="M18" s="528"/>
      <c r="N18" s="528"/>
      <c r="O18" s="528"/>
      <c r="P18" s="528"/>
      <c r="Q18" s="14"/>
    </row>
    <row r="19" spans="1:21" ht="45">
      <c r="A19" s="278">
        <v>14</v>
      </c>
      <c r="B19" s="376"/>
      <c r="C19" s="376" t="s">
        <v>312</v>
      </c>
      <c r="D19" s="132" t="s">
        <v>350</v>
      </c>
      <c r="E19" s="37">
        <v>1250</v>
      </c>
      <c r="F19" s="37">
        <v>1992</v>
      </c>
      <c r="G19" s="37" t="s">
        <v>54</v>
      </c>
      <c r="H19" s="37">
        <v>0.72</v>
      </c>
      <c r="I19" s="37"/>
      <c r="J19" s="37" t="s">
        <v>54</v>
      </c>
      <c r="K19" s="37">
        <v>1</v>
      </c>
      <c r="L19" s="37">
        <v>5</v>
      </c>
      <c r="M19" s="528"/>
      <c r="N19" s="528"/>
      <c r="O19" s="528"/>
      <c r="P19" s="528"/>
      <c r="Q19" s="14"/>
    </row>
    <row r="20" spans="1:21" ht="30">
      <c r="A20" s="278">
        <v>15</v>
      </c>
      <c r="B20" s="376"/>
      <c r="C20" s="376"/>
      <c r="D20" s="132" t="s">
        <v>352</v>
      </c>
      <c r="E20" s="37">
        <f>200.4+173.175</f>
        <v>373.57500000000005</v>
      </c>
      <c r="F20" s="37" t="s">
        <v>330</v>
      </c>
      <c r="G20" s="37" t="s">
        <v>110</v>
      </c>
      <c r="H20" s="37" t="s">
        <v>42</v>
      </c>
      <c r="I20" s="37" t="s">
        <v>42</v>
      </c>
      <c r="J20" s="37" t="s">
        <v>42</v>
      </c>
      <c r="K20" s="37">
        <v>2</v>
      </c>
      <c r="L20" s="37">
        <v>7</v>
      </c>
      <c r="M20" s="528"/>
      <c r="N20" s="528"/>
      <c r="O20" s="528"/>
      <c r="P20" s="528"/>
      <c r="Q20" s="14"/>
    </row>
    <row r="21" spans="1:21" ht="30">
      <c r="A21" s="278">
        <v>16</v>
      </c>
      <c r="B21" s="376"/>
      <c r="C21" s="376"/>
      <c r="D21" s="132" t="s">
        <v>354</v>
      </c>
      <c r="E21" s="37" t="s">
        <v>355</v>
      </c>
      <c r="F21" s="37" t="s">
        <v>356</v>
      </c>
      <c r="G21" s="37" t="s">
        <v>356</v>
      </c>
      <c r="H21" s="37" t="s">
        <v>357</v>
      </c>
      <c r="I21" s="37" t="s">
        <v>357</v>
      </c>
      <c r="J21" s="37" t="s">
        <v>357</v>
      </c>
      <c r="K21" s="37">
        <v>3</v>
      </c>
      <c r="L21" s="37" t="s">
        <v>357</v>
      </c>
      <c r="M21" s="528"/>
      <c r="N21" s="528"/>
      <c r="O21" s="528"/>
      <c r="P21" s="528"/>
      <c r="Q21" s="14"/>
    </row>
    <row r="22" spans="1:21" ht="15">
      <c r="A22" s="545"/>
      <c r="B22" s="546"/>
      <c r="C22" s="546"/>
      <c r="D22" s="546"/>
      <c r="E22" s="546"/>
      <c r="F22" s="546"/>
      <c r="G22" s="546"/>
      <c r="H22" s="546"/>
      <c r="I22" s="546"/>
      <c r="J22" s="546"/>
      <c r="K22" s="546"/>
      <c r="L22" s="546"/>
      <c r="M22" s="546"/>
      <c r="N22" s="546"/>
      <c r="O22" s="546"/>
      <c r="P22" s="547"/>
      <c r="Q22" s="14"/>
    </row>
    <row r="23" spans="1:21" ht="28.5">
      <c r="A23" s="520" t="s">
        <v>74</v>
      </c>
      <c r="B23" s="520"/>
      <c r="C23" s="520"/>
      <c r="D23" s="520"/>
      <c r="E23" s="520"/>
      <c r="F23" s="520"/>
      <c r="G23" s="520"/>
      <c r="H23" s="520"/>
      <c r="I23" s="520"/>
      <c r="J23" s="520"/>
      <c r="K23" s="520"/>
      <c r="L23" s="520"/>
      <c r="M23" s="520"/>
      <c r="N23" s="520"/>
      <c r="O23" s="520"/>
      <c r="P23" s="62" t="s">
        <v>67</v>
      </c>
      <c r="Q23" s="14"/>
    </row>
    <row r="24" spans="1:21">
      <c r="A24" s="520">
        <v>13</v>
      </c>
      <c r="B24" s="520"/>
      <c r="C24" s="520"/>
      <c r="D24" s="520"/>
      <c r="E24" s="520"/>
      <c r="F24" s="520"/>
      <c r="G24" s="520"/>
      <c r="H24" s="520"/>
      <c r="I24" s="520"/>
      <c r="J24" s="520"/>
      <c r="K24" s="520"/>
      <c r="L24" s="520"/>
      <c r="M24" s="520"/>
      <c r="N24" s="520"/>
      <c r="O24" s="520"/>
      <c r="P24" s="20">
        <v>14</v>
      </c>
      <c r="Q24" s="14"/>
    </row>
    <row r="25" spans="1:21" ht="15">
      <c r="A25" s="520" t="s">
        <v>75</v>
      </c>
      <c r="B25" s="520"/>
      <c r="C25" s="520"/>
      <c r="D25" s="520" t="s">
        <v>76</v>
      </c>
      <c r="E25" s="520"/>
      <c r="F25" s="520"/>
      <c r="G25" s="520" t="s">
        <v>77</v>
      </c>
      <c r="H25" s="520"/>
      <c r="I25" s="520"/>
      <c r="J25" s="520" t="s">
        <v>78</v>
      </c>
      <c r="K25" s="520"/>
      <c r="L25" s="520"/>
      <c r="M25" s="520" t="s">
        <v>79</v>
      </c>
      <c r="N25" s="520"/>
      <c r="O25" s="520"/>
      <c r="P25" s="74"/>
      <c r="Q25" s="14"/>
    </row>
    <row r="26" spans="1:21" ht="15">
      <c r="A26" s="296" t="s">
        <v>80</v>
      </c>
      <c r="B26" s="296" t="s">
        <v>81</v>
      </c>
      <c r="C26" s="284" t="s">
        <v>47</v>
      </c>
      <c r="D26" s="296" t="s">
        <v>80</v>
      </c>
      <c r="E26" s="296" t="s">
        <v>81</v>
      </c>
      <c r="F26" s="284" t="s">
        <v>47</v>
      </c>
      <c r="G26" s="296" t="s">
        <v>80</v>
      </c>
      <c r="H26" s="296" t="s">
        <v>81</v>
      </c>
      <c r="I26" s="284" t="s">
        <v>47</v>
      </c>
      <c r="J26" s="296" t="s">
        <v>80</v>
      </c>
      <c r="K26" s="296" t="s">
        <v>81</v>
      </c>
      <c r="L26" s="284" t="s">
        <v>47</v>
      </c>
      <c r="M26" s="296" t="s">
        <v>80</v>
      </c>
      <c r="N26" s="296" t="s">
        <v>81</v>
      </c>
      <c r="O26" s="284" t="s">
        <v>47</v>
      </c>
      <c r="P26" s="296"/>
      <c r="Q26" s="14"/>
    </row>
    <row r="27" spans="1:21" ht="15">
      <c r="A27" s="291">
        <v>48</v>
      </c>
      <c r="B27" s="291">
        <v>4</v>
      </c>
      <c r="C27" s="291">
        <v>4</v>
      </c>
      <c r="D27" s="291">
        <v>85</v>
      </c>
      <c r="E27" s="291">
        <v>50</v>
      </c>
      <c r="F27" s="291">
        <v>50</v>
      </c>
      <c r="G27" s="291">
        <v>74</v>
      </c>
      <c r="H27" s="291">
        <v>47</v>
      </c>
      <c r="I27" s="291">
        <v>47</v>
      </c>
      <c r="J27" s="291">
        <v>7</v>
      </c>
      <c r="K27" s="291">
        <v>6</v>
      </c>
      <c r="L27" s="291">
        <v>6</v>
      </c>
      <c r="M27" s="291">
        <v>0</v>
      </c>
      <c r="N27" s="291">
        <v>0</v>
      </c>
      <c r="O27" s="291">
        <v>0</v>
      </c>
      <c r="P27" s="68" t="s">
        <v>1704</v>
      </c>
      <c r="Q27" s="14"/>
    </row>
    <row r="28" spans="1:21" ht="15">
      <c r="A28" s="291">
        <v>10</v>
      </c>
      <c r="B28" s="291">
        <v>10</v>
      </c>
      <c r="C28" s="291">
        <v>10</v>
      </c>
      <c r="D28" s="291">
        <v>3</v>
      </c>
      <c r="E28" s="291">
        <v>3</v>
      </c>
      <c r="F28" s="291">
        <v>3</v>
      </c>
      <c r="G28" s="291">
        <v>5</v>
      </c>
      <c r="H28" s="291">
        <v>5</v>
      </c>
      <c r="I28" s="291">
        <v>5</v>
      </c>
      <c r="J28" s="291">
        <v>1</v>
      </c>
      <c r="K28" s="291">
        <v>1</v>
      </c>
      <c r="L28" s="291">
        <v>1</v>
      </c>
      <c r="M28" s="291">
        <v>0</v>
      </c>
      <c r="N28" s="291">
        <v>0</v>
      </c>
      <c r="O28" s="291">
        <v>0</v>
      </c>
      <c r="P28" s="68" t="s">
        <v>1705</v>
      </c>
      <c r="Q28" s="14"/>
    </row>
    <row r="29" spans="1:21" ht="60">
      <c r="A29" s="291" t="s">
        <v>1703</v>
      </c>
      <c r="B29" s="291">
        <v>16</v>
      </c>
      <c r="C29" s="291">
        <v>0</v>
      </c>
      <c r="D29" s="291">
        <v>52</v>
      </c>
      <c r="E29" s="291">
        <v>52</v>
      </c>
      <c r="F29" s="291">
        <v>17</v>
      </c>
      <c r="G29" s="291">
        <v>18</v>
      </c>
      <c r="H29" s="291">
        <v>16</v>
      </c>
      <c r="I29" s="291">
        <v>10</v>
      </c>
      <c r="J29" s="291">
        <v>3</v>
      </c>
      <c r="K29" s="291">
        <v>3</v>
      </c>
      <c r="L29" s="291">
        <v>1</v>
      </c>
      <c r="M29" s="291">
        <v>0</v>
      </c>
      <c r="N29" s="291">
        <v>0</v>
      </c>
      <c r="O29" s="291">
        <v>0</v>
      </c>
      <c r="P29" s="68" t="s">
        <v>1706</v>
      </c>
      <c r="Q29" s="14"/>
    </row>
    <row r="30" spans="1:21" ht="15">
      <c r="A30" s="291">
        <v>0</v>
      </c>
      <c r="B30" s="291">
        <v>0</v>
      </c>
      <c r="C30" s="291">
        <v>14</v>
      </c>
      <c r="D30" s="291">
        <v>14</v>
      </c>
      <c r="E30" s="291">
        <v>7</v>
      </c>
      <c r="F30" s="291">
        <v>7</v>
      </c>
      <c r="G30" s="291">
        <v>6</v>
      </c>
      <c r="H30" s="291">
        <v>5</v>
      </c>
      <c r="I30" s="291">
        <v>1</v>
      </c>
      <c r="J30" s="291">
        <v>1</v>
      </c>
      <c r="K30" s="291">
        <v>0</v>
      </c>
      <c r="L30" s="291">
        <v>0</v>
      </c>
      <c r="M30" s="291">
        <v>0</v>
      </c>
      <c r="N30" s="291">
        <v>0</v>
      </c>
      <c r="O30" s="291">
        <v>0</v>
      </c>
      <c r="P30" s="74"/>
      <c r="Q30" s="14"/>
      <c r="R30" s="14"/>
      <c r="S30" s="14"/>
      <c r="T30" s="14"/>
      <c r="U30" s="14"/>
    </row>
    <row r="31" spans="1:21" ht="15">
      <c r="A31" s="515" t="s">
        <v>82</v>
      </c>
      <c r="B31" s="515"/>
      <c r="C31" s="515"/>
      <c r="D31" s="515" t="s">
        <v>83</v>
      </c>
      <c r="E31" s="515"/>
      <c r="F31" s="515"/>
      <c r="G31" s="26"/>
      <c r="H31" s="72" t="s">
        <v>84</v>
      </c>
      <c r="I31" s="26"/>
      <c r="J31" s="516"/>
      <c r="K31" s="516"/>
      <c r="L31" s="516"/>
      <c r="M31" s="516"/>
      <c r="N31" s="516"/>
      <c r="O31" s="516"/>
      <c r="P31" s="74"/>
      <c r="Q31" s="14"/>
      <c r="R31" s="14"/>
      <c r="S31" s="14"/>
      <c r="T31" s="14"/>
      <c r="U31" s="14"/>
    </row>
    <row r="32" spans="1:21" ht="15">
      <c r="A32" s="281" t="s">
        <v>80</v>
      </c>
      <c r="B32" s="281" t="s">
        <v>81</v>
      </c>
      <c r="C32" s="278" t="s">
        <v>47</v>
      </c>
      <c r="D32" s="290" t="s">
        <v>80</v>
      </c>
      <c r="E32" s="281" t="s">
        <v>81</v>
      </c>
      <c r="F32" s="278" t="s">
        <v>47</v>
      </c>
      <c r="G32" s="281" t="s">
        <v>80</v>
      </c>
      <c r="H32" s="281" t="s">
        <v>81</v>
      </c>
      <c r="I32" s="278" t="s">
        <v>47</v>
      </c>
      <c r="J32" s="516"/>
      <c r="K32" s="516"/>
      <c r="L32" s="516"/>
      <c r="M32" s="516"/>
      <c r="N32" s="516"/>
      <c r="O32" s="516"/>
      <c r="P32" s="74"/>
      <c r="Q32" s="14"/>
    </row>
    <row r="33" spans="1:17" ht="15">
      <c r="A33" s="74"/>
      <c r="B33" s="74"/>
      <c r="C33" s="74"/>
      <c r="D33" s="74"/>
      <c r="E33" s="74"/>
      <c r="F33" s="74"/>
      <c r="G33" s="74"/>
      <c r="H33" s="74"/>
      <c r="I33" s="301"/>
      <c r="J33" s="516"/>
      <c r="K33" s="516"/>
      <c r="L33" s="516"/>
      <c r="M33" s="516"/>
      <c r="N33" s="516"/>
      <c r="O33" s="516"/>
      <c r="P33" s="74"/>
      <c r="Q33" s="14"/>
    </row>
    <row r="34" spans="1:17">
      <c r="A34" s="505"/>
      <c r="B34" s="505"/>
      <c r="C34" s="505"/>
      <c r="D34" s="505"/>
      <c r="E34" s="505"/>
      <c r="F34" s="505"/>
      <c r="G34" s="505"/>
      <c r="H34" s="505"/>
      <c r="I34" s="505"/>
      <c r="J34" s="505"/>
      <c r="K34" s="505"/>
      <c r="L34" s="505"/>
      <c r="M34" s="505"/>
      <c r="N34" s="505"/>
      <c r="O34" s="505"/>
      <c r="P34" s="505"/>
    </row>
    <row r="35" spans="1:17" ht="22.5" customHeight="1">
      <c r="A35" s="523" t="s">
        <v>178</v>
      </c>
      <c r="B35" s="523"/>
      <c r="C35" s="523"/>
      <c r="D35" s="523"/>
      <c r="E35" s="523"/>
      <c r="F35" s="523"/>
      <c r="G35" s="523"/>
      <c r="H35" s="523"/>
      <c r="I35" s="523"/>
      <c r="J35" s="523"/>
      <c r="K35" s="523"/>
      <c r="L35" s="523"/>
      <c r="M35" s="523"/>
      <c r="N35" s="523"/>
      <c r="O35" s="523"/>
      <c r="P35" s="523"/>
    </row>
    <row r="36" spans="1:17" ht="20.25">
      <c r="A36" s="526" t="s">
        <v>174</v>
      </c>
      <c r="B36" s="526"/>
      <c r="C36" s="526"/>
      <c r="D36" s="526"/>
      <c r="E36" s="526"/>
      <c r="F36" s="526"/>
      <c r="G36" s="526"/>
      <c r="H36" s="526"/>
      <c r="I36" s="526"/>
      <c r="J36" s="526"/>
      <c r="K36" s="526"/>
      <c r="L36" s="526"/>
      <c r="M36" s="532"/>
      <c r="N36" s="533"/>
      <c r="O36" s="533"/>
      <c r="P36" s="534"/>
    </row>
    <row r="37" spans="1:17" ht="99" customHeight="1">
      <c r="A37" s="20" t="s">
        <v>0</v>
      </c>
      <c r="B37" s="20" t="s">
        <v>116</v>
      </c>
      <c r="C37" s="20" t="s">
        <v>176</v>
      </c>
      <c r="D37" s="20" t="s">
        <v>70</v>
      </c>
      <c r="E37" s="20" t="s">
        <v>173</v>
      </c>
      <c r="F37" s="20" t="s">
        <v>63</v>
      </c>
      <c r="G37" s="286" t="s">
        <v>71</v>
      </c>
      <c r="H37" s="20" t="s">
        <v>175</v>
      </c>
      <c r="I37" s="20" t="s">
        <v>64</v>
      </c>
      <c r="J37" s="286" t="s">
        <v>72</v>
      </c>
      <c r="K37" s="22" t="s">
        <v>73</v>
      </c>
      <c r="L37" s="22" t="s">
        <v>66</v>
      </c>
      <c r="M37" s="535"/>
      <c r="N37" s="536"/>
      <c r="O37" s="536"/>
      <c r="P37" s="537"/>
    </row>
    <row r="38" spans="1:17">
      <c r="A38" s="295">
        <v>1</v>
      </c>
      <c r="B38" s="295">
        <v>2</v>
      </c>
      <c r="C38" s="295">
        <v>3</v>
      </c>
      <c r="D38" s="295">
        <v>4</v>
      </c>
      <c r="E38" s="295">
        <v>5</v>
      </c>
      <c r="F38" s="295">
        <v>6</v>
      </c>
      <c r="G38" s="295">
        <v>7</v>
      </c>
      <c r="H38" s="295">
        <v>8</v>
      </c>
      <c r="I38" s="286">
        <v>9</v>
      </c>
      <c r="J38" s="295">
        <v>10</v>
      </c>
      <c r="K38" s="295">
        <v>11</v>
      </c>
      <c r="L38" s="295">
        <v>12</v>
      </c>
      <c r="M38" s="535"/>
      <c r="N38" s="536"/>
      <c r="O38" s="536"/>
      <c r="P38" s="537"/>
    </row>
    <row r="39" spans="1:17" ht="45">
      <c r="A39" s="278">
        <v>1</v>
      </c>
      <c r="B39" s="376" t="s">
        <v>452</v>
      </c>
      <c r="C39" s="376" t="s">
        <v>365</v>
      </c>
      <c r="D39" s="168" t="s">
        <v>433</v>
      </c>
      <c r="E39" s="278">
        <v>5020.28</v>
      </c>
      <c r="F39" s="278" t="s">
        <v>1707</v>
      </c>
      <c r="G39" s="278" t="s">
        <v>12</v>
      </c>
      <c r="H39" s="278">
        <v>13.51</v>
      </c>
      <c r="I39" s="284">
        <v>16.7</v>
      </c>
      <c r="J39" s="284" t="s">
        <v>14</v>
      </c>
      <c r="K39" s="278">
        <v>1</v>
      </c>
      <c r="L39" s="278" t="s">
        <v>12</v>
      </c>
      <c r="M39" s="535"/>
      <c r="N39" s="536"/>
      <c r="O39" s="536"/>
      <c r="P39" s="537"/>
    </row>
    <row r="40" spans="1:17" ht="45">
      <c r="A40" s="278">
        <v>2</v>
      </c>
      <c r="B40" s="376"/>
      <c r="C40" s="376"/>
      <c r="D40" s="292" t="s">
        <v>1708</v>
      </c>
      <c r="E40" s="278">
        <v>480</v>
      </c>
      <c r="F40" s="278">
        <v>2001</v>
      </c>
      <c r="G40" s="278" t="s">
        <v>12</v>
      </c>
      <c r="H40" s="278">
        <v>0.52</v>
      </c>
      <c r="I40" s="278">
        <v>0.93</v>
      </c>
      <c r="J40" s="284" t="s">
        <v>14</v>
      </c>
      <c r="K40" s="278" t="s">
        <v>12</v>
      </c>
      <c r="L40" s="278">
        <v>2</v>
      </c>
      <c r="M40" s="535"/>
      <c r="N40" s="536"/>
      <c r="O40" s="536"/>
      <c r="P40" s="537"/>
    </row>
    <row r="41" spans="1:17" ht="30">
      <c r="A41" s="278">
        <v>3</v>
      </c>
      <c r="B41" s="376"/>
      <c r="C41" s="376"/>
      <c r="D41" s="292" t="s">
        <v>1709</v>
      </c>
      <c r="E41" s="278" t="s">
        <v>1710</v>
      </c>
      <c r="F41" s="278">
        <v>2003</v>
      </c>
      <c r="G41" s="278" t="s">
        <v>12</v>
      </c>
      <c r="H41" s="278">
        <v>0.32</v>
      </c>
      <c r="I41" s="278">
        <v>2.6</v>
      </c>
      <c r="J41" s="284" t="s">
        <v>14</v>
      </c>
      <c r="K41" s="278" t="s">
        <v>12</v>
      </c>
      <c r="L41" s="278">
        <v>1</v>
      </c>
      <c r="M41" s="535"/>
      <c r="N41" s="536"/>
      <c r="O41" s="536"/>
      <c r="P41" s="537"/>
    </row>
    <row r="42" spans="1:17" ht="30">
      <c r="A42" s="278">
        <v>4</v>
      </c>
      <c r="B42" s="376"/>
      <c r="C42" s="376"/>
      <c r="D42" s="292" t="s">
        <v>1711</v>
      </c>
      <c r="E42" s="278" t="s">
        <v>1712</v>
      </c>
      <c r="F42" s="278">
        <v>1904</v>
      </c>
      <c r="G42" s="278" t="s">
        <v>12</v>
      </c>
      <c r="H42" s="278" t="s">
        <v>12</v>
      </c>
      <c r="I42" s="278">
        <v>0</v>
      </c>
      <c r="J42" s="284" t="s">
        <v>14</v>
      </c>
      <c r="K42" s="278">
        <v>2</v>
      </c>
      <c r="L42" s="278" t="s">
        <v>12</v>
      </c>
      <c r="M42" s="535"/>
      <c r="N42" s="536"/>
      <c r="O42" s="536"/>
      <c r="P42" s="537"/>
    </row>
    <row r="43" spans="1:17" ht="30">
      <c r="A43" s="278">
        <v>5</v>
      </c>
      <c r="B43" s="376"/>
      <c r="C43" s="376"/>
      <c r="D43" s="292" t="s">
        <v>1713</v>
      </c>
      <c r="E43" s="278" t="s">
        <v>1712</v>
      </c>
      <c r="F43" s="294" t="s">
        <v>438</v>
      </c>
      <c r="G43" s="278" t="s">
        <v>12</v>
      </c>
      <c r="H43" s="278" t="s">
        <v>12</v>
      </c>
      <c r="I43" s="278">
        <v>0</v>
      </c>
      <c r="J43" s="284" t="s">
        <v>14</v>
      </c>
      <c r="K43" s="278">
        <v>3</v>
      </c>
      <c r="L43" s="278" t="s">
        <v>12</v>
      </c>
      <c r="M43" s="535"/>
      <c r="N43" s="536"/>
      <c r="O43" s="536"/>
      <c r="P43" s="537"/>
    </row>
    <row r="44" spans="1:17" ht="30">
      <c r="A44" s="278">
        <v>6</v>
      </c>
      <c r="B44" s="376"/>
      <c r="C44" s="376"/>
      <c r="D44" s="292" t="s">
        <v>439</v>
      </c>
      <c r="E44" s="278" t="s">
        <v>1714</v>
      </c>
      <c r="F44" s="278">
        <v>1999</v>
      </c>
      <c r="G44" s="278" t="s">
        <v>12</v>
      </c>
      <c r="H44" s="278">
        <v>0.39</v>
      </c>
      <c r="I44" s="278">
        <v>0</v>
      </c>
      <c r="J44" s="284" t="s">
        <v>14</v>
      </c>
      <c r="K44" s="278">
        <v>4</v>
      </c>
      <c r="L44" s="278" t="s">
        <v>12</v>
      </c>
      <c r="M44" s="535"/>
      <c r="N44" s="536"/>
      <c r="O44" s="536"/>
      <c r="P44" s="537"/>
    </row>
    <row r="45" spans="1:17" ht="30">
      <c r="A45" s="278">
        <v>7</v>
      </c>
      <c r="B45" s="376"/>
      <c r="C45" s="376"/>
      <c r="D45" s="292" t="s">
        <v>1715</v>
      </c>
      <c r="E45" s="278" t="s">
        <v>1716</v>
      </c>
      <c r="F45" s="278">
        <v>1999</v>
      </c>
      <c r="G45" s="278" t="s">
        <v>12</v>
      </c>
      <c r="H45" s="278">
        <v>0.21</v>
      </c>
      <c r="I45" s="278">
        <v>0</v>
      </c>
      <c r="J45" s="284" t="s">
        <v>14</v>
      </c>
      <c r="K45" s="278" t="s">
        <v>1717</v>
      </c>
      <c r="L45" s="278" t="s">
        <v>12</v>
      </c>
      <c r="M45" s="535"/>
      <c r="N45" s="536"/>
      <c r="O45" s="536"/>
      <c r="P45" s="537"/>
    </row>
    <row r="46" spans="1:17" ht="30">
      <c r="A46" s="278">
        <v>8</v>
      </c>
      <c r="B46" s="376"/>
      <c r="C46" s="376"/>
      <c r="D46" s="292" t="s">
        <v>445</v>
      </c>
      <c r="E46" s="278">
        <v>2320</v>
      </c>
      <c r="F46" s="278">
        <v>1990</v>
      </c>
      <c r="G46" s="278" t="s">
        <v>12</v>
      </c>
      <c r="H46" s="278">
        <v>0.42799999999999999</v>
      </c>
      <c r="I46" s="278">
        <v>3.24</v>
      </c>
      <c r="J46" s="284" t="s">
        <v>14</v>
      </c>
      <c r="K46" s="278">
        <v>7</v>
      </c>
      <c r="L46" s="278" t="s">
        <v>12</v>
      </c>
      <c r="M46" s="535"/>
      <c r="N46" s="536"/>
      <c r="O46" s="536"/>
      <c r="P46" s="537"/>
    </row>
    <row r="47" spans="1:17" ht="30">
      <c r="A47" s="278">
        <v>9</v>
      </c>
      <c r="B47" s="376"/>
      <c r="C47" s="376"/>
      <c r="D47" s="292" t="s">
        <v>447</v>
      </c>
      <c r="E47" s="278" t="s">
        <v>1712</v>
      </c>
      <c r="F47" s="294" t="s">
        <v>438</v>
      </c>
      <c r="G47" s="278" t="s">
        <v>12</v>
      </c>
      <c r="H47" s="278" t="s">
        <v>12</v>
      </c>
      <c r="I47" s="278">
        <v>0</v>
      </c>
      <c r="J47" s="284" t="s">
        <v>14</v>
      </c>
      <c r="K47" s="278">
        <v>8</v>
      </c>
      <c r="L47" s="278" t="s">
        <v>12</v>
      </c>
      <c r="M47" s="535"/>
      <c r="N47" s="536"/>
      <c r="O47" s="536"/>
      <c r="P47" s="537"/>
    </row>
    <row r="48" spans="1:17" ht="30">
      <c r="A48" s="278">
        <v>10</v>
      </c>
      <c r="B48" s="376"/>
      <c r="C48" s="376"/>
      <c r="D48" s="292" t="s">
        <v>448</v>
      </c>
      <c r="E48" s="278" t="s">
        <v>1712</v>
      </c>
      <c r="F48" s="294" t="s">
        <v>438</v>
      </c>
      <c r="G48" s="278" t="s">
        <v>12</v>
      </c>
      <c r="H48" s="278" t="s">
        <v>12</v>
      </c>
      <c r="I48" s="278">
        <v>0</v>
      </c>
      <c r="J48" s="284" t="s">
        <v>14</v>
      </c>
      <c r="K48" s="278">
        <v>9</v>
      </c>
      <c r="L48" s="278" t="s">
        <v>12</v>
      </c>
      <c r="M48" s="535"/>
      <c r="N48" s="536"/>
      <c r="O48" s="536"/>
      <c r="P48" s="537"/>
    </row>
    <row r="49" spans="1:16" ht="30">
      <c r="A49" s="278">
        <v>11</v>
      </c>
      <c r="B49" s="376"/>
      <c r="C49" s="376"/>
      <c r="D49" s="292" t="s">
        <v>1718</v>
      </c>
      <c r="E49" s="278" t="s">
        <v>1712</v>
      </c>
      <c r="F49" s="294" t="s">
        <v>438</v>
      </c>
      <c r="G49" s="278" t="s">
        <v>12</v>
      </c>
      <c r="H49" s="278" t="s">
        <v>12</v>
      </c>
      <c r="I49" s="278">
        <v>0</v>
      </c>
      <c r="J49" s="284" t="s">
        <v>14</v>
      </c>
      <c r="K49" s="278">
        <v>10</v>
      </c>
      <c r="L49" s="278" t="s">
        <v>12</v>
      </c>
      <c r="M49" s="535"/>
      <c r="N49" s="536"/>
      <c r="O49" s="536"/>
      <c r="P49" s="537"/>
    </row>
    <row r="50" spans="1:16" ht="45">
      <c r="A50" s="278">
        <v>12</v>
      </c>
      <c r="B50" s="376"/>
      <c r="C50" s="376"/>
      <c r="D50" s="292" t="s">
        <v>450</v>
      </c>
      <c r="E50" s="278" t="s">
        <v>1712</v>
      </c>
      <c r="F50" s="294" t="s">
        <v>438</v>
      </c>
      <c r="G50" s="278" t="s">
        <v>12</v>
      </c>
      <c r="H50" s="278" t="s">
        <v>12</v>
      </c>
      <c r="I50" s="278">
        <v>0</v>
      </c>
      <c r="J50" s="284" t="s">
        <v>14</v>
      </c>
      <c r="K50" s="278">
        <v>11</v>
      </c>
      <c r="L50" s="278" t="s">
        <v>12</v>
      </c>
      <c r="M50" s="535"/>
      <c r="N50" s="536"/>
      <c r="O50" s="536"/>
      <c r="P50" s="537"/>
    </row>
    <row r="51" spans="1:16" ht="60">
      <c r="A51" s="278">
        <v>13</v>
      </c>
      <c r="B51" s="376"/>
      <c r="C51" s="376"/>
      <c r="D51" s="292" t="s">
        <v>451</v>
      </c>
      <c r="E51" s="278" t="s">
        <v>1712</v>
      </c>
      <c r="F51" s="294" t="s">
        <v>438</v>
      </c>
      <c r="G51" s="278" t="s">
        <v>12</v>
      </c>
      <c r="H51" s="278" t="s">
        <v>12</v>
      </c>
      <c r="I51" s="278">
        <v>0</v>
      </c>
      <c r="J51" s="284" t="s">
        <v>14</v>
      </c>
      <c r="K51" s="278">
        <v>12</v>
      </c>
      <c r="L51" s="278" t="s">
        <v>12</v>
      </c>
      <c r="M51" s="538"/>
      <c r="N51" s="539"/>
      <c r="O51" s="539"/>
      <c r="P51" s="540"/>
    </row>
    <row r="52" spans="1:16" ht="15">
      <c r="A52" s="383"/>
      <c r="B52" s="384"/>
      <c r="C52" s="384"/>
      <c r="D52" s="384"/>
      <c r="E52" s="384"/>
      <c r="F52" s="384"/>
      <c r="G52" s="384"/>
      <c r="H52" s="384"/>
      <c r="I52" s="384"/>
      <c r="J52" s="384"/>
      <c r="K52" s="384"/>
      <c r="L52" s="384"/>
      <c r="M52" s="384"/>
      <c r="N52" s="384"/>
      <c r="O52" s="384"/>
      <c r="P52" s="385"/>
    </row>
    <row r="53" spans="1:16" ht="28.5">
      <c r="A53" s="520" t="s">
        <v>74</v>
      </c>
      <c r="B53" s="520"/>
      <c r="C53" s="520"/>
      <c r="D53" s="520"/>
      <c r="E53" s="520"/>
      <c r="F53" s="520"/>
      <c r="G53" s="520"/>
      <c r="H53" s="520"/>
      <c r="I53" s="520"/>
      <c r="J53" s="520"/>
      <c r="K53" s="520"/>
      <c r="L53" s="520"/>
      <c r="M53" s="520"/>
      <c r="N53" s="520"/>
      <c r="O53" s="520"/>
      <c r="P53" s="62" t="s">
        <v>67</v>
      </c>
    </row>
    <row r="54" spans="1:16">
      <c r="A54" s="520">
        <v>13</v>
      </c>
      <c r="B54" s="520"/>
      <c r="C54" s="520"/>
      <c r="D54" s="520"/>
      <c r="E54" s="520"/>
      <c r="F54" s="520"/>
      <c r="G54" s="520"/>
      <c r="H54" s="520"/>
      <c r="I54" s="520"/>
      <c r="J54" s="520"/>
      <c r="K54" s="520"/>
      <c r="L54" s="520"/>
      <c r="M54" s="520"/>
      <c r="N54" s="520"/>
      <c r="O54" s="520"/>
      <c r="P54" s="20">
        <v>14</v>
      </c>
    </row>
    <row r="55" spans="1:16">
      <c r="A55" s="521"/>
      <c r="B55" s="521"/>
      <c r="C55" s="521"/>
      <c r="D55" s="521"/>
      <c r="E55" s="521"/>
      <c r="F55" s="521"/>
      <c r="G55" s="521"/>
      <c r="H55" s="521"/>
      <c r="I55" s="521"/>
      <c r="J55" s="521"/>
      <c r="K55" s="521"/>
      <c r="L55" s="521"/>
      <c r="M55" s="521"/>
      <c r="N55" s="521"/>
      <c r="O55" s="521"/>
      <c r="P55" s="20"/>
    </row>
    <row r="56" spans="1:16" ht="15">
      <c r="A56" s="521" t="s">
        <v>75</v>
      </c>
      <c r="B56" s="521"/>
      <c r="C56" s="521"/>
      <c r="D56" s="521" t="s">
        <v>76</v>
      </c>
      <c r="E56" s="521"/>
      <c r="F56" s="521"/>
      <c r="G56" s="521" t="s">
        <v>77</v>
      </c>
      <c r="H56" s="521"/>
      <c r="I56" s="521"/>
      <c r="J56" s="521" t="s">
        <v>78</v>
      </c>
      <c r="K56" s="521"/>
      <c r="L56" s="521"/>
      <c r="M56" s="521" t="s">
        <v>79</v>
      </c>
      <c r="N56" s="521"/>
      <c r="O56" s="521"/>
      <c r="P56" s="74"/>
    </row>
    <row r="57" spans="1:16" ht="15">
      <c r="A57" s="298" t="s">
        <v>80</v>
      </c>
      <c r="B57" s="298" t="s">
        <v>81</v>
      </c>
      <c r="C57" s="61" t="s">
        <v>47</v>
      </c>
      <c r="D57" s="298" t="s">
        <v>80</v>
      </c>
      <c r="E57" s="298" t="s">
        <v>81</v>
      </c>
      <c r="F57" s="61" t="s">
        <v>47</v>
      </c>
      <c r="G57" s="298" t="s">
        <v>80</v>
      </c>
      <c r="H57" s="298" t="s">
        <v>81</v>
      </c>
      <c r="I57" s="61" t="s">
        <v>47</v>
      </c>
      <c r="J57" s="298" t="s">
        <v>80</v>
      </c>
      <c r="K57" s="298" t="s">
        <v>81</v>
      </c>
      <c r="L57" s="61" t="s">
        <v>47</v>
      </c>
      <c r="M57" s="298" t="s">
        <v>80</v>
      </c>
      <c r="N57" s="298" t="s">
        <v>81</v>
      </c>
      <c r="O57" s="61" t="s">
        <v>47</v>
      </c>
      <c r="P57" s="296"/>
    </row>
    <row r="58" spans="1:16" ht="30">
      <c r="A58" s="281">
        <v>8</v>
      </c>
      <c r="B58" s="281">
        <v>8</v>
      </c>
      <c r="C58" s="296">
        <v>2</v>
      </c>
      <c r="D58" s="290">
        <v>32</v>
      </c>
      <c r="E58" s="281">
        <v>32</v>
      </c>
      <c r="F58" s="296">
        <v>25</v>
      </c>
      <c r="G58" s="281">
        <v>24</v>
      </c>
      <c r="H58" s="281">
        <v>24</v>
      </c>
      <c r="I58" s="296">
        <v>24</v>
      </c>
      <c r="J58" s="281">
        <v>8</v>
      </c>
      <c r="K58" s="281">
        <v>8</v>
      </c>
      <c r="L58" s="296">
        <v>5</v>
      </c>
      <c r="M58" s="281">
        <v>0</v>
      </c>
      <c r="N58" s="281">
        <v>0</v>
      </c>
      <c r="O58" s="281">
        <v>0</v>
      </c>
      <c r="P58" s="27" t="s">
        <v>1719</v>
      </c>
    </row>
    <row r="59" spans="1:16" ht="15">
      <c r="A59" s="281">
        <v>2</v>
      </c>
      <c r="B59" s="281">
        <v>2</v>
      </c>
      <c r="C59" s="281">
        <v>1</v>
      </c>
      <c r="D59" s="290">
        <v>2</v>
      </c>
      <c r="E59" s="281">
        <v>2</v>
      </c>
      <c r="F59" s="281">
        <v>2</v>
      </c>
      <c r="G59" s="281">
        <v>4</v>
      </c>
      <c r="H59" s="281">
        <v>4</v>
      </c>
      <c r="I59" s="281">
        <v>3</v>
      </c>
      <c r="J59" s="281">
        <v>1</v>
      </c>
      <c r="K59" s="281">
        <v>1</v>
      </c>
      <c r="L59" s="281">
        <v>0</v>
      </c>
      <c r="M59" s="281">
        <v>0</v>
      </c>
      <c r="N59" s="281">
        <v>0</v>
      </c>
      <c r="O59" s="281">
        <v>0</v>
      </c>
      <c r="P59" s="297"/>
    </row>
    <row r="60" spans="1:16" ht="15">
      <c r="A60" s="517" t="s">
        <v>1720</v>
      </c>
      <c r="B60" s="518"/>
      <c r="C60" s="519"/>
      <c r="D60" s="290"/>
      <c r="E60" s="281"/>
      <c r="F60" s="281"/>
      <c r="G60" s="281"/>
      <c r="H60" s="281"/>
      <c r="I60" s="281"/>
      <c r="J60" s="281"/>
      <c r="K60" s="281"/>
      <c r="L60" s="281"/>
      <c r="M60" s="281"/>
      <c r="N60" s="281"/>
      <c r="O60" s="281"/>
      <c r="P60" s="297"/>
    </row>
    <row r="61" spans="1:16" ht="15">
      <c r="A61" s="517" t="s">
        <v>1712</v>
      </c>
      <c r="B61" s="518"/>
      <c r="C61" s="519"/>
      <c r="D61" s="290"/>
      <c r="E61" s="281"/>
      <c r="F61" s="281"/>
      <c r="G61" s="281"/>
      <c r="H61" s="281"/>
      <c r="I61" s="281"/>
      <c r="J61" s="281"/>
      <c r="K61" s="281"/>
      <c r="L61" s="281"/>
      <c r="M61" s="281"/>
      <c r="N61" s="281"/>
      <c r="O61" s="281"/>
      <c r="P61" s="26"/>
    </row>
    <row r="62" spans="1:16" ht="15">
      <c r="A62" s="517" t="s">
        <v>1712</v>
      </c>
      <c r="B62" s="518"/>
      <c r="C62" s="519"/>
      <c r="D62" s="290"/>
      <c r="E62" s="281"/>
      <c r="F62" s="281"/>
      <c r="G62" s="281"/>
      <c r="H62" s="281"/>
      <c r="I62" s="281"/>
      <c r="J62" s="281"/>
      <c r="K62" s="281"/>
      <c r="L62" s="281"/>
      <c r="M62" s="281"/>
      <c r="N62" s="281"/>
      <c r="O62" s="281"/>
      <c r="P62" s="26"/>
    </row>
    <row r="63" spans="1:16" ht="15">
      <c r="A63" s="517" t="s">
        <v>1720</v>
      </c>
      <c r="B63" s="518"/>
      <c r="C63" s="519"/>
      <c r="D63" s="290"/>
      <c r="E63" s="281"/>
      <c r="F63" s="281"/>
      <c r="G63" s="281"/>
      <c r="H63" s="281"/>
      <c r="I63" s="281"/>
      <c r="J63" s="281"/>
      <c r="K63" s="281"/>
      <c r="L63" s="281"/>
      <c r="M63" s="281"/>
      <c r="N63" s="281"/>
      <c r="O63" s="281"/>
      <c r="P63" s="26"/>
    </row>
    <row r="64" spans="1:16" ht="15">
      <c r="A64" s="517" t="s">
        <v>1720</v>
      </c>
      <c r="B64" s="518"/>
      <c r="C64" s="519"/>
      <c r="D64" s="290"/>
      <c r="E64" s="281"/>
      <c r="F64" s="281"/>
      <c r="G64" s="281"/>
      <c r="H64" s="281"/>
      <c r="I64" s="281"/>
      <c r="J64" s="281"/>
      <c r="K64" s="281"/>
      <c r="L64" s="281"/>
      <c r="M64" s="281"/>
      <c r="N64" s="281"/>
      <c r="O64" s="281"/>
      <c r="P64" s="26"/>
    </row>
    <row r="65" spans="1:17" ht="15">
      <c r="A65" s="281">
        <v>20</v>
      </c>
      <c r="B65" s="281">
        <v>20</v>
      </c>
      <c r="C65" s="296">
        <v>12</v>
      </c>
      <c r="D65" s="290">
        <v>16</v>
      </c>
      <c r="E65" s="281">
        <v>16</v>
      </c>
      <c r="F65" s="296">
        <v>13</v>
      </c>
      <c r="G65" s="281">
        <v>8</v>
      </c>
      <c r="H65" s="281">
        <v>8</v>
      </c>
      <c r="I65" s="296">
        <v>6</v>
      </c>
      <c r="J65" s="281">
        <v>4</v>
      </c>
      <c r="K65" s="281">
        <v>4</v>
      </c>
      <c r="L65" s="296">
        <v>2</v>
      </c>
      <c r="M65" s="281">
        <v>1</v>
      </c>
      <c r="N65" s="281">
        <v>1</v>
      </c>
      <c r="O65" s="281">
        <v>0</v>
      </c>
      <c r="P65" s="26"/>
    </row>
    <row r="66" spans="1:17" ht="15">
      <c r="A66" s="517" t="s">
        <v>1712</v>
      </c>
      <c r="B66" s="518"/>
      <c r="C66" s="519"/>
      <c r="D66" s="290"/>
      <c r="E66" s="281"/>
      <c r="F66" s="281"/>
      <c r="G66" s="281"/>
      <c r="H66" s="281"/>
      <c r="I66" s="281"/>
      <c r="J66" s="281"/>
      <c r="K66" s="281"/>
      <c r="L66" s="281"/>
      <c r="M66" s="281"/>
      <c r="N66" s="281"/>
      <c r="O66" s="281"/>
      <c r="P66" s="26"/>
    </row>
    <row r="67" spans="1:17" ht="15">
      <c r="A67" s="517" t="s">
        <v>1712</v>
      </c>
      <c r="B67" s="518"/>
      <c r="C67" s="519"/>
      <c r="D67" s="290"/>
      <c r="E67" s="281"/>
      <c r="F67" s="281"/>
      <c r="G67" s="281"/>
      <c r="H67" s="281"/>
      <c r="I67" s="281"/>
      <c r="J67" s="281"/>
      <c r="K67" s="281"/>
      <c r="L67" s="281"/>
      <c r="M67" s="281"/>
      <c r="N67" s="281"/>
      <c r="O67" s="281"/>
      <c r="P67" s="26"/>
    </row>
    <row r="68" spans="1:17" ht="15">
      <c r="A68" s="517" t="s">
        <v>1712</v>
      </c>
      <c r="B68" s="518"/>
      <c r="C68" s="519"/>
      <c r="D68" s="290"/>
      <c r="E68" s="281"/>
      <c r="F68" s="281"/>
      <c r="G68" s="281"/>
      <c r="H68" s="281"/>
      <c r="I68" s="281"/>
      <c r="J68" s="281"/>
      <c r="K68" s="281"/>
      <c r="L68" s="281"/>
      <c r="M68" s="281"/>
      <c r="N68" s="281"/>
      <c r="O68" s="281"/>
      <c r="P68" s="26"/>
    </row>
    <row r="69" spans="1:17" ht="15">
      <c r="A69" s="517" t="s">
        <v>1712</v>
      </c>
      <c r="B69" s="518"/>
      <c r="C69" s="519"/>
      <c r="D69" s="290"/>
      <c r="E69" s="281"/>
      <c r="F69" s="281"/>
      <c r="G69" s="281"/>
      <c r="H69" s="281"/>
      <c r="I69" s="281"/>
      <c r="J69" s="281"/>
      <c r="K69" s="281"/>
      <c r="L69" s="281"/>
      <c r="M69" s="281"/>
      <c r="N69" s="281"/>
      <c r="O69" s="281"/>
      <c r="P69" s="26"/>
    </row>
    <row r="70" spans="1:17" ht="15">
      <c r="A70" s="517" t="s">
        <v>1712</v>
      </c>
      <c r="B70" s="518"/>
      <c r="C70" s="519"/>
      <c r="D70" s="290"/>
      <c r="E70" s="281"/>
      <c r="F70" s="281"/>
      <c r="G70" s="281"/>
      <c r="H70" s="281"/>
      <c r="I70" s="281"/>
      <c r="J70" s="281"/>
      <c r="K70" s="281"/>
      <c r="L70" s="281"/>
      <c r="M70" s="281"/>
      <c r="N70" s="281"/>
      <c r="O70" s="281"/>
      <c r="P70" s="26"/>
    </row>
    <row r="71" spans="1:17" ht="15">
      <c r="A71" s="515" t="s">
        <v>82</v>
      </c>
      <c r="B71" s="515"/>
      <c r="C71" s="515"/>
      <c r="D71" s="515" t="s">
        <v>83</v>
      </c>
      <c r="E71" s="515"/>
      <c r="F71" s="515"/>
      <c r="G71" s="26"/>
      <c r="H71" s="72" t="s">
        <v>84</v>
      </c>
      <c r="I71" s="26"/>
      <c r="J71" s="525"/>
      <c r="K71" s="525"/>
      <c r="L71" s="525"/>
      <c r="M71" s="525"/>
      <c r="N71" s="525"/>
      <c r="O71" s="525"/>
      <c r="P71" s="284"/>
    </row>
    <row r="72" spans="1:17" ht="15">
      <c r="A72" s="281" t="s">
        <v>80</v>
      </c>
      <c r="B72" s="281" t="s">
        <v>81</v>
      </c>
      <c r="C72" s="278" t="s">
        <v>47</v>
      </c>
      <c r="D72" s="290" t="s">
        <v>80</v>
      </c>
      <c r="E72" s="281" t="s">
        <v>81</v>
      </c>
      <c r="F72" s="278" t="s">
        <v>47</v>
      </c>
      <c r="G72" s="281" t="s">
        <v>80</v>
      </c>
      <c r="H72" s="281" t="s">
        <v>81</v>
      </c>
      <c r="I72" s="278" t="s">
        <v>47</v>
      </c>
      <c r="J72" s="525"/>
      <c r="K72" s="525"/>
      <c r="L72" s="525"/>
      <c r="M72" s="525"/>
      <c r="N72" s="525"/>
      <c r="O72" s="525"/>
      <c r="P72" s="284"/>
    </row>
    <row r="73" spans="1:17" ht="15">
      <c r="A73" s="531" t="s">
        <v>1721</v>
      </c>
      <c r="B73" s="531"/>
      <c r="C73" s="531"/>
      <c r="D73" s="531"/>
      <c r="E73" s="531"/>
      <c r="F73" s="531"/>
      <c r="G73" s="531"/>
      <c r="H73" s="531"/>
      <c r="I73" s="531"/>
      <c r="J73" s="525"/>
      <c r="K73" s="525"/>
      <c r="L73" s="525"/>
      <c r="M73" s="525"/>
      <c r="N73" s="525"/>
      <c r="O73" s="525"/>
      <c r="P73" s="284"/>
    </row>
    <row r="74" spans="1:17" ht="15">
      <c r="A74" s="525"/>
      <c r="B74" s="525"/>
      <c r="C74" s="525"/>
      <c r="D74" s="525"/>
      <c r="E74" s="525"/>
      <c r="F74" s="525"/>
      <c r="G74" s="525"/>
      <c r="H74" s="525"/>
      <c r="I74" s="525"/>
      <c r="J74" s="525"/>
      <c r="K74" s="525"/>
      <c r="L74" s="525"/>
      <c r="M74" s="525"/>
      <c r="N74" s="525"/>
      <c r="O74" s="525"/>
      <c r="P74" s="525"/>
    </row>
    <row r="75" spans="1:17" ht="22.5" customHeight="1">
      <c r="A75" s="432" t="s">
        <v>179</v>
      </c>
      <c r="B75" s="432"/>
      <c r="C75" s="432"/>
      <c r="D75" s="432"/>
      <c r="E75" s="432"/>
      <c r="F75" s="432"/>
      <c r="G75" s="432"/>
      <c r="H75" s="432"/>
      <c r="I75" s="432"/>
      <c r="J75" s="432"/>
      <c r="K75" s="432"/>
      <c r="L75" s="432"/>
      <c r="M75" s="432"/>
      <c r="N75" s="432"/>
      <c r="O75" s="432"/>
      <c r="P75" s="432"/>
    </row>
    <row r="76" spans="1:17" ht="20.25">
      <c r="A76" s="526" t="s">
        <v>174</v>
      </c>
      <c r="B76" s="526"/>
      <c r="C76" s="526"/>
      <c r="D76" s="526"/>
      <c r="E76" s="526"/>
      <c r="F76" s="526"/>
      <c r="G76" s="526"/>
      <c r="H76" s="526"/>
      <c r="I76" s="526"/>
      <c r="J76" s="526"/>
      <c r="K76" s="526"/>
      <c r="L76" s="526"/>
      <c r="M76" s="532"/>
      <c r="N76" s="533"/>
      <c r="O76" s="533"/>
      <c r="P76" s="534"/>
    </row>
    <row r="77" spans="1:17" ht="99.75">
      <c r="A77" s="20" t="s">
        <v>0</v>
      </c>
      <c r="B77" s="20" t="s">
        <v>116</v>
      </c>
      <c r="C77" s="20" t="s">
        <v>176</v>
      </c>
      <c r="D77" s="20" t="s">
        <v>70</v>
      </c>
      <c r="E77" s="20" t="s">
        <v>173</v>
      </c>
      <c r="F77" s="20" t="s">
        <v>63</v>
      </c>
      <c r="G77" s="286" t="s">
        <v>71</v>
      </c>
      <c r="H77" s="20" t="s">
        <v>175</v>
      </c>
      <c r="I77" s="20" t="s">
        <v>64</v>
      </c>
      <c r="J77" s="286" t="s">
        <v>72</v>
      </c>
      <c r="K77" s="22" t="s">
        <v>73</v>
      </c>
      <c r="L77" s="22" t="s">
        <v>66</v>
      </c>
      <c r="M77" s="535"/>
      <c r="N77" s="536"/>
      <c r="O77" s="536"/>
      <c r="P77" s="537"/>
    </row>
    <row r="78" spans="1:17">
      <c r="A78" s="295">
        <v>1</v>
      </c>
      <c r="B78" s="295">
        <v>2</v>
      </c>
      <c r="C78" s="295">
        <v>3</v>
      </c>
      <c r="D78" s="295">
        <v>4</v>
      </c>
      <c r="E78" s="295">
        <v>5</v>
      </c>
      <c r="F78" s="295">
        <v>6</v>
      </c>
      <c r="G78" s="295">
        <v>7</v>
      </c>
      <c r="H78" s="295">
        <v>8</v>
      </c>
      <c r="I78" s="286">
        <v>9</v>
      </c>
      <c r="J78" s="295">
        <v>10</v>
      </c>
      <c r="K78" s="295">
        <v>11</v>
      </c>
      <c r="L78" s="295">
        <v>12</v>
      </c>
      <c r="M78" s="538"/>
      <c r="N78" s="539"/>
      <c r="O78" s="539"/>
      <c r="P78" s="540"/>
    </row>
    <row r="79" spans="1:17" s="92" customFormat="1" ht="30">
      <c r="A79" s="278">
        <v>1</v>
      </c>
      <c r="B79" s="279" t="s">
        <v>456</v>
      </c>
      <c r="C79" s="279" t="s">
        <v>457</v>
      </c>
      <c r="D79" s="279" t="s">
        <v>468</v>
      </c>
      <c r="E79" s="278">
        <v>9517.9699999999993</v>
      </c>
      <c r="F79" s="278" t="s">
        <v>1722</v>
      </c>
      <c r="G79" s="278" t="s">
        <v>12</v>
      </c>
      <c r="H79" s="278">
        <v>62</v>
      </c>
      <c r="I79" s="278" t="s">
        <v>15</v>
      </c>
      <c r="J79" s="278" t="s">
        <v>1723</v>
      </c>
      <c r="K79" s="278" t="s">
        <v>108</v>
      </c>
      <c r="L79" s="278" t="s">
        <v>12</v>
      </c>
      <c r="M79" s="527" t="s">
        <v>1724</v>
      </c>
      <c r="N79" s="527"/>
      <c r="O79" s="527"/>
      <c r="P79" s="527"/>
      <c r="Q79" s="63"/>
    </row>
    <row r="80" spans="1:17" s="92" customFormat="1" ht="45">
      <c r="A80" s="278">
        <v>2</v>
      </c>
      <c r="B80" s="279" t="s">
        <v>456</v>
      </c>
      <c r="C80" s="279" t="s">
        <v>457</v>
      </c>
      <c r="D80" s="279" t="s">
        <v>474</v>
      </c>
      <c r="E80" s="278">
        <v>667.82</v>
      </c>
      <c r="F80" s="278">
        <v>1963</v>
      </c>
      <c r="G80" s="278" t="s">
        <v>12</v>
      </c>
      <c r="H80" s="278">
        <v>27</v>
      </c>
      <c r="I80" s="278">
        <v>1.25</v>
      </c>
      <c r="J80" s="278" t="s">
        <v>41</v>
      </c>
      <c r="K80" s="278" t="s">
        <v>1725</v>
      </c>
      <c r="L80" s="278" t="s">
        <v>12</v>
      </c>
      <c r="M80" s="527" t="s">
        <v>1726</v>
      </c>
      <c r="N80" s="527"/>
      <c r="O80" s="527"/>
      <c r="P80" s="527"/>
      <c r="Q80" s="63"/>
    </row>
    <row r="81" spans="1:21" s="92" customFormat="1" ht="30">
      <c r="A81" s="278">
        <v>3</v>
      </c>
      <c r="B81" s="279" t="s">
        <v>456</v>
      </c>
      <c r="C81" s="279" t="s">
        <v>457</v>
      </c>
      <c r="D81" s="279" t="s">
        <v>478</v>
      </c>
      <c r="E81" s="278">
        <v>4180</v>
      </c>
      <c r="F81" s="278" t="s">
        <v>12</v>
      </c>
      <c r="G81" s="278">
        <v>1997</v>
      </c>
      <c r="H81" s="278">
        <v>9.34</v>
      </c>
      <c r="I81" s="278" t="s">
        <v>1727</v>
      </c>
      <c r="J81" s="278" t="s">
        <v>1728</v>
      </c>
      <c r="K81" s="278" t="s">
        <v>1729</v>
      </c>
      <c r="L81" s="278" t="s">
        <v>12</v>
      </c>
      <c r="M81" s="348"/>
      <c r="N81" s="348"/>
      <c r="O81" s="348"/>
      <c r="P81" s="348"/>
      <c r="Q81" s="63"/>
    </row>
    <row r="82" spans="1:21" ht="15">
      <c r="A82" s="345"/>
      <c r="B82" s="346"/>
      <c r="C82" s="346"/>
      <c r="D82" s="346"/>
      <c r="E82" s="346"/>
      <c r="F82" s="346"/>
      <c r="G82" s="346"/>
      <c r="H82" s="346"/>
      <c r="I82" s="346"/>
      <c r="J82" s="346"/>
      <c r="K82" s="346"/>
      <c r="L82" s="346"/>
      <c r="M82" s="346"/>
      <c r="N82" s="346"/>
      <c r="O82" s="346"/>
      <c r="P82" s="481"/>
    </row>
    <row r="83" spans="1:21" ht="28.5">
      <c r="A83" s="520" t="s">
        <v>74</v>
      </c>
      <c r="B83" s="520"/>
      <c r="C83" s="520"/>
      <c r="D83" s="520"/>
      <c r="E83" s="520"/>
      <c r="F83" s="520"/>
      <c r="G83" s="520"/>
      <c r="H83" s="520"/>
      <c r="I83" s="520"/>
      <c r="J83" s="520"/>
      <c r="K83" s="520"/>
      <c r="L83" s="520"/>
      <c r="M83" s="520"/>
      <c r="N83" s="520"/>
      <c r="O83" s="520"/>
      <c r="P83" s="62" t="s">
        <v>67</v>
      </c>
    </row>
    <row r="84" spans="1:21">
      <c r="A84" s="520">
        <v>13</v>
      </c>
      <c r="B84" s="520"/>
      <c r="C84" s="520"/>
      <c r="D84" s="520"/>
      <c r="E84" s="520"/>
      <c r="F84" s="520"/>
      <c r="G84" s="520"/>
      <c r="H84" s="520"/>
      <c r="I84" s="520"/>
      <c r="J84" s="520"/>
      <c r="K84" s="520"/>
      <c r="L84" s="520"/>
      <c r="M84" s="520"/>
      <c r="N84" s="520"/>
      <c r="O84" s="520"/>
      <c r="P84" s="20">
        <v>14</v>
      </c>
    </row>
    <row r="85" spans="1:21" ht="15">
      <c r="A85" s="520" t="s">
        <v>75</v>
      </c>
      <c r="B85" s="520"/>
      <c r="C85" s="520"/>
      <c r="D85" s="520" t="s">
        <v>76</v>
      </c>
      <c r="E85" s="520"/>
      <c r="F85" s="520"/>
      <c r="G85" s="520" t="s">
        <v>77</v>
      </c>
      <c r="H85" s="520"/>
      <c r="I85" s="520"/>
      <c r="J85" s="520" t="s">
        <v>78</v>
      </c>
      <c r="K85" s="520"/>
      <c r="L85" s="520"/>
      <c r="M85" s="520" t="s">
        <v>79</v>
      </c>
      <c r="N85" s="520"/>
      <c r="O85" s="520"/>
      <c r="P85" s="74"/>
    </row>
    <row r="86" spans="1:21" ht="15">
      <c r="A86" s="296" t="s">
        <v>80</v>
      </c>
      <c r="B86" s="296" t="s">
        <v>81</v>
      </c>
      <c r="C86" s="284" t="s">
        <v>47</v>
      </c>
      <c r="D86" s="296" t="s">
        <v>80</v>
      </c>
      <c r="E86" s="296" t="s">
        <v>81</v>
      </c>
      <c r="F86" s="284" t="s">
        <v>47</v>
      </c>
      <c r="G86" s="296" t="s">
        <v>80</v>
      </c>
      <c r="H86" s="296" t="s">
        <v>81</v>
      </c>
      <c r="I86" s="284" t="s">
        <v>47</v>
      </c>
      <c r="J86" s="296" t="s">
        <v>80</v>
      </c>
      <c r="K86" s="296" t="s">
        <v>81</v>
      </c>
      <c r="L86" s="284" t="s">
        <v>47</v>
      </c>
      <c r="M86" s="296" t="s">
        <v>80</v>
      </c>
      <c r="N86" s="296" t="s">
        <v>81</v>
      </c>
      <c r="O86" s="284" t="s">
        <v>47</v>
      </c>
      <c r="P86" s="296"/>
    </row>
    <row r="87" spans="1:21" s="92" customFormat="1" ht="15">
      <c r="A87" s="297">
        <v>121</v>
      </c>
      <c r="B87" s="297">
        <v>80</v>
      </c>
      <c r="C87" s="297">
        <v>53</v>
      </c>
      <c r="D87" s="297">
        <v>18</v>
      </c>
      <c r="E87" s="297">
        <v>16</v>
      </c>
      <c r="F87" s="297">
        <v>12</v>
      </c>
      <c r="G87" s="297">
        <v>19</v>
      </c>
      <c r="H87" s="297">
        <v>19</v>
      </c>
      <c r="I87" s="297">
        <v>18</v>
      </c>
      <c r="J87" s="297">
        <v>40</v>
      </c>
      <c r="K87" s="297">
        <v>35</v>
      </c>
      <c r="L87" s="297">
        <v>29</v>
      </c>
      <c r="M87" s="297">
        <v>26</v>
      </c>
      <c r="N87" s="297">
        <v>26</v>
      </c>
      <c r="O87" s="297">
        <v>24</v>
      </c>
      <c r="P87" s="26"/>
      <c r="Q87" s="91"/>
    </row>
    <row r="88" spans="1:21" ht="15">
      <c r="A88" s="278"/>
      <c r="B88" s="278"/>
      <c r="C88" s="278"/>
      <c r="D88" s="278"/>
      <c r="E88" s="278"/>
      <c r="F88" s="278"/>
      <c r="G88" s="278"/>
      <c r="H88" s="278"/>
      <c r="I88" s="278"/>
      <c r="J88" s="278"/>
      <c r="K88" s="278"/>
      <c r="L88" s="278"/>
      <c r="M88" s="278"/>
      <c r="N88" s="278"/>
      <c r="O88" s="278"/>
      <c r="P88" s="74"/>
    </row>
    <row r="89" spans="1:21" ht="15" customHeight="1">
      <c r="A89" s="520" t="s">
        <v>82</v>
      </c>
      <c r="B89" s="520"/>
      <c r="C89" s="520"/>
      <c r="D89" s="520" t="s">
        <v>83</v>
      </c>
      <c r="E89" s="520"/>
      <c r="F89" s="520"/>
      <c r="G89" s="520" t="s">
        <v>84</v>
      </c>
      <c r="H89" s="520"/>
      <c r="I89" s="520"/>
      <c r="J89" s="524"/>
      <c r="K89" s="524"/>
      <c r="L89" s="524"/>
      <c r="M89" s="524"/>
      <c r="N89" s="524"/>
      <c r="O89" s="524"/>
      <c r="P89" s="30"/>
    </row>
    <row r="90" spans="1:21" ht="15">
      <c r="A90" s="296" t="s">
        <v>80</v>
      </c>
      <c r="B90" s="296" t="s">
        <v>81</v>
      </c>
      <c r="C90" s="284" t="s">
        <v>47</v>
      </c>
      <c r="D90" s="296" t="s">
        <v>80</v>
      </c>
      <c r="E90" s="296" t="s">
        <v>81</v>
      </c>
      <c r="F90" s="284" t="s">
        <v>47</v>
      </c>
      <c r="G90" s="296" t="s">
        <v>80</v>
      </c>
      <c r="H90" s="296" t="s">
        <v>81</v>
      </c>
      <c r="I90" s="284" t="s">
        <v>47</v>
      </c>
      <c r="J90" s="524"/>
      <c r="K90" s="524"/>
      <c r="L90" s="524"/>
      <c r="M90" s="524"/>
      <c r="N90" s="524"/>
      <c r="O90" s="524"/>
      <c r="P90" s="30"/>
      <c r="Q90" s="19"/>
      <c r="R90" s="16"/>
      <c r="S90" s="16"/>
      <c r="T90" s="16"/>
      <c r="U90" s="16"/>
    </row>
    <row r="91" spans="1:21" s="92" customFormat="1" ht="15">
      <c r="A91" s="297">
        <v>4</v>
      </c>
      <c r="B91" s="297">
        <v>3</v>
      </c>
      <c r="C91" s="297">
        <v>1</v>
      </c>
      <c r="D91" s="297" t="s">
        <v>12</v>
      </c>
      <c r="E91" s="297" t="s">
        <v>12</v>
      </c>
      <c r="F91" s="297" t="s">
        <v>12</v>
      </c>
      <c r="G91" s="297" t="s">
        <v>12</v>
      </c>
      <c r="H91" s="297" t="s">
        <v>12</v>
      </c>
      <c r="I91" s="297" t="s">
        <v>12</v>
      </c>
      <c r="J91" s="524"/>
      <c r="K91" s="524"/>
      <c r="L91" s="524"/>
      <c r="M91" s="524"/>
      <c r="N91" s="524"/>
      <c r="O91" s="524"/>
      <c r="P91" s="30"/>
      <c r="Q91" s="63"/>
    </row>
    <row r="92" spans="1:21" ht="14.25" customHeight="1">
      <c r="A92" s="529"/>
      <c r="B92" s="529"/>
      <c r="C92" s="529"/>
      <c r="D92" s="529"/>
      <c r="E92" s="529"/>
      <c r="F92" s="529"/>
      <c r="G92" s="529"/>
      <c r="H92" s="529"/>
      <c r="I92" s="529"/>
      <c r="J92" s="529"/>
      <c r="K92" s="529"/>
      <c r="L92" s="529"/>
      <c r="M92" s="529"/>
      <c r="N92" s="529"/>
      <c r="O92" s="529"/>
      <c r="P92" s="529"/>
    </row>
    <row r="93" spans="1:21" ht="22.5" customHeight="1">
      <c r="A93" s="432" t="s">
        <v>180</v>
      </c>
      <c r="B93" s="432"/>
      <c r="C93" s="432"/>
      <c r="D93" s="432"/>
      <c r="E93" s="432"/>
      <c r="F93" s="432"/>
      <c r="G93" s="432"/>
      <c r="H93" s="432"/>
      <c r="I93" s="432"/>
      <c r="J93" s="432"/>
      <c r="K93" s="432"/>
      <c r="L93" s="432"/>
      <c r="M93" s="432"/>
      <c r="N93" s="432"/>
      <c r="O93" s="432"/>
      <c r="P93" s="432"/>
    </row>
    <row r="94" spans="1:21" ht="20.25">
      <c r="A94" s="526" t="s">
        <v>174</v>
      </c>
      <c r="B94" s="526"/>
      <c r="C94" s="526"/>
      <c r="D94" s="526"/>
      <c r="E94" s="526"/>
      <c r="F94" s="526"/>
      <c r="G94" s="526"/>
      <c r="H94" s="526"/>
      <c r="I94" s="526"/>
      <c r="J94" s="526"/>
      <c r="K94" s="526"/>
      <c r="L94" s="526"/>
      <c r="M94" s="528"/>
      <c r="N94" s="528"/>
      <c r="O94" s="528"/>
      <c r="P94" s="528"/>
    </row>
    <row r="95" spans="1:21" ht="99.75">
      <c r="A95" s="20" t="s">
        <v>0</v>
      </c>
      <c r="B95" s="20" t="s">
        <v>116</v>
      </c>
      <c r="C95" s="20" t="s">
        <v>176</v>
      </c>
      <c r="D95" s="20" t="s">
        <v>70</v>
      </c>
      <c r="E95" s="20" t="s">
        <v>173</v>
      </c>
      <c r="F95" s="20" t="s">
        <v>63</v>
      </c>
      <c r="G95" s="286" t="s">
        <v>71</v>
      </c>
      <c r="H95" s="20" t="s">
        <v>175</v>
      </c>
      <c r="I95" s="20" t="s">
        <v>64</v>
      </c>
      <c r="J95" s="286" t="s">
        <v>72</v>
      </c>
      <c r="K95" s="22" t="s">
        <v>73</v>
      </c>
      <c r="L95" s="22" t="s">
        <v>66</v>
      </c>
      <c r="M95" s="528"/>
      <c r="N95" s="528"/>
      <c r="O95" s="528"/>
      <c r="P95" s="528"/>
    </row>
    <row r="96" spans="1:21">
      <c r="A96" s="295">
        <v>1</v>
      </c>
      <c r="B96" s="295">
        <v>2</v>
      </c>
      <c r="C96" s="295">
        <v>3</v>
      </c>
      <c r="D96" s="295">
        <v>4</v>
      </c>
      <c r="E96" s="295">
        <v>5</v>
      </c>
      <c r="F96" s="295">
        <v>6</v>
      </c>
      <c r="G96" s="295">
        <v>7</v>
      </c>
      <c r="H96" s="295">
        <v>8</v>
      </c>
      <c r="I96" s="286">
        <v>9</v>
      </c>
      <c r="J96" s="295">
        <v>10</v>
      </c>
      <c r="K96" s="295">
        <v>11</v>
      </c>
      <c r="L96" s="295">
        <v>12</v>
      </c>
      <c r="M96" s="528"/>
      <c r="N96" s="528"/>
      <c r="O96" s="528"/>
      <c r="P96" s="528"/>
    </row>
    <row r="97" spans="1:17" s="111" customFormat="1" ht="15">
      <c r="A97" s="281">
        <v>1</v>
      </c>
      <c r="B97" s="278" t="s">
        <v>484</v>
      </c>
      <c r="C97" s="281" t="s">
        <v>37</v>
      </c>
      <c r="D97" s="281" t="s">
        <v>37</v>
      </c>
      <c r="E97" s="467" t="s">
        <v>26</v>
      </c>
      <c r="F97" s="467"/>
      <c r="G97" s="467"/>
      <c r="H97" s="467"/>
      <c r="I97" s="467"/>
      <c r="J97" s="467"/>
      <c r="K97" s="467"/>
      <c r="L97" s="467"/>
      <c r="M97" s="528"/>
      <c r="N97" s="528"/>
      <c r="O97" s="528"/>
      <c r="P97" s="528"/>
      <c r="Q97" s="110"/>
    </row>
    <row r="98" spans="1:17" ht="15">
      <c r="A98" s="516"/>
      <c r="B98" s="516"/>
      <c r="C98" s="516"/>
      <c r="D98" s="516"/>
      <c r="E98" s="516"/>
      <c r="F98" s="516"/>
      <c r="G98" s="516"/>
      <c r="H98" s="516"/>
      <c r="I98" s="516"/>
      <c r="J98" s="516"/>
      <c r="K98" s="516"/>
      <c r="L98" s="516"/>
      <c r="M98" s="528"/>
      <c r="N98" s="528"/>
      <c r="O98" s="528"/>
      <c r="P98" s="528"/>
    </row>
    <row r="99" spans="1:17" ht="28.5">
      <c r="A99" s="520" t="s">
        <v>74</v>
      </c>
      <c r="B99" s="520"/>
      <c r="C99" s="520"/>
      <c r="D99" s="520"/>
      <c r="E99" s="520"/>
      <c r="F99" s="520"/>
      <c r="G99" s="520"/>
      <c r="H99" s="520"/>
      <c r="I99" s="520"/>
      <c r="J99" s="520"/>
      <c r="K99" s="520"/>
      <c r="L99" s="520"/>
      <c r="M99" s="520"/>
      <c r="N99" s="520"/>
      <c r="O99" s="520"/>
      <c r="P99" s="62" t="s">
        <v>67</v>
      </c>
    </row>
    <row r="100" spans="1:17">
      <c r="A100" s="520">
        <v>13</v>
      </c>
      <c r="B100" s="520"/>
      <c r="C100" s="520"/>
      <c r="D100" s="520"/>
      <c r="E100" s="520"/>
      <c r="F100" s="520"/>
      <c r="G100" s="520"/>
      <c r="H100" s="520"/>
      <c r="I100" s="520"/>
      <c r="J100" s="520"/>
      <c r="K100" s="520"/>
      <c r="L100" s="520"/>
      <c r="M100" s="520"/>
      <c r="N100" s="520"/>
      <c r="O100" s="520"/>
      <c r="P100" s="20">
        <v>14</v>
      </c>
    </row>
    <row r="101" spans="1:17" ht="15">
      <c r="A101" s="520" t="s">
        <v>75</v>
      </c>
      <c r="B101" s="520"/>
      <c r="C101" s="520"/>
      <c r="D101" s="520" t="s">
        <v>76</v>
      </c>
      <c r="E101" s="520"/>
      <c r="F101" s="520"/>
      <c r="G101" s="520" t="s">
        <v>77</v>
      </c>
      <c r="H101" s="520"/>
      <c r="I101" s="520"/>
      <c r="J101" s="520" t="s">
        <v>78</v>
      </c>
      <c r="K101" s="520"/>
      <c r="L101" s="520"/>
      <c r="M101" s="520" t="s">
        <v>79</v>
      </c>
      <c r="N101" s="520"/>
      <c r="O101" s="520"/>
      <c r="P101" s="74"/>
    </row>
    <row r="102" spans="1:17" ht="15">
      <c r="A102" s="296" t="s">
        <v>80</v>
      </c>
      <c r="B102" s="296" t="s">
        <v>81</v>
      </c>
      <c r="C102" s="284" t="s">
        <v>47</v>
      </c>
      <c r="D102" s="296" t="s">
        <v>80</v>
      </c>
      <c r="E102" s="296" t="s">
        <v>81</v>
      </c>
      <c r="F102" s="284" t="s">
        <v>47</v>
      </c>
      <c r="G102" s="296" t="s">
        <v>80</v>
      </c>
      <c r="H102" s="296" t="s">
        <v>81</v>
      </c>
      <c r="I102" s="284" t="s">
        <v>47</v>
      </c>
      <c r="J102" s="296" t="s">
        <v>80</v>
      </c>
      <c r="K102" s="296" t="s">
        <v>81</v>
      </c>
      <c r="L102" s="284" t="s">
        <v>47</v>
      </c>
      <c r="M102" s="296" t="s">
        <v>80</v>
      </c>
      <c r="N102" s="296" t="s">
        <v>81</v>
      </c>
      <c r="O102" s="284" t="s">
        <v>47</v>
      </c>
      <c r="P102" s="296"/>
    </row>
    <row r="103" spans="1:17" s="92" customFormat="1" ht="15">
      <c r="A103" s="297" t="s">
        <v>26</v>
      </c>
      <c r="B103" s="297" t="s">
        <v>26</v>
      </c>
      <c r="C103" s="297" t="s">
        <v>26</v>
      </c>
      <c r="D103" s="297" t="s">
        <v>26</v>
      </c>
      <c r="E103" s="297" t="s">
        <v>26</v>
      </c>
      <c r="F103" s="297" t="s">
        <v>26</v>
      </c>
      <c r="G103" s="297" t="s">
        <v>26</v>
      </c>
      <c r="H103" s="297" t="s">
        <v>26</v>
      </c>
      <c r="I103" s="297" t="s">
        <v>26</v>
      </c>
      <c r="J103" s="297" t="s">
        <v>26</v>
      </c>
      <c r="K103" s="297" t="s">
        <v>26</v>
      </c>
      <c r="L103" s="297" t="s">
        <v>26</v>
      </c>
      <c r="M103" s="297" t="s">
        <v>26</v>
      </c>
      <c r="N103" s="297" t="s">
        <v>26</v>
      </c>
      <c r="O103" s="297" t="s">
        <v>26</v>
      </c>
      <c r="P103" s="297" t="s">
        <v>26</v>
      </c>
      <c r="Q103" s="91"/>
    </row>
    <row r="104" spans="1:17" ht="15">
      <c r="A104" s="520" t="s">
        <v>82</v>
      </c>
      <c r="B104" s="520"/>
      <c r="C104" s="520"/>
      <c r="D104" s="520" t="s">
        <v>83</v>
      </c>
      <c r="E104" s="520"/>
      <c r="F104" s="520"/>
      <c r="G104" s="520" t="s">
        <v>84</v>
      </c>
      <c r="H104" s="520"/>
      <c r="I104" s="520"/>
      <c r="J104" s="74"/>
      <c r="K104" s="74"/>
      <c r="L104" s="74"/>
      <c r="M104" s="74"/>
      <c r="N104" s="74"/>
      <c r="O104" s="74"/>
      <c r="P104" s="74"/>
    </row>
    <row r="105" spans="1:17" ht="15">
      <c r="A105" s="296" t="s">
        <v>80</v>
      </c>
      <c r="B105" s="296" t="s">
        <v>81</v>
      </c>
      <c r="C105" s="284" t="s">
        <v>47</v>
      </c>
      <c r="D105" s="296" t="s">
        <v>80</v>
      </c>
      <c r="E105" s="296" t="s">
        <v>81</v>
      </c>
      <c r="F105" s="284" t="s">
        <v>47</v>
      </c>
      <c r="G105" s="296" t="s">
        <v>80</v>
      </c>
      <c r="H105" s="296" t="s">
        <v>81</v>
      </c>
      <c r="I105" s="284" t="s">
        <v>47</v>
      </c>
      <c r="J105" s="74"/>
      <c r="K105" s="74"/>
      <c r="L105" s="74"/>
      <c r="M105" s="74"/>
      <c r="N105" s="74"/>
      <c r="O105" s="74"/>
      <c r="P105" s="74"/>
    </row>
    <row r="106" spans="1:17" s="92" customFormat="1" ht="15">
      <c r="A106" s="297" t="s">
        <v>26</v>
      </c>
      <c r="B106" s="297" t="s">
        <v>26</v>
      </c>
      <c r="C106" s="297" t="s">
        <v>26</v>
      </c>
      <c r="D106" s="297" t="s">
        <v>26</v>
      </c>
      <c r="E106" s="297" t="s">
        <v>26</v>
      </c>
      <c r="F106" s="297" t="s">
        <v>26</v>
      </c>
      <c r="G106" s="297" t="s">
        <v>26</v>
      </c>
      <c r="H106" s="297" t="s">
        <v>26</v>
      </c>
      <c r="I106" s="297" t="s">
        <v>26</v>
      </c>
      <c r="J106" s="297" t="s">
        <v>26</v>
      </c>
      <c r="K106" s="297" t="s">
        <v>26</v>
      </c>
      <c r="L106" s="297" t="s">
        <v>26</v>
      </c>
      <c r="M106" s="297" t="s">
        <v>26</v>
      </c>
      <c r="N106" s="297" t="s">
        <v>26</v>
      </c>
      <c r="O106" s="297" t="s">
        <v>26</v>
      </c>
      <c r="P106" s="297" t="s">
        <v>26</v>
      </c>
      <c r="Q106" s="91"/>
    </row>
    <row r="107" spans="1:17">
      <c r="A107" s="529"/>
      <c r="B107" s="529"/>
      <c r="C107" s="529"/>
      <c r="D107" s="529"/>
      <c r="E107" s="529"/>
      <c r="F107" s="529"/>
      <c r="G107" s="529"/>
      <c r="H107" s="529"/>
      <c r="I107" s="529"/>
      <c r="J107" s="529"/>
      <c r="K107" s="529"/>
      <c r="L107" s="529"/>
      <c r="M107" s="529"/>
      <c r="N107" s="529"/>
      <c r="O107" s="529"/>
      <c r="P107" s="529"/>
    </row>
    <row r="108" spans="1:17" ht="22.5" customHeight="1">
      <c r="A108" s="432" t="s">
        <v>181</v>
      </c>
      <c r="B108" s="432"/>
      <c r="C108" s="432"/>
      <c r="D108" s="432"/>
      <c r="E108" s="432"/>
      <c r="F108" s="432"/>
      <c r="G108" s="432"/>
      <c r="H108" s="432"/>
      <c r="I108" s="432"/>
      <c r="J108" s="432"/>
      <c r="K108" s="432"/>
      <c r="L108" s="432"/>
      <c r="M108" s="432"/>
      <c r="N108" s="432"/>
      <c r="O108" s="432"/>
      <c r="P108" s="432"/>
    </row>
    <row r="109" spans="1:17" ht="20.25">
      <c r="A109" s="526" t="s">
        <v>174</v>
      </c>
      <c r="B109" s="526"/>
      <c r="C109" s="526"/>
      <c r="D109" s="526"/>
      <c r="E109" s="526"/>
      <c r="F109" s="526"/>
      <c r="G109" s="526"/>
      <c r="H109" s="526"/>
      <c r="I109" s="526"/>
      <c r="J109" s="526"/>
      <c r="K109" s="526"/>
      <c r="L109" s="526"/>
      <c r="M109" s="532"/>
      <c r="N109" s="533"/>
      <c r="O109" s="533"/>
      <c r="P109" s="534"/>
    </row>
    <row r="110" spans="1:17" ht="99.75">
      <c r="A110" s="20" t="s">
        <v>0</v>
      </c>
      <c r="B110" s="20" t="s">
        <v>116</v>
      </c>
      <c r="C110" s="20" t="s">
        <v>176</v>
      </c>
      <c r="D110" s="20" t="s">
        <v>70</v>
      </c>
      <c r="E110" s="20" t="s">
        <v>173</v>
      </c>
      <c r="F110" s="20" t="s">
        <v>63</v>
      </c>
      <c r="G110" s="286" t="s">
        <v>71</v>
      </c>
      <c r="H110" s="20" t="s">
        <v>175</v>
      </c>
      <c r="I110" s="20" t="s">
        <v>64</v>
      </c>
      <c r="J110" s="286" t="s">
        <v>72</v>
      </c>
      <c r="K110" s="22" t="s">
        <v>73</v>
      </c>
      <c r="L110" s="22" t="s">
        <v>66</v>
      </c>
      <c r="M110" s="535"/>
      <c r="N110" s="536"/>
      <c r="O110" s="536"/>
      <c r="P110" s="537"/>
    </row>
    <row r="111" spans="1:17">
      <c r="A111" s="295">
        <v>1</v>
      </c>
      <c r="B111" s="295">
        <v>2</v>
      </c>
      <c r="C111" s="295">
        <v>3</v>
      </c>
      <c r="D111" s="295">
        <v>4</v>
      </c>
      <c r="E111" s="295">
        <v>5</v>
      </c>
      <c r="F111" s="295">
        <v>6</v>
      </c>
      <c r="G111" s="295">
        <v>7</v>
      </c>
      <c r="H111" s="295">
        <v>8</v>
      </c>
      <c r="I111" s="286">
        <v>9</v>
      </c>
      <c r="J111" s="295">
        <v>10</v>
      </c>
      <c r="K111" s="295">
        <v>11</v>
      </c>
      <c r="L111" s="295">
        <v>12</v>
      </c>
      <c r="M111" s="535"/>
      <c r="N111" s="536"/>
      <c r="O111" s="536"/>
      <c r="P111" s="537"/>
    </row>
    <row r="112" spans="1:17" ht="45">
      <c r="A112" s="60">
        <v>1</v>
      </c>
      <c r="B112" s="377" t="s">
        <v>1943</v>
      </c>
      <c r="C112" s="377" t="s">
        <v>1941</v>
      </c>
      <c r="D112" s="70" t="s">
        <v>1959</v>
      </c>
      <c r="E112" s="60">
        <v>1342.55</v>
      </c>
      <c r="F112" s="60" t="s">
        <v>2018</v>
      </c>
      <c r="G112" s="177" t="s">
        <v>49</v>
      </c>
      <c r="H112" s="60">
        <v>1.43</v>
      </c>
      <c r="I112" s="178">
        <v>5</v>
      </c>
      <c r="J112" s="177" t="s">
        <v>49</v>
      </c>
      <c r="K112" s="177" t="s">
        <v>49</v>
      </c>
      <c r="L112" s="177">
        <v>1</v>
      </c>
      <c r="M112" s="535"/>
      <c r="N112" s="536"/>
      <c r="O112" s="536"/>
      <c r="P112" s="537"/>
    </row>
    <row r="113" spans="1:16" ht="45">
      <c r="A113" s="60">
        <v>2</v>
      </c>
      <c r="B113" s="377"/>
      <c r="C113" s="377"/>
      <c r="D113" s="70" t="s">
        <v>1961</v>
      </c>
      <c r="E113" s="60">
        <v>382.4</v>
      </c>
      <c r="F113" s="60" t="s">
        <v>2019</v>
      </c>
      <c r="G113" s="177" t="s">
        <v>49</v>
      </c>
      <c r="H113" s="60">
        <v>0.49</v>
      </c>
      <c r="I113" s="60">
        <v>0.65</v>
      </c>
      <c r="J113" s="177" t="s">
        <v>49</v>
      </c>
      <c r="K113" s="177" t="s">
        <v>49</v>
      </c>
      <c r="L113" s="177">
        <v>2</v>
      </c>
      <c r="M113" s="535"/>
      <c r="N113" s="536"/>
      <c r="O113" s="536"/>
      <c r="P113" s="537"/>
    </row>
    <row r="114" spans="1:16" ht="30">
      <c r="A114" s="60">
        <v>3</v>
      </c>
      <c r="B114" s="377"/>
      <c r="C114" s="377"/>
      <c r="D114" s="70" t="s">
        <v>1963</v>
      </c>
      <c r="E114" s="60">
        <v>188</v>
      </c>
      <c r="F114" s="60" t="s">
        <v>2020</v>
      </c>
      <c r="G114" s="177" t="s">
        <v>49</v>
      </c>
      <c r="H114" s="60">
        <v>0.48</v>
      </c>
      <c r="I114" s="60">
        <v>0.98</v>
      </c>
      <c r="J114" s="177" t="s">
        <v>49</v>
      </c>
      <c r="K114" s="177" t="s">
        <v>49</v>
      </c>
      <c r="L114" s="177">
        <v>3</v>
      </c>
      <c r="M114" s="535"/>
      <c r="N114" s="536"/>
      <c r="O114" s="536"/>
      <c r="P114" s="537"/>
    </row>
    <row r="115" spans="1:16" ht="30">
      <c r="A115" s="60">
        <v>4</v>
      </c>
      <c r="B115" s="377"/>
      <c r="C115" s="377"/>
      <c r="D115" s="279" t="s">
        <v>2021</v>
      </c>
      <c r="E115" s="281">
        <v>717</v>
      </c>
      <c r="F115" s="278" t="s">
        <v>2022</v>
      </c>
      <c r="G115" s="177" t="s">
        <v>49</v>
      </c>
      <c r="H115" s="281">
        <v>0.23</v>
      </c>
      <c r="I115" s="177" t="s">
        <v>49</v>
      </c>
      <c r="J115" s="177" t="s">
        <v>49</v>
      </c>
      <c r="K115" s="177" t="s">
        <v>49</v>
      </c>
      <c r="L115" s="281">
        <v>4</v>
      </c>
      <c r="M115" s="535"/>
      <c r="N115" s="536"/>
      <c r="O115" s="536"/>
      <c r="P115" s="537"/>
    </row>
    <row r="116" spans="1:16" ht="30">
      <c r="A116" s="60">
        <v>5</v>
      </c>
      <c r="B116" s="377"/>
      <c r="C116" s="377"/>
      <c r="D116" s="279" t="s">
        <v>2023</v>
      </c>
      <c r="E116" s="281">
        <v>242</v>
      </c>
      <c r="F116" s="278" t="s">
        <v>2024</v>
      </c>
      <c r="G116" s="177" t="s">
        <v>49</v>
      </c>
      <c r="H116" s="281">
        <v>0.36</v>
      </c>
      <c r="I116" s="177" t="s">
        <v>49</v>
      </c>
      <c r="J116" s="177" t="s">
        <v>49</v>
      </c>
      <c r="K116" s="177" t="s">
        <v>49</v>
      </c>
      <c r="L116" s="281">
        <v>5</v>
      </c>
      <c r="M116" s="535"/>
      <c r="N116" s="536"/>
      <c r="O116" s="536"/>
      <c r="P116" s="537"/>
    </row>
    <row r="117" spans="1:16" ht="30">
      <c r="A117" s="60">
        <v>6</v>
      </c>
      <c r="B117" s="377"/>
      <c r="C117" s="377"/>
      <c r="D117" s="279" t="s">
        <v>2025</v>
      </c>
      <c r="E117" s="281">
        <v>242</v>
      </c>
      <c r="F117" s="278" t="s">
        <v>2026</v>
      </c>
      <c r="G117" s="177" t="s">
        <v>49</v>
      </c>
      <c r="H117" s="281">
        <v>0.22</v>
      </c>
      <c r="I117" s="177" t="s">
        <v>49</v>
      </c>
      <c r="J117" s="177" t="s">
        <v>49</v>
      </c>
      <c r="K117" s="177" t="s">
        <v>49</v>
      </c>
      <c r="L117" s="281">
        <v>6</v>
      </c>
      <c r="M117" s="535"/>
      <c r="N117" s="536"/>
      <c r="O117" s="536"/>
      <c r="P117" s="537"/>
    </row>
    <row r="118" spans="1:16" ht="15">
      <c r="A118" s="60">
        <v>7</v>
      </c>
      <c r="B118" s="377"/>
      <c r="C118" s="377"/>
      <c r="D118" s="279" t="s">
        <v>2027</v>
      </c>
      <c r="E118" s="278">
        <v>242</v>
      </c>
      <c r="F118" s="278" t="s">
        <v>2028</v>
      </c>
      <c r="G118" s="177" t="s">
        <v>49</v>
      </c>
      <c r="H118" s="278">
        <v>0.22</v>
      </c>
      <c r="I118" s="177" t="s">
        <v>49</v>
      </c>
      <c r="J118" s="177" t="s">
        <v>49</v>
      </c>
      <c r="K118" s="177" t="s">
        <v>49</v>
      </c>
      <c r="L118" s="278">
        <v>7</v>
      </c>
      <c r="M118" s="535"/>
      <c r="N118" s="536"/>
      <c r="O118" s="536"/>
      <c r="P118" s="537"/>
    </row>
    <row r="119" spans="1:16" ht="45">
      <c r="A119" s="60">
        <v>8</v>
      </c>
      <c r="B119" s="377"/>
      <c r="C119" s="377"/>
      <c r="D119" s="279" t="s">
        <v>2029</v>
      </c>
      <c r="E119" s="278">
        <v>614.75</v>
      </c>
      <c r="F119" s="281" t="s">
        <v>1974</v>
      </c>
      <c r="G119" s="177" t="s">
        <v>49</v>
      </c>
      <c r="H119" s="85">
        <v>2.6918000000000002</v>
      </c>
      <c r="I119" s="177" t="s">
        <v>49</v>
      </c>
      <c r="J119" s="177" t="s">
        <v>49</v>
      </c>
      <c r="K119" s="177" t="s">
        <v>49</v>
      </c>
      <c r="L119" s="278">
        <v>8</v>
      </c>
      <c r="M119" s="535"/>
      <c r="N119" s="536"/>
      <c r="O119" s="536"/>
      <c r="P119" s="537"/>
    </row>
    <row r="120" spans="1:16" ht="30">
      <c r="A120" s="60">
        <v>9</v>
      </c>
      <c r="B120" s="377"/>
      <c r="C120" s="377"/>
      <c r="D120" s="279" t="s">
        <v>1976</v>
      </c>
      <c r="E120" s="278">
        <v>346.26</v>
      </c>
      <c r="F120" s="281" t="s">
        <v>1977</v>
      </c>
      <c r="G120" s="177" t="s">
        <v>49</v>
      </c>
      <c r="H120" s="85">
        <v>0.29089999999999999</v>
      </c>
      <c r="I120" s="177" t="s">
        <v>49</v>
      </c>
      <c r="J120" s="177" t="s">
        <v>49</v>
      </c>
      <c r="K120" s="177" t="s">
        <v>49</v>
      </c>
      <c r="L120" s="278">
        <v>9</v>
      </c>
      <c r="M120" s="535"/>
      <c r="N120" s="536"/>
      <c r="O120" s="536"/>
      <c r="P120" s="537"/>
    </row>
    <row r="121" spans="1:16" ht="15">
      <c r="A121" s="60">
        <v>10</v>
      </c>
      <c r="B121" s="377"/>
      <c r="C121" s="377"/>
      <c r="D121" s="279" t="s">
        <v>2030</v>
      </c>
      <c r="E121" s="278">
        <v>900</v>
      </c>
      <c r="F121" s="278" t="s">
        <v>2031</v>
      </c>
      <c r="G121" s="177" t="s">
        <v>49</v>
      </c>
      <c r="H121" s="278">
        <v>0.71</v>
      </c>
      <c r="I121" s="278">
        <v>3.25</v>
      </c>
      <c r="J121" s="278" t="s">
        <v>1947</v>
      </c>
      <c r="K121" s="278">
        <v>1</v>
      </c>
      <c r="L121" s="278" t="s">
        <v>50</v>
      </c>
      <c r="M121" s="535"/>
      <c r="N121" s="536"/>
      <c r="O121" s="536"/>
      <c r="P121" s="537"/>
    </row>
    <row r="122" spans="1:16" ht="30">
      <c r="A122" s="60">
        <v>11</v>
      </c>
      <c r="B122" s="377"/>
      <c r="C122" s="377"/>
      <c r="D122" s="279" t="s">
        <v>2032</v>
      </c>
      <c r="E122" s="278">
        <v>167</v>
      </c>
      <c r="F122" s="278" t="s">
        <v>2033</v>
      </c>
      <c r="G122" s="177" t="s">
        <v>49</v>
      </c>
      <c r="H122" s="85">
        <v>0.1</v>
      </c>
      <c r="I122" s="278">
        <v>0.19</v>
      </c>
      <c r="J122" s="278" t="s">
        <v>1947</v>
      </c>
      <c r="K122" s="278">
        <v>2</v>
      </c>
      <c r="L122" s="278" t="s">
        <v>50</v>
      </c>
      <c r="M122" s="535"/>
      <c r="N122" s="536"/>
      <c r="O122" s="536"/>
      <c r="P122" s="537"/>
    </row>
    <row r="123" spans="1:16" ht="30">
      <c r="A123" s="60">
        <v>12</v>
      </c>
      <c r="B123" s="377"/>
      <c r="C123" s="377"/>
      <c r="D123" s="279" t="s">
        <v>2034</v>
      </c>
      <c r="E123" s="281">
        <v>1424.3</v>
      </c>
      <c r="F123" s="281" t="s">
        <v>1955</v>
      </c>
      <c r="G123" s="281" t="s">
        <v>45</v>
      </c>
      <c r="H123" s="281">
        <v>0.9</v>
      </c>
      <c r="I123" s="281">
        <v>2</v>
      </c>
      <c r="J123" s="281" t="s">
        <v>45</v>
      </c>
      <c r="K123" s="281">
        <v>3</v>
      </c>
      <c r="L123" s="281" t="s">
        <v>45</v>
      </c>
      <c r="M123" s="535"/>
      <c r="N123" s="536"/>
      <c r="O123" s="536"/>
      <c r="P123" s="537"/>
    </row>
    <row r="124" spans="1:16" ht="15">
      <c r="A124" s="60">
        <v>13</v>
      </c>
      <c r="B124" s="377"/>
      <c r="C124" s="377"/>
      <c r="D124" s="279" t="s">
        <v>1979</v>
      </c>
      <c r="E124" s="37">
        <v>541.98</v>
      </c>
      <c r="F124" s="281" t="s">
        <v>2035</v>
      </c>
      <c r="G124" s="281" t="s">
        <v>15</v>
      </c>
      <c r="H124" s="37">
        <v>0.05</v>
      </c>
      <c r="I124" s="37">
        <v>0.72</v>
      </c>
      <c r="J124" s="291" t="s">
        <v>15</v>
      </c>
      <c r="K124" s="291" t="s">
        <v>15</v>
      </c>
      <c r="L124" s="278">
        <v>10</v>
      </c>
      <c r="M124" s="535"/>
      <c r="N124" s="536"/>
      <c r="O124" s="536"/>
      <c r="P124" s="537"/>
    </row>
    <row r="125" spans="1:16" ht="15">
      <c r="A125" s="60">
        <v>14</v>
      </c>
      <c r="B125" s="377"/>
      <c r="C125" s="377"/>
      <c r="D125" s="279" t="s">
        <v>1981</v>
      </c>
      <c r="E125" s="37">
        <v>596.45000000000005</v>
      </c>
      <c r="F125" s="281" t="s">
        <v>2035</v>
      </c>
      <c r="G125" s="281" t="s">
        <v>15</v>
      </c>
      <c r="H125" s="37">
        <v>0.05</v>
      </c>
      <c r="I125" s="37">
        <v>0.8</v>
      </c>
      <c r="J125" s="291" t="s">
        <v>15</v>
      </c>
      <c r="K125" s="291" t="s">
        <v>15</v>
      </c>
      <c r="L125" s="278">
        <v>11</v>
      </c>
      <c r="M125" s="535"/>
      <c r="N125" s="536"/>
      <c r="O125" s="536"/>
      <c r="P125" s="537"/>
    </row>
    <row r="126" spans="1:16" ht="15">
      <c r="A126" s="60">
        <v>15</v>
      </c>
      <c r="B126" s="377"/>
      <c r="C126" s="377"/>
      <c r="D126" s="279" t="s">
        <v>1982</v>
      </c>
      <c r="E126" s="37">
        <v>308.5</v>
      </c>
      <c r="F126" s="281" t="s">
        <v>2036</v>
      </c>
      <c r="G126" s="281" t="s">
        <v>15</v>
      </c>
      <c r="H126" s="37">
        <v>7.0000000000000007E-2</v>
      </c>
      <c r="I126" s="37">
        <v>0.5</v>
      </c>
      <c r="J126" s="291" t="s">
        <v>15</v>
      </c>
      <c r="K126" s="291" t="s">
        <v>15</v>
      </c>
      <c r="L126" s="278">
        <v>12</v>
      </c>
      <c r="M126" s="535"/>
      <c r="N126" s="536"/>
      <c r="O126" s="536"/>
      <c r="P126" s="537"/>
    </row>
    <row r="127" spans="1:16" ht="30">
      <c r="A127" s="294">
        <v>16</v>
      </c>
      <c r="B127" s="377"/>
      <c r="C127" s="377" t="s">
        <v>2005</v>
      </c>
      <c r="D127" s="292" t="s">
        <v>2037</v>
      </c>
      <c r="E127" s="294">
        <v>8255.2000000000007</v>
      </c>
      <c r="F127" s="55" t="s">
        <v>2038</v>
      </c>
      <c r="G127" s="294" t="s">
        <v>12</v>
      </c>
      <c r="H127" s="294" t="s">
        <v>2039</v>
      </c>
      <c r="I127" s="294" t="s">
        <v>2040</v>
      </c>
      <c r="J127" s="294" t="s">
        <v>1866</v>
      </c>
      <c r="K127" s="294">
        <v>1</v>
      </c>
      <c r="L127" s="294" t="s">
        <v>12</v>
      </c>
      <c r="M127" s="535"/>
      <c r="N127" s="536"/>
      <c r="O127" s="536"/>
      <c r="P127" s="537"/>
    </row>
    <row r="128" spans="1:16" ht="30">
      <c r="A128" s="294">
        <v>17</v>
      </c>
      <c r="B128" s="377"/>
      <c r="C128" s="377"/>
      <c r="D128" s="292" t="s">
        <v>2041</v>
      </c>
      <c r="E128" s="294">
        <v>6315</v>
      </c>
      <c r="F128" s="294">
        <v>1970</v>
      </c>
      <c r="G128" s="294" t="s">
        <v>12</v>
      </c>
      <c r="H128" s="294" t="s">
        <v>2042</v>
      </c>
      <c r="I128" s="294" t="s">
        <v>2043</v>
      </c>
      <c r="J128" s="294" t="s">
        <v>1866</v>
      </c>
      <c r="K128" s="294" t="s">
        <v>12</v>
      </c>
      <c r="L128" s="294" t="s">
        <v>12</v>
      </c>
      <c r="M128" s="538"/>
      <c r="N128" s="539"/>
      <c r="O128" s="539"/>
      <c r="P128" s="540"/>
    </row>
    <row r="129" spans="1:16" ht="15">
      <c r="A129" s="548"/>
      <c r="B129" s="549"/>
      <c r="C129" s="549"/>
      <c r="D129" s="549"/>
      <c r="E129" s="549"/>
      <c r="F129" s="549"/>
      <c r="G129" s="549"/>
      <c r="H129" s="549"/>
      <c r="I129" s="549"/>
      <c r="J129" s="549"/>
      <c r="K129" s="549"/>
      <c r="L129" s="549"/>
      <c r="M129" s="549"/>
      <c r="N129" s="549"/>
      <c r="O129" s="549"/>
      <c r="P129" s="550"/>
    </row>
    <row r="130" spans="1:16" ht="28.5">
      <c r="A130" s="520" t="s">
        <v>74</v>
      </c>
      <c r="B130" s="520"/>
      <c r="C130" s="520"/>
      <c r="D130" s="520"/>
      <c r="E130" s="520"/>
      <c r="F130" s="520"/>
      <c r="G130" s="520"/>
      <c r="H130" s="520"/>
      <c r="I130" s="520"/>
      <c r="J130" s="520"/>
      <c r="K130" s="520"/>
      <c r="L130" s="520"/>
      <c r="M130" s="520"/>
      <c r="N130" s="520"/>
      <c r="O130" s="520"/>
      <c r="P130" s="62" t="s">
        <v>67</v>
      </c>
    </row>
    <row r="131" spans="1:16">
      <c r="A131" s="520">
        <v>13</v>
      </c>
      <c r="B131" s="520"/>
      <c r="C131" s="520"/>
      <c r="D131" s="520"/>
      <c r="E131" s="520"/>
      <c r="F131" s="520"/>
      <c r="G131" s="520"/>
      <c r="H131" s="520"/>
      <c r="I131" s="520"/>
      <c r="J131" s="520"/>
      <c r="K131" s="520"/>
      <c r="L131" s="520"/>
      <c r="M131" s="520"/>
      <c r="N131" s="520"/>
      <c r="O131" s="520"/>
      <c r="P131" s="20">
        <v>14</v>
      </c>
    </row>
    <row r="132" spans="1:16" ht="15">
      <c r="A132" s="520" t="s">
        <v>75</v>
      </c>
      <c r="B132" s="520"/>
      <c r="C132" s="520"/>
      <c r="D132" s="520" t="s">
        <v>76</v>
      </c>
      <c r="E132" s="520"/>
      <c r="F132" s="520"/>
      <c r="G132" s="520" t="s">
        <v>77</v>
      </c>
      <c r="H132" s="520"/>
      <c r="I132" s="520"/>
      <c r="J132" s="520" t="s">
        <v>78</v>
      </c>
      <c r="K132" s="520"/>
      <c r="L132" s="520"/>
      <c r="M132" s="520" t="s">
        <v>79</v>
      </c>
      <c r="N132" s="520"/>
      <c r="O132" s="520"/>
      <c r="P132" s="74"/>
    </row>
    <row r="133" spans="1:16" ht="15">
      <c r="A133" s="296" t="s">
        <v>80</v>
      </c>
      <c r="B133" s="296" t="s">
        <v>81</v>
      </c>
      <c r="C133" s="284" t="s">
        <v>47</v>
      </c>
      <c r="D133" s="296" t="s">
        <v>80</v>
      </c>
      <c r="E133" s="296" t="s">
        <v>81</v>
      </c>
      <c r="F133" s="284" t="s">
        <v>47</v>
      </c>
      <c r="G133" s="296" t="s">
        <v>80</v>
      </c>
      <c r="H133" s="296" t="s">
        <v>81</v>
      </c>
      <c r="I133" s="284" t="s">
        <v>47</v>
      </c>
      <c r="J133" s="296" t="s">
        <v>80</v>
      </c>
      <c r="K133" s="296" t="s">
        <v>81</v>
      </c>
      <c r="L133" s="284" t="s">
        <v>47</v>
      </c>
      <c r="M133" s="296" t="s">
        <v>80</v>
      </c>
      <c r="N133" s="296" t="s">
        <v>81</v>
      </c>
      <c r="O133" s="284" t="s">
        <v>47</v>
      </c>
      <c r="P133" s="296"/>
    </row>
    <row r="134" spans="1:16" ht="15" customHeight="1">
      <c r="A134" s="291">
        <v>34</v>
      </c>
      <c r="B134" s="291">
        <v>28</v>
      </c>
      <c r="C134" s="291">
        <v>6</v>
      </c>
      <c r="D134" s="291">
        <v>54</v>
      </c>
      <c r="E134" s="291">
        <v>49</v>
      </c>
      <c r="F134" s="291">
        <v>23</v>
      </c>
      <c r="G134" s="291">
        <v>114</v>
      </c>
      <c r="H134" s="291">
        <v>93</v>
      </c>
      <c r="I134" s="291">
        <v>36</v>
      </c>
      <c r="J134" s="291">
        <v>5</v>
      </c>
      <c r="K134" s="291">
        <v>4</v>
      </c>
      <c r="L134" s="291">
        <v>1</v>
      </c>
      <c r="M134" s="291">
        <v>1</v>
      </c>
      <c r="N134" s="291">
        <v>1</v>
      </c>
      <c r="O134" s="291">
        <v>1</v>
      </c>
      <c r="P134" s="26" t="s">
        <v>2044</v>
      </c>
    </row>
    <row r="135" spans="1:16" ht="15">
      <c r="A135" s="291">
        <v>30</v>
      </c>
      <c r="B135" s="291">
        <v>30</v>
      </c>
      <c r="C135" s="291">
        <v>12</v>
      </c>
      <c r="D135" s="291">
        <v>30</v>
      </c>
      <c r="E135" s="291">
        <v>30</v>
      </c>
      <c r="F135" s="291">
        <v>26</v>
      </c>
      <c r="G135" s="291">
        <v>134</v>
      </c>
      <c r="H135" s="291">
        <v>134</v>
      </c>
      <c r="I135" s="291">
        <v>106</v>
      </c>
      <c r="J135" s="291">
        <v>8</v>
      </c>
      <c r="K135" s="291">
        <v>8</v>
      </c>
      <c r="L135" s="291">
        <v>8</v>
      </c>
      <c r="M135" s="291">
        <v>4</v>
      </c>
      <c r="N135" s="291">
        <v>4</v>
      </c>
      <c r="O135" s="291">
        <v>4</v>
      </c>
      <c r="P135" s="26" t="s">
        <v>2045</v>
      </c>
    </row>
    <row r="136" spans="1:16" ht="15">
      <c r="A136" s="520" t="s">
        <v>82</v>
      </c>
      <c r="B136" s="520"/>
      <c r="C136" s="520"/>
      <c r="D136" s="520" t="s">
        <v>83</v>
      </c>
      <c r="E136" s="520"/>
      <c r="F136" s="520"/>
      <c r="G136" s="520" t="s">
        <v>84</v>
      </c>
      <c r="H136" s="520"/>
      <c r="I136" s="520"/>
      <c r="J136" s="516"/>
      <c r="K136" s="516"/>
      <c r="L136" s="516"/>
      <c r="M136" s="516"/>
      <c r="N136" s="516"/>
      <c r="O136" s="516"/>
      <c r="P136" s="74"/>
    </row>
    <row r="137" spans="1:16" ht="15">
      <c r="A137" s="296" t="s">
        <v>80</v>
      </c>
      <c r="B137" s="296" t="s">
        <v>81</v>
      </c>
      <c r="C137" s="284" t="s">
        <v>47</v>
      </c>
      <c r="D137" s="296" t="s">
        <v>80</v>
      </c>
      <c r="E137" s="296" t="s">
        <v>81</v>
      </c>
      <c r="F137" s="284" t="s">
        <v>47</v>
      </c>
      <c r="G137" s="296" t="s">
        <v>80</v>
      </c>
      <c r="H137" s="296" t="s">
        <v>81</v>
      </c>
      <c r="I137" s="284" t="s">
        <v>47</v>
      </c>
      <c r="J137" s="516"/>
      <c r="K137" s="516"/>
      <c r="L137" s="516"/>
      <c r="M137" s="516"/>
      <c r="N137" s="516"/>
      <c r="O137" s="516"/>
      <c r="P137" s="74"/>
    </row>
    <row r="138" spans="1:16" ht="15">
      <c r="A138" s="297">
        <v>1</v>
      </c>
      <c r="B138" s="297">
        <v>1</v>
      </c>
      <c r="C138" s="297">
        <v>1</v>
      </c>
      <c r="D138" s="297">
        <v>0</v>
      </c>
      <c r="E138" s="297">
        <v>0</v>
      </c>
      <c r="F138" s="291">
        <v>0</v>
      </c>
      <c r="G138" s="297">
        <v>0</v>
      </c>
      <c r="H138" s="297">
        <v>0</v>
      </c>
      <c r="I138" s="297">
        <v>0</v>
      </c>
      <c r="J138" s="516"/>
      <c r="K138" s="516"/>
      <c r="L138" s="516"/>
      <c r="M138" s="516"/>
      <c r="N138" s="516"/>
      <c r="O138" s="516"/>
      <c r="P138" s="74"/>
    </row>
    <row r="139" spans="1:16">
      <c r="A139" s="505"/>
      <c r="B139" s="505"/>
      <c r="C139" s="505"/>
      <c r="D139" s="505"/>
      <c r="E139" s="505"/>
      <c r="F139" s="505"/>
      <c r="G139" s="505"/>
      <c r="H139" s="505"/>
      <c r="I139" s="505"/>
      <c r="J139" s="505"/>
      <c r="K139" s="505"/>
      <c r="L139" s="505"/>
      <c r="M139" s="505"/>
      <c r="N139" s="505"/>
      <c r="O139" s="505"/>
      <c r="P139" s="505"/>
    </row>
    <row r="140" spans="1:16" ht="22.5" customHeight="1">
      <c r="A140" s="432" t="s">
        <v>182</v>
      </c>
      <c r="B140" s="432"/>
      <c r="C140" s="432"/>
      <c r="D140" s="432"/>
      <c r="E140" s="432"/>
      <c r="F140" s="432"/>
      <c r="G140" s="432"/>
      <c r="H140" s="432"/>
      <c r="I140" s="432"/>
      <c r="J140" s="432"/>
      <c r="K140" s="432"/>
      <c r="L140" s="432"/>
      <c r="M140" s="432"/>
      <c r="N140" s="432"/>
      <c r="O140" s="432"/>
      <c r="P140" s="432"/>
    </row>
    <row r="141" spans="1:16" ht="20.25">
      <c r="A141" s="526" t="s">
        <v>174</v>
      </c>
      <c r="B141" s="526"/>
      <c r="C141" s="526"/>
      <c r="D141" s="526"/>
      <c r="E141" s="526"/>
      <c r="F141" s="526"/>
      <c r="G141" s="526"/>
      <c r="H141" s="526"/>
      <c r="I141" s="526"/>
      <c r="J141" s="526"/>
      <c r="K141" s="526"/>
      <c r="L141" s="526"/>
      <c r="M141" s="533"/>
      <c r="N141" s="533"/>
      <c r="O141" s="533"/>
      <c r="P141" s="534"/>
    </row>
    <row r="142" spans="1:16" ht="99.75">
      <c r="A142" s="20" t="s">
        <v>0</v>
      </c>
      <c r="B142" s="20" t="s">
        <v>116</v>
      </c>
      <c r="C142" s="20" t="s">
        <v>176</v>
      </c>
      <c r="D142" s="20" t="s">
        <v>70</v>
      </c>
      <c r="E142" s="20" t="s">
        <v>173</v>
      </c>
      <c r="F142" s="20" t="s">
        <v>63</v>
      </c>
      <c r="G142" s="286" t="s">
        <v>71</v>
      </c>
      <c r="H142" s="20" t="s">
        <v>175</v>
      </c>
      <c r="I142" s="20" t="s">
        <v>64</v>
      </c>
      <c r="J142" s="286" t="s">
        <v>72</v>
      </c>
      <c r="K142" s="22" t="s">
        <v>73</v>
      </c>
      <c r="L142" s="22" t="s">
        <v>66</v>
      </c>
      <c r="M142" s="536"/>
      <c r="N142" s="536"/>
      <c r="O142" s="536"/>
      <c r="P142" s="537"/>
    </row>
    <row r="143" spans="1:16">
      <c r="A143" s="295">
        <v>1</v>
      </c>
      <c r="B143" s="295">
        <v>2</v>
      </c>
      <c r="C143" s="295">
        <v>3</v>
      </c>
      <c r="D143" s="295">
        <v>4</v>
      </c>
      <c r="E143" s="295">
        <v>5</v>
      </c>
      <c r="F143" s="295">
        <v>6</v>
      </c>
      <c r="G143" s="295">
        <v>7</v>
      </c>
      <c r="H143" s="295">
        <v>8</v>
      </c>
      <c r="I143" s="286">
        <v>9</v>
      </c>
      <c r="J143" s="295">
        <v>10</v>
      </c>
      <c r="K143" s="295">
        <v>11</v>
      </c>
      <c r="L143" s="295">
        <v>12</v>
      </c>
      <c r="M143" s="536"/>
      <c r="N143" s="536"/>
      <c r="O143" s="536"/>
      <c r="P143" s="537"/>
    </row>
    <row r="144" spans="1:16" ht="60">
      <c r="A144" s="321">
        <v>1</v>
      </c>
      <c r="B144" s="340" t="s">
        <v>493</v>
      </c>
      <c r="C144" s="376" t="s">
        <v>1730</v>
      </c>
      <c r="D144" s="322" t="s">
        <v>505</v>
      </c>
      <c r="E144" s="321">
        <v>24029.48</v>
      </c>
      <c r="F144" s="321" t="s">
        <v>506</v>
      </c>
      <c r="G144" s="321" t="s">
        <v>54</v>
      </c>
      <c r="H144" s="321">
        <v>17.149999999999999</v>
      </c>
      <c r="I144" s="321" t="s">
        <v>43</v>
      </c>
      <c r="J144" s="321" t="s">
        <v>26</v>
      </c>
      <c r="K144" s="321">
        <v>1</v>
      </c>
      <c r="L144" s="321" t="s">
        <v>54</v>
      </c>
      <c r="M144" s="536"/>
      <c r="N144" s="536"/>
      <c r="O144" s="536"/>
      <c r="P144" s="537"/>
    </row>
    <row r="145" spans="1:17" ht="30">
      <c r="A145" s="321">
        <v>2</v>
      </c>
      <c r="B145" s="341"/>
      <c r="C145" s="376"/>
      <c r="D145" s="322" t="s">
        <v>919</v>
      </c>
      <c r="E145" s="321">
        <v>300</v>
      </c>
      <c r="F145" s="321">
        <v>2002</v>
      </c>
      <c r="G145" s="321" t="s">
        <v>54</v>
      </c>
      <c r="H145" s="321" t="s">
        <v>43</v>
      </c>
      <c r="I145" s="321" t="s">
        <v>43</v>
      </c>
      <c r="J145" s="321" t="s">
        <v>43</v>
      </c>
      <c r="K145" s="321" t="s">
        <v>54</v>
      </c>
      <c r="L145" s="321">
        <v>1</v>
      </c>
      <c r="M145" s="536"/>
      <c r="N145" s="536"/>
      <c r="O145" s="536"/>
      <c r="P145" s="537"/>
    </row>
    <row r="146" spans="1:17" ht="75">
      <c r="A146" s="321">
        <v>3</v>
      </c>
      <c r="B146" s="341"/>
      <c r="C146" s="511" t="s">
        <v>512</v>
      </c>
      <c r="D146" s="322" t="s">
        <v>571</v>
      </c>
      <c r="E146" s="321" t="s">
        <v>12</v>
      </c>
      <c r="F146" s="321" t="s">
        <v>12</v>
      </c>
      <c r="G146" s="321" t="s">
        <v>12</v>
      </c>
      <c r="H146" s="321" t="s">
        <v>12</v>
      </c>
      <c r="I146" s="321" t="s">
        <v>12</v>
      </c>
      <c r="J146" s="321" t="s">
        <v>1731</v>
      </c>
      <c r="K146" s="321" t="s">
        <v>38</v>
      </c>
      <c r="L146" s="324">
        <v>1</v>
      </c>
      <c r="M146" s="536"/>
      <c r="N146" s="536"/>
      <c r="O146" s="536"/>
      <c r="P146" s="537"/>
    </row>
    <row r="147" spans="1:17" ht="45">
      <c r="A147" s="321">
        <v>4</v>
      </c>
      <c r="B147" s="341"/>
      <c r="C147" s="512"/>
      <c r="D147" s="325" t="s">
        <v>567</v>
      </c>
      <c r="E147" s="239" t="s">
        <v>1732</v>
      </c>
      <c r="F147" s="326">
        <v>1963</v>
      </c>
      <c r="G147" s="326" t="s">
        <v>12</v>
      </c>
      <c r="H147" s="239" t="s">
        <v>1733</v>
      </c>
      <c r="I147" s="326" t="s">
        <v>43</v>
      </c>
      <c r="J147" s="67" t="s">
        <v>41</v>
      </c>
      <c r="K147" s="67">
        <v>1</v>
      </c>
      <c r="L147" s="67" t="s">
        <v>12</v>
      </c>
      <c r="M147" s="536"/>
      <c r="N147" s="536"/>
      <c r="O147" s="536"/>
      <c r="P147" s="537"/>
    </row>
    <row r="148" spans="1:17" ht="90">
      <c r="A148" s="321">
        <v>5</v>
      </c>
      <c r="B148" s="341"/>
      <c r="C148" s="512"/>
      <c r="D148" s="322" t="s">
        <v>1739</v>
      </c>
      <c r="E148" s="321" t="s">
        <v>2478</v>
      </c>
      <c r="F148" s="321" t="s">
        <v>2479</v>
      </c>
      <c r="G148" s="321" t="s">
        <v>2480</v>
      </c>
      <c r="H148" s="321" t="s">
        <v>2050</v>
      </c>
      <c r="I148" s="321" t="s">
        <v>38</v>
      </c>
      <c r="J148" s="321" t="s">
        <v>38</v>
      </c>
      <c r="K148" s="321" t="s">
        <v>38</v>
      </c>
      <c r="L148" s="321">
        <v>2</v>
      </c>
      <c r="M148" s="536"/>
      <c r="N148" s="536"/>
      <c r="O148" s="536"/>
      <c r="P148" s="537"/>
    </row>
    <row r="149" spans="1:17" ht="30">
      <c r="A149" s="321">
        <v>6</v>
      </c>
      <c r="B149" s="341"/>
      <c r="C149" s="512"/>
      <c r="D149" s="185" t="s">
        <v>577</v>
      </c>
      <c r="E149" s="183">
        <v>1108</v>
      </c>
      <c r="F149" s="324" t="s">
        <v>12</v>
      </c>
      <c r="G149" s="324">
        <v>1949</v>
      </c>
      <c r="H149" s="324" t="s">
        <v>12</v>
      </c>
      <c r="I149" s="324" t="s">
        <v>12</v>
      </c>
      <c r="J149" s="324" t="s">
        <v>12</v>
      </c>
      <c r="K149" s="324" t="s">
        <v>12</v>
      </c>
      <c r="L149" s="324">
        <v>3</v>
      </c>
      <c r="M149" s="536"/>
      <c r="N149" s="536"/>
      <c r="O149" s="536"/>
      <c r="P149" s="537"/>
    </row>
    <row r="150" spans="1:17" ht="30">
      <c r="A150" s="321">
        <v>7</v>
      </c>
      <c r="B150" s="341"/>
      <c r="C150" s="512"/>
      <c r="D150" s="185" t="s">
        <v>579</v>
      </c>
      <c r="E150" s="183">
        <v>230</v>
      </c>
      <c r="F150" s="324" t="s">
        <v>12</v>
      </c>
      <c r="G150" s="324" t="s">
        <v>12</v>
      </c>
      <c r="H150" s="324" t="s">
        <v>12</v>
      </c>
      <c r="I150" s="324" t="s">
        <v>12</v>
      </c>
      <c r="J150" s="324" t="s">
        <v>12</v>
      </c>
      <c r="K150" s="324" t="s">
        <v>12</v>
      </c>
      <c r="L150" s="324">
        <v>4</v>
      </c>
      <c r="M150" s="536"/>
      <c r="N150" s="536"/>
      <c r="O150" s="536"/>
      <c r="P150" s="537"/>
    </row>
    <row r="151" spans="1:17" ht="30">
      <c r="A151" s="321">
        <v>8</v>
      </c>
      <c r="B151" s="341"/>
      <c r="C151" s="512"/>
      <c r="D151" s="185" t="s">
        <v>581</v>
      </c>
      <c r="E151" s="183">
        <v>467</v>
      </c>
      <c r="F151" s="324" t="s">
        <v>12</v>
      </c>
      <c r="G151" s="324" t="s">
        <v>2476</v>
      </c>
      <c r="H151" s="324">
        <v>0.05</v>
      </c>
      <c r="I151" s="324" t="s">
        <v>12</v>
      </c>
      <c r="J151" s="324" t="s">
        <v>12</v>
      </c>
      <c r="K151" s="324" t="s">
        <v>12</v>
      </c>
      <c r="L151" s="324">
        <v>5</v>
      </c>
      <c r="M151" s="536"/>
      <c r="N151" s="536"/>
      <c r="O151" s="536"/>
      <c r="P151" s="537"/>
    </row>
    <row r="152" spans="1:17" ht="30">
      <c r="A152" s="321">
        <v>9</v>
      </c>
      <c r="B152" s="342"/>
      <c r="C152" s="513"/>
      <c r="D152" s="185" t="s">
        <v>583</v>
      </c>
      <c r="E152" s="184" t="s">
        <v>12</v>
      </c>
      <c r="F152" s="324" t="s">
        <v>12</v>
      </c>
      <c r="G152" s="324">
        <v>1959</v>
      </c>
      <c r="H152" s="324" t="s">
        <v>2477</v>
      </c>
      <c r="I152" s="324" t="s">
        <v>12</v>
      </c>
      <c r="J152" s="324" t="s">
        <v>12</v>
      </c>
      <c r="K152" s="324" t="s">
        <v>12</v>
      </c>
      <c r="L152" s="324">
        <v>6</v>
      </c>
      <c r="M152" s="536"/>
      <c r="N152" s="536"/>
      <c r="O152" s="536"/>
      <c r="P152" s="537"/>
    </row>
    <row r="153" spans="1:17" ht="15">
      <c r="A153" s="373"/>
      <c r="B153" s="374"/>
      <c r="C153" s="374"/>
      <c r="D153" s="374"/>
      <c r="E153" s="374"/>
      <c r="F153" s="374"/>
      <c r="G153" s="374"/>
      <c r="H153" s="374"/>
      <c r="I153" s="374"/>
      <c r="J153" s="374"/>
      <c r="K153" s="374"/>
      <c r="L153" s="374"/>
      <c r="M153" s="374"/>
      <c r="N153" s="374"/>
      <c r="O153" s="374"/>
      <c r="P153" s="375"/>
    </row>
    <row r="154" spans="1:17" ht="28.5">
      <c r="A154" s="520" t="s">
        <v>74</v>
      </c>
      <c r="B154" s="520"/>
      <c r="C154" s="520"/>
      <c r="D154" s="520"/>
      <c r="E154" s="520"/>
      <c r="F154" s="520"/>
      <c r="G154" s="520"/>
      <c r="H154" s="520"/>
      <c r="I154" s="520"/>
      <c r="J154" s="520"/>
      <c r="K154" s="520"/>
      <c r="L154" s="520"/>
      <c r="M154" s="520"/>
      <c r="N154" s="520"/>
      <c r="O154" s="520"/>
      <c r="P154" s="62" t="s">
        <v>67</v>
      </c>
    </row>
    <row r="155" spans="1:17">
      <c r="A155" s="520">
        <v>13</v>
      </c>
      <c r="B155" s="520"/>
      <c r="C155" s="520"/>
      <c r="D155" s="520"/>
      <c r="E155" s="520"/>
      <c r="F155" s="520"/>
      <c r="G155" s="520"/>
      <c r="H155" s="520"/>
      <c r="I155" s="520"/>
      <c r="J155" s="520"/>
      <c r="K155" s="520"/>
      <c r="L155" s="520"/>
      <c r="M155" s="520"/>
      <c r="N155" s="520"/>
      <c r="O155" s="520"/>
      <c r="P155" s="20">
        <v>14</v>
      </c>
    </row>
    <row r="156" spans="1:17" ht="15">
      <c r="A156" s="520" t="s">
        <v>75</v>
      </c>
      <c r="B156" s="520"/>
      <c r="C156" s="520"/>
      <c r="D156" s="520" t="s">
        <v>76</v>
      </c>
      <c r="E156" s="520"/>
      <c r="F156" s="520"/>
      <c r="G156" s="520" t="s">
        <v>77</v>
      </c>
      <c r="H156" s="520"/>
      <c r="I156" s="520"/>
      <c r="J156" s="520" t="s">
        <v>78</v>
      </c>
      <c r="K156" s="520"/>
      <c r="L156" s="520"/>
      <c r="M156" s="520" t="s">
        <v>79</v>
      </c>
      <c r="N156" s="520"/>
      <c r="O156" s="520"/>
      <c r="P156" s="74"/>
    </row>
    <row r="157" spans="1:17" ht="15">
      <c r="A157" s="296" t="s">
        <v>80</v>
      </c>
      <c r="B157" s="296" t="s">
        <v>81</v>
      </c>
      <c r="C157" s="284" t="s">
        <v>47</v>
      </c>
      <c r="D157" s="296" t="s">
        <v>80</v>
      </c>
      <c r="E157" s="296" t="s">
        <v>81</v>
      </c>
      <c r="F157" s="284" t="s">
        <v>47</v>
      </c>
      <c r="G157" s="296" t="s">
        <v>80</v>
      </c>
      <c r="H157" s="296" t="s">
        <v>81</v>
      </c>
      <c r="I157" s="284" t="s">
        <v>47</v>
      </c>
      <c r="J157" s="296" t="s">
        <v>80</v>
      </c>
      <c r="K157" s="296" t="s">
        <v>81</v>
      </c>
      <c r="L157" s="284" t="s">
        <v>47</v>
      </c>
      <c r="M157" s="296" t="s">
        <v>80</v>
      </c>
      <c r="N157" s="296" t="s">
        <v>81</v>
      </c>
      <c r="O157" s="284" t="s">
        <v>47</v>
      </c>
      <c r="P157" s="296"/>
    </row>
    <row r="158" spans="1:17" s="92" customFormat="1" ht="15">
      <c r="A158" s="319">
        <v>217</v>
      </c>
      <c r="B158" s="278">
        <v>217</v>
      </c>
      <c r="C158" s="278">
        <v>15</v>
      </c>
      <c r="D158" s="278">
        <v>57</v>
      </c>
      <c r="E158" s="278">
        <v>57</v>
      </c>
      <c r="F158" s="278">
        <v>36</v>
      </c>
      <c r="G158" s="278">
        <v>171</v>
      </c>
      <c r="H158" s="278">
        <v>84</v>
      </c>
      <c r="I158" s="278">
        <v>87</v>
      </c>
      <c r="J158" s="278">
        <v>72</v>
      </c>
      <c r="K158" s="278">
        <v>59</v>
      </c>
      <c r="L158" s="278">
        <v>56</v>
      </c>
      <c r="M158" s="278">
        <v>12</v>
      </c>
      <c r="N158" s="278">
        <v>12</v>
      </c>
      <c r="O158" s="278">
        <v>11</v>
      </c>
      <c r="P158" s="302"/>
      <c r="Q158" s="91"/>
    </row>
    <row r="159" spans="1:17" customFormat="1" ht="47.25" customHeight="1">
      <c r="A159" s="281">
        <v>12</v>
      </c>
      <c r="B159" s="281">
        <v>0</v>
      </c>
      <c r="C159" s="281">
        <v>0</v>
      </c>
      <c r="D159" s="281">
        <v>8</v>
      </c>
      <c r="E159" s="281">
        <v>4</v>
      </c>
      <c r="F159" s="281">
        <v>2</v>
      </c>
      <c r="G159" s="281">
        <v>16</v>
      </c>
      <c r="H159" s="281">
        <v>10</v>
      </c>
      <c r="I159" s="281">
        <v>8</v>
      </c>
      <c r="J159" s="281"/>
      <c r="K159" s="281"/>
      <c r="L159" s="281"/>
      <c r="M159" s="281"/>
      <c r="N159" s="281"/>
      <c r="O159" s="281"/>
      <c r="P159" s="25" t="s">
        <v>1734</v>
      </c>
    </row>
    <row r="160" spans="1:17" customFormat="1" ht="63.75" customHeight="1">
      <c r="A160" s="67">
        <v>6</v>
      </c>
      <c r="B160" s="67">
        <v>0</v>
      </c>
      <c r="C160" s="67">
        <v>0</v>
      </c>
      <c r="D160" s="67">
        <v>8</v>
      </c>
      <c r="E160" s="67">
        <v>0</v>
      </c>
      <c r="F160" s="67">
        <v>0</v>
      </c>
      <c r="G160" s="67"/>
      <c r="H160" s="67"/>
      <c r="I160" s="67"/>
      <c r="J160" s="67"/>
      <c r="K160" s="67"/>
      <c r="L160" s="67"/>
      <c r="M160" s="67"/>
      <c r="N160" s="67"/>
      <c r="O160" s="67"/>
      <c r="P160" s="239" t="s">
        <v>1735</v>
      </c>
    </row>
    <row r="161" spans="1:19" customFormat="1" ht="135">
      <c r="A161" s="278" t="s">
        <v>1736</v>
      </c>
      <c r="B161" s="281">
        <v>0</v>
      </c>
      <c r="C161" s="281">
        <v>0</v>
      </c>
      <c r="D161" s="278" t="s">
        <v>1737</v>
      </c>
      <c r="E161" s="281">
        <v>1</v>
      </c>
      <c r="F161" s="281">
        <v>1</v>
      </c>
      <c r="G161" s="278" t="s">
        <v>1738</v>
      </c>
      <c r="H161" s="281">
        <v>2</v>
      </c>
      <c r="I161" s="281">
        <v>0</v>
      </c>
      <c r="J161" s="281"/>
      <c r="K161" s="281"/>
      <c r="L161" s="281"/>
      <c r="M161" s="281"/>
      <c r="N161" s="281"/>
      <c r="O161" s="281"/>
      <c r="P161" s="318" t="s">
        <v>1739</v>
      </c>
    </row>
    <row r="162" spans="1:19" customFormat="1" ht="165">
      <c r="A162" s="281">
        <v>19</v>
      </c>
      <c r="B162" s="281">
        <v>0</v>
      </c>
      <c r="C162" s="281">
        <v>0</v>
      </c>
      <c r="D162" s="281">
        <v>30</v>
      </c>
      <c r="E162" s="281">
        <v>2</v>
      </c>
      <c r="F162" s="281">
        <v>2</v>
      </c>
      <c r="G162" s="281">
        <v>1</v>
      </c>
      <c r="H162" s="281">
        <v>0</v>
      </c>
      <c r="I162" s="281">
        <v>0</v>
      </c>
      <c r="J162" s="281">
        <v>0</v>
      </c>
      <c r="K162" s="281">
        <v>0</v>
      </c>
      <c r="L162" s="281">
        <v>0</v>
      </c>
      <c r="M162" s="281">
        <v>0</v>
      </c>
      <c r="N162" s="281">
        <v>0</v>
      </c>
      <c r="O162" s="281">
        <v>0</v>
      </c>
      <c r="P162" s="321" t="s">
        <v>2481</v>
      </c>
    </row>
    <row r="163" spans="1:19" customFormat="1" ht="15.75">
      <c r="A163" s="530"/>
      <c r="B163" s="530"/>
      <c r="C163" s="530"/>
      <c r="D163" s="530"/>
      <c r="E163" s="530"/>
      <c r="F163" s="530"/>
      <c r="G163" s="530"/>
      <c r="H163" s="530"/>
      <c r="I163" s="530"/>
      <c r="J163" s="530"/>
      <c r="K163" s="530"/>
      <c r="L163" s="530"/>
      <c r="M163" s="530"/>
      <c r="N163" s="530"/>
      <c r="O163" s="530"/>
      <c r="P163" s="530"/>
    </row>
    <row r="164" spans="1:19" customFormat="1" ht="25.5">
      <c r="A164" s="520" t="s">
        <v>74</v>
      </c>
      <c r="B164" s="520"/>
      <c r="C164" s="520"/>
      <c r="D164" s="520"/>
      <c r="E164" s="520"/>
      <c r="F164" s="520"/>
      <c r="G164" s="520"/>
      <c r="H164" s="520"/>
      <c r="I164" s="520"/>
      <c r="J164" s="520"/>
      <c r="K164" s="520"/>
      <c r="L164" s="520"/>
      <c r="M164" s="520"/>
      <c r="N164" s="520"/>
      <c r="O164" s="520"/>
      <c r="P164" s="306" t="s">
        <v>67</v>
      </c>
    </row>
    <row r="165" spans="1:19" ht="15">
      <c r="A165" s="520" t="s">
        <v>82</v>
      </c>
      <c r="B165" s="520"/>
      <c r="C165" s="520"/>
      <c r="D165" s="520" t="s">
        <v>83</v>
      </c>
      <c r="E165" s="520"/>
      <c r="F165" s="520"/>
      <c r="G165" s="520" t="s">
        <v>84</v>
      </c>
      <c r="H165" s="520"/>
      <c r="I165" s="520"/>
      <c r="J165" s="74"/>
      <c r="K165" s="74"/>
      <c r="L165" s="74"/>
      <c r="M165" s="360"/>
      <c r="N165" s="361"/>
      <c r="O165" s="362"/>
      <c r="P165" s="286">
        <v>14</v>
      </c>
    </row>
    <row r="166" spans="1:19" ht="14.25" customHeight="1">
      <c r="A166" s="296" t="s">
        <v>80</v>
      </c>
      <c r="B166" s="296" t="s">
        <v>81</v>
      </c>
      <c r="C166" s="284" t="s">
        <v>47</v>
      </c>
      <c r="D166" s="296" t="s">
        <v>80</v>
      </c>
      <c r="E166" s="296" t="s">
        <v>81</v>
      </c>
      <c r="F166" s="284" t="s">
        <v>47</v>
      </c>
      <c r="G166" s="296" t="s">
        <v>80</v>
      </c>
      <c r="H166" s="296" t="s">
        <v>81</v>
      </c>
      <c r="I166" s="284" t="s">
        <v>47</v>
      </c>
      <c r="J166" s="74"/>
      <c r="K166" s="74"/>
      <c r="L166" s="74"/>
      <c r="M166" s="360"/>
      <c r="N166" s="361"/>
      <c r="O166" s="362"/>
      <c r="P166" s="74"/>
    </row>
    <row r="167" spans="1:19" s="92" customFormat="1" ht="15">
      <c r="A167" s="186">
        <v>3</v>
      </c>
      <c r="B167" s="278">
        <v>3</v>
      </c>
      <c r="C167" s="278">
        <v>3</v>
      </c>
      <c r="D167" s="278" t="s">
        <v>26</v>
      </c>
      <c r="E167" s="278" t="s">
        <v>26</v>
      </c>
      <c r="F167" s="278" t="s">
        <v>26</v>
      </c>
      <c r="G167" s="278" t="s">
        <v>26</v>
      </c>
      <c r="H167" s="278" t="s">
        <v>26</v>
      </c>
      <c r="I167" s="278" t="s">
        <v>26</v>
      </c>
      <c r="J167" s="281"/>
      <c r="K167" s="281"/>
      <c r="L167" s="281"/>
      <c r="M167" s="373"/>
      <c r="N167" s="374"/>
      <c r="O167" s="375"/>
      <c r="P167" s="281"/>
      <c r="Q167" s="63"/>
    </row>
    <row r="168" spans="1:19" customFormat="1" ht="45">
      <c r="A168" s="67">
        <v>2</v>
      </c>
      <c r="B168" s="278" t="s">
        <v>511</v>
      </c>
      <c r="C168" s="25" t="s">
        <v>512</v>
      </c>
      <c r="D168" s="239" t="s">
        <v>567</v>
      </c>
      <c r="E168" s="239" t="s">
        <v>1732</v>
      </c>
      <c r="F168" s="294">
        <v>1963</v>
      </c>
      <c r="G168" s="294" t="s">
        <v>12</v>
      </c>
      <c r="H168" s="239" t="s">
        <v>1733</v>
      </c>
      <c r="I168" s="294" t="s">
        <v>43</v>
      </c>
      <c r="J168" s="67" t="s">
        <v>41</v>
      </c>
      <c r="K168" s="67">
        <v>1</v>
      </c>
      <c r="L168" s="67" t="s">
        <v>12</v>
      </c>
      <c r="M168" s="459"/>
      <c r="N168" s="460"/>
      <c r="O168" s="551"/>
      <c r="P168" s="67"/>
    </row>
    <row r="169" spans="1:19" customFormat="1" ht="120">
      <c r="A169" s="281">
        <v>0</v>
      </c>
      <c r="B169" s="281">
        <v>0</v>
      </c>
      <c r="C169" s="281">
        <v>0</v>
      </c>
      <c r="D169" s="281">
        <v>0</v>
      </c>
      <c r="E169" s="281">
        <v>0</v>
      </c>
      <c r="F169" s="281">
        <v>0</v>
      </c>
      <c r="G169" s="281">
        <v>16</v>
      </c>
      <c r="H169" s="281">
        <v>16</v>
      </c>
      <c r="I169" s="281">
        <v>16</v>
      </c>
      <c r="J169" s="281"/>
      <c r="K169" s="281"/>
      <c r="L169" s="281"/>
      <c r="M169" s="373"/>
      <c r="N169" s="374"/>
      <c r="O169" s="375"/>
      <c r="P169" s="288" t="s">
        <v>2048</v>
      </c>
    </row>
    <row r="170" spans="1:19" customFormat="1" ht="15.75" customHeight="1">
      <c r="A170" s="522"/>
      <c r="B170" s="522"/>
      <c r="C170" s="522"/>
      <c r="D170" s="522"/>
      <c r="E170" s="522"/>
      <c r="F170" s="522"/>
      <c r="G170" s="522"/>
      <c r="H170" s="522"/>
      <c r="I170" s="522"/>
      <c r="J170" s="522"/>
      <c r="K170" s="522"/>
      <c r="L170" s="522"/>
      <c r="M170" s="522"/>
      <c r="N170" s="522"/>
      <c r="O170" s="522"/>
      <c r="P170" s="522"/>
    </row>
    <row r="171" spans="1:19" ht="22.5" customHeight="1">
      <c r="A171" s="432" t="s">
        <v>183</v>
      </c>
      <c r="B171" s="432"/>
      <c r="C171" s="432"/>
      <c r="D171" s="432"/>
      <c r="E171" s="432"/>
      <c r="F171" s="432"/>
      <c r="G171" s="432"/>
      <c r="H171" s="432"/>
      <c r="I171" s="432"/>
      <c r="J171" s="432"/>
      <c r="K171" s="432"/>
      <c r="L171" s="432"/>
      <c r="M171" s="432"/>
      <c r="N171" s="432"/>
      <c r="O171" s="432"/>
      <c r="P171" s="432"/>
    </row>
    <row r="172" spans="1:19" ht="20.25">
      <c r="A172" s="526" t="s">
        <v>174</v>
      </c>
      <c r="B172" s="526"/>
      <c r="C172" s="526"/>
      <c r="D172" s="526"/>
      <c r="E172" s="526"/>
      <c r="F172" s="526"/>
      <c r="G172" s="526"/>
      <c r="H172" s="526"/>
      <c r="I172" s="526"/>
      <c r="J172" s="526"/>
      <c r="K172" s="526"/>
      <c r="L172" s="526"/>
      <c r="M172" s="528"/>
      <c r="N172" s="528"/>
      <c r="O172" s="528"/>
      <c r="P172" s="528"/>
    </row>
    <row r="173" spans="1:19" ht="99.75">
      <c r="A173" s="20" t="s">
        <v>0</v>
      </c>
      <c r="B173" s="20" t="s">
        <v>116</v>
      </c>
      <c r="C173" s="20" t="s">
        <v>176</v>
      </c>
      <c r="D173" s="20" t="s">
        <v>70</v>
      </c>
      <c r="E173" s="20" t="s">
        <v>173</v>
      </c>
      <c r="F173" s="20" t="s">
        <v>63</v>
      </c>
      <c r="G173" s="286" t="s">
        <v>71</v>
      </c>
      <c r="H173" s="20" t="s">
        <v>175</v>
      </c>
      <c r="I173" s="20" t="s">
        <v>64</v>
      </c>
      <c r="J173" s="286" t="s">
        <v>72</v>
      </c>
      <c r="K173" s="22" t="s">
        <v>73</v>
      </c>
      <c r="L173" s="22" t="s">
        <v>66</v>
      </c>
      <c r="M173" s="528"/>
      <c r="N173" s="528"/>
      <c r="O173" s="528"/>
      <c r="P173" s="528"/>
    </row>
    <row r="174" spans="1:19">
      <c r="A174" s="295">
        <v>1</v>
      </c>
      <c r="B174" s="295">
        <v>2</v>
      </c>
      <c r="C174" s="295">
        <v>3</v>
      </c>
      <c r="D174" s="295">
        <v>4</v>
      </c>
      <c r="E174" s="295">
        <v>5</v>
      </c>
      <c r="F174" s="295">
        <v>6</v>
      </c>
      <c r="G174" s="295">
        <v>7</v>
      </c>
      <c r="H174" s="295">
        <v>8</v>
      </c>
      <c r="I174" s="286">
        <v>9</v>
      </c>
      <c r="J174" s="295">
        <v>10</v>
      </c>
      <c r="K174" s="295">
        <v>11</v>
      </c>
      <c r="L174" s="295">
        <v>12</v>
      </c>
      <c r="M174" s="528"/>
      <c r="N174" s="528"/>
      <c r="O174" s="528"/>
      <c r="P174" s="528"/>
    </row>
    <row r="175" spans="1:19" s="116" customFormat="1" ht="96" customHeight="1">
      <c r="A175" s="239">
        <v>1</v>
      </c>
      <c r="B175" s="443" t="s">
        <v>2140</v>
      </c>
      <c r="C175" s="443" t="s">
        <v>2145</v>
      </c>
      <c r="D175" s="283" t="s">
        <v>1813</v>
      </c>
      <c r="E175" s="278" t="s">
        <v>1814</v>
      </c>
      <c r="F175" s="239" t="s">
        <v>1815</v>
      </c>
      <c r="G175" s="239" t="s">
        <v>15</v>
      </c>
      <c r="H175" s="278" t="s">
        <v>1816</v>
      </c>
      <c r="I175" s="278" t="s">
        <v>1817</v>
      </c>
      <c r="J175" s="239" t="s">
        <v>15</v>
      </c>
      <c r="K175" s="239">
        <v>1</v>
      </c>
      <c r="L175" s="239"/>
      <c r="M175" s="528"/>
      <c r="N175" s="528"/>
      <c r="O175" s="528"/>
      <c r="P175" s="528"/>
      <c r="Q175" s="117"/>
      <c r="R175" s="117"/>
      <c r="S175" s="117"/>
    </row>
    <row r="176" spans="1:19" s="116" customFormat="1" ht="74.25" customHeight="1">
      <c r="A176" s="239">
        <v>2</v>
      </c>
      <c r="B176" s="443"/>
      <c r="C176" s="443"/>
      <c r="D176" s="283" t="s">
        <v>1819</v>
      </c>
      <c r="E176" s="239" t="s">
        <v>1820</v>
      </c>
      <c r="F176" s="239" t="s">
        <v>1886</v>
      </c>
      <c r="G176" s="239" t="s">
        <v>1887</v>
      </c>
      <c r="H176" s="239">
        <v>10.54</v>
      </c>
      <c r="I176" s="278" t="s">
        <v>1822</v>
      </c>
      <c r="J176" s="239" t="s">
        <v>15</v>
      </c>
      <c r="K176" s="239">
        <v>2</v>
      </c>
      <c r="L176" s="239"/>
      <c r="M176" s="528"/>
      <c r="N176" s="528"/>
      <c r="O176" s="528"/>
      <c r="P176" s="528"/>
      <c r="Q176" s="117"/>
      <c r="R176" s="117"/>
      <c r="S176" s="117"/>
    </row>
    <row r="177" spans="1:19" s="116" customFormat="1" ht="125.25" customHeight="1">
      <c r="A177" s="239">
        <v>3</v>
      </c>
      <c r="B177" s="443"/>
      <c r="C177" s="443"/>
      <c r="D177" s="283" t="s">
        <v>1824</v>
      </c>
      <c r="E177" s="239" t="s">
        <v>1825</v>
      </c>
      <c r="F177" s="239" t="s">
        <v>1826</v>
      </c>
      <c r="G177" s="239" t="s">
        <v>1888</v>
      </c>
      <c r="H177" s="239">
        <v>0.6</v>
      </c>
      <c r="I177" s="278" t="s">
        <v>1827</v>
      </c>
      <c r="J177" s="239" t="s">
        <v>15</v>
      </c>
      <c r="K177" s="239">
        <v>3</v>
      </c>
      <c r="L177" s="239"/>
      <c r="M177" s="528"/>
      <c r="N177" s="528"/>
      <c r="O177" s="528"/>
      <c r="P177" s="528"/>
      <c r="Q177" s="117"/>
      <c r="R177" s="117"/>
      <c r="S177" s="117"/>
    </row>
    <row r="178" spans="1:19" s="116" customFormat="1" ht="110.25" customHeight="1">
      <c r="A178" s="239">
        <v>4</v>
      </c>
      <c r="B178" s="443"/>
      <c r="C178" s="443"/>
      <c r="D178" s="283" t="s">
        <v>1828</v>
      </c>
      <c r="E178" s="239" t="s">
        <v>1829</v>
      </c>
      <c r="F178" s="239" t="s">
        <v>1830</v>
      </c>
      <c r="G178" s="239">
        <v>1976</v>
      </c>
      <c r="H178" s="239">
        <v>0.04</v>
      </c>
      <c r="I178" s="278" t="s">
        <v>1831</v>
      </c>
      <c r="J178" s="239" t="s">
        <v>15</v>
      </c>
      <c r="K178" s="239">
        <v>4</v>
      </c>
      <c r="L178" s="239"/>
      <c r="M178" s="528"/>
      <c r="N178" s="528"/>
      <c r="O178" s="528"/>
      <c r="P178" s="528"/>
      <c r="Q178" s="117"/>
      <c r="R178" s="117"/>
      <c r="S178" s="117"/>
    </row>
    <row r="179" spans="1:19" s="116" customFormat="1" ht="110.25" customHeight="1">
      <c r="A179" s="239">
        <v>5</v>
      </c>
      <c r="B179" s="443"/>
      <c r="C179" s="443"/>
      <c r="D179" s="283" t="s">
        <v>1889</v>
      </c>
      <c r="E179" s="239" t="s">
        <v>1833</v>
      </c>
      <c r="F179" s="239" t="s">
        <v>1834</v>
      </c>
      <c r="G179" s="239" t="s">
        <v>1890</v>
      </c>
      <c r="H179" s="239">
        <v>4.99</v>
      </c>
      <c r="I179" s="278" t="s">
        <v>1835</v>
      </c>
      <c r="J179" s="239" t="s">
        <v>15</v>
      </c>
      <c r="K179" s="239">
        <v>5</v>
      </c>
      <c r="L179" s="239"/>
      <c r="M179" s="528"/>
      <c r="N179" s="528"/>
      <c r="O179" s="528"/>
      <c r="P179" s="528"/>
      <c r="Q179" s="117"/>
      <c r="R179" s="117"/>
      <c r="S179" s="117"/>
    </row>
    <row r="180" spans="1:19" s="116" customFormat="1" ht="94.5" customHeight="1">
      <c r="A180" s="239">
        <v>6</v>
      </c>
      <c r="B180" s="443"/>
      <c r="C180" s="443"/>
      <c r="D180" s="283" t="s">
        <v>1838</v>
      </c>
      <c r="E180" s="239" t="s">
        <v>1839</v>
      </c>
      <c r="F180" s="239" t="s">
        <v>1840</v>
      </c>
      <c r="G180" s="239" t="s">
        <v>1890</v>
      </c>
      <c r="H180" s="239">
        <v>41.92</v>
      </c>
      <c r="I180" s="278" t="s">
        <v>1841</v>
      </c>
      <c r="J180" s="239" t="s">
        <v>15</v>
      </c>
      <c r="K180" s="239">
        <v>6</v>
      </c>
      <c r="L180" s="239"/>
      <c r="M180" s="528"/>
      <c r="N180" s="528"/>
      <c r="O180" s="528"/>
      <c r="P180" s="528"/>
      <c r="Q180" s="117"/>
      <c r="R180" s="117"/>
      <c r="S180" s="117"/>
    </row>
    <row r="181" spans="1:19" s="116" customFormat="1" ht="97.5" customHeight="1">
      <c r="A181" s="239">
        <v>7</v>
      </c>
      <c r="B181" s="443"/>
      <c r="C181" s="443"/>
      <c r="D181" s="283" t="s">
        <v>1843</v>
      </c>
      <c r="E181" s="239" t="s">
        <v>1844</v>
      </c>
      <c r="F181" s="239" t="s">
        <v>1845</v>
      </c>
      <c r="G181" s="239" t="s">
        <v>1845</v>
      </c>
      <c r="H181" s="239">
        <v>0.04</v>
      </c>
      <c r="I181" s="278" t="s">
        <v>1846</v>
      </c>
      <c r="J181" s="239" t="s">
        <v>15</v>
      </c>
      <c r="K181" s="239">
        <v>7</v>
      </c>
      <c r="L181" s="239"/>
      <c r="M181" s="528"/>
      <c r="N181" s="528"/>
      <c r="O181" s="528"/>
      <c r="P181" s="528"/>
      <c r="Q181" s="117"/>
      <c r="R181" s="117"/>
      <c r="S181" s="117"/>
    </row>
    <row r="182" spans="1:19" s="116" customFormat="1" ht="91.5" customHeight="1">
      <c r="A182" s="239">
        <v>8</v>
      </c>
      <c r="B182" s="443"/>
      <c r="C182" s="443"/>
      <c r="D182" s="283" t="s">
        <v>1847</v>
      </c>
      <c r="E182" s="239" t="s">
        <v>1848</v>
      </c>
      <c r="F182" s="239" t="s">
        <v>1849</v>
      </c>
      <c r="G182" s="239" t="s">
        <v>15</v>
      </c>
      <c r="H182" s="239">
        <v>0.74</v>
      </c>
      <c r="I182" s="278" t="s">
        <v>1850</v>
      </c>
      <c r="J182" s="239" t="s">
        <v>15</v>
      </c>
      <c r="K182" s="239">
        <v>8</v>
      </c>
      <c r="L182" s="239"/>
      <c r="M182" s="528"/>
      <c r="N182" s="528"/>
      <c r="O182" s="528"/>
      <c r="P182" s="528"/>
      <c r="Q182" s="117"/>
      <c r="R182" s="117"/>
      <c r="S182" s="117"/>
    </row>
    <row r="183" spans="1:19" s="116" customFormat="1" ht="69" customHeight="1">
      <c r="A183" s="239">
        <v>9</v>
      </c>
      <c r="B183" s="443"/>
      <c r="C183" s="443"/>
      <c r="D183" s="283" t="s">
        <v>1851</v>
      </c>
      <c r="E183" s="239" t="s">
        <v>1852</v>
      </c>
      <c r="F183" s="239" t="s">
        <v>1853</v>
      </c>
      <c r="G183" s="239">
        <v>1983</v>
      </c>
      <c r="H183" s="239">
        <v>0.12</v>
      </c>
      <c r="I183" s="278" t="s">
        <v>1854</v>
      </c>
      <c r="J183" s="239" t="s">
        <v>15</v>
      </c>
      <c r="K183" s="239">
        <v>9</v>
      </c>
      <c r="L183" s="239"/>
      <c r="M183" s="528"/>
      <c r="N183" s="528"/>
      <c r="O183" s="528"/>
      <c r="P183" s="528"/>
      <c r="Q183" s="117"/>
      <c r="R183" s="117"/>
      <c r="S183" s="117"/>
    </row>
    <row r="184" spans="1:19" s="116" customFormat="1" ht="110.25" customHeight="1">
      <c r="A184" s="239">
        <v>10</v>
      </c>
      <c r="B184" s="443"/>
      <c r="C184" s="443"/>
      <c r="D184" s="283" t="s">
        <v>1855</v>
      </c>
      <c r="E184" s="239" t="s">
        <v>1856</v>
      </c>
      <c r="F184" s="239" t="s">
        <v>1857</v>
      </c>
      <c r="G184" s="239" t="s">
        <v>1891</v>
      </c>
      <c r="H184" s="239" t="s">
        <v>54</v>
      </c>
      <c r="I184" s="278" t="s">
        <v>1858</v>
      </c>
      <c r="J184" s="239" t="s">
        <v>15</v>
      </c>
      <c r="K184" s="239">
        <v>10</v>
      </c>
      <c r="L184" s="239"/>
      <c r="M184" s="528"/>
      <c r="N184" s="528"/>
      <c r="O184" s="528"/>
      <c r="P184" s="528"/>
      <c r="Q184" s="117"/>
      <c r="R184" s="117"/>
      <c r="S184" s="117"/>
    </row>
    <row r="185" spans="1:19" s="116" customFormat="1" ht="57" customHeight="1">
      <c r="A185" s="239">
        <v>11</v>
      </c>
      <c r="B185" s="443"/>
      <c r="C185" s="443"/>
      <c r="D185" s="283" t="s">
        <v>1860</v>
      </c>
      <c r="E185" s="239" t="s">
        <v>1861</v>
      </c>
      <c r="F185" s="239"/>
      <c r="G185" s="239" t="s">
        <v>15</v>
      </c>
      <c r="H185" s="239">
        <v>5.0000000000000001E-4</v>
      </c>
      <c r="I185" s="278" t="s">
        <v>1862</v>
      </c>
      <c r="J185" s="239" t="s">
        <v>15</v>
      </c>
      <c r="K185" s="239">
        <v>11</v>
      </c>
      <c r="L185" s="239"/>
      <c r="M185" s="528"/>
      <c r="N185" s="528"/>
      <c r="O185" s="528"/>
      <c r="P185" s="528"/>
      <c r="Q185" s="117"/>
      <c r="R185" s="117"/>
      <c r="S185" s="117"/>
    </row>
    <row r="186" spans="1:19" s="116" customFormat="1" ht="66.75" customHeight="1">
      <c r="A186" s="239">
        <v>12</v>
      </c>
      <c r="B186" s="443"/>
      <c r="C186" s="443"/>
      <c r="D186" s="283" t="s">
        <v>1864</v>
      </c>
      <c r="E186" s="239" t="s">
        <v>1865</v>
      </c>
      <c r="F186" s="239" t="s">
        <v>1866</v>
      </c>
      <c r="G186" s="239" t="s">
        <v>15</v>
      </c>
      <c r="H186" s="239">
        <v>6.9999999999999999E-4</v>
      </c>
      <c r="I186" s="278" t="s">
        <v>1867</v>
      </c>
      <c r="J186" s="239" t="s">
        <v>15</v>
      </c>
      <c r="K186" s="239">
        <v>12</v>
      </c>
      <c r="L186" s="239"/>
      <c r="M186" s="528"/>
      <c r="N186" s="528"/>
      <c r="O186" s="528"/>
      <c r="P186" s="528"/>
      <c r="Q186" s="117"/>
      <c r="R186" s="117"/>
      <c r="S186" s="117"/>
    </row>
    <row r="187" spans="1:19" s="116" customFormat="1" ht="64.5" customHeight="1">
      <c r="A187" s="239">
        <v>13</v>
      </c>
      <c r="B187" s="443"/>
      <c r="C187" s="443"/>
      <c r="D187" s="283" t="s">
        <v>1868</v>
      </c>
      <c r="E187" s="239" t="s">
        <v>1869</v>
      </c>
      <c r="F187" s="239" t="s">
        <v>1870</v>
      </c>
      <c r="G187" s="239" t="s">
        <v>1892</v>
      </c>
      <c r="H187" s="239">
        <v>0.11</v>
      </c>
      <c r="I187" s="278" t="s">
        <v>1871</v>
      </c>
      <c r="J187" s="239" t="s">
        <v>15</v>
      </c>
      <c r="K187" s="239">
        <v>13</v>
      </c>
      <c r="L187" s="239"/>
      <c r="M187" s="528"/>
      <c r="N187" s="528"/>
      <c r="O187" s="528"/>
      <c r="P187" s="528"/>
      <c r="Q187" s="117"/>
      <c r="R187" s="117"/>
      <c r="S187" s="117"/>
    </row>
    <row r="188" spans="1:19" s="116" customFormat="1" ht="96" customHeight="1">
      <c r="A188" s="239">
        <v>14</v>
      </c>
      <c r="B188" s="443"/>
      <c r="C188" s="443"/>
      <c r="D188" s="283" t="s">
        <v>1872</v>
      </c>
      <c r="E188" s="239">
        <v>316.05</v>
      </c>
      <c r="F188" s="239" t="s">
        <v>54</v>
      </c>
      <c r="G188" s="239"/>
      <c r="H188" s="239">
        <v>0.03</v>
      </c>
      <c r="I188" s="239" t="s">
        <v>1873</v>
      </c>
      <c r="J188" s="239" t="s">
        <v>15</v>
      </c>
      <c r="K188" s="239">
        <v>14</v>
      </c>
      <c r="L188" s="239"/>
      <c r="M188" s="528"/>
      <c r="N188" s="528"/>
      <c r="O188" s="528"/>
      <c r="P188" s="528"/>
      <c r="Q188" s="117"/>
      <c r="R188" s="117"/>
      <c r="S188" s="117"/>
    </row>
    <row r="189" spans="1:19" s="116" customFormat="1" ht="102.75" customHeight="1">
      <c r="A189" s="239">
        <v>15</v>
      </c>
      <c r="B189" s="443"/>
      <c r="C189" s="443"/>
      <c r="D189" s="292" t="s">
        <v>2144</v>
      </c>
      <c r="E189" s="294" t="s">
        <v>1876</v>
      </c>
      <c r="F189" s="294" t="s">
        <v>1893</v>
      </c>
      <c r="G189" s="294" t="s">
        <v>1894</v>
      </c>
      <c r="H189" s="294" t="s">
        <v>1877</v>
      </c>
      <c r="I189" s="294" t="s">
        <v>43</v>
      </c>
      <c r="J189" s="294" t="s">
        <v>15</v>
      </c>
      <c r="K189" s="294">
        <v>15</v>
      </c>
      <c r="L189" s="239"/>
      <c r="M189" s="528"/>
      <c r="N189" s="528"/>
      <c r="O189" s="528"/>
      <c r="P189" s="528"/>
      <c r="Q189" s="117"/>
      <c r="R189" s="117"/>
      <c r="S189" s="117"/>
    </row>
    <row r="190" spans="1:19" ht="15">
      <c r="A190" s="459"/>
      <c r="B190" s="460"/>
      <c r="C190" s="460"/>
      <c r="D190" s="460"/>
      <c r="E190" s="460"/>
      <c r="F190" s="460"/>
      <c r="G190" s="460"/>
      <c r="H190" s="460"/>
      <c r="I190" s="460"/>
      <c r="J190" s="460"/>
      <c r="K190" s="460"/>
      <c r="L190" s="460"/>
      <c r="M190" s="460"/>
      <c r="N190" s="460"/>
      <c r="O190" s="460"/>
      <c r="P190" s="551"/>
    </row>
    <row r="191" spans="1:19" ht="28.5">
      <c r="A191" s="520" t="s">
        <v>74</v>
      </c>
      <c r="B191" s="520"/>
      <c r="C191" s="520"/>
      <c r="D191" s="520"/>
      <c r="E191" s="520"/>
      <c r="F191" s="520"/>
      <c r="G191" s="520"/>
      <c r="H191" s="520"/>
      <c r="I191" s="520"/>
      <c r="J191" s="520"/>
      <c r="K191" s="520"/>
      <c r="L191" s="520"/>
      <c r="M191" s="520"/>
      <c r="N191" s="520"/>
      <c r="O191" s="520"/>
      <c r="P191" s="62" t="s">
        <v>67</v>
      </c>
    </row>
    <row r="192" spans="1:19">
      <c r="A192" s="520">
        <v>13</v>
      </c>
      <c r="B192" s="520"/>
      <c r="C192" s="520"/>
      <c r="D192" s="520"/>
      <c r="E192" s="520"/>
      <c r="F192" s="520"/>
      <c r="G192" s="520"/>
      <c r="H192" s="520"/>
      <c r="I192" s="520"/>
      <c r="J192" s="520"/>
      <c r="K192" s="520"/>
      <c r="L192" s="520"/>
      <c r="M192" s="520"/>
      <c r="N192" s="520"/>
      <c r="O192" s="520"/>
      <c r="P192" s="20">
        <v>14</v>
      </c>
    </row>
    <row r="193" spans="1:16" ht="15">
      <c r="A193" s="520" t="s">
        <v>75</v>
      </c>
      <c r="B193" s="520"/>
      <c r="C193" s="520"/>
      <c r="D193" s="520" t="s">
        <v>76</v>
      </c>
      <c r="E193" s="520"/>
      <c r="F193" s="520"/>
      <c r="G193" s="520" t="s">
        <v>77</v>
      </c>
      <c r="H193" s="520"/>
      <c r="I193" s="520"/>
      <c r="J193" s="520" t="s">
        <v>78</v>
      </c>
      <c r="K193" s="520"/>
      <c r="L193" s="520"/>
      <c r="M193" s="520" t="s">
        <v>1896</v>
      </c>
      <c r="N193" s="520"/>
      <c r="O193" s="520"/>
      <c r="P193" s="74"/>
    </row>
    <row r="194" spans="1:16" ht="15">
      <c r="A194" s="296" t="s">
        <v>80</v>
      </c>
      <c r="B194" s="296" t="s">
        <v>81</v>
      </c>
      <c r="C194" s="284" t="s">
        <v>47</v>
      </c>
      <c r="D194" s="296" t="s">
        <v>80</v>
      </c>
      <c r="E194" s="296" t="s">
        <v>81</v>
      </c>
      <c r="F194" s="284" t="s">
        <v>47</v>
      </c>
      <c r="G194" s="296" t="s">
        <v>80</v>
      </c>
      <c r="H194" s="296" t="s">
        <v>81</v>
      </c>
      <c r="I194" s="284" t="s">
        <v>47</v>
      </c>
      <c r="J194" s="296" t="s">
        <v>80</v>
      </c>
      <c r="K194" s="296" t="s">
        <v>81</v>
      </c>
      <c r="L194" s="284" t="s">
        <v>47</v>
      </c>
      <c r="M194" s="296" t="s">
        <v>80</v>
      </c>
      <c r="N194" s="296" t="s">
        <v>81</v>
      </c>
      <c r="O194" s="284" t="s">
        <v>47</v>
      </c>
      <c r="P194" s="296"/>
    </row>
    <row r="195" spans="1:16" ht="60">
      <c r="A195" s="239" t="s">
        <v>15</v>
      </c>
      <c r="B195" s="239" t="s">
        <v>15</v>
      </c>
      <c r="C195" s="239" t="s">
        <v>15</v>
      </c>
      <c r="D195" s="239" t="s">
        <v>15</v>
      </c>
      <c r="E195" s="239" t="s">
        <v>15</v>
      </c>
      <c r="F195" s="239" t="s">
        <v>15</v>
      </c>
      <c r="G195" s="239">
        <v>56</v>
      </c>
      <c r="H195" s="239">
        <v>4</v>
      </c>
      <c r="I195" s="239">
        <v>52</v>
      </c>
      <c r="J195" s="239">
        <v>200</v>
      </c>
      <c r="K195" s="239">
        <v>9</v>
      </c>
      <c r="L195" s="239">
        <v>191</v>
      </c>
      <c r="M195" s="239" t="s">
        <v>15</v>
      </c>
      <c r="N195" s="239" t="s">
        <v>15</v>
      </c>
      <c r="O195" s="239" t="s">
        <v>15</v>
      </c>
      <c r="P195" s="239" t="s">
        <v>1813</v>
      </c>
    </row>
    <row r="196" spans="1:16" ht="45">
      <c r="A196" s="239" t="s">
        <v>15</v>
      </c>
      <c r="B196" s="239" t="s">
        <v>15</v>
      </c>
      <c r="C196" s="239" t="s">
        <v>15</v>
      </c>
      <c r="D196" s="239" t="s">
        <v>15</v>
      </c>
      <c r="E196" s="239" t="s">
        <v>15</v>
      </c>
      <c r="F196" s="239" t="s">
        <v>15</v>
      </c>
      <c r="G196" s="239">
        <v>56</v>
      </c>
      <c r="H196" s="239" t="s">
        <v>26</v>
      </c>
      <c r="I196" s="239">
        <v>56</v>
      </c>
      <c r="J196" s="239" t="s">
        <v>15</v>
      </c>
      <c r="K196" s="239" t="s">
        <v>15</v>
      </c>
      <c r="L196" s="239" t="s">
        <v>15</v>
      </c>
      <c r="M196" s="239" t="s">
        <v>15</v>
      </c>
      <c r="N196" s="239" t="s">
        <v>15</v>
      </c>
      <c r="O196" s="239" t="s">
        <v>15</v>
      </c>
      <c r="P196" s="239" t="s">
        <v>1819</v>
      </c>
    </row>
    <row r="197" spans="1:16" ht="30">
      <c r="A197" s="239">
        <v>32</v>
      </c>
      <c r="B197" s="239">
        <v>2</v>
      </c>
      <c r="C197" s="239">
        <v>30</v>
      </c>
      <c r="D197" s="239">
        <v>119</v>
      </c>
      <c r="E197" s="239">
        <v>1</v>
      </c>
      <c r="F197" s="239">
        <v>118</v>
      </c>
      <c r="G197" s="239">
        <v>92</v>
      </c>
      <c r="H197" s="239">
        <v>3</v>
      </c>
      <c r="I197" s="239">
        <v>89</v>
      </c>
      <c r="J197" s="239">
        <v>4</v>
      </c>
      <c r="K197" s="239" t="s">
        <v>26</v>
      </c>
      <c r="L197" s="239">
        <v>4</v>
      </c>
      <c r="M197" s="239" t="s">
        <v>15</v>
      </c>
      <c r="N197" s="239" t="s">
        <v>15</v>
      </c>
      <c r="O197" s="239" t="s">
        <v>15</v>
      </c>
      <c r="P197" s="239" t="s">
        <v>1824</v>
      </c>
    </row>
    <row r="198" spans="1:16" ht="45">
      <c r="A198" s="239">
        <v>10</v>
      </c>
      <c r="B198" s="239" t="s">
        <v>26</v>
      </c>
      <c r="C198" s="239">
        <v>10</v>
      </c>
      <c r="D198" s="239">
        <v>25</v>
      </c>
      <c r="E198" s="239" t="s">
        <v>26</v>
      </c>
      <c r="F198" s="239">
        <v>25</v>
      </c>
      <c r="G198" s="239">
        <v>27</v>
      </c>
      <c r="H198" s="239" t="s">
        <v>26</v>
      </c>
      <c r="I198" s="239">
        <v>27</v>
      </c>
      <c r="J198" s="239">
        <v>10</v>
      </c>
      <c r="K198" s="239">
        <v>2</v>
      </c>
      <c r="L198" s="239">
        <v>8</v>
      </c>
      <c r="M198" s="239" t="s">
        <v>15</v>
      </c>
      <c r="N198" s="239" t="s">
        <v>15</v>
      </c>
      <c r="O198" s="239" t="s">
        <v>15</v>
      </c>
      <c r="P198" s="239" t="s">
        <v>1828</v>
      </c>
    </row>
    <row r="199" spans="1:16" ht="45">
      <c r="A199" s="239">
        <v>10</v>
      </c>
      <c r="B199" s="239">
        <v>10</v>
      </c>
      <c r="C199" s="239" t="s">
        <v>26</v>
      </c>
      <c r="D199" s="239">
        <v>10</v>
      </c>
      <c r="E199" s="239" t="s">
        <v>26</v>
      </c>
      <c r="F199" s="239">
        <v>10</v>
      </c>
      <c r="G199" s="239">
        <v>10</v>
      </c>
      <c r="H199" s="239">
        <v>9</v>
      </c>
      <c r="I199" s="239">
        <v>1</v>
      </c>
      <c r="J199" s="239" t="s">
        <v>15</v>
      </c>
      <c r="K199" s="239" t="s">
        <v>15</v>
      </c>
      <c r="L199" s="239" t="s">
        <v>15</v>
      </c>
      <c r="M199" s="239" t="s">
        <v>15</v>
      </c>
      <c r="N199" s="239" t="s">
        <v>15</v>
      </c>
      <c r="O199" s="239" t="s">
        <v>15</v>
      </c>
      <c r="P199" s="239" t="s">
        <v>1832</v>
      </c>
    </row>
    <row r="200" spans="1:16" ht="45">
      <c r="A200" s="239" t="s">
        <v>15</v>
      </c>
      <c r="B200" s="239" t="s">
        <v>15</v>
      </c>
      <c r="C200" s="239" t="s">
        <v>15</v>
      </c>
      <c r="D200" s="239" t="s">
        <v>15</v>
      </c>
      <c r="E200" s="239" t="s">
        <v>15</v>
      </c>
      <c r="F200" s="239" t="s">
        <v>15</v>
      </c>
      <c r="G200" s="239">
        <v>128</v>
      </c>
      <c r="H200" s="239">
        <v>4</v>
      </c>
      <c r="I200" s="239">
        <v>124</v>
      </c>
      <c r="J200" s="239">
        <v>22</v>
      </c>
      <c r="K200" s="239" t="s">
        <v>26</v>
      </c>
      <c r="L200" s="239">
        <v>22</v>
      </c>
      <c r="M200" s="239">
        <v>10</v>
      </c>
      <c r="N200" s="239" t="s">
        <v>26</v>
      </c>
      <c r="O200" s="239">
        <v>10</v>
      </c>
      <c r="P200" s="239" t="s">
        <v>1838</v>
      </c>
    </row>
    <row r="201" spans="1:16" ht="30">
      <c r="A201" s="239" t="s">
        <v>15</v>
      </c>
      <c r="B201" s="239" t="s">
        <v>15</v>
      </c>
      <c r="C201" s="239" t="s">
        <v>15</v>
      </c>
      <c r="D201" s="239" t="s">
        <v>15</v>
      </c>
      <c r="E201" s="239" t="s">
        <v>15</v>
      </c>
      <c r="F201" s="239" t="s">
        <v>15</v>
      </c>
      <c r="G201" s="239">
        <v>156</v>
      </c>
      <c r="H201" s="239">
        <v>2</v>
      </c>
      <c r="I201" s="239">
        <v>154</v>
      </c>
      <c r="J201" s="239" t="s">
        <v>15</v>
      </c>
      <c r="K201" s="239" t="s">
        <v>15</v>
      </c>
      <c r="L201" s="239" t="s">
        <v>15</v>
      </c>
      <c r="M201" s="239" t="s">
        <v>15</v>
      </c>
      <c r="N201" s="239" t="s">
        <v>15</v>
      </c>
      <c r="O201" s="239" t="s">
        <v>15</v>
      </c>
      <c r="P201" s="239" t="s">
        <v>1843</v>
      </c>
    </row>
    <row r="202" spans="1:16" ht="30">
      <c r="A202" s="239" t="s">
        <v>15</v>
      </c>
      <c r="B202" s="239" t="s">
        <v>15</v>
      </c>
      <c r="C202" s="239" t="s">
        <v>15</v>
      </c>
      <c r="D202" s="239" t="s">
        <v>15</v>
      </c>
      <c r="E202" s="239" t="s">
        <v>15</v>
      </c>
      <c r="F202" s="239" t="s">
        <v>15</v>
      </c>
      <c r="G202" s="239" t="s">
        <v>15</v>
      </c>
      <c r="H202" s="239" t="s">
        <v>15</v>
      </c>
      <c r="I202" s="239" t="s">
        <v>15</v>
      </c>
      <c r="J202" s="239">
        <v>19</v>
      </c>
      <c r="K202" s="239" t="s">
        <v>26</v>
      </c>
      <c r="L202" s="239">
        <v>19</v>
      </c>
      <c r="M202" s="239" t="s">
        <v>15</v>
      </c>
      <c r="N202" s="239" t="s">
        <v>15</v>
      </c>
      <c r="O202" s="239" t="s">
        <v>15</v>
      </c>
      <c r="P202" s="239" t="s">
        <v>1847</v>
      </c>
    </row>
    <row r="203" spans="1:16" ht="30">
      <c r="A203" s="239" t="s">
        <v>15</v>
      </c>
      <c r="B203" s="239" t="s">
        <v>15</v>
      </c>
      <c r="C203" s="239" t="s">
        <v>15</v>
      </c>
      <c r="D203" s="239" t="s">
        <v>15</v>
      </c>
      <c r="E203" s="239" t="s">
        <v>15</v>
      </c>
      <c r="F203" s="239" t="s">
        <v>15</v>
      </c>
      <c r="G203" s="239" t="s">
        <v>15</v>
      </c>
      <c r="H203" s="239" t="s">
        <v>15</v>
      </c>
      <c r="I203" s="239" t="s">
        <v>15</v>
      </c>
      <c r="J203" s="239" t="s">
        <v>15</v>
      </c>
      <c r="K203" s="239" t="s">
        <v>15</v>
      </c>
      <c r="L203" s="239" t="s">
        <v>15</v>
      </c>
      <c r="M203" s="239">
        <v>15</v>
      </c>
      <c r="N203" s="239" t="s">
        <v>26</v>
      </c>
      <c r="O203" s="239">
        <v>15</v>
      </c>
      <c r="P203" s="239" t="s">
        <v>1851</v>
      </c>
    </row>
    <row r="204" spans="1:16" ht="60">
      <c r="A204" s="239" t="s">
        <v>15</v>
      </c>
      <c r="B204" s="239" t="s">
        <v>15</v>
      </c>
      <c r="C204" s="239" t="s">
        <v>15</v>
      </c>
      <c r="D204" s="239" t="s">
        <v>15</v>
      </c>
      <c r="E204" s="239" t="s">
        <v>15</v>
      </c>
      <c r="F204" s="239" t="s">
        <v>15</v>
      </c>
      <c r="G204" s="239" t="s">
        <v>15</v>
      </c>
      <c r="H204" s="239" t="s">
        <v>15</v>
      </c>
      <c r="I204" s="239" t="s">
        <v>15</v>
      </c>
      <c r="J204" s="239">
        <v>24</v>
      </c>
      <c r="K204" s="239">
        <v>1</v>
      </c>
      <c r="L204" s="239">
        <v>23</v>
      </c>
      <c r="M204" s="239" t="s">
        <v>15</v>
      </c>
      <c r="N204" s="239" t="s">
        <v>15</v>
      </c>
      <c r="O204" s="239" t="s">
        <v>15</v>
      </c>
      <c r="P204" s="239" t="s">
        <v>1855</v>
      </c>
    </row>
    <row r="205" spans="1:16" ht="30">
      <c r="A205" s="239" t="s">
        <v>15</v>
      </c>
      <c r="B205" s="239" t="s">
        <v>15</v>
      </c>
      <c r="C205" s="239" t="s">
        <v>15</v>
      </c>
      <c r="D205" s="239" t="s">
        <v>15</v>
      </c>
      <c r="E205" s="239" t="s">
        <v>15</v>
      </c>
      <c r="F205" s="239" t="s">
        <v>15</v>
      </c>
      <c r="G205" s="239" t="s">
        <v>15</v>
      </c>
      <c r="H205" s="239" t="s">
        <v>15</v>
      </c>
      <c r="I205" s="239" t="s">
        <v>15</v>
      </c>
      <c r="J205" s="239" t="s">
        <v>15</v>
      </c>
      <c r="K205" s="239" t="s">
        <v>15</v>
      </c>
      <c r="L205" s="239" t="s">
        <v>15</v>
      </c>
      <c r="M205" s="239" t="s">
        <v>15</v>
      </c>
      <c r="N205" s="239" t="s">
        <v>15</v>
      </c>
      <c r="O205" s="239" t="s">
        <v>15</v>
      </c>
      <c r="P205" s="239" t="s">
        <v>1860</v>
      </c>
    </row>
    <row r="206" spans="1:16" ht="45">
      <c r="A206" s="239">
        <v>16</v>
      </c>
      <c r="B206" s="239">
        <v>6</v>
      </c>
      <c r="C206" s="239">
        <v>10</v>
      </c>
      <c r="D206" s="239" t="s">
        <v>15</v>
      </c>
      <c r="E206" s="239" t="s">
        <v>15</v>
      </c>
      <c r="F206" s="239" t="s">
        <v>15</v>
      </c>
      <c r="G206" s="239" t="s">
        <v>15</v>
      </c>
      <c r="H206" s="239" t="s">
        <v>15</v>
      </c>
      <c r="I206" s="239" t="s">
        <v>15</v>
      </c>
      <c r="J206" s="239" t="s">
        <v>15</v>
      </c>
      <c r="K206" s="239" t="s">
        <v>15</v>
      </c>
      <c r="L206" s="239" t="s">
        <v>15</v>
      </c>
      <c r="M206" s="239" t="s">
        <v>15</v>
      </c>
      <c r="N206" s="239" t="s">
        <v>15</v>
      </c>
      <c r="O206" s="239" t="s">
        <v>15</v>
      </c>
      <c r="P206" s="239" t="s">
        <v>1864</v>
      </c>
    </row>
    <row r="207" spans="1:16" ht="45">
      <c r="A207" s="239" t="s">
        <v>15</v>
      </c>
      <c r="B207" s="239" t="s">
        <v>15</v>
      </c>
      <c r="C207" s="239" t="s">
        <v>15</v>
      </c>
      <c r="D207" s="239" t="s">
        <v>15</v>
      </c>
      <c r="E207" s="239" t="s">
        <v>15</v>
      </c>
      <c r="F207" s="239" t="s">
        <v>15</v>
      </c>
      <c r="G207" s="278">
        <v>14</v>
      </c>
      <c r="H207" s="239" t="s">
        <v>26</v>
      </c>
      <c r="I207" s="278">
        <v>14</v>
      </c>
      <c r="J207" s="239" t="s">
        <v>15</v>
      </c>
      <c r="K207" s="239" t="s">
        <v>15</v>
      </c>
      <c r="L207" s="239" t="s">
        <v>15</v>
      </c>
      <c r="M207" s="239" t="s">
        <v>15</v>
      </c>
      <c r="N207" s="239" t="s">
        <v>15</v>
      </c>
      <c r="O207" s="239" t="s">
        <v>15</v>
      </c>
      <c r="P207" s="239" t="s">
        <v>1868</v>
      </c>
    </row>
    <row r="208" spans="1:16" ht="60">
      <c r="A208" s="239" t="s">
        <v>15</v>
      </c>
      <c r="B208" s="239" t="s">
        <v>15</v>
      </c>
      <c r="C208" s="239" t="s">
        <v>15</v>
      </c>
      <c r="D208" s="239" t="s">
        <v>15</v>
      </c>
      <c r="E208" s="239" t="s">
        <v>15</v>
      </c>
      <c r="F208" s="239" t="s">
        <v>15</v>
      </c>
      <c r="G208" s="239" t="s">
        <v>15</v>
      </c>
      <c r="H208" s="239" t="s">
        <v>15</v>
      </c>
      <c r="I208" s="239" t="s">
        <v>15</v>
      </c>
      <c r="J208" s="239" t="s">
        <v>15</v>
      </c>
      <c r="K208" s="239" t="s">
        <v>15</v>
      </c>
      <c r="L208" s="239" t="s">
        <v>15</v>
      </c>
      <c r="M208" s="239" t="s">
        <v>15</v>
      </c>
      <c r="N208" s="239" t="s">
        <v>15</v>
      </c>
      <c r="O208" s="239" t="s">
        <v>15</v>
      </c>
      <c r="P208" s="239" t="s">
        <v>1872</v>
      </c>
    </row>
    <row r="209" spans="1:16" ht="30">
      <c r="A209" s="239" t="s">
        <v>15</v>
      </c>
      <c r="B209" s="239" t="s">
        <v>15</v>
      </c>
      <c r="C209" s="239" t="s">
        <v>15</v>
      </c>
      <c r="D209" s="239" t="s">
        <v>15</v>
      </c>
      <c r="E209" s="239" t="s">
        <v>15</v>
      </c>
      <c r="F209" s="239" t="s">
        <v>15</v>
      </c>
      <c r="G209" s="239">
        <v>150</v>
      </c>
      <c r="H209" s="239" t="s">
        <v>26</v>
      </c>
      <c r="I209" s="239">
        <v>150</v>
      </c>
      <c r="J209" s="239">
        <v>42</v>
      </c>
      <c r="K209" s="239">
        <v>5</v>
      </c>
      <c r="L209" s="239">
        <v>37</v>
      </c>
      <c r="M209" s="239">
        <v>18</v>
      </c>
      <c r="N209" s="239">
        <v>8</v>
      </c>
      <c r="O209" s="239">
        <v>10</v>
      </c>
      <c r="P209" s="239" t="s">
        <v>1895</v>
      </c>
    </row>
    <row r="210" spans="1:16" ht="15">
      <c r="A210" s="524"/>
      <c r="B210" s="524"/>
      <c r="C210" s="524"/>
      <c r="D210" s="524"/>
      <c r="E210" s="524"/>
      <c r="F210" s="524"/>
      <c r="G210" s="524"/>
      <c r="H210" s="524"/>
      <c r="I210" s="524"/>
      <c r="J210" s="524"/>
      <c r="K210" s="524"/>
      <c r="L210" s="524"/>
      <c r="M210" s="524"/>
      <c r="N210" s="524"/>
      <c r="O210" s="524"/>
      <c r="P210" s="524"/>
    </row>
    <row r="211" spans="1:16" ht="15">
      <c r="A211" s="520" t="s">
        <v>79</v>
      </c>
      <c r="B211" s="520"/>
      <c r="C211" s="520"/>
      <c r="D211" s="520" t="s">
        <v>82</v>
      </c>
      <c r="E211" s="520"/>
      <c r="F211" s="520"/>
      <c r="G211" s="520" t="s">
        <v>83</v>
      </c>
      <c r="H211" s="520"/>
      <c r="I211" s="520"/>
      <c r="J211" s="520" t="s">
        <v>84</v>
      </c>
      <c r="K211" s="520"/>
      <c r="L211" s="520"/>
      <c r="M211" s="74"/>
      <c r="N211" s="74"/>
      <c r="O211" s="74"/>
      <c r="P211" s="295" t="s">
        <v>1897</v>
      </c>
    </row>
    <row r="212" spans="1:16" ht="15">
      <c r="A212" s="296" t="s">
        <v>80</v>
      </c>
      <c r="B212" s="296" t="s">
        <v>81</v>
      </c>
      <c r="C212" s="284" t="s">
        <v>47</v>
      </c>
      <c r="D212" s="296" t="s">
        <v>80</v>
      </c>
      <c r="E212" s="296" t="s">
        <v>81</v>
      </c>
      <c r="F212" s="284" t="s">
        <v>47</v>
      </c>
      <c r="G212" s="296" t="s">
        <v>80</v>
      </c>
      <c r="H212" s="296" t="s">
        <v>81</v>
      </c>
      <c r="I212" s="284" t="s">
        <v>47</v>
      </c>
      <c r="J212" s="296" t="s">
        <v>80</v>
      </c>
      <c r="K212" s="296" t="s">
        <v>81</v>
      </c>
      <c r="L212" s="284" t="s">
        <v>47</v>
      </c>
      <c r="M212" s="74"/>
      <c r="N212" s="74"/>
      <c r="O212" s="74"/>
      <c r="P212" s="17"/>
    </row>
    <row r="213" spans="1:16" ht="60">
      <c r="A213" s="239" t="s">
        <v>15</v>
      </c>
      <c r="B213" s="239" t="s">
        <v>15</v>
      </c>
      <c r="C213" s="239" t="s">
        <v>15</v>
      </c>
      <c r="D213" s="239" t="s">
        <v>15</v>
      </c>
      <c r="E213" s="239" t="s">
        <v>15</v>
      </c>
      <c r="F213" s="239" t="s">
        <v>15</v>
      </c>
      <c r="G213" s="239" t="s">
        <v>15</v>
      </c>
      <c r="H213" s="239" t="s">
        <v>15</v>
      </c>
      <c r="I213" s="239" t="s">
        <v>15</v>
      </c>
      <c r="J213" s="284"/>
      <c r="K213" s="284"/>
      <c r="L213" s="284"/>
      <c r="M213" s="284"/>
      <c r="N213" s="284"/>
      <c r="O213" s="284"/>
      <c r="P213" s="239" t="s">
        <v>1813</v>
      </c>
    </row>
    <row r="214" spans="1:16" ht="45">
      <c r="A214" s="239" t="s">
        <v>15</v>
      </c>
      <c r="B214" s="239" t="s">
        <v>15</v>
      </c>
      <c r="C214" s="239" t="s">
        <v>15</v>
      </c>
      <c r="D214" s="239" t="s">
        <v>15</v>
      </c>
      <c r="E214" s="239" t="s">
        <v>15</v>
      </c>
      <c r="F214" s="239" t="s">
        <v>15</v>
      </c>
      <c r="G214" s="239" t="s">
        <v>15</v>
      </c>
      <c r="H214" s="239" t="s">
        <v>15</v>
      </c>
      <c r="I214" s="239" t="s">
        <v>15</v>
      </c>
      <c r="J214" s="284"/>
      <c r="K214" s="284"/>
      <c r="L214" s="284"/>
      <c r="M214" s="284"/>
      <c r="N214" s="284"/>
      <c r="O214" s="284"/>
      <c r="P214" s="239" t="s">
        <v>1819</v>
      </c>
    </row>
    <row r="215" spans="1:16" ht="30">
      <c r="A215" s="239" t="s">
        <v>15</v>
      </c>
      <c r="B215" s="239" t="s">
        <v>15</v>
      </c>
      <c r="C215" s="239" t="s">
        <v>15</v>
      </c>
      <c r="D215" s="239" t="s">
        <v>15</v>
      </c>
      <c r="E215" s="239" t="s">
        <v>15</v>
      </c>
      <c r="F215" s="239" t="s">
        <v>15</v>
      </c>
      <c r="G215" s="239" t="s">
        <v>15</v>
      </c>
      <c r="H215" s="239" t="s">
        <v>15</v>
      </c>
      <c r="I215" s="239" t="s">
        <v>15</v>
      </c>
      <c r="J215" s="284"/>
      <c r="K215" s="284"/>
      <c r="L215" s="284"/>
      <c r="M215" s="284"/>
      <c r="N215" s="284"/>
      <c r="O215" s="284"/>
      <c r="P215" s="239" t="s">
        <v>1824</v>
      </c>
    </row>
    <row r="216" spans="1:16" ht="45">
      <c r="A216" s="239" t="s">
        <v>15</v>
      </c>
      <c r="B216" s="239" t="s">
        <v>15</v>
      </c>
      <c r="C216" s="239" t="s">
        <v>15</v>
      </c>
      <c r="D216" s="239" t="s">
        <v>15</v>
      </c>
      <c r="E216" s="239" t="s">
        <v>15</v>
      </c>
      <c r="F216" s="239" t="s">
        <v>15</v>
      </c>
      <c r="G216" s="239" t="s">
        <v>15</v>
      </c>
      <c r="H216" s="239" t="s">
        <v>15</v>
      </c>
      <c r="I216" s="239" t="s">
        <v>15</v>
      </c>
      <c r="J216" s="284"/>
      <c r="K216" s="284"/>
      <c r="L216" s="284"/>
      <c r="M216" s="284"/>
      <c r="N216" s="284"/>
      <c r="O216" s="284"/>
      <c r="P216" s="239" t="s">
        <v>1828</v>
      </c>
    </row>
    <row r="217" spans="1:16" ht="45">
      <c r="A217" s="239" t="s">
        <v>15</v>
      </c>
      <c r="B217" s="239" t="s">
        <v>15</v>
      </c>
      <c r="C217" s="239" t="s">
        <v>15</v>
      </c>
      <c r="D217" s="239" t="s">
        <v>15</v>
      </c>
      <c r="E217" s="239" t="s">
        <v>15</v>
      </c>
      <c r="F217" s="239" t="s">
        <v>15</v>
      </c>
      <c r="G217" s="239" t="s">
        <v>15</v>
      </c>
      <c r="H217" s="239" t="s">
        <v>15</v>
      </c>
      <c r="I217" s="239" t="s">
        <v>15</v>
      </c>
      <c r="J217" s="284"/>
      <c r="K217" s="284"/>
      <c r="L217" s="284"/>
      <c r="M217" s="284"/>
      <c r="N217" s="284"/>
      <c r="O217" s="284"/>
      <c r="P217" s="239" t="s">
        <v>1832</v>
      </c>
    </row>
    <row r="218" spans="1:16" ht="45">
      <c r="A218" s="239" t="s">
        <v>15</v>
      </c>
      <c r="B218" s="239" t="s">
        <v>15</v>
      </c>
      <c r="C218" s="239" t="s">
        <v>15</v>
      </c>
      <c r="D218" s="239" t="s">
        <v>15</v>
      </c>
      <c r="E218" s="239" t="s">
        <v>15</v>
      </c>
      <c r="F218" s="239" t="s">
        <v>15</v>
      </c>
      <c r="G218" s="239" t="s">
        <v>15</v>
      </c>
      <c r="H218" s="239" t="s">
        <v>15</v>
      </c>
      <c r="I218" s="239" t="s">
        <v>15</v>
      </c>
      <c r="J218" s="284"/>
      <c r="K218" s="284"/>
      <c r="L218" s="284"/>
      <c r="M218" s="284"/>
      <c r="N218" s="284"/>
      <c r="O218" s="284"/>
      <c r="P218" s="239" t="s">
        <v>1838</v>
      </c>
    </row>
    <row r="219" spans="1:16" ht="30">
      <c r="A219" s="239">
        <v>33</v>
      </c>
      <c r="B219" s="239" t="s">
        <v>26</v>
      </c>
      <c r="C219" s="239">
        <v>33</v>
      </c>
      <c r="D219" s="278">
        <v>2</v>
      </c>
      <c r="E219" s="278" t="s">
        <v>26</v>
      </c>
      <c r="F219" s="278">
        <v>2</v>
      </c>
      <c r="G219" s="239" t="s">
        <v>15</v>
      </c>
      <c r="H219" s="239" t="s">
        <v>15</v>
      </c>
      <c r="I219" s="239" t="s">
        <v>15</v>
      </c>
      <c r="J219" s="284"/>
      <c r="K219" s="284"/>
      <c r="L219" s="284"/>
      <c r="M219" s="284"/>
      <c r="N219" s="284"/>
      <c r="O219" s="284"/>
      <c r="P219" s="239" t="s">
        <v>1843</v>
      </c>
    </row>
    <row r="220" spans="1:16" ht="30">
      <c r="A220" s="239">
        <v>6</v>
      </c>
      <c r="B220" s="239" t="s">
        <v>26</v>
      </c>
      <c r="C220" s="239">
        <v>6</v>
      </c>
      <c r="D220" s="239" t="s">
        <v>15</v>
      </c>
      <c r="E220" s="239" t="s">
        <v>15</v>
      </c>
      <c r="F220" s="239" t="s">
        <v>15</v>
      </c>
      <c r="G220" s="239" t="s">
        <v>15</v>
      </c>
      <c r="H220" s="239" t="s">
        <v>15</v>
      </c>
      <c r="I220" s="239" t="s">
        <v>15</v>
      </c>
      <c r="J220" s="284"/>
      <c r="K220" s="284"/>
      <c r="L220" s="284"/>
      <c r="M220" s="284"/>
      <c r="N220" s="284"/>
      <c r="O220" s="284"/>
      <c r="P220" s="239" t="s">
        <v>1847</v>
      </c>
    </row>
    <row r="221" spans="1:16" ht="30">
      <c r="A221" s="239" t="s">
        <v>15</v>
      </c>
      <c r="B221" s="239" t="s">
        <v>15</v>
      </c>
      <c r="C221" s="239" t="s">
        <v>15</v>
      </c>
      <c r="D221" s="239" t="s">
        <v>15</v>
      </c>
      <c r="E221" s="239" t="s">
        <v>15</v>
      </c>
      <c r="F221" s="239" t="s">
        <v>15</v>
      </c>
      <c r="G221" s="239" t="s">
        <v>15</v>
      </c>
      <c r="H221" s="239" t="s">
        <v>15</v>
      </c>
      <c r="I221" s="239" t="s">
        <v>15</v>
      </c>
      <c r="J221" s="284"/>
      <c r="K221" s="284"/>
      <c r="L221" s="284"/>
      <c r="M221" s="284"/>
      <c r="N221" s="284"/>
      <c r="O221" s="284"/>
      <c r="P221" s="239" t="s">
        <v>1851</v>
      </c>
    </row>
    <row r="222" spans="1:16" ht="60">
      <c r="A222" s="239" t="s">
        <v>15</v>
      </c>
      <c r="B222" s="239" t="s">
        <v>15</v>
      </c>
      <c r="C222" s="239" t="s">
        <v>15</v>
      </c>
      <c r="D222" s="239" t="s">
        <v>15</v>
      </c>
      <c r="E222" s="239" t="s">
        <v>15</v>
      </c>
      <c r="F222" s="239" t="s">
        <v>15</v>
      </c>
      <c r="G222" s="239" t="s">
        <v>15</v>
      </c>
      <c r="H222" s="239" t="s">
        <v>15</v>
      </c>
      <c r="I222" s="239" t="s">
        <v>15</v>
      </c>
      <c r="J222" s="284"/>
      <c r="K222" s="284"/>
      <c r="L222" s="284"/>
      <c r="M222" s="284"/>
      <c r="N222" s="284"/>
      <c r="O222" s="284"/>
      <c r="P222" s="239" t="s">
        <v>1855</v>
      </c>
    </row>
    <row r="223" spans="1:16" ht="30">
      <c r="A223" s="239" t="s">
        <v>15</v>
      </c>
      <c r="B223" s="239" t="s">
        <v>15</v>
      </c>
      <c r="C223" s="239" t="s">
        <v>15</v>
      </c>
      <c r="D223" s="239" t="s">
        <v>15</v>
      </c>
      <c r="E223" s="239" t="s">
        <v>15</v>
      </c>
      <c r="F223" s="239" t="s">
        <v>15</v>
      </c>
      <c r="G223" s="239" t="s">
        <v>15</v>
      </c>
      <c r="H223" s="239" t="s">
        <v>15</v>
      </c>
      <c r="I223" s="239" t="s">
        <v>15</v>
      </c>
      <c r="J223" s="284"/>
      <c r="K223" s="284"/>
      <c r="L223" s="284"/>
      <c r="M223" s="284"/>
      <c r="N223" s="284"/>
      <c r="O223" s="284"/>
      <c r="P223" s="239" t="s">
        <v>1860</v>
      </c>
    </row>
    <row r="224" spans="1:16" ht="45">
      <c r="A224" s="239" t="s">
        <v>15</v>
      </c>
      <c r="B224" s="239" t="s">
        <v>15</v>
      </c>
      <c r="C224" s="239" t="s">
        <v>15</v>
      </c>
      <c r="D224" s="239" t="s">
        <v>15</v>
      </c>
      <c r="E224" s="239" t="s">
        <v>15</v>
      </c>
      <c r="F224" s="239" t="s">
        <v>15</v>
      </c>
      <c r="G224" s="239" t="s">
        <v>15</v>
      </c>
      <c r="H224" s="239" t="s">
        <v>15</v>
      </c>
      <c r="I224" s="239" t="s">
        <v>15</v>
      </c>
      <c r="J224" s="284"/>
      <c r="K224" s="284"/>
      <c r="L224" s="284"/>
      <c r="M224" s="284"/>
      <c r="N224" s="284"/>
      <c r="O224" s="284"/>
      <c r="P224" s="239" t="s">
        <v>1864</v>
      </c>
    </row>
    <row r="225" spans="1:16" ht="45">
      <c r="A225" s="239" t="s">
        <v>15</v>
      </c>
      <c r="B225" s="239" t="s">
        <v>15</v>
      </c>
      <c r="C225" s="239" t="s">
        <v>15</v>
      </c>
      <c r="D225" s="239" t="s">
        <v>15</v>
      </c>
      <c r="E225" s="239" t="s">
        <v>15</v>
      </c>
      <c r="F225" s="239" t="s">
        <v>15</v>
      </c>
      <c r="G225" s="239" t="s">
        <v>15</v>
      </c>
      <c r="H225" s="239" t="s">
        <v>15</v>
      </c>
      <c r="I225" s="239" t="s">
        <v>15</v>
      </c>
      <c r="J225" s="284"/>
      <c r="K225" s="284"/>
      <c r="L225" s="284"/>
      <c r="M225" s="284"/>
      <c r="N225" s="284"/>
      <c r="O225" s="284"/>
      <c r="P225" s="239" t="s">
        <v>1868</v>
      </c>
    </row>
    <row r="226" spans="1:16" ht="60">
      <c r="A226" s="239" t="s">
        <v>15</v>
      </c>
      <c r="B226" s="239" t="s">
        <v>15</v>
      </c>
      <c r="C226" s="239" t="s">
        <v>15</v>
      </c>
      <c r="D226" s="239" t="s">
        <v>15</v>
      </c>
      <c r="E226" s="239" t="s">
        <v>15</v>
      </c>
      <c r="F226" s="239" t="s">
        <v>15</v>
      </c>
      <c r="G226" s="239" t="s">
        <v>15</v>
      </c>
      <c r="H226" s="239" t="s">
        <v>15</v>
      </c>
      <c r="I226" s="239" t="s">
        <v>15</v>
      </c>
      <c r="J226" s="284"/>
      <c r="K226" s="284"/>
      <c r="L226" s="284"/>
      <c r="M226" s="284"/>
      <c r="N226" s="284"/>
      <c r="O226" s="284"/>
      <c r="P226" s="239" t="s">
        <v>1872</v>
      </c>
    </row>
    <row r="227" spans="1:16" ht="30">
      <c r="A227" s="239" t="s">
        <v>15</v>
      </c>
      <c r="B227" s="239" t="s">
        <v>15</v>
      </c>
      <c r="C227" s="239" t="s">
        <v>15</v>
      </c>
      <c r="D227" s="239" t="s">
        <v>15</v>
      </c>
      <c r="E227" s="239" t="s">
        <v>15</v>
      </c>
      <c r="F227" s="239" t="s">
        <v>15</v>
      </c>
      <c r="G227" s="239" t="s">
        <v>15</v>
      </c>
      <c r="H227" s="239" t="s">
        <v>15</v>
      </c>
      <c r="I227" s="239" t="s">
        <v>15</v>
      </c>
      <c r="J227" s="284"/>
      <c r="K227" s="284"/>
      <c r="L227" s="284"/>
      <c r="M227" s="284"/>
      <c r="N227" s="284"/>
      <c r="O227" s="284"/>
      <c r="P227" s="239" t="s">
        <v>1895</v>
      </c>
    </row>
    <row r="228" spans="1:16">
      <c r="A228" s="505"/>
      <c r="B228" s="505"/>
      <c r="C228" s="505"/>
      <c r="D228" s="505"/>
      <c r="E228" s="505"/>
      <c r="F228" s="505"/>
      <c r="G228" s="505"/>
      <c r="H228" s="505"/>
      <c r="I228" s="505"/>
      <c r="J228" s="505"/>
      <c r="K228" s="505"/>
      <c r="L228" s="505"/>
      <c r="M228" s="505"/>
      <c r="N228" s="505"/>
      <c r="O228" s="505"/>
      <c r="P228" s="505"/>
    </row>
    <row r="229" spans="1:16" ht="22.5" customHeight="1">
      <c r="A229" s="504" t="s">
        <v>184</v>
      </c>
      <c r="B229" s="504"/>
      <c r="C229" s="504"/>
      <c r="D229" s="504"/>
      <c r="E229" s="504"/>
      <c r="F229" s="504"/>
      <c r="G229" s="504"/>
      <c r="H229" s="504"/>
      <c r="I229" s="504"/>
      <c r="J229" s="504"/>
      <c r="K229" s="504"/>
      <c r="L229" s="504"/>
      <c r="M229" s="504"/>
      <c r="N229" s="504"/>
      <c r="O229" s="504"/>
      <c r="P229" s="504"/>
    </row>
    <row r="230" spans="1:16" ht="20.25">
      <c r="A230" s="526" t="s">
        <v>174</v>
      </c>
      <c r="B230" s="526"/>
      <c r="C230" s="526"/>
      <c r="D230" s="526"/>
      <c r="E230" s="526"/>
      <c r="F230" s="526"/>
      <c r="G230" s="526"/>
      <c r="H230" s="526"/>
      <c r="I230" s="526"/>
      <c r="J230" s="526"/>
      <c r="K230" s="526"/>
      <c r="L230" s="526"/>
      <c r="M230" s="528"/>
      <c r="N230" s="528"/>
      <c r="O230" s="528"/>
      <c r="P230" s="528"/>
    </row>
    <row r="231" spans="1:16" ht="99.75">
      <c r="A231" s="20" t="s">
        <v>0</v>
      </c>
      <c r="B231" s="20" t="s">
        <v>116</v>
      </c>
      <c r="C231" s="20" t="s">
        <v>176</v>
      </c>
      <c r="D231" s="20" t="s">
        <v>70</v>
      </c>
      <c r="E231" s="20" t="s">
        <v>173</v>
      </c>
      <c r="F231" s="20" t="s">
        <v>63</v>
      </c>
      <c r="G231" s="286" t="s">
        <v>71</v>
      </c>
      <c r="H231" s="20" t="s">
        <v>175</v>
      </c>
      <c r="I231" s="20" t="s">
        <v>64</v>
      </c>
      <c r="J231" s="286" t="s">
        <v>72</v>
      </c>
      <c r="K231" s="22" t="s">
        <v>73</v>
      </c>
      <c r="L231" s="22" t="s">
        <v>66</v>
      </c>
      <c r="M231" s="528"/>
      <c r="N231" s="528"/>
      <c r="O231" s="528"/>
      <c r="P231" s="528"/>
    </row>
    <row r="232" spans="1:16">
      <c r="A232" s="295">
        <v>1</v>
      </c>
      <c r="B232" s="295">
        <v>2</v>
      </c>
      <c r="C232" s="295">
        <v>3</v>
      </c>
      <c r="D232" s="295">
        <v>4</v>
      </c>
      <c r="E232" s="295">
        <v>5</v>
      </c>
      <c r="F232" s="295">
        <v>6</v>
      </c>
      <c r="G232" s="295">
        <v>7</v>
      </c>
      <c r="H232" s="295">
        <v>8</v>
      </c>
      <c r="I232" s="286">
        <v>9</v>
      </c>
      <c r="J232" s="295">
        <v>10</v>
      </c>
      <c r="K232" s="295">
        <v>11</v>
      </c>
      <c r="L232" s="295">
        <v>12</v>
      </c>
      <c r="M232" s="528"/>
      <c r="N232" s="528"/>
      <c r="O232" s="528"/>
      <c r="P232" s="528"/>
    </row>
    <row r="233" spans="1:16" s="118" customFormat="1" ht="30">
      <c r="A233" s="294">
        <v>1</v>
      </c>
      <c r="B233" s="292" t="s">
        <v>584</v>
      </c>
      <c r="C233" s="292" t="s">
        <v>585</v>
      </c>
      <c r="D233" s="292" t="s">
        <v>1744</v>
      </c>
      <c r="E233" s="294" t="s">
        <v>1740</v>
      </c>
      <c r="F233" s="294" t="s">
        <v>1741</v>
      </c>
      <c r="G233" s="294" t="s">
        <v>1898</v>
      </c>
      <c r="H233" s="294">
        <v>2004</v>
      </c>
      <c r="I233" s="294" t="s">
        <v>1742</v>
      </c>
      <c r="J233" s="294" t="s">
        <v>1743</v>
      </c>
      <c r="K233" s="294" t="s">
        <v>12</v>
      </c>
      <c r="L233" s="294" t="s">
        <v>12</v>
      </c>
      <c r="M233" s="528"/>
      <c r="N233" s="528"/>
      <c r="O233" s="528"/>
      <c r="P233" s="528"/>
    </row>
    <row r="234" spans="1:16" s="118" customFormat="1" ht="15.75" customHeight="1">
      <c r="A234" s="552"/>
      <c r="B234" s="553"/>
      <c r="C234" s="553"/>
      <c r="D234" s="553"/>
      <c r="E234" s="553"/>
      <c r="F234" s="553"/>
      <c r="G234" s="553"/>
      <c r="H234" s="553"/>
      <c r="I234" s="553"/>
      <c r="J234" s="553"/>
      <c r="K234" s="553"/>
      <c r="L234" s="553"/>
      <c r="M234" s="553"/>
      <c r="N234" s="553"/>
      <c r="O234" s="553"/>
      <c r="P234" s="554"/>
    </row>
    <row r="235" spans="1:16" s="118" customFormat="1" ht="28.5">
      <c r="A235" s="541" t="s">
        <v>74</v>
      </c>
      <c r="B235" s="541"/>
      <c r="C235" s="541"/>
      <c r="D235" s="541"/>
      <c r="E235" s="541"/>
      <c r="F235" s="541"/>
      <c r="G235" s="541"/>
      <c r="H235" s="541"/>
      <c r="I235" s="541"/>
      <c r="J235" s="541"/>
      <c r="K235" s="541"/>
      <c r="L235" s="541"/>
      <c r="M235" s="541"/>
      <c r="N235" s="541"/>
      <c r="O235" s="541"/>
      <c r="P235" s="286" t="s">
        <v>67</v>
      </c>
    </row>
    <row r="236" spans="1:16" ht="16.5" customHeight="1">
      <c r="A236" s="555">
        <v>13</v>
      </c>
      <c r="B236" s="555"/>
      <c r="C236" s="555"/>
      <c r="D236" s="555"/>
      <c r="E236" s="555"/>
      <c r="F236" s="555"/>
      <c r="G236" s="555"/>
      <c r="H236" s="555"/>
      <c r="I236" s="555"/>
      <c r="J236" s="555"/>
      <c r="K236" s="555"/>
      <c r="L236" s="555"/>
      <c r="M236" s="555"/>
      <c r="N236" s="555"/>
      <c r="O236" s="555"/>
      <c r="P236" s="20">
        <v>14</v>
      </c>
    </row>
    <row r="237" spans="1:16">
      <c r="A237" s="425" t="s">
        <v>75</v>
      </c>
      <c r="B237" s="425"/>
      <c r="C237" s="425"/>
      <c r="D237" s="425" t="s">
        <v>76</v>
      </c>
      <c r="E237" s="425"/>
      <c r="F237" s="425"/>
      <c r="G237" s="425" t="s">
        <v>77</v>
      </c>
      <c r="H237" s="425"/>
      <c r="I237" s="425"/>
      <c r="J237" s="425" t="s">
        <v>78</v>
      </c>
      <c r="K237" s="425"/>
      <c r="L237" s="425"/>
      <c r="M237" s="425" t="s">
        <v>79</v>
      </c>
      <c r="N237" s="425"/>
      <c r="O237" s="425"/>
      <c r="P237" s="20"/>
    </row>
    <row r="238" spans="1:16" ht="15">
      <c r="A238" s="296" t="s">
        <v>80</v>
      </c>
      <c r="B238" s="296" t="s">
        <v>81</v>
      </c>
      <c r="C238" s="284" t="s">
        <v>47</v>
      </c>
      <c r="D238" s="296" t="s">
        <v>80</v>
      </c>
      <c r="E238" s="296" t="s">
        <v>81</v>
      </c>
      <c r="F238" s="284" t="s">
        <v>47</v>
      </c>
      <c r="G238" s="296" t="s">
        <v>80</v>
      </c>
      <c r="H238" s="296" t="s">
        <v>81</v>
      </c>
      <c r="I238" s="284" t="s">
        <v>47</v>
      </c>
      <c r="J238" s="296" t="s">
        <v>80</v>
      </c>
      <c r="K238" s="296" t="s">
        <v>81</v>
      </c>
      <c r="L238" s="284" t="s">
        <v>47</v>
      </c>
      <c r="M238" s="296" t="s">
        <v>80</v>
      </c>
      <c r="N238" s="296" t="s">
        <v>81</v>
      </c>
      <c r="O238" s="284" t="s">
        <v>47</v>
      </c>
      <c r="P238" s="296"/>
    </row>
    <row r="239" spans="1:16" ht="15">
      <c r="A239" s="28"/>
      <c r="B239" s="28"/>
      <c r="C239" s="28"/>
      <c r="D239" s="28"/>
      <c r="E239" s="28"/>
      <c r="F239" s="28"/>
      <c r="G239" s="28"/>
      <c r="H239" s="28"/>
      <c r="I239" s="28"/>
      <c r="J239" s="28"/>
      <c r="K239" s="28"/>
      <c r="L239" s="28"/>
      <c r="M239" s="28"/>
      <c r="N239" s="28"/>
      <c r="O239" s="28"/>
      <c r="P239" s="301"/>
    </row>
    <row r="240" spans="1:16" ht="15">
      <c r="A240" s="520" t="s">
        <v>82</v>
      </c>
      <c r="B240" s="520"/>
      <c r="C240" s="520"/>
      <c r="D240" s="520" t="s">
        <v>83</v>
      </c>
      <c r="E240" s="520"/>
      <c r="F240" s="520"/>
      <c r="G240" s="520" t="s">
        <v>84</v>
      </c>
      <c r="H240" s="520"/>
      <c r="I240" s="520"/>
      <c r="J240" s="74"/>
      <c r="K240" s="74"/>
      <c r="L240" s="74"/>
      <c r="M240" s="74"/>
      <c r="N240" s="74"/>
      <c r="O240" s="74"/>
      <c r="P240" s="74"/>
    </row>
    <row r="241" spans="1:16" ht="15">
      <c r="A241" s="296" t="s">
        <v>80</v>
      </c>
      <c r="B241" s="296" t="s">
        <v>81</v>
      </c>
      <c r="C241" s="284" t="s">
        <v>47</v>
      </c>
      <c r="D241" s="296" t="s">
        <v>80</v>
      </c>
      <c r="E241" s="296" t="s">
        <v>81</v>
      </c>
      <c r="F241" s="284" t="s">
        <v>47</v>
      </c>
      <c r="G241" s="296" t="s">
        <v>80</v>
      </c>
      <c r="H241" s="296" t="s">
        <v>81</v>
      </c>
      <c r="I241" s="284" t="s">
        <v>47</v>
      </c>
      <c r="J241" s="74"/>
      <c r="K241" s="74"/>
      <c r="L241" s="74"/>
      <c r="M241" s="74"/>
      <c r="N241" s="74"/>
      <c r="O241" s="74"/>
      <c r="P241" s="74"/>
    </row>
    <row r="242" spans="1:16" ht="15">
      <c r="A242" s="296"/>
      <c r="B242" s="296"/>
      <c r="C242" s="296"/>
      <c r="D242" s="74"/>
      <c r="E242" s="74"/>
      <c r="F242" s="74"/>
      <c r="G242" s="74"/>
      <c r="H242" s="74"/>
      <c r="I242" s="301"/>
      <c r="J242" s="74"/>
      <c r="K242" s="74"/>
      <c r="L242" s="74"/>
      <c r="M242" s="74"/>
      <c r="N242" s="74"/>
      <c r="O242" s="74"/>
      <c r="P242" s="74"/>
    </row>
    <row r="243" spans="1:16">
      <c r="A243" s="498"/>
      <c r="B243" s="499"/>
      <c r="C243" s="499"/>
      <c r="D243" s="499"/>
      <c r="E243" s="499"/>
      <c r="F243" s="499"/>
      <c r="G243" s="499"/>
      <c r="H243" s="499"/>
      <c r="I243" s="499"/>
      <c r="J243" s="499"/>
      <c r="K243" s="499"/>
      <c r="L243" s="499"/>
      <c r="M243" s="499"/>
      <c r="N243" s="499"/>
      <c r="O243" s="499"/>
      <c r="P243" s="500"/>
    </row>
    <row r="244" spans="1:16" ht="22.5" customHeight="1">
      <c r="A244" s="504" t="s">
        <v>185</v>
      </c>
      <c r="B244" s="504"/>
      <c r="C244" s="504"/>
      <c r="D244" s="504"/>
      <c r="E244" s="504"/>
      <c r="F244" s="504"/>
      <c r="G244" s="504"/>
      <c r="H244" s="504"/>
      <c r="I244" s="504"/>
      <c r="J244" s="504"/>
      <c r="K244" s="504"/>
      <c r="L244" s="504"/>
      <c r="M244" s="504"/>
      <c r="N244" s="504"/>
      <c r="O244" s="504"/>
      <c r="P244" s="504"/>
    </row>
    <row r="245" spans="1:16" ht="20.25">
      <c r="A245" s="526" t="s">
        <v>174</v>
      </c>
      <c r="B245" s="526"/>
      <c r="C245" s="526"/>
      <c r="D245" s="526"/>
      <c r="E245" s="526"/>
      <c r="F245" s="526"/>
      <c r="G245" s="526"/>
      <c r="H245" s="526"/>
      <c r="I245" s="526"/>
      <c r="J245" s="526"/>
      <c r="K245" s="526"/>
      <c r="L245" s="526"/>
      <c r="M245" s="532"/>
      <c r="N245" s="533"/>
      <c r="O245" s="533"/>
      <c r="P245" s="534"/>
    </row>
    <row r="246" spans="1:16" ht="99.75">
      <c r="A246" s="20" t="s">
        <v>0</v>
      </c>
      <c r="B246" s="20" t="s">
        <v>60</v>
      </c>
      <c r="C246" s="20" t="s">
        <v>69</v>
      </c>
      <c r="D246" s="20" t="s">
        <v>70</v>
      </c>
      <c r="E246" s="20" t="s">
        <v>173</v>
      </c>
      <c r="F246" s="20" t="s">
        <v>63</v>
      </c>
      <c r="G246" s="286" t="s">
        <v>71</v>
      </c>
      <c r="H246" s="20" t="s">
        <v>175</v>
      </c>
      <c r="I246" s="20" t="s">
        <v>64</v>
      </c>
      <c r="J246" s="286" t="s">
        <v>72</v>
      </c>
      <c r="K246" s="22" t="s">
        <v>73</v>
      </c>
      <c r="L246" s="22" t="s">
        <v>66</v>
      </c>
      <c r="M246" s="535"/>
      <c r="N246" s="536"/>
      <c r="O246" s="536"/>
      <c r="P246" s="537"/>
    </row>
    <row r="247" spans="1:16" ht="27" customHeight="1">
      <c r="A247" s="295">
        <v>1</v>
      </c>
      <c r="B247" s="295">
        <v>2</v>
      </c>
      <c r="C247" s="295">
        <v>3</v>
      </c>
      <c r="D247" s="295">
        <v>4</v>
      </c>
      <c r="E247" s="295">
        <v>5</v>
      </c>
      <c r="F247" s="295">
        <v>6</v>
      </c>
      <c r="G247" s="295">
        <v>7</v>
      </c>
      <c r="H247" s="295">
        <v>8</v>
      </c>
      <c r="I247" s="286">
        <v>9</v>
      </c>
      <c r="J247" s="295">
        <v>10</v>
      </c>
      <c r="K247" s="295">
        <v>11</v>
      </c>
      <c r="L247" s="295">
        <v>12</v>
      </c>
      <c r="M247" s="535"/>
      <c r="N247" s="536"/>
      <c r="O247" s="536"/>
      <c r="P247" s="537"/>
    </row>
    <row r="248" spans="1:16" ht="45">
      <c r="A248" s="296">
        <v>1</v>
      </c>
      <c r="B248" s="301" t="s">
        <v>1745</v>
      </c>
      <c r="C248" s="301" t="s">
        <v>765</v>
      </c>
      <c r="D248" s="301" t="s">
        <v>766</v>
      </c>
      <c r="E248" s="278" t="s">
        <v>40</v>
      </c>
      <c r="F248" s="284" t="s">
        <v>929</v>
      </c>
      <c r="G248" s="284" t="s">
        <v>12</v>
      </c>
      <c r="H248" s="284" t="s">
        <v>1746</v>
      </c>
      <c r="I248" s="284" t="s">
        <v>1747</v>
      </c>
      <c r="J248" s="284"/>
      <c r="K248" s="284" t="s">
        <v>172</v>
      </c>
      <c r="L248" s="284">
        <v>1</v>
      </c>
      <c r="M248" s="535"/>
      <c r="N248" s="536"/>
      <c r="O248" s="536"/>
      <c r="P248" s="537"/>
    </row>
    <row r="249" spans="1:16" ht="30">
      <c r="A249" s="296">
        <v>2</v>
      </c>
      <c r="B249" s="301" t="s">
        <v>1748</v>
      </c>
      <c r="C249" s="301" t="s">
        <v>1749</v>
      </c>
      <c r="D249" s="301" t="s">
        <v>2170</v>
      </c>
      <c r="E249" s="278" t="s">
        <v>40</v>
      </c>
      <c r="F249" s="284">
        <v>1968</v>
      </c>
      <c r="G249" s="278" t="s">
        <v>40</v>
      </c>
      <c r="H249" s="284">
        <v>1.86</v>
      </c>
      <c r="I249" s="284" t="s">
        <v>13</v>
      </c>
      <c r="J249" s="284" t="s">
        <v>12</v>
      </c>
      <c r="K249" s="284" t="s">
        <v>172</v>
      </c>
      <c r="L249" s="284">
        <v>2</v>
      </c>
      <c r="M249" s="535"/>
      <c r="N249" s="536"/>
      <c r="O249" s="536"/>
      <c r="P249" s="537"/>
    </row>
    <row r="250" spans="1:16" ht="75">
      <c r="A250" s="296">
        <v>3</v>
      </c>
      <c r="B250" s="301" t="s">
        <v>1748</v>
      </c>
      <c r="C250" s="301" t="s">
        <v>1749</v>
      </c>
      <c r="D250" s="301" t="s">
        <v>931</v>
      </c>
      <c r="E250" s="284" t="s">
        <v>1750</v>
      </c>
      <c r="F250" s="284" t="s">
        <v>42</v>
      </c>
      <c r="G250" s="284" t="s">
        <v>38</v>
      </c>
      <c r="H250" s="284">
        <v>7.6500000000000003E-5</v>
      </c>
      <c r="I250" s="284" t="s">
        <v>933</v>
      </c>
      <c r="J250" s="284" t="s">
        <v>41</v>
      </c>
      <c r="K250" s="284" t="s">
        <v>172</v>
      </c>
      <c r="L250" s="284">
        <v>3</v>
      </c>
      <c r="M250" s="535"/>
      <c r="N250" s="536"/>
      <c r="O250" s="536"/>
      <c r="P250" s="537"/>
    </row>
    <row r="251" spans="1:16" ht="45">
      <c r="A251" s="290">
        <v>4</v>
      </c>
      <c r="B251" s="31" t="s">
        <v>697</v>
      </c>
      <c r="C251" s="31" t="s">
        <v>774</v>
      </c>
      <c r="D251" s="31" t="s">
        <v>775</v>
      </c>
      <c r="E251" s="65" t="s">
        <v>43</v>
      </c>
      <c r="F251" s="65" t="s">
        <v>43</v>
      </c>
      <c r="G251" s="65" t="s">
        <v>699</v>
      </c>
      <c r="H251" s="65" t="s">
        <v>172</v>
      </c>
      <c r="I251" s="65" t="s">
        <v>776</v>
      </c>
      <c r="J251" s="65" t="s">
        <v>15</v>
      </c>
      <c r="K251" s="65" t="s">
        <v>15</v>
      </c>
      <c r="L251" s="65">
        <v>4</v>
      </c>
      <c r="M251" s="535"/>
      <c r="N251" s="536"/>
      <c r="O251" s="536"/>
      <c r="P251" s="537"/>
    </row>
    <row r="252" spans="1:16" ht="30">
      <c r="A252" s="284">
        <v>5</v>
      </c>
      <c r="B252" s="301" t="s">
        <v>697</v>
      </c>
      <c r="C252" s="301" t="s">
        <v>1751</v>
      </c>
      <c r="D252" s="301" t="s">
        <v>2171</v>
      </c>
      <c r="E252" s="278" t="s">
        <v>40</v>
      </c>
      <c r="F252" s="284">
        <v>1942</v>
      </c>
      <c r="G252" s="284" t="s">
        <v>54</v>
      </c>
      <c r="H252" s="284" t="s">
        <v>54</v>
      </c>
      <c r="I252" s="284" t="s">
        <v>54</v>
      </c>
      <c r="J252" s="284" t="s">
        <v>54</v>
      </c>
      <c r="K252" s="284">
        <v>1</v>
      </c>
      <c r="L252" s="284" t="s">
        <v>172</v>
      </c>
      <c r="M252" s="535"/>
      <c r="N252" s="536"/>
      <c r="O252" s="536"/>
      <c r="P252" s="537"/>
    </row>
    <row r="253" spans="1:16" ht="45">
      <c r="A253" s="284">
        <v>6</v>
      </c>
      <c r="B253" s="301" t="s">
        <v>697</v>
      </c>
      <c r="C253" s="301" t="s">
        <v>1751</v>
      </c>
      <c r="D253" s="301" t="s">
        <v>737</v>
      </c>
      <c r="E253" s="278" t="s">
        <v>40</v>
      </c>
      <c r="F253" s="278" t="s">
        <v>40</v>
      </c>
      <c r="G253" s="278" t="s">
        <v>40</v>
      </c>
      <c r="H253" s="278" t="s">
        <v>40</v>
      </c>
      <c r="I253" s="278" t="s">
        <v>40</v>
      </c>
      <c r="J253" s="278" t="s">
        <v>40</v>
      </c>
      <c r="K253" s="120">
        <v>2</v>
      </c>
      <c r="L253" s="284" t="s">
        <v>172</v>
      </c>
      <c r="M253" s="535"/>
      <c r="N253" s="536"/>
      <c r="O253" s="536"/>
      <c r="P253" s="537"/>
    </row>
    <row r="254" spans="1:16" ht="75">
      <c r="A254" s="296">
        <v>7</v>
      </c>
      <c r="B254" s="301" t="s">
        <v>697</v>
      </c>
      <c r="C254" s="301" t="s">
        <v>1751</v>
      </c>
      <c r="D254" s="301" t="s">
        <v>1752</v>
      </c>
      <c r="E254" s="278" t="s">
        <v>40</v>
      </c>
      <c r="F254" s="278" t="s">
        <v>40</v>
      </c>
      <c r="G254" s="284" t="s">
        <v>2172</v>
      </c>
      <c r="H254" s="278" t="s">
        <v>40</v>
      </c>
      <c r="I254" s="278" t="s">
        <v>40</v>
      </c>
      <c r="J254" s="284" t="s">
        <v>780</v>
      </c>
      <c r="K254" s="284" t="s">
        <v>172</v>
      </c>
      <c r="L254" s="284">
        <v>5</v>
      </c>
      <c r="M254" s="535"/>
      <c r="N254" s="536"/>
      <c r="O254" s="536"/>
      <c r="P254" s="537"/>
    </row>
    <row r="255" spans="1:16" ht="30">
      <c r="A255" s="296">
        <v>8</v>
      </c>
      <c r="B255" s="301" t="s">
        <v>697</v>
      </c>
      <c r="C255" s="301" t="s">
        <v>1751</v>
      </c>
      <c r="D255" s="301" t="s">
        <v>607</v>
      </c>
      <c r="E255" s="278" t="s">
        <v>40</v>
      </c>
      <c r="F255" s="278" t="s">
        <v>40</v>
      </c>
      <c r="G255" s="278" t="s">
        <v>40</v>
      </c>
      <c r="H255" s="278" t="s">
        <v>40</v>
      </c>
      <c r="I255" s="284" t="s">
        <v>740</v>
      </c>
      <c r="J255" s="284" t="s">
        <v>12</v>
      </c>
      <c r="K255" s="284">
        <v>3</v>
      </c>
      <c r="L255" s="284" t="s">
        <v>172</v>
      </c>
      <c r="M255" s="535"/>
      <c r="N255" s="536"/>
      <c r="O255" s="536"/>
      <c r="P255" s="537"/>
    </row>
    <row r="256" spans="1:16" ht="45">
      <c r="A256" s="296">
        <v>9</v>
      </c>
      <c r="B256" s="301" t="s">
        <v>739</v>
      </c>
      <c r="C256" s="301" t="s">
        <v>734</v>
      </c>
      <c r="D256" s="301" t="s">
        <v>742</v>
      </c>
      <c r="E256" s="284">
        <v>60</v>
      </c>
      <c r="F256" s="284" t="s">
        <v>12</v>
      </c>
      <c r="G256" s="278" t="s">
        <v>40</v>
      </c>
      <c r="H256" s="284">
        <v>0.01</v>
      </c>
      <c r="I256" s="278" t="s">
        <v>40</v>
      </c>
      <c r="J256" s="278" t="s">
        <v>40</v>
      </c>
      <c r="K256" s="284">
        <v>4</v>
      </c>
      <c r="L256" s="284" t="s">
        <v>172</v>
      </c>
      <c r="M256" s="535"/>
      <c r="N256" s="536"/>
      <c r="O256" s="536"/>
      <c r="P256" s="537"/>
    </row>
    <row r="257" spans="1:16" ht="30">
      <c r="A257" s="296">
        <v>10</v>
      </c>
      <c r="B257" s="301" t="s">
        <v>739</v>
      </c>
      <c r="C257" s="301" t="s">
        <v>734</v>
      </c>
      <c r="D257" s="301" t="s">
        <v>744</v>
      </c>
      <c r="E257" s="284">
        <v>3068</v>
      </c>
      <c r="F257" s="284" t="s">
        <v>13</v>
      </c>
      <c r="G257" s="284" t="s">
        <v>13</v>
      </c>
      <c r="H257" s="284">
        <v>3.3748</v>
      </c>
      <c r="I257" s="284" t="s">
        <v>13</v>
      </c>
      <c r="J257" s="284" t="s">
        <v>13</v>
      </c>
      <c r="K257" s="284">
        <v>5</v>
      </c>
      <c r="L257" s="284" t="s">
        <v>172</v>
      </c>
      <c r="M257" s="535"/>
      <c r="N257" s="536"/>
      <c r="O257" s="536"/>
      <c r="P257" s="537"/>
    </row>
    <row r="258" spans="1:16" ht="30">
      <c r="A258" s="296">
        <v>11</v>
      </c>
      <c r="B258" s="301" t="s">
        <v>739</v>
      </c>
      <c r="C258" s="301" t="s">
        <v>734</v>
      </c>
      <c r="D258" s="301" t="s">
        <v>746</v>
      </c>
      <c r="E258" s="284">
        <v>232</v>
      </c>
      <c r="F258" s="284" t="s">
        <v>13</v>
      </c>
      <c r="G258" s="284" t="s">
        <v>13</v>
      </c>
      <c r="H258" s="284">
        <v>0.255</v>
      </c>
      <c r="I258" s="284" t="s">
        <v>13</v>
      </c>
      <c r="J258" s="284" t="s">
        <v>13</v>
      </c>
      <c r="K258" s="284">
        <v>6</v>
      </c>
      <c r="L258" s="284" t="s">
        <v>172</v>
      </c>
      <c r="M258" s="535"/>
      <c r="N258" s="536"/>
      <c r="O258" s="536"/>
      <c r="P258" s="537"/>
    </row>
    <row r="259" spans="1:16" ht="45">
      <c r="A259" s="296">
        <v>12</v>
      </c>
      <c r="B259" s="301" t="s">
        <v>739</v>
      </c>
      <c r="C259" s="301" t="s">
        <v>734</v>
      </c>
      <c r="D259" s="301" t="s">
        <v>1753</v>
      </c>
      <c r="E259" s="278" t="s">
        <v>40</v>
      </c>
      <c r="F259" s="284">
        <v>1993</v>
      </c>
      <c r="G259" s="278" t="s">
        <v>40</v>
      </c>
      <c r="H259" s="284">
        <v>0.1</v>
      </c>
      <c r="I259" s="278" t="s">
        <v>40</v>
      </c>
      <c r="J259" s="278" t="s">
        <v>40</v>
      </c>
      <c r="K259" s="284">
        <v>7</v>
      </c>
      <c r="L259" s="284" t="s">
        <v>172</v>
      </c>
      <c r="M259" s="535"/>
      <c r="N259" s="536"/>
      <c r="O259" s="536"/>
      <c r="P259" s="537"/>
    </row>
    <row r="260" spans="1:16" ht="30">
      <c r="A260" s="281">
        <v>13</v>
      </c>
      <c r="B260" s="216" t="s">
        <v>600</v>
      </c>
      <c r="C260" s="216" t="s">
        <v>645</v>
      </c>
      <c r="D260" s="301" t="s">
        <v>782</v>
      </c>
      <c r="E260" s="278" t="s">
        <v>40</v>
      </c>
      <c r="F260" s="278" t="s">
        <v>40</v>
      </c>
      <c r="G260" s="278" t="s">
        <v>40</v>
      </c>
      <c r="H260" s="278" t="s">
        <v>40</v>
      </c>
      <c r="I260" s="278" t="s">
        <v>40</v>
      </c>
      <c r="J260" s="278" t="s">
        <v>40</v>
      </c>
      <c r="K260" s="284" t="s">
        <v>172</v>
      </c>
      <c r="L260" s="294">
        <v>6</v>
      </c>
      <c r="M260" s="535"/>
      <c r="N260" s="536"/>
      <c r="O260" s="536"/>
      <c r="P260" s="537"/>
    </row>
    <row r="261" spans="1:16" ht="45">
      <c r="A261" s="281">
        <v>14</v>
      </c>
      <c r="B261" s="279" t="s">
        <v>644</v>
      </c>
      <c r="C261" s="279" t="s">
        <v>645</v>
      </c>
      <c r="D261" s="46" t="s">
        <v>750</v>
      </c>
      <c r="E261" s="278" t="s">
        <v>40</v>
      </c>
      <c r="F261" s="278" t="s">
        <v>40</v>
      </c>
      <c r="G261" s="278" t="s">
        <v>40</v>
      </c>
      <c r="H261" s="278" t="s">
        <v>40</v>
      </c>
      <c r="I261" s="278" t="s">
        <v>40</v>
      </c>
      <c r="J261" s="278" t="s">
        <v>40</v>
      </c>
      <c r="K261" s="278">
        <v>8</v>
      </c>
      <c r="L261" s="278" t="s">
        <v>172</v>
      </c>
      <c r="M261" s="535"/>
      <c r="N261" s="536"/>
      <c r="O261" s="536"/>
      <c r="P261" s="537"/>
    </row>
    <row r="262" spans="1:16" ht="30">
      <c r="A262" s="296">
        <v>15</v>
      </c>
      <c r="B262" s="279" t="s">
        <v>644</v>
      </c>
      <c r="C262" s="279" t="s">
        <v>645</v>
      </c>
      <c r="D262" s="46" t="s">
        <v>751</v>
      </c>
      <c r="E262" s="278" t="s">
        <v>40</v>
      </c>
      <c r="F262" s="278" t="s">
        <v>40</v>
      </c>
      <c r="G262" s="278" t="s">
        <v>40</v>
      </c>
      <c r="H262" s="278" t="s">
        <v>40</v>
      </c>
      <c r="I262" s="278" t="s">
        <v>40</v>
      </c>
      <c r="J262" s="278" t="s">
        <v>40</v>
      </c>
      <c r="K262" s="278">
        <v>9</v>
      </c>
      <c r="L262" s="278" t="s">
        <v>172</v>
      </c>
      <c r="M262" s="535"/>
      <c r="N262" s="536"/>
      <c r="O262" s="536"/>
      <c r="P262" s="537"/>
    </row>
    <row r="263" spans="1:16" ht="30">
      <c r="A263" s="281">
        <v>16</v>
      </c>
      <c r="B263" s="216" t="s">
        <v>600</v>
      </c>
      <c r="C263" s="216" t="s">
        <v>645</v>
      </c>
      <c r="D263" s="216" t="s">
        <v>752</v>
      </c>
      <c r="E263" s="278" t="s">
        <v>40</v>
      </c>
      <c r="F263" s="278" t="s">
        <v>40</v>
      </c>
      <c r="G263" s="278" t="s">
        <v>40</v>
      </c>
      <c r="H263" s="278" t="s">
        <v>40</v>
      </c>
      <c r="I263" s="278" t="s">
        <v>40</v>
      </c>
      <c r="J263" s="278" t="s">
        <v>40</v>
      </c>
      <c r="K263" s="278">
        <v>10</v>
      </c>
      <c r="L263" s="278" t="s">
        <v>172</v>
      </c>
      <c r="M263" s="535"/>
      <c r="N263" s="536"/>
      <c r="O263" s="536"/>
      <c r="P263" s="537"/>
    </row>
    <row r="264" spans="1:16" ht="30">
      <c r="A264" s="281">
        <v>17</v>
      </c>
      <c r="B264" s="216" t="s">
        <v>600</v>
      </c>
      <c r="C264" s="216" t="s">
        <v>645</v>
      </c>
      <c r="D264" s="216" t="s">
        <v>755</v>
      </c>
      <c r="E264" s="278" t="s">
        <v>40</v>
      </c>
      <c r="F264" s="278" t="s">
        <v>40</v>
      </c>
      <c r="G264" s="278" t="s">
        <v>40</v>
      </c>
      <c r="H264" s="278" t="s">
        <v>40</v>
      </c>
      <c r="I264" s="278" t="s">
        <v>40</v>
      </c>
      <c r="J264" s="278" t="s">
        <v>40</v>
      </c>
      <c r="K264" s="278">
        <v>11</v>
      </c>
      <c r="L264" s="278" t="s">
        <v>172</v>
      </c>
      <c r="M264" s="535"/>
      <c r="N264" s="536"/>
      <c r="O264" s="536"/>
      <c r="P264" s="537"/>
    </row>
    <row r="265" spans="1:16" ht="30">
      <c r="A265" s="281">
        <v>18</v>
      </c>
      <c r="B265" s="216" t="s">
        <v>600</v>
      </c>
      <c r="C265" s="216" t="s">
        <v>645</v>
      </c>
      <c r="D265" s="216" t="s">
        <v>757</v>
      </c>
      <c r="E265" s="278" t="s">
        <v>40</v>
      </c>
      <c r="F265" s="278" t="s">
        <v>40</v>
      </c>
      <c r="G265" s="278" t="s">
        <v>40</v>
      </c>
      <c r="H265" s="278" t="s">
        <v>40</v>
      </c>
      <c r="I265" s="278" t="s">
        <v>40</v>
      </c>
      <c r="J265" s="278" t="s">
        <v>40</v>
      </c>
      <c r="K265" s="278">
        <v>12</v>
      </c>
      <c r="L265" s="278" t="s">
        <v>172</v>
      </c>
      <c r="M265" s="535"/>
      <c r="N265" s="536"/>
      <c r="O265" s="536"/>
      <c r="P265" s="537"/>
    </row>
    <row r="266" spans="1:16" ht="30">
      <c r="A266" s="281">
        <v>19</v>
      </c>
      <c r="B266" s="279" t="s">
        <v>644</v>
      </c>
      <c r="C266" s="279" t="s">
        <v>645</v>
      </c>
      <c r="D266" s="46" t="s">
        <v>760</v>
      </c>
      <c r="E266" s="278" t="s">
        <v>40</v>
      </c>
      <c r="F266" s="278" t="s">
        <v>40</v>
      </c>
      <c r="G266" s="278" t="s">
        <v>40</v>
      </c>
      <c r="H266" s="278" t="s">
        <v>40</v>
      </c>
      <c r="I266" s="278" t="s">
        <v>40</v>
      </c>
      <c r="J266" s="278" t="s">
        <v>40</v>
      </c>
      <c r="K266" s="278">
        <v>13</v>
      </c>
      <c r="L266" s="278" t="s">
        <v>172</v>
      </c>
      <c r="M266" s="535"/>
      <c r="N266" s="536"/>
      <c r="O266" s="536"/>
      <c r="P266" s="537"/>
    </row>
    <row r="267" spans="1:16" ht="30">
      <c r="A267" s="281">
        <v>20</v>
      </c>
      <c r="B267" s="216" t="s">
        <v>600</v>
      </c>
      <c r="C267" s="216" t="s">
        <v>645</v>
      </c>
      <c r="D267" s="301" t="s">
        <v>761</v>
      </c>
      <c r="E267" s="278" t="s">
        <v>40</v>
      </c>
      <c r="F267" s="278" t="s">
        <v>40</v>
      </c>
      <c r="G267" s="278" t="s">
        <v>40</v>
      </c>
      <c r="H267" s="278" t="s">
        <v>40</v>
      </c>
      <c r="I267" s="278" t="s">
        <v>40</v>
      </c>
      <c r="J267" s="278" t="s">
        <v>40</v>
      </c>
      <c r="K267" s="278">
        <v>14</v>
      </c>
      <c r="L267" s="278" t="s">
        <v>172</v>
      </c>
      <c r="M267" s="535"/>
      <c r="N267" s="536"/>
      <c r="O267" s="536"/>
      <c r="P267" s="537"/>
    </row>
    <row r="268" spans="1:16" ht="30">
      <c r="A268" s="281">
        <v>21</v>
      </c>
      <c r="B268" s="216" t="s">
        <v>600</v>
      </c>
      <c r="C268" s="216" t="s">
        <v>645</v>
      </c>
      <c r="D268" s="225" t="s">
        <v>783</v>
      </c>
      <c r="E268" s="278" t="s">
        <v>40</v>
      </c>
      <c r="F268" s="278" t="s">
        <v>40</v>
      </c>
      <c r="G268" s="278" t="s">
        <v>40</v>
      </c>
      <c r="H268" s="278" t="s">
        <v>40</v>
      </c>
      <c r="I268" s="278" t="s">
        <v>40</v>
      </c>
      <c r="J268" s="278" t="s">
        <v>40</v>
      </c>
      <c r="K268" s="294" t="s">
        <v>172</v>
      </c>
      <c r="L268" s="294">
        <v>7</v>
      </c>
      <c r="M268" s="535"/>
      <c r="N268" s="536"/>
      <c r="O268" s="536"/>
      <c r="P268" s="537"/>
    </row>
    <row r="269" spans="1:16" ht="30">
      <c r="A269" s="281">
        <v>22</v>
      </c>
      <c r="B269" s="216" t="s">
        <v>600</v>
      </c>
      <c r="C269" s="216" t="s">
        <v>645</v>
      </c>
      <c r="D269" s="216" t="s">
        <v>785</v>
      </c>
      <c r="E269" s="278" t="s">
        <v>40</v>
      </c>
      <c r="F269" s="278" t="s">
        <v>40</v>
      </c>
      <c r="G269" s="278" t="s">
        <v>40</v>
      </c>
      <c r="H269" s="278" t="s">
        <v>40</v>
      </c>
      <c r="I269" s="278" t="s">
        <v>40</v>
      </c>
      <c r="J269" s="278" t="s">
        <v>40</v>
      </c>
      <c r="K269" s="294" t="s">
        <v>172</v>
      </c>
      <c r="L269" s="294">
        <v>8</v>
      </c>
      <c r="M269" s="535"/>
      <c r="N269" s="536"/>
      <c r="O269" s="536"/>
      <c r="P269" s="537"/>
    </row>
    <row r="270" spans="1:16" ht="30">
      <c r="A270" s="281">
        <v>23</v>
      </c>
      <c r="B270" s="216" t="s">
        <v>600</v>
      </c>
      <c r="C270" s="216" t="s">
        <v>645</v>
      </c>
      <c r="D270" s="216" t="s">
        <v>762</v>
      </c>
      <c r="E270" s="278" t="s">
        <v>40</v>
      </c>
      <c r="F270" s="284" t="s">
        <v>40</v>
      </c>
      <c r="G270" s="284" t="s">
        <v>40</v>
      </c>
      <c r="H270" s="284" t="s">
        <v>40</v>
      </c>
      <c r="I270" s="284" t="s">
        <v>40</v>
      </c>
      <c r="J270" s="284" t="s">
        <v>40</v>
      </c>
      <c r="K270" s="284">
        <v>15</v>
      </c>
      <c r="L270" s="284" t="s">
        <v>172</v>
      </c>
      <c r="M270" s="538"/>
      <c r="N270" s="539"/>
      <c r="O270" s="539"/>
      <c r="P270" s="540"/>
    </row>
    <row r="271" spans="1:16" ht="15">
      <c r="A271" s="373"/>
      <c r="B271" s="374"/>
      <c r="C271" s="374"/>
      <c r="D271" s="374"/>
      <c r="E271" s="374"/>
      <c r="F271" s="374"/>
      <c r="G271" s="374"/>
      <c r="H271" s="374"/>
      <c r="I271" s="374"/>
      <c r="J271" s="374"/>
      <c r="K271" s="374"/>
      <c r="L271" s="374"/>
      <c r="M271" s="374"/>
      <c r="N271" s="374"/>
      <c r="O271" s="374"/>
      <c r="P271" s="375"/>
    </row>
    <row r="272" spans="1:16" ht="28.5">
      <c r="A272" s="425" t="s">
        <v>74</v>
      </c>
      <c r="B272" s="425"/>
      <c r="C272" s="425"/>
      <c r="D272" s="425"/>
      <c r="E272" s="425"/>
      <c r="F272" s="425"/>
      <c r="G272" s="425"/>
      <c r="H272" s="425"/>
      <c r="I272" s="425"/>
      <c r="J272" s="425"/>
      <c r="K272" s="425"/>
      <c r="L272" s="425"/>
      <c r="M272" s="425"/>
      <c r="N272" s="425"/>
      <c r="O272" s="425"/>
      <c r="P272" s="20" t="s">
        <v>67</v>
      </c>
    </row>
    <row r="273" spans="1:17">
      <c r="A273" s="425">
        <v>13</v>
      </c>
      <c r="B273" s="425"/>
      <c r="C273" s="425"/>
      <c r="D273" s="425"/>
      <c r="E273" s="425"/>
      <c r="F273" s="425"/>
      <c r="G273" s="425"/>
      <c r="H273" s="425"/>
      <c r="I273" s="425"/>
      <c r="J273" s="425"/>
      <c r="K273" s="425"/>
      <c r="L273" s="425"/>
      <c r="M273" s="425"/>
      <c r="N273" s="425"/>
      <c r="O273" s="425"/>
      <c r="P273" s="20">
        <v>14</v>
      </c>
    </row>
    <row r="274" spans="1:17" ht="15">
      <c r="A274" s="425" t="s">
        <v>75</v>
      </c>
      <c r="B274" s="425"/>
      <c r="C274" s="425"/>
      <c r="D274" s="425" t="s">
        <v>76</v>
      </c>
      <c r="E274" s="425"/>
      <c r="F274" s="425"/>
      <c r="G274" s="425" t="s">
        <v>77</v>
      </c>
      <c r="H274" s="425"/>
      <c r="I274" s="425"/>
      <c r="J274" s="425" t="s">
        <v>78</v>
      </c>
      <c r="K274" s="425"/>
      <c r="L274" s="425"/>
      <c r="M274" s="425" t="s">
        <v>79</v>
      </c>
      <c r="N274" s="425"/>
      <c r="O274" s="425"/>
      <c r="P274" s="284"/>
    </row>
    <row r="275" spans="1:17" ht="15">
      <c r="A275" s="284" t="s">
        <v>80</v>
      </c>
      <c r="B275" s="284" t="s">
        <v>81</v>
      </c>
      <c r="C275" s="284" t="s">
        <v>47</v>
      </c>
      <c r="D275" s="284" t="s">
        <v>80</v>
      </c>
      <c r="E275" s="284" t="s">
        <v>81</v>
      </c>
      <c r="F275" s="284" t="s">
        <v>47</v>
      </c>
      <c r="G275" s="284" t="s">
        <v>80</v>
      </c>
      <c r="H275" s="284" t="s">
        <v>81</v>
      </c>
      <c r="I275" s="284" t="s">
        <v>47</v>
      </c>
      <c r="J275" s="284" t="s">
        <v>80</v>
      </c>
      <c r="K275" s="284" t="s">
        <v>81</v>
      </c>
      <c r="L275" s="284" t="s">
        <v>47</v>
      </c>
      <c r="M275" s="284" t="s">
        <v>80</v>
      </c>
      <c r="N275" s="284" t="s">
        <v>81</v>
      </c>
      <c r="O275" s="284" t="s">
        <v>47</v>
      </c>
      <c r="P275" s="284"/>
    </row>
    <row r="276" spans="1:17" s="92" customFormat="1" ht="15">
      <c r="A276" s="278">
        <v>4</v>
      </c>
      <c r="B276" s="278">
        <v>4</v>
      </c>
      <c r="C276" s="278">
        <v>2</v>
      </c>
      <c r="D276" s="278">
        <v>0</v>
      </c>
      <c r="E276" s="278">
        <v>0</v>
      </c>
      <c r="F276" s="278">
        <v>0</v>
      </c>
      <c r="G276" s="278">
        <v>3</v>
      </c>
      <c r="H276" s="278">
        <v>3</v>
      </c>
      <c r="I276" s="278">
        <v>3</v>
      </c>
      <c r="J276" s="278">
        <v>0</v>
      </c>
      <c r="K276" s="278">
        <v>0</v>
      </c>
      <c r="L276" s="278">
        <v>0</v>
      </c>
      <c r="M276" s="278">
        <v>0</v>
      </c>
      <c r="N276" s="278">
        <v>0</v>
      </c>
      <c r="O276" s="278">
        <v>0</v>
      </c>
      <c r="P276" s="278"/>
      <c r="Q276" s="91"/>
    </row>
    <row r="277" spans="1:17" s="112" customFormat="1" ht="15">
      <c r="A277" s="294">
        <v>9</v>
      </c>
      <c r="B277" s="294">
        <v>3</v>
      </c>
      <c r="C277" s="294">
        <v>3</v>
      </c>
      <c r="D277" s="294">
        <v>2</v>
      </c>
      <c r="E277" s="294">
        <v>0</v>
      </c>
      <c r="F277" s="294">
        <v>0</v>
      </c>
      <c r="G277" s="294">
        <v>4</v>
      </c>
      <c r="H277" s="294">
        <v>0</v>
      </c>
      <c r="I277" s="294">
        <v>0</v>
      </c>
      <c r="J277" s="294"/>
      <c r="K277" s="294"/>
      <c r="L277" s="294"/>
      <c r="M277" s="294"/>
      <c r="N277" s="294"/>
      <c r="O277" s="294"/>
      <c r="P277" s="278"/>
    </row>
    <row r="278" spans="1:17" s="112" customFormat="1" ht="30">
      <c r="A278" s="294">
        <v>4</v>
      </c>
      <c r="B278" s="294"/>
      <c r="C278" s="294">
        <v>4</v>
      </c>
      <c r="D278" s="294"/>
      <c r="E278" s="294"/>
      <c r="F278" s="294"/>
      <c r="G278" s="294">
        <v>6</v>
      </c>
      <c r="H278" s="294"/>
      <c r="I278" s="294"/>
      <c r="J278" s="294"/>
      <c r="K278" s="294"/>
      <c r="L278" s="294"/>
      <c r="M278" s="294"/>
      <c r="N278" s="294"/>
      <c r="O278" s="294"/>
      <c r="P278" s="278" t="s">
        <v>1754</v>
      </c>
    </row>
    <row r="279" spans="1:17" s="112" customFormat="1" ht="15">
      <c r="A279" s="294">
        <v>4</v>
      </c>
      <c r="B279" s="294">
        <v>0</v>
      </c>
      <c r="C279" s="294">
        <v>0</v>
      </c>
      <c r="D279" s="294" t="s">
        <v>706</v>
      </c>
      <c r="E279" s="294" t="s">
        <v>706</v>
      </c>
      <c r="F279" s="294" t="s">
        <v>706</v>
      </c>
      <c r="G279" s="294" t="s">
        <v>706</v>
      </c>
      <c r="H279" s="294" t="s">
        <v>706</v>
      </c>
      <c r="I279" s="294" t="s">
        <v>706</v>
      </c>
      <c r="J279" s="294" t="s">
        <v>706</v>
      </c>
      <c r="K279" s="294" t="s">
        <v>706</v>
      </c>
      <c r="L279" s="294" t="s">
        <v>706</v>
      </c>
      <c r="M279" s="294" t="s">
        <v>706</v>
      </c>
      <c r="N279" s="294" t="s">
        <v>706</v>
      </c>
      <c r="O279" s="294" t="s">
        <v>706</v>
      </c>
      <c r="P279" s="278" t="s">
        <v>1755</v>
      </c>
    </row>
    <row r="280" spans="1:17" s="112" customFormat="1" ht="15">
      <c r="A280" s="232">
        <v>4</v>
      </c>
      <c r="B280" s="232">
        <v>0</v>
      </c>
      <c r="C280" s="232">
        <v>0</v>
      </c>
      <c r="D280" s="232" t="s">
        <v>706</v>
      </c>
      <c r="E280" s="232" t="s">
        <v>706</v>
      </c>
      <c r="F280" s="232" t="s">
        <v>706</v>
      </c>
      <c r="G280" s="232" t="s">
        <v>706</v>
      </c>
      <c r="H280" s="232" t="s">
        <v>706</v>
      </c>
      <c r="I280" s="232" t="s">
        <v>706</v>
      </c>
      <c r="J280" s="232" t="s">
        <v>706</v>
      </c>
      <c r="K280" s="232" t="s">
        <v>706</v>
      </c>
      <c r="L280" s="232" t="s">
        <v>706</v>
      </c>
      <c r="M280" s="232" t="s">
        <v>706</v>
      </c>
      <c r="N280" s="232" t="s">
        <v>706</v>
      </c>
      <c r="O280" s="232" t="s">
        <v>706</v>
      </c>
      <c r="P280" s="232"/>
    </row>
    <row r="281" spans="1:17" s="112" customFormat="1" ht="15">
      <c r="A281" s="278">
        <v>1</v>
      </c>
      <c r="B281" s="278">
        <v>0</v>
      </c>
      <c r="C281" s="278">
        <v>0</v>
      </c>
      <c r="D281" s="278" t="s">
        <v>12</v>
      </c>
      <c r="E281" s="278" t="s">
        <v>12</v>
      </c>
      <c r="F281" s="278" t="s">
        <v>12</v>
      </c>
      <c r="G281" s="278">
        <v>1</v>
      </c>
      <c r="H281" s="278">
        <v>1</v>
      </c>
      <c r="I281" s="278">
        <v>0</v>
      </c>
      <c r="J281" s="278" t="s">
        <v>12</v>
      </c>
      <c r="K281" s="278" t="s">
        <v>12</v>
      </c>
      <c r="L281" s="278" t="s">
        <v>12</v>
      </c>
      <c r="M281" s="278" t="s">
        <v>12</v>
      </c>
      <c r="N281" s="278" t="s">
        <v>12</v>
      </c>
      <c r="O281" s="278" t="s">
        <v>12</v>
      </c>
      <c r="P281" s="278"/>
    </row>
    <row r="282" spans="1:17" s="92" customFormat="1" ht="15">
      <c r="A282" s="278"/>
      <c r="B282" s="278"/>
      <c r="C282" s="278"/>
      <c r="D282" s="278"/>
      <c r="E282" s="278"/>
      <c r="F282" s="278"/>
      <c r="G282" s="278"/>
      <c r="H282" s="278"/>
      <c r="I282" s="278"/>
      <c r="J282" s="278"/>
      <c r="K282" s="278"/>
      <c r="L282" s="278"/>
      <c r="M282" s="278"/>
      <c r="N282" s="278"/>
      <c r="O282" s="278"/>
      <c r="P282" s="278"/>
      <c r="Q282" s="91"/>
    </row>
    <row r="283" spans="1:17" ht="15">
      <c r="A283" s="425" t="s">
        <v>82</v>
      </c>
      <c r="B283" s="425"/>
      <c r="C283" s="425"/>
      <c r="D283" s="425" t="s">
        <v>83</v>
      </c>
      <c r="E283" s="425"/>
      <c r="F283" s="425"/>
      <c r="G283" s="425" t="s">
        <v>84</v>
      </c>
      <c r="H283" s="425"/>
      <c r="I283" s="425"/>
      <c r="J283" s="284"/>
      <c r="K283" s="284"/>
      <c r="L283" s="284"/>
      <c r="M283" s="284"/>
      <c r="N283" s="284"/>
      <c r="O283" s="284"/>
      <c r="P283" s="284"/>
    </row>
    <row r="284" spans="1:17" ht="15">
      <c r="A284" s="284" t="s">
        <v>80</v>
      </c>
      <c r="B284" s="284" t="s">
        <v>81</v>
      </c>
      <c r="C284" s="284" t="s">
        <v>47</v>
      </c>
      <c r="D284" s="284" t="s">
        <v>80</v>
      </c>
      <c r="E284" s="284" t="s">
        <v>81</v>
      </c>
      <c r="F284" s="284" t="s">
        <v>47</v>
      </c>
      <c r="G284" s="284" t="s">
        <v>80</v>
      </c>
      <c r="H284" s="284" t="s">
        <v>81</v>
      </c>
      <c r="I284" s="284" t="s">
        <v>47</v>
      </c>
      <c r="J284" s="284"/>
      <c r="K284" s="284"/>
      <c r="L284" s="284"/>
      <c r="M284" s="284"/>
      <c r="N284" s="284"/>
      <c r="O284" s="284"/>
      <c r="P284" s="284"/>
    </row>
    <row r="285" spans="1:17" ht="15">
      <c r="A285" s="281"/>
      <c r="B285" s="278"/>
      <c r="C285" s="281"/>
      <c r="D285" s="281"/>
      <c r="E285" s="281"/>
      <c r="F285" s="281"/>
      <c r="G285" s="281"/>
      <c r="H285" s="281"/>
      <c r="I285" s="281"/>
      <c r="J285" s="74"/>
      <c r="K285" s="74"/>
      <c r="L285" s="74"/>
      <c r="M285" s="74"/>
      <c r="N285" s="74"/>
      <c r="O285" s="74"/>
      <c r="P285" s="74"/>
    </row>
    <row r="286" spans="1:17">
      <c r="A286" s="498"/>
      <c r="B286" s="499"/>
      <c r="C286" s="499"/>
      <c r="D286" s="499"/>
      <c r="E286" s="499"/>
      <c r="F286" s="499"/>
      <c r="G286" s="499"/>
      <c r="H286" s="499"/>
      <c r="I286" s="499"/>
      <c r="J286" s="499"/>
      <c r="K286" s="499"/>
      <c r="L286" s="499"/>
      <c r="M286" s="499"/>
      <c r="N286" s="499"/>
      <c r="O286" s="499"/>
      <c r="P286" s="500"/>
    </row>
    <row r="287" spans="1:17" ht="22.5" customHeight="1">
      <c r="A287" s="504" t="s">
        <v>186</v>
      </c>
      <c r="B287" s="504"/>
      <c r="C287" s="504"/>
      <c r="D287" s="504"/>
      <c r="E287" s="504"/>
      <c r="F287" s="504"/>
      <c r="G287" s="504"/>
      <c r="H287" s="504"/>
      <c r="I287" s="504"/>
      <c r="J287" s="504"/>
      <c r="K287" s="504"/>
      <c r="L287" s="504"/>
      <c r="M287" s="504"/>
      <c r="N287" s="504"/>
      <c r="O287" s="504"/>
      <c r="P287" s="504"/>
    </row>
    <row r="288" spans="1:17" ht="20.25">
      <c r="A288" s="526" t="s">
        <v>174</v>
      </c>
      <c r="B288" s="526"/>
      <c r="C288" s="526"/>
      <c r="D288" s="526"/>
      <c r="E288" s="526"/>
      <c r="F288" s="526"/>
      <c r="G288" s="526"/>
      <c r="H288" s="526"/>
      <c r="I288" s="526"/>
      <c r="J288" s="526"/>
      <c r="K288" s="526"/>
      <c r="L288" s="526"/>
      <c r="M288" s="532"/>
      <c r="N288" s="533"/>
      <c r="O288" s="533"/>
      <c r="P288" s="534"/>
    </row>
    <row r="289" spans="1:16" ht="99.75">
      <c r="A289" s="20" t="s">
        <v>0</v>
      </c>
      <c r="B289" s="20" t="s">
        <v>60</v>
      </c>
      <c r="C289" s="20" t="s">
        <v>69</v>
      </c>
      <c r="D289" s="20" t="s">
        <v>70</v>
      </c>
      <c r="E289" s="20" t="s">
        <v>173</v>
      </c>
      <c r="F289" s="20" t="s">
        <v>63</v>
      </c>
      <c r="G289" s="286" t="s">
        <v>71</v>
      </c>
      <c r="H289" s="20" t="s">
        <v>175</v>
      </c>
      <c r="I289" s="20" t="s">
        <v>64</v>
      </c>
      <c r="J289" s="286" t="s">
        <v>72</v>
      </c>
      <c r="K289" s="22" t="s">
        <v>73</v>
      </c>
      <c r="L289" s="22" t="s">
        <v>66</v>
      </c>
      <c r="M289" s="535"/>
      <c r="N289" s="536"/>
      <c r="O289" s="536"/>
      <c r="P289" s="537"/>
    </row>
    <row r="290" spans="1:16">
      <c r="A290" s="295">
        <v>1</v>
      </c>
      <c r="B290" s="295">
        <v>2</v>
      </c>
      <c r="C290" s="295">
        <v>3</v>
      </c>
      <c r="D290" s="295">
        <v>4</v>
      </c>
      <c r="E290" s="295">
        <v>5</v>
      </c>
      <c r="F290" s="295">
        <v>6</v>
      </c>
      <c r="G290" s="295">
        <v>7</v>
      </c>
      <c r="H290" s="295">
        <v>8</v>
      </c>
      <c r="I290" s="286">
        <v>9</v>
      </c>
      <c r="J290" s="295">
        <v>10</v>
      </c>
      <c r="K290" s="295">
        <v>11</v>
      </c>
      <c r="L290" s="295">
        <v>12</v>
      </c>
      <c r="M290" s="535"/>
      <c r="N290" s="536"/>
      <c r="O290" s="536"/>
      <c r="P290" s="537"/>
    </row>
    <row r="291" spans="1:16" ht="30" customHeight="1">
      <c r="A291" s="278">
        <v>1</v>
      </c>
      <c r="B291" s="376" t="s">
        <v>794</v>
      </c>
      <c r="C291" s="376" t="s">
        <v>822</v>
      </c>
      <c r="D291" s="279" t="s">
        <v>796</v>
      </c>
      <c r="E291" s="278" t="s">
        <v>797</v>
      </c>
      <c r="F291" s="278" t="s">
        <v>1756</v>
      </c>
      <c r="G291" s="278" t="s">
        <v>12</v>
      </c>
      <c r="H291" s="278">
        <v>3.5</v>
      </c>
      <c r="I291" s="278" t="s">
        <v>57</v>
      </c>
      <c r="J291" s="278" t="s">
        <v>12</v>
      </c>
      <c r="K291" s="278">
        <v>1</v>
      </c>
      <c r="L291" s="278">
        <v>1</v>
      </c>
      <c r="M291" s="535"/>
      <c r="N291" s="536"/>
      <c r="O291" s="536"/>
      <c r="P291" s="537"/>
    </row>
    <row r="292" spans="1:16" ht="45">
      <c r="A292" s="278">
        <v>2</v>
      </c>
      <c r="B292" s="376"/>
      <c r="C292" s="376"/>
      <c r="D292" s="279" t="s">
        <v>970</v>
      </c>
      <c r="E292" s="278" t="s">
        <v>802</v>
      </c>
      <c r="F292" s="278">
        <v>2014</v>
      </c>
      <c r="G292" s="278" t="s">
        <v>12</v>
      </c>
      <c r="H292" s="278">
        <v>0.78</v>
      </c>
      <c r="I292" s="278" t="s">
        <v>57</v>
      </c>
      <c r="J292" s="278" t="s">
        <v>12</v>
      </c>
      <c r="K292" s="278">
        <v>2</v>
      </c>
      <c r="L292" s="278">
        <v>2</v>
      </c>
      <c r="M292" s="535"/>
      <c r="N292" s="536"/>
      <c r="O292" s="536"/>
      <c r="P292" s="537"/>
    </row>
    <row r="293" spans="1:16" ht="30">
      <c r="A293" s="278">
        <v>3</v>
      </c>
      <c r="B293" s="376"/>
      <c r="C293" s="376"/>
      <c r="D293" s="279" t="s">
        <v>1757</v>
      </c>
      <c r="E293" s="278">
        <v>21951</v>
      </c>
      <c r="F293" s="278" t="s">
        <v>1758</v>
      </c>
      <c r="G293" s="278" t="s">
        <v>12</v>
      </c>
      <c r="H293" s="278" t="s">
        <v>1759</v>
      </c>
      <c r="I293" s="294" t="s">
        <v>57</v>
      </c>
      <c r="J293" s="278" t="s">
        <v>12</v>
      </c>
      <c r="K293" s="278">
        <v>3</v>
      </c>
      <c r="L293" s="278" t="s">
        <v>12</v>
      </c>
      <c r="M293" s="535"/>
      <c r="N293" s="536"/>
      <c r="O293" s="536"/>
      <c r="P293" s="537"/>
    </row>
    <row r="294" spans="1:16" ht="30" customHeight="1">
      <c r="A294" s="278">
        <v>4</v>
      </c>
      <c r="B294" s="376"/>
      <c r="C294" s="376" t="s">
        <v>1760</v>
      </c>
      <c r="D294" s="279" t="s">
        <v>1761</v>
      </c>
      <c r="E294" s="278" t="s">
        <v>1762</v>
      </c>
      <c r="F294" s="278"/>
      <c r="G294" s="278">
        <v>2001</v>
      </c>
      <c r="H294" s="278">
        <v>0.98</v>
      </c>
      <c r="I294" s="278"/>
      <c r="J294" s="278" t="s">
        <v>12</v>
      </c>
      <c r="K294" s="278" t="s">
        <v>12</v>
      </c>
      <c r="L294" s="278" t="s">
        <v>12</v>
      </c>
      <c r="M294" s="535"/>
      <c r="N294" s="536"/>
      <c r="O294" s="536"/>
      <c r="P294" s="537"/>
    </row>
    <row r="295" spans="1:16" ht="30">
      <c r="A295" s="278">
        <v>5</v>
      </c>
      <c r="B295" s="376"/>
      <c r="C295" s="376"/>
      <c r="D295" s="279" t="s">
        <v>1763</v>
      </c>
      <c r="E295" s="278">
        <v>37.47</v>
      </c>
      <c r="F295" s="278" t="s">
        <v>821</v>
      </c>
      <c r="G295" s="241"/>
      <c r="H295" s="278">
        <v>0.05</v>
      </c>
      <c r="I295" s="278"/>
      <c r="J295" s="278"/>
      <c r="K295" s="278">
        <v>4</v>
      </c>
      <c r="L295" s="278" t="s">
        <v>12</v>
      </c>
      <c r="M295" s="535"/>
      <c r="N295" s="536"/>
      <c r="O295" s="536"/>
      <c r="P295" s="537"/>
    </row>
    <row r="296" spans="1:16" ht="30">
      <c r="A296" s="278">
        <v>6</v>
      </c>
      <c r="B296" s="376"/>
      <c r="C296" s="376"/>
      <c r="D296" s="279" t="s">
        <v>1764</v>
      </c>
      <c r="E296" s="278"/>
      <c r="F296" s="278" t="s">
        <v>1765</v>
      </c>
      <c r="G296" s="278"/>
      <c r="H296" s="278" t="s">
        <v>1766</v>
      </c>
      <c r="I296" s="278"/>
      <c r="J296" s="278"/>
      <c r="K296" s="278" t="s">
        <v>12</v>
      </c>
      <c r="L296" s="278">
        <v>11</v>
      </c>
      <c r="M296" s="535"/>
      <c r="N296" s="536"/>
      <c r="O296" s="536"/>
      <c r="P296" s="537"/>
    </row>
    <row r="297" spans="1:16" ht="30">
      <c r="A297" s="278">
        <v>7</v>
      </c>
      <c r="B297" s="376"/>
      <c r="C297" s="376"/>
      <c r="D297" s="279" t="s">
        <v>1767</v>
      </c>
      <c r="E297" s="278"/>
      <c r="F297" s="278" t="s">
        <v>1768</v>
      </c>
      <c r="G297" s="278"/>
      <c r="H297" s="278" t="s">
        <v>1766</v>
      </c>
      <c r="I297" s="278"/>
      <c r="J297" s="278"/>
      <c r="K297" s="278" t="s">
        <v>12</v>
      </c>
      <c r="L297" s="278">
        <v>10</v>
      </c>
      <c r="M297" s="535"/>
      <c r="N297" s="536"/>
      <c r="O297" s="536"/>
      <c r="P297" s="537"/>
    </row>
    <row r="298" spans="1:16" ht="60" customHeight="1">
      <c r="A298" s="278">
        <v>8</v>
      </c>
      <c r="B298" s="376" t="s">
        <v>1496</v>
      </c>
      <c r="C298" s="376" t="s">
        <v>822</v>
      </c>
      <c r="D298" s="279" t="s">
        <v>1769</v>
      </c>
      <c r="E298" s="278" t="s">
        <v>1770</v>
      </c>
      <c r="F298" s="278" t="s">
        <v>12</v>
      </c>
      <c r="G298" s="278" t="s">
        <v>826</v>
      </c>
      <c r="H298" s="278" t="s">
        <v>826</v>
      </c>
      <c r="I298" s="278" t="s">
        <v>979</v>
      </c>
      <c r="J298" s="278" t="s">
        <v>12</v>
      </c>
      <c r="K298" s="278" t="s">
        <v>12</v>
      </c>
      <c r="L298" s="278">
        <v>4</v>
      </c>
      <c r="M298" s="535"/>
      <c r="N298" s="536"/>
      <c r="O298" s="536"/>
      <c r="P298" s="537"/>
    </row>
    <row r="299" spans="1:16" ht="15">
      <c r="A299" s="278">
        <v>9</v>
      </c>
      <c r="B299" s="376"/>
      <c r="C299" s="376"/>
      <c r="D299" s="279" t="s">
        <v>1771</v>
      </c>
      <c r="E299" s="278" t="s">
        <v>12</v>
      </c>
      <c r="F299" s="278" t="s">
        <v>12</v>
      </c>
      <c r="G299" s="278" t="s">
        <v>12</v>
      </c>
      <c r="H299" s="278" t="s">
        <v>12</v>
      </c>
      <c r="I299" s="278" t="s">
        <v>12</v>
      </c>
      <c r="J299" s="278" t="s">
        <v>12</v>
      </c>
      <c r="K299" s="278" t="s">
        <v>12</v>
      </c>
      <c r="L299" s="278" t="s">
        <v>12</v>
      </c>
      <c r="M299" s="535"/>
      <c r="N299" s="536"/>
      <c r="O299" s="536"/>
      <c r="P299" s="537"/>
    </row>
    <row r="300" spans="1:16" ht="15">
      <c r="A300" s="278">
        <v>10</v>
      </c>
      <c r="B300" s="376"/>
      <c r="C300" s="376"/>
      <c r="D300" s="279" t="s">
        <v>1772</v>
      </c>
      <c r="E300" s="278" t="s">
        <v>12</v>
      </c>
      <c r="F300" s="278" t="s">
        <v>12</v>
      </c>
      <c r="G300" s="278" t="s">
        <v>12</v>
      </c>
      <c r="H300" s="278" t="s">
        <v>12</v>
      </c>
      <c r="I300" s="278" t="s">
        <v>12</v>
      </c>
      <c r="J300" s="278" t="s">
        <v>12</v>
      </c>
      <c r="K300" s="278" t="s">
        <v>12</v>
      </c>
      <c r="L300" s="278" t="s">
        <v>12</v>
      </c>
      <c r="M300" s="535"/>
      <c r="N300" s="536"/>
      <c r="O300" s="536"/>
      <c r="P300" s="537"/>
    </row>
    <row r="301" spans="1:16" ht="75">
      <c r="A301" s="278">
        <v>11</v>
      </c>
      <c r="B301" s="376"/>
      <c r="C301" s="376"/>
      <c r="D301" s="376" t="s">
        <v>1773</v>
      </c>
      <c r="E301" s="278" t="s">
        <v>1774</v>
      </c>
      <c r="F301" s="348" t="s">
        <v>982</v>
      </c>
      <c r="G301" s="348" t="s">
        <v>12</v>
      </c>
      <c r="H301" s="278">
        <v>0.12</v>
      </c>
      <c r="I301" s="278" t="s">
        <v>1775</v>
      </c>
      <c r="J301" s="278" t="s">
        <v>12</v>
      </c>
      <c r="K301" s="278" t="s">
        <v>12</v>
      </c>
      <c r="L301" s="278" t="s">
        <v>983</v>
      </c>
      <c r="M301" s="535"/>
      <c r="N301" s="536"/>
      <c r="O301" s="536"/>
      <c r="P301" s="537"/>
    </row>
    <row r="302" spans="1:16" ht="30">
      <c r="A302" s="278">
        <v>12</v>
      </c>
      <c r="B302" s="376"/>
      <c r="C302" s="376"/>
      <c r="D302" s="376"/>
      <c r="E302" s="278" t="s">
        <v>1776</v>
      </c>
      <c r="F302" s="348"/>
      <c r="G302" s="348"/>
      <c r="H302" s="278">
        <v>0.11</v>
      </c>
      <c r="I302" s="278" t="s">
        <v>1777</v>
      </c>
      <c r="J302" s="278" t="s">
        <v>12</v>
      </c>
      <c r="K302" s="278" t="s">
        <v>12</v>
      </c>
      <c r="L302" s="278" t="s">
        <v>983</v>
      </c>
      <c r="M302" s="535"/>
      <c r="N302" s="536"/>
      <c r="O302" s="536"/>
      <c r="P302" s="537"/>
    </row>
    <row r="303" spans="1:16" ht="30">
      <c r="A303" s="278">
        <v>13</v>
      </c>
      <c r="B303" s="376"/>
      <c r="C303" s="376"/>
      <c r="D303" s="279" t="s">
        <v>987</v>
      </c>
      <c r="E303" s="280" t="s">
        <v>1778</v>
      </c>
      <c r="F303" s="280" t="s">
        <v>574</v>
      </c>
      <c r="G303" s="278" t="s">
        <v>12</v>
      </c>
      <c r="H303" s="278" t="s">
        <v>12</v>
      </c>
      <c r="I303" s="278" t="s">
        <v>12</v>
      </c>
      <c r="J303" s="278" t="s">
        <v>12</v>
      </c>
      <c r="K303" s="278" t="s">
        <v>12</v>
      </c>
      <c r="L303" s="278">
        <v>9</v>
      </c>
      <c r="M303" s="538"/>
      <c r="N303" s="539"/>
      <c r="O303" s="539"/>
      <c r="P303" s="540"/>
    </row>
    <row r="304" spans="1:16" ht="15">
      <c r="A304" s="345"/>
      <c r="B304" s="346"/>
      <c r="C304" s="346"/>
      <c r="D304" s="346"/>
      <c r="E304" s="346"/>
      <c r="F304" s="346"/>
      <c r="G304" s="346"/>
      <c r="H304" s="346"/>
      <c r="I304" s="346"/>
      <c r="J304" s="346"/>
      <c r="K304" s="346"/>
      <c r="L304" s="346"/>
      <c r="M304" s="346"/>
      <c r="N304" s="346"/>
      <c r="O304" s="346"/>
      <c r="P304" s="481"/>
    </row>
    <row r="305" spans="1:16" ht="15" customHeight="1">
      <c r="A305" s="541" t="s">
        <v>74</v>
      </c>
      <c r="B305" s="541"/>
      <c r="C305" s="541"/>
      <c r="D305" s="541"/>
      <c r="E305" s="541"/>
      <c r="F305" s="541"/>
      <c r="G305" s="541"/>
      <c r="H305" s="541"/>
      <c r="I305" s="541"/>
      <c r="J305" s="541"/>
      <c r="K305" s="541"/>
      <c r="L305" s="541"/>
      <c r="M305" s="541"/>
      <c r="N305" s="541"/>
      <c r="O305" s="541"/>
      <c r="P305" s="425" t="s">
        <v>67</v>
      </c>
    </row>
    <row r="306" spans="1:16" ht="12.75" customHeight="1">
      <c r="A306" s="541"/>
      <c r="B306" s="541"/>
      <c r="C306" s="541"/>
      <c r="D306" s="541"/>
      <c r="E306" s="541"/>
      <c r="F306" s="541"/>
      <c r="G306" s="541"/>
      <c r="H306" s="541"/>
      <c r="I306" s="541"/>
      <c r="J306" s="541"/>
      <c r="K306" s="541"/>
      <c r="L306" s="541"/>
      <c r="M306" s="541"/>
      <c r="N306" s="541"/>
      <c r="O306" s="541"/>
      <c r="P306" s="425"/>
    </row>
    <row r="307" spans="1:16" ht="15">
      <c r="A307" s="425" t="s">
        <v>75</v>
      </c>
      <c r="B307" s="425"/>
      <c r="C307" s="425"/>
      <c r="D307" s="425" t="s">
        <v>76</v>
      </c>
      <c r="E307" s="425"/>
      <c r="F307" s="425"/>
      <c r="G307" s="425" t="s">
        <v>77</v>
      </c>
      <c r="H307" s="425"/>
      <c r="I307" s="425"/>
      <c r="J307" s="425" t="s">
        <v>78</v>
      </c>
      <c r="K307" s="425"/>
      <c r="L307" s="425"/>
      <c r="M307" s="425" t="s">
        <v>79</v>
      </c>
      <c r="N307" s="425"/>
      <c r="O307" s="425"/>
      <c r="P307" s="301"/>
    </row>
    <row r="308" spans="1:16" ht="15">
      <c r="A308" s="284" t="s">
        <v>80</v>
      </c>
      <c r="B308" s="284" t="s">
        <v>81</v>
      </c>
      <c r="C308" s="284" t="s">
        <v>47</v>
      </c>
      <c r="D308" s="284" t="s">
        <v>80</v>
      </c>
      <c r="E308" s="284" t="s">
        <v>81</v>
      </c>
      <c r="F308" s="284" t="s">
        <v>47</v>
      </c>
      <c r="G308" s="284" t="s">
        <v>80</v>
      </c>
      <c r="H308" s="284" t="s">
        <v>81</v>
      </c>
      <c r="I308" s="284" t="s">
        <v>47</v>
      </c>
      <c r="J308" s="284" t="s">
        <v>80</v>
      </c>
      <c r="K308" s="284" t="s">
        <v>81</v>
      </c>
      <c r="L308" s="284" t="s">
        <v>47</v>
      </c>
      <c r="M308" s="284" t="s">
        <v>80</v>
      </c>
      <c r="N308" s="284" t="s">
        <v>81</v>
      </c>
      <c r="O308" s="284" t="s">
        <v>47</v>
      </c>
      <c r="P308" s="284"/>
    </row>
    <row r="309" spans="1:16" ht="15">
      <c r="A309" s="299">
        <v>8</v>
      </c>
      <c r="B309" s="299">
        <v>0</v>
      </c>
      <c r="C309" s="299">
        <v>0</v>
      </c>
      <c r="D309" s="299">
        <v>16</v>
      </c>
      <c r="E309" s="299">
        <v>0</v>
      </c>
      <c r="F309" s="299">
        <v>2</v>
      </c>
      <c r="G309" s="299">
        <v>14</v>
      </c>
      <c r="H309" s="299">
        <v>2</v>
      </c>
      <c r="I309" s="299">
        <v>1</v>
      </c>
      <c r="J309" s="299">
        <v>2</v>
      </c>
      <c r="K309" s="299">
        <v>1</v>
      </c>
      <c r="L309" s="299">
        <v>0</v>
      </c>
      <c r="M309" s="299">
        <v>0</v>
      </c>
      <c r="N309" s="299">
        <v>0</v>
      </c>
      <c r="O309" s="299">
        <v>0</v>
      </c>
      <c r="P309" s="113" t="s">
        <v>1780</v>
      </c>
    </row>
    <row r="310" spans="1:16" ht="15">
      <c r="A310" s="68">
        <v>16</v>
      </c>
      <c r="B310" s="68">
        <v>10</v>
      </c>
      <c r="C310" s="68">
        <v>10</v>
      </c>
      <c r="D310" s="68">
        <v>16</v>
      </c>
      <c r="E310" s="68">
        <v>16</v>
      </c>
      <c r="F310" s="68">
        <v>16</v>
      </c>
      <c r="G310" s="68">
        <v>12</v>
      </c>
      <c r="H310" s="68">
        <v>10</v>
      </c>
      <c r="I310" s="68">
        <v>10</v>
      </c>
      <c r="J310" s="68">
        <v>4</v>
      </c>
      <c r="K310" s="68">
        <v>4</v>
      </c>
      <c r="L310" s="68">
        <v>4</v>
      </c>
      <c r="M310" s="68" t="s">
        <v>12</v>
      </c>
      <c r="N310" s="68" t="s">
        <v>12</v>
      </c>
      <c r="O310" s="68" t="s">
        <v>12</v>
      </c>
      <c r="P310" s="113" t="s">
        <v>1781</v>
      </c>
    </row>
    <row r="311" spans="1:16" ht="15">
      <c r="A311" s="299">
        <v>8</v>
      </c>
      <c r="B311" s="299">
        <v>6</v>
      </c>
      <c r="C311" s="299">
        <v>1</v>
      </c>
      <c r="D311" s="299">
        <v>8</v>
      </c>
      <c r="E311" s="299">
        <v>6</v>
      </c>
      <c r="F311" s="299">
        <v>4</v>
      </c>
      <c r="G311" s="299">
        <v>8</v>
      </c>
      <c r="H311" s="299">
        <v>6</v>
      </c>
      <c r="I311" s="299">
        <v>3</v>
      </c>
      <c r="J311" s="299" t="s">
        <v>12</v>
      </c>
      <c r="K311" s="299" t="s">
        <v>12</v>
      </c>
      <c r="L311" s="299" t="s">
        <v>12</v>
      </c>
      <c r="M311" s="299" t="s">
        <v>12</v>
      </c>
      <c r="N311" s="299" t="s">
        <v>12</v>
      </c>
      <c r="O311" s="299" t="s">
        <v>12</v>
      </c>
      <c r="P311" s="113" t="s">
        <v>1782</v>
      </c>
    </row>
    <row r="312" spans="1:16" ht="15">
      <c r="A312" s="299" t="s">
        <v>12</v>
      </c>
      <c r="B312" s="299" t="s">
        <v>12</v>
      </c>
      <c r="C312" s="299" t="s">
        <v>12</v>
      </c>
      <c r="D312" s="299" t="s">
        <v>12</v>
      </c>
      <c r="E312" s="299" t="s">
        <v>12</v>
      </c>
      <c r="F312" s="299" t="s">
        <v>12</v>
      </c>
      <c r="G312" s="299" t="s">
        <v>12</v>
      </c>
      <c r="H312" s="299" t="s">
        <v>12</v>
      </c>
      <c r="I312" s="299" t="s">
        <v>12</v>
      </c>
      <c r="J312" s="299" t="s">
        <v>12</v>
      </c>
      <c r="K312" s="299" t="s">
        <v>12</v>
      </c>
      <c r="L312" s="299" t="s">
        <v>12</v>
      </c>
      <c r="M312" s="299" t="s">
        <v>12</v>
      </c>
      <c r="N312" s="299" t="s">
        <v>12</v>
      </c>
      <c r="O312" s="299" t="s">
        <v>12</v>
      </c>
      <c r="P312" s="114" t="s">
        <v>1783</v>
      </c>
    </row>
    <row r="313" spans="1:16" ht="15">
      <c r="A313" s="299" t="s">
        <v>12</v>
      </c>
      <c r="B313" s="299" t="s">
        <v>12</v>
      </c>
      <c r="C313" s="299" t="s">
        <v>12</v>
      </c>
      <c r="D313" s="299" t="s">
        <v>12</v>
      </c>
      <c r="E313" s="299" t="s">
        <v>12</v>
      </c>
      <c r="F313" s="299" t="s">
        <v>12</v>
      </c>
      <c r="G313" s="299" t="s">
        <v>12</v>
      </c>
      <c r="H313" s="299" t="s">
        <v>12</v>
      </c>
      <c r="I313" s="299" t="s">
        <v>12</v>
      </c>
      <c r="J313" s="299" t="s">
        <v>12</v>
      </c>
      <c r="K313" s="299" t="s">
        <v>12</v>
      </c>
      <c r="L313" s="299" t="s">
        <v>12</v>
      </c>
      <c r="M313" s="299" t="s">
        <v>12</v>
      </c>
      <c r="N313" s="299" t="s">
        <v>12</v>
      </c>
      <c r="O313" s="299" t="s">
        <v>12</v>
      </c>
      <c r="P313" s="114" t="s">
        <v>1771</v>
      </c>
    </row>
    <row r="314" spans="1:16" ht="15">
      <c r="A314" s="299" t="s">
        <v>12</v>
      </c>
      <c r="B314" s="299" t="s">
        <v>12</v>
      </c>
      <c r="C314" s="299" t="s">
        <v>12</v>
      </c>
      <c r="D314" s="299">
        <v>4</v>
      </c>
      <c r="E314" s="109" t="s">
        <v>1779</v>
      </c>
      <c r="F314" s="299" t="s">
        <v>12</v>
      </c>
      <c r="G314" s="299" t="s">
        <v>12</v>
      </c>
      <c r="H314" s="299" t="s">
        <v>12</v>
      </c>
      <c r="I314" s="299" t="s">
        <v>12</v>
      </c>
      <c r="J314" s="299" t="s">
        <v>12</v>
      </c>
      <c r="K314" s="299" t="s">
        <v>12</v>
      </c>
      <c r="L314" s="299" t="s">
        <v>12</v>
      </c>
      <c r="M314" s="299" t="s">
        <v>12</v>
      </c>
      <c r="N314" s="299" t="s">
        <v>12</v>
      </c>
      <c r="O314" s="299" t="s">
        <v>12</v>
      </c>
      <c r="P314" s="114" t="s">
        <v>1784</v>
      </c>
    </row>
    <row r="315" spans="1:16" ht="15">
      <c r="A315" s="95">
        <v>2</v>
      </c>
      <c r="B315" s="299" t="s">
        <v>12</v>
      </c>
      <c r="C315" s="299" t="s">
        <v>12</v>
      </c>
      <c r="D315" s="95">
        <v>2</v>
      </c>
      <c r="E315" s="299" t="s">
        <v>12</v>
      </c>
      <c r="F315" s="299" t="s">
        <v>12</v>
      </c>
      <c r="G315" s="95">
        <v>2</v>
      </c>
      <c r="H315" s="299" t="s">
        <v>12</v>
      </c>
      <c r="I315" s="299" t="s">
        <v>12</v>
      </c>
      <c r="J315" s="299" t="s">
        <v>12</v>
      </c>
      <c r="K315" s="299" t="s">
        <v>12</v>
      </c>
      <c r="L315" s="299" t="s">
        <v>12</v>
      </c>
      <c r="M315" s="299" t="s">
        <v>12</v>
      </c>
      <c r="N315" s="299" t="s">
        <v>12</v>
      </c>
      <c r="O315" s="299" t="s">
        <v>12</v>
      </c>
      <c r="P315" s="115" t="s">
        <v>1785</v>
      </c>
    </row>
    <row r="316" spans="1:16" ht="15">
      <c r="A316" s="299" t="s">
        <v>12</v>
      </c>
      <c r="B316" s="299" t="s">
        <v>12</v>
      </c>
      <c r="C316" s="299" t="s">
        <v>12</v>
      </c>
      <c r="D316" s="299" t="s">
        <v>12</v>
      </c>
      <c r="E316" s="299" t="s">
        <v>12</v>
      </c>
      <c r="F316" s="299" t="s">
        <v>12</v>
      </c>
      <c r="G316" s="299" t="s">
        <v>12</v>
      </c>
      <c r="H316" s="299" t="s">
        <v>12</v>
      </c>
      <c r="I316" s="299" t="s">
        <v>12</v>
      </c>
      <c r="J316" s="299">
        <v>11</v>
      </c>
      <c r="K316" s="299">
        <v>11</v>
      </c>
      <c r="L316" s="299">
        <v>5</v>
      </c>
      <c r="M316" s="299" t="s">
        <v>12</v>
      </c>
      <c r="N316" s="299" t="s">
        <v>12</v>
      </c>
      <c r="O316" s="299" t="s">
        <v>12</v>
      </c>
      <c r="P316" s="113" t="s">
        <v>1786</v>
      </c>
    </row>
    <row r="317" spans="1:16" ht="15">
      <c r="A317" s="300">
        <v>2</v>
      </c>
      <c r="B317" s="300">
        <v>2</v>
      </c>
      <c r="C317" s="300" t="s">
        <v>12</v>
      </c>
      <c r="D317" s="300">
        <v>2</v>
      </c>
      <c r="E317" s="300">
        <v>2</v>
      </c>
      <c r="F317" s="300" t="s">
        <v>12</v>
      </c>
      <c r="G317" s="300" t="s">
        <v>12</v>
      </c>
      <c r="H317" s="300" t="s">
        <v>12</v>
      </c>
      <c r="I317" s="300" t="s">
        <v>12</v>
      </c>
      <c r="J317" s="300" t="s">
        <v>12</v>
      </c>
      <c r="K317" s="300" t="s">
        <v>12</v>
      </c>
      <c r="L317" s="299" t="s">
        <v>12</v>
      </c>
      <c r="M317" s="299" t="s">
        <v>12</v>
      </c>
      <c r="N317" s="299" t="s">
        <v>12</v>
      </c>
      <c r="O317" s="299" t="s">
        <v>12</v>
      </c>
      <c r="P317" s="113" t="s">
        <v>1787</v>
      </c>
    </row>
    <row r="318" spans="1:16" ht="15">
      <c r="A318" s="300">
        <v>12</v>
      </c>
      <c r="B318" s="300">
        <v>12</v>
      </c>
      <c r="C318" s="300">
        <v>2</v>
      </c>
      <c r="D318" s="300">
        <v>7</v>
      </c>
      <c r="E318" s="300">
        <v>7</v>
      </c>
      <c r="F318" s="300">
        <v>7</v>
      </c>
      <c r="G318" s="300">
        <v>12</v>
      </c>
      <c r="H318" s="300">
        <v>12</v>
      </c>
      <c r="I318" s="300">
        <v>5</v>
      </c>
      <c r="J318" s="300">
        <v>6</v>
      </c>
      <c r="K318" s="300">
        <v>6</v>
      </c>
      <c r="L318" s="299">
        <v>5</v>
      </c>
      <c r="M318" s="299" t="s">
        <v>12</v>
      </c>
      <c r="N318" s="299" t="s">
        <v>12</v>
      </c>
      <c r="O318" s="299" t="s">
        <v>12</v>
      </c>
      <c r="P318" s="113" t="s">
        <v>1788</v>
      </c>
    </row>
    <row r="319" spans="1:16" ht="15">
      <c r="A319" s="300">
        <v>5</v>
      </c>
      <c r="B319" s="300">
        <v>5</v>
      </c>
      <c r="C319" s="300">
        <v>4</v>
      </c>
      <c r="D319" s="300">
        <v>7</v>
      </c>
      <c r="E319" s="300">
        <v>7</v>
      </c>
      <c r="F319" s="300">
        <v>4</v>
      </c>
      <c r="G319" s="300">
        <v>4</v>
      </c>
      <c r="H319" s="300">
        <v>4</v>
      </c>
      <c r="I319" s="300">
        <v>3</v>
      </c>
      <c r="J319" s="300" t="s">
        <v>12</v>
      </c>
      <c r="K319" s="300" t="s">
        <v>12</v>
      </c>
      <c r="L319" s="299" t="s">
        <v>12</v>
      </c>
      <c r="M319" s="299" t="s">
        <v>12</v>
      </c>
      <c r="N319" s="299" t="s">
        <v>12</v>
      </c>
      <c r="O319" s="299" t="s">
        <v>12</v>
      </c>
      <c r="P319" s="113" t="s">
        <v>1789</v>
      </c>
    </row>
    <row r="320" spans="1:16" ht="15.75">
      <c r="A320" s="233"/>
      <c r="B320" s="233"/>
      <c r="C320" s="233"/>
      <c r="D320" s="233"/>
      <c r="E320" s="233"/>
      <c r="F320" s="233"/>
      <c r="G320" s="233"/>
      <c r="H320" s="233"/>
      <c r="I320" s="233"/>
      <c r="J320" s="233"/>
      <c r="K320" s="233"/>
      <c r="L320" s="233"/>
      <c r="M320" s="233"/>
      <c r="N320" s="233"/>
      <c r="O320" s="233"/>
      <c r="P320" s="292"/>
    </row>
    <row r="321" spans="1:16" ht="15">
      <c r="A321" s="425" t="s">
        <v>82</v>
      </c>
      <c r="B321" s="425"/>
      <c r="C321" s="425"/>
      <c r="D321" s="425" t="s">
        <v>83</v>
      </c>
      <c r="E321" s="425"/>
      <c r="F321" s="425"/>
      <c r="G321" s="425" t="s">
        <v>84</v>
      </c>
      <c r="H321" s="425"/>
      <c r="I321" s="425"/>
      <c r="J321" s="344"/>
      <c r="K321" s="344"/>
      <c r="L321" s="344"/>
      <c r="M321" s="344"/>
      <c r="N321" s="344"/>
      <c r="O321" s="344"/>
      <c r="P321" s="344"/>
    </row>
    <row r="322" spans="1:16" ht="15">
      <c r="A322" s="284" t="s">
        <v>80</v>
      </c>
      <c r="B322" s="284" t="s">
        <v>81</v>
      </c>
      <c r="C322" s="284" t="s">
        <v>47</v>
      </c>
      <c r="D322" s="284" t="s">
        <v>80</v>
      </c>
      <c r="E322" s="284" t="s">
        <v>81</v>
      </c>
      <c r="F322" s="284" t="s">
        <v>47</v>
      </c>
      <c r="G322" s="284" t="s">
        <v>80</v>
      </c>
      <c r="H322" s="284" t="s">
        <v>81</v>
      </c>
      <c r="I322" s="284" t="s">
        <v>47</v>
      </c>
      <c r="J322" s="301"/>
      <c r="K322" s="301"/>
      <c r="L322" s="301"/>
      <c r="M322" s="301"/>
      <c r="N322" s="301"/>
      <c r="O322" s="301"/>
      <c r="P322" s="301"/>
    </row>
    <row r="323" spans="1:16" ht="15">
      <c r="A323" s="278"/>
      <c r="B323" s="278"/>
      <c r="C323" s="278"/>
      <c r="D323" s="278"/>
      <c r="E323" s="278"/>
      <c r="F323" s="278"/>
      <c r="G323" s="278"/>
      <c r="H323" s="278"/>
      <c r="I323" s="278"/>
      <c r="J323" s="301"/>
      <c r="K323" s="301"/>
      <c r="L323" s="301"/>
      <c r="M323" s="301"/>
      <c r="N323" s="301"/>
      <c r="O323" s="301"/>
      <c r="P323" s="301"/>
    </row>
    <row r="324" spans="1:16" ht="15">
      <c r="A324" s="524"/>
      <c r="B324" s="524"/>
      <c r="C324" s="524"/>
      <c r="D324" s="524"/>
      <c r="E324" s="524"/>
      <c r="F324" s="524"/>
      <c r="G324" s="524"/>
      <c r="H324" s="524"/>
      <c r="I324" s="524"/>
      <c r="J324" s="524"/>
      <c r="K324" s="524"/>
      <c r="L324" s="524"/>
      <c r="M324" s="524"/>
      <c r="N324" s="524"/>
      <c r="O324" s="524"/>
      <c r="P324" s="524"/>
    </row>
    <row r="325" spans="1:16" ht="22.5" customHeight="1">
      <c r="A325" s="504" t="s">
        <v>187</v>
      </c>
      <c r="B325" s="504"/>
      <c r="C325" s="504"/>
      <c r="D325" s="504"/>
      <c r="E325" s="504"/>
      <c r="F325" s="504"/>
      <c r="G325" s="504"/>
      <c r="H325" s="504"/>
      <c r="I325" s="504"/>
      <c r="J325" s="504"/>
      <c r="K325" s="504"/>
      <c r="L325" s="504"/>
      <c r="M325" s="504"/>
      <c r="N325" s="504"/>
      <c r="O325" s="504"/>
      <c r="P325" s="504"/>
    </row>
    <row r="326" spans="1:16" ht="20.25">
      <c r="A326" s="526" t="s">
        <v>174</v>
      </c>
      <c r="B326" s="526"/>
      <c r="C326" s="526"/>
      <c r="D326" s="526"/>
      <c r="E326" s="526"/>
      <c r="F326" s="526"/>
      <c r="G326" s="526"/>
      <c r="H326" s="526"/>
      <c r="I326" s="526"/>
      <c r="J326" s="526"/>
      <c r="K326" s="526"/>
      <c r="L326" s="526"/>
      <c r="M326" s="532"/>
      <c r="N326" s="533"/>
      <c r="O326" s="533"/>
      <c r="P326" s="534"/>
    </row>
    <row r="327" spans="1:16" ht="99.75">
      <c r="A327" s="20" t="s">
        <v>0</v>
      </c>
      <c r="B327" s="20" t="s">
        <v>60</v>
      </c>
      <c r="C327" s="20" t="s">
        <v>69</v>
      </c>
      <c r="D327" s="20" t="s">
        <v>70</v>
      </c>
      <c r="E327" s="20" t="s">
        <v>173</v>
      </c>
      <c r="F327" s="20" t="s">
        <v>63</v>
      </c>
      <c r="G327" s="286" t="s">
        <v>71</v>
      </c>
      <c r="H327" s="20" t="s">
        <v>175</v>
      </c>
      <c r="I327" s="20" t="s">
        <v>64</v>
      </c>
      <c r="J327" s="286" t="s">
        <v>72</v>
      </c>
      <c r="K327" s="22" t="s">
        <v>73</v>
      </c>
      <c r="L327" s="22" t="s">
        <v>66</v>
      </c>
      <c r="M327" s="535"/>
      <c r="N327" s="536"/>
      <c r="O327" s="536"/>
      <c r="P327" s="537"/>
    </row>
    <row r="328" spans="1:16">
      <c r="A328" s="295">
        <v>1</v>
      </c>
      <c r="B328" s="295">
        <v>2</v>
      </c>
      <c r="C328" s="295">
        <v>3</v>
      </c>
      <c r="D328" s="295">
        <v>4</v>
      </c>
      <c r="E328" s="295">
        <v>5</v>
      </c>
      <c r="F328" s="295">
        <v>6</v>
      </c>
      <c r="G328" s="295">
        <v>7</v>
      </c>
      <c r="H328" s="295">
        <v>8</v>
      </c>
      <c r="I328" s="286">
        <v>9</v>
      </c>
      <c r="J328" s="295">
        <v>10</v>
      </c>
      <c r="K328" s="295">
        <v>11</v>
      </c>
      <c r="L328" s="295">
        <v>12</v>
      </c>
      <c r="M328" s="535"/>
      <c r="N328" s="536"/>
      <c r="O328" s="536"/>
      <c r="P328" s="537"/>
    </row>
    <row r="329" spans="1:16" ht="15">
      <c r="A329" s="270">
        <v>1</v>
      </c>
      <c r="B329" s="348" t="s">
        <v>2183</v>
      </c>
      <c r="C329" s="348" t="s">
        <v>2184</v>
      </c>
      <c r="D329" s="266" t="s">
        <v>2339</v>
      </c>
      <c r="E329" s="266" t="s">
        <v>2340</v>
      </c>
      <c r="F329" s="266">
        <v>1986</v>
      </c>
      <c r="G329" s="266" t="s">
        <v>12</v>
      </c>
      <c r="H329" s="266">
        <v>0.45</v>
      </c>
      <c r="I329" s="266">
        <v>8.07</v>
      </c>
      <c r="J329" s="278" t="s">
        <v>12</v>
      </c>
      <c r="K329" s="270">
        <v>1</v>
      </c>
      <c r="L329" s="270"/>
      <c r="M329" s="535"/>
      <c r="N329" s="536"/>
      <c r="O329" s="536"/>
      <c r="P329" s="537"/>
    </row>
    <row r="330" spans="1:16" ht="30">
      <c r="A330" s="270">
        <v>2</v>
      </c>
      <c r="B330" s="348"/>
      <c r="C330" s="348"/>
      <c r="D330" s="266" t="s">
        <v>2342</v>
      </c>
      <c r="E330" s="266" t="s">
        <v>2343</v>
      </c>
      <c r="F330" s="266">
        <v>1988</v>
      </c>
      <c r="G330" s="266" t="s">
        <v>12</v>
      </c>
      <c r="H330" s="266">
        <v>0.02</v>
      </c>
      <c r="I330" s="266">
        <v>7.11</v>
      </c>
      <c r="J330" s="278" t="s">
        <v>12</v>
      </c>
      <c r="K330" s="270">
        <v>2</v>
      </c>
      <c r="L330" s="270"/>
      <c r="M330" s="535"/>
      <c r="N330" s="536"/>
      <c r="O330" s="536"/>
      <c r="P330" s="537"/>
    </row>
    <row r="331" spans="1:16" ht="30">
      <c r="A331" s="266">
        <v>3</v>
      </c>
      <c r="B331" s="348"/>
      <c r="C331" s="348"/>
      <c r="D331" s="266" t="s">
        <v>2344</v>
      </c>
      <c r="E331" s="266" t="s">
        <v>2345</v>
      </c>
      <c r="F331" s="266">
        <v>1995</v>
      </c>
      <c r="G331" s="266" t="s">
        <v>12</v>
      </c>
      <c r="H331" s="266">
        <v>7.0000000000000007E-2</v>
      </c>
      <c r="I331" s="266">
        <v>0.2</v>
      </c>
      <c r="J331" s="278" t="s">
        <v>12</v>
      </c>
      <c r="K331" s="266">
        <v>3</v>
      </c>
      <c r="L331" s="266"/>
      <c r="M331" s="535"/>
      <c r="N331" s="536"/>
      <c r="O331" s="536"/>
      <c r="P331" s="537"/>
    </row>
    <row r="332" spans="1:16" ht="30">
      <c r="A332" s="278">
        <v>4</v>
      </c>
      <c r="B332" s="348"/>
      <c r="C332" s="348"/>
      <c r="D332" s="266" t="s">
        <v>2347</v>
      </c>
      <c r="E332" s="266" t="s">
        <v>2348</v>
      </c>
      <c r="F332" s="266" t="s">
        <v>2349</v>
      </c>
      <c r="G332" s="266" t="s">
        <v>12</v>
      </c>
      <c r="H332" s="266">
        <v>0.12</v>
      </c>
      <c r="I332" s="266">
        <v>0.06</v>
      </c>
      <c r="J332" s="278" t="s">
        <v>12</v>
      </c>
      <c r="K332" s="278">
        <v>4</v>
      </c>
      <c r="L332" s="278">
        <v>1</v>
      </c>
      <c r="M332" s="535"/>
      <c r="N332" s="536"/>
      <c r="O332" s="536"/>
      <c r="P332" s="537"/>
    </row>
    <row r="333" spans="1:16" ht="15">
      <c r="A333" s="278">
        <v>5</v>
      </c>
      <c r="B333" s="348"/>
      <c r="C333" s="348"/>
      <c r="D333" s="266" t="s">
        <v>2350</v>
      </c>
      <c r="E333" s="266" t="s">
        <v>15</v>
      </c>
      <c r="F333" s="266" t="s">
        <v>15</v>
      </c>
      <c r="G333" s="266" t="s">
        <v>12</v>
      </c>
      <c r="H333" s="266" t="s">
        <v>15</v>
      </c>
      <c r="I333" s="266"/>
      <c r="J333" s="278" t="s">
        <v>12</v>
      </c>
      <c r="K333" s="278">
        <v>5</v>
      </c>
      <c r="L333" s="278">
        <v>3</v>
      </c>
      <c r="M333" s="535"/>
      <c r="N333" s="536"/>
      <c r="O333" s="536"/>
      <c r="P333" s="537"/>
    </row>
    <row r="334" spans="1:16" ht="45">
      <c r="A334" s="278">
        <v>6</v>
      </c>
      <c r="B334" s="348"/>
      <c r="C334" s="348"/>
      <c r="D334" s="266" t="s">
        <v>2392</v>
      </c>
      <c r="E334" s="266" t="s">
        <v>2352</v>
      </c>
      <c r="F334" s="266">
        <v>1993</v>
      </c>
      <c r="G334" s="266" t="s">
        <v>12</v>
      </c>
      <c r="H334" s="266">
        <v>0.54</v>
      </c>
      <c r="I334" s="266">
        <v>0.3</v>
      </c>
      <c r="J334" s="278" t="s">
        <v>12</v>
      </c>
      <c r="K334" s="278">
        <v>6</v>
      </c>
      <c r="L334" s="278">
        <v>4</v>
      </c>
      <c r="M334" s="535"/>
      <c r="N334" s="536"/>
      <c r="O334" s="536"/>
      <c r="P334" s="537"/>
    </row>
    <row r="335" spans="1:16" ht="45">
      <c r="A335" s="278">
        <v>7</v>
      </c>
      <c r="B335" s="348"/>
      <c r="C335" s="348"/>
      <c r="D335" s="266" t="s">
        <v>2307</v>
      </c>
      <c r="E335" s="266" t="s">
        <v>2353</v>
      </c>
      <c r="F335" s="266">
        <v>1998</v>
      </c>
      <c r="G335" s="266" t="s">
        <v>12</v>
      </c>
      <c r="H335" s="266">
        <v>0.35</v>
      </c>
      <c r="I335" s="266">
        <v>0.21</v>
      </c>
      <c r="J335" s="278" t="s">
        <v>12</v>
      </c>
      <c r="K335" s="278">
        <v>7</v>
      </c>
      <c r="L335" s="278">
        <v>5</v>
      </c>
      <c r="M335" s="535"/>
      <c r="N335" s="536"/>
      <c r="O335" s="536"/>
      <c r="P335" s="537"/>
    </row>
    <row r="336" spans="1:16" ht="30">
      <c r="A336" s="278">
        <v>8</v>
      </c>
      <c r="B336" s="348"/>
      <c r="C336" s="348"/>
      <c r="D336" s="266" t="s">
        <v>2232</v>
      </c>
      <c r="E336" s="266" t="s">
        <v>2354</v>
      </c>
      <c r="F336" s="266">
        <v>1989</v>
      </c>
      <c r="G336" s="266" t="s">
        <v>12</v>
      </c>
      <c r="H336" s="266">
        <v>0.59</v>
      </c>
      <c r="I336" s="266">
        <v>0.66</v>
      </c>
      <c r="J336" s="278" t="s">
        <v>12</v>
      </c>
      <c r="K336" s="278">
        <v>8</v>
      </c>
      <c r="L336" s="278">
        <v>6</v>
      </c>
      <c r="M336" s="535"/>
      <c r="N336" s="536"/>
      <c r="O336" s="536"/>
      <c r="P336" s="537"/>
    </row>
    <row r="337" spans="1:16" ht="60">
      <c r="A337" s="278">
        <v>9</v>
      </c>
      <c r="B337" s="348"/>
      <c r="C337" s="278" t="s">
        <v>2355</v>
      </c>
      <c r="D337" s="278" t="s">
        <v>2356</v>
      </c>
      <c r="E337" s="278">
        <v>2423.31</v>
      </c>
      <c r="F337" s="278" t="s">
        <v>2377</v>
      </c>
      <c r="G337" s="266" t="s">
        <v>12</v>
      </c>
      <c r="H337" s="278">
        <v>1.7</v>
      </c>
      <c r="I337" s="284">
        <v>3.3</v>
      </c>
      <c r="J337" s="278" t="s">
        <v>41</v>
      </c>
      <c r="K337" s="278">
        <v>1</v>
      </c>
      <c r="L337" s="278" t="s">
        <v>38</v>
      </c>
      <c r="M337" s="538"/>
      <c r="N337" s="539"/>
      <c r="O337" s="539"/>
      <c r="P337" s="540"/>
    </row>
    <row r="338" spans="1:16" ht="15" customHeight="1">
      <c r="A338" s="498"/>
      <c r="B338" s="499"/>
      <c r="C338" s="499"/>
      <c r="D338" s="499"/>
      <c r="E338" s="499"/>
      <c r="F338" s="499"/>
      <c r="G338" s="499"/>
      <c r="H338" s="499"/>
      <c r="I338" s="499"/>
      <c r="J338" s="499"/>
      <c r="K338" s="499"/>
      <c r="L338" s="499"/>
      <c r="M338" s="499"/>
      <c r="N338" s="499"/>
      <c r="O338" s="499"/>
      <c r="P338" s="500"/>
    </row>
    <row r="339" spans="1:16" ht="28.5">
      <c r="A339" s="520" t="s">
        <v>74</v>
      </c>
      <c r="B339" s="520"/>
      <c r="C339" s="520"/>
      <c r="D339" s="520"/>
      <c r="E339" s="520"/>
      <c r="F339" s="520"/>
      <c r="G339" s="520"/>
      <c r="H339" s="520"/>
      <c r="I339" s="520"/>
      <c r="J339" s="520"/>
      <c r="K339" s="520"/>
      <c r="L339" s="520"/>
      <c r="M339" s="520"/>
      <c r="N339" s="520"/>
      <c r="O339" s="520"/>
      <c r="P339" s="62" t="s">
        <v>67</v>
      </c>
    </row>
    <row r="340" spans="1:16">
      <c r="A340" s="520">
        <v>13</v>
      </c>
      <c r="B340" s="520"/>
      <c r="C340" s="520"/>
      <c r="D340" s="520"/>
      <c r="E340" s="520"/>
      <c r="F340" s="520"/>
      <c r="G340" s="520"/>
      <c r="H340" s="520"/>
      <c r="I340" s="520"/>
      <c r="J340" s="520"/>
      <c r="K340" s="520"/>
      <c r="L340" s="520"/>
      <c r="M340" s="520"/>
      <c r="N340" s="520"/>
      <c r="O340" s="520"/>
      <c r="P340" s="20">
        <v>14</v>
      </c>
    </row>
    <row r="341" spans="1:16" ht="15">
      <c r="A341" s="520" t="s">
        <v>75</v>
      </c>
      <c r="B341" s="520"/>
      <c r="C341" s="520"/>
      <c r="D341" s="520" t="s">
        <v>76</v>
      </c>
      <c r="E341" s="520"/>
      <c r="F341" s="520"/>
      <c r="G341" s="520" t="s">
        <v>77</v>
      </c>
      <c r="H341" s="520"/>
      <c r="I341" s="520"/>
      <c r="J341" s="520" t="s">
        <v>78</v>
      </c>
      <c r="K341" s="520"/>
      <c r="L341" s="520"/>
      <c r="M341" s="520" t="s">
        <v>79</v>
      </c>
      <c r="N341" s="520"/>
      <c r="O341" s="520"/>
      <c r="P341" s="74"/>
    </row>
    <row r="342" spans="1:16" ht="15">
      <c r="A342" s="296" t="s">
        <v>80</v>
      </c>
      <c r="B342" s="296" t="s">
        <v>81</v>
      </c>
      <c r="C342" s="284" t="s">
        <v>47</v>
      </c>
      <c r="D342" s="296" t="s">
        <v>80</v>
      </c>
      <c r="E342" s="296" t="s">
        <v>81</v>
      </c>
      <c r="F342" s="284" t="s">
        <v>47</v>
      </c>
      <c r="G342" s="296" t="s">
        <v>80</v>
      </c>
      <c r="H342" s="296" t="s">
        <v>81</v>
      </c>
      <c r="I342" s="284" t="s">
        <v>47</v>
      </c>
      <c r="J342" s="296" t="s">
        <v>80</v>
      </c>
      <c r="K342" s="296" t="s">
        <v>81</v>
      </c>
      <c r="L342" s="284" t="s">
        <v>47</v>
      </c>
      <c r="M342" s="296" t="s">
        <v>80</v>
      </c>
      <c r="N342" s="296" t="s">
        <v>81</v>
      </c>
      <c r="O342" s="284" t="s">
        <v>47</v>
      </c>
      <c r="P342" s="17"/>
    </row>
    <row r="343" spans="1:16" ht="15.75">
      <c r="A343" s="272">
        <v>24</v>
      </c>
      <c r="B343" s="272">
        <v>0</v>
      </c>
      <c r="C343" s="272">
        <v>0</v>
      </c>
      <c r="D343" s="272">
        <v>24</v>
      </c>
      <c r="E343" s="272">
        <v>0</v>
      </c>
      <c r="F343" s="272">
        <v>0</v>
      </c>
      <c r="G343" s="272">
        <v>4</v>
      </c>
      <c r="H343" s="272">
        <v>0</v>
      </c>
      <c r="I343" s="272">
        <v>0</v>
      </c>
      <c r="J343" s="272" t="s">
        <v>12</v>
      </c>
      <c r="K343" s="272" t="s">
        <v>12</v>
      </c>
      <c r="L343" s="272" t="s">
        <v>12</v>
      </c>
      <c r="M343" s="28"/>
      <c r="N343" s="28"/>
      <c r="O343" s="28"/>
      <c r="P343" s="273" t="s">
        <v>2339</v>
      </c>
    </row>
    <row r="344" spans="1:16" ht="31.5">
      <c r="A344" s="272" t="s">
        <v>12</v>
      </c>
      <c r="B344" s="272" t="s">
        <v>12</v>
      </c>
      <c r="C344" s="272" t="s">
        <v>12</v>
      </c>
      <c r="D344" s="272" t="s">
        <v>12</v>
      </c>
      <c r="E344" s="272" t="s">
        <v>12</v>
      </c>
      <c r="F344" s="272" t="s">
        <v>12</v>
      </c>
      <c r="G344" s="272" t="s">
        <v>12</v>
      </c>
      <c r="H344" s="272" t="s">
        <v>12</v>
      </c>
      <c r="I344" s="272" t="s">
        <v>12</v>
      </c>
      <c r="J344" s="272">
        <v>2</v>
      </c>
      <c r="K344" s="272">
        <v>0</v>
      </c>
      <c r="L344" s="272">
        <v>0</v>
      </c>
      <c r="M344" s="74"/>
      <c r="N344" s="74"/>
      <c r="O344" s="74"/>
      <c r="P344" s="273" t="s">
        <v>2342</v>
      </c>
    </row>
    <row r="345" spans="1:16" ht="31.5">
      <c r="A345" s="272">
        <v>2</v>
      </c>
      <c r="B345" s="272">
        <v>2</v>
      </c>
      <c r="C345" s="272">
        <v>0</v>
      </c>
      <c r="D345" s="272">
        <v>2</v>
      </c>
      <c r="E345" s="272">
        <v>2</v>
      </c>
      <c r="F345" s="272">
        <v>0</v>
      </c>
      <c r="G345" s="272">
        <v>1</v>
      </c>
      <c r="H345" s="272">
        <v>1</v>
      </c>
      <c r="I345" s="272">
        <v>0</v>
      </c>
      <c r="J345" s="272" t="s">
        <v>12</v>
      </c>
      <c r="K345" s="272" t="s">
        <v>12</v>
      </c>
      <c r="L345" s="272" t="s">
        <v>12</v>
      </c>
      <c r="M345" s="74"/>
      <c r="N345" s="74"/>
      <c r="O345" s="74"/>
      <c r="P345" s="273" t="s">
        <v>2393</v>
      </c>
    </row>
    <row r="346" spans="1:16" ht="31.5">
      <c r="A346" s="272">
        <v>2</v>
      </c>
      <c r="B346" s="272">
        <v>0</v>
      </c>
      <c r="C346" s="272">
        <v>0</v>
      </c>
      <c r="D346" s="272">
        <v>2</v>
      </c>
      <c r="E346" s="272">
        <v>0</v>
      </c>
      <c r="F346" s="272">
        <v>0</v>
      </c>
      <c r="G346" s="272">
        <v>2</v>
      </c>
      <c r="H346" s="272">
        <v>0</v>
      </c>
      <c r="I346" s="272">
        <v>0</v>
      </c>
      <c r="J346" s="272" t="s">
        <v>12</v>
      </c>
      <c r="K346" s="272" t="s">
        <v>12</v>
      </c>
      <c r="L346" s="272" t="s">
        <v>12</v>
      </c>
      <c r="M346" s="74"/>
      <c r="N346" s="74"/>
      <c r="O346" s="74"/>
      <c r="P346" s="273" t="s">
        <v>2347</v>
      </c>
    </row>
    <row r="347" spans="1:16" ht="15.75">
      <c r="A347" s="272">
        <v>1</v>
      </c>
      <c r="B347" s="272">
        <v>1</v>
      </c>
      <c r="C347" s="272">
        <v>0</v>
      </c>
      <c r="D347" s="272">
        <v>1</v>
      </c>
      <c r="E347" s="272">
        <v>1</v>
      </c>
      <c r="F347" s="272">
        <v>0</v>
      </c>
      <c r="G347" s="272">
        <v>1</v>
      </c>
      <c r="H347" s="272">
        <v>1</v>
      </c>
      <c r="I347" s="272">
        <v>0</v>
      </c>
      <c r="J347" s="272" t="s">
        <v>12</v>
      </c>
      <c r="K347" s="272" t="s">
        <v>12</v>
      </c>
      <c r="L347" s="272" t="s">
        <v>12</v>
      </c>
      <c r="M347" s="74"/>
      <c r="N347" s="74"/>
      <c r="O347" s="74"/>
      <c r="P347" s="273" t="s">
        <v>2350</v>
      </c>
    </row>
    <row r="348" spans="1:16" ht="47.25">
      <c r="A348" s="272">
        <v>3</v>
      </c>
      <c r="B348" s="272">
        <v>3</v>
      </c>
      <c r="C348" s="272">
        <v>3</v>
      </c>
      <c r="D348" s="272">
        <v>8</v>
      </c>
      <c r="E348" s="272">
        <v>8</v>
      </c>
      <c r="F348" s="272">
        <v>7</v>
      </c>
      <c r="G348" s="272">
        <v>8</v>
      </c>
      <c r="H348" s="272">
        <v>8</v>
      </c>
      <c r="I348" s="272">
        <v>6</v>
      </c>
      <c r="J348" s="272">
        <v>1</v>
      </c>
      <c r="K348" s="272">
        <v>1</v>
      </c>
      <c r="L348" s="272">
        <v>1</v>
      </c>
      <c r="M348" s="17"/>
      <c r="N348" s="17"/>
      <c r="O348" s="17"/>
      <c r="P348" s="273" t="s">
        <v>2351</v>
      </c>
    </row>
    <row r="349" spans="1:16" ht="47.25">
      <c r="A349" s="272">
        <v>3</v>
      </c>
      <c r="B349" s="272">
        <v>3</v>
      </c>
      <c r="C349" s="272">
        <v>3</v>
      </c>
      <c r="D349" s="272">
        <v>2</v>
      </c>
      <c r="E349" s="272">
        <v>2</v>
      </c>
      <c r="F349" s="272">
        <v>1</v>
      </c>
      <c r="G349" s="272">
        <v>4</v>
      </c>
      <c r="H349" s="272">
        <v>4</v>
      </c>
      <c r="I349" s="272">
        <v>2</v>
      </c>
      <c r="J349" s="272" t="s">
        <v>12</v>
      </c>
      <c r="K349" s="272" t="s">
        <v>12</v>
      </c>
      <c r="L349" s="272" t="s">
        <v>12</v>
      </c>
      <c r="M349" s="17"/>
      <c r="N349" s="17"/>
      <c r="O349" s="17"/>
      <c r="P349" s="273" t="s">
        <v>2307</v>
      </c>
    </row>
    <row r="350" spans="1:16" ht="31.5">
      <c r="A350" s="272">
        <v>8</v>
      </c>
      <c r="B350" s="272">
        <v>8</v>
      </c>
      <c r="C350" s="272">
        <v>4</v>
      </c>
      <c r="D350" s="272">
        <v>8</v>
      </c>
      <c r="E350" s="272">
        <v>8</v>
      </c>
      <c r="F350" s="272">
        <v>2</v>
      </c>
      <c r="G350" s="272">
        <v>16</v>
      </c>
      <c r="H350" s="272">
        <v>16</v>
      </c>
      <c r="I350" s="272">
        <v>8</v>
      </c>
      <c r="J350" s="272" t="s">
        <v>12</v>
      </c>
      <c r="K350" s="272" t="s">
        <v>12</v>
      </c>
      <c r="L350" s="272" t="s">
        <v>12</v>
      </c>
      <c r="M350" s="17"/>
      <c r="N350" s="17"/>
      <c r="O350" s="17"/>
      <c r="P350" s="273" t="s">
        <v>2232</v>
      </c>
    </row>
    <row r="351" spans="1:16" ht="15">
      <c r="A351" s="28"/>
      <c r="B351" s="28"/>
      <c r="C351" s="28"/>
      <c r="D351" s="28"/>
      <c r="E351" s="28"/>
      <c r="F351" s="28"/>
      <c r="G351" s="28"/>
      <c r="H351" s="28"/>
      <c r="I351" s="28"/>
      <c r="J351" s="28"/>
      <c r="K351" s="28"/>
      <c r="L351" s="28"/>
      <c r="M351" s="17"/>
      <c r="N351" s="17"/>
      <c r="O351" s="17"/>
      <c r="P351" s="17"/>
    </row>
    <row r="352" spans="1:16" ht="15">
      <c r="A352" s="520" t="s">
        <v>82</v>
      </c>
      <c r="B352" s="520"/>
      <c r="C352" s="520"/>
      <c r="D352" s="520" t="s">
        <v>83</v>
      </c>
      <c r="E352" s="520"/>
      <c r="F352" s="520"/>
      <c r="G352" s="520" t="s">
        <v>84</v>
      </c>
      <c r="H352" s="520"/>
      <c r="I352" s="520"/>
      <c r="J352" s="74"/>
      <c r="K352" s="74"/>
      <c r="L352" s="74"/>
      <c r="M352" s="17"/>
      <c r="N352" s="17"/>
      <c r="O352" s="17"/>
      <c r="P352" s="17"/>
    </row>
    <row r="353" spans="1:16" ht="15">
      <c r="A353" s="296" t="s">
        <v>80</v>
      </c>
      <c r="B353" s="296" t="s">
        <v>81</v>
      </c>
      <c r="C353" s="284" t="s">
        <v>47</v>
      </c>
      <c r="D353" s="296" t="s">
        <v>80</v>
      </c>
      <c r="E353" s="296" t="s">
        <v>81</v>
      </c>
      <c r="F353" s="284" t="s">
        <v>47</v>
      </c>
      <c r="G353" s="296" t="s">
        <v>80</v>
      </c>
      <c r="H353" s="296" t="s">
        <v>81</v>
      </c>
      <c r="I353" s="284" t="s">
        <v>47</v>
      </c>
      <c r="J353" s="74"/>
      <c r="K353" s="74"/>
      <c r="L353" s="74"/>
      <c r="M353" s="17"/>
      <c r="N353" s="17"/>
      <c r="O353" s="17"/>
      <c r="P353" s="17"/>
    </row>
    <row r="354" spans="1:16" ht="15">
      <c r="A354" s="296"/>
      <c r="B354" s="296"/>
      <c r="C354" s="296"/>
      <c r="D354" s="74"/>
      <c r="E354" s="74"/>
      <c r="F354" s="74"/>
      <c r="G354" s="74"/>
      <c r="H354" s="74"/>
      <c r="I354" s="301"/>
      <c r="J354" s="74"/>
      <c r="K354" s="74"/>
      <c r="L354" s="74"/>
      <c r="M354" s="17"/>
      <c r="N354" s="17"/>
      <c r="O354" s="17"/>
      <c r="P354" s="17"/>
    </row>
    <row r="355" spans="1:16" ht="15">
      <c r="A355" s="360"/>
      <c r="B355" s="361"/>
      <c r="C355" s="361"/>
      <c r="D355" s="361"/>
      <c r="E355" s="361"/>
      <c r="F355" s="361"/>
      <c r="G355" s="361"/>
      <c r="H355" s="361"/>
      <c r="I355" s="361"/>
      <c r="J355" s="361"/>
      <c r="K355" s="361"/>
      <c r="L355" s="361"/>
      <c r="M355" s="361"/>
      <c r="N355" s="361"/>
      <c r="O355" s="361"/>
      <c r="P355" s="362"/>
    </row>
  </sheetData>
  <mergeCells count="226">
    <mergeCell ref="A304:P304"/>
    <mergeCell ref="M288:P303"/>
    <mergeCell ref="M326:P337"/>
    <mergeCell ref="A338:P338"/>
    <mergeCell ref="A355:P355"/>
    <mergeCell ref="A153:P153"/>
    <mergeCell ref="M165:O165"/>
    <mergeCell ref="M166:O166"/>
    <mergeCell ref="M167:O167"/>
    <mergeCell ref="M168:O168"/>
    <mergeCell ref="M169:O169"/>
    <mergeCell ref="A190:P190"/>
    <mergeCell ref="A234:P234"/>
    <mergeCell ref="B329:B337"/>
    <mergeCell ref="C329:C336"/>
    <mergeCell ref="A305:O306"/>
    <mergeCell ref="P305:P306"/>
    <mergeCell ref="M172:P189"/>
    <mergeCell ref="B175:B189"/>
    <mergeCell ref="C175:C189"/>
    <mergeCell ref="A210:P210"/>
    <mergeCell ref="A228:P228"/>
    <mergeCell ref="A236:O236"/>
    <mergeCell ref="M230:P233"/>
    <mergeCell ref="A1:P1"/>
    <mergeCell ref="M36:P51"/>
    <mergeCell ref="A52:P52"/>
    <mergeCell ref="A22:P22"/>
    <mergeCell ref="M3:P21"/>
    <mergeCell ref="A82:P82"/>
    <mergeCell ref="M76:P78"/>
    <mergeCell ref="M109:P128"/>
    <mergeCell ref="A129:P129"/>
    <mergeCell ref="A3:L3"/>
    <mergeCell ref="A36:L36"/>
    <mergeCell ref="A23:O23"/>
    <mergeCell ref="A24:O24"/>
    <mergeCell ref="J25:L25"/>
    <mergeCell ref="M25:O25"/>
    <mergeCell ref="A25:C25"/>
    <mergeCell ref="D25:F25"/>
    <mergeCell ref="G25:I25"/>
    <mergeCell ref="A2:P2"/>
    <mergeCell ref="B6:B21"/>
    <mergeCell ref="C6:C10"/>
    <mergeCell ref="C11:C18"/>
    <mergeCell ref="C39:C51"/>
    <mergeCell ref="A34:P34"/>
    <mergeCell ref="A70:C70"/>
    <mergeCell ref="G301:G302"/>
    <mergeCell ref="J211:L211"/>
    <mergeCell ref="B298:B303"/>
    <mergeCell ref="F301:F302"/>
    <mergeCell ref="B291:B297"/>
    <mergeCell ref="C291:C293"/>
    <mergeCell ref="C294:C297"/>
    <mergeCell ref="C298:C303"/>
    <mergeCell ref="D301:D302"/>
    <mergeCell ref="A288:L288"/>
    <mergeCell ref="A287:P287"/>
    <mergeCell ref="M274:O274"/>
    <mergeCell ref="A283:C283"/>
    <mergeCell ref="D283:F283"/>
    <mergeCell ref="M237:O237"/>
    <mergeCell ref="A244:P244"/>
    <mergeCell ref="A240:C240"/>
    <mergeCell ref="D240:F240"/>
    <mergeCell ref="G240:I240"/>
    <mergeCell ref="A237:C237"/>
    <mergeCell ref="D237:F237"/>
    <mergeCell ref="G237:I237"/>
    <mergeCell ref="A286:P286"/>
    <mergeCell ref="A235:O235"/>
    <mergeCell ref="A60:C60"/>
    <mergeCell ref="A61:C61"/>
    <mergeCell ref="A172:L172"/>
    <mergeCell ref="A83:O83"/>
    <mergeCell ref="A84:O84"/>
    <mergeCell ref="A85:C85"/>
    <mergeCell ref="A130:O130"/>
    <mergeCell ref="A131:O131"/>
    <mergeCell ref="A132:C132"/>
    <mergeCell ref="D132:F132"/>
    <mergeCell ref="A165:C165"/>
    <mergeCell ref="D165:F165"/>
    <mergeCell ref="G165:I165"/>
    <mergeCell ref="A154:O154"/>
    <mergeCell ref="A155:O155"/>
    <mergeCell ref="A156:C156"/>
    <mergeCell ref="A101:C101"/>
    <mergeCell ref="D101:F101"/>
    <mergeCell ref="G101:I101"/>
    <mergeCell ref="J101:L101"/>
    <mergeCell ref="M101:O101"/>
    <mergeCell ref="A75:P75"/>
    <mergeCell ref="D156:F156"/>
    <mergeCell ref="A321:C321"/>
    <mergeCell ref="D321:F321"/>
    <mergeCell ref="G321:I321"/>
    <mergeCell ref="A326:L326"/>
    <mergeCell ref="A325:P325"/>
    <mergeCell ref="D307:F307"/>
    <mergeCell ref="G307:I307"/>
    <mergeCell ref="J307:L307"/>
    <mergeCell ref="M307:O307"/>
    <mergeCell ref="J321:P321"/>
    <mergeCell ref="A307:C307"/>
    <mergeCell ref="A324:P324"/>
    <mergeCell ref="A352:C352"/>
    <mergeCell ref="D352:F352"/>
    <mergeCell ref="G352:I352"/>
    <mergeCell ref="A339:O339"/>
    <mergeCell ref="A340:O340"/>
    <mergeCell ref="A341:C341"/>
    <mergeCell ref="D341:F341"/>
    <mergeCell ref="G341:I341"/>
    <mergeCell ref="J341:L341"/>
    <mergeCell ref="M341:O341"/>
    <mergeCell ref="G156:I156"/>
    <mergeCell ref="J156:L156"/>
    <mergeCell ref="M156:O156"/>
    <mergeCell ref="J85:L85"/>
    <mergeCell ref="M85:O85"/>
    <mergeCell ref="G136:I136"/>
    <mergeCell ref="A141:L141"/>
    <mergeCell ref="M132:O132"/>
    <mergeCell ref="A104:C104"/>
    <mergeCell ref="A92:P92"/>
    <mergeCell ref="A139:P139"/>
    <mergeCell ref="G132:I132"/>
    <mergeCell ref="J132:L132"/>
    <mergeCell ref="D85:F85"/>
    <mergeCell ref="G85:I85"/>
    <mergeCell ref="A93:P93"/>
    <mergeCell ref="A108:P108"/>
    <mergeCell ref="M141:P152"/>
    <mergeCell ref="C146:C152"/>
    <mergeCell ref="B144:B152"/>
    <mergeCell ref="A191:O191"/>
    <mergeCell ref="A192:O192"/>
    <mergeCell ref="A193:C193"/>
    <mergeCell ref="D193:F193"/>
    <mergeCell ref="G193:I193"/>
    <mergeCell ref="J193:L193"/>
    <mergeCell ref="M193:O193"/>
    <mergeCell ref="A229:P229"/>
    <mergeCell ref="G283:I283"/>
    <mergeCell ref="A272:O272"/>
    <mergeCell ref="A273:O273"/>
    <mergeCell ref="A274:C274"/>
    <mergeCell ref="D274:F274"/>
    <mergeCell ref="G274:I274"/>
    <mergeCell ref="J274:L274"/>
    <mergeCell ref="A245:L245"/>
    <mergeCell ref="A211:C211"/>
    <mergeCell ref="D211:F211"/>
    <mergeCell ref="G211:I211"/>
    <mergeCell ref="A230:L230"/>
    <mergeCell ref="J237:L237"/>
    <mergeCell ref="A243:P243"/>
    <mergeCell ref="M245:P270"/>
    <mergeCell ref="A271:P271"/>
    <mergeCell ref="A171:P171"/>
    <mergeCell ref="A71:C71"/>
    <mergeCell ref="D71:F71"/>
    <mergeCell ref="M79:P79"/>
    <mergeCell ref="M80:P80"/>
    <mergeCell ref="E97:L97"/>
    <mergeCell ref="A98:L98"/>
    <mergeCell ref="M94:P98"/>
    <mergeCell ref="D136:F136"/>
    <mergeCell ref="A89:C89"/>
    <mergeCell ref="D89:F89"/>
    <mergeCell ref="G89:I89"/>
    <mergeCell ref="A76:L76"/>
    <mergeCell ref="A74:P74"/>
    <mergeCell ref="D104:F104"/>
    <mergeCell ref="G104:I104"/>
    <mergeCell ref="A109:L109"/>
    <mergeCell ref="A107:P107"/>
    <mergeCell ref="A136:C136"/>
    <mergeCell ref="A99:O99"/>
    <mergeCell ref="A163:P163"/>
    <mergeCell ref="A100:O100"/>
    <mergeCell ref="A73:I73"/>
    <mergeCell ref="A164:O164"/>
    <mergeCell ref="A170:P170"/>
    <mergeCell ref="C144:C145"/>
    <mergeCell ref="A35:P35"/>
    <mergeCell ref="B112:B128"/>
    <mergeCell ref="C112:C126"/>
    <mergeCell ref="C127:C128"/>
    <mergeCell ref="J136:O136"/>
    <mergeCell ref="J137:O137"/>
    <mergeCell ref="J138:O138"/>
    <mergeCell ref="J89:O89"/>
    <mergeCell ref="J90:O90"/>
    <mergeCell ref="J91:O91"/>
    <mergeCell ref="J71:O71"/>
    <mergeCell ref="J72:O72"/>
    <mergeCell ref="J73:O73"/>
    <mergeCell ref="A94:L94"/>
    <mergeCell ref="A140:P140"/>
    <mergeCell ref="A62:C62"/>
    <mergeCell ref="A63:C63"/>
    <mergeCell ref="A64:C64"/>
    <mergeCell ref="A66:C66"/>
    <mergeCell ref="A67:C67"/>
    <mergeCell ref="M81:P81"/>
    <mergeCell ref="B39:B51"/>
    <mergeCell ref="A31:C31"/>
    <mergeCell ref="D31:F31"/>
    <mergeCell ref="C19:C21"/>
    <mergeCell ref="J31:O31"/>
    <mergeCell ref="J32:O32"/>
    <mergeCell ref="J33:O33"/>
    <mergeCell ref="A68:C68"/>
    <mergeCell ref="A69:C69"/>
    <mergeCell ref="A53:O53"/>
    <mergeCell ref="A54:O54"/>
    <mergeCell ref="A56:C56"/>
    <mergeCell ref="D56:F56"/>
    <mergeCell ref="G56:I56"/>
    <mergeCell ref="J56:L56"/>
    <mergeCell ref="M56:O56"/>
    <mergeCell ref="A55:O55"/>
  </mergeCells>
  <pageMargins left="1.5" right="0.7" top="0.75" bottom="0.75" header="0.3" footer="0.3"/>
  <pageSetup paperSize="5" scale="49" orientation="landscape" r:id="rId1"/>
  <rowBreaks count="1" manualBreakCount="1">
    <brk id="312" max="15" man="1"/>
  </rowBreaks>
  <colBreaks count="1" manualBreakCount="1">
    <brk id="16" max="93" man="1"/>
  </colBreaks>
</worksheet>
</file>

<file path=xl/worksheets/sheet4.xml><?xml version="1.0" encoding="utf-8"?>
<worksheet xmlns="http://schemas.openxmlformats.org/spreadsheetml/2006/main" xmlns:r="http://schemas.openxmlformats.org/officeDocument/2006/relationships">
  <dimension ref="A1:GJ232"/>
  <sheetViews>
    <sheetView tabSelected="1" view="pageBreakPreview" zoomScale="60" workbookViewId="0">
      <selection activeCell="R7" sqref="R7"/>
    </sheetView>
  </sheetViews>
  <sheetFormatPr defaultRowHeight="15"/>
  <cols>
    <col min="1" max="1" width="7.5703125" customWidth="1"/>
    <col min="2" max="2" width="15.7109375" customWidth="1"/>
    <col min="3" max="5" width="20.7109375" customWidth="1"/>
    <col min="6" max="9" width="12.7109375" customWidth="1"/>
    <col min="10" max="10" width="12.5703125" customWidth="1"/>
    <col min="11" max="13" width="12.7109375" customWidth="1"/>
    <col min="14" max="14" width="15.85546875" customWidth="1"/>
  </cols>
  <sheetData>
    <row r="1" spans="1:14" ht="25.5">
      <c r="A1" s="431" t="s">
        <v>1909</v>
      </c>
      <c r="B1" s="431"/>
      <c r="C1" s="431"/>
      <c r="D1" s="431"/>
      <c r="E1" s="431"/>
      <c r="F1" s="431"/>
      <c r="G1" s="431"/>
      <c r="H1" s="431"/>
      <c r="I1" s="431"/>
      <c r="J1" s="431"/>
      <c r="K1" s="431"/>
      <c r="L1" s="431"/>
      <c r="M1" s="431"/>
      <c r="N1" s="431"/>
    </row>
    <row r="2" spans="1:14" ht="22.5" customHeight="1">
      <c r="A2" s="432" t="s">
        <v>177</v>
      </c>
      <c r="B2" s="432"/>
      <c r="C2" s="432"/>
      <c r="D2" s="432"/>
      <c r="E2" s="432"/>
      <c r="F2" s="432"/>
      <c r="G2" s="432"/>
      <c r="H2" s="432"/>
      <c r="I2" s="432"/>
      <c r="J2" s="432"/>
      <c r="K2" s="432"/>
      <c r="L2" s="432"/>
      <c r="M2" s="432"/>
      <c r="N2" s="432"/>
    </row>
    <row r="3" spans="1:14" ht="20.25" customHeight="1">
      <c r="A3" s="347" t="s">
        <v>133</v>
      </c>
      <c r="B3" s="347"/>
      <c r="C3" s="347"/>
      <c r="D3" s="347"/>
      <c r="E3" s="347"/>
      <c r="F3" s="347"/>
      <c r="G3" s="347"/>
      <c r="H3" s="347"/>
      <c r="I3" s="347"/>
      <c r="J3" s="347"/>
      <c r="K3" s="347"/>
      <c r="L3" s="347"/>
      <c r="M3" s="347"/>
      <c r="N3" s="347"/>
    </row>
    <row r="4" spans="1:14" ht="71.25">
      <c r="A4" s="295" t="s">
        <v>0</v>
      </c>
      <c r="B4" s="286" t="s">
        <v>60</v>
      </c>
      <c r="C4" s="295" t="s">
        <v>85</v>
      </c>
      <c r="D4" s="20" t="s">
        <v>86</v>
      </c>
      <c r="E4" s="20" t="s">
        <v>87</v>
      </c>
      <c r="F4" s="286" t="s">
        <v>134</v>
      </c>
      <c r="G4" s="286" t="s">
        <v>135</v>
      </c>
      <c r="H4" s="286" t="s">
        <v>88</v>
      </c>
      <c r="I4" s="286" t="s">
        <v>89</v>
      </c>
      <c r="J4" s="286" t="s">
        <v>90</v>
      </c>
      <c r="K4" s="286" t="s">
        <v>91</v>
      </c>
      <c r="L4" s="286" t="s">
        <v>92</v>
      </c>
      <c r="M4" s="286" t="s">
        <v>93</v>
      </c>
      <c r="N4" s="286" t="s">
        <v>94</v>
      </c>
    </row>
    <row r="5" spans="1:14">
      <c r="A5" s="295">
        <v>1</v>
      </c>
      <c r="B5" s="295">
        <v>2</v>
      </c>
      <c r="C5" s="295">
        <v>3</v>
      </c>
      <c r="D5" s="295">
        <v>4</v>
      </c>
      <c r="E5" s="295">
        <v>5</v>
      </c>
      <c r="F5" s="295">
        <v>6</v>
      </c>
      <c r="G5" s="295">
        <v>7</v>
      </c>
      <c r="H5" s="295">
        <v>8</v>
      </c>
      <c r="I5" s="286">
        <v>9</v>
      </c>
      <c r="J5" s="295">
        <v>10</v>
      </c>
      <c r="K5" s="295">
        <v>11</v>
      </c>
      <c r="L5" s="295">
        <v>12</v>
      </c>
      <c r="M5" s="295">
        <v>13</v>
      </c>
      <c r="N5" s="295">
        <v>14</v>
      </c>
    </row>
    <row r="6" spans="1:14" ht="195">
      <c r="A6" s="284">
        <v>1</v>
      </c>
      <c r="B6" s="376" t="s">
        <v>275</v>
      </c>
      <c r="C6" s="376" t="s">
        <v>189</v>
      </c>
      <c r="D6" s="301" t="s">
        <v>989</v>
      </c>
      <c r="E6" s="301" t="s">
        <v>990</v>
      </c>
      <c r="F6" s="284" t="s">
        <v>12</v>
      </c>
      <c r="G6" s="284" t="s">
        <v>991</v>
      </c>
      <c r="H6" s="284" t="s">
        <v>992</v>
      </c>
      <c r="I6" s="284"/>
      <c r="J6" s="284" t="s">
        <v>993</v>
      </c>
      <c r="K6" s="284" t="s">
        <v>994</v>
      </c>
      <c r="L6" s="284" t="s">
        <v>15</v>
      </c>
      <c r="M6" s="284" t="s">
        <v>15</v>
      </c>
      <c r="N6" s="284" t="s">
        <v>995</v>
      </c>
    </row>
    <row r="7" spans="1:14" ht="60">
      <c r="A7" s="284">
        <v>2</v>
      </c>
      <c r="B7" s="376"/>
      <c r="C7" s="376"/>
      <c r="D7" s="301" t="s">
        <v>996</v>
      </c>
      <c r="E7" s="301" t="s">
        <v>997</v>
      </c>
      <c r="F7" s="284" t="s">
        <v>44</v>
      </c>
      <c r="G7" s="284">
        <f>6500*0.092903</f>
        <v>603.86950000000002</v>
      </c>
      <c r="H7" s="284" t="s">
        <v>998</v>
      </c>
      <c r="I7" s="284" t="s">
        <v>999</v>
      </c>
      <c r="J7" s="284" t="s">
        <v>1000</v>
      </c>
      <c r="K7" s="284" t="s">
        <v>153</v>
      </c>
      <c r="L7" s="284">
        <f>220000*12/12</f>
        <v>220000</v>
      </c>
      <c r="M7" s="284">
        <f>+L7/G7</f>
        <v>364.31712480925097</v>
      </c>
      <c r="N7" s="284" t="s">
        <v>26</v>
      </c>
    </row>
    <row r="8" spans="1:14" ht="135">
      <c r="A8" s="284">
        <v>3</v>
      </c>
      <c r="B8" s="376"/>
      <c r="C8" s="376"/>
      <c r="D8" s="301" t="s">
        <v>1001</v>
      </c>
      <c r="E8" s="301" t="s">
        <v>1002</v>
      </c>
      <c r="F8" s="284" t="s">
        <v>44</v>
      </c>
      <c r="G8" s="284">
        <f>650*0.092903</f>
        <v>60.386949999999999</v>
      </c>
      <c r="H8" s="284" t="s">
        <v>1003</v>
      </c>
      <c r="I8" s="284"/>
      <c r="J8" s="284" t="s">
        <v>1004</v>
      </c>
      <c r="K8" s="284" t="s">
        <v>1005</v>
      </c>
      <c r="L8" s="284">
        <f>13155*12/12</f>
        <v>13155</v>
      </c>
      <c r="M8" s="284">
        <f t="shared" ref="M8:M10" si="0">+L8/G8</f>
        <v>217.8450807666226</v>
      </c>
      <c r="N8" s="284" t="s">
        <v>1006</v>
      </c>
    </row>
    <row r="9" spans="1:14" ht="135">
      <c r="A9" s="284">
        <v>4</v>
      </c>
      <c r="B9" s="376"/>
      <c r="C9" s="376"/>
      <c r="D9" s="301" t="s">
        <v>1007</v>
      </c>
      <c r="E9" s="301" t="s">
        <v>1008</v>
      </c>
      <c r="F9" s="284" t="s">
        <v>44</v>
      </c>
      <c r="G9" s="284">
        <f>260*0.092903</f>
        <v>24.154779999999999</v>
      </c>
      <c r="H9" s="284" t="s">
        <v>353</v>
      </c>
      <c r="I9" s="284"/>
      <c r="J9" s="284" t="s">
        <v>1009</v>
      </c>
      <c r="K9" s="284" t="s">
        <v>1010</v>
      </c>
      <c r="L9" s="284">
        <f>2410*12/12</f>
        <v>2410</v>
      </c>
      <c r="M9" s="284">
        <f t="shared" si="0"/>
        <v>99.773212589806249</v>
      </c>
      <c r="N9" s="284" t="s">
        <v>1006</v>
      </c>
    </row>
    <row r="10" spans="1:14" ht="90">
      <c r="A10" s="284">
        <v>5</v>
      </c>
      <c r="B10" s="376"/>
      <c r="C10" s="376"/>
      <c r="D10" s="301" t="s">
        <v>1011</v>
      </c>
      <c r="E10" s="301" t="s">
        <v>1012</v>
      </c>
      <c r="F10" s="284" t="s">
        <v>44</v>
      </c>
      <c r="G10" s="284">
        <f>324.32*0.092903</f>
        <v>30.13030096</v>
      </c>
      <c r="H10" s="284" t="s">
        <v>163</v>
      </c>
      <c r="I10" s="284"/>
      <c r="J10" s="284" t="s">
        <v>1013</v>
      </c>
      <c r="K10" s="284" t="s">
        <v>98</v>
      </c>
      <c r="L10" s="284">
        <f>650*12/12</f>
        <v>650</v>
      </c>
      <c r="M10" s="284">
        <f t="shared" si="0"/>
        <v>21.5729673879766</v>
      </c>
      <c r="N10" s="284" t="s">
        <v>26</v>
      </c>
    </row>
    <row r="11" spans="1:14" ht="75">
      <c r="A11" s="284">
        <v>6</v>
      </c>
      <c r="B11" s="376"/>
      <c r="C11" s="376"/>
      <c r="D11" s="301" t="s">
        <v>1014</v>
      </c>
      <c r="E11" s="301" t="s">
        <v>1015</v>
      </c>
      <c r="F11" s="284">
        <v>19.23</v>
      </c>
      <c r="G11" s="284" t="s">
        <v>12</v>
      </c>
      <c r="H11" s="284" t="s">
        <v>1016</v>
      </c>
      <c r="I11" s="284" t="s">
        <v>999</v>
      </c>
      <c r="J11" s="284" t="s">
        <v>1017</v>
      </c>
      <c r="K11" s="284" t="s">
        <v>1018</v>
      </c>
      <c r="L11" s="284">
        <v>3191</v>
      </c>
      <c r="M11" s="284">
        <f>+F11/L11</f>
        <v>6.0263240363522411E-3</v>
      </c>
      <c r="N11" s="284" t="s">
        <v>51</v>
      </c>
    </row>
    <row r="12" spans="1:14" ht="75">
      <c r="A12" s="284">
        <v>7</v>
      </c>
      <c r="B12" s="376"/>
      <c r="C12" s="376"/>
      <c r="D12" s="301" t="s">
        <v>1014</v>
      </c>
      <c r="E12" s="301" t="s">
        <v>1019</v>
      </c>
      <c r="F12" s="284">
        <v>13.7</v>
      </c>
      <c r="G12" s="284" t="s">
        <v>12</v>
      </c>
      <c r="H12" s="284" t="s">
        <v>1020</v>
      </c>
      <c r="I12" s="284"/>
      <c r="J12" s="284" t="s">
        <v>1021</v>
      </c>
      <c r="K12" s="284" t="s">
        <v>1022</v>
      </c>
      <c r="L12" s="284">
        <v>3470</v>
      </c>
      <c r="M12" s="284">
        <f>+F12/L12</f>
        <v>3.9481268011527376E-3</v>
      </c>
      <c r="N12" s="284" t="s">
        <v>51</v>
      </c>
    </row>
    <row r="13" spans="1:14" ht="75">
      <c r="A13" s="284">
        <v>8</v>
      </c>
      <c r="B13" s="376"/>
      <c r="C13" s="376"/>
      <c r="D13" s="301" t="s">
        <v>1014</v>
      </c>
      <c r="E13" s="301" t="s">
        <v>1023</v>
      </c>
      <c r="F13" s="284">
        <v>65</v>
      </c>
      <c r="G13" s="284" t="s">
        <v>12</v>
      </c>
      <c r="H13" s="284" t="s">
        <v>144</v>
      </c>
      <c r="I13" s="284"/>
      <c r="J13" s="284" t="s">
        <v>1024</v>
      </c>
      <c r="K13" s="284" t="s">
        <v>1025</v>
      </c>
      <c r="L13" s="284">
        <v>6298</v>
      </c>
      <c r="M13" s="284">
        <f>+F13/L13</f>
        <v>1.0320736741822802E-2</v>
      </c>
      <c r="N13" s="284" t="s">
        <v>51</v>
      </c>
    </row>
    <row r="14" spans="1:14" ht="75">
      <c r="A14" s="284">
        <v>9</v>
      </c>
      <c r="B14" s="376"/>
      <c r="C14" s="376"/>
      <c r="D14" s="301" t="s">
        <v>1014</v>
      </c>
      <c r="E14" s="301" t="s">
        <v>1026</v>
      </c>
      <c r="F14" s="284">
        <v>238.88</v>
      </c>
      <c r="G14" s="284" t="s">
        <v>12</v>
      </c>
      <c r="H14" s="284" t="s">
        <v>154</v>
      </c>
      <c r="I14" s="284"/>
      <c r="J14" s="284" t="s">
        <v>1027</v>
      </c>
      <c r="K14" s="284" t="s">
        <v>1028</v>
      </c>
      <c r="L14" s="284">
        <v>40048</v>
      </c>
      <c r="M14" s="284">
        <f>+F14/L14</f>
        <v>5.9648421893727524E-3</v>
      </c>
      <c r="N14" s="284" t="s">
        <v>51</v>
      </c>
    </row>
    <row r="15" spans="1:14" ht="135">
      <c r="A15" s="284">
        <v>10</v>
      </c>
      <c r="B15" s="376"/>
      <c r="C15" s="376"/>
      <c r="D15" s="301" t="s">
        <v>1029</v>
      </c>
      <c r="E15" s="301" t="s">
        <v>1030</v>
      </c>
      <c r="F15" s="284">
        <v>1313.12</v>
      </c>
      <c r="G15" s="284" t="s">
        <v>1031</v>
      </c>
      <c r="H15" s="284" t="s">
        <v>1032</v>
      </c>
      <c r="I15" s="284" t="s">
        <v>1033</v>
      </c>
      <c r="J15" s="284" t="s">
        <v>102</v>
      </c>
      <c r="K15" s="284" t="s">
        <v>1034</v>
      </c>
      <c r="L15" s="284" t="s">
        <v>1035</v>
      </c>
      <c r="M15" s="284" t="s">
        <v>1036</v>
      </c>
      <c r="N15" s="284" t="s">
        <v>1037</v>
      </c>
    </row>
    <row r="16" spans="1:14" ht="105">
      <c r="A16" s="284">
        <v>11</v>
      </c>
      <c r="B16" s="376"/>
      <c r="C16" s="376"/>
      <c r="D16" s="301" t="s">
        <v>1038</v>
      </c>
      <c r="E16" s="301" t="s">
        <v>1039</v>
      </c>
      <c r="F16" s="284" t="s">
        <v>608</v>
      </c>
      <c r="G16" s="284" t="s">
        <v>1040</v>
      </c>
      <c r="H16" s="284" t="s">
        <v>1041</v>
      </c>
      <c r="I16" s="284" t="s">
        <v>1042</v>
      </c>
      <c r="J16" s="284" t="s">
        <v>1043</v>
      </c>
      <c r="K16" s="284"/>
      <c r="L16" s="284" t="s">
        <v>1044</v>
      </c>
      <c r="M16" s="284" t="s">
        <v>1045</v>
      </c>
      <c r="N16" s="284"/>
    </row>
    <row r="17" spans="1:14">
      <c r="A17" s="284">
        <v>11</v>
      </c>
      <c r="B17" s="376"/>
      <c r="C17" s="376" t="s">
        <v>1046</v>
      </c>
      <c r="D17" s="556" t="s">
        <v>1047</v>
      </c>
      <c r="E17" s="556" t="s">
        <v>1048</v>
      </c>
      <c r="F17" s="344">
        <v>754.05</v>
      </c>
      <c r="G17" s="344">
        <v>754.05</v>
      </c>
      <c r="H17" s="284" t="s">
        <v>1049</v>
      </c>
      <c r="I17" s="344" t="s">
        <v>1050</v>
      </c>
      <c r="J17" s="344" t="s">
        <v>1051</v>
      </c>
      <c r="K17" s="344" t="s">
        <v>1052</v>
      </c>
      <c r="L17" s="344" t="s">
        <v>1053</v>
      </c>
      <c r="M17" s="344">
        <v>669.71</v>
      </c>
      <c r="N17" s="344" t="s">
        <v>56</v>
      </c>
    </row>
    <row r="18" spans="1:14" ht="120">
      <c r="A18" s="284">
        <v>12</v>
      </c>
      <c r="B18" s="376"/>
      <c r="C18" s="376"/>
      <c r="D18" s="556"/>
      <c r="E18" s="556"/>
      <c r="F18" s="344"/>
      <c r="G18" s="344"/>
      <c r="H18" s="284" t="s">
        <v>1054</v>
      </c>
      <c r="I18" s="344"/>
      <c r="J18" s="344"/>
      <c r="K18" s="344"/>
      <c r="L18" s="344"/>
      <c r="M18" s="344"/>
      <c r="N18" s="344"/>
    </row>
    <row r="19" spans="1:14">
      <c r="A19" s="348">
        <v>13</v>
      </c>
      <c r="B19" s="376"/>
      <c r="C19" s="376"/>
      <c r="D19" s="556" t="s">
        <v>1055</v>
      </c>
      <c r="E19" s="556" t="s">
        <v>1056</v>
      </c>
      <c r="F19" s="344">
        <v>84</v>
      </c>
      <c r="G19" s="344">
        <v>84</v>
      </c>
      <c r="H19" s="284" t="s">
        <v>137</v>
      </c>
      <c r="I19" s="344" t="s">
        <v>1057</v>
      </c>
      <c r="J19" s="344" t="s">
        <v>1058</v>
      </c>
      <c r="K19" s="344" t="s">
        <v>1059</v>
      </c>
      <c r="L19" s="344" t="s">
        <v>1060</v>
      </c>
      <c r="M19" s="344">
        <v>60.47</v>
      </c>
      <c r="N19" s="344" t="s">
        <v>56</v>
      </c>
    </row>
    <row r="20" spans="1:14" ht="60">
      <c r="A20" s="348"/>
      <c r="B20" s="376"/>
      <c r="C20" s="376"/>
      <c r="D20" s="556"/>
      <c r="E20" s="556"/>
      <c r="F20" s="344"/>
      <c r="G20" s="344"/>
      <c r="H20" s="284" t="s">
        <v>1061</v>
      </c>
      <c r="I20" s="344"/>
      <c r="J20" s="344"/>
      <c r="K20" s="344"/>
      <c r="L20" s="344"/>
      <c r="M20" s="344"/>
      <c r="N20" s="344"/>
    </row>
    <row r="21" spans="1:14">
      <c r="A21" s="348">
        <v>14</v>
      </c>
      <c r="B21" s="376"/>
      <c r="C21" s="376"/>
      <c r="D21" s="556" t="s">
        <v>1062</v>
      </c>
      <c r="E21" s="556" t="s">
        <v>1063</v>
      </c>
      <c r="F21" s="344">
        <v>284.64</v>
      </c>
      <c r="G21" s="344">
        <v>284.64</v>
      </c>
      <c r="H21" s="284" t="s">
        <v>162</v>
      </c>
      <c r="I21" s="344" t="s">
        <v>1057</v>
      </c>
      <c r="J21" s="344" t="s">
        <v>146</v>
      </c>
      <c r="K21" s="344" t="s">
        <v>101</v>
      </c>
      <c r="L21" s="344" t="s">
        <v>1064</v>
      </c>
      <c r="M21" s="344">
        <v>37.450000000000003</v>
      </c>
      <c r="N21" s="344" t="s">
        <v>56</v>
      </c>
    </row>
    <row r="22" spans="1:14" ht="60">
      <c r="A22" s="348"/>
      <c r="B22" s="376"/>
      <c r="C22" s="376"/>
      <c r="D22" s="556"/>
      <c r="E22" s="556"/>
      <c r="F22" s="344"/>
      <c r="G22" s="344"/>
      <c r="H22" s="284" t="s">
        <v>1065</v>
      </c>
      <c r="I22" s="344"/>
      <c r="J22" s="344"/>
      <c r="K22" s="344"/>
      <c r="L22" s="344"/>
      <c r="M22" s="344"/>
      <c r="N22" s="344"/>
    </row>
    <row r="23" spans="1:14">
      <c r="A23" s="348">
        <v>15</v>
      </c>
      <c r="B23" s="376"/>
      <c r="C23" s="376"/>
      <c r="D23" s="556" t="s">
        <v>1066</v>
      </c>
      <c r="E23" s="556" t="s">
        <v>1067</v>
      </c>
      <c r="F23" s="344">
        <v>200.02</v>
      </c>
      <c r="G23" s="344">
        <v>200.02</v>
      </c>
      <c r="H23" s="284" t="s">
        <v>1068</v>
      </c>
      <c r="I23" s="344" t="s">
        <v>1057</v>
      </c>
      <c r="J23" s="344" t="s">
        <v>1069</v>
      </c>
      <c r="K23" s="344" t="s">
        <v>106</v>
      </c>
      <c r="L23" s="344" t="s">
        <v>1070</v>
      </c>
      <c r="M23" s="344">
        <v>78.819999999999993</v>
      </c>
      <c r="N23" s="344" t="s">
        <v>56</v>
      </c>
    </row>
    <row r="24" spans="1:14" ht="60">
      <c r="A24" s="348"/>
      <c r="B24" s="376"/>
      <c r="C24" s="376"/>
      <c r="D24" s="556"/>
      <c r="E24" s="556"/>
      <c r="F24" s="344"/>
      <c r="G24" s="344"/>
      <c r="H24" s="284" t="s">
        <v>1071</v>
      </c>
      <c r="I24" s="344"/>
      <c r="J24" s="344"/>
      <c r="K24" s="344"/>
      <c r="L24" s="344"/>
      <c r="M24" s="344"/>
      <c r="N24" s="344"/>
    </row>
    <row r="25" spans="1:14" ht="90">
      <c r="A25" s="278">
        <v>16</v>
      </c>
      <c r="B25" s="376"/>
      <c r="C25" s="376"/>
      <c r="D25" s="301" t="s">
        <v>1072</v>
      </c>
      <c r="E25" s="301" t="s">
        <v>1073</v>
      </c>
      <c r="F25" s="284">
        <v>36.28</v>
      </c>
      <c r="G25" s="284">
        <v>36.28</v>
      </c>
      <c r="H25" s="284" t="s">
        <v>1074</v>
      </c>
      <c r="I25" s="284"/>
      <c r="J25" s="284">
        <v>3</v>
      </c>
      <c r="K25" s="284" t="s">
        <v>1075</v>
      </c>
      <c r="L25" s="284" t="s">
        <v>1076</v>
      </c>
      <c r="M25" s="284"/>
      <c r="N25" s="284"/>
    </row>
    <row r="26" spans="1:14" ht="105">
      <c r="A26" s="278">
        <v>17</v>
      </c>
      <c r="B26" s="376"/>
      <c r="C26" s="376"/>
      <c r="D26" s="301" t="s">
        <v>1077</v>
      </c>
      <c r="E26" s="301" t="s">
        <v>1907</v>
      </c>
      <c r="F26" s="284">
        <v>132.9</v>
      </c>
      <c r="G26" s="284">
        <v>132.9</v>
      </c>
      <c r="H26" s="284" t="s">
        <v>1078</v>
      </c>
      <c r="I26" s="284"/>
      <c r="J26" s="284">
        <v>3</v>
      </c>
      <c r="K26" s="284" t="s">
        <v>101</v>
      </c>
      <c r="L26" s="284" t="s">
        <v>1079</v>
      </c>
      <c r="M26" s="284"/>
      <c r="N26" s="284"/>
    </row>
    <row r="27" spans="1:14" ht="90">
      <c r="A27" s="278">
        <v>18</v>
      </c>
      <c r="B27" s="376"/>
      <c r="C27" s="376"/>
      <c r="D27" s="301" t="s">
        <v>1080</v>
      </c>
      <c r="E27" s="301" t="s">
        <v>1081</v>
      </c>
      <c r="F27" s="284">
        <v>27.85</v>
      </c>
      <c r="G27" s="284">
        <v>27.85</v>
      </c>
      <c r="H27" s="284" t="s">
        <v>1082</v>
      </c>
      <c r="I27" s="284"/>
      <c r="J27" s="284">
        <v>3</v>
      </c>
      <c r="K27" s="284" t="s">
        <v>1083</v>
      </c>
      <c r="L27" s="284" t="s">
        <v>1084</v>
      </c>
      <c r="M27" s="284"/>
      <c r="N27" s="284"/>
    </row>
    <row r="28" spans="1:14" ht="108">
      <c r="A28" s="278">
        <v>19</v>
      </c>
      <c r="B28" s="376"/>
      <c r="C28" s="376"/>
      <c r="D28" s="301" t="s">
        <v>1085</v>
      </c>
      <c r="E28" s="301" t="s">
        <v>1908</v>
      </c>
      <c r="F28" s="284">
        <v>81</v>
      </c>
      <c r="G28" s="284">
        <v>81</v>
      </c>
      <c r="H28" s="284" t="s">
        <v>1086</v>
      </c>
      <c r="I28" s="284"/>
      <c r="J28" s="284">
        <v>3</v>
      </c>
      <c r="K28" s="284" t="s">
        <v>159</v>
      </c>
      <c r="L28" s="284" t="s">
        <v>1087</v>
      </c>
      <c r="M28" s="284"/>
      <c r="N28" s="284"/>
    </row>
    <row r="29" spans="1:14" ht="120">
      <c r="A29" s="280">
        <v>20</v>
      </c>
      <c r="B29" s="376"/>
      <c r="C29" s="376"/>
      <c r="D29" s="301" t="s">
        <v>1088</v>
      </c>
      <c r="E29" s="301" t="s">
        <v>1088</v>
      </c>
      <c r="F29" s="284">
        <v>1035.4000000000001</v>
      </c>
      <c r="G29" s="284">
        <v>1035.4000000000001</v>
      </c>
      <c r="H29" s="284" t="s">
        <v>1089</v>
      </c>
      <c r="I29" s="284" t="s">
        <v>1090</v>
      </c>
      <c r="J29" s="284" t="s">
        <v>1091</v>
      </c>
      <c r="K29" s="284" t="s">
        <v>1091</v>
      </c>
      <c r="L29" s="284" t="s">
        <v>1092</v>
      </c>
      <c r="M29" s="284">
        <v>73.3</v>
      </c>
      <c r="N29" s="284"/>
    </row>
    <row r="30" spans="1:14" ht="90">
      <c r="A30" s="280">
        <v>21</v>
      </c>
      <c r="B30" s="376"/>
      <c r="C30" s="376"/>
      <c r="D30" s="301" t="s">
        <v>1093</v>
      </c>
      <c r="E30" s="301" t="s">
        <v>1093</v>
      </c>
      <c r="F30" s="284">
        <v>9288</v>
      </c>
      <c r="G30" s="284">
        <v>9288</v>
      </c>
      <c r="H30" s="284" t="s">
        <v>1094</v>
      </c>
      <c r="I30" s="284" t="s">
        <v>1090</v>
      </c>
      <c r="J30" s="284" t="s">
        <v>1095</v>
      </c>
      <c r="K30" s="284" t="s">
        <v>1095</v>
      </c>
      <c r="L30" s="284" t="s">
        <v>1096</v>
      </c>
      <c r="M30" s="284">
        <v>1.23</v>
      </c>
      <c r="N30" s="284"/>
    </row>
    <row r="31" spans="1:14" ht="105">
      <c r="A31" s="280">
        <v>22</v>
      </c>
      <c r="B31" s="376"/>
      <c r="C31" s="376"/>
      <c r="D31" s="301" t="s">
        <v>1097</v>
      </c>
      <c r="E31" s="301" t="s">
        <v>1097</v>
      </c>
      <c r="F31" s="284">
        <v>41.34</v>
      </c>
      <c r="G31" s="284">
        <v>41.34</v>
      </c>
      <c r="H31" s="284" t="s">
        <v>1098</v>
      </c>
      <c r="I31" s="284" t="s">
        <v>1090</v>
      </c>
      <c r="J31" s="284" t="s">
        <v>1099</v>
      </c>
      <c r="K31" s="284" t="s">
        <v>1099</v>
      </c>
      <c r="L31" s="284" t="s">
        <v>1100</v>
      </c>
      <c r="M31" s="284">
        <v>135.46</v>
      </c>
      <c r="N31" s="284"/>
    </row>
    <row r="32" spans="1:14" ht="60">
      <c r="A32" s="280">
        <v>23</v>
      </c>
      <c r="B32" s="376"/>
      <c r="C32" s="376"/>
      <c r="D32" s="301" t="s">
        <v>1101</v>
      </c>
      <c r="E32" s="301" t="s">
        <v>1101</v>
      </c>
      <c r="F32" s="284">
        <v>37.81</v>
      </c>
      <c r="G32" s="284">
        <v>37.81</v>
      </c>
      <c r="H32" s="284" t="s">
        <v>1102</v>
      </c>
      <c r="I32" s="284" t="s">
        <v>1090</v>
      </c>
      <c r="J32" s="284" t="s">
        <v>1091</v>
      </c>
      <c r="K32" s="284" t="s">
        <v>1091</v>
      </c>
      <c r="L32" s="284" t="s">
        <v>1103</v>
      </c>
      <c r="M32" s="284">
        <v>74.87</v>
      </c>
      <c r="N32" s="284"/>
    </row>
    <row r="33" spans="1:14" ht="60">
      <c r="A33" s="280">
        <v>24</v>
      </c>
      <c r="B33" s="376"/>
      <c r="C33" s="376"/>
      <c r="D33" s="301" t="s">
        <v>1104</v>
      </c>
      <c r="E33" s="301" t="s">
        <v>1104</v>
      </c>
      <c r="F33" s="284">
        <v>372612</v>
      </c>
      <c r="G33" s="284">
        <v>372612</v>
      </c>
      <c r="H33" s="284" t="s">
        <v>1105</v>
      </c>
      <c r="I33" s="284" t="s">
        <v>1090</v>
      </c>
      <c r="J33" s="284" t="s">
        <v>1106</v>
      </c>
      <c r="K33" s="284" t="s">
        <v>13</v>
      </c>
      <c r="L33" s="284" t="s">
        <v>1107</v>
      </c>
      <c r="M33" s="284">
        <v>0.01</v>
      </c>
      <c r="N33" s="284"/>
    </row>
    <row r="34" spans="1:14" ht="60">
      <c r="A34" s="280">
        <v>25</v>
      </c>
      <c r="B34" s="376"/>
      <c r="C34" s="376"/>
      <c r="D34" s="301" t="s">
        <v>1108</v>
      </c>
      <c r="E34" s="301" t="s">
        <v>1108</v>
      </c>
      <c r="F34" s="284">
        <v>211.42</v>
      </c>
      <c r="G34" s="284">
        <v>211.42</v>
      </c>
      <c r="H34" s="284" t="s">
        <v>1109</v>
      </c>
      <c r="I34" s="284" t="s">
        <v>1090</v>
      </c>
      <c r="J34" s="284" t="s">
        <v>1110</v>
      </c>
      <c r="K34" s="284" t="s">
        <v>1111</v>
      </c>
      <c r="L34" s="284" t="s">
        <v>1112</v>
      </c>
      <c r="M34" s="284"/>
      <c r="N34" s="284"/>
    </row>
    <row r="35" spans="1:14" ht="60">
      <c r="A35" s="280">
        <v>26</v>
      </c>
      <c r="B35" s="376"/>
      <c r="C35" s="376"/>
      <c r="D35" s="301" t="s">
        <v>1113</v>
      </c>
      <c r="E35" s="301" t="s">
        <v>1113</v>
      </c>
      <c r="F35" s="284">
        <v>1189.3800000000001</v>
      </c>
      <c r="G35" s="284">
        <v>1189.3800000000001</v>
      </c>
      <c r="H35" s="284" t="s">
        <v>166</v>
      </c>
      <c r="I35" s="284" t="s">
        <v>1090</v>
      </c>
      <c r="J35" s="284" t="s">
        <v>1114</v>
      </c>
      <c r="K35" s="284" t="s">
        <v>1115</v>
      </c>
      <c r="L35" s="284" t="s">
        <v>1116</v>
      </c>
      <c r="M35" s="284"/>
      <c r="N35" s="284"/>
    </row>
    <row r="36" spans="1:14">
      <c r="A36" s="557"/>
      <c r="B36" s="557"/>
      <c r="C36" s="557"/>
      <c r="D36" s="557"/>
      <c r="E36" s="557"/>
      <c r="F36" s="557"/>
      <c r="G36" s="557"/>
      <c r="H36" s="557"/>
      <c r="I36" s="557"/>
      <c r="J36" s="557"/>
      <c r="K36" s="557"/>
      <c r="L36" s="557"/>
      <c r="M36" s="557"/>
      <c r="N36" s="557"/>
    </row>
    <row r="37" spans="1:14" ht="22.5" customHeight="1">
      <c r="A37" s="432" t="s">
        <v>178</v>
      </c>
      <c r="B37" s="432"/>
      <c r="C37" s="432"/>
      <c r="D37" s="432"/>
      <c r="E37" s="432"/>
      <c r="F37" s="432"/>
      <c r="G37" s="432"/>
      <c r="H37" s="432"/>
      <c r="I37" s="432"/>
      <c r="J37" s="432"/>
      <c r="K37" s="432"/>
      <c r="L37" s="432"/>
      <c r="M37" s="432"/>
      <c r="N37" s="432"/>
    </row>
    <row r="38" spans="1:14" ht="20.25">
      <c r="A38" s="347" t="s">
        <v>133</v>
      </c>
      <c r="B38" s="347"/>
      <c r="C38" s="347"/>
      <c r="D38" s="347"/>
      <c r="E38" s="347"/>
      <c r="F38" s="347"/>
      <c r="G38" s="347"/>
      <c r="H38" s="347"/>
      <c r="I38" s="347"/>
      <c r="J38" s="347"/>
      <c r="K38" s="347"/>
      <c r="L38" s="347"/>
      <c r="M38" s="347"/>
      <c r="N38" s="347"/>
    </row>
    <row r="39" spans="1:14" ht="71.25">
      <c r="A39" s="295" t="s">
        <v>0</v>
      </c>
      <c r="B39" s="286" t="s">
        <v>60</v>
      </c>
      <c r="C39" s="295" t="s">
        <v>85</v>
      </c>
      <c r="D39" s="20" t="s">
        <v>86</v>
      </c>
      <c r="E39" s="20" t="s">
        <v>87</v>
      </c>
      <c r="F39" s="286" t="s">
        <v>134</v>
      </c>
      <c r="G39" s="286" t="s">
        <v>135</v>
      </c>
      <c r="H39" s="286" t="s">
        <v>88</v>
      </c>
      <c r="I39" s="286" t="s">
        <v>89</v>
      </c>
      <c r="J39" s="286" t="s">
        <v>90</v>
      </c>
      <c r="K39" s="286" t="s">
        <v>91</v>
      </c>
      <c r="L39" s="286" t="s">
        <v>92</v>
      </c>
      <c r="M39" s="286" t="s">
        <v>93</v>
      </c>
      <c r="N39" s="286" t="s">
        <v>94</v>
      </c>
    </row>
    <row r="40" spans="1:14">
      <c r="A40" s="295">
        <v>1</v>
      </c>
      <c r="B40" s="295">
        <v>2</v>
      </c>
      <c r="C40" s="295">
        <v>3</v>
      </c>
      <c r="D40" s="295">
        <v>4</v>
      </c>
      <c r="E40" s="295">
        <v>5</v>
      </c>
      <c r="F40" s="295">
        <v>6</v>
      </c>
      <c r="G40" s="295">
        <v>7</v>
      </c>
      <c r="H40" s="295">
        <v>8</v>
      </c>
      <c r="I40" s="286">
        <v>9</v>
      </c>
      <c r="J40" s="295">
        <v>10</v>
      </c>
      <c r="K40" s="295">
        <v>11</v>
      </c>
      <c r="L40" s="295">
        <v>12</v>
      </c>
      <c r="M40" s="295">
        <v>13</v>
      </c>
      <c r="N40" s="295">
        <v>14</v>
      </c>
    </row>
    <row r="41" spans="1:14" s="107" customFormat="1" ht="105">
      <c r="A41" s="278">
        <v>1</v>
      </c>
      <c r="B41" s="288" t="s">
        <v>452</v>
      </c>
      <c r="C41" s="288" t="s">
        <v>365</v>
      </c>
      <c r="D41" s="7" t="s">
        <v>1117</v>
      </c>
      <c r="E41" s="7" t="s">
        <v>1118</v>
      </c>
      <c r="F41" s="278" t="s">
        <v>12</v>
      </c>
      <c r="G41" s="278">
        <v>141.49</v>
      </c>
      <c r="H41" s="278" t="s">
        <v>1119</v>
      </c>
      <c r="I41" s="278" t="s">
        <v>1120</v>
      </c>
      <c r="J41" s="294" t="s">
        <v>1121</v>
      </c>
      <c r="K41" s="294" t="s">
        <v>143</v>
      </c>
      <c r="L41" s="294" t="s">
        <v>1122</v>
      </c>
      <c r="M41" s="294">
        <v>74.209999999999994</v>
      </c>
      <c r="N41" s="278" t="s">
        <v>12</v>
      </c>
    </row>
    <row r="42" spans="1:14" ht="75">
      <c r="A42" s="278">
        <v>2</v>
      </c>
      <c r="B42" s="288" t="s">
        <v>1123</v>
      </c>
      <c r="C42" s="288" t="s">
        <v>1124</v>
      </c>
      <c r="D42" s="288" t="s">
        <v>1125</v>
      </c>
      <c r="E42" s="288" t="s">
        <v>1126</v>
      </c>
      <c r="F42" s="278">
        <v>211.74</v>
      </c>
      <c r="G42" s="278">
        <v>271.74</v>
      </c>
      <c r="H42" s="278" t="s">
        <v>1127</v>
      </c>
      <c r="I42" s="278" t="s">
        <v>1128</v>
      </c>
      <c r="J42" s="278" t="s">
        <v>1129</v>
      </c>
      <c r="K42" s="278" t="s">
        <v>1130</v>
      </c>
      <c r="L42" s="278" t="s">
        <v>1131</v>
      </c>
      <c r="M42" s="278">
        <v>376.71199999999999</v>
      </c>
      <c r="N42" s="278" t="s">
        <v>1132</v>
      </c>
    </row>
    <row r="43" spans="1:14">
      <c r="A43" s="557"/>
      <c r="B43" s="557"/>
      <c r="C43" s="557"/>
      <c r="D43" s="557"/>
      <c r="E43" s="557"/>
      <c r="F43" s="557"/>
      <c r="G43" s="557"/>
      <c r="H43" s="557"/>
      <c r="I43" s="557"/>
      <c r="J43" s="557"/>
      <c r="K43" s="557"/>
      <c r="L43" s="557"/>
      <c r="M43" s="557"/>
      <c r="N43" s="557"/>
    </row>
    <row r="44" spans="1:14" ht="22.5" customHeight="1">
      <c r="A44" s="432" t="s">
        <v>179</v>
      </c>
      <c r="B44" s="432"/>
      <c r="C44" s="432"/>
      <c r="D44" s="432"/>
      <c r="E44" s="432"/>
      <c r="F44" s="432"/>
      <c r="G44" s="432"/>
      <c r="H44" s="432"/>
      <c r="I44" s="432"/>
      <c r="J44" s="432"/>
      <c r="K44" s="432"/>
      <c r="L44" s="432"/>
      <c r="M44" s="432"/>
      <c r="N44" s="432"/>
    </row>
    <row r="45" spans="1:14" ht="20.25">
      <c r="A45" s="347" t="s">
        <v>133</v>
      </c>
      <c r="B45" s="347"/>
      <c r="C45" s="347"/>
      <c r="D45" s="347"/>
      <c r="E45" s="347"/>
      <c r="F45" s="347"/>
      <c r="G45" s="347"/>
      <c r="H45" s="347"/>
      <c r="I45" s="347"/>
      <c r="J45" s="347"/>
      <c r="K45" s="347"/>
      <c r="L45" s="347"/>
      <c r="M45" s="347"/>
      <c r="N45" s="347"/>
    </row>
    <row r="46" spans="1:14" ht="71.25">
      <c r="A46" s="295" t="s">
        <v>0</v>
      </c>
      <c r="B46" s="286" t="s">
        <v>60</v>
      </c>
      <c r="C46" s="295" t="s">
        <v>85</v>
      </c>
      <c r="D46" s="20" t="s">
        <v>86</v>
      </c>
      <c r="E46" s="20" t="s">
        <v>87</v>
      </c>
      <c r="F46" s="286" t="s">
        <v>134</v>
      </c>
      <c r="G46" s="286" t="s">
        <v>135</v>
      </c>
      <c r="H46" s="286" t="s">
        <v>88</v>
      </c>
      <c r="I46" s="286" t="s">
        <v>89</v>
      </c>
      <c r="J46" s="286" t="s">
        <v>90</v>
      </c>
      <c r="K46" s="286" t="s">
        <v>91</v>
      </c>
      <c r="L46" s="286" t="s">
        <v>92</v>
      </c>
      <c r="M46" s="286" t="s">
        <v>93</v>
      </c>
      <c r="N46" s="286" t="s">
        <v>94</v>
      </c>
    </row>
    <row r="47" spans="1:14">
      <c r="A47" s="295">
        <v>1</v>
      </c>
      <c r="B47" s="295">
        <v>2</v>
      </c>
      <c r="C47" s="295">
        <v>3</v>
      </c>
      <c r="D47" s="295">
        <v>4</v>
      </c>
      <c r="E47" s="295">
        <v>5</v>
      </c>
      <c r="F47" s="295">
        <v>6</v>
      </c>
      <c r="G47" s="295">
        <v>7</v>
      </c>
      <c r="H47" s="295">
        <v>8</v>
      </c>
      <c r="I47" s="286">
        <v>9</v>
      </c>
      <c r="J47" s="295">
        <v>10</v>
      </c>
      <c r="K47" s="295">
        <v>11</v>
      </c>
      <c r="L47" s="295">
        <v>12</v>
      </c>
      <c r="M47" s="295">
        <v>13</v>
      </c>
      <c r="N47" s="295">
        <v>14</v>
      </c>
    </row>
    <row r="48" spans="1:14" ht="45">
      <c r="A48" s="278">
        <v>1</v>
      </c>
      <c r="B48" s="279" t="s">
        <v>456</v>
      </c>
      <c r="C48" s="279" t="s">
        <v>457</v>
      </c>
      <c r="D48" s="279" t="s">
        <v>1133</v>
      </c>
      <c r="E48" s="279" t="s">
        <v>1134</v>
      </c>
      <c r="F48" s="278">
        <v>669</v>
      </c>
      <c r="G48" s="278">
        <v>669</v>
      </c>
      <c r="H48" s="278" t="s">
        <v>1135</v>
      </c>
      <c r="I48" s="278" t="s">
        <v>1136</v>
      </c>
      <c r="J48" s="278" t="s">
        <v>100</v>
      </c>
      <c r="K48" s="278" t="s">
        <v>107</v>
      </c>
      <c r="L48" s="278" t="s">
        <v>1137</v>
      </c>
      <c r="M48" s="278">
        <v>249.82499999999999</v>
      </c>
      <c r="N48" s="278" t="s">
        <v>1138</v>
      </c>
    </row>
    <row r="49" spans="1:14" ht="45">
      <c r="A49" s="278">
        <v>2</v>
      </c>
      <c r="B49" s="279" t="s">
        <v>456</v>
      </c>
      <c r="C49" s="279" t="s">
        <v>457</v>
      </c>
      <c r="D49" s="279" t="s">
        <v>1139</v>
      </c>
      <c r="E49" s="279" t="s">
        <v>1134</v>
      </c>
      <c r="F49" s="278">
        <v>669</v>
      </c>
      <c r="G49" s="278">
        <v>669</v>
      </c>
      <c r="H49" s="278" t="s">
        <v>1140</v>
      </c>
      <c r="I49" s="278" t="s">
        <v>1136</v>
      </c>
      <c r="J49" s="278" t="s">
        <v>100</v>
      </c>
      <c r="K49" s="278" t="s">
        <v>107</v>
      </c>
      <c r="L49" s="278" t="s">
        <v>1137</v>
      </c>
      <c r="M49" s="278">
        <v>13</v>
      </c>
      <c r="N49" s="278" t="s">
        <v>1138</v>
      </c>
    </row>
    <row r="50" spans="1:14" ht="45">
      <c r="A50" s="278">
        <v>3</v>
      </c>
      <c r="B50" s="279" t="s">
        <v>456</v>
      </c>
      <c r="C50" s="279" t="s">
        <v>457</v>
      </c>
      <c r="D50" s="279" t="s">
        <v>1141</v>
      </c>
      <c r="E50" s="279" t="s">
        <v>1134</v>
      </c>
      <c r="F50" s="278">
        <v>669</v>
      </c>
      <c r="G50" s="278">
        <v>669</v>
      </c>
      <c r="H50" s="278" t="s">
        <v>1142</v>
      </c>
      <c r="I50" s="278" t="s">
        <v>1136</v>
      </c>
      <c r="J50" s="278" t="s">
        <v>100</v>
      </c>
      <c r="K50" s="278" t="s">
        <v>107</v>
      </c>
      <c r="L50" s="278" t="s">
        <v>1137</v>
      </c>
      <c r="M50" s="278">
        <v>249.82499999999999</v>
      </c>
      <c r="N50" s="278" t="s">
        <v>1138</v>
      </c>
    </row>
    <row r="51" spans="1:14" ht="45">
      <c r="A51" s="278">
        <v>4</v>
      </c>
      <c r="B51" s="279" t="s">
        <v>456</v>
      </c>
      <c r="C51" s="279" t="s">
        <v>457</v>
      </c>
      <c r="D51" s="279" t="s">
        <v>1143</v>
      </c>
      <c r="E51" s="279" t="s">
        <v>1134</v>
      </c>
      <c r="F51" s="278">
        <v>669</v>
      </c>
      <c r="G51" s="278">
        <v>669</v>
      </c>
      <c r="H51" s="278" t="s">
        <v>1144</v>
      </c>
      <c r="I51" s="278" t="s">
        <v>1136</v>
      </c>
      <c r="J51" s="278" t="s">
        <v>100</v>
      </c>
      <c r="K51" s="278" t="s">
        <v>107</v>
      </c>
      <c r="L51" s="278" t="s">
        <v>1137</v>
      </c>
      <c r="M51" s="278">
        <v>13</v>
      </c>
      <c r="N51" s="278" t="s">
        <v>1138</v>
      </c>
    </row>
    <row r="52" spans="1:14" ht="45">
      <c r="A52" s="278">
        <v>5</v>
      </c>
      <c r="B52" s="279" t="s">
        <v>456</v>
      </c>
      <c r="C52" s="279" t="s">
        <v>457</v>
      </c>
      <c r="D52" s="279" t="s">
        <v>1145</v>
      </c>
      <c r="E52" s="279" t="s">
        <v>1134</v>
      </c>
      <c r="F52" s="278">
        <v>669</v>
      </c>
      <c r="G52" s="278">
        <v>669</v>
      </c>
      <c r="H52" s="278" t="s">
        <v>1146</v>
      </c>
      <c r="I52" s="278" t="s">
        <v>1136</v>
      </c>
      <c r="J52" s="278" t="s">
        <v>100</v>
      </c>
      <c r="K52" s="278" t="s">
        <v>107</v>
      </c>
      <c r="L52" s="278" t="s">
        <v>1137</v>
      </c>
      <c r="M52" s="278">
        <v>249.82499999999999</v>
      </c>
      <c r="N52" s="278" t="s">
        <v>1138</v>
      </c>
    </row>
    <row r="53" spans="1:14" ht="90">
      <c r="A53" s="278">
        <v>6</v>
      </c>
      <c r="B53" s="279" t="s">
        <v>456</v>
      </c>
      <c r="C53" s="279" t="s">
        <v>457</v>
      </c>
      <c r="D53" s="279" t="s">
        <v>1147</v>
      </c>
      <c r="E53" s="279" t="s">
        <v>1148</v>
      </c>
      <c r="F53" s="278">
        <v>69.62</v>
      </c>
      <c r="G53" s="278">
        <v>69.62</v>
      </c>
      <c r="H53" s="278" t="s">
        <v>160</v>
      </c>
      <c r="I53" s="278" t="s">
        <v>1136</v>
      </c>
      <c r="J53" s="278" t="s">
        <v>100</v>
      </c>
      <c r="K53" s="278" t="s">
        <v>1149</v>
      </c>
      <c r="L53" s="278">
        <v>39480</v>
      </c>
      <c r="M53" s="278">
        <v>567</v>
      </c>
      <c r="N53" s="278"/>
    </row>
    <row r="54" spans="1:14" ht="45">
      <c r="A54" s="278">
        <v>7</v>
      </c>
      <c r="B54" s="279" t="s">
        <v>456</v>
      </c>
      <c r="C54" s="279" t="s">
        <v>457</v>
      </c>
      <c r="D54" s="279" t="s">
        <v>1150</v>
      </c>
      <c r="E54" s="279" t="s">
        <v>1151</v>
      </c>
      <c r="F54" s="278" t="s">
        <v>1152</v>
      </c>
      <c r="G54" s="278" t="s">
        <v>922</v>
      </c>
      <c r="H54" s="278" t="s">
        <v>1153</v>
      </c>
      <c r="I54" s="278" t="s">
        <v>1136</v>
      </c>
      <c r="J54" s="278" t="s">
        <v>1154</v>
      </c>
      <c r="K54" s="278" t="s">
        <v>1155</v>
      </c>
      <c r="L54" s="278">
        <v>4755</v>
      </c>
      <c r="M54" s="278"/>
      <c r="N54" s="278"/>
    </row>
    <row r="55" spans="1:14" ht="75">
      <c r="A55" s="278">
        <v>8</v>
      </c>
      <c r="B55" s="279" t="s">
        <v>456</v>
      </c>
      <c r="C55" s="279" t="s">
        <v>457</v>
      </c>
      <c r="D55" s="279" t="s">
        <v>1150</v>
      </c>
      <c r="E55" s="279" t="s">
        <v>1156</v>
      </c>
      <c r="F55" s="278">
        <v>22.8</v>
      </c>
      <c r="G55" s="278">
        <v>22.8</v>
      </c>
      <c r="H55" s="278" t="s">
        <v>1157</v>
      </c>
      <c r="I55" s="278" t="s">
        <v>1136</v>
      </c>
      <c r="J55" s="278" t="s">
        <v>1154</v>
      </c>
      <c r="K55" s="278" t="s">
        <v>1155</v>
      </c>
      <c r="L55" s="278">
        <v>5000</v>
      </c>
      <c r="M55" s="278">
        <v>219</v>
      </c>
      <c r="N55" s="278"/>
    </row>
    <row r="56" spans="1:14" ht="60">
      <c r="A56" s="278">
        <v>9</v>
      </c>
      <c r="B56" s="279" t="s">
        <v>456</v>
      </c>
      <c r="C56" s="279" t="s">
        <v>457</v>
      </c>
      <c r="D56" s="279" t="s">
        <v>1158</v>
      </c>
      <c r="E56" s="279" t="s">
        <v>1159</v>
      </c>
      <c r="F56" s="278">
        <v>14.53</v>
      </c>
      <c r="G56" s="278">
        <v>14.53</v>
      </c>
      <c r="H56" s="278" t="s">
        <v>1160</v>
      </c>
      <c r="I56" s="278" t="s">
        <v>1136</v>
      </c>
      <c r="J56" s="278"/>
      <c r="K56" s="278"/>
      <c r="L56" s="278">
        <v>2325</v>
      </c>
      <c r="M56" s="278">
        <v>160</v>
      </c>
      <c r="N56" s="278"/>
    </row>
    <row r="57" spans="1:14" ht="105.75" customHeight="1">
      <c r="A57" s="278">
        <v>10</v>
      </c>
      <c r="B57" s="279" t="s">
        <v>456</v>
      </c>
      <c r="C57" s="279" t="s">
        <v>457</v>
      </c>
      <c r="D57" s="279" t="s">
        <v>1161</v>
      </c>
      <c r="E57" s="279" t="s">
        <v>1162</v>
      </c>
      <c r="F57" s="278">
        <v>4704</v>
      </c>
      <c r="G57" s="278">
        <v>7840</v>
      </c>
      <c r="H57" s="278" t="s">
        <v>1163</v>
      </c>
      <c r="I57" s="278" t="s">
        <v>1164</v>
      </c>
      <c r="J57" s="278" t="s">
        <v>1165</v>
      </c>
      <c r="K57" s="278" t="s">
        <v>1166</v>
      </c>
      <c r="L57" s="278">
        <v>2166</v>
      </c>
      <c r="M57" s="278">
        <v>0.11</v>
      </c>
      <c r="N57" s="278" t="s">
        <v>1167</v>
      </c>
    </row>
    <row r="58" spans="1:14" ht="63" customHeight="1">
      <c r="A58" s="113"/>
      <c r="B58" s="560" t="s">
        <v>1914</v>
      </c>
      <c r="C58" s="560"/>
      <c r="D58" s="560"/>
      <c r="E58" s="560"/>
      <c r="F58" s="560"/>
      <c r="G58" s="560"/>
      <c r="H58" s="560"/>
      <c r="I58" s="560"/>
      <c r="J58" s="560"/>
      <c r="K58" s="560"/>
      <c r="L58" s="560"/>
      <c r="M58" s="560"/>
      <c r="N58" s="560"/>
    </row>
    <row r="59" spans="1:14">
      <c r="A59" s="557"/>
      <c r="B59" s="557"/>
      <c r="C59" s="557"/>
      <c r="D59" s="557"/>
      <c r="E59" s="557"/>
      <c r="F59" s="557"/>
      <c r="G59" s="557"/>
      <c r="H59" s="557"/>
      <c r="I59" s="557"/>
      <c r="J59" s="557"/>
      <c r="K59" s="557"/>
      <c r="L59" s="557"/>
      <c r="M59" s="557"/>
      <c r="N59" s="557"/>
    </row>
    <row r="60" spans="1:14" ht="22.5" customHeight="1">
      <c r="A60" s="432" t="s">
        <v>180</v>
      </c>
      <c r="B60" s="432"/>
      <c r="C60" s="432"/>
      <c r="D60" s="432"/>
      <c r="E60" s="432"/>
      <c r="F60" s="432"/>
      <c r="G60" s="432"/>
      <c r="H60" s="432"/>
      <c r="I60" s="432"/>
      <c r="J60" s="432"/>
      <c r="K60" s="432"/>
      <c r="L60" s="432"/>
      <c r="M60" s="432"/>
      <c r="N60" s="432"/>
    </row>
    <row r="61" spans="1:14" ht="20.25">
      <c r="A61" s="347" t="s">
        <v>133</v>
      </c>
      <c r="B61" s="347"/>
      <c r="C61" s="347"/>
      <c r="D61" s="347"/>
      <c r="E61" s="347"/>
      <c r="F61" s="347"/>
      <c r="G61" s="347"/>
      <c r="H61" s="347"/>
      <c r="I61" s="347"/>
      <c r="J61" s="347"/>
      <c r="K61" s="347"/>
      <c r="L61" s="347"/>
      <c r="M61" s="347"/>
      <c r="N61" s="347"/>
    </row>
    <row r="62" spans="1:14" ht="71.25">
      <c r="A62" s="295" t="s">
        <v>0</v>
      </c>
      <c r="B62" s="286" t="s">
        <v>60</v>
      </c>
      <c r="C62" s="295" t="s">
        <v>85</v>
      </c>
      <c r="D62" s="20" t="s">
        <v>86</v>
      </c>
      <c r="E62" s="20" t="s">
        <v>87</v>
      </c>
      <c r="F62" s="286" t="s">
        <v>134</v>
      </c>
      <c r="G62" s="286" t="s">
        <v>135</v>
      </c>
      <c r="H62" s="286" t="s">
        <v>88</v>
      </c>
      <c r="I62" s="286" t="s">
        <v>89</v>
      </c>
      <c r="J62" s="286" t="s">
        <v>90</v>
      </c>
      <c r="K62" s="286" t="s">
        <v>91</v>
      </c>
      <c r="L62" s="286" t="s">
        <v>92</v>
      </c>
      <c r="M62" s="286" t="s">
        <v>93</v>
      </c>
      <c r="N62" s="286" t="s">
        <v>94</v>
      </c>
    </row>
    <row r="63" spans="1:14">
      <c r="A63" s="295">
        <v>1</v>
      </c>
      <c r="B63" s="295">
        <v>2</v>
      </c>
      <c r="C63" s="295">
        <v>3</v>
      </c>
      <c r="D63" s="295">
        <v>4</v>
      </c>
      <c r="E63" s="295">
        <v>5</v>
      </c>
      <c r="F63" s="295">
        <v>6</v>
      </c>
      <c r="G63" s="295">
        <v>7</v>
      </c>
      <c r="H63" s="295">
        <v>8</v>
      </c>
      <c r="I63" s="286">
        <v>9</v>
      </c>
      <c r="J63" s="295">
        <v>10</v>
      </c>
      <c r="K63" s="295">
        <v>11</v>
      </c>
      <c r="L63" s="295">
        <v>12</v>
      </c>
      <c r="M63" s="295">
        <v>13</v>
      </c>
      <c r="N63" s="295">
        <v>14</v>
      </c>
    </row>
    <row r="64" spans="1:14" s="108" customFormat="1">
      <c r="A64" s="281">
        <v>1</v>
      </c>
      <c r="B64" s="281" t="s">
        <v>484</v>
      </c>
      <c r="C64" s="281" t="s">
        <v>37</v>
      </c>
      <c r="D64" s="281" t="s">
        <v>37</v>
      </c>
      <c r="E64" s="281" t="s">
        <v>37</v>
      </c>
      <c r="F64" s="281" t="s">
        <v>26</v>
      </c>
      <c r="G64" s="281" t="s">
        <v>26</v>
      </c>
      <c r="H64" s="281" t="s">
        <v>26</v>
      </c>
      <c r="I64" s="281" t="s">
        <v>26</v>
      </c>
      <c r="J64" s="281" t="s">
        <v>26</v>
      </c>
      <c r="K64" s="281" t="s">
        <v>26</v>
      </c>
      <c r="L64" s="281" t="s">
        <v>26</v>
      </c>
      <c r="M64" s="281" t="s">
        <v>26</v>
      </c>
      <c r="N64" s="281" t="s">
        <v>26</v>
      </c>
    </row>
    <row r="65" spans="1:14">
      <c r="A65" s="557"/>
      <c r="B65" s="557"/>
      <c r="C65" s="557"/>
      <c r="D65" s="557"/>
      <c r="E65" s="557"/>
      <c r="F65" s="557"/>
      <c r="G65" s="557"/>
      <c r="H65" s="557"/>
      <c r="I65" s="557"/>
      <c r="J65" s="557"/>
      <c r="K65" s="557"/>
      <c r="L65" s="557"/>
      <c r="M65" s="557"/>
      <c r="N65" s="557"/>
    </row>
    <row r="66" spans="1:14" ht="22.5" customHeight="1">
      <c r="A66" s="432" t="s">
        <v>181</v>
      </c>
      <c r="B66" s="432"/>
      <c r="C66" s="432"/>
      <c r="D66" s="432"/>
      <c r="E66" s="432"/>
      <c r="F66" s="432"/>
      <c r="G66" s="432"/>
      <c r="H66" s="432"/>
      <c r="I66" s="432"/>
      <c r="J66" s="432"/>
      <c r="K66" s="432"/>
      <c r="L66" s="432"/>
      <c r="M66" s="432"/>
      <c r="N66" s="432"/>
    </row>
    <row r="67" spans="1:14" ht="20.25" customHeight="1">
      <c r="A67" s="347" t="s">
        <v>133</v>
      </c>
      <c r="B67" s="347"/>
      <c r="C67" s="347"/>
      <c r="D67" s="347"/>
      <c r="E67" s="347"/>
      <c r="F67" s="347"/>
      <c r="G67" s="347"/>
      <c r="H67" s="347"/>
      <c r="I67" s="347"/>
      <c r="J67" s="347"/>
      <c r="K67" s="347"/>
      <c r="L67" s="347"/>
      <c r="M67" s="347"/>
      <c r="N67" s="347"/>
    </row>
    <row r="68" spans="1:14" ht="71.25">
      <c r="A68" s="295" t="s">
        <v>0</v>
      </c>
      <c r="B68" s="286" t="s">
        <v>60</v>
      </c>
      <c r="C68" s="295" t="s">
        <v>85</v>
      </c>
      <c r="D68" s="20" t="s">
        <v>86</v>
      </c>
      <c r="E68" s="20" t="s">
        <v>87</v>
      </c>
      <c r="F68" s="286" t="s">
        <v>134</v>
      </c>
      <c r="G68" s="286" t="s">
        <v>135</v>
      </c>
      <c r="H68" s="286" t="s">
        <v>88</v>
      </c>
      <c r="I68" s="286" t="s">
        <v>89</v>
      </c>
      <c r="J68" s="286" t="s">
        <v>90</v>
      </c>
      <c r="K68" s="286" t="s">
        <v>91</v>
      </c>
      <c r="L68" s="286" t="s">
        <v>92</v>
      </c>
      <c r="M68" s="286" t="s">
        <v>93</v>
      </c>
      <c r="N68" s="286" t="s">
        <v>94</v>
      </c>
    </row>
    <row r="69" spans="1:14">
      <c r="A69" s="295">
        <v>1</v>
      </c>
      <c r="B69" s="295">
        <v>2</v>
      </c>
      <c r="C69" s="295">
        <v>3</v>
      </c>
      <c r="D69" s="295">
        <v>4</v>
      </c>
      <c r="E69" s="295">
        <v>5</v>
      </c>
      <c r="F69" s="295">
        <v>6</v>
      </c>
      <c r="G69" s="295">
        <v>7</v>
      </c>
      <c r="H69" s="295">
        <v>8</v>
      </c>
      <c r="I69" s="286">
        <v>9</v>
      </c>
      <c r="J69" s="295">
        <v>10</v>
      </c>
      <c r="K69" s="295">
        <v>11</v>
      </c>
      <c r="L69" s="295">
        <v>12</v>
      </c>
      <c r="M69" s="295">
        <v>13</v>
      </c>
      <c r="N69" s="295">
        <v>14</v>
      </c>
    </row>
    <row r="70" spans="1:14" ht="90">
      <c r="A70" s="278">
        <v>1</v>
      </c>
      <c r="B70" s="376" t="s">
        <v>1943</v>
      </c>
      <c r="C70" s="376" t="s">
        <v>2051</v>
      </c>
      <c r="D70" s="279" t="s">
        <v>2052</v>
      </c>
      <c r="E70" s="288" t="s">
        <v>2053</v>
      </c>
      <c r="F70" s="278">
        <v>62.87</v>
      </c>
      <c r="G70" s="278">
        <v>62.87</v>
      </c>
      <c r="H70" s="278" t="s">
        <v>2054</v>
      </c>
      <c r="I70" s="278" t="s">
        <v>2055</v>
      </c>
      <c r="J70" s="278" t="s">
        <v>2056</v>
      </c>
      <c r="K70" s="278" t="s">
        <v>150</v>
      </c>
      <c r="L70" s="278" t="s">
        <v>2057</v>
      </c>
      <c r="M70" s="85">
        <v>68.400000000000006</v>
      </c>
      <c r="N70" s="278"/>
    </row>
    <row r="71" spans="1:14" ht="75">
      <c r="A71" s="278">
        <v>2</v>
      </c>
      <c r="B71" s="376"/>
      <c r="C71" s="376"/>
      <c r="D71" s="279" t="s">
        <v>2058</v>
      </c>
      <c r="E71" s="288" t="s">
        <v>2059</v>
      </c>
      <c r="F71" s="278">
        <v>105.46</v>
      </c>
      <c r="G71" s="278">
        <v>105.46</v>
      </c>
      <c r="H71" s="278" t="s">
        <v>2060</v>
      </c>
      <c r="I71" s="278" t="s">
        <v>2061</v>
      </c>
      <c r="J71" s="278" t="s">
        <v>2062</v>
      </c>
      <c r="K71" s="278" t="s">
        <v>1130</v>
      </c>
      <c r="L71" s="278" t="s">
        <v>2063</v>
      </c>
      <c r="M71" s="278">
        <v>59.73</v>
      </c>
      <c r="N71" s="278"/>
    </row>
    <row r="72" spans="1:14" ht="135">
      <c r="A72" s="278">
        <v>3</v>
      </c>
      <c r="B72" s="376"/>
      <c r="C72" s="376"/>
      <c r="D72" s="279" t="s">
        <v>2064</v>
      </c>
      <c r="E72" s="288" t="s">
        <v>2065</v>
      </c>
      <c r="F72" s="278">
        <v>330.53</v>
      </c>
      <c r="G72" s="278">
        <v>330.53</v>
      </c>
      <c r="H72" s="278" t="s">
        <v>2066</v>
      </c>
      <c r="I72" s="278" t="s">
        <v>2061</v>
      </c>
      <c r="J72" s="278" t="s">
        <v>2067</v>
      </c>
      <c r="K72" s="278" t="s">
        <v>2068</v>
      </c>
      <c r="L72" s="278" t="s">
        <v>2069</v>
      </c>
      <c r="M72" s="278">
        <v>66.25</v>
      </c>
      <c r="N72" s="278"/>
    </row>
    <row r="73" spans="1:14" ht="75">
      <c r="A73" s="187">
        <v>4</v>
      </c>
      <c r="B73" s="376"/>
      <c r="C73" s="376" t="s">
        <v>2005</v>
      </c>
      <c r="D73" s="279" t="s">
        <v>2070</v>
      </c>
      <c r="E73" s="288" t="s">
        <v>2071</v>
      </c>
      <c r="F73" s="278">
        <v>2156.5</v>
      </c>
      <c r="G73" s="278">
        <v>200.34</v>
      </c>
      <c r="H73" s="241">
        <v>43556</v>
      </c>
      <c r="I73" s="348" t="s">
        <v>95</v>
      </c>
      <c r="J73" s="278" t="s">
        <v>2072</v>
      </c>
      <c r="K73" s="241">
        <v>45383</v>
      </c>
      <c r="L73" s="278">
        <v>25000</v>
      </c>
      <c r="M73" s="278"/>
      <c r="N73" s="278"/>
    </row>
    <row r="74" spans="1:14" ht="75">
      <c r="A74" s="187">
        <v>5</v>
      </c>
      <c r="B74" s="376"/>
      <c r="C74" s="376"/>
      <c r="D74" s="279" t="s">
        <v>2073</v>
      </c>
      <c r="E74" s="288" t="s">
        <v>2074</v>
      </c>
      <c r="F74" s="278">
        <v>2691.85</v>
      </c>
      <c r="G74" s="278">
        <v>250.08</v>
      </c>
      <c r="H74" s="278" t="s">
        <v>2075</v>
      </c>
      <c r="I74" s="348"/>
      <c r="J74" s="278" t="s">
        <v>2076</v>
      </c>
      <c r="K74" s="241">
        <v>45170</v>
      </c>
      <c r="L74" s="278">
        <v>26000</v>
      </c>
      <c r="M74" s="278"/>
      <c r="N74" s="278"/>
    </row>
    <row r="75" spans="1:14" ht="105">
      <c r="A75" s="187">
        <v>6</v>
      </c>
      <c r="B75" s="376"/>
      <c r="C75" s="376"/>
      <c r="D75" s="279" t="s">
        <v>2077</v>
      </c>
      <c r="E75" s="288" t="s">
        <v>2078</v>
      </c>
      <c r="F75" s="278">
        <v>1265.6199999999999</v>
      </c>
      <c r="G75" s="278">
        <v>117.57</v>
      </c>
      <c r="H75" s="278" t="s">
        <v>2079</v>
      </c>
      <c r="I75" s="348"/>
      <c r="J75" s="278" t="s">
        <v>2080</v>
      </c>
      <c r="K75" s="278" t="s">
        <v>2081</v>
      </c>
      <c r="L75" s="278">
        <v>25500</v>
      </c>
      <c r="M75" s="278"/>
      <c r="N75" s="278" t="s">
        <v>2082</v>
      </c>
    </row>
    <row r="76" spans="1:14" ht="120">
      <c r="A76" s="187">
        <v>7</v>
      </c>
      <c r="B76" s="376"/>
      <c r="C76" s="376"/>
      <c r="D76" s="279" t="s">
        <v>2083</v>
      </c>
      <c r="E76" s="288" t="s">
        <v>2084</v>
      </c>
      <c r="F76" s="278">
        <v>3253.59</v>
      </c>
      <c r="G76" s="278">
        <v>302.24</v>
      </c>
      <c r="H76" s="241">
        <v>41171</v>
      </c>
      <c r="I76" s="348"/>
      <c r="J76" s="278" t="s">
        <v>2085</v>
      </c>
      <c r="K76" s="241">
        <v>44470</v>
      </c>
      <c r="L76" s="278">
        <v>20366</v>
      </c>
      <c r="M76" s="278"/>
      <c r="N76" s="278"/>
    </row>
    <row r="77" spans="1:14" ht="150">
      <c r="A77" s="187">
        <v>8</v>
      </c>
      <c r="B77" s="376"/>
      <c r="C77" s="376"/>
      <c r="D77" s="279" t="s">
        <v>2086</v>
      </c>
      <c r="E77" s="288" t="s">
        <v>2087</v>
      </c>
      <c r="F77" s="278">
        <v>1418.82</v>
      </c>
      <c r="G77" s="278">
        <v>434.92</v>
      </c>
      <c r="H77" s="278" t="s">
        <v>2088</v>
      </c>
      <c r="I77" s="348"/>
      <c r="J77" s="278" t="s">
        <v>2089</v>
      </c>
      <c r="K77" s="278" t="s">
        <v>2090</v>
      </c>
      <c r="L77" s="278">
        <v>7291</v>
      </c>
      <c r="M77" s="278"/>
      <c r="N77" s="278" t="s">
        <v>2091</v>
      </c>
    </row>
    <row r="78" spans="1:14" ht="120">
      <c r="A78" s="187">
        <v>9</v>
      </c>
      <c r="B78" s="376"/>
      <c r="C78" s="376"/>
      <c r="D78" s="279" t="s">
        <v>2092</v>
      </c>
      <c r="E78" s="288" t="s">
        <v>2093</v>
      </c>
      <c r="F78" s="278">
        <v>11345</v>
      </c>
      <c r="G78" s="278">
        <v>3457.9560000000001</v>
      </c>
      <c r="H78" s="278" t="s">
        <v>2088</v>
      </c>
      <c r="I78" s="348"/>
      <c r="J78" s="278" t="s">
        <v>2094</v>
      </c>
      <c r="K78" s="278" t="s">
        <v>2095</v>
      </c>
      <c r="L78" s="278" t="s">
        <v>2096</v>
      </c>
      <c r="M78" s="278"/>
      <c r="N78" s="278" t="s">
        <v>2097</v>
      </c>
    </row>
    <row r="79" spans="1:14" ht="30">
      <c r="A79" s="187">
        <v>10</v>
      </c>
      <c r="B79" s="376"/>
      <c r="C79" s="376"/>
      <c r="D79" s="292" t="s">
        <v>2098</v>
      </c>
      <c r="E79" s="288" t="s">
        <v>2099</v>
      </c>
      <c r="F79" s="278">
        <v>6525</v>
      </c>
      <c r="G79" s="278">
        <v>5560</v>
      </c>
      <c r="H79" s="278" t="s">
        <v>2100</v>
      </c>
      <c r="I79" s="348"/>
      <c r="J79" s="294" t="s">
        <v>2101</v>
      </c>
      <c r="K79" s="278" t="s">
        <v>2102</v>
      </c>
      <c r="L79" s="294">
        <v>85000</v>
      </c>
      <c r="M79" s="278"/>
      <c r="N79" s="278"/>
    </row>
    <row r="80" spans="1:14" ht="45">
      <c r="A80" s="187">
        <v>11</v>
      </c>
      <c r="B80" s="376"/>
      <c r="C80" s="376"/>
      <c r="D80" s="292" t="s">
        <v>2103</v>
      </c>
      <c r="E80" s="288" t="s">
        <v>2104</v>
      </c>
      <c r="F80" s="278">
        <v>2720</v>
      </c>
      <c r="G80" s="278">
        <v>1603.24</v>
      </c>
      <c r="H80" s="278">
        <v>2002</v>
      </c>
      <c r="I80" s="348"/>
      <c r="J80" s="55" t="s">
        <v>2105</v>
      </c>
      <c r="K80" s="278" t="s">
        <v>2106</v>
      </c>
      <c r="L80" s="294">
        <v>16200</v>
      </c>
      <c r="M80" s="278"/>
      <c r="N80" s="278"/>
    </row>
    <row r="81" spans="1:14" ht="60">
      <c r="A81" s="187">
        <v>12</v>
      </c>
      <c r="B81" s="376"/>
      <c r="C81" s="376"/>
      <c r="D81" s="292" t="s">
        <v>2107</v>
      </c>
      <c r="E81" s="288" t="s">
        <v>2108</v>
      </c>
      <c r="F81" s="278">
        <v>412.88</v>
      </c>
      <c r="G81" s="278">
        <v>764.5</v>
      </c>
      <c r="H81" s="278" t="s">
        <v>2109</v>
      </c>
      <c r="I81" s="348"/>
      <c r="J81" s="294" t="s">
        <v>2110</v>
      </c>
      <c r="K81" s="278" t="s">
        <v>2111</v>
      </c>
      <c r="L81" s="294">
        <v>51798</v>
      </c>
      <c r="M81" s="278"/>
      <c r="N81" s="278"/>
    </row>
    <row r="82" spans="1:14" ht="120">
      <c r="A82" s="187">
        <v>13</v>
      </c>
      <c r="B82" s="376"/>
      <c r="C82" s="376"/>
      <c r="D82" s="292" t="s">
        <v>2112</v>
      </c>
      <c r="E82" s="288" t="s">
        <v>2113</v>
      </c>
      <c r="F82" s="278">
        <v>1906.5</v>
      </c>
      <c r="G82" s="278">
        <v>6820</v>
      </c>
      <c r="H82" s="278" t="s">
        <v>2114</v>
      </c>
      <c r="I82" s="348"/>
      <c r="J82" s="294" t="s">
        <v>2115</v>
      </c>
      <c r="K82" s="278" t="s">
        <v>2116</v>
      </c>
      <c r="L82" s="294">
        <v>38000</v>
      </c>
      <c r="M82" s="278"/>
      <c r="N82" s="278" t="s">
        <v>2117</v>
      </c>
    </row>
    <row r="83" spans="1:14" ht="30">
      <c r="A83" s="187">
        <v>14</v>
      </c>
      <c r="B83" s="376"/>
      <c r="C83" s="376"/>
      <c r="D83" s="292" t="s">
        <v>2118</v>
      </c>
      <c r="E83" s="288" t="s">
        <v>2119</v>
      </c>
      <c r="F83" s="278">
        <v>10890</v>
      </c>
      <c r="G83" s="278">
        <v>1445</v>
      </c>
      <c r="H83" s="241">
        <v>40664</v>
      </c>
      <c r="I83" s="348"/>
      <c r="J83" s="294" t="s">
        <v>2120</v>
      </c>
      <c r="K83" s="241">
        <v>40664</v>
      </c>
      <c r="L83" s="294" t="s">
        <v>2121</v>
      </c>
      <c r="M83" s="278"/>
      <c r="N83" s="278"/>
    </row>
    <row r="84" spans="1:14" ht="60">
      <c r="A84" s="187">
        <v>15</v>
      </c>
      <c r="B84" s="376"/>
      <c r="C84" s="376"/>
      <c r="D84" s="292" t="s">
        <v>2122</v>
      </c>
      <c r="E84" s="288" t="s">
        <v>2123</v>
      </c>
      <c r="F84" s="278">
        <v>2444</v>
      </c>
      <c r="G84" s="278">
        <v>431.81</v>
      </c>
      <c r="H84" s="241">
        <v>42917</v>
      </c>
      <c r="I84" s="348"/>
      <c r="J84" s="294" t="s">
        <v>2124</v>
      </c>
      <c r="K84" s="278" t="s">
        <v>2125</v>
      </c>
      <c r="L84" s="294">
        <v>59117</v>
      </c>
      <c r="M84" s="278"/>
      <c r="N84" s="278" t="s">
        <v>2126</v>
      </c>
    </row>
    <row r="85" spans="1:14" ht="60">
      <c r="A85" s="187">
        <v>16</v>
      </c>
      <c r="B85" s="376"/>
      <c r="C85" s="376"/>
      <c r="D85" s="292" t="s">
        <v>2127</v>
      </c>
      <c r="E85" s="288" t="s">
        <v>2128</v>
      </c>
      <c r="F85" s="278"/>
      <c r="G85" s="278" t="s">
        <v>2129</v>
      </c>
      <c r="H85" s="241">
        <v>34790</v>
      </c>
      <c r="I85" s="348"/>
      <c r="J85" s="188" t="s">
        <v>2124</v>
      </c>
      <c r="K85" s="278" t="s">
        <v>2125</v>
      </c>
      <c r="L85" s="294">
        <v>14480</v>
      </c>
      <c r="M85" s="278"/>
      <c r="N85" s="278" t="s">
        <v>2126</v>
      </c>
    </row>
    <row r="86" spans="1:14" ht="45">
      <c r="A86" s="187">
        <v>17</v>
      </c>
      <c r="B86" s="376"/>
      <c r="C86" s="376"/>
      <c r="D86" s="292" t="s">
        <v>2130</v>
      </c>
      <c r="E86" s="288" t="s">
        <v>2131</v>
      </c>
      <c r="F86" s="278">
        <v>1243.81</v>
      </c>
      <c r="G86" s="278">
        <v>1558</v>
      </c>
      <c r="H86" s="241">
        <v>36192</v>
      </c>
      <c r="I86" s="348"/>
      <c r="J86" s="294" t="s">
        <v>2132</v>
      </c>
      <c r="K86" s="278" t="s">
        <v>1130</v>
      </c>
      <c r="L86" s="294">
        <v>14100</v>
      </c>
      <c r="M86" s="278"/>
      <c r="N86" s="278"/>
    </row>
    <row r="87" spans="1:14">
      <c r="A87" s="559"/>
      <c r="B87" s="559"/>
      <c r="C87" s="559"/>
      <c r="D87" s="559"/>
      <c r="E87" s="559"/>
      <c r="F87" s="559"/>
      <c r="G87" s="559"/>
      <c r="H87" s="559"/>
      <c r="I87" s="559"/>
      <c r="J87" s="559"/>
      <c r="K87" s="559"/>
      <c r="L87" s="559"/>
      <c r="M87" s="559"/>
      <c r="N87" s="559"/>
    </row>
    <row r="88" spans="1:14" ht="22.5">
      <c r="A88" s="432" t="s">
        <v>182</v>
      </c>
      <c r="B88" s="432"/>
      <c r="C88" s="432"/>
      <c r="D88" s="432"/>
      <c r="E88" s="432"/>
      <c r="F88" s="432"/>
      <c r="G88" s="432"/>
      <c r="H88" s="432"/>
      <c r="I88" s="432"/>
      <c r="J88" s="432"/>
      <c r="K88" s="432"/>
      <c r="L88" s="432"/>
      <c r="M88" s="432"/>
      <c r="N88" s="432"/>
    </row>
    <row r="89" spans="1:14" ht="20.25">
      <c r="A89" s="347" t="s">
        <v>133</v>
      </c>
      <c r="B89" s="347"/>
      <c r="C89" s="347"/>
      <c r="D89" s="347"/>
      <c r="E89" s="347"/>
      <c r="F89" s="347"/>
      <c r="G89" s="347"/>
      <c r="H89" s="347"/>
      <c r="I89" s="347"/>
      <c r="J89" s="347"/>
      <c r="K89" s="347"/>
      <c r="L89" s="347"/>
      <c r="M89" s="347"/>
      <c r="N89" s="347"/>
    </row>
    <row r="90" spans="1:14" ht="75" customHeight="1">
      <c r="A90" s="295" t="s">
        <v>0</v>
      </c>
      <c r="B90" s="286" t="s">
        <v>60</v>
      </c>
      <c r="C90" s="295" t="s">
        <v>85</v>
      </c>
      <c r="D90" s="20" t="s">
        <v>86</v>
      </c>
      <c r="E90" s="20" t="s">
        <v>87</v>
      </c>
      <c r="F90" s="286" t="s">
        <v>134</v>
      </c>
      <c r="G90" s="286" t="s">
        <v>135</v>
      </c>
      <c r="H90" s="286" t="s">
        <v>88</v>
      </c>
      <c r="I90" s="286" t="s">
        <v>89</v>
      </c>
      <c r="J90" s="286" t="s">
        <v>90</v>
      </c>
      <c r="K90" s="286" t="s">
        <v>91</v>
      </c>
      <c r="L90" s="286" t="s">
        <v>92</v>
      </c>
      <c r="M90" s="286" t="s">
        <v>93</v>
      </c>
      <c r="N90" s="286" t="s">
        <v>94</v>
      </c>
    </row>
    <row r="91" spans="1:14">
      <c r="A91" s="295">
        <v>1</v>
      </c>
      <c r="B91" s="295">
        <v>2</v>
      </c>
      <c r="C91" s="295">
        <v>3</v>
      </c>
      <c r="D91" s="295">
        <v>4</v>
      </c>
      <c r="E91" s="295">
        <v>5</v>
      </c>
      <c r="F91" s="295">
        <v>6</v>
      </c>
      <c r="G91" s="295">
        <v>7</v>
      </c>
      <c r="H91" s="295">
        <v>8</v>
      </c>
      <c r="I91" s="286">
        <v>9</v>
      </c>
      <c r="J91" s="295">
        <v>10</v>
      </c>
      <c r="K91" s="295">
        <v>11</v>
      </c>
      <c r="L91" s="295">
        <v>12</v>
      </c>
      <c r="M91" s="295">
        <v>13</v>
      </c>
      <c r="N91" s="295">
        <v>14</v>
      </c>
    </row>
    <row r="92" spans="1:14" ht="105">
      <c r="A92" s="321">
        <v>1</v>
      </c>
      <c r="B92" s="376" t="s">
        <v>493</v>
      </c>
      <c r="C92" s="376" t="s">
        <v>1168</v>
      </c>
      <c r="D92" s="376" t="s">
        <v>2049</v>
      </c>
      <c r="E92" s="321" t="s">
        <v>1169</v>
      </c>
      <c r="F92" s="321" t="s">
        <v>42</v>
      </c>
      <c r="G92" s="321" t="s">
        <v>498</v>
      </c>
      <c r="H92" s="321" t="s">
        <v>42</v>
      </c>
      <c r="I92" s="321" t="s">
        <v>42</v>
      </c>
      <c r="J92" s="321" t="s">
        <v>42</v>
      </c>
      <c r="K92" s="321" t="s">
        <v>42</v>
      </c>
      <c r="L92" s="321" t="s">
        <v>500</v>
      </c>
      <c r="M92" s="321" t="s">
        <v>42</v>
      </c>
      <c r="N92" s="321" t="s">
        <v>501</v>
      </c>
    </row>
    <row r="93" spans="1:14" ht="90">
      <c r="A93" s="321">
        <v>2</v>
      </c>
      <c r="B93" s="376"/>
      <c r="C93" s="376"/>
      <c r="D93" s="376"/>
      <c r="E93" s="321" t="s">
        <v>1170</v>
      </c>
      <c r="F93" s="321" t="s">
        <v>42</v>
      </c>
      <c r="G93" s="321" t="s">
        <v>503</v>
      </c>
      <c r="H93" s="321">
        <v>1975</v>
      </c>
      <c r="I93" s="321" t="s">
        <v>42</v>
      </c>
      <c r="J93" s="321" t="s">
        <v>42</v>
      </c>
      <c r="K93" s="321" t="s">
        <v>42</v>
      </c>
      <c r="L93" s="321" t="s">
        <v>504</v>
      </c>
      <c r="M93" s="321" t="s">
        <v>42</v>
      </c>
      <c r="N93" s="321" t="s">
        <v>501</v>
      </c>
    </row>
    <row r="94" spans="1:14" ht="75" customHeight="1">
      <c r="A94" s="321">
        <v>3</v>
      </c>
      <c r="B94" s="376"/>
      <c r="C94" s="558" t="s">
        <v>512</v>
      </c>
      <c r="D94" s="240" t="s">
        <v>1171</v>
      </c>
      <c r="E94" s="323" t="s">
        <v>1172</v>
      </c>
      <c r="F94" s="323" t="s">
        <v>1173</v>
      </c>
      <c r="G94" s="485" t="s">
        <v>110</v>
      </c>
      <c r="H94" s="485"/>
      <c r="I94" s="485"/>
      <c r="J94" s="485"/>
      <c r="K94" s="485"/>
      <c r="L94" s="485"/>
      <c r="M94" s="485"/>
      <c r="N94" s="323" t="s">
        <v>1174</v>
      </c>
    </row>
    <row r="95" spans="1:14" ht="75" customHeight="1">
      <c r="A95" s="321">
        <v>4</v>
      </c>
      <c r="B95" s="376"/>
      <c r="C95" s="558"/>
      <c r="D95" s="240" t="s">
        <v>1175</v>
      </c>
      <c r="E95" s="323" t="s">
        <v>1176</v>
      </c>
      <c r="F95" s="323" t="s">
        <v>1177</v>
      </c>
      <c r="G95" s="485" t="s">
        <v>1178</v>
      </c>
      <c r="H95" s="485"/>
      <c r="I95" s="485"/>
      <c r="J95" s="485"/>
      <c r="K95" s="485"/>
      <c r="L95" s="485"/>
      <c r="M95" s="485"/>
      <c r="N95" s="323"/>
    </row>
    <row r="96" spans="1:14" ht="75" customHeight="1">
      <c r="A96" s="321">
        <v>5</v>
      </c>
      <c r="B96" s="376"/>
      <c r="C96" s="558"/>
      <c r="D96" s="322" t="s">
        <v>1179</v>
      </c>
      <c r="E96" s="321" t="s">
        <v>1180</v>
      </c>
      <c r="F96" s="321" t="s">
        <v>1181</v>
      </c>
      <c r="G96" s="321" t="s">
        <v>1182</v>
      </c>
      <c r="H96" s="321" t="s">
        <v>1183</v>
      </c>
      <c r="I96" s="321" t="s">
        <v>1184</v>
      </c>
      <c r="J96" s="321" t="s">
        <v>100</v>
      </c>
      <c r="K96" s="321" t="s">
        <v>143</v>
      </c>
      <c r="L96" s="321" t="s">
        <v>1185</v>
      </c>
      <c r="M96" s="321"/>
      <c r="N96" s="321"/>
    </row>
    <row r="97" spans="1:14" ht="75" customHeight="1">
      <c r="A97" s="321">
        <v>6</v>
      </c>
      <c r="B97" s="376"/>
      <c r="C97" s="558"/>
      <c r="D97" s="322" t="s">
        <v>1186</v>
      </c>
      <c r="E97" s="321" t="s">
        <v>1187</v>
      </c>
      <c r="F97" s="321" t="s">
        <v>1188</v>
      </c>
      <c r="G97" s="321" t="s">
        <v>1189</v>
      </c>
      <c r="H97" s="321" t="s">
        <v>1190</v>
      </c>
      <c r="I97" s="321" t="s">
        <v>1184</v>
      </c>
      <c r="J97" s="321" t="s">
        <v>100</v>
      </c>
      <c r="K97" s="321" t="s">
        <v>1191</v>
      </c>
      <c r="L97" s="321" t="s">
        <v>1192</v>
      </c>
      <c r="M97" s="321"/>
      <c r="N97" s="321"/>
    </row>
    <row r="98" spans="1:14" ht="75" customHeight="1">
      <c r="A98" s="321">
        <v>7</v>
      </c>
      <c r="B98" s="376"/>
      <c r="C98" s="558"/>
      <c r="D98" s="322" t="s">
        <v>1193</v>
      </c>
      <c r="E98" s="321" t="s">
        <v>1194</v>
      </c>
      <c r="F98" s="327" t="s">
        <v>1195</v>
      </c>
      <c r="G98" s="321" t="s">
        <v>1196</v>
      </c>
      <c r="H98" s="321" t="s">
        <v>167</v>
      </c>
      <c r="I98" s="321" t="s">
        <v>1184</v>
      </c>
      <c r="J98" s="321" t="s">
        <v>100</v>
      </c>
      <c r="K98" s="321" t="s">
        <v>1059</v>
      </c>
      <c r="L98" s="321" t="s">
        <v>1197</v>
      </c>
      <c r="M98" s="321"/>
      <c r="N98" s="321"/>
    </row>
    <row r="99" spans="1:14" ht="75" customHeight="1">
      <c r="A99" s="321">
        <v>8</v>
      </c>
      <c r="B99" s="376"/>
      <c r="C99" s="558"/>
      <c r="D99" s="322" t="s">
        <v>1198</v>
      </c>
      <c r="E99" s="321" t="s">
        <v>1199</v>
      </c>
      <c r="F99" s="321" t="s">
        <v>1200</v>
      </c>
      <c r="G99" s="321" t="s">
        <v>1201</v>
      </c>
      <c r="H99" s="321" t="s">
        <v>1202</v>
      </c>
      <c r="I99" s="321" t="s">
        <v>1203</v>
      </c>
      <c r="J99" s="321" t="s">
        <v>96</v>
      </c>
      <c r="K99" s="321" t="s">
        <v>151</v>
      </c>
      <c r="L99" s="321" t="s">
        <v>1204</v>
      </c>
      <c r="M99" s="321"/>
      <c r="N99" s="321"/>
    </row>
    <row r="100" spans="1:14" ht="75" customHeight="1">
      <c r="A100" s="321">
        <v>9</v>
      </c>
      <c r="B100" s="376"/>
      <c r="C100" s="558"/>
      <c r="D100" s="322" t="s">
        <v>1205</v>
      </c>
      <c r="E100" s="328" t="s">
        <v>2482</v>
      </c>
      <c r="F100" s="321" t="s">
        <v>1206</v>
      </c>
      <c r="G100" s="321"/>
      <c r="H100" s="321"/>
      <c r="I100" s="321" t="s">
        <v>1184</v>
      </c>
      <c r="J100" s="321"/>
      <c r="K100" s="321"/>
      <c r="L100" s="321" t="s">
        <v>1207</v>
      </c>
      <c r="M100" s="321"/>
      <c r="N100" s="321" t="s">
        <v>1208</v>
      </c>
    </row>
    <row r="101" spans="1:14" ht="75" customHeight="1">
      <c r="A101" s="321">
        <v>10</v>
      </c>
      <c r="B101" s="376"/>
      <c r="C101" s="558"/>
      <c r="D101" s="322" t="s">
        <v>1209</v>
      </c>
      <c r="E101" s="321" t="s">
        <v>1210</v>
      </c>
      <c r="F101" s="321" t="s">
        <v>1211</v>
      </c>
      <c r="G101" s="321" t="s">
        <v>1211</v>
      </c>
      <c r="H101" s="321" t="s">
        <v>1212</v>
      </c>
      <c r="I101" s="321" t="s">
        <v>1213</v>
      </c>
      <c r="J101" s="321" t="s">
        <v>1214</v>
      </c>
      <c r="K101" s="321" t="s">
        <v>1215</v>
      </c>
      <c r="L101" s="321" t="s">
        <v>1216</v>
      </c>
      <c r="M101" s="321">
        <v>80.56</v>
      </c>
      <c r="N101" s="321" t="s">
        <v>1217</v>
      </c>
    </row>
    <row r="102" spans="1:14" ht="75" customHeight="1">
      <c r="A102" s="321">
        <v>11</v>
      </c>
      <c r="B102" s="376"/>
      <c r="C102" s="558"/>
      <c r="D102" s="322" t="s">
        <v>1218</v>
      </c>
      <c r="E102" s="321" t="s">
        <v>1219</v>
      </c>
      <c r="F102" s="321" t="s">
        <v>1220</v>
      </c>
      <c r="G102" s="321">
        <v>660</v>
      </c>
      <c r="H102" s="321" t="s">
        <v>1221</v>
      </c>
      <c r="I102" s="323" t="s">
        <v>1222</v>
      </c>
      <c r="J102" s="326" t="s">
        <v>1223</v>
      </c>
      <c r="K102" s="241">
        <v>43831</v>
      </c>
      <c r="L102" s="321" t="s">
        <v>1224</v>
      </c>
      <c r="M102" s="321" t="s">
        <v>1225</v>
      </c>
      <c r="N102" s="321"/>
    </row>
    <row r="103" spans="1:14" ht="75" customHeight="1">
      <c r="A103" s="321">
        <v>12</v>
      </c>
      <c r="B103" s="376"/>
      <c r="C103" s="558"/>
      <c r="D103" s="322" t="s">
        <v>1226</v>
      </c>
      <c r="E103" s="321" t="s">
        <v>1227</v>
      </c>
      <c r="F103" s="321" t="s">
        <v>1228</v>
      </c>
      <c r="G103" s="321">
        <v>250</v>
      </c>
      <c r="H103" s="321" t="s">
        <v>1229</v>
      </c>
      <c r="I103" s="323" t="s">
        <v>1222</v>
      </c>
      <c r="J103" s="321" t="s">
        <v>1230</v>
      </c>
      <c r="K103" s="321" t="s">
        <v>1231</v>
      </c>
      <c r="L103" s="321" t="s">
        <v>1232</v>
      </c>
      <c r="M103" s="321" t="s">
        <v>1233</v>
      </c>
      <c r="N103" s="321"/>
    </row>
    <row r="104" spans="1:14" ht="75" customHeight="1">
      <c r="A104" s="321">
        <v>13</v>
      </c>
      <c r="B104" s="376"/>
      <c r="C104" s="558"/>
      <c r="D104" s="322" t="s">
        <v>1234</v>
      </c>
      <c r="E104" s="321" t="s">
        <v>1235</v>
      </c>
      <c r="F104" s="321" t="s">
        <v>1236</v>
      </c>
      <c r="G104" s="321">
        <v>245.26400000000001</v>
      </c>
      <c r="H104" s="321" t="s">
        <v>1237</v>
      </c>
      <c r="I104" s="323" t="s">
        <v>1222</v>
      </c>
      <c r="J104" s="321" t="s">
        <v>1238</v>
      </c>
      <c r="K104" s="241">
        <v>43469</v>
      </c>
      <c r="L104" s="321" t="s">
        <v>1239</v>
      </c>
      <c r="M104" s="321" t="s">
        <v>1240</v>
      </c>
      <c r="N104" s="321"/>
    </row>
    <row r="105" spans="1:14" ht="75" customHeight="1">
      <c r="A105" s="321">
        <v>14</v>
      </c>
      <c r="B105" s="376"/>
      <c r="C105" s="558"/>
      <c r="D105" s="240" t="s">
        <v>1241</v>
      </c>
      <c r="E105" s="323" t="s">
        <v>1242</v>
      </c>
      <c r="F105" s="323" t="s">
        <v>1243</v>
      </c>
      <c r="G105" s="321" t="s">
        <v>1243</v>
      </c>
      <c r="H105" s="323" t="s">
        <v>1244</v>
      </c>
      <c r="I105" s="323" t="s">
        <v>1222</v>
      </c>
      <c r="J105" s="323" t="s">
        <v>1245</v>
      </c>
      <c r="K105" s="321" t="s">
        <v>1246</v>
      </c>
      <c r="L105" s="323" t="s">
        <v>1247</v>
      </c>
      <c r="M105" s="321" t="s">
        <v>1248</v>
      </c>
      <c r="N105" s="321"/>
    </row>
    <row r="106" spans="1:14" ht="75" customHeight="1">
      <c r="A106" s="321">
        <v>15</v>
      </c>
      <c r="B106" s="376"/>
      <c r="C106" s="558"/>
      <c r="D106" s="240" t="s">
        <v>1249</v>
      </c>
      <c r="E106" s="323" t="s">
        <v>1242</v>
      </c>
      <c r="F106" s="323" t="s">
        <v>1243</v>
      </c>
      <c r="G106" s="321" t="s">
        <v>1250</v>
      </c>
      <c r="H106" s="256">
        <v>40182</v>
      </c>
      <c r="I106" s="323" t="s">
        <v>1222</v>
      </c>
      <c r="J106" s="323" t="s">
        <v>1251</v>
      </c>
      <c r="K106" s="241">
        <v>43864</v>
      </c>
      <c r="L106" s="323" t="s">
        <v>1252</v>
      </c>
      <c r="M106" s="321" t="s">
        <v>1253</v>
      </c>
      <c r="N106" s="321"/>
    </row>
    <row r="107" spans="1:14" ht="75" customHeight="1">
      <c r="A107" s="321">
        <v>16</v>
      </c>
      <c r="B107" s="376"/>
      <c r="C107" s="558"/>
      <c r="D107" s="240" t="s">
        <v>1254</v>
      </c>
      <c r="E107" s="323" t="s">
        <v>1242</v>
      </c>
      <c r="F107" s="323" t="s">
        <v>1255</v>
      </c>
      <c r="G107" s="321" t="s">
        <v>1255</v>
      </c>
      <c r="H107" s="256">
        <v>31784</v>
      </c>
      <c r="I107" s="323" t="s">
        <v>1222</v>
      </c>
      <c r="J107" s="323" t="s">
        <v>1256</v>
      </c>
      <c r="K107" s="241">
        <v>44568</v>
      </c>
      <c r="L107" s="323" t="s">
        <v>1257</v>
      </c>
      <c r="M107" s="321" t="s">
        <v>1258</v>
      </c>
      <c r="N107" s="321"/>
    </row>
    <row r="108" spans="1:14" ht="75" customHeight="1">
      <c r="A108" s="321">
        <v>17</v>
      </c>
      <c r="B108" s="376"/>
      <c r="C108" s="558"/>
      <c r="D108" s="240" t="s">
        <v>1259</v>
      </c>
      <c r="E108" s="323" t="s">
        <v>1260</v>
      </c>
      <c r="F108" s="323" t="s">
        <v>1261</v>
      </c>
      <c r="G108" s="321" t="s">
        <v>1261</v>
      </c>
      <c r="H108" s="323" t="s">
        <v>1262</v>
      </c>
      <c r="I108" s="323" t="s">
        <v>1222</v>
      </c>
      <c r="J108" s="323" t="s">
        <v>1263</v>
      </c>
      <c r="K108" s="241">
        <v>44200</v>
      </c>
      <c r="L108" s="323" t="s">
        <v>1264</v>
      </c>
      <c r="M108" s="321" t="s">
        <v>1265</v>
      </c>
      <c r="N108" s="321"/>
    </row>
    <row r="109" spans="1:14" ht="75" customHeight="1">
      <c r="A109" s="321">
        <v>18</v>
      </c>
      <c r="B109" s="376"/>
      <c r="C109" s="558"/>
      <c r="D109" s="240" t="s">
        <v>1266</v>
      </c>
      <c r="E109" s="323" t="s">
        <v>1267</v>
      </c>
      <c r="F109" s="323" t="s">
        <v>1268</v>
      </c>
      <c r="G109" s="323" t="s">
        <v>1268</v>
      </c>
      <c r="H109" s="256">
        <v>33612</v>
      </c>
      <c r="I109" s="323" t="s">
        <v>1222</v>
      </c>
      <c r="J109" s="323" t="s">
        <v>1269</v>
      </c>
      <c r="K109" s="241">
        <v>44570</v>
      </c>
      <c r="L109" s="323" t="s">
        <v>1270</v>
      </c>
      <c r="M109" s="321" t="s">
        <v>1271</v>
      </c>
      <c r="N109" s="321"/>
    </row>
    <row r="110" spans="1:14" ht="75" customHeight="1">
      <c r="A110" s="321">
        <v>19</v>
      </c>
      <c r="B110" s="376"/>
      <c r="C110" s="558"/>
      <c r="D110" s="240" t="s">
        <v>1272</v>
      </c>
      <c r="E110" s="323" t="s">
        <v>1273</v>
      </c>
      <c r="F110" s="323" t="s">
        <v>1274</v>
      </c>
      <c r="G110" s="323" t="s">
        <v>1274</v>
      </c>
      <c r="H110" s="256">
        <v>36531</v>
      </c>
      <c r="I110" s="323" t="s">
        <v>1222</v>
      </c>
      <c r="J110" s="323" t="s">
        <v>1275</v>
      </c>
      <c r="K110" s="241">
        <v>43836</v>
      </c>
      <c r="L110" s="323" t="s">
        <v>1276</v>
      </c>
      <c r="M110" s="321" t="s">
        <v>1277</v>
      </c>
      <c r="N110" s="321"/>
    </row>
    <row r="111" spans="1:14" ht="75" customHeight="1">
      <c r="A111" s="321">
        <v>20</v>
      </c>
      <c r="B111" s="376"/>
      <c r="C111" s="558"/>
      <c r="D111" s="322" t="s">
        <v>1278</v>
      </c>
      <c r="E111" s="257" t="s">
        <v>1279</v>
      </c>
      <c r="F111" s="257">
        <v>96.4</v>
      </c>
      <c r="G111" s="321">
        <v>110</v>
      </c>
      <c r="H111" s="323" t="s">
        <v>1280</v>
      </c>
      <c r="I111" s="321" t="s">
        <v>1281</v>
      </c>
      <c r="J111" s="321" t="s">
        <v>1282</v>
      </c>
      <c r="K111" s="321" t="s">
        <v>1283</v>
      </c>
      <c r="L111" s="321">
        <v>1500</v>
      </c>
      <c r="M111" s="321">
        <v>15.8</v>
      </c>
      <c r="N111" s="321"/>
    </row>
    <row r="112" spans="1:14" ht="75" customHeight="1">
      <c r="A112" s="321">
        <v>21</v>
      </c>
      <c r="B112" s="376"/>
      <c r="C112" s="558"/>
      <c r="D112" s="322" t="s">
        <v>1284</v>
      </c>
      <c r="E112" s="257" t="s">
        <v>1285</v>
      </c>
      <c r="F112" s="257" t="s">
        <v>1286</v>
      </c>
      <c r="G112" s="321">
        <v>79.52</v>
      </c>
      <c r="H112" s="323" t="s">
        <v>1287</v>
      </c>
      <c r="I112" s="321" t="s">
        <v>1288</v>
      </c>
      <c r="J112" s="321" t="s">
        <v>1282</v>
      </c>
      <c r="K112" s="321" t="s">
        <v>1289</v>
      </c>
      <c r="L112" s="321">
        <v>1643</v>
      </c>
      <c r="M112" s="321">
        <v>30.4</v>
      </c>
      <c r="N112" s="321"/>
    </row>
    <row r="113" spans="1:14" ht="75" customHeight="1">
      <c r="A113" s="321">
        <v>22</v>
      </c>
      <c r="B113" s="376"/>
      <c r="C113" s="558"/>
      <c r="D113" s="322" t="s">
        <v>1290</v>
      </c>
      <c r="E113" s="321" t="s">
        <v>1291</v>
      </c>
      <c r="F113" s="321">
        <v>59.5</v>
      </c>
      <c r="G113" s="321" t="s">
        <v>12</v>
      </c>
      <c r="H113" s="321" t="s">
        <v>161</v>
      </c>
      <c r="I113" s="321" t="s">
        <v>1288</v>
      </c>
      <c r="J113" s="321" t="s">
        <v>1292</v>
      </c>
      <c r="K113" s="321" t="s">
        <v>103</v>
      </c>
      <c r="L113" s="321">
        <v>5000</v>
      </c>
      <c r="M113" s="321">
        <v>84</v>
      </c>
      <c r="N113" s="321"/>
    </row>
    <row r="114" spans="1:14" ht="75" customHeight="1">
      <c r="A114" s="323">
        <v>23</v>
      </c>
      <c r="B114" s="376"/>
      <c r="C114" s="558"/>
      <c r="D114" s="322" t="s">
        <v>1293</v>
      </c>
      <c r="E114" s="321" t="s">
        <v>1294</v>
      </c>
      <c r="F114" s="321">
        <v>163.04</v>
      </c>
      <c r="G114" s="321">
        <v>163.04</v>
      </c>
      <c r="H114" s="321" t="s">
        <v>1295</v>
      </c>
      <c r="I114" s="321" t="s">
        <v>1288</v>
      </c>
      <c r="J114" s="321" t="s">
        <v>1296</v>
      </c>
      <c r="K114" s="5">
        <v>43922</v>
      </c>
      <c r="L114" s="321">
        <v>15635</v>
      </c>
      <c r="M114" s="321">
        <v>95.9</v>
      </c>
      <c r="N114" s="321"/>
    </row>
    <row r="115" spans="1:14" ht="75" customHeight="1">
      <c r="A115" s="348">
        <v>24</v>
      </c>
      <c r="B115" s="376"/>
      <c r="C115" s="558"/>
      <c r="D115" s="558" t="s">
        <v>1297</v>
      </c>
      <c r="E115" s="327" t="s">
        <v>1298</v>
      </c>
      <c r="F115" s="327" t="s">
        <v>1299</v>
      </c>
      <c r="G115" s="327" t="s">
        <v>1299</v>
      </c>
      <c r="H115" s="258" t="s">
        <v>1300</v>
      </c>
      <c r="I115" s="321" t="s">
        <v>1301</v>
      </c>
      <c r="J115" s="327" t="s">
        <v>100</v>
      </c>
      <c r="K115" s="258">
        <v>43680</v>
      </c>
      <c r="L115" s="321" t="s">
        <v>1302</v>
      </c>
      <c r="M115" s="321">
        <v>86.11</v>
      </c>
      <c r="N115" s="321" t="s">
        <v>1303</v>
      </c>
    </row>
    <row r="116" spans="1:14" ht="75" customHeight="1">
      <c r="A116" s="348"/>
      <c r="B116" s="376"/>
      <c r="C116" s="558"/>
      <c r="D116" s="558"/>
      <c r="E116" s="327" t="s">
        <v>1304</v>
      </c>
      <c r="F116" s="327">
        <v>50.73</v>
      </c>
      <c r="G116" s="327">
        <v>50.73</v>
      </c>
      <c r="H116" s="258" t="s">
        <v>1305</v>
      </c>
      <c r="I116" s="327" t="s">
        <v>1306</v>
      </c>
      <c r="J116" s="327" t="s">
        <v>1307</v>
      </c>
      <c r="K116" s="258">
        <v>43504</v>
      </c>
      <c r="L116" s="321" t="s">
        <v>1308</v>
      </c>
      <c r="M116" s="321">
        <v>96.04</v>
      </c>
      <c r="N116" s="321" t="s">
        <v>1303</v>
      </c>
    </row>
    <row r="117" spans="1:14" ht="75" customHeight="1">
      <c r="A117" s="321">
        <v>25</v>
      </c>
      <c r="B117" s="376"/>
      <c r="C117" s="558"/>
      <c r="D117" s="322" t="s">
        <v>1309</v>
      </c>
      <c r="E117" s="321" t="s">
        <v>1310</v>
      </c>
      <c r="F117" s="321">
        <v>577.11</v>
      </c>
      <c r="G117" s="321">
        <v>577.11</v>
      </c>
      <c r="H117" s="241" t="s">
        <v>1311</v>
      </c>
      <c r="I117" s="321" t="s">
        <v>1301</v>
      </c>
      <c r="J117" s="321" t="s">
        <v>100</v>
      </c>
      <c r="K117" s="321" t="s">
        <v>1312</v>
      </c>
      <c r="L117" s="321" t="s">
        <v>1313</v>
      </c>
      <c r="M117" s="321">
        <v>1553.32</v>
      </c>
      <c r="N117" s="321"/>
    </row>
    <row r="118" spans="1:14" ht="75" customHeight="1">
      <c r="A118" s="348">
        <v>26</v>
      </c>
      <c r="B118" s="376"/>
      <c r="C118" s="558"/>
      <c r="D118" s="376" t="s">
        <v>1314</v>
      </c>
      <c r="E118" s="321" t="s">
        <v>1315</v>
      </c>
      <c r="F118" s="321" t="s">
        <v>1316</v>
      </c>
      <c r="G118" s="321">
        <v>145.66999999999999</v>
      </c>
      <c r="H118" s="241" t="s">
        <v>1317</v>
      </c>
      <c r="I118" s="321" t="s">
        <v>1301</v>
      </c>
      <c r="J118" s="321" t="s">
        <v>100</v>
      </c>
      <c r="K118" s="321" t="s">
        <v>1318</v>
      </c>
      <c r="L118" s="321" t="s">
        <v>1319</v>
      </c>
      <c r="M118" s="321">
        <v>97.28</v>
      </c>
      <c r="N118" s="321"/>
    </row>
    <row r="119" spans="1:14" ht="90">
      <c r="A119" s="348"/>
      <c r="B119" s="376"/>
      <c r="C119" s="558"/>
      <c r="D119" s="376"/>
      <c r="E119" s="321" t="s">
        <v>1320</v>
      </c>
      <c r="F119" s="321" t="s">
        <v>1321</v>
      </c>
      <c r="G119" s="321">
        <v>29.64</v>
      </c>
      <c r="H119" s="241" t="s">
        <v>1322</v>
      </c>
      <c r="I119" s="321" t="s">
        <v>1306</v>
      </c>
      <c r="J119" s="321" t="s">
        <v>100</v>
      </c>
      <c r="K119" s="321" t="s">
        <v>1323</v>
      </c>
      <c r="L119" s="321" t="s">
        <v>1324</v>
      </c>
      <c r="M119" s="321">
        <v>171.25</v>
      </c>
      <c r="N119" s="321"/>
    </row>
    <row r="120" spans="1:14" ht="90">
      <c r="A120" s="321">
        <v>27</v>
      </c>
      <c r="B120" s="376"/>
      <c r="C120" s="558"/>
      <c r="D120" s="322" t="s">
        <v>1325</v>
      </c>
      <c r="E120" s="321" t="s">
        <v>1326</v>
      </c>
      <c r="F120" s="321">
        <v>260.58</v>
      </c>
      <c r="G120" s="321">
        <v>260.58</v>
      </c>
      <c r="H120" s="241" t="s">
        <v>1327</v>
      </c>
      <c r="I120" s="321" t="s">
        <v>1301</v>
      </c>
      <c r="J120" s="321" t="s">
        <v>100</v>
      </c>
      <c r="K120" s="321" t="s">
        <v>1328</v>
      </c>
      <c r="L120" s="321" t="s">
        <v>1329</v>
      </c>
      <c r="M120" s="321">
        <v>60.85</v>
      </c>
      <c r="N120" s="321" t="s">
        <v>1303</v>
      </c>
    </row>
    <row r="121" spans="1:14" ht="90">
      <c r="A121" s="321">
        <v>28</v>
      </c>
      <c r="B121" s="376"/>
      <c r="C121" s="558"/>
      <c r="D121" s="322" t="s">
        <v>1330</v>
      </c>
      <c r="E121" s="321" t="s">
        <v>1331</v>
      </c>
      <c r="F121" s="321">
        <v>187.06</v>
      </c>
      <c r="G121" s="321">
        <v>187.06</v>
      </c>
      <c r="H121" s="321" t="s">
        <v>1332</v>
      </c>
      <c r="I121" s="321" t="s">
        <v>1301</v>
      </c>
      <c r="J121" s="321" t="s">
        <v>100</v>
      </c>
      <c r="K121" s="321" t="s">
        <v>1333</v>
      </c>
      <c r="L121" s="321" t="s">
        <v>1334</v>
      </c>
      <c r="M121" s="321">
        <v>115.42</v>
      </c>
      <c r="N121" s="321" t="s">
        <v>1303</v>
      </c>
    </row>
    <row r="122" spans="1:14" ht="90">
      <c r="A122" s="321">
        <v>29</v>
      </c>
      <c r="B122" s="376"/>
      <c r="C122" s="558"/>
      <c r="D122" s="322" t="s">
        <v>1335</v>
      </c>
      <c r="E122" s="321" t="s">
        <v>1336</v>
      </c>
      <c r="F122" s="321">
        <v>319.57</v>
      </c>
      <c r="G122" s="321">
        <v>319.57</v>
      </c>
      <c r="H122" s="241" t="s">
        <v>1337</v>
      </c>
      <c r="I122" s="321" t="s">
        <v>1301</v>
      </c>
      <c r="J122" s="321" t="s">
        <v>100</v>
      </c>
      <c r="K122" s="321" t="s">
        <v>1338</v>
      </c>
      <c r="L122" s="321" t="s">
        <v>1339</v>
      </c>
      <c r="M122" s="321">
        <v>56.74</v>
      </c>
      <c r="N122" s="321" t="s">
        <v>1303</v>
      </c>
    </row>
    <row r="123" spans="1:14" ht="90">
      <c r="A123" s="321">
        <v>30</v>
      </c>
      <c r="B123" s="376"/>
      <c r="C123" s="558"/>
      <c r="D123" s="322" t="s">
        <v>1340</v>
      </c>
      <c r="E123" s="321" t="s">
        <v>1341</v>
      </c>
      <c r="F123" s="321">
        <v>100.34</v>
      </c>
      <c r="G123" s="321">
        <v>100.34</v>
      </c>
      <c r="H123" s="241" t="s">
        <v>1342</v>
      </c>
      <c r="I123" s="321" t="s">
        <v>1301</v>
      </c>
      <c r="J123" s="321" t="s">
        <v>100</v>
      </c>
      <c r="K123" s="321" t="s">
        <v>1343</v>
      </c>
      <c r="L123" s="321" t="s">
        <v>1344</v>
      </c>
      <c r="M123" s="321">
        <v>88.55</v>
      </c>
      <c r="N123" s="321" t="s">
        <v>1303</v>
      </c>
    </row>
    <row r="124" spans="1:14" s="116" customFormat="1" ht="140.25" customHeight="1">
      <c r="A124" s="321">
        <v>31</v>
      </c>
      <c r="B124" s="376"/>
      <c r="C124" s="558"/>
      <c r="D124" s="322" t="s">
        <v>1345</v>
      </c>
      <c r="E124" s="321" t="s">
        <v>1346</v>
      </c>
      <c r="F124" s="321">
        <v>134.15</v>
      </c>
      <c r="G124" s="321">
        <v>134.15</v>
      </c>
      <c r="H124" s="241">
        <v>37927</v>
      </c>
      <c r="I124" s="321" t="s">
        <v>1301</v>
      </c>
      <c r="J124" s="321" t="s">
        <v>100</v>
      </c>
      <c r="K124" s="241">
        <v>39723</v>
      </c>
      <c r="L124" s="321" t="s">
        <v>1347</v>
      </c>
      <c r="M124" s="321">
        <v>53.25</v>
      </c>
      <c r="N124" s="321" t="s">
        <v>1348</v>
      </c>
    </row>
    <row r="125" spans="1:14" ht="135">
      <c r="A125" s="321">
        <v>32</v>
      </c>
      <c r="B125" s="376"/>
      <c r="C125" s="558"/>
      <c r="D125" s="322" t="s">
        <v>1349</v>
      </c>
      <c r="E125" s="321" t="s">
        <v>1350</v>
      </c>
      <c r="F125" s="321">
        <v>106.95</v>
      </c>
      <c r="G125" s="321">
        <v>106.95</v>
      </c>
      <c r="H125" s="241" t="s">
        <v>1351</v>
      </c>
      <c r="I125" s="321" t="s">
        <v>1301</v>
      </c>
      <c r="J125" s="321" t="s">
        <v>100</v>
      </c>
      <c r="K125" s="321" t="s">
        <v>1352</v>
      </c>
      <c r="L125" s="321" t="s">
        <v>1353</v>
      </c>
      <c r="M125" s="321">
        <v>19.54</v>
      </c>
      <c r="N125" s="321" t="s">
        <v>1354</v>
      </c>
    </row>
    <row r="126" spans="1:14" ht="90">
      <c r="A126" s="321">
        <v>33</v>
      </c>
      <c r="B126" s="376"/>
      <c r="C126" s="558"/>
      <c r="D126" s="322" t="s">
        <v>1355</v>
      </c>
      <c r="E126" s="321" t="s">
        <v>1356</v>
      </c>
      <c r="F126" s="321">
        <v>368.68</v>
      </c>
      <c r="G126" s="321">
        <v>368.68</v>
      </c>
      <c r="H126" s="241" t="s">
        <v>1357</v>
      </c>
      <c r="I126" s="321" t="s">
        <v>1301</v>
      </c>
      <c r="J126" s="321" t="s">
        <v>100</v>
      </c>
      <c r="K126" s="241">
        <v>43719</v>
      </c>
      <c r="L126" s="321" t="s">
        <v>1358</v>
      </c>
      <c r="M126" s="321">
        <v>74.09</v>
      </c>
      <c r="N126" s="321" t="s">
        <v>1303</v>
      </c>
    </row>
    <row r="127" spans="1:14" ht="90">
      <c r="A127" s="348">
        <v>34</v>
      </c>
      <c r="B127" s="376"/>
      <c r="C127" s="558"/>
      <c r="D127" s="376" t="s">
        <v>1359</v>
      </c>
      <c r="E127" s="321" t="s">
        <v>1360</v>
      </c>
      <c r="F127" s="321">
        <v>104.45</v>
      </c>
      <c r="G127" s="321">
        <v>104.45</v>
      </c>
      <c r="H127" s="241" t="s">
        <v>1361</v>
      </c>
      <c r="I127" s="321" t="s">
        <v>1301</v>
      </c>
      <c r="J127" s="321" t="s">
        <v>100</v>
      </c>
      <c r="K127" s="321" t="s">
        <v>1362</v>
      </c>
      <c r="L127" s="321" t="s">
        <v>1363</v>
      </c>
      <c r="M127" s="321">
        <v>134.53</v>
      </c>
      <c r="N127" s="321"/>
    </row>
    <row r="128" spans="1:14" ht="90">
      <c r="A128" s="348"/>
      <c r="B128" s="376"/>
      <c r="C128" s="558"/>
      <c r="D128" s="376"/>
      <c r="E128" s="321" t="s">
        <v>1364</v>
      </c>
      <c r="F128" s="321">
        <v>130.21</v>
      </c>
      <c r="G128" s="321">
        <v>130.21</v>
      </c>
      <c r="H128" s="321" t="s">
        <v>1365</v>
      </c>
      <c r="I128" s="321" t="s">
        <v>1306</v>
      </c>
      <c r="J128" s="321" t="s">
        <v>100</v>
      </c>
      <c r="K128" s="321" t="s">
        <v>1366</v>
      </c>
      <c r="L128" s="321">
        <v>10500</v>
      </c>
      <c r="M128" s="321">
        <v>80.64</v>
      </c>
      <c r="N128" s="321" t="s">
        <v>1303</v>
      </c>
    </row>
    <row r="129" spans="1:192" ht="195">
      <c r="A129" s="321">
        <v>35</v>
      </c>
      <c r="B129" s="376"/>
      <c r="C129" s="558"/>
      <c r="D129" s="322" t="s">
        <v>1367</v>
      </c>
      <c r="E129" s="321" t="s">
        <v>1368</v>
      </c>
      <c r="F129" s="321" t="s">
        <v>1369</v>
      </c>
      <c r="G129" s="321"/>
      <c r="H129" s="321" t="s">
        <v>1370</v>
      </c>
      <c r="I129" s="321" t="s">
        <v>1371</v>
      </c>
      <c r="J129" s="321" t="s">
        <v>1372</v>
      </c>
      <c r="K129" s="321" t="s">
        <v>105</v>
      </c>
      <c r="L129" s="321" t="s">
        <v>1373</v>
      </c>
      <c r="M129" s="321" t="s">
        <v>1374</v>
      </c>
      <c r="N129" s="321"/>
    </row>
    <row r="130" spans="1:192" ht="195">
      <c r="A130" s="321">
        <v>36</v>
      </c>
      <c r="B130" s="376"/>
      <c r="C130" s="558"/>
      <c r="D130" s="322" t="s">
        <v>1375</v>
      </c>
      <c r="E130" s="321" t="s">
        <v>1376</v>
      </c>
      <c r="F130" s="321" t="s">
        <v>1377</v>
      </c>
      <c r="G130" s="321"/>
      <c r="H130" s="321" t="s">
        <v>1378</v>
      </c>
      <c r="I130" s="321" t="s">
        <v>1379</v>
      </c>
      <c r="J130" s="321" t="s">
        <v>1380</v>
      </c>
      <c r="K130" s="321" t="s">
        <v>152</v>
      </c>
      <c r="L130" s="321" t="s">
        <v>1381</v>
      </c>
      <c r="M130" s="321" t="s">
        <v>1382</v>
      </c>
      <c r="N130" s="321"/>
    </row>
    <row r="131" spans="1:192" ht="105">
      <c r="A131" s="321">
        <v>37</v>
      </c>
      <c r="B131" s="376"/>
      <c r="C131" s="558"/>
      <c r="D131" s="322" t="s">
        <v>1383</v>
      </c>
      <c r="E131" s="321" t="s">
        <v>1384</v>
      </c>
      <c r="F131" s="321" t="s">
        <v>1385</v>
      </c>
      <c r="G131" s="321" t="s">
        <v>40</v>
      </c>
      <c r="H131" s="321" t="s">
        <v>1386</v>
      </c>
      <c r="I131" s="321" t="s">
        <v>1387</v>
      </c>
      <c r="J131" s="321" t="s">
        <v>97</v>
      </c>
      <c r="K131" s="321" t="s">
        <v>1388</v>
      </c>
      <c r="L131" s="321" t="s">
        <v>1389</v>
      </c>
      <c r="M131" s="321" t="s">
        <v>1390</v>
      </c>
      <c r="N131" s="321"/>
    </row>
    <row r="132" spans="1:192" ht="90">
      <c r="A132" s="321">
        <v>38</v>
      </c>
      <c r="B132" s="376"/>
      <c r="C132" s="558"/>
      <c r="D132" s="322" t="s">
        <v>1391</v>
      </c>
      <c r="E132" s="321" t="s">
        <v>1392</v>
      </c>
      <c r="F132" s="321" t="s">
        <v>1393</v>
      </c>
      <c r="G132" s="321" t="s">
        <v>54</v>
      </c>
      <c r="H132" s="321" t="s">
        <v>1394</v>
      </c>
      <c r="I132" s="321" t="s">
        <v>54</v>
      </c>
      <c r="J132" s="321" t="s">
        <v>1395</v>
      </c>
      <c r="K132" s="321" t="s">
        <v>1396</v>
      </c>
      <c r="L132" s="321" t="s">
        <v>1397</v>
      </c>
      <c r="M132" s="321" t="s">
        <v>1398</v>
      </c>
      <c r="N132" s="321" t="s">
        <v>54</v>
      </c>
    </row>
    <row r="133" spans="1:192" ht="45">
      <c r="A133" s="321">
        <v>39</v>
      </c>
      <c r="B133" s="376"/>
      <c r="C133" s="558"/>
      <c r="D133" s="322" t="s">
        <v>1399</v>
      </c>
      <c r="E133" s="321" t="s">
        <v>1400</v>
      </c>
      <c r="F133" s="321">
        <v>161.465</v>
      </c>
      <c r="G133" s="321">
        <v>161.465</v>
      </c>
      <c r="H133" s="321" t="s">
        <v>1401</v>
      </c>
      <c r="I133" s="321" t="s">
        <v>54</v>
      </c>
      <c r="J133" s="321" t="s">
        <v>1402</v>
      </c>
      <c r="K133" s="321" t="s">
        <v>156</v>
      </c>
      <c r="L133" s="321" t="s">
        <v>1403</v>
      </c>
      <c r="M133" s="321">
        <v>146.16999999999999</v>
      </c>
      <c r="N133" s="321" t="s">
        <v>54</v>
      </c>
    </row>
    <row r="134" spans="1:192" ht="120">
      <c r="A134" s="321">
        <v>40</v>
      </c>
      <c r="B134" s="376"/>
      <c r="C134" s="558"/>
      <c r="D134" s="322" t="s">
        <v>1404</v>
      </c>
      <c r="E134" s="321" t="s">
        <v>1405</v>
      </c>
      <c r="F134" s="321" t="s">
        <v>1406</v>
      </c>
      <c r="G134" s="321" t="s">
        <v>54</v>
      </c>
      <c r="H134" s="321" t="s">
        <v>1407</v>
      </c>
      <c r="I134" s="321" t="s">
        <v>1306</v>
      </c>
      <c r="J134" s="321" t="s">
        <v>1408</v>
      </c>
      <c r="K134" s="321" t="s">
        <v>1409</v>
      </c>
      <c r="L134" s="321" t="s">
        <v>1410</v>
      </c>
      <c r="M134" s="321" t="s">
        <v>1411</v>
      </c>
      <c r="N134" s="321"/>
    </row>
    <row r="135" spans="1:192">
      <c r="A135" s="557"/>
      <c r="B135" s="557"/>
      <c r="C135" s="557"/>
      <c r="D135" s="557"/>
      <c r="E135" s="557"/>
      <c r="F135" s="557"/>
      <c r="G135" s="557"/>
      <c r="H135" s="557"/>
      <c r="I135" s="557"/>
      <c r="J135" s="557"/>
      <c r="K135" s="557"/>
      <c r="L135" s="557"/>
      <c r="M135" s="557"/>
      <c r="N135" s="557"/>
    </row>
    <row r="136" spans="1:192" ht="22.5" customHeight="1">
      <c r="A136" s="432" t="s">
        <v>183</v>
      </c>
      <c r="B136" s="432"/>
      <c r="C136" s="432"/>
      <c r="D136" s="432"/>
      <c r="E136" s="432"/>
      <c r="F136" s="432"/>
      <c r="G136" s="432"/>
      <c r="H136" s="432"/>
      <c r="I136" s="432"/>
      <c r="J136" s="432"/>
      <c r="K136" s="432"/>
      <c r="L136" s="432"/>
      <c r="M136" s="432"/>
      <c r="N136" s="432"/>
    </row>
    <row r="137" spans="1:192" ht="20.25">
      <c r="A137" s="347" t="s">
        <v>133</v>
      </c>
      <c r="B137" s="347"/>
      <c r="C137" s="347"/>
      <c r="D137" s="347"/>
      <c r="E137" s="347"/>
      <c r="F137" s="347"/>
      <c r="G137" s="347"/>
      <c r="H137" s="347"/>
      <c r="I137" s="347"/>
      <c r="J137" s="347"/>
      <c r="K137" s="347"/>
      <c r="L137" s="347"/>
      <c r="M137" s="347"/>
      <c r="N137" s="347"/>
    </row>
    <row r="138" spans="1:192" ht="71.25">
      <c r="A138" s="295" t="s">
        <v>0</v>
      </c>
      <c r="B138" s="286" t="s">
        <v>60</v>
      </c>
      <c r="C138" s="295" t="s">
        <v>85</v>
      </c>
      <c r="D138" s="20" t="s">
        <v>86</v>
      </c>
      <c r="E138" s="20" t="s">
        <v>87</v>
      </c>
      <c r="F138" s="286" t="s">
        <v>134</v>
      </c>
      <c r="G138" s="286" t="s">
        <v>135</v>
      </c>
      <c r="H138" s="286" t="s">
        <v>88</v>
      </c>
      <c r="I138" s="286" t="s">
        <v>89</v>
      </c>
      <c r="J138" s="286" t="s">
        <v>90</v>
      </c>
      <c r="K138" s="286" t="s">
        <v>91</v>
      </c>
      <c r="L138" s="286" t="s">
        <v>92</v>
      </c>
      <c r="M138" s="286" t="s">
        <v>93</v>
      </c>
      <c r="N138" s="286" t="s">
        <v>94</v>
      </c>
      <c r="O138" s="93"/>
      <c r="P138" s="93"/>
      <c r="Q138" s="93"/>
      <c r="R138" s="93"/>
      <c r="S138" s="93"/>
      <c r="T138" s="93"/>
      <c r="U138" s="93"/>
      <c r="V138" s="93"/>
      <c r="W138" s="93"/>
      <c r="X138" s="93"/>
      <c r="Y138" s="93"/>
      <c r="Z138" s="93"/>
      <c r="AA138" s="93"/>
      <c r="AB138" s="93"/>
      <c r="AC138" s="93"/>
      <c r="AD138" s="93"/>
      <c r="AE138" s="93"/>
      <c r="AF138" s="93"/>
      <c r="AG138" s="93"/>
      <c r="AH138" s="93"/>
      <c r="AI138" s="93"/>
      <c r="AJ138" s="93"/>
      <c r="AK138" s="93"/>
      <c r="AL138" s="93"/>
      <c r="AM138" s="93"/>
      <c r="AN138" s="93"/>
      <c r="AO138" s="93"/>
      <c r="AP138" s="93"/>
      <c r="AQ138" s="93"/>
      <c r="AR138" s="93"/>
      <c r="AS138" s="93"/>
      <c r="AT138" s="93"/>
      <c r="AU138" s="93"/>
      <c r="AV138" s="93"/>
      <c r="AW138" s="93"/>
      <c r="AX138" s="93"/>
      <c r="AY138" s="93"/>
      <c r="AZ138" s="93"/>
      <c r="BA138" s="93"/>
      <c r="BB138" s="93"/>
      <c r="BC138" s="93"/>
      <c r="BD138" s="93"/>
      <c r="BE138" s="93"/>
      <c r="BF138" s="93"/>
      <c r="BG138" s="93"/>
      <c r="BH138" s="93"/>
      <c r="BI138" s="93"/>
      <c r="BJ138" s="93"/>
      <c r="BK138" s="93"/>
      <c r="BL138" s="93"/>
      <c r="BM138" s="93"/>
      <c r="BN138" s="93"/>
      <c r="BO138" s="93"/>
      <c r="BP138" s="93"/>
      <c r="BQ138" s="93"/>
      <c r="BR138" s="93"/>
      <c r="BS138" s="93"/>
      <c r="BT138" s="93"/>
      <c r="BU138" s="93"/>
      <c r="BV138" s="93"/>
      <c r="BW138" s="93"/>
      <c r="BX138" s="93"/>
      <c r="BY138" s="93"/>
      <c r="BZ138" s="93"/>
      <c r="CA138" s="93"/>
      <c r="CB138" s="93"/>
      <c r="CC138" s="93"/>
      <c r="CD138" s="93"/>
      <c r="CE138" s="93"/>
      <c r="CF138" s="93"/>
      <c r="CG138" s="93"/>
      <c r="CH138" s="93"/>
      <c r="CI138" s="93"/>
      <c r="CJ138" s="93"/>
      <c r="CK138" s="93"/>
      <c r="CL138" s="93"/>
      <c r="CM138" s="93"/>
      <c r="CN138" s="93"/>
      <c r="CO138" s="93"/>
      <c r="CP138" s="93"/>
      <c r="CQ138" s="93"/>
      <c r="CR138" s="93"/>
      <c r="CS138" s="93"/>
      <c r="CT138" s="93"/>
      <c r="CU138" s="93"/>
      <c r="CV138" s="93"/>
      <c r="CW138" s="93"/>
      <c r="CX138" s="93"/>
      <c r="CY138" s="93"/>
      <c r="CZ138" s="93"/>
      <c r="DA138" s="93"/>
      <c r="DB138" s="93"/>
      <c r="DC138" s="93"/>
      <c r="DD138" s="93"/>
      <c r="DE138" s="93"/>
      <c r="DF138" s="93"/>
      <c r="DG138" s="93"/>
      <c r="DH138" s="93"/>
      <c r="DI138" s="93"/>
      <c r="DJ138" s="93"/>
      <c r="DK138" s="93"/>
      <c r="DL138" s="93"/>
      <c r="DM138" s="93"/>
      <c r="DN138" s="93"/>
      <c r="DO138" s="93"/>
      <c r="DP138" s="93"/>
      <c r="DQ138" s="93"/>
      <c r="DR138" s="93"/>
      <c r="DS138" s="93"/>
      <c r="DT138" s="93"/>
      <c r="DU138" s="93"/>
      <c r="DV138" s="93"/>
      <c r="DW138" s="93"/>
      <c r="DX138" s="93"/>
      <c r="DY138" s="93"/>
      <c r="DZ138" s="93"/>
      <c r="EA138" s="93"/>
      <c r="EB138" s="93"/>
      <c r="EC138" s="93"/>
      <c r="ED138" s="93"/>
      <c r="EE138" s="93"/>
      <c r="EF138" s="93"/>
      <c r="EG138" s="93"/>
      <c r="EH138" s="93"/>
      <c r="EI138" s="93"/>
      <c r="EJ138" s="93"/>
      <c r="EK138" s="93"/>
      <c r="EL138" s="93"/>
      <c r="EM138" s="93"/>
      <c r="EN138" s="93"/>
      <c r="EO138" s="93"/>
      <c r="EP138" s="93"/>
      <c r="EQ138" s="93"/>
      <c r="ER138" s="93"/>
      <c r="ES138" s="93"/>
      <c r="ET138" s="93"/>
      <c r="EU138" s="93"/>
      <c r="EV138" s="93"/>
      <c r="EW138" s="93"/>
      <c r="EX138" s="93"/>
      <c r="EY138" s="93"/>
      <c r="EZ138" s="93"/>
      <c r="FA138" s="93"/>
      <c r="FB138" s="93"/>
      <c r="FC138" s="93"/>
      <c r="FD138" s="93"/>
      <c r="FE138" s="93"/>
      <c r="FF138" s="93"/>
      <c r="FG138" s="93"/>
      <c r="FH138" s="93"/>
      <c r="FI138" s="93"/>
      <c r="FJ138" s="93"/>
      <c r="FK138" s="93"/>
      <c r="FL138" s="93"/>
      <c r="FM138" s="93"/>
      <c r="FN138" s="93"/>
      <c r="FO138" s="93"/>
      <c r="FP138" s="93"/>
      <c r="FQ138" s="93"/>
      <c r="FR138" s="93"/>
      <c r="FS138" s="93"/>
      <c r="FT138" s="93"/>
      <c r="FU138" s="93"/>
      <c r="FV138" s="93"/>
      <c r="FW138" s="93"/>
      <c r="FX138" s="93"/>
      <c r="FY138" s="93"/>
      <c r="FZ138" s="93"/>
      <c r="GA138" s="93"/>
      <c r="GB138" s="93"/>
      <c r="GC138" s="93"/>
      <c r="GD138" s="93"/>
      <c r="GE138" s="93"/>
      <c r="GF138" s="93"/>
      <c r="GG138" s="93"/>
      <c r="GH138" s="93"/>
      <c r="GI138" s="93"/>
      <c r="GJ138" s="93"/>
    </row>
    <row r="139" spans="1:192">
      <c r="A139" s="295">
        <v>1</v>
      </c>
      <c r="B139" s="295">
        <v>2</v>
      </c>
      <c r="C139" s="295">
        <v>3</v>
      </c>
      <c r="D139" s="295">
        <v>4</v>
      </c>
      <c r="E139" s="295">
        <v>5</v>
      </c>
      <c r="F139" s="295">
        <v>6</v>
      </c>
      <c r="G139" s="295">
        <v>7</v>
      </c>
      <c r="H139" s="295">
        <v>8</v>
      </c>
      <c r="I139" s="286">
        <v>9</v>
      </c>
      <c r="J139" s="295">
        <v>10</v>
      </c>
      <c r="K139" s="295">
        <v>11</v>
      </c>
      <c r="L139" s="295">
        <v>12</v>
      </c>
      <c r="M139" s="295">
        <v>13</v>
      </c>
      <c r="N139" s="295">
        <v>14</v>
      </c>
      <c r="O139" s="93"/>
      <c r="P139" s="93"/>
      <c r="Q139" s="93"/>
      <c r="R139" s="93"/>
      <c r="S139" s="93"/>
      <c r="T139" s="93"/>
      <c r="U139" s="93"/>
      <c r="V139" s="93"/>
      <c r="W139" s="93"/>
      <c r="X139" s="93"/>
      <c r="Y139" s="93"/>
      <c r="Z139" s="93"/>
      <c r="AA139" s="93"/>
      <c r="AB139" s="93"/>
      <c r="AC139" s="93"/>
      <c r="AD139" s="93"/>
      <c r="AE139" s="93"/>
      <c r="AF139" s="93"/>
      <c r="AG139" s="93"/>
      <c r="AH139" s="93"/>
      <c r="AI139" s="93"/>
      <c r="AJ139" s="93"/>
      <c r="AK139" s="93"/>
      <c r="AL139" s="93"/>
      <c r="AM139" s="93"/>
      <c r="AN139" s="93"/>
      <c r="AO139" s="93"/>
      <c r="AP139" s="93"/>
      <c r="AQ139" s="93"/>
      <c r="AR139" s="93"/>
      <c r="AS139" s="93"/>
      <c r="AT139" s="93"/>
      <c r="AU139" s="93"/>
      <c r="AV139" s="93"/>
      <c r="AW139" s="93"/>
      <c r="AX139" s="93"/>
      <c r="AY139" s="93"/>
      <c r="AZ139" s="93"/>
      <c r="BA139" s="93"/>
      <c r="BB139" s="93"/>
      <c r="BC139" s="93"/>
      <c r="BD139" s="93"/>
      <c r="BE139" s="93"/>
      <c r="BF139" s="93"/>
      <c r="BG139" s="93"/>
      <c r="BH139" s="93"/>
      <c r="BI139" s="93"/>
      <c r="BJ139" s="93"/>
      <c r="BK139" s="93"/>
      <c r="BL139" s="93"/>
      <c r="BM139" s="93"/>
      <c r="BN139" s="93"/>
      <c r="BO139" s="93"/>
      <c r="BP139" s="93"/>
      <c r="BQ139" s="93"/>
      <c r="BR139" s="93"/>
      <c r="BS139" s="93"/>
      <c r="BT139" s="93"/>
      <c r="BU139" s="93"/>
      <c r="BV139" s="93"/>
      <c r="BW139" s="93"/>
      <c r="BX139" s="93"/>
      <c r="BY139" s="93"/>
      <c r="BZ139" s="93"/>
      <c r="CA139" s="93"/>
      <c r="CB139" s="93"/>
      <c r="CC139" s="93"/>
      <c r="CD139" s="93"/>
      <c r="CE139" s="93"/>
      <c r="CF139" s="93"/>
      <c r="CG139" s="93"/>
      <c r="CH139" s="93"/>
      <c r="CI139" s="93"/>
      <c r="CJ139" s="93"/>
      <c r="CK139" s="93"/>
      <c r="CL139" s="93"/>
      <c r="CM139" s="93"/>
      <c r="CN139" s="93"/>
      <c r="CO139" s="93"/>
      <c r="CP139" s="93"/>
      <c r="CQ139" s="93"/>
      <c r="CR139" s="93"/>
      <c r="CS139" s="93"/>
      <c r="CT139" s="93"/>
      <c r="CU139" s="93"/>
      <c r="CV139" s="93"/>
      <c r="CW139" s="93"/>
      <c r="CX139" s="93"/>
      <c r="CY139" s="93"/>
      <c r="CZ139" s="93"/>
      <c r="DA139" s="93"/>
      <c r="DB139" s="93"/>
      <c r="DC139" s="93"/>
      <c r="DD139" s="93"/>
      <c r="DE139" s="93"/>
      <c r="DF139" s="93"/>
      <c r="DG139" s="93"/>
      <c r="DH139" s="93"/>
      <c r="DI139" s="93"/>
      <c r="DJ139" s="93"/>
      <c r="DK139" s="93"/>
      <c r="DL139" s="93"/>
      <c r="DM139" s="93"/>
      <c r="DN139" s="93"/>
      <c r="DO139" s="93"/>
      <c r="DP139" s="93"/>
      <c r="DQ139" s="93"/>
      <c r="DR139" s="93"/>
      <c r="DS139" s="93"/>
      <c r="DT139" s="93"/>
      <c r="DU139" s="93"/>
      <c r="DV139" s="93"/>
      <c r="DW139" s="93"/>
      <c r="DX139" s="93"/>
      <c r="DY139" s="93"/>
      <c r="DZ139" s="93"/>
      <c r="EA139" s="93"/>
      <c r="EB139" s="93"/>
      <c r="EC139" s="93"/>
      <c r="ED139" s="93"/>
      <c r="EE139" s="93"/>
      <c r="EF139" s="93"/>
      <c r="EG139" s="93"/>
      <c r="EH139" s="93"/>
      <c r="EI139" s="93"/>
      <c r="EJ139" s="93"/>
      <c r="EK139" s="93"/>
      <c r="EL139" s="93"/>
      <c r="EM139" s="93"/>
      <c r="EN139" s="93"/>
      <c r="EO139" s="93"/>
      <c r="EP139" s="93"/>
      <c r="EQ139" s="93"/>
      <c r="ER139" s="93"/>
      <c r="ES139" s="93"/>
      <c r="ET139" s="93"/>
      <c r="EU139" s="93"/>
      <c r="EV139" s="93"/>
      <c r="EW139" s="93"/>
      <c r="EX139" s="93"/>
      <c r="EY139" s="93"/>
      <c r="EZ139" s="93"/>
      <c r="FA139" s="93"/>
      <c r="FB139" s="93"/>
      <c r="FC139" s="93"/>
      <c r="FD139" s="93"/>
      <c r="FE139" s="93"/>
      <c r="FF139" s="93"/>
      <c r="FG139" s="93"/>
      <c r="FH139" s="93"/>
      <c r="FI139" s="93"/>
      <c r="FJ139" s="93"/>
      <c r="FK139" s="93"/>
      <c r="FL139" s="93"/>
      <c r="FM139" s="93"/>
      <c r="FN139" s="93"/>
      <c r="FO139" s="93"/>
      <c r="FP139" s="93"/>
      <c r="FQ139" s="93"/>
      <c r="FR139" s="93"/>
      <c r="FS139" s="93"/>
      <c r="FT139" s="93"/>
      <c r="FU139" s="93"/>
      <c r="FV139" s="93"/>
      <c r="FW139" s="93"/>
      <c r="FX139" s="93"/>
      <c r="FY139" s="93"/>
      <c r="FZ139" s="93"/>
      <c r="GA139" s="93"/>
      <c r="GB139" s="93"/>
      <c r="GC139" s="93"/>
      <c r="GD139" s="93"/>
      <c r="GE139" s="93"/>
      <c r="GF139" s="93"/>
      <c r="GG139" s="93"/>
      <c r="GH139" s="93"/>
      <c r="GI139" s="93"/>
      <c r="GJ139" s="93"/>
    </row>
    <row r="140" spans="1:192" s="6" customFormat="1" ht="105">
      <c r="A140" s="239">
        <v>1</v>
      </c>
      <c r="B140" s="283" t="s">
        <v>2146</v>
      </c>
      <c r="C140" s="283" t="s">
        <v>1790</v>
      </c>
      <c r="D140" s="283" t="s">
        <v>1879</v>
      </c>
      <c r="E140" s="239" t="s">
        <v>1879</v>
      </c>
      <c r="F140" s="278" t="s">
        <v>15</v>
      </c>
      <c r="G140" s="239">
        <v>2407.8000000000002</v>
      </c>
      <c r="H140" s="239" t="s">
        <v>1880</v>
      </c>
      <c r="I140" s="239" t="s">
        <v>1881</v>
      </c>
      <c r="J140" s="239" t="s">
        <v>1882</v>
      </c>
      <c r="K140" s="239" t="s">
        <v>1883</v>
      </c>
      <c r="L140" s="239" t="s">
        <v>1884</v>
      </c>
      <c r="M140" s="239"/>
      <c r="N140" s="239" t="s">
        <v>1885</v>
      </c>
      <c r="O140" s="307"/>
      <c r="P140" s="307"/>
      <c r="Q140" s="307"/>
      <c r="R140" s="307"/>
      <c r="S140" s="307"/>
      <c r="T140" s="307"/>
      <c r="U140" s="307"/>
      <c r="V140" s="307"/>
      <c r="W140" s="307"/>
      <c r="X140" s="307"/>
      <c r="Y140" s="307"/>
      <c r="Z140" s="307"/>
      <c r="AA140" s="307"/>
      <c r="AB140" s="307"/>
      <c r="AC140" s="307"/>
      <c r="AD140" s="307"/>
      <c r="AE140" s="307"/>
      <c r="AF140" s="307"/>
      <c r="AG140" s="307"/>
      <c r="AH140" s="307"/>
      <c r="AI140" s="307"/>
      <c r="AJ140" s="307"/>
      <c r="AK140" s="307"/>
      <c r="AL140" s="307"/>
      <c r="AM140" s="307"/>
      <c r="AN140" s="307"/>
      <c r="AO140" s="307"/>
      <c r="AP140" s="307"/>
      <c r="AQ140" s="307"/>
      <c r="AR140" s="307"/>
      <c r="AS140" s="307"/>
      <c r="AT140" s="307"/>
      <c r="AU140" s="307"/>
      <c r="AV140" s="307"/>
      <c r="AW140" s="307"/>
      <c r="AX140" s="307"/>
      <c r="AY140" s="307"/>
      <c r="AZ140" s="307"/>
      <c r="BA140" s="307"/>
      <c r="BB140" s="307"/>
      <c r="BC140" s="307"/>
      <c r="BD140" s="307"/>
      <c r="BE140" s="307"/>
      <c r="BF140" s="307"/>
      <c r="BG140" s="307"/>
      <c r="BH140" s="307"/>
      <c r="BI140" s="307"/>
      <c r="BJ140" s="307"/>
      <c r="BK140" s="307"/>
      <c r="BL140" s="307"/>
      <c r="BM140" s="307"/>
      <c r="BN140" s="307"/>
      <c r="BO140" s="307"/>
      <c r="BP140" s="307"/>
      <c r="BQ140" s="307"/>
      <c r="BR140" s="307"/>
      <c r="BS140" s="307"/>
      <c r="BT140" s="307"/>
      <c r="BU140" s="307"/>
      <c r="BV140" s="307"/>
      <c r="BW140" s="307"/>
      <c r="BX140" s="307"/>
      <c r="BY140" s="307"/>
      <c r="BZ140" s="307"/>
      <c r="CA140" s="307"/>
      <c r="CB140" s="307"/>
      <c r="CC140" s="307"/>
      <c r="CD140" s="307"/>
      <c r="CE140" s="307"/>
      <c r="CF140" s="307"/>
      <c r="CG140" s="307"/>
      <c r="CH140" s="307"/>
      <c r="CI140" s="307"/>
      <c r="CJ140" s="307"/>
      <c r="CK140" s="307"/>
      <c r="CL140" s="307"/>
      <c r="CM140" s="307"/>
      <c r="CN140" s="307"/>
      <c r="CO140" s="307"/>
      <c r="CP140" s="307"/>
      <c r="CQ140" s="307"/>
      <c r="CR140" s="307"/>
      <c r="CS140" s="307"/>
      <c r="CT140" s="307"/>
      <c r="CU140" s="307"/>
      <c r="CV140" s="307"/>
      <c r="CW140" s="307"/>
      <c r="CX140" s="307"/>
      <c r="CY140" s="307"/>
      <c r="CZ140" s="307"/>
      <c r="DA140" s="307"/>
      <c r="DB140" s="307"/>
      <c r="DC140" s="307"/>
      <c r="DD140" s="307"/>
      <c r="DE140" s="307"/>
      <c r="DF140" s="307"/>
      <c r="DG140" s="307"/>
      <c r="DH140" s="307"/>
      <c r="DI140" s="307"/>
      <c r="DJ140" s="307"/>
      <c r="DK140" s="307"/>
      <c r="DL140" s="307"/>
      <c r="DM140" s="307"/>
      <c r="DN140" s="307"/>
      <c r="DO140" s="307"/>
      <c r="DP140" s="307"/>
      <c r="DQ140" s="307"/>
      <c r="DR140" s="307"/>
      <c r="DS140" s="307"/>
      <c r="DT140" s="307"/>
      <c r="DU140" s="307"/>
      <c r="DV140" s="307"/>
      <c r="DW140" s="307"/>
      <c r="DX140" s="307"/>
      <c r="DY140" s="307"/>
      <c r="DZ140" s="307"/>
      <c r="EA140" s="307"/>
      <c r="EB140" s="307"/>
      <c r="EC140" s="307"/>
      <c r="ED140" s="307"/>
      <c r="EE140" s="307"/>
      <c r="EF140" s="307"/>
      <c r="EG140" s="307"/>
      <c r="EH140" s="307"/>
      <c r="EI140" s="307"/>
      <c r="EJ140" s="307"/>
      <c r="EK140" s="307"/>
      <c r="EL140" s="307"/>
      <c r="EM140" s="307"/>
      <c r="EN140" s="307"/>
      <c r="EO140" s="307"/>
      <c r="EP140" s="307"/>
      <c r="EQ140" s="307"/>
      <c r="ER140" s="307"/>
      <c r="ES140" s="307"/>
      <c r="ET140" s="307"/>
      <c r="EU140" s="307"/>
      <c r="EV140" s="307"/>
      <c r="EW140" s="307"/>
      <c r="EX140" s="307"/>
      <c r="EY140" s="307"/>
      <c r="EZ140" s="307"/>
      <c r="FA140" s="307"/>
      <c r="FB140" s="307"/>
      <c r="FC140" s="307"/>
      <c r="FD140" s="307"/>
      <c r="FE140" s="307"/>
      <c r="FF140" s="307"/>
      <c r="FG140" s="307"/>
      <c r="FH140" s="307"/>
      <c r="FI140" s="307"/>
      <c r="FJ140" s="307"/>
      <c r="FK140" s="307"/>
      <c r="FL140" s="307"/>
      <c r="FM140" s="307"/>
      <c r="FN140" s="307"/>
      <c r="FO140" s="307"/>
      <c r="FP140" s="307"/>
      <c r="FQ140" s="307"/>
      <c r="FR140" s="307"/>
      <c r="FS140" s="307"/>
      <c r="FT140" s="307"/>
      <c r="FU140" s="307"/>
      <c r="FV140" s="307"/>
      <c r="FW140" s="307"/>
      <c r="FX140" s="307"/>
      <c r="FY140" s="307"/>
      <c r="FZ140" s="307"/>
      <c r="GA140" s="307"/>
      <c r="GB140" s="307"/>
      <c r="GC140" s="307"/>
      <c r="GD140" s="307"/>
      <c r="GE140" s="307"/>
      <c r="GF140" s="307"/>
      <c r="GG140" s="307"/>
      <c r="GH140" s="307"/>
      <c r="GI140" s="307"/>
      <c r="GJ140" s="307"/>
    </row>
    <row r="141" spans="1:192">
      <c r="A141" s="557"/>
      <c r="B141" s="557"/>
      <c r="C141" s="557"/>
      <c r="D141" s="557"/>
      <c r="E141" s="557"/>
      <c r="F141" s="557"/>
      <c r="G141" s="557"/>
      <c r="H141" s="557"/>
      <c r="I141" s="557"/>
      <c r="J141" s="557"/>
      <c r="K141" s="557"/>
      <c r="L141" s="557"/>
      <c r="M141" s="557"/>
      <c r="N141" s="557"/>
    </row>
    <row r="142" spans="1:192" ht="22.5">
      <c r="A142" s="504" t="s">
        <v>184</v>
      </c>
      <c r="B142" s="504"/>
      <c r="C142" s="504"/>
      <c r="D142" s="504"/>
      <c r="E142" s="504"/>
      <c r="F142" s="504"/>
      <c r="G142" s="504"/>
      <c r="H142" s="504"/>
      <c r="I142" s="504"/>
      <c r="J142" s="504"/>
      <c r="K142" s="504"/>
      <c r="L142" s="504"/>
      <c r="M142" s="504"/>
      <c r="N142" s="504"/>
    </row>
    <row r="143" spans="1:192" ht="22.5" customHeight="1">
      <c r="A143" s="347" t="s">
        <v>133</v>
      </c>
      <c r="B143" s="347"/>
      <c r="C143" s="347"/>
      <c r="D143" s="347"/>
      <c r="E143" s="347"/>
      <c r="F143" s="347"/>
      <c r="G143" s="347"/>
      <c r="H143" s="347"/>
      <c r="I143" s="347"/>
      <c r="J143" s="347"/>
      <c r="K143" s="347"/>
      <c r="L143" s="347"/>
      <c r="M143" s="347"/>
      <c r="N143" s="347"/>
    </row>
    <row r="144" spans="1:192" ht="71.25">
      <c r="A144" s="295" t="s">
        <v>0</v>
      </c>
      <c r="B144" s="286" t="s">
        <v>60</v>
      </c>
      <c r="C144" s="295" t="s">
        <v>85</v>
      </c>
      <c r="D144" s="20" t="s">
        <v>86</v>
      </c>
      <c r="E144" s="20" t="s">
        <v>87</v>
      </c>
      <c r="F144" s="286" t="s">
        <v>134</v>
      </c>
      <c r="G144" s="286" t="s">
        <v>135</v>
      </c>
      <c r="H144" s="286" t="s">
        <v>88</v>
      </c>
      <c r="I144" s="286" t="s">
        <v>89</v>
      </c>
      <c r="J144" s="286" t="s">
        <v>90</v>
      </c>
      <c r="K144" s="286" t="s">
        <v>91</v>
      </c>
      <c r="L144" s="286" t="s">
        <v>92</v>
      </c>
      <c r="M144" s="286" t="s">
        <v>93</v>
      </c>
      <c r="N144" s="286" t="s">
        <v>94</v>
      </c>
    </row>
    <row r="145" spans="1:14">
      <c r="A145" s="295">
        <v>1</v>
      </c>
      <c r="B145" s="295">
        <v>2</v>
      </c>
      <c r="C145" s="295">
        <v>3</v>
      </c>
      <c r="D145" s="295">
        <v>4</v>
      </c>
      <c r="E145" s="295">
        <v>5</v>
      </c>
      <c r="F145" s="295">
        <v>6</v>
      </c>
      <c r="G145" s="295">
        <v>7</v>
      </c>
      <c r="H145" s="295">
        <v>8</v>
      </c>
      <c r="I145" s="286">
        <v>9</v>
      </c>
      <c r="J145" s="295">
        <v>10</v>
      </c>
      <c r="K145" s="295">
        <v>11</v>
      </c>
      <c r="L145" s="295">
        <v>12</v>
      </c>
      <c r="M145" s="295">
        <v>13</v>
      </c>
      <c r="N145" s="295">
        <v>14</v>
      </c>
    </row>
    <row r="146" spans="1:14" ht="150">
      <c r="A146" s="278">
        <v>1</v>
      </c>
      <c r="B146" s="376" t="s">
        <v>584</v>
      </c>
      <c r="C146" s="376" t="s">
        <v>585</v>
      </c>
      <c r="D146" s="279" t="s">
        <v>1412</v>
      </c>
      <c r="E146" s="278" t="s">
        <v>1413</v>
      </c>
      <c r="F146" s="278" t="s">
        <v>1414</v>
      </c>
      <c r="G146" s="278" t="s">
        <v>12</v>
      </c>
      <c r="H146" s="278" t="s">
        <v>1415</v>
      </c>
      <c r="I146" s="278" t="s">
        <v>1416</v>
      </c>
      <c r="J146" s="278" t="s">
        <v>1417</v>
      </c>
      <c r="K146" s="241">
        <v>52963</v>
      </c>
      <c r="L146" s="278" t="s">
        <v>1418</v>
      </c>
      <c r="M146" s="278" t="s">
        <v>12</v>
      </c>
      <c r="N146" s="278" t="s">
        <v>1419</v>
      </c>
    </row>
    <row r="147" spans="1:14" s="93" customFormat="1" ht="195">
      <c r="A147" s="278">
        <v>2</v>
      </c>
      <c r="B147" s="376"/>
      <c r="C147" s="376"/>
      <c r="D147" s="279" t="s">
        <v>1420</v>
      </c>
      <c r="E147" s="278" t="s">
        <v>1421</v>
      </c>
      <c r="F147" s="278" t="s">
        <v>1422</v>
      </c>
      <c r="G147" s="278" t="s">
        <v>12</v>
      </c>
      <c r="H147" s="278" t="s">
        <v>1423</v>
      </c>
      <c r="I147" s="278" t="s">
        <v>1424</v>
      </c>
      <c r="J147" s="278" t="s">
        <v>1425</v>
      </c>
      <c r="K147" s="241">
        <v>47362</v>
      </c>
      <c r="L147" s="278" t="s">
        <v>1426</v>
      </c>
      <c r="M147" s="278" t="s">
        <v>12</v>
      </c>
      <c r="N147" s="278" t="s">
        <v>1419</v>
      </c>
    </row>
    <row r="148" spans="1:14" s="93" customFormat="1">
      <c r="A148" s="557"/>
      <c r="B148" s="557"/>
      <c r="C148" s="557"/>
      <c r="D148" s="557"/>
      <c r="E148" s="557"/>
      <c r="F148" s="557"/>
      <c r="G148" s="557"/>
      <c r="H148" s="557"/>
      <c r="I148" s="557"/>
      <c r="J148" s="557"/>
      <c r="K148" s="557"/>
      <c r="L148" s="557"/>
      <c r="M148" s="557"/>
      <c r="N148" s="557"/>
    </row>
    <row r="149" spans="1:14" s="93" customFormat="1" ht="22.5">
      <c r="A149" s="504" t="s">
        <v>185</v>
      </c>
      <c r="B149" s="504"/>
      <c r="C149" s="504"/>
      <c r="D149" s="504"/>
      <c r="E149" s="504"/>
      <c r="F149" s="504"/>
      <c r="G149" s="504"/>
      <c r="H149" s="504"/>
      <c r="I149" s="504"/>
      <c r="J149" s="504"/>
      <c r="K149" s="504"/>
      <c r="L149" s="504"/>
      <c r="M149" s="504"/>
      <c r="N149" s="504"/>
    </row>
    <row r="150" spans="1:14" s="93" customFormat="1" ht="20.25">
      <c r="A150" s="347" t="s">
        <v>133</v>
      </c>
      <c r="B150" s="347"/>
      <c r="C150" s="347"/>
      <c r="D150" s="347"/>
      <c r="E150" s="347"/>
      <c r="F150" s="347"/>
      <c r="G150" s="347"/>
      <c r="H150" s="347"/>
      <c r="I150" s="347"/>
      <c r="J150" s="347"/>
      <c r="K150" s="347"/>
      <c r="L150" s="347"/>
      <c r="M150" s="347"/>
      <c r="N150" s="347"/>
    </row>
    <row r="151" spans="1:14" s="93" customFormat="1" ht="71.25">
      <c r="A151" s="295" t="s">
        <v>0</v>
      </c>
      <c r="B151" s="286" t="s">
        <v>60</v>
      </c>
      <c r="C151" s="295" t="s">
        <v>85</v>
      </c>
      <c r="D151" s="20" t="s">
        <v>86</v>
      </c>
      <c r="E151" s="20" t="s">
        <v>87</v>
      </c>
      <c r="F151" s="286" t="s">
        <v>134</v>
      </c>
      <c r="G151" s="286" t="s">
        <v>135</v>
      </c>
      <c r="H151" s="286" t="s">
        <v>88</v>
      </c>
      <c r="I151" s="286" t="s">
        <v>89</v>
      </c>
      <c r="J151" s="286" t="s">
        <v>90</v>
      </c>
      <c r="K151" s="286" t="s">
        <v>91</v>
      </c>
      <c r="L151" s="286" t="s">
        <v>92</v>
      </c>
      <c r="M151" s="286" t="s">
        <v>93</v>
      </c>
      <c r="N151" s="286" t="s">
        <v>94</v>
      </c>
    </row>
    <row r="152" spans="1:14" s="93" customFormat="1">
      <c r="A152" s="295">
        <v>1</v>
      </c>
      <c r="B152" s="295">
        <v>2</v>
      </c>
      <c r="C152" s="295">
        <v>3</v>
      </c>
      <c r="D152" s="295">
        <v>4</v>
      </c>
      <c r="E152" s="295">
        <v>5</v>
      </c>
      <c r="F152" s="295">
        <v>6</v>
      </c>
      <c r="G152" s="295">
        <v>7</v>
      </c>
      <c r="H152" s="295">
        <v>8</v>
      </c>
      <c r="I152" s="286">
        <v>9</v>
      </c>
      <c r="J152" s="295">
        <v>10</v>
      </c>
      <c r="K152" s="295">
        <v>11</v>
      </c>
      <c r="L152" s="295">
        <v>12</v>
      </c>
      <c r="M152" s="295">
        <v>13</v>
      </c>
      <c r="N152" s="295">
        <v>14</v>
      </c>
    </row>
    <row r="153" spans="1:14" s="93" customFormat="1" ht="105">
      <c r="A153" s="294">
        <v>1</v>
      </c>
      <c r="B153" s="292" t="s">
        <v>1427</v>
      </c>
      <c r="C153" s="292" t="s">
        <v>1428</v>
      </c>
      <c r="D153" s="292" t="s">
        <v>1429</v>
      </c>
      <c r="E153" s="292" t="s">
        <v>1430</v>
      </c>
      <c r="F153" s="294" t="s">
        <v>1431</v>
      </c>
      <c r="G153" s="294" t="s">
        <v>1431</v>
      </c>
      <c r="H153" s="294" t="s">
        <v>164</v>
      </c>
      <c r="I153" s="294" t="s">
        <v>1432</v>
      </c>
      <c r="J153" s="294" t="s">
        <v>1433</v>
      </c>
      <c r="K153" s="294" t="s">
        <v>165</v>
      </c>
      <c r="L153" s="294" t="s">
        <v>1434</v>
      </c>
      <c r="M153" s="294" t="s">
        <v>1435</v>
      </c>
      <c r="N153" s="229" t="s">
        <v>1906</v>
      </c>
    </row>
    <row r="154" spans="1:14" s="93" customFormat="1" ht="30.75" customHeight="1">
      <c r="A154" s="294"/>
      <c r="B154" s="292" t="s">
        <v>1906</v>
      </c>
      <c r="C154" s="562" t="s">
        <v>2432</v>
      </c>
      <c r="D154" s="562"/>
      <c r="E154" s="562"/>
      <c r="F154" s="562"/>
      <c r="G154" s="562"/>
      <c r="H154" s="562"/>
      <c r="I154" s="562"/>
      <c r="J154" s="562"/>
      <c r="K154" s="562"/>
      <c r="L154" s="562"/>
      <c r="M154" s="562"/>
      <c r="N154" s="562"/>
    </row>
    <row r="155" spans="1:14" s="93" customFormat="1" ht="135">
      <c r="A155" s="278">
        <v>2</v>
      </c>
      <c r="B155" s="216" t="s">
        <v>600</v>
      </c>
      <c r="C155" s="216" t="s">
        <v>645</v>
      </c>
      <c r="D155" s="216" t="s">
        <v>1436</v>
      </c>
      <c r="E155" s="288" t="s">
        <v>1437</v>
      </c>
      <c r="F155" s="288" t="s">
        <v>1438</v>
      </c>
      <c r="G155" s="87" t="s">
        <v>51</v>
      </c>
      <c r="H155" s="288" t="s">
        <v>149</v>
      </c>
      <c r="I155" s="278" t="s">
        <v>1439</v>
      </c>
      <c r="J155" s="278" t="s">
        <v>1440</v>
      </c>
      <c r="K155" s="288" t="s">
        <v>1441</v>
      </c>
      <c r="L155" s="86">
        <v>32365</v>
      </c>
      <c r="M155" s="278">
        <v>243</v>
      </c>
      <c r="N155" s="27"/>
    </row>
    <row r="156" spans="1:14" s="93" customFormat="1" ht="120">
      <c r="A156" s="278">
        <v>3</v>
      </c>
      <c r="B156" s="279" t="s">
        <v>644</v>
      </c>
      <c r="C156" s="279" t="s">
        <v>645</v>
      </c>
      <c r="D156" s="216" t="s">
        <v>1442</v>
      </c>
      <c r="E156" s="27" t="s">
        <v>1443</v>
      </c>
      <c r="F156" s="288" t="s">
        <v>1444</v>
      </c>
      <c r="G156" s="87" t="s">
        <v>56</v>
      </c>
      <c r="H156" s="288" t="s">
        <v>140</v>
      </c>
      <c r="I156" s="278" t="s">
        <v>95</v>
      </c>
      <c r="J156" s="288" t="s">
        <v>1445</v>
      </c>
      <c r="K156" s="288" t="s">
        <v>1446</v>
      </c>
      <c r="L156" s="86">
        <v>6402</v>
      </c>
      <c r="M156" s="278">
        <v>75</v>
      </c>
      <c r="N156" s="27"/>
    </row>
    <row r="157" spans="1:14" s="93" customFormat="1" ht="135">
      <c r="A157" s="29">
        <v>1</v>
      </c>
      <c r="B157" s="301" t="s">
        <v>1447</v>
      </c>
      <c r="C157" s="301" t="s">
        <v>1448</v>
      </c>
      <c r="D157" s="301" t="s">
        <v>1449</v>
      </c>
      <c r="E157" s="29" t="s">
        <v>1450</v>
      </c>
      <c r="F157" s="284" t="s">
        <v>1451</v>
      </c>
      <c r="G157" s="29" t="s">
        <v>170</v>
      </c>
      <c r="H157" s="29" t="s">
        <v>1452</v>
      </c>
      <c r="I157" s="29" t="s">
        <v>1453</v>
      </c>
      <c r="J157" s="29" t="s">
        <v>1454</v>
      </c>
      <c r="K157" s="29" t="s">
        <v>1455</v>
      </c>
      <c r="L157" s="29" t="s">
        <v>2182</v>
      </c>
      <c r="M157" s="29" t="s">
        <v>1456</v>
      </c>
      <c r="N157" s="286" t="s">
        <v>2433</v>
      </c>
    </row>
    <row r="158" spans="1:14" s="93" customFormat="1" ht="28.5" customHeight="1">
      <c r="A158" s="29"/>
      <c r="B158" s="301" t="s">
        <v>2433</v>
      </c>
      <c r="C158" s="563" t="s">
        <v>1457</v>
      </c>
      <c r="D158" s="563"/>
      <c r="E158" s="563"/>
      <c r="F158" s="563"/>
      <c r="G158" s="563"/>
      <c r="H158" s="563"/>
      <c r="I158" s="563"/>
      <c r="J158" s="563"/>
      <c r="K158" s="563"/>
      <c r="L158" s="563"/>
      <c r="M158" s="563"/>
      <c r="N158" s="563"/>
    </row>
    <row r="159" spans="1:14" s="93" customFormat="1">
      <c r="A159" s="561"/>
      <c r="B159" s="561"/>
      <c r="C159" s="561"/>
      <c r="D159" s="561"/>
      <c r="E159" s="561"/>
      <c r="F159" s="561"/>
      <c r="G159" s="561"/>
      <c r="H159" s="561"/>
      <c r="I159" s="561"/>
      <c r="J159" s="561"/>
      <c r="K159" s="561"/>
      <c r="L159" s="561"/>
      <c r="M159" s="561"/>
      <c r="N159" s="561"/>
    </row>
    <row r="160" spans="1:14" s="93" customFormat="1" ht="22.5">
      <c r="A160" s="504" t="s">
        <v>186</v>
      </c>
      <c r="B160" s="504"/>
      <c r="C160" s="504"/>
      <c r="D160" s="504"/>
      <c r="E160" s="504"/>
      <c r="F160" s="504"/>
      <c r="G160" s="504"/>
      <c r="H160" s="504"/>
      <c r="I160" s="504"/>
      <c r="J160" s="504"/>
      <c r="K160" s="504"/>
      <c r="L160" s="504"/>
      <c r="M160" s="504"/>
      <c r="N160" s="504"/>
    </row>
    <row r="161" spans="1:14" s="93" customFormat="1" ht="20.25">
      <c r="A161" s="347" t="s">
        <v>133</v>
      </c>
      <c r="B161" s="347"/>
      <c r="C161" s="347"/>
      <c r="D161" s="347"/>
      <c r="E161" s="347"/>
      <c r="F161" s="347"/>
      <c r="G161" s="347"/>
      <c r="H161" s="347"/>
      <c r="I161" s="347"/>
      <c r="J161" s="347"/>
      <c r="K161" s="347"/>
      <c r="L161" s="347"/>
      <c r="M161" s="347"/>
      <c r="N161" s="347"/>
    </row>
    <row r="162" spans="1:14" s="93" customFormat="1" ht="71.25">
      <c r="A162" s="295" t="s">
        <v>0</v>
      </c>
      <c r="B162" s="286" t="s">
        <v>60</v>
      </c>
      <c r="C162" s="295" t="s">
        <v>85</v>
      </c>
      <c r="D162" s="20" t="s">
        <v>86</v>
      </c>
      <c r="E162" s="20" t="s">
        <v>87</v>
      </c>
      <c r="F162" s="286" t="s">
        <v>134</v>
      </c>
      <c r="G162" s="286" t="s">
        <v>135</v>
      </c>
      <c r="H162" s="286" t="s">
        <v>88</v>
      </c>
      <c r="I162" s="286" t="s">
        <v>89</v>
      </c>
      <c r="J162" s="286" t="s">
        <v>90</v>
      </c>
      <c r="K162" s="286" t="s">
        <v>91</v>
      </c>
      <c r="L162" s="286" t="s">
        <v>92</v>
      </c>
      <c r="M162" s="286" t="s">
        <v>93</v>
      </c>
      <c r="N162" s="286" t="s">
        <v>94</v>
      </c>
    </row>
    <row r="163" spans="1:14" s="93" customFormat="1">
      <c r="A163" s="295">
        <v>1</v>
      </c>
      <c r="B163" s="295">
        <v>2</v>
      </c>
      <c r="C163" s="295">
        <v>3</v>
      </c>
      <c r="D163" s="295">
        <v>4</v>
      </c>
      <c r="E163" s="295">
        <v>5</v>
      </c>
      <c r="F163" s="295">
        <v>6</v>
      </c>
      <c r="G163" s="295">
        <v>7</v>
      </c>
      <c r="H163" s="295">
        <v>8</v>
      </c>
      <c r="I163" s="286">
        <v>9</v>
      </c>
      <c r="J163" s="295">
        <v>10</v>
      </c>
      <c r="K163" s="295">
        <v>11</v>
      </c>
      <c r="L163" s="295">
        <v>12</v>
      </c>
      <c r="M163" s="295">
        <v>13</v>
      </c>
      <c r="N163" s="295">
        <v>14</v>
      </c>
    </row>
    <row r="164" spans="1:14" s="93" customFormat="1" ht="45">
      <c r="A164" s="281">
        <v>1</v>
      </c>
      <c r="B164" s="376" t="s">
        <v>1458</v>
      </c>
      <c r="C164" s="376" t="s">
        <v>968</v>
      </c>
      <c r="D164" s="240" t="s">
        <v>1459</v>
      </c>
      <c r="E164" s="65" t="s">
        <v>1460</v>
      </c>
      <c r="F164" s="281">
        <v>260</v>
      </c>
      <c r="G164" s="281">
        <v>260</v>
      </c>
      <c r="H164" s="281" t="s">
        <v>1461</v>
      </c>
      <c r="I164" s="278" t="s">
        <v>1462</v>
      </c>
      <c r="J164" s="281" t="s">
        <v>100</v>
      </c>
      <c r="K164" s="281" t="s">
        <v>1463</v>
      </c>
      <c r="L164" s="281" t="s">
        <v>1464</v>
      </c>
      <c r="M164" s="281">
        <v>60.3</v>
      </c>
      <c r="N164" s="281" t="s">
        <v>109</v>
      </c>
    </row>
    <row r="165" spans="1:14" s="93" customFormat="1" ht="45">
      <c r="A165" s="281">
        <v>2</v>
      </c>
      <c r="B165" s="376"/>
      <c r="C165" s="376"/>
      <c r="D165" s="240" t="s">
        <v>1465</v>
      </c>
      <c r="E165" s="65" t="s">
        <v>1466</v>
      </c>
      <c r="F165" s="281">
        <v>102</v>
      </c>
      <c r="G165" s="281">
        <v>102</v>
      </c>
      <c r="H165" s="281" t="s">
        <v>1467</v>
      </c>
      <c r="I165" s="278" t="s">
        <v>1462</v>
      </c>
      <c r="J165" s="281" t="s">
        <v>100</v>
      </c>
      <c r="K165" s="281" t="s">
        <v>1468</v>
      </c>
      <c r="L165" s="281" t="s">
        <v>1469</v>
      </c>
      <c r="M165" s="281">
        <v>107.8</v>
      </c>
      <c r="N165" s="281" t="s">
        <v>109</v>
      </c>
    </row>
    <row r="166" spans="1:14" s="93" customFormat="1" ht="45">
      <c r="A166" s="281">
        <v>3</v>
      </c>
      <c r="B166" s="376"/>
      <c r="C166" s="376"/>
      <c r="D166" s="240" t="s">
        <v>1470</v>
      </c>
      <c r="E166" s="280" t="s">
        <v>1470</v>
      </c>
      <c r="F166" s="281">
        <v>165.6</v>
      </c>
      <c r="G166" s="281">
        <v>165.6</v>
      </c>
      <c r="H166" s="281" t="s">
        <v>1471</v>
      </c>
      <c r="I166" s="278" t="s">
        <v>1462</v>
      </c>
      <c r="J166" s="281" t="s">
        <v>100</v>
      </c>
      <c r="K166" s="281" t="s">
        <v>1472</v>
      </c>
      <c r="L166" s="281" t="s">
        <v>1473</v>
      </c>
      <c r="M166" s="281">
        <v>127.2</v>
      </c>
      <c r="N166" s="281" t="s">
        <v>109</v>
      </c>
    </row>
    <row r="167" spans="1:14" s="93" customFormat="1" ht="45">
      <c r="A167" s="281">
        <v>4</v>
      </c>
      <c r="B167" s="376"/>
      <c r="C167" s="376"/>
      <c r="D167" s="240" t="s">
        <v>1474</v>
      </c>
      <c r="E167" s="280" t="s">
        <v>1474</v>
      </c>
      <c r="F167" s="281">
        <v>198</v>
      </c>
      <c r="G167" s="281">
        <v>198</v>
      </c>
      <c r="H167" s="281" t="s">
        <v>1475</v>
      </c>
      <c r="I167" s="278" t="s">
        <v>1462</v>
      </c>
      <c r="J167" s="281" t="s">
        <v>100</v>
      </c>
      <c r="K167" s="281" t="s">
        <v>1476</v>
      </c>
      <c r="L167" s="281" t="s">
        <v>1477</v>
      </c>
      <c r="M167" s="281">
        <v>58.7</v>
      </c>
      <c r="N167" s="281" t="s">
        <v>109</v>
      </c>
    </row>
    <row r="168" spans="1:14" s="93" customFormat="1" ht="45">
      <c r="A168" s="281">
        <v>5</v>
      </c>
      <c r="B168" s="376"/>
      <c r="C168" s="376"/>
      <c r="D168" s="240" t="s">
        <v>1478</v>
      </c>
      <c r="E168" s="65" t="s">
        <v>1479</v>
      </c>
      <c r="F168" s="281">
        <v>157.09</v>
      </c>
      <c r="G168" s="281">
        <v>157.09</v>
      </c>
      <c r="H168" s="281" t="s">
        <v>1480</v>
      </c>
      <c r="I168" s="278" t="s">
        <v>1462</v>
      </c>
      <c r="J168" s="281" t="s">
        <v>1307</v>
      </c>
      <c r="K168" s="281" t="s">
        <v>1481</v>
      </c>
      <c r="L168" s="281" t="s">
        <v>1482</v>
      </c>
      <c r="M168" s="281">
        <v>172.2</v>
      </c>
      <c r="N168" s="281" t="s">
        <v>109</v>
      </c>
    </row>
    <row r="169" spans="1:14" s="93" customFormat="1" ht="150">
      <c r="A169" s="281">
        <v>6</v>
      </c>
      <c r="B169" s="376"/>
      <c r="C169" s="376"/>
      <c r="D169" s="279" t="s">
        <v>1483</v>
      </c>
      <c r="E169" s="278" t="s">
        <v>1484</v>
      </c>
      <c r="F169" s="281">
        <v>323.66000000000003</v>
      </c>
      <c r="G169" s="281">
        <v>323.66000000000003</v>
      </c>
      <c r="H169" s="278" t="s">
        <v>1485</v>
      </c>
      <c r="I169" s="278" t="s">
        <v>1486</v>
      </c>
      <c r="J169" s="281" t="s">
        <v>1487</v>
      </c>
      <c r="K169" s="281" t="s">
        <v>12</v>
      </c>
      <c r="L169" s="281" t="s">
        <v>1488</v>
      </c>
      <c r="M169" s="281"/>
      <c r="N169" s="278" t="s">
        <v>1489</v>
      </c>
    </row>
    <row r="170" spans="1:14" s="93" customFormat="1" ht="45">
      <c r="A170" s="281">
        <v>7</v>
      </c>
      <c r="B170" s="376"/>
      <c r="C170" s="376"/>
      <c r="D170" s="279" t="s">
        <v>1490</v>
      </c>
      <c r="E170" s="278" t="s">
        <v>1491</v>
      </c>
      <c r="F170" s="281">
        <v>179.21</v>
      </c>
      <c r="G170" s="278" t="s">
        <v>1492</v>
      </c>
      <c r="H170" s="281">
        <v>1988</v>
      </c>
      <c r="I170" s="281" t="s">
        <v>37</v>
      </c>
      <c r="J170" s="281" t="s">
        <v>37</v>
      </c>
      <c r="K170" s="281" t="s">
        <v>37</v>
      </c>
      <c r="L170" s="278" t="s">
        <v>1493</v>
      </c>
      <c r="M170" s="281"/>
      <c r="N170" s="281" t="s">
        <v>109</v>
      </c>
    </row>
    <row r="171" spans="1:14" s="93" customFormat="1" ht="60">
      <c r="A171" s="281">
        <v>8</v>
      </c>
      <c r="B171" s="376"/>
      <c r="C171" s="376"/>
      <c r="D171" s="279" t="s">
        <v>1494</v>
      </c>
      <c r="E171" s="278" t="s">
        <v>1495</v>
      </c>
      <c r="F171" s="281">
        <v>773.31</v>
      </c>
      <c r="G171" s="278" t="s">
        <v>37</v>
      </c>
      <c r="H171" s="278" t="s">
        <v>37</v>
      </c>
      <c r="I171" s="278" t="s">
        <v>37</v>
      </c>
      <c r="J171" s="278" t="s">
        <v>37</v>
      </c>
      <c r="K171" s="278" t="s">
        <v>37</v>
      </c>
      <c r="L171" s="278" t="s">
        <v>37</v>
      </c>
      <c r="M171" s="278"/>
      <c r="N171" s="281" t="s">
        <v>109</v>
      </c>
    </row>
    <row r="172" spans="1:14" s="93" customFormat="1" ht="60">
      <c r="A172" s="281">
        <v>9</v>
      </c>
      <c r="B172" s="376" t="s">
        <v>1496</v>
      </c>
      <c r="C172" s="376"/>
      <c r="D172" s="279" t="s">
        <v>1497</v>
      </c>
      <c r="E172" s="278" t="s">
        <v>1498</v>
      </c>
      <c r="F172" s="281">
        <v>300</v>
      </c>
      <c r="G172" s="278" t="s">
        <v>37</v>
      </c>
      <c r="H172" s="281" t="s">
        <v>1499</v>
      </c>
      <c r="I172" s="278" t="s">
        <v>1500</v>
      </c>
      <c r="J172" s="278" t="s">
        <v>1501</v>
      </c>
      <c r="K172" s="281" t="s">
        <v>106</v>
      </c>
      <c r="L172" s="281" t="s">
        <v>1502</v>
      </c>
      <c r="M172" s="281"/>
      <c r="N172" s="281" t="s">
        <v>109</v>
      </c>
    </row>
    <row r="173" spans="1:14" s="93" customFormat="1" ht="135">
      <c r="A173" s="281">
        <v>10</v>
      </c>
      <c r="B173" s="376"/>
      <c r="C173" s="376"/>
      <c r="D173" s="279" t="s">
        <v>1503</v>
      </c>
      <c r="E173" s="278" t="s">
        <v>1504</v>
      </c>
      <c r="F173" s="281">
        <v>208.42</v>
      </c>
      <c r="G173" s="278" t="s">
        <v>37</v>
      </c>
      <c r="H173" s="281"/>
      <c r="I173" s="278" t="s">
        <v>1500</v>
      </c>
      <c r="J173" s="281" t="s">
        <v>1505</v>
      </c>
      <c r="K173" s="278" t="s">
        <v>1506</v>
      </c>
      <c r="L173" s="281" t="s">
        <v>1507</v>
      </c>
      <c r="M173" s="281"/>
      <c r="N173" s="278" t="s">
        <v>1508</v>
      </c>
    </row>
    <row r="174" spans="1:14" s="93" customFormat="1" ht="60">
      <c r="A174" s="281">
        <v>11</v>
      </c>
      <c r="B174" s="376"/>
      <c r="C174" s="376"/>
      <c r="D174" s="279" t="s">
        <v>1509</v>
      </c>
      <c r="E174" s="278" t="s">
        <v>1510</v>
      </c>
      <c r="F174" s="281">
        <v>2043.86</v>
      </c>
      <c r="G174" s="278">
        <v>222.95</v>
      </c>
      <c r="H174" s="281" t="s">
        <v>1511</v>
      </c>
      <c r="I174" s="278" t="s">
        <v>1500</v>
      </c>
      <c r="J174" s="278" t="s">
        <v>1512</v>
      </c>
      <c r="K174" s="281" t="s">
        <v>138</v>
      </c>
      <c r="L174" s="281" t="s">
        <v>1513</v>
      </c>
      <c r="M174" s="281"/>
      <c r="N174" s="281" t="s">
        <v>109</v>
      </c>
    </row>
    <row r="175" spans="1:14" s="93" customFormat="1" ht="60">
      <c r="A175" s="281">
        <v>12</v>
      </c>
      <c r="B175" s="376"/>
      <c r="C175" s="376"/>
      <c r="D175" s="279" t="s">
        <v>1514</v>
      </c>
      <c r="E175" s="278" t="s">
        <v>1515</v>
      </c>
      <c r="F175" s="278" t="s">
        <v>1516</v>
      </c>
      <c r="G175" s="278" t="s">
        <v>12</v>
      </c>
      <c r="H175" s="278" t="s">
        <v>157</v>
      </c>
      <c r="I175" s="278" t="s">
        <v>1517</v>
      </c>
      <c r="J175" s="278" t="s">
        <v>145</v>
      </c>
      <c r="K175" s="278" t="s">
        <v>1518</v>
      </c>
      <c r="L175" s="278" t="s">
        <v>1519</v>
      </c>
      <c r="M175" s="278" t="s">
        <v>12</v>
      </c>
      <c r="N175" s="278" t="s">
        <v>2434</v>
      </c>
    </row>
    <row r="176" spans="1:14" s="93" customFormat="1" ht="75">
      <c r="A176" s="281">
        <v>13</v>
      </c>
      <c r="B176" s="376"/>
      <c r="C176" s="376"/>
      <c r="D176" s="279" t="s">
        <v>1520</v>
      </c>
      <c r="E176" s="278" t="s">
        <v>1521</v>
      </c>
      <c r="F176" s="278" t="s">
        <v>57</v>
      </c>
      <c r="G176" s="278" t="s">
        <v>1522</v>
      </c>
      <c r="H176" s="281" t="s">
        <v>1523</v>
      </c>
      <c r="I176" s="278" t="s">
        <v>95</v>
      </c>
      <c r="J176" s="281" t="s">
        <v>97</v>
      </c>
      <c r="K176" s="281" t="s">
        <v>1524</v>
      </c>
      <c r="L176" s="281" t="s">
        <v>1525</v>
      </c>
      <c r="M176" s="281"/>
      <c r="N176" s="278" t="s">
        <v>1526</v>
      </c>
    </row>
    <row r="177" spans="1:14" s="93" customFormat="1" ht="75">
      <c r="A177" s="281">
        <v>14</v>
      </c>
      <c r="B177" s="376"/>
      <c r="C177" s="376"/>
      <c r="D177" s="279" t="s">
        <v>1527</v>
      </c>
      <c r="E177" s="278" t="s">
        <v>1528</v>
      </c>
      <c r="F177" s="278" t="s">
        <v>57</v>
      </c>
      <c r="G177" s="278" t="s">
        <v>1529</v>
      </c>
      <c r="H177" s="281" t="s">
        <v>1530</v>
      </c>
      <c r="I177" s="280" t="s">
        <v>1462</v>
      </c>
      <c r="J177" s="281" t="s">
        <v>97</v>
      </c>
      <c r="K177" s="281" t="s">
        <v>1531</v>
      </c>
      <c r="L177" s="281" t="s">
        <v>1532</v>
      </c>
      <c r="M177" s="281"/>
      <c r="N177" s="278" t="s">
        <v>1526</v>
      </c>
    </row>
    <row r="178" spans="1:14" s="93" customFormat="1" ht="75">
      <c r="A178" s="281">
        <v>15</v>
      </c>
      <c r="B178" s="376"/>
      <c r="C178" s="376"/>
      <c r="D178" s="279" t="s">
        <v>1533</v>
      </c>
      <c r="E178" s="278" t="s">
        <v>1534</v>
      </c>
      <c r="F178" s="278" t="s">
        <v>57</v>
      </c>
      <c r="G178" s="278" t="s">
        <v>1535</v>
      </c>
      <c r="H178" s="281">
        <v>1996</v>
      </c>
      <c r="I178" s="280" t="s">
        <v>1462</v>
      </c>
      <c r="J178" s="281" t="s">
        <v>96</v>
      </c>
      <c r="K178" s="281" t="s">
        <v>1536</v>
      </c>
      <c r="L178" s="281" t="s">
        <v>1537</v>
      </c>
      <c r="M178" s="281"/>
      <c r="N178" s="278" t="s">
        <v>1526</v>
      </c>
    </row>
    <row r="179" spans="1:14" s="93" customFormat="1" ht="60">
      <c r="A179" s="281">
        <v>16</v>
      </c>
      <c r="B179" s="376"/>
      <c r="C179" s="376"/>
      <c r="D179" s="240" t="s">
        <v>1538</v>
      </c>
      <c r="E179" s="280" t="s">
        <v>1539</v>
      </c>
      <c r="F179" s="280">
        <v>184.41</v>
      </c>
      <c r="G179" s="280" t="s">
        <v>54</v>
      </c>
      <c r="H179" s="280">
        <v>1974</v>
      </c>
      <c r="I179" s="280" t="s">
        <v>1462</v>
      </c>
      <c r="J179" s="280" t="s">
        <v>1540</v>
      </c>
      <c r="K179" s="280" t="s">
        <v>136</v>
      </c>
      <c r="L179" s="280">
        <v>17640</v>
      </c>
      <c r="M179" s="280" t="s">
        <v>54</v>
      </c>
      <c r="N179" s="280"/>
    </row>
    <row r="180" spans="1:14" s="93" customFormat="1" ht="75">
      <c r="A180" s="281">
        <v>17</v>
      </c>
      <c r="B180" s="376"/>
      <c r="C180" s="376"/>
      <c r="D180" s="240" t="s">
        <v>1541</v>
      </c>
      <c r="E180" s="280" t="s">
        <v>1542</v>
      </c>
      <c r="F180" s="280">
        <v>126.44</v>
      </c>
      <c r="G180" s="280" t="s">
        <v>54</v>
      </c>
      <c r="H180" s="280">
        <v>1985</v>
      </c>
      <c r="I180" s="280" t="s">
        <v>1462</v>
      </c>
      <c r="J180" s="280" t="s">
        <v>1543</v>
      </c>
      <c r="K180" s="280" t="s">
        <v>101</v>
      </c>
      <c r="L180" s="280">
        <v>12200</v>
      </c>
      <c r="M180" s="280" t="s">
        <v>54</v>
      </c>
      <c r="N180" s="280"/>
    </row>
    <row r="181" spans="1:14" s="93" customFormat="1" ht="75">
      <c r="A181" s="281">
        <v>18</v>
      </c>
      <c r="B181" s="376"/>
      <c r="C181" s="376"/>
      <c r="D181" s="240" t="s">
        <v>1544</v>
      </c>
      <c r="E181" s="280" t="s">
        <v>1545</v>
      </c>
      <c r="F181" s="280">
        <v>199.92</v>
      </c>
      <c r="G181" s="280" t="s">
        <v>54</v>
      </c>
      <c r="H181" s="280" t="s">
        <v>147</v>
      </c>
      <c r="I181" s="280" t="s">
        <v>1462</v>
      </c>
      <c r="J181" s="280" t="s">
        <v>168</v>
      </c>
      <c r="K181" s="280" t="s">
        <v>101</v>
      </c>
      <c r="L181" s="280">
        <v>47790</v>
      </c>
      <c r="M181" s="280" t="s">
        <v>54</v>
      </c>
      <c r="N181" s="280"/>
    </row>
    <row r="182" spans="1:14" s="93" customFormat="1" ht="45">
      <c r="A182" s="281">
        <v>19</v>
      </c>
      <c r="B182" s="376"/>
      <c r="C182" s="376"/>
      <c r="D182" s="240" t="s">
        <v>1546</v>
      </c>
      <c r="E182" s="280" t="s">
        <v>1547</v>
      </c>
      <c r="F182" s="280">
        <v>141.03</v>
      </c>
      <c r="G182" s="280" t="s">
        <v>54</v>
      </c>
      <c r="H182" s="280" t="s">
        <v>139</v>
      </c>
      <c r="I182" s="280" t="s">
        <v>1462</v>
      </c>
      <c r="J182" s="280" t="s">
        <v>1548</v>
      </c>
      <c r="K182" s="280" t="s">
        <v>148</v>
      </c>
      <c r="L182" s="280">
        <v>17400</v>
      </c>
      <c r="M182" s="280" t="s">
        <v>54</v>
      </c>
      <c r="N182" s="280"/>
    </row>
    <row r="183" spans="1:14" s="93" customFormat="1" ht="60">
      <c r="A183" s="281">
        <v>20</v>
      </c>
      <c r="B183" s="376"/>
      <c r="C183" s="376"/>
      <c r="D183" s="240" t="s">
        <v>1549</v>
      </c>
      <c r="E183" s="280" t="s">
        <v>1550</v>
      </c>
      <c r="F183" s="280">
        <v>103.05</v>
      </c>
      <c r="G183" s="280" t="s">
        <v>54</v>
      </c>
      <c r="H183" s="280" t="s">
        <v>141</v>
      </c>
      <c r="I183" s="280" t="s">
        <v>1462</v>
      </c>
      <c r="J183" s="280" t="s">
        <v>1551</v>
      </c>
      <c r="K183" s="280" t="s">
        <v>142</v>
      </c>
      <c r="L183" s="280">
        <v>10395</v>
      </c>
      <c r="M183" s="280" t="s">
        <v>54</v>
      </c>
      <c r="N183" s="280"/>
    </row>
    <row r="184" spans="1:14" s="93" customFormat="1" ht="45">
      <c r="A184" s="281">
        <v>21</v>
      </c>
      <c r="B184" s="376"/>
      <c r="C184" s="376"/>
      <c r="D184" s="240" t="s">
        <v>1552</v>
      </c>
      <c r="E184" s="280" t="s">
        <v>1553</v>
      </c>
      <c r="F184" s="280">
        <v>91.05</v>
      </c>
      <c r="G184" s="280" t="s">
        <v>54</v>
      </c>
      <c r="H184" s="280" t="s">
        <v>54</v>
      </c>
      <c r="I184" s="280" t="s">
        <v>1462</v>
      </c>
      <c r="J184" s="280" t="s">
        <v>54</v>
      </c>
      <c r="K184" s="280" t="s">
        <v>54</v>
      </c>
      <c r="L184" s="280">
        <v>490</v>
      </c>
      <c r="M184" s="280" t="s">
        <v>54</v>
      </c>
      <c r="N184" s="280"/>
    </row>
    <row r="185" spans="1:14" s="93" customFormat="1" ht="45">
      <c r="A185" s="281">
        <v>22</v>
      </c>
      <c r="B185" s="376"/>
      <c r="C185" s="376"/>
      <c r="D185" s="240" t="s">
        <v>1554</v>
      </c>
      <c r="E185" s="280" t="s">
        <v>1555</v>
      </c>
      <c r="F185" s="280">
        <v>105.81</v>
      </c>
      <c r="G185" s="280" t="s">
        <v>54</v>
      </c>
      <c r="H185" s="280">
        <v>1985</v>
      </c>
      <c r="I185" s="280" t="s">
        <v>1462</v>
      </c>
      <c r="J185" s="280" t="s">
        <v>1556</v>
      </c>
      <c r="K185" s="280" t="s">
        <v>1557</v>
      </c>
      <c r="L185" s="280">
        <v>1650</v>
      </c>
      <c r="M185" s="280" t="s">
        <v>54</v>
      </c>
      <c r="N185" s="280"/>
    </row>
    <row r="186" spans="1:14" s="93" customFormat="1" ht="45">
      <c r="A186" s="281">
        <v>23</v>
      </c>
      <c r="B186" s="376"/>
      <c r="C186" s="376"/>
      <c r="D186" s="240" t="s">
        <v>1558</v>
      </c>
      <c r="E186" s="280" t="s">
        <v>1559</v>
      </c>
      <c r="F186" s="280">
        <v>460.37</v>
      </c>
      <c r="G186" s="280" t="s">
        <v>54</v>
      </c>
      <c r="H186" s="280" t="s">
        <v>1560</v>
      </c>
      <c r="I186" s="280" t="s">
        <v>1462</v>
      </c>
      <c r="J186" s="280" t="s">
        <v>1561</v>
      </c>
      <c r="K186" s="280" t="s">
        <v>1562</v>
      </c>
      <c r="L186" s="280">
        <v>19200</v>
      </c>
      <c r="M186" s="280" t="s">
        <v>54</v>
      </c>
      <c r="N186" s="280"/>
    </row>
    <row r="187" spans="1:14" s="93" customFormat="1" ht="45">
      <c r="A187" s="281">
        <v>24</v>
      </c>
      <c r="B187" s="376"/>
      <c r="C187" s="376"/>
      <c r="D187" s="240" t="s">
        <v>1563</v>
      </c>
      <c r="E187" s="280" t="s">
        <v>1564</v>
      </c>
      <c r="F187" s="280">
        <v>42.87</v>
      </c>
      <c r="G187" s="280" t="s">
        <v>54</v>
      </c>
      <c r="H187" s="280" t="s">
        <v>1565</v>
      </c>
      <c r="I187" s="280" t="s">
        <v>1462</v>
      </c>
      <c r="J187" s="280" t="s">
        <v>1566</v>
      </c>
      <c r="K187" s="280" t="s">
        <v>1567</v>
      </c>
      <c r="L187" s="280">
        <v>4600</v>
      </c>
      <c r="M187" s="280" t="s">
        <v>54</v>
      </c>
      <c r="N187" s="280"/>
    </row>
    <row r="188" spans="1:14" s="93" customFormat="1" ht="75">
      <c r="A188" s="281">
        <v>25</v>
      </c>
      <c r="B188" s="376" t="s">
        <v>1458</v>
      </c>
      <c r="C188" s="376" t="s">
        <v>788</v>
      </c>
      <c r="D188" s="279" t="s">
        <v>1568</v>
      </c>
      <c r="E188" s="278" t="s">
        <v>1569</v>
      </c>
      <c r="F188" s="278">
        <v>808.36</v>
      </c>
      <c r="G188" s="278"/>
      <c r="H188" s="278"/>
      <c r="I188" s="278"/>
      <c r="J188" s="278"/>
      <c r="K188" s="278"/>
      <c r="L188" s="278" t="s">
        <v>1570</v>
      </c>
      <c r="M188" s="278"/>
      <c r="N188" s="278" t="s">
        <v>1571</v>
      </c>
    </row>
    <row r="189" spans="1:14" s="93" customFormat="1" ht="60">
      <c r="A189" s="281">
        <v>26</v>
      </c>
      <c r="B189" s="376"/>
      <c r="C189" s="376"/>
      <c r="D189" s="279" t="s">
        <v>1572</v>
      </c>
      <c r="E189" s="278" t="s">
        <v>1573</v>
      </c>
      <c r="F189" s="85">
        <v>455.22489999999999</v>
      </c>
      <c r="G189" s="85">
        <v>455.22489999999999</v>
      </c>
      <c r="H189" s="278" t="s">
        <v>1574</v>
      </c>
      <c r="I189" s="278" t="s">
        <v>95</v>
      </c>
      <c r="J189" s="278" t="s">
        <v>1575</v>
      </c>
      <c r="K189" s="278" t="s">
        <v>155</v>
      </c>
      <c r="L189" s="86">
        <v>140616</v>
      </c>
      <c r="M189" s="85">
        <f>L189/F189</f>
        <v>308.89347221560155</v>
      </c>
      <c r="N189" s="278"/>
    </row>
    <row r="190" spans="1:14" s="93" customFormat="1" ht="60">
      <c r="A190" s="281">
        <v>27</v>
      </c>
      <c r="B190" s="376"/>
      <c r="C190" s="376"/>
      <c r="D190" s="279" t="s">
        <v>1576</v>
      </c>
      <c r="E190" s="278" t="s">
        <v>1577</v>
      </c>
      <c r="F190" s="85">
        <v>480.77319999999997</v>
      </c>
      <c r="G190" s="85">
        <v>480.77319999999997</v>
      </c>
      <c r="H190" s="278" t="s">
        <v>1578</v>
      </c>
      <c r="I190" s="278" t="s">
        <v>95</v>
      </c>
      <c r="J190" s="278"/>
      <c r="K190" s="278" t="s">
        <v>1579</v>
      </c>
      <c r="L190" s="86">
        <v>12415</v>
      </c>
      <c r="M190" s="85">
        <f t="shared" ref="M190:M197" si="1">L190/F190</f>
        <v>25.822986805420935</v>
      </c>
      <c r="N190" s="278"/>
    </row>
    <row r="191" spans="1:14" s="93" customFormat="1" ht="60">
      <c r="A191" s="281">
        <v>28</v>
      </c>
      <c r="B191" s="376"/>
      <c r="C191" s="376"/>
      <c r="D191" s="279" t="s">
        <v>1580</v>
      </c>
      <c r="E191" s="278" t="s">
        <v>1581</v>
      </c>
      <c r="F191" s="85">
        <v>510.82922350000001</v>
      </c>
      <c r="G191" s="85">
        <v>510.82922350000001</v>
      </c>
      <c r="H191" s="278" t="s">
        <v>1582</v>
      </c>
      <c r="I191" s="278" t="s">
        <v>95</v>
      </c>
      <c r="J191" s="278"/>
      <c r="K191" s="278" t="s">
        <v>1583</v>
      </c>
      <c r="L191" s="86">
        <v>83185</v>
      </c>
      <c r="M191" s="85">
        <f t="shared" si="1"/>
        <v>162.84307195670843</v>
      </c>
      <c r="N191" s="278"/>
    </row>
    <row r="192" spans="1:14" s="93" customFormat="1" ht="45">
      <c r="A192" s="281">
        <v>29</v>
      </c>
      <c r="B192" s="376"/>
      <c r="C192" s="376"/>
      <c r="D192" s="279" t="s">
        <v>1584</v>
      </c>
      <c r="E192" s="278" t="s">
        <v>1585</v>
      </c>
      <c r="F192" s="278">
        <v>104.21</v>
      </c>
      <c r="G192" s="278">
        <v>104.21</v>
      </c>
      <c r="H192" s="278" t="s">
        <v>1586</v>
      </c>
      <c r="I192" s="278" t="s">
        <v>95</v>
      </c>
      <c r="J192" s="278" t="s">
        <v>1587</v>
      </c>
      <c r="K192" s="278" t="s">
        <v>1588</v>
      </c>
      <c r="L192" s="86">
        <v>10343</v>
      </c>
      <c r="M192" s="85">
        <f t="shared" si="1"/>
        <v>99.251511371269558</v>
      </c>
      <c r="N192" s="278" t="s">
        <v>1589</v>
      </c>
    </row>
    <row r="193" spans="1:14" s="93" customFormat="1" ht="75">
      <c r="A193" s="281">
        <v>30</v>
      </c>
      <c r="B193" s="376"/>
      <c r="C193" s="376"/>
      <c r="D193" s="279" t="s">
        <v>1590</v>
      </c>
      <c r="E193" s="278" t="s">
        <v>1591</v>
      </c>
      <c r="F193" s="278">
        <v>657.14</v>
      </c>
      <c r="G193" s="278">
        <v>153.07</v>
      </c>
      <c r="H193" s="278" t="s">
        <v>1592</v>
      </c>
      <c r="I193" s="278" t="s">
        <v>95</v>
      </c>
      <c r="J193" s="278" t="s">
        <v>1110</v>
      </c>
      <c r="K193" s="278" t="s">
        <v>1593</v>
      </c>
      <c r="L193" s="86">
        <v>55000</v>
      </c>
      <c r="M193" s="85">
        <f t="shared" si="1"/>
        <v>83.696016069635093</v>
      </c>
      <c r="N193" s="278"/>
    </row>
    <row r="194" spans="1:14" s="93" customFormat="1" ht="75">
      <c r="A194" s="281">
        <v>31</v>
      </c>
      <c r="B194" s="376"/>
      <c r="C194" s="376"/>
      <c r="D194" s="279" t="s">
        <v>1594</v>
      </c>
      <c r="E194" s="278" t="s">
        <v>1595</v>
      </c>
      <c r="F194" s="85">
        <v>275.447</v>
      </c>
      <c r="G194" s="278">
        <v>155.29</v>
      </c>
      <c r="H194" s="278" t="s">
        <v>1596</v>
      </c>
      <c r="I194" s="278" t="s">
        <v>95</v>
      </c>
      <c r="J194" s="278" t="s">
        <v>1597</v>
      </c>
      <c r="K194" s="278" t="s">
        <v>1598</v>
      </c>
      <c r="L194" s="86">
        <v>13000</v>
      </c>
      <c r="M194" s="85">
        <f t="shared" si="1"/>
        <v>47.196012300006899</v>
      </c>
      <c r="N194" s="278"/>
    </row>
    <row r="195" spans="1:14" s="93" customFormat="1" ht="270">
      <c r="A195" s="281">
        <v>32</v>
      </c>
      <c r="B195" s="376"/>
      <c r="C195" s="376"/>
      <c r="D195" s="279" t="s">
        <v>1599</v>
      </c>
      <c r="E195" s="278" t="s">
        <v>1600</v>
      </c>
      <c r="F195" s="278">
        <v>371.74</v>
      </c>
      <c r="G195" s="278">
        <v>278.81</v>
      </c>
      <c r="H195" s="278" t="s">
        <v>1601</v>
      </c>
      <c r="I195" s="278" t="s">
        <v>95</v>
      </c>
      <c r="J195" s="278" t="s">
        <v>1602</v>
      </c>
      <c r="K195" s="278" t="s">
        <v>169</v>
      </c>
      <c r="L195" s="86">
        <v>13000</v>
      </c>
      <c r="M195" s="85">
        <f t="shared" si="1"/>
        <v>34.970678431161566</v>
      </c>
      <c r="N195" s="278" t="s">
        <v>2435</v>
      </c>
    </row>
    <row r="196" spans="1:14" s="93" customFormat="1" ht="45">
      <c r="A196" s="281">
        <v>33</v>
      </c>
      <c r="B196" s="376"/>
      <c r="C196" s="376"/>
      <c r="D196" s="279" t="s">
        <v>1603</v>
      </c>
      <c r="E196" s="278" t="s">
        <v>1604</v>
      </c>
      <c r="F196" s="278">
        <v>269.87</v>
      </c>
      <c r="G196" s="278">
        <v>235.17</v>
      </c>
      <c r="H196" s="278" t="s">
        <v>1605</v>
      </c>
      <c r="I196" s="278" t="s">
        <v>95</v>
      </c>
      <c r="J196" s="278" t="s">
        <v>1606</v>
      </c>
      <c r="K196" s="278" t="s">
        <v>1607</v>
      </c>
      <c r="L196" s="86">
        <v>40000</v>
      </c>
      <c r="M196" s="85">
        <f t="shared" si="1"/>
        <v>148.21951309889945</v>
      </c>
      <c r="N196" s="278"/>
    </row>
    <row r="197" spans="1:14" s="93" customFormat="1" ht="45">
      <c r="A197" s="281">
        <v>34</v>
      </c>
      <c r="B197" s="376"/>
      <c r="C197" s="376"/>
      <c r="D197" s="279" t="s">
        <v>1608</v>
      </c>
      <c r="E197" s="278" t="s">
        <v>1609</v>
      </c>
      <c r="F197" s="278">
        <v>492.62</v>
      </c>
      <c r="G197" s="278">
        <v>492.62</v>
      </c>
      <c r="H197" s="278" t="s">
        <v>1610</v>
      </c>
      <c r="I197" s="278" t="s">
        <v>95</v>
      </c>
      <c r="J197" s="278" t="s">
        <v>104</v>
      </c>
      <c r="K197" s="278" t="s">
        <v>1611</v>
      </c>
      <c r="L197" s="86">
        <v>11000</v>
      </c>
      <c r="M197" s="85">
        <f t="shared" si="1"/>
        <v>22.329584669725143</v>
      </c>
      <c r="N197" s="278"/>
    </row>
    <row r="198" spans="1:14" s="93" customFormat="1" ht="90">
      <c r="A198" s="281">
        <v>35</v>
      </c>
      <c r="B198" s="376"/>
      <c r="C198" s="376"/>
      <c r="D198" s="279" t="s">
        <v>1612</v>
      </c>
      <c r="E198" s="278" t="s">
        <v>1613</v>
      </c>
      <c r="F198" s="278">
        <v>398.58</v>
      </c>
      <c r="G198" s="278">
        <v>375</v>
      </c>
      <c r="H198" s="278" t="s">
        <v>1614</v>
      </c>
      <c r="I198" s="278" t="s">
        <v>95</v>
      </c>
      <c r="J198" s="278" t="s">
        <v>102</v>
      </c>
      <c r="K198" s="241">
        <v>40917</v>
      </c>
      <c r="L198" s="278" t="s">
        <v>1615</v>
      </c>
      <c r="M198" s="278" t="s">
        <v>1616</v>
      </c>
      <c r="N198" s="278" t="s">
        <v>1617</v>
      </c>
    </row>
    <row r="199" spans="1:14" s="93" customFormat="1" ht="75">
      <c r="A199" s="281">
        <v>36</v>
      </c>
      <c r="B199" s="376"/>
      <c r="C199" s="376"/>
      <c r="D199" s="279" t="s">
        <v>1618</v>
      </c>
      <c r="E199" s="278" t="s">
        <v>1619</v>
      </c>
      <c r="F199" s="278">
        <v>173.32</v>
      </c>
      <c r="G199" s="278">
        <v>173.32</v>
      </c>
      <c r="H199" s="278">
        <v>1966</v>
      </c>
      <c r="I199" s="278" t="s">
        <v>95</v>
      </c>
      <c r="J199" s="278" t="s">
        <v>102</v>
      </c>
      <c r="K199" s="241">
        <v>43104</v>
      </c>
      <c r="L199" s="278" t="s">
        <v>1620</v>
      </c>
      <c r="M199" s="278" t="s">
        <v>1621</v>
      </c>
      <c r="N199" s="278" t="s">
        <v>1622</v>
      </c>
    </row>
    <row r="200" spans="1:14" s="93" customFormat="1" ht="105">
      <c r="A200" s="281">
        <v>37</v>
      </c>
      <c r="B200" s="376"/>
      <c r="C200" s="376"/>
      <c r="D200" s="279" t="s">
        <v>1623</v>
      </c>
      <c r="E200" s="278" t="s">
        <v>1624</v>
      </c>
      <c r="F200" s="278" t="s">
        <v>1625</v>
      </c>
      <c r="G200" s="278" t="s">
        <v>1625</v>
      </c>
      <c r="H200" s="241" t="s">
        <v>1626</v>
      </c>
      <c r="I200" s="278" t="s">
        <v>95</v>
      </c>
      <c r="J200" s="278" t="s">
        <v>102</v>
      </c>
      <c r="K200" s="241">
        <v>43841</v>
      </c>
      <c r="L200" s="278" t="s">
        <v>1627</v>
      </c>
      <c r="M200" s="278" t="s">
        <v>1628</v>
      </c>
      <c r="N200" s="87" t="s">
        <v>49</v>
      </c>
    </row>
    <row r="201" spans="1:14" s="93" customFormat="1" ht="60">
      <c r="A201" s="281">
        <v>38</v>
      </c>
      <c r="B201" s="376"/>
      <c r="C201" s="376"/>
      <c r="D201" s="279" t="s">
        <v>1629</v>
      </c>
      <c r="E201" s="278" t="s">
        <v>1630</v>
      </c>
      <c r="F201" s="278">
        <v>89.09</v>
      </c>
      <c r="G201" s="278">
        <v>89.09</v>
      </c>
      <c r="H201" s="278">
        <v>1972</v>
      </c>
      <c r="I201" s="278" t="s">
        <v>95</v>
      </c>
      <c r="J201" s="278" t="s">
        <v>102</v>
      </c>
      <c r="K201" s="278" t="s">
        <v>1631</v>
      </c>
      <c r="L201" s="278" t="s">
        <v>1632</v>
      </c>
      <c r="M201" s="278" t="s">
        <v>1633</v>
      </c>
      <c r="N201" s="278" t="s">
        <v>1634</v>
      </c>
    </row>
    <row r="202" spans="1:14" s="93" customFormat="1" ht="45">
      <c r="A202" s="281">
        <v>39</v>
      </c>
      <c r="B202" s="376"/>
      <c r="C202" s="376"/>
      <c r="D202" s="279" t="s">
        <v>1635</v>
      </c>
      <c r="E202" s="278" t="s">
        <v>1636</v>
      </c>
      <c r="F202" s="348" t="s">
        <v>1637</v>
      </c>
      <c r="G202" s="348"/>
      <c r="H202" s="348"/>
      <c r="I202" s="348"/>
      <c r="J202" s="348"/>
      <c r="K202" s="348"/>
      <c r="L202" s="348"/>
      <c r="M202" s="348"/>
      <c r="N202" s="348"/>
    </row>
    <row r="203" spans="1:14" ht="45">
      <c r="A203" s="281">
        <v>40</v>
      </c>
      <c r="B203" s="376"/>
      <c r="C203" s="376"/>
      <c r="D203" s="279" t="s">
        <v>1638</v>
      </c>
      <c r="E203" s="278" t="s">
        <v>1639</v>
      </c>
      <c r="F203" s="278">
        <v>206</v>
      </c>
      <c r="G203" s="278">
        <v>206</v>
      </c>
      <c r="H203" s="278" t="s">
        <v>1640</v>
      </c>
      <c r="I203" s="278" t="s">
        <v>95</v>
      </c>
      <c r="J203" s="278" t="s">
        <v>1641</v>
      </c>
      <c r="K203" s="278" t="s">
        <v>1642</v>
      </c>
      <c r="L203" s="278" t="s">
        <v>1643</v>
      </c>
      <c r="M203" s="278"/>
      <c r="N203" s="278"/>
    </row>
    <row r="204" spans="1:14" ht="22.5" customHeight="1">
      <c r="A204" s="281">
        <v>41</v>
      </c>
      <c r="B204" s="376"/>
      <c r="C204" s="376"/>
      <c r="D204" s="279" t="s">
        <v>1644</v>
      </c>
      <c r="E204" s="278" t="s">
        <v>1645</v>
      </c>
      <c r="F204" s="278">
        <v>141</v>
      </c>
      <c r="G204" s="278">
        <v>141</v>
      </c>
      <c r="H204" s="278" t="s">
        <v>1646</v>
      </c>
      <c r="I204" s="278" t="s">
        <v>95</v>
      </c>
      <c r="J204" s="278" t="s">
        <v>1647</v>
      </c>
      <c r="K204" s="278" t="s">
        <v>1648</v>
      </c>
      <c r="L204" s="278" t="s">
        <v>1649</v>
      </c>
      <c r="M204" s="278"/>
      <c r="N204" s="278"/>
    </row>
    <row r="205" spans="1:14" ht="45">
      <c r="A205" s="281">
        <v>42</v>
      </c>
      <c r="B205" s="376"/>
      <c r="C205" s="376"/>
      <c r="D205" s="279" t="s">
        <v>1650</v>
      </c>
      <c r="E205" s="278" t="s">
        <v>1651</v>
      </c>
      <c r="F205" s="278">
        <v>170</v>
      </c>
      <c r="G205" s="278">
        <v>170</v>
      </c>
      <c r="H205" s="278" t="s">
        <v>1652</v>
      </c>
      <c r="I205" s="278" t="s">
        <v>95</v>
      </c>
      <c r="J205" s="278" t="s">
        <v>1653</v>
      </c>
      <c r="K205" s="278"/>
      <c r="L205" s="278" t="s">
        <v>1654</v>
      </c>
      <c r="M205" s="278"/>
      <c r="N205" s="278"/>
    </row>
    <row r="206" spans="1:14" ht="45">
      <c r="A206" s="281">
        <v>43</v>
      </c>
      <c r="B206" s="376"/>
      <c r="C206" s="376"/>
      <c r="D206" s="279" t="s">
        <v>1655</v>
      </c>
      <c r="E206" s="278" t="s">
        <v>1656</v>
      </c>
      <c r="F206" s="278">
        <v>54</v>
      </c>
      <c r="G206" s="278">
        <v>54</v>
      </c>
      <c r="H206" s="278" t="s">
        <v>1657</v>
      </c>
      <c r="I206" s="278" t="s">
        <v>95</v>
      </c>
      <c r="J206" s="278" t="s">
        <v>1658</v>
      </c>
      <c r="K206" s="278" t="s">
        <v>1659</v>
      </c>
      <c r="L206" s="278" t="s">
        <v>1660</v>
      </c>
      <c r="M206" s="278"/>
      <c r="N206" s="278"/>
    </row>
    <row r="207" spans="1:14" ht="60">
      <c r="A207" s="281">
        <v>44</v>
      </c>
      <c r="B207" s="376"/>
      <c r="C207" s="376"/>
      <c r="D207" s="279" t="s">
        <v>1661</v>
      </c>
      <c r="E207" s="278" t="s">
        <v>1662</v>
      </c>
      <c r="F207" s="278">
        <v>127</v>
      </c>
      <c r="G207" s="278">
        <v>127</v>
      </c>
      <c r="H207" s="278" t="s">
        <v>1663</v>
      </c>
      <c r="I207" s="278" t="s">
        <v>95</v>
      </c>
      <c r="J207" s="278" t="s">
        <v>1664</v>
      </c>
      <c r="K207" s="278" t="s">
        <v>1665</v>
      </c>
      <c r="L207" s="278" t="s">
        <v>1666</v>
      </c>
      <c r="M207" s="278"/>
      <c r="N207" s="278"/>
    </row>
    <row r="208" spans="1:14" ht="75">
      <c r="A208" s="281">
        <v>45</v>
      </c>
      <c r="B208" s="376"/>
      <c r="C208" s="376"/>
      <c r="D208" s="279" t="s">
        <v>1667</v>
      </c>
      <c r="E208" s="278" t="s">
        <v>1668</v>
      </c>
      <c r="F208" s="278">
        <v>76</v>
      </c>
      <c r="G208" s="278">
        <v>76</v>
      </c>
      <c r="H208" s="278" t="s">
        <v>1669</v>
      </c>
      <c r="I208" s="278" t="s">
        <v>95</v>
      </c>
      <c r="J208" s="278" t="s">
        <v>1670</v>
      </c>
      <c r="K208" s="278" t="s">
        <v>1671</v>
      </c>
      <c r="L208" s="278" t="s">
        <v>1672</v>
      </c>
      <c r="M208" s="278"/>
      <c r="N208" s="278"/>
    </row>
    <row r="209" spans="1:14" ht="30">
      <c r="A209" s="281">
        <v>46</v>
      </c>
      <c r="B209" s="376"/>
      <c r="C209" s="376"/>
      <c r="D209" s="279" t="s">
        <v>1673</v>
      </c>
      <c r="E209" s="278" t="s">
        <v>1674</v>
      </c>
      <c r="F209" s="278">
        <v>93</v>
      </c>
      <c r="G209" s="278">
        <v>93</v>
      </c>
      <c r="H209" s="278" t="s">
        <v>171</v>
      </c>
      <c r="I209" s="278" t="s">
        <v>95</v>
      </c>
      <c r="J209" s="278" t="s">
        <v>1675</v>
      </c>
      <c r="K209" s="278" t="s">
        <v>158</v>
      </c>
      <c r="L209" s="278" t="s">
        <v>1676</v>
      </c>
      <c r="M209" s="278"/>
      <c r="N209" s="278"/>
    </row>
    <row r="210" spans="1:14" ht="30">
      <c r="A210" s="281">
        <v>47</v>
      </c>
      <c r="B210" s="376"/>
      <c r="C210" s="376"/>
      <c r="D210" s="279" t="s">
        <v>1677</v>
      </c>
      <c r="E210" s="278" t="s">
        <v>1677</v>
      </c>
      <c r="F210" s="278">
        <v>557.62</v>
      </c>
      <c r="G210" s="278">
        <v>557.62</v>
      </c>
      <c r="H210" s="278" t="s">
        <v>49</v>
      </c>
      <c r="I210" s="278" t="s">
        <v>95</v>
      </c>
      <c r="J210" s="278"/>
      <c r="K210" s="278" t="s">
        <v>49</v>
      </c>
      <c r="L210" s="278" t="s">
        <v>1678</v>
      </c>
      <c r="M210" s="278"/>
      <c r="N210" s="278"/>
    </row>
    <row r="211" spans="1:14" ht="30">
      <c r="A211" s="281">
        <v>48</v>
      </c>
      <c r="B211" s="376"/>
      <c r="C211" s="376"/>
      <c r="D211" s="279" t="s">
        <v>1679</v>
      </c>
      <c r="E211" s="278" t="s">
        <v>1679</v>
      </c>
      <c r="F211" s="278">
        <v>23.23</v>
      </c>
      <c r="G211" s="278">
        <v>23.23</v>
      </c>
      <c r="H211" s="278" t="s">
        <v>1680</v>
      </c>
      <c r="I211" s="278" t="s">
        <v>95</v>
      </c>
      <c r="J211" s="278" t="s">
        <v>49</v>
      </c>
      <c r="K211" s="278" t="s">
        <v>49</v>
      </c>
      <c r="L211" s="278" t="s">
        <v>49</v>
      </c>
      <c r="M211" s="278"/>
      <c r="N211" s="278"/>
    </row>
    <row r="212" spans="1:14" ht="30">
      <c r="A212" s="281">
        <v>49</v>
      </c>
      <c r="B212" s="376"/>
      <c r="C212" s="376"/>
      <c r="D212" s="279" t="s">
        <v>1681</v>
      </c>
      <c r="E212" s="278" t="s">
        <v>1681</v>
      </c>
      <c r="F212" s="278">
        <v>28.78</v>
      </c>
      <c r="G212" s="278">
        <v>28.78</v>
      </c>
      <c r="H212" s="278" t="s">
        <v>1682</v>
      </c>
      <c r="I212" s="278" t="s">
        <v>95</v>
      </c>
      <c r="J212" s="278" t="s">
        <v>49</v>
      </c>
      <c r="K212" s="278" t="s">
        <v>49</v>
      </c>
      <c r="L212" s="278" t="s">
        <v>1683</v>
      </c>
      <c r="M212" s="278"/>
      <c r="N212" s="278"/>
    </row>
    <row r="213" spans="1:14" ht="45">
      <c r="A213" s="281">
        <v>50</v>
      </c>
      <c r="B213" s="376"/>
      <c r="C213" s="376"/>
      <c r="D213" s="279" t="s">
        <v>1684</v>
      </c>
      <c r="E213" s="278" t="s">
        <v>1684</v>
      </c>
      <c r="F213" s="278">
        <v>691.24</v>
      </c>
      <c r="G213" s="278" t="s">
        <v>1685</v>
      </c>
      <c r="H213" s="278"/>
      <c r="I213" s="278" t="s">
        <v>95</v>
      </c>
      <c r="J213" s="278" t="s">
        <v>49</v>
      </c>
      <c r="K213" s="278" t="s">
        <v>49</v>
      </c>
      <c r="L213" s="278" t="s">
        <v>1686</v>
      </c>
      <c r="M213" s="278"/>
      <c r="N213" s="278"/>
    </row>
    <row r="214" spans="1:14" ht="30">
      <c r="A214" s="281">
        <v>51</v>
      </c>
      <c r="B214" s="376"/>
      <c r="C214" s="376"/>
      <c r="D214" s="279" t="s">
        <v>1687</v>
      </c>
      <c r="E214" s="278" t="s">
        <v>1687</v>
      </c>
      <c r="F214" s="278">
        <v>297.39999999999998</v>
      </c>
      <c r="G214" s="278">
        <v>297.39999999999998</v>
      </c>
      <c r="H214" s="278" t="s">
        <v>49</v>
      </c>
      <c r="I214" s="278" t="s">
        <v>95</v>
      </c>
      <c r="J214" s="278" t="s">
        <v>49</v>
      </c>
      <c r="K214" s="278" t="s">
        <v>49</v>
      </c>
      <c r="L214" s="278" t="s">
        <v>1688</v>
      </c>
      <c r="M214" s="278"/>
      <c r="N214" s="278"/>
    </row>
    <row r="215" spans="1:14" ht="30">
      <c r="A215" s="281">
        <v>52</v>
      </c>
      <c r="B215" s="376"/>
      <c r="C215" s="376"/>
      <c r="D215" s="279" t="s">
        <v>1689</v>
      </c>
      <c r="E215" s="278" t="s">
        <v>1689</v>
      </c>
      <c r="F215" s="278">
        <v>103</v>
      </c>
      <c r="G215" s="278">
        <v>103</v>
      </c>
      <c r="H215" s="278"/>
      <c r="I215" s="278" t="s">
        <v>95</v>
      </c>
      <c r="J215" s="278" t="s">
        <v>99</v>
      </c>
      <c r="K215" s="278" t="s">
        <v>49</v>
      </c>
      <c r="L215" s="278" t="s">
        <v>1690</v>
      </c>
      <c r="M215" s="278"/>
      <c r="N215" s="278"/>
    </row>
    <row r="216" spans="1:14" ht="60">
      <c r="A216" s="281">
        <v>53</v>
      </c>
      <c r="B216" s="376"/>
      <c r="C216" s="376"/>
      <c r="D216" s="279" t="s">
        <v>1691</v>
      </c>
      <c r="E216" s="278" t="s">
        <v>1692</v>
      </c>
      <c r="F216" s="278">
        <v>130</v>
      </c>
      <c r="G216" s="278" t="s">
        <v>1693</v>
      </c>
      <c r="H216" s="278" t="s">
        <v>1694</v>
      </c>
      <c r="I216" s="278" t="s">
        <v>95</v>
      </c>
      <c r="J216" s="278" t="s">
        <v>1695</v>
      </c>
      <c r="K216" s="278" t="s">
        <v>150</v>
      </c>
      <c r="L216" s="278" t="s">
        <v>1696</v>
      </c>
      <c r="M216" s="278"/>
      <c r="N216" s="278"/>
    </row>
    <row r="217" spans="1:14" ht="60">
      <c r="A217" s="281">
        <v>54</v>
      </c>
      <c r="B217" s="376"/>
      <c r="C217" s="376"/>
      <c r="D217" s="279" t="s">
        <v>1697</v>
      </c>
      <c r="E217" s="278" t="s">
        <v>1698</v>
      </c>
      <c r="F217" s="278">
        <v>113.76</v>
      </c>
      <c r="G217" s="278">
        <v>113.76</v>
      </c>
      <c r="H217" s="278" t="s">
        <v>1699</v>
      </c>
      <c r="I217" s="278" t="s">
        <v>95</v>
      </c>
      <c r="J217" s="278" t="s">
        <v>1700</v>
      </c>
      <c r="K217" s="278" t="s">
        <v>1701</v>
      </c>
      <c r="L217" s="278" t="s">
        <v>1702</v>
      </c>
      <c r="M217" s="278"/>
      <c r="N217" s="278"/>
    </row>
    <row r="218" spans="1:14">
      <c r="A218" s="557"/>
      <c r="B218" s="557"/>
      <c r="C218" s="557"/>
      <c r="D218" s="557"/>
      <c r="E218" s="557"/>
      <c r="F218" s="557"/>
      <c r="G218" s="557"/>
      <c r="H218" s="557"/>
      <c r="I218" s="557"/>
      <c r="J218" s="557"/>
      <c r="K218" s="557"/>
      <c r="L218" s="557"/>
      <c r="M218" s="557"/>
      <c r="N218" s="557"/>
    </row>
    <row r="219" spans="1:14" ht="22.5">
      <c r="A219" s="504" t="s">
        <v>187</v>
      </c>
      <c r="B219" s="504"/>
      <c r="C219" s="504"/>
      <c r="D219" s="504"/>
      <c r="E219" s="504"/>
      <c r="F219" s="504"/>
      <c r="G219" s="504"/>
      <c r="H219" s="504"/>
      <c r="I219" s="504"/>
      <c r="J219" s="504"/>
      <c r="K219" s="504"/>
      <c r="L219" s="504"/>
      <c r="M219" s="504"/>
      <c r="N219" s="504"/>
    </row>
    <row r="220" spans="1:14" ht="20.25">
      <c r="A220" s="347" t="s">
        <v>133</v>
      </c>
      <c r="B220" s="347"/>
      <c r="C220" s="347"/>
      <c r="D220" s="347"/>
      <c r="E220" s="347"/>
      <c r="F220" s="347"/>
      <c r="G220" s="347"/>
      <c r="H220" s="347"/>
      <c r="I220" s="347"/>
      <c r="J220" s="347"/>
      <c r="K220" s="347"/>
      <c r="L220" s="347"/>
      <c r="M220" s="347"/>
      <c r="N220" s="347"/>
    </row>
    <row r="221" spans="1:14" ht="71.25">
      <c r="A221" s="295" t="s">
        <v>0</v>
      </c>
      <c r="B221" s="286" t="s">
        <v>60</v>
      </c>
      <c r="C221" s="295" t="s">
        <v>85</v>
      </c>
      <c r="D221" s="20" t="s">
        <v>86</v>
      </c>
      <c r="E221" s="20" t="s">
        <v>87</v>
      </c>
      <c r="F221" s="286" t="s">
        <v>134</v>
      </c>
      <c r="G221" s="286" t="s">
        <v>135</v>
      </c>
      <c r="H221" s="286" t="s">
        <v>88</v>
      </c>
      <c r="I221" s="286" t="s">
        <v>89</v>
      </c>
      <c r="J221" s="286" t="s">
        <v>90</v>
      </c>
      <c r="K221" s="286" t="s">
        <v>91</v>
      </c>
      <c r="L221" s="286" t="s">
        <v>92</v>
      </c>
      <c r="M221" s="286" t="s">
        <v>93</v>
      </c>
      <c r="N221" s="286" t="s">
        <v>94</v>
      </c>
    </row>
    <row r="222" spans="1:14">
      <c r="A222" s="295">
        <v>1</v>
      </c>
      <c r="B222" s="295">
        <v>2</v>
      </c>
      <c r="C222" s="295">
        <v>3</v>
      </c>
      <c r="D222" s="295">
        <v>4</v>
      </c>
      <c r="E222" s="295">
        <v>5</v>
      </c>
      <c r="F222" s="295">
        <v>6</v>
      </c>
      <c r="G222" s="295">
        <v>7</v>
      </c>
      <c r="H222" s="295">
        <v>8</v>
      </c>
      <c r="I222" s="286">
        <v>9</v>
      </c>
      <c r="J222" s="295">
        <v>10</v>
      </c>
      <c r="K222" s="295">
        <v>11</v>
      </c>
      <c r="L222" s="295">
        <v>12</v>
      </c>
      <c r="M222" s="295">
        <v>13</v>
      </c>
      <c r="N222" s="295">
        <v>14</v>
      </c>
    </row>
    <row r="223" spans="1:14" ht="60">
      <c r="A223" s="270">
        <v>1</v>
      </c>
      <c r="B223" s="376" t="s">
        <v>2394</v>
      </c>
      <c r="C223" s="376" t="s">
        <v>2395</v>
      </c>
      <c r="D223" s="279" t="s">
        <v>2396</v>
      </c>
      <c r="E223" s="274" t="s">
        <v>2427</v>
      </c>
      <c r="F223" s="275" t="s">
        <v>2397</v>
      </c>
      <c r="G223" s="275" t="s">
        <v>2397</v>
      </c>
      <c r="H223" s="270" t="s">
        <v>2398</v>
      </c>
      <c r="I223" s="270" t="s">
        <v>95</v>
      </c>
      <c r="J223" s="270" t="s">
        <v>2398</v>
      </c>
      <c r="K223" s="278" t="s">
        <v>2399</v>
      </c>
      <c r="L223" s="86">
        <v>22000</v>
      </c>
      <c r="M223" s="276" t="s">
        <v>2400</v>
      </c>
      <c r="N223" s="278"/>
    </row>
    <row r="224" spans="1:14" ht="60">
      <c r="A224" s="270">
        <v>2</v>
      </c>
      <c r="B224" s="376"/>
      <c r="C224" s="376"/>
      <c r="D224" s="279" t="s">
        <v>2401</v>
      </c>
      <c r="E224" s="274" t="s">
        <v>2428</v>
      </c>
      <c r="F224" s="278">
        <v>93.91</v>
      </c>
      <c r="G224" s="278">
        <v>93.91</v>
      </c>
      <c r="H224" s="270" t="s">
        <v>1110</v>
      </c>
      <c r="I224" s="270" t="s">
        <v>95</v>
      </c>
      <c r="J224" s="270" t="s">
        <v>1110</v>
      </c>
      <c r="K224" s="278" t="s">
        <v>1593</v>
      </c>
      <c r="L224" s="86">
        <v>11700</v>
      </c>
      <c r="M224" s="278">
        <v>124</v>
      </c>
      <c r="N224" s="278"/>
    </row>
    <row r="225" spans="1:14" ht="30">
      <c r="A225" s="270">
        <v>3</v>
      </c>
      <c r="B225" s="376"/>
      <c r="C225" s="376"/>
      <c r="D225" s="279" t="s">
        <v>2402</v>
      </c>
      <c r="E225" s="274" t="s">
        <v>2429</v>
      </c>
      <c r="F225" s="270">
        <v>156.41999999999999</v>
      </c>
      <c r="G225" s="270">
        <v>156.41999999999999</v>
      </c>
      <c r="H225" s="270" t="s">
        <v>2403</v>
      </c>
      <c r="I225" s="270" t="s">
        <v>95</v>
      </c>
      <c r="J225" s="270" t="s">
        <v>2403</v>
      </c>
      <c r="K225" s="278" t="s">
        <v>2404</v>
      </c>
      <c r="L225" s="278">
        <v>10000</v>
      </c>
      <c r="M225" s="278">
        <v>63</v>
      </c>
      <c r="N225" s="278"/>
    </row>
    <row r="226" spans="1:14" ht="90">
      <c r="A226" s="270">
        <v>4</v>
      </c>
      <c r="B226" s="376"/>
      <c r="C226" s="376"/>
      <c r="D226" s="279" t="s">
        <v>2405</v>
      </c>
      <c r="E226" s="274" t="s">
        <v>2406</v>
      </c>
      <c r="F226" s="270">
        <v>344</v>
      </c>
      <c r="G226" s="270">
        <v>344</v>
      </c>
      <c r="H226" s="270" t="s">
        <v>2407</v>
      </c>
      <c r="I226" s="270" t="s">
        <v>95</v>
      </c>
      <c r="J226" s="270" t="s">
        <v>2407</v>
      </c>
      <c r="K226" s="278" t="s">
        <v>1059</v>
      </c>
      <c r="L226" s="86">
        <v>13800</v>
      </c>
      <c r="M226" s="278">
        <v>40</v>
      </c>
      <c r="N226" s="278"/>
    </row>
    <row r="227" spans="1:14" ht="60">
      <c r="A227" s="266">
        <v>5</v>
      </c>
      <c r="B227" s="376"/>
      <c r="C227" s="376"/>
      <c r="D227" s="279" t="s">
        <v>2408</v>
      </c>
      <c r="E227" s="279" t="s">
        <v>2409</v>
      </c>
      <c r="F227" s="278">
        <v>251</v>
      </c>
      <c r="G227" s="278">
        <v>251</v>
      </c>
      <c r="H227" s="278"/>
      <c r="I227" s="270" t="s">
        <v>95</v>
      </c>
      <c r="J227" s="278"/>
      <c r="K227" s="278"/>
      <c r="L227" s="278"/>
      <c r="M227" s="278"/>
      <c r="N227" s="278" t="s">
        <v>2410</v>
      </c>
    </row>
    <row r="228" spans="1:14" ht="90">
      <c r="A228" s="278">
        <v>6</v>
      </c>
      <c r="B228" s="376"/>
      <c r="C228" s="376"/>
      <c r="D228" s="279" t="s">
        <v>2411</v>
      </c>
      <c r="E228" s="279" t="s">
        <v>2412</v>
      </c>
      <c r="F228" s="278">
        <v>98.27</v>
      </c>
      <c r="G228" s="278">
        <v>98.27</v>
      </c>
      <c r="H228" s="278"/>
      <c r="I228" s="270" t="s">
        <v>95</v>
      </c>
      <c r="J228" s="278"/>
      <c r="K228" s="278"/>
      <c r="L228" s="278"/>
      <c r="M228" s="278"/>
      <c r="N228" s="278" t="s">
        <v>2413</v>
      </c>
    </row>
    <row r="229" spans="1:14" ht="90">
      <c r="A229" s="278">
        <v>7</v>
      </c>
      <c r="B229" s="376"/>
      <c r="C229" s="376"/>
      <c r="D229" s="279" t="s">
        <v>2414</v>
      </c>
      <c r="E229" s="279" t="s">
        <v>2415</v>
      </c>
      <c r="F229" s="277">
        <v>172.46</v>
      </c>
      <c r="G229" s="277">
        <v>172.46</v>
      </c>
      <c r="H229" s="278"/>
      <c r="I229" s="270" t="s">
        <v>95</v>
      </c>
      <c r="J229" s="278"/>
      <c r="K229" s="278"/>
      <c r="L229" s="278"/>
      <c r="M229" s="278"/>
      <c r="N229" s="278" t="s">
        <v>2413</v>
      </c>
    </row>
    <row r="230" spans="1:14" ht="90">
      <c r="A230" s="278">
        <v>8</v>
      </c>
      <c r="B230" s="376"/>
      <c r="C230" s="376"/>
      <c r="D230" s="279" t="s">
        <v>2416</v>
      </c>
      <c r="E230" s="279" t="s">
        <v>2417</v>
      </c>
      <c r="F230" s="278"/>
      <c r="G230" s="278" t="s">
        <v>2418</v>
      </c>
      <c r="H230" s="278"/>
      <c r="I230" s="270" t="s">
        <v>95</v>
      </c>
      <c r="J230" s="278" t="s">
        <v>2419</v>
      </c>
      <c r="K230" s="241">
        <v>45265</v>
      </c>
      <c r="L230" s="278" t="s">
        <v>2420</v>
      </c>
      <c r="M230" s="278" t="s">
        <v>2421</v>
      </c>
      <c r="N230" s="278"/>
    </row>
    <row r="231" spans="1:14" ht="105">
      <c r="A231" s="278">
        <v>9</v>
      </c>
      <c r="B231" s="376"/>
      <c r="C231" s="279" t="s">
        <v>2422</v>
      </c>
      <c r="D231" s="279" t="s">
        <v>2423</v>
      </c>
      <c r="E231" s="279" t="s">
        <v>2424</v>
      </c>
      <c r="F231" s="278">
        <v>46.74</v>
      </c>
      <c r="G231" s="278">
        <v>60.76</v>
      </c>
      <c r="H231" s="278" t="s">
        <v>2425</v>
      </c>
      <c r="I231" s="278" t="s">
        <v>38</v>
      </c>
      <c r="J231" s="278" t="s">
        <v>38</v>
      </c>
      <c r="K231" s="278" t="s">
        <v>38</v>
      </c>
      <c r="L231" s="278">
        <f>62136/12</f>
        <v>5178</v>
      </c>
      <c r="M231" s="278">
        <v>110.78</v>
      </c>
      <c r="N231" s="280" t="s">
        <v>2426</v>
      </c>
    </row>
    <row r="232" spans="1:14">
      <c r="A232" s="348"/>
      <c r="B232" s="348"/>
      <c r="C232" s="348"/>
      <c r="D232" s="348"/>
      <c r="E232" s="348"/>
      <c r="F232" s="348"/>
      <c r="G232" s="348"/>
      <c r="H232" s="348"/>
      <c r="I232" s="348"/>
      <c r="J232" s="348"/>
      <c r="K232" s="348"/>
      <c r="L232" s="348"/>
      <c r="M232" s="348"/>
      <c r="N232" s="348"/>
    </row>
  </sheetData>
  <mergeCells count="109">
    <mergeCell ref="A232:N232"/>
    <mergeCell ref="B172:B187"/>
    <mergeCell ref="B223:B231"/>
    <mergeCell ref="C223:C230"/>
    <mergeCell ref="B188:B217"/>
    <mergeCell ref="C146:C147"/>
    <mergeCell ref="A148:N148"/>
    <mergeCell ref="A149:N149"/>
    <mergeCell ref="A160:N160"/>
    <mergeCell ref="A219:N219"/>
    <mergeCell ref="C188:C217"/>
    <mergeCell ref="F202:N202"/>
    <mergeCell ref="B164:B171"/>
    <mergeCell ref="C164:C187"/>
    <mergeCell ref="A220:N220"/>
    <mergeCell ref="A218:N218"/>
    <mergeCell ref="C154:N154"/>
    <mergeCell ref="C158:N158"/>
    <mergeCell ref="A2:N2"/>
    <mergeCell ref="A37:N37"/>
    <mergeCell ref="A44:N44"/>
    <mergeCell ref="A60:N60"/>
    <mergeCell ref="A66:N66"/>
    <mergeCell ref="A88:N88"/>
    <mergeCell ref="A136:N136"/>
    <mergeCell ref="A142:N142"/>
    <mergeCell ref="A161:N161"/>
    <mergeCell ref="A150:N150"/>
    <mergeCell ref="A67:N67"/>
    <mergeCell ref="A45:N45"/>
    <mergeCell ref="A61:N61"/>
    <mergeCell ref="A89:N89"/>
    <mergeCell ref="A159:N159"/>
    <mergeCell ref="G94:M94"/>
    <mergeCell ref="G95:M95"/>
    <mergeCell ref="B146:B147"/>
    <mergeCell ref="G19:G20"/>
    <mergeCell ref="I19:I20"/>
    <mergeCell ref="J19:J20"/>
    <mergeCell ref="K19:K20"/>
    <mergeCell ref="L19:L20"/>
    <mergeCell ref="M19:M20"/>
    <mergeCell ref="A1:N1"/>
    <mergeCell ref="A3:N3"/>
    <mergeCell ref="A38:N38"/>
    <mergeCell ref="B6:B35"/>
    <mergeCell ref="C6:C16"/>
    <mergeCell ref="C17:C35"/>
    <mergeCell ref="A137:N137"/>
    <mergeCell ref="A143:N143"/>
    <mergeCell ref="J17:J18"/>
    <mergeCell ref="K17:K18"/>
    <mergeCell ref="L17:L18"/>
    <mergeCell ref="M17:M18"/>
    <mergeCell ref="M21:M22"/>
    <mergeCell ref="N21:N22"/>
    <mergeCell ref="A23:A24"/>
    <mergeCell ref="D23:D24"/>
    <mergeCell ref="A115:A116"/>
    <mergeCell ref="D115:D116"/>
    <mergeCell ref="A141:N141"/>
    <mergeCell ref="N17:N18"/>
    <mergeCell ref="A19:A20"/>
    <mergeCell ref="D19:D20"/>
    <mergeCell ref="E19:E20"/>
    <mergeCell ref="F19:F20"/>
    <mergeCell ref="N19:N20"/>
    <mergeCell ref="D17:D18"/>
    <mergeCell ref="E17:E18"/>
    <mergeCell ref="F17:F18"/>
    <mergeCell ref="G17:G18"/>
    <mergeCell ref="I17:I18"/>
    <mergeCell ref="C70:C72"/>
    <mergeCell ref="B58:N58"/>
    <mergeCell ref="A21:A22"/>
    <mergeCell ref="D21:D22"/>
    <mergeCell ref="E23:E24"/>
    <mergeCell ref="F23:F24"/>
    <mergeCell ref="G23:G24"/>
    <mergeCell ref="M23:M24"/>
    <mergeCell ref="I21:I22"/>
    <mergeCell ref="J21:J22"/>
    <mergeCell ref="N23:N24"/>
    <mergeCell ref="K21:K22"/>
    <mergeCell ref="L21:L22"/>
    <mergeCell ref="I23:I24"/>
    <mergeCell ref="J23:J24"/>
    <mergeCell ref="K23:K24"/>
    <mergeCell ref="L23:L24"/>
    <mergeCell ref="A36:N36"/>
    <mergeCell ref="E21:E22"/>
    <mergeCell ref="F21:F22"/>
    <mergeCell ref="G21:G22"/>
    <mergeCell ref="A43:N43"/>
    <mergeCell ref="B70:B86"/>
    <mergeCell ref="A135:N135"/>
    <mergeCell ref="B92:B134"/>
    <mergeCell ref="C92:C93"/>
    <mergeCell ref="D92:D93"/>
    <mergeCell ref="C94:C134"/>
    <mergeCell ref="A118:A119"/>
    <mergeCell ref="D118:D119"/>
    <mergeCell ref="A127:A128"/>
    <mergeCell ref="D127:D128"/>
    <mergeCell ref="A87:N87"/>
    <mergeCell ref="C73:C86"/>
    <mergeCell ref="I73:I86"/>
    <mergeCell ref="A59:N59"/>
    <mergeCell ref="A65:N65"/>
  </mergeCells>
  <pageMargins left="1.5" right="0.7" top="0.75" bottom="0.75" header="0.3" footer="0.3"/>
  <pageSetup paperSize="5"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Custom Zones Annexure -A</vt:lpstr>
      <vt:lpstr>Custom Zones Annexure -B</vt:lpstr>
      <vt:lpstr>Custom Zones Annexure -C</vt:lpstr>
      <vt:lpstr>Custom Zones Annexure -D</vt:lpstr>
      <vt:lpstr>'Custom Zones Annexure -A'!Print_Area</vt:lpstr>
      <vt:lpstr>'Custom Zones Annexure -B'!Print_Area</vt:lpstr>
      <vt:lpstr>'Custom Zones Annexure -C'!Print_Area</vt:lpstr>
      <vt:lpstr>'Custom Zones Annexure -D'!Print_Area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2021-03-11T08:58:42Z</dcterms:modified>
</cp:coreProperties>
</file>