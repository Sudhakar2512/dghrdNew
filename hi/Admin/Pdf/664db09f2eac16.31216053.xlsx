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0" windowWidth="20055" windowHeight="7680"/>
  </bookViews>
  <sheets>
    <sheet name="Ongoing proposals main" sheetId="46" r:id="rId1"/>
  </sheets>
  <definedNames>
    <definedName name="_xlnm._FilterDatabase" localSheetId="0" hidden="1">'Ongoing proposals main'!$A$2:$I$5</definedName>
    <definedName name="_xlnm.Print_Area" localSheetId="0">'Ongoing proposals main'!$A$1:$I$48</definedName>
    <definedName name="_xlnm.Print_Titles" localSheetId="0">'Ongoing proposals main'!$2:$3</definedName>
  </definedNames>
  <calcPr calcId="124519"/>
  <fileRecoveryPr autoRecover="0"/>
</workbook>
</file>

<file path=xl/calcChain.xml><?xml version="1.0" encoding="utf-8"?>
<calcChain xmlns="http://schemas.openxmlformats.org/spreadsheetml/2006/main">
  <c r="L43" i="46"/>
</calcChain>
</file>

<file path=xl/sharedStrings.xml><?xml version="1.0" encoding="utf-8"?>
<sst xmlns="http://schemas.openxmlformats.org/spreadsheetml/2006/main" count="281" uniqueCount="233">
  <si>
    <t>S.No.</t>
  </si>
  <si>
    <t>File No. / Proposal No.</t>
  </si>
  <si>
    <t>Status of Proposal</t>
  </si>
  <si>
    <t>Zones/Directorates</t>
  </si>
  <si>
    <t>Comm'te</t>
  </si>
  <si>
    <t>Initial/Revision/Arrear</t>
  </si>
  <si>
    <t>Subject</t>
  </si>
  <si>
    <t>924/10/Hiring/DG (Vig.)/HRD/18</t>
  </si>
  <si>
    <t>Directorate General of GST Intelligence, New Delhi</t>
  </si>
  <si>
    <t>Revision</t>
  </si>
  <si>
    <r>
      <t xml:space="preserve">924/30/Hiring/DGPM WRU/Mumbai /HRD/17
</t>
    </r>
    <r>
      <rPr>
        <b/>
        <sz val="10"/>
        <rFont val="Bookman Old Style"/>
        <family val="1"/>
      </rPr>
      <t>FTS 364043</t>
    </r>
  </si>
  <si>
    <t>Area (sq.ft.)</t>
  </si>
  <si>
    <r>
      <t xml:space="preserve">924/21/Hiring/GST Audit (Hqrs Office)/Ludhiana/HRD/18
</t>
    </r>
    <r>
      <rPr>
        <b/>
        <sz val="10"/>
        <rFont val="Bookman Old Style"/>
        <family val="1"/>
      </rPr>
      <t>FTS 396604</t>
    </r>
  </si>
  <si>
    <t xml:space="preserve">Chief Commissioner, GST &amp; Customs, Shillong </t>
  </si>
  <si>
    <t xml:space="preserve">Guwahati Commissionerate </t>
  </si>
  <si>
    <t>Fresh</t>
  </si>
  <si>
    <t>Pr. Chief Commissioner of CGST &amp; Central Excise, Mumbai Zone</t>
  </si>
  <si>
    <t>Total annual Amount /Arrears (in Rs.)</t>
  </si>
  <si>
    <t>Central Tax &amp; Central Excise Audit Commissionerate, Kochi</t>
  </si>
  <si>
    <t>Chief Commissioner, Central Tax, Central Excise  &amp; Customs, Thiruvananthapuram Zone, C.R. Building, I.S. Press Road, Kochi-682018</t>
  </si>
  <si>
    <t xml:space="preserve">Proposal for initial hiring of office building for Central Tax &amp; Central Excise Audit Commissionerate, Kochi,             Thiruvananthapuram Zone for Audit Circle 8 at                Kozhikode
</t>
  </si>
  <si>
    <t>924/53/Hiring/Audit-II Comm’te/Hyderabad/HRD/19</t>
  </si>
  <si>
    <t xml:space="preserve">Chief Commissioner, CGST &amp; C.Ex., Ranchi Zone, Patna </t>
  </si>
  <si>
    <t>2018-19 File</t>
  </si>
  <si>
    <t xml:space="preserve">Directorate General of GST Intelligence, New Delhi </t>
  </si>
  <si>
    <t>Administrative approval &amp; expenditure sanction for proposal of hiring office accommodation by Bidhan Nagar Division of CGST &amp; CX., Kolkata North Commissionerate at the building of M/s National Small Industries Corporation Limited ( A Government of India Enterprises) at Salt lake, Kolkata</t>
  </si>
  <si>
    <t xml:space="preserve">Chief Commissioner, GST, Kolkata Zone  </t>
  </si>
  <si>
    <t>Bidhan Nagar Division of CGST &amp; CX., Kolkata North Commissionerate</t>
  </si>
  <si>
    <t>DGHRD, Saket, New Delhi</t>
  </si>
  <si>
    <t>924/11/Hiring/Div (Central)/Ludhiana/HRD/2019-20</t>
  </si>
  <si>
    <t>Pr. Chief Commissioner, GST, Chandigarh Zone</t>
  </si>
  <si>
    <t xml:space="preserve">Proposal for initial hiring of office accommodation for GST Division (Central) under CGST Commissionerate, Ludhiana
</t>
  </si>
  <si>
    <t>924/17/Hiring/CGST/Thane Rural/HRD/2019-20</t>
  </si>
  <si>
    <t>Proposal for hiring of new office space in Kalyan, Mumbai for the Divisional office premises of CGST &amp; C.Ex., Thane Rural Commissionerate</t>
  </si>
  <si>
    <t>Divisional office premises of CGST &amp; C.Ex., Thane Rural Commissionerate</t>
  </si>
  <si>
    <t xml:space="preserve">Proposal for renewal of lease agreement of M/s GNFC  Ltd., Infotower building for office premises CGST Audit  (HQ &amp; 10 Circle offices) at Ahmedabad 
</t>
  </si>
  <si>
    <t xml:space="preserve">Pr. Chief Commissioner, Central GST Zone, GST Bhavan, Revenue Marg, Ambawadi, Ahmedabbad-380015 </t>
  </si>
  <si>
    <t xml:space="preserve">CGST Audit  (HQ &amp; 10 Circle offices) at Ahmedabad
</t>
  </si>
  <si>
    <r>
      <t xml:space="preserve">924/42/Hiring/Guwahati/Shillong/HRD/19
</t>
    </r>
    <r>
      <rPr>
        <b/>
        <sz val="10"/>
        <rFont val="Bookman Old Style"/>
        <family val="1"/>
      </rPr>
      <t>FTS 419321</t>
    </r>
  </si>
  <si>
    <r>
      <t xml:space="preserve">Revision of rented premises of Guwahati Commissionerate office at Sethi Trust Building, Bhangagarh </t>
    </r>
    <r>
      <rPr>
        <b/>
        <sz val="10"/>
        <rFont val="Bookman Old Style"/>
        <family val="1"/>
      </rPr>
      <t>(Arrears)</t>
    </r>
  </si>
  <si>
    <r>
      <t xml:space="preserve">924/08/Hiring/CGST &amp; CE/Kolkata North/HRD/ 2019-20
</t>
    </r>
    <r>
      <rPr>
        <b/>
        <sz val="10"/>
        <color rgb="FF000000"/>
        <rFont val="Bookman Old Style"/>
        <family val="1"/>
      </rPr>
      <t>FTS 423631</t>
    </r>
  </si>
  <si>
    <r>
      <t xml:space="preserve">924/51/Hiring/Kozhikode/Kochi/HRD/19
</t>
    </r>
    <r>
      <rPr>
        <b/>
        <sz val="10"/>
        <rFont val="Bookman Old Style"/>
        <family val="1"/>
      </rPr>
      <t>FTS 413043</t>
    </r>
  </si>
  <si>
    <r>
      <t xml:space="preserve">924/18/Hiring/Ahmedabad /CGST Audit/HRD/2019-20
</t>
    </r>
    <r>
      <rPr>
        <b/>
        <sz val="10"/>
        <rFont val="Bookman Old Style"/>
        <family val="1"/>
      </rPr>
      <t>FTS 423269</t>
    </r>
  </si>
  <si>
    <t>924/23/Hiring/CGST Div./Ludhiana (North)/HRD/2019-20</t>
  </si>
  <si>
    <t xml:space="preserve">Proposal for hiring of office accommodation for GST   
  Division (North) under CGST Commissionerate, Ludhiana
</t>
  </si>
  <si>
    <t xml:space="preserve">Pr. Chief Commissioner, GST, Chandigarh Zone </t>
  </si>
  <si>
    <t>CGST Division Ludhiana (North)</t>
  </si>
  <si>
    <t>924/24/Hiring/Rohini Div./Delhi (West)/HRD/2019-20</t>
  </si>
  <si>
    <t>Pr. Chief Commissioner, GST &amp; CX, Delhi Zone, C.R. Building, I.P. Estate, New Delhi</t>
  </si>
  <si>
    <t xml:space="preserve">Divisional Office of Mundka, Mangolpuri, Rohini and Pitampura under Delhi (West) Commissionerate </t>
  </si>
  <si>
    <t>Chief Commissioner, CGST and Central Excise, Vadodara Zone</t>
  </si>
  <si>
    <t xml:space="preserve">Execution of lease deed/rent agreement for rehiring of  office space
</t>
  </si>
  <si>
    <t xml:space="preserve">Proposal for obtaining financial concurrence, administrative approval and expenditure sanction for revision of rent of hired premises at Bharuch
</t>
  </si>
  <si>
    <t>924/26/Hiring/Darbhanga (Sitamarhi)/Patna-II/HRD/2019-20</t>
  </si>
  <si>
    <t>Chief Commissioner, CGST &amp; C.Ex., Ranchi Zone, Patna</t>
  </si>
  <si>
    <t>Bharuch</t>
  </si>
  <si>
    <t>Commissioner of CGST &amp; C.Ex., Patna-II</t>
  </si>
  <si>
    <t xml:space="preserve">Grant of administrative approval for hiring of office premises for CGST and C. Ex. Range, Sitamarhi under Darbhanga Division
</t>
  </si>
  <si>
    <t xml:space="preserve">GST Division (Central) under CGST Commissionerate,                      Ludhiana
</t>
  </si>
  <si>
    <t>924/28/Hiring/Puducherry/Chennai/HRD/2019-20</t>
  </si>
  <si>
    <t>Pr. Chief Commissioner, GST &amp; Central Excise, Tamilnadu &amp; Puducherry Zone</t>
  </si>
  <si>
    <t>924/29/Hiring/CGST/Gandhinagar/Ahmedabad/HRD/2019-20</t>
  </si>
  <si>
    <t>Hiring of office accommodation on rental basis from HUDCO Ahmedabad Office Building for CGST Gandhinagar Commissionerate</t>
  </si>
  <si>
    <t>Pr. Chief Commissioner, Central GST Zone, GST Bhavan, Revenue Marg, Ambawadi, Ahmedabad</t>
  </si>
  <si>
    <t>Pr. Commissioner CGST &amp; Central Excise, Gandhinagar, Custom House, Near All India Radio, Navrangpura, Ahmedabad</t>
  </si>
  <si>
    <t xml:space="preserve">Administrative approval and expenditure sanction towards hiring of premises at the rate exceeding the limit of Rs. 1.5 lakhs to the Ranges of Puducherry-I and 
III Divisions of Puducherry Commissionerate
</t>
  </si>
  <si>
    <t xml:space="preserve">Administrative approval &amp; sanction for rent in respect of hired building for Visakhapatnam South CGST Division
</t>
  </si>
  <si>
    <t xml:space="preserve">Chief Commissioner of Central Tax &amp; Customs, GST Bhavan, Port Area, Visakhapatnam </t>
  </si>
  <si>
    <t>Pr. Commissioner of Central Tax, Visakhapatnam</t>
  </si>
  <si>
    <t>924/33/Hiring/Gaya (Div &amp; Range)/Patna-I/HRD/2019-20</t>
  </si>
  <si>
    <t xml:space="preserve">Administrative approval &amp; expenditure sanction of the continued hired building for CGST &amp; CX. Division 
Gaya and Gaya Range office
</t>
  </si>
  <si>
    <t>Commissioner of CGST and C.Ex. Ranchi Zone, Patna-I</t>
  </si>
  <si>
    <t>Administrative approval &amp; sanction for rent in respect of hired building for North CGST Division and its range officers, Visakhapatnam</t>
  </si>
  <si>
    <t>Chief Commissioner of Central Excise &amp; Customs, Visakhapatnam Zone</t>
  </si>
  <si>
    <t>North CGST Division and its range officers, Visakhapatnam</t>
  </si>
  <si>
    <t xml:space="preserve">Proposal for hiring of new office premises for CGST (Appeals), Dehradun
</t>
  </si>
  <si>
    <t>Chief Commissioner, Customs &amp; Central GST Zone, Meerut Zone, Meerut</t>
  </si>
  <si>
    <t xml:space="preserve">CGST (Appeals), Dehradun </t>
  </si>
  <si>
    <t>924/38/Hiring/DGGI/Surat Z U/HRD/2019-20</t>
  </si>
  <si>
    <t>Requirement of additional office space for SZU, DGGI</t>
  </si>
  <si>
    <t xml:space="preserve">DGGI, Surat Zonal Unit </t>
  </si>
  <si>
    <t>Renewal of lease agreement for the office accommodation for Range offices of Division-IV &amp; V, CGST, Palghar at Sai Shopping Complex, Chitralaya, MIDC, Boisar (W), District-Palghar</t>
  </si>
  <si>
    <t xml:space="preserve">Range offices of Division-IV &amp; V, CGST, Palghar </t>
  </si>
  <si>
    <r>
      <t xml:space="preserve">924/36/Hiring/CGST (Appeals)/Dehradun/HRD/2019-20
</t>
    </r>
    <r>
      <rPr>
        <b/>
        <sz val="10"/>
        <color rgb="FF000000"/>
        <rFont val="Bookman Old Style"/>
        <family val="1"/>
      </rPr>
      <t>FTS 431928</t>
    </r>
  </si>
  <si>
    <r>
      <t xml:space="preserve">924/35/Hiring/Div. &amp; Range/Visakhapatnam/HRD/2019-20
</t>
    </r>
    <r>
      <rPr>
        <b/>
        <sz val="10"/>
        <color rgb="FF000000"/>
        <rFont val="Bookman Old Style"/>
        <family val="1"/>
      </rPr>
      <t>FTS 432881</t>
    </r>
  </si>
  <si>
    <r>
      <t xml:space="preserve">924/39/Hiring/Boisar (W)/Palghar/Mumbai/HRD/2019-20
</t>
    </r>
    <r>
      <rPr>
        <b/>
        <sz val="10"/>
        <color rgb="FF000000"/>
        <rFont val="Bookman Old Style"/>
        <family val="1"/>
      </rPr>
      <t>FTS 433377</t>
    </r>
  </si>
  <si>
    <r>
      <t xml:space="preserve">924/25/Hiring/Vadodara-II/Bharuch Div./HRD/2019-20
</t>
    </r>
    <r>
      <rPr>
        <b/>
        <sz val="10"/>
        <rFont val="Bookman Old Style"/>
        <family val="1"/>
      </rPr>
      <t>FTS 425009</t>
    </r>
  </si>
  <si>
    <t>924/41/Hiring/Audit-II/Bengaluru/HRD/2019-20</t>
  </si>
  <si>
    <t>Renewal of lease agreement for the office of Commissioner of Central Tax Audit-II Commissionerate, Bengaluru</t>
  </si>
  <si>
    <t>Principal Chief Commissioner of Central Goods &amp; Services Tax, Bengaluru Zone</t>
  </si>
  <si>
    <t>Commissioner of Central Tax, Audit-II Commissionerate, J.S.S. Towers, 100 Ft. Ring Road, Banashankari-III Stage, Bengaluru</t>
  </si>
  <si>
    <t>Pr. Chief Commissioner of CGST &amp; Ventral Excise, Mumbai Zone</t>
  </si>
  <si>
    <t>Division-III (HO), CGST &amp; Central Excise, Bhiwandi Commissionerate</t>
  </si>
  <si>
    <t>Proposal for hiring of office premises for DRI, Indore Zonal Unit</t>
  </si>
  <si>
    <t>Directorate of revenue Intelligence, New Delhi</t>
  </si>
  <si>
    <t xml:space="preserve">DRI, Indore Zonal Unit </t>
  </si>
  <si>
    <t xml:space="preserve">Request for revision of rent in respect of 2nd &amp; 3rd floor of Chandrama Building, Plot No. CTS No. 3368 for the period from 01.04.2018 to 31.03.2021
</t>
  </si>
  <si>
    <t>Directorate General of GST, New Delhi</t>
  </si>
  <si>
    <t>924/45/Hiring/Audit Comm’te/Chennai/HRD/2019-20</t>
  </si>
  <si>
    <t>Proposal for initial hiring of office accommodation for Audit Commissionerate, Chennai</t>
  </si>
  <si>
    <t>Pr. Chief Commissioner of Customs, Chennai Zone</t>
  </si>
  <si>
    <t>Audit Commissionerate, Chennai</t>
  </si>
  <si>
    <t>924/47/Hiring/CGST Hqrs/Dibrugarh/HRD/2019-20</t>
  </si>
  <si>
    <t>Commissioner of Central Goods &amp; Service Tax, Milan Nagar, Lane-F, Dibrugarh</t>
  </si>
  <si>
    <t xml:space="preserve">Chief Commissioner Of Central Goods &amp; Services Tax, Shillong </t>
  </si>
  <si>
    <t>924/48/Hiring/Revision/DGCEI/Mumbai/HRD/2019-20</t>
  </si>
  <si>
    <t>Pr. Additional Director General, DGGSTI, Zonal Unit, Mumbai</t>
  </si>
  <si>
    <t>Director General, DGCEI, New Delhi</t>
  </si>
  <si>
    <t xml:space="preserve">Proposal for renewal/revision of lease agreement for the office accommodation for DGGST, New Delhi at 5th floor,  
 MTNL Building, Bhikaji Cama Place, New Delhi
</t>
  </si>
  <si>
    <t xml:space="preserve">Proposal for renewal/revision of lease agreement for the office accommodation for CGST Hqrs, Dibrugarh
</t>
  </si>
  <si>
    <t xml:space="preserve">Office premises of DGCEI, Mumbai Zonal Unit-rent assessment of the premises at 1st, 3rd and Mazzanine floor at NTC House, Mumbai
</t>
  </si>
  <si>
    <t>924/49/Hiring/Revision/NACEN/Chennai/HRD/2019-20</t>
  </si>
  <si>
    <t>Director General, NACIN, Faridabad</t>
  </si>
  <si>
    <t xml:space="preserve">NACIN, Chennai </t>
  </si>
  <si>
    <t>Proposal for rent revision of office accommodation to house NACIN, Chennai at Plot No. 3/86-E, Ambattur Industrial Estate, Chennai</t>
  </si>
  <si>
    <t xml:space="preserve">GST &amp; Central Excise Ranges from I-A to I-E and Ranges III-A to III-E, Puducherry </t>
  </si>
  <si>
    <t xml:space="preserve">Proposal for Revision of Rent &amp; Lease Agreement in respect of hired premises at G-117/5, PWD Colony, Jodhpur for 3 CGST Divisions-A, B &amp; C, Jodhpur
</t>
  </si>
  <si>
    <t>Chief Commissioner, CGST &amp; Central Excise, Jaipur Zone</t>
  </si>
  <si>
    <t>CGST Divisions-A, B &amp; C, Jodhpur</t>
  </si>
  <si>
    <t>The proposal received on 30.04.2019.  Deficiencies were communicated vide letter dated 01.05.2019. Reminder issued on 10.06.2019, 22.07.2019, 26.08.2019 and 23.09.2019, 14.11.2019. Reply  still awaited.</t>
  </si>
  <si>
    <t>The proposal received on 24.06.2019. Deficiencies were communicated vide letter dated 03.07.2019. The proposal received on 19.08.2019. Deficiencies were communicated vide letter dated 21.08.2019. Reply received and file sent to the Ministry. Ministry.Received back with IFU query on 13.11.2019. Deficiencies were communicated vide letter dated 14.11.2019 &amp; 18.12.2019.</t>
  </si>
  <si>
    <t>924/51/Hiring/Vaishali Division (Siwan)/Patna-II/HRD/2019-20</t>
  </si>
  <si>
    <t xml:space="preserve">Commissioner of CGST and C.Ex., Patna-II </t>
  </si>
  <si>
    <t>Directorate General of GST Intelligence, Mumbai</t>
  </si>
  <si>
    <t xml:space="preserve">Proposal to hire Rectifier House, Wadala, Mumbai for for Office of DG (West Sub National Unit) DGGI &amp; Office of           ADG (Mumbai Zonal Unit), DGGI 
</t>
  </si>
  <si>
    <t xml:space="preserve">Grant of administrative approval for hiring of office premises for CGST and C. Ex. Range, Siwan under Vaishali Division
</t>
  </si>
  <si>
    <t xml:space="preserve">Commissioner of Customs (Prev.),Customs House, Ballard Estate, Mumbai </t>
  </si>
  <si>
    <t>Chief Commissioner of Customs, Mumbai-III Zone</t>
  </si>
  <si>
    <t xml:space="preserve">Approval of rent towards storage charges of seized goods at CWC, Vashi
</t>
  </si>
  <si>
    <t>924/54/Hiring/Div-III &amp; VI/ CGST/Palghar/HRD/2019-20</t>
  </si>
  <si>
    <t>Renewal of lease agreement for the office accommodation for range offices of Division-III &amp; VI, CGST, Palghar at 1st &amp; 2nd floor of Mahavir Chambers, Kacheri Road, Palghar</t>
  </si>
  <si>
    <t>Pr. Chief Commissioner of CGST &amp;Central Excise, Mumbai Zone</t>
  </si>
  <si>
    <t xml:space="preserve">Division-III &amp; VI, CGST, Palghar  </t>
  </si>
  <si>
    <t>924/55/Hiring/HRM-I/DGHRD/New Delhi/HRD/2019-20</t>
  </si>
  <si>
    <t>Enhancement of rent of office accommodation of occupied by the HRM-I Wing of DGHRD at Bhai Vir Singh Sahitya Sadan, Gole Market, New Delhi</t>
  </si>
  <si>
    <t xml:space="preserve">(HRM-I), DGHRD, Rajendra Place, New Delhi </t>
  </si>
  <si>
    <t xml:space="preserve">Approval of enhanced storage charges of Central Warehousing Corporation (CWC) godown hired by the Delhi Customs
</t>
  </si>
  <si>
    <t xml:space="preserve">Pr. Commissioner of Customs Preventive, New Customs House, New Delhi </t>
  </si>
  <si>
    <t>924/57/Hiring/Takshashila/Mumbai/HRD/2019-20</t>
  </si>
  <si>
    <t>Proposal for revision of rent by M/s Samant Associates &amp; Others, Goregaon (East), Mumbai for the period from 02.12.2018 to 01.12.2021 in respect of premises known as Unit Nos. A-101, A-201, A-301 &amp; A-401 in building Takshashila situated as 1-Samant Estate, Goregaon (East), Mumbai</t>
  </si>
  <si>
    <t>Commissioner, Central GST, Mumbai West</t>
  </si>
  <si>
    <t>10282.85 and 652.84</t>
  </si>
  <si>
    <t>924/58/Hiring/DGGI/Hyderabad Z.U./HRD/2019-20</t>
  </si>
  <si>
    <t xml:space="preserve">Proposal for hiring a new premises for Additional Director General, DGGI, Hyderabad Zonal Unit 
</t>
  </si>
  <si>
    <t xml:space="preserve">DGGI, Hyderabad Zonal Unit </t>
  </si>
  <si>
    <t>30,643  and 3184</t>
  </si>
  <si>
    <t>924/59/Hiring/Navprabhat Chambers/Thane/HRD/2019-20</t>
  </si>
  <si>
    <t xml:space="preserve">Reassessment of monthly rent in respect of premises hired by Central Excise Department in Navprabhat Chambers, Ranade Road, Dadar (West), Mumbai-400028
</t>
  </si>
  <si>
    <t>Commissioner of Central GST &amp; Central Excise, Thane</t>
  </si>
  <si>
    <t>16805 and 2192</t>
  </si>
  <si>
    <t>924/60/Hiring/Customs (Div)/Ahmedabad/HRD/2019-20</t>
  </si>
  <si>
    <t>Hiring of office accommodation from HUDCO, Ahmedabad</t>
  </si>
  <si>
    <t>Pr. Commissioner of Customs, Custom House, Ahmedabad</t>
  </si>
  <si>
    <t>Principal Commissioner of Customs,  Ahmedabad</t>
  </si>
  <si>
    <t>924/61/Hiring/Lotus Info Centre/Mumbai/HRD/2019-20</t>
  </si>
  <si>
    <t>Proposal for rent revision of office premises at Lotus Info Centre, Parel (E), Mumbai-12 hire for CGST &amp; C.Ex., Mumbai East Commissionerate, Bhiwandi Commissionerate, Thane Appeal and Audit-III for the period from 20.11.2017 to 19.11.2020 for 1st, 9th, 10th, 11th and 12th floor and the period from 01.03.2019 to 28.02.2022 for Ground, 8th (part), 14th and 15th floor of Lotus Info Centre, Parel</t>
  </si>
  <si>
    <t>Principal Commissioner, GST &amp; CX, Mumbai East, Parel (E), Mumbai</t>
  </si>
  <si>
    <t>Chief Commissioner of CGST, Mumbai Zone</t>
  </si>
  <si>
    <t>20391.10
and
31238.24</t>
  </si>
  <si>
    <t>924/62/Hiring/EIL/CGST/Delhi/HRD/2019-20</t>
  </si>
  <si>
    <t xml:space="preserve">Revision of lease/rent of hired premises at EIL Annexe Building, Bhikaji Complex, New Delhi 
</t>
  </si>
  <si>
    <t>Principal Commissioner of CGST, Delhi South</t>
  </si>
  <si>
    <t>Chief Commissioner of Central Goods &amp; Services Tax, Delhi Zone</t>
  </si>
  <si>
    <r>
      <t xml:space="preserve">924/50/Hiring/Revision/Div./Jodhpur/HRD/2019-20
</t>
    </r>
    <r>
      <rPr>
        <b/>
        <sz val="10"/>
        <color rgb="FF000000"/>
        <rFont val="Bookman Old Style"/>
        <family val="1"/>
      </rPr>
      <t>FTS 445391</t>
    </r>
  </si>
  <si>
    <r>
      <t xml:space="preserve">924/53/Hiring/CWC Vashi/Mumbai/HRD/2019-20
</t>
    </r>
    <r>
      <rPr>
        <b/>
        <sz val="10"/>
        <color rgb="FF000000"/>
        <rFont val="Bookman Old Style"/>
        <family val="1"/>
      </rPr>
      <t>FTS 444347</t>
    </r>
  </si>
  <si>
    <t>The proposal received on 28.11.2019. Deficiencies were communicated vide letter dated 06.11.20119. File sent to the Ministry.</t>
  </si>
  <si>
    <r>
      <t xml:space="preserve">924/52/Hiring/DGGI/Mumbai Z U/HRD/2019-20
</t>
    </r>
    <r>
      <rPr>
        <b/>
        <sz val="10"/>
        <color rgb="FF000000"/>
        <rFont val="Bookman Old Style"/>
        <family val="1"/>
      </rPr>
      <t>FTS 444836</t>
    </r>
  </si>
  <si>
    <t>The proposal received on 20.09.2019. Deficiencies were communicated vide letter dated 23.09.2019. reply received on 20.12.2019. File sent to the Ministry.</t>
  </si>
  <si>
    <r>
      <t xml:space="preserve">924/43/Hiring/DRI/Indore Z.U./HRD/2019-20
</t>
    </r>
    <r>
      <rPr>
        <b/>
        <sz val="10"/>
        <color rgb="FF000000"/>
        <rFont val="Bookman Old Style"/>
        <family val="1"/>
      </rPr>
      <t>FTS 435092</t>
    </r>
  </si>
  <si>
    <t xml:space="preserve">The proposal received on 26.08.2019. File sent to the Ministry on 06.09.2019.Received back with IFU query on 10.10.2019. Deficiencies were communicated vide letter dated 16.10.2019. Reply receibved and file sent to the Ministry. </t>
  </si>
  <si>
    <t>The proposal received on 08.01.2020. Deficiencies were communicated vide letter dated 13.01.2020. Reply is still awaited.</t>
  </si>
  <si>
    <t>The proposal received on 07.01.2020. Deficiencies were communicated vide letter dated 13.01.2020. Reply is still awaited.</t>
  </si>
  <si>
    <t>The proposal received on 09.01.2020. Deficiencies were communicated vide letter dated 15.01.2020. Reply is still awaited.</t>
  </si>
  <si>
    <t>The proposal received on 08.01.2020. Deficiencies were communicated vide letter dated 15.01.2020. Reply is still awaited.</t>
  </si>
  <si>
    <t>The proposal received on 01.01.2020. Deficiencies were communicated vide letter dated 14.01.2020. Reply is still awaited.</t>
  </si>
  <si>
    <t xml:space="preserve">The proposal received on 26.08.2019. File sent to the Ministry on 29.08.2019. Received back with IFU query on 07.10.2019. Deficiencies were communicated vide letter dated 11.10.2019. File sent to the Board for approval of the RS. Received back with IFU query on 01.01.2020. Deficiencies were communicated vide letter dated 09.01.2020. Reply still awaited. </t>
  </si>
  <si>
    <r>
      <t xml:space="preserve">The proposal received on 30.05.2019.  Deficiencies were communicated vide letter dated 07.06.2019. Reply received and file sent to the Ministry on 09.07.2019. Received back with IFU query on 19.08.2019. Deficiencies were communicated vide letter dated 20.08.2019. Reminder issued on 23.09.2019 and 21.10.2019. Reply received and </t>
    </r>
    <r>
      <rPr>
        <b/>
        <sz val="10"/>
        <color rgb="FF000000"/>
        <rFont val="Bookman Old Style"/>
        <family val="1"/>
      </rPr>
      <t>file sent to the Ministery. Received back with IFU query on 02.01.2020. Deficiencies were communicated vide letter dated 09.01.2020.</t>
    </r>
  </si>
  <si>
    <t>The proposal received on 23.12.2019. Deficiencies were communicated vide letter dated 08.01.2020. Reply is still awaited.</t>
  </si>
  <si>
    <t>The proposal received on 13.01.2020. Deficiencies were communicated vide letter dated 17.01.2020. Reply is still awaited.</t>
  </si>
  <si>
    <t>The proposal received on 05.10.2019. Deficiencies were communicated vide letter dated 11.10.2019. Reminder issued on 24.01.2020. Reply is still awaited.</t>
  </si>
  <si>
    <t>The proposal received on 24.06.2019. Deficiencies were communicated vide letter dated 24.06.2019. Reply received and  again deficiencies were communicated vide letter dated 09.09.2019. Reminder issued on 18.10.2019. Reply received and  again deficiencies were communicated vide letter dated 11.11.2019. Reminder issued on 24.01.2020. Reply still awaited.</t>
  </si>
  <si>
    <t>The proposal received on 22.10.2019. Deficiencies were communicated vide letter dated 24.10.2019. Reminder issued on 24.01.2020. Reply is still awaited.</t>
  </si>
  <si>
    <t>The proposal received on 27.09.2019. Deficiencies were communicated vide letter dated 01.10.2019. Deficiencies were again communicated vide letter dated 25.11.2019. Reminder issued on 24.01.2020. Reply is still awaited.</t>
  </si>
  <si>
    <t>924/63/Hiring/ Audit Commr./Shillong/HRD/2019-20</t>
  </si>
  <si>
    <t xml:space="preserve">Grant of administrative approval and expenditure sanction for hiring of Building from M/s Bharat Sanchar Nigam Limited (BSNL), Shillong, a PSU under 
Government of India
</t>
  </si>
  <si>
    <t>Chief Commissioner, GST &amp; Customs, Guwahati Zone</t>
  </si>
  <si>
    <t xml:space="preserve">Audit Commissionerate, Shillong </t>
  </si>
  <si>
    <t>The proposal received on 24.01.2020. Deficiencies were communicated vide letter dated 30.01.2020. Reply is still awaited.</t>
  </si>
  <si>
    <t>The proposal received on 11.10.2019. Deficiencies were communicated vide letter dated 17.10.2019. Reply received and deficiencies were again communicated vide letter dated 30.01.2020. Reply is still awaited.</t>
  </si>
  <si>
    <t>924/07/Hiring/Mumbai-II (Audit)/HRD/15</t>
  </si>
  <si>
    <t>Commissioner of GST &amp; Central Excise, Audit Raigad, Navi Mumbai</t>
  </si>
  <si>
    <r>
      <t>Renewal of lease for space hired at Vashi, MTNL Building</t>
    </r>
    <r>
      <rPr>
        <b/>
        <sz val="10"/>
        <color rgb="FF000000"/>
        <rFont val="Bookman Old Style"/>
        <family val="1"/>
      </rPr>
      <t xml:space="preserve"> (Rs. 34,26,119/- per month for the period from October, 2019 to March, 2020) </t>
    </r>
  </si>
  <si>
    <t>The proposal received on 24.01.2020. File sent to the Ministry.</t>
  </si>
  <si>
    <t>The proposal received on 26.09.2019. Deficiencies were communicated vide letter dated 30.09.2019. Deficiencies were communicated vide letter dated 01.11.2019 &amp; 12.12.2019. Reply received and file sent to the Ministry.</t>
  </si>
  <si>
    <r>
      <t xml:space="preserve">924/44/Hiring/DGGST/New Delhi/HRD/2019-20
</t>
    </r>
    <r>
      <rPr>
        <b/>
        <sz val="10"/>
        <color rgb="FF000000"/>
        <rFont val="Bookman Old Style"/>
        <family val="1"/>
      </rPr>
      <t xml:space="preserve">FTS   </t>
    </r>
  </si>
  <si>
    <t>The proposal received on 04.11.2019. Deficiencies were communicated vide letter dated 06.11.2019. Reply received and file sent to the Ministry.</t>
  </si>
  <si>
    <t>The proposal received on 17.09.2019. Deficiencies were communicated vide letter dated 20.09.2019. Reminder issued on 18.10.2019. Reply received file sent to Minsitry.</t>
  </si>
  <si>
    <r>
      <t xml:space="preserve">924/42/Hiring/GST/Bhiwandi/Mumbai/HRD/2019-20
</t>
    </r>
    <r>
      <rPr>
        <b/>
        <sz val="10"/>
        <color rgb="FF000000"/>
        <rFont val="Bookman Old Style"/>
        <family val="1"/>
      </rPr>
      <t xml:space="preserve">FTS 446625 </t>
    </r>
  </si>
  <si>
    <r>
      <t xml:space="preserve">The proposal received on 25.06.2019. File sent to the Ministry  on 10.07.2019. Received back with IFU query on 16.08.2019. Deficiencies were communicated vide letter dated 20.08.2019. Reply received andf file sent to the Ministry. </t>
    </r>
    <r>
      <rPr>
        <sz val="10"/>
        <rFont val="Bookman Old Style"/>
        <family val="1"/>
      </rPr>
      <t>Received back with IFU query on 05.11.2019. Deficiencies were communicated vide letter dated 06.11.2019. Reminder issued on 30.01.2020. Reply still awaited.</t>
    </r>
  </si>
  <si>
    <t>The proposal received on 18.02.2019. File sent to the Ministry on 26.02.2019. Received back with IFU query on 18.03.2019. Deficiencies were communicated vide letter dated 19.03.2019. Reminder issued on 03.05.2019. Reminder issued on 10.06.2019. Reply  received and file sent to the Ministry on 13.06.2019. Received back with IFU query on 26.07.2019.Deficiencies were communicated vide letter dated 29.07.2019. Reminder issued on 25.09.2019, 14.11.2019 and 30.01.2020. Reply still awaited.</t>
  </si>
  <si>
    <t>The proposal received on 22.07.2019. Deficiencies were communicated vide letter dated 31.07.2019. Remincer issued on 23.09.2019. Reply received on 15.10.2019. Deficeincies were again communicated vide letter dated 16.10.2019. Deficeincies were again communicated vide letter dated 20.11.2019. Reminder issued on 30.01.2020. Reply is still awaited.</t>
  </si>
  <si>
    <r>
      <t>The proposal received on 01.01.2019. Deficiencies were communicated vide letter dated 03.01.2019.   Reminder issued on 11.02.2019. Reply received on 22.04.2019. F</t>
    </r>
    <r>
      <rPr>
        <b/>
        <sz val="10"/>
        <rFont val="Bookman Old Style"/>
        <family val="1"/>
      </rPr>
      <t>ile sent to the Ministry on 01.05.2019. Received back IFU queries on 18.06.2019. Deficiencies were communicated vide letter dated 19.06.2019. Reminder issued on 22.07.2019, 26.08.2019, 23.09.2019, 14.11.2019 and 30.01.2020. Reply is still awaited.</t>
    </r>
  </si>
  <si>
    <t>The proposal received on 03.06.2019. File sent to the Ministry on 13.06.2019. Received back with IFU query on 08.08.2019. Deficiencies were communicated vide letter dated 20.08.2019. Reminder issued on 25.09.2019. Reply received and file sent to the Ministry on 05.11.2019. Received back with IFU query on 11.12.2019. Deficiencies were communicated vide letter dated 12.12.2019. Reply received and file sent to the Ministry.</t>
  </si>
  <si>
    <t>The proposal received on 20.08.2019. Deficiencies were communicated vide letter dated 22.08.2019. Reply received on 10.10.2019. Deficiencies were again communicated vide letter dated 17.10.2019. Reply received and file sent to the Ministry.</t>
  </si>
  <si>
    <t>The proposal received on 01.01.2020. Deficiencies were communicated vide letter dated 14.01.2020. Reply received and file sent to the Ministry.</t>
  </si>
  <si>
    <t>The proposal received on 24.06.2019. Deficiencies were communicated vide letter dated 26.06.2019. Reminder issued on 26.08.2019. Reply received and file sent to the Ministry. Received back with IFU query on 25.10.2019. Deficiencies were communicated vide letter dated 31.10.2019. reply received file sent to Ministry.</t>
  </si>
  <si>
    <r>
      <t xml:space="preserve">924/34/Hiring/Visakhapatnam South Division/HRD/2019-20
</t>
    </r>
    <r>
      <rPr>
        <b/>
        <sz val="10"/>
        <color rgb="FF000000"/>
        <rFont val="Bookman Old Style"/>
        <family val="1"/>
      </rPr>
      <t xml:space="preserve">FTS    </t>
    </r>
  </si>
  <si>
    <t xml:space="preserve">The proposal received on 09.04.2019.  Deficiencies were communicated vide letter dated 24.04.2019. Reminder issued on 03.06.2019. Reply received on 11.06.2019. File sent to the Ministry on 18.06.2019. Received back with IFU query on 22.07.2019. Deficiencies were communicated vide letter dated 25.07.2019. Reply received and file sent to the Ministry. Received back with IFU query on 22.07.2019. Deficiencies were communicated vide letter dated 25.07.2019. Reply received on 28.08.2019 and file sent to the Ministry on 06.09.2019. Received back with IFU query on 11.10.2019. Deficiencies were communicated vide letter dated 17.10.2019. Reminder issued on 04.02.2020. Reminder issued on 04.02.2020. Reply still awaited. </t>
  </si>
  <si>
    <t>The proposal received on 23.07.2019. Deficiencies were communicated vide letter dated 30.07.2019. Reminder issued on 25.09.2019. Reminder issued on 25.11.2019. Deficiencies were communicated vide letter dated 04.02.2020. Reply is still awaited.</t>
  </si>
  <si>
    <t>The proposal received on 04.10.2019. Deficiencies were communicated vide letter dated 27.11.2019. Reminder issued on 04.02.2020. Reply still awaited.</t>
  </si>
  <si>
    <t>The proposal received on 06.09.2019. Deficiencies were communicated vide letter dated 13.09.2019. Reminders issued on 18.10.2019, 25.11.2019 and 30.01.2020. Deficiencies were communicated vide letter dated 05.02.2020. Reply is still awaited.</t>
  </si>
  <si>
    <t>924/64/Hiring/Revision/Div./Dehradun/HRD/2019-20</t>
  </si>
  <si>
    <t>The proposal received on 07.09.2019. File sent to the Ministry. Received back with IFU query on 31.10.2019. Deficiencies were communicated vide letter dated 01.11.2019. Reminder issued on 05.02.2020. Reply is still awaited.</t>
  </si>
  <si>
    <t>The proposal received on 16.09.2019. Deficiencies were communicated vide letter dated 18.09.2019. Reminder issued on 21.10.2019. Reply received andd deficiencies were again communicated vide letter dated 14.11.2019. Reminder issued on 05.02.2020. Reply is still awaited.</t>
  </si>
  <si>
    <t>The proposal received and file sent to the Ministry.</t>
  </si>
  <si>
    <t>The proposal received on 19.08.2019. Deficiencies were communicated vide letter dated 21.08.2019. Reminders issued on 25.09.2019, 25.11.2019 &amp; 05.02.2020. Reply is still awaited.</t>
  </si>
  <si>
    <t>The proposal received on 04.02.2020. Deficiencies were communicated vide letter dated 10.02.2020. Reply is still awaited.</t>
  </si>
  <si>
    <t xml:space="preserve">Administrative approval &amp; sanction for revision of rent in respect of hired building for Visakhapatnam CGST Division-II &amp; III and its 10 Range offices
</t>
  </si>
  <si>
    <t>Chief Commissioner of Central Tax &amp; Customs, Visakhapatnam</t>
  </si>
  <si>
    <t>CGST Central Division and its range offices of Visakhapatnam Commissionerate</t>
  </si>
  <si>
    <t>The proposal received on 07.02.2020. File sent to the Ministry.</t>
  </si>
  <si>
    <t xml:space="preserve">Proposal for Revision of Rent rates of hired building for CGST Div., Dehradun
</t>
  </si>
  <si>
    <t>924/66/Hiring/Ranga Reddy GST/Hyderabad /HRD/2019-20</t>
  </si>
  <si>
    <t xml:space="preserve">Chief Commissioner, CGST, Customs, Hyderabad Zone </t>
  </si>
  <si>
    <t xml:space="preserve">Commissioner of Central Tax, Ranga Reddy GST Commissionerate, Hyderabad </t>
  </si>
  <si>
    <t xml:space="preserve">Proposal for initial hiring of office space for the office of Ranga Reddy Commissionerate, Hyderabad
</t>
  </si>
  <si>
    <t xml:space="preserve">Chief Commissioner,
Customs &amp; CGST Zone, Meerut-(UP)
</t>
  </si>
  <si>
    <t>Commissioner of CGST, Dehradun,  (Uttrakhand)</t>
  </si>
  <si>
    <t>The proposal received on 15.12.2019. File being sent to the Ministry for issuance of sanctioned order .</t>
  </si>
  <si>
    <r>
      <t xml:space="preserve">924/56/Hiring/Revision/CWC/Delhi/HRD/2019-20
</t>
    </r>
    <r>
      <rPr>
        <b/>
        <sz val="10"/>
        <color rgb="FF000000"/>
        <rFont val="Bookman Old Style"/>
        <family val="1"/>
      </rPr>
      <t>FTS 448841</t>
    </r>
  </si>
  <si>
    <r>
      <t xml:space="preserve">924/65/Hiring/Div-II&amp;III &amp; Range/Visakhapatnam/HRD/2019-20
</t>
    </r>
    <r>
      <rPr>
        <b/>
        <sz val="10"/>
        <color rgb="FF000000"/>
        <rFont val="Bookman Old Style"/>
        <family val="1"/>
      </rPr>
      <t xml:space="preserve">FTS 449263  </t>
    </r>
  </si>
  <si>
    <t>The proposal received on 11.02.2020. File under process</t>
  </si>
  <si>
    <t>List of ongoing proposals in hiring section as on 17.02.2020</t>
  </si>
</sst>
</file>

<file path=xl/styles.xml><?xml version="1.0" encoding="utf-8"?>
<styleSheet xmlns="http://schemas.openxmlformats.org/spreadsheetml/2006/main">
  <fonts count="10">
    <font>
      <sz val="11"/>
      <color theme="1"/>
      <name val="Calibri"/>
      <family val="2"/>
      <scheme val="minor"/>
    </font>
    <font>
      <sz val="10"/>
      <color rgb="FF000000"/>
      <name val="Bookman Old Style"/>
      <family val="1"/>
    </font>
    <font>
      <sz val="10"/>
      <color theme="1"/>
      <name val="Bookman Old Style"/>
      <family val="1"/>
    </font>
    <font>
      <b/>
      <sz val="10"/>
      <color theme="1"/>
      <name val="Bookman Old Style"/>
      <family val="1"/>
    </font>
    <font>
      <sz val="10"/>
      <name val="Bookman Old Style"/>
      <family val="1"/>
    </font>
    <font>
      <b/>
      <sz val="10"/>
      <name val="Bookman Old Style"/>
      <family val="1"/>
    </font>
    <font>
      <sz val="10"/>
      <color theme="1"/>
      <name val="Calibri"/>
      <family val="2"/>
      <scheme val="minor"/>
    </font>
    <font>
      <b/>
      <sz val="16"/>
      <color theme="1"/>
      <name val="Bookman Old Style"/>
      <family val="1"/>
    </font>
    <font>
      <b/>
      <sz val="10"/>
      <color rgb="FF000000"/>
      <name val="Bookman Old Style"/>
      <family val="1"/>
    </font>
    <font>
      <b/>
      <sz val="1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9">
    <xf numFmtId="0" fontId="0" fillId="0" borderId="0" xfId="0"/>
    <xf numFmtId="0" fontId="2" fillId="0" borderId="1" xfId="0" applyFont="1" applyBorder="1" applyAlignment="1">
      <alignment horizontal="center" vertical="center"/>
    </xf>
    <xf numFmtId="0" fontId="2" fillId="0" borderId="1" xfId="0" applyFont="1" applyFill="1" applyBorder="1" applyAlignment="1">
      <alignment vertical="top" wrapText="1"/>
    </xf>
    <xf numFmtId="0" fontId="2" fillId="0" borderId="1" xfId="0" applyFont="1" applyFill="1" applyBorder="1" applyAlignment="1">
      <alignment horizontal="justify" vertical="top" wrapText="1"/>
    </xf>
    <xf numFmtId="0" fontId="2" fillId="0" borderId="1" xfId="0" applyFont="1" applyFill="1" applyBorder="1" applyAlignment="1">
      <alignment horizontal="center" vertical="center"/>
    </xf>
    <xf numFmtId="3" fontId="2" fillId="0" borderId="1" xfId="0" applyNumberFormat="1" applyFont="1" applyFill="1" applyBorder="1" applyAlignment="1">
      <alignment horizontal="center" vertical="center"/>
    </xf>
    <xf numFmtId="0" fontId="2" fillId="0" borderId="1" xfId="0" applyFont="1" applyFill="1" applyBorder="1" applyAlignment="1">
      <alignment horizontal="left" vertical="top" wrapText="1"/>
    </xf>
    <xf numFmtId="0" fontId="4" fillId="0" borderId="1" xfId="0" applyFont="1" applyFill="1" applyBorder="1" applyAlignment="1">
      <alignment vertical="top" wrapText="1"/>
    </xf>
    <xf numFmtId="0" fontId="6" fillId="0" borderId="1" xfId="0" applyFont="1" applyBorder="1" applyAlignment="1">
      <alignment horizontal="center" vertical="center" wrapText="1"/>
    </xf>
    <xf numFmtId="0" fontId="4" fillId="2" borderId="1" xfId="0" applyFont="1" applyFill="1" applyBorder="1" applyAlignment="1">
      <alignment horizontal="justify" vertical="top"/>
    </xf>
    <xf numFmtId="0" fontId="8" fillId="0" borderId="4" xfId="0" applyFont="1" applyBorder="1" applyAlignment="1">
      <alignment vertical="center" wrapText="1"/>
    </xf>
    <xf numFmtId="0" fontId="8" fillId="0" borderId="1" xfId="0" applyFont="1" applyBorder="1" applyAlignment="1">
      <alignment horizontal="center" vertical="center"/>
    </xf>
    <xf numFmtId="0" fontId="1" fillId="0" borderId="1" xfId="0" applyFont="1" applyBorder="1" applyAlignment="1">
      <alignment horizontal="left" vertical="center" wrapText="1"/>
    </xf>
    <xf numFmtId="3" fontId="1" fillId="0" borderId="1" xfId="0" applyNumberFormat="1" applyFont="1" applyBorder="1" applyAlignment="1">
      <alignment horizontal="center" vertical="center" wrapText="1"/>
    </xf>
    <xf numFmtId="0" fontId="4" fillId="2" borderId="1" xfId="0" applyFont="1" applyFill="1" applyBorder="1" applyAlignment="1">
      <alignment vertical="top" wrapText="1"/>
    </xf>
    <xf numFmtId="0" fontId="2" fillId="0" borderId="1" xfId="0" applyFont="1" applyFill="1" applyBorder="1" applyAlignment="1">
      <alignment horizontal="center" vertical="top" wrapText="1"/>
    </xf>
    <xf numFmtId="0" fontId="2" fillId="0" borderId="1" xfId="0" applyFont="1" applyFill="1" applyBorder="1" applyAlignment="1">
      <alignment horizontal="center" vertical="center" wrapText="1"/>
    </xf>
    <xf numFmtId="0" fontId="4" fillId="3" borderId="1" xfId="0" applyFont="1" applyFill="1" applyBorder="1" applyAlignment="1">
      <alignment vertical="top" wrapText="1"/>
    </xf>
    <xf numFmtId="0" fontId="0" fillId="0" borderId="0" xfId="0"/>
    <xf numFmtId="0" fontId="9" fillId="0" borderId="0" xfId="0" applyFont="1" applyAlignment="1">
      <alignment horizontal="center"/>
    </xf>
    <xf numFmtId="0" fontId="8" fillId="0" borderId="1" xfId="0" applyFont="1" applyBorder="1" applyAlignment="1">
      <alignment horizontal="center" vertical="center" wrapText="1"/>
    </xf>
    <xf numFmtId="0" fontId="1" fillId="0" borderId="1" xfId="0" applyFont="1" applyFill="1" applyBorder="1" applyAlignment="1">
      <alignment horizontal="left" vertical="center" wrapText="1"/>
    </xf>
    <xf numFmtId="3" fontId="1" fillId="0" borderId="1" xfId="0" applyNumberFormat="1" applyFont="1" applyFill="1" applyBorder="1" applyAlignment="1">
      <alignment horizontal="center" vertical="center" wrapText="1"/>
    </xf>
    <xf numFmtId="0" fontId="1" fillId="0" borderId="1" xfId="0" applyFont="1" applyFill="1" applyBorder="1" applyAlignment="1">
      <alignment horizontal="left" vertical="top" wrapText="1"/>
    </xf>
    <xf numFmtId="0" fontId="1" fillId="0" borderId="1" xfId="0" applyFont="1" applyFill="1" applyBorder="1" applyAlignment="1">
      <alignment horizontal="center" vertical="top" wrapText="1"/>
    </xf>
    <xf numFmtId="0" fontId="4" fillId="0" borderId="1" xfId="0" applyFont="1" applyFill="1" applyBorder="1" applyAlignment="1">
      <alignment horizontal="left" vertical="center" wrapText="1"/>
    </xf>
    <xf numFmtId="0" fontId="1" fillId="0" borderId="1" xfId="0" applyFont="1" applyBorder="1" applyAlignment="1">
      <alignment horizontal="left" vertical="top" wrapText="1"/>
    </xf>
    <xf numFmtId="0" fontId="3" fillId="0" borderId="1" xfId="0" applyFont="1" applyFill="1" applyBorder="1" applyAlignment="1">
      <alignment horizontal="center" vertical="top" wrapText="1"/>
    </xf>
    <xf numFmtId="0" fontId="4" fillId="2" borderId="1" xfId="0" applyFont="1" applyFill="1" applyBorder="1" applyAlignment="1">
      <alignment horizontal="left" vertical="top" wrapText="1"/>
    </xf>
    <xf numFmtId="0" fontId="4" fillId="2" borderId="1" xfId="0" applyFont="1" applyFill="1" applyBorder="1" applyAlignment="1">
      <alignment horizontal="left" vertical="center"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Fill="1" applyBorder="1" applyAlignment="1">
      <alignment horizontal="center" vertical="top"/>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left" vertical="center" wrapText="1"/>
    </xf>
    <xf numFmtId="0" fontId="3" fillId="2" borderId="1" xfId="0" applyFont="1" applyFill="1" applyBorder="1" applyAlignment="1">
      <alignment horizontal="center" vertical="top" wrapText="1"/>
    </xf>
    <xf numFmtId="0" fontId="8"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2" fillId="2" borderId="1" xfId="0" applyFont="1" applyFill="1" applyBorder="1" applyAlignment="1">
      <alignment vertical="top" wrapText="1"/>
    </xf>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2" fillId="2" borderId="2" xfId="0" applyFont="1" applyFill="1" applyBorder="1" applyAlignment="1">
      <alignment horizontal="justify" vertical="top"/>
    </xf>
    <xf numFmtId="0" fontId="8" fillId="0" borderId="3" xfId="0" applyFont="1" applyBorder="1" applyAlignment="1">
      <alignment horizontal="center" vertical="center" wrapText="1"/>
    </xf>
    <xf numFmtId="0" fontId="7" fillId="0" borderId="1" xfId="0" applyFont="1" applyBorder="1" applyAlignment="1">
      <alignment horizont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S48"/>
  <sheetViews>
    <sheetView tabSelected="1" view="pageBreakPreview" zoomScale="85" zoomScaleSheetLayoutView="85" workbookViewId="0">
      <selection activeCell="H6" sqref="H6"/>
    </sheetView>
  </sheetViews>
  <sheetFormatPr defaultRowHeight="15"/>
  <cols>
    <col min="1" max="1" width="5.5703125" style="18" customWidth="1"/>
    <col min="2" max="2" width="28.7109375" style="18" customWidth="1"/>
    <col min="3" max="3" width="40.5703125" style="18" customWidth="1"/>
    <col min="4" max="4" width="21.5703125" style="18" customWidth="1"/>
    <col min="5" max="5" width="17.7109375" style="18" customWidth="1"/>
    <col min="6" max="6" width="11.42578125" style="18" customWidth="1"/>
    <col min="7" max="7" width="12.7109375" style="18" customWidth="1"/>
    <col min="8" max="8" width="17.7109375" style="18" customWidth="1"/>
    <col min="9" max="9" width="64.7109375" style="18" customWidth="1"/>
    <col min="10" max="11" width="9.140625" style="18"/>
    <col min="12" max="12" width="15" style="18" customWidth="1"/>
    <col min="13" max="13" width="63.5703125" style="18" customWidth="1"/>
    <col min="14" max="14" width="12.85546875" style="18" customWidth="1"/>
    <col min="15" max="18" width="9.140625" style="18"/>
    <col min="19" max="19" width="22.140625" style="18" customWidth="1"/>
    <col min="20" max="16384" width="9.140625" style="18"/>
  </cols>
  <sheetData>
    <row r="1" spans="1:19" ht="20.25">
      <c r="A1" s="44" t="s">
        <v>232</v>
      </c>
      <c r="B1" s="44"/>
      <c r="C1" s="44"/>
      <c r="D1" s="44"/>
      <c r="E1" s="44"/>
      <c r="F1" s="44"/>
      <c r="G1" s="44"/>
      <c r="H1" s="44"/>
      <c r="I1" s="44"/>
    </row>
    <row r="2" spans="1:19" ht="81" customHeight="1">
      <c r="A2" s="45" t="s">
        <v>0</v>
      </c>
      <c r="B2" s="47" t="s">
        <v>1</v>
      </c>
      <c r="C2" s="47" t="s">
        <v>6</v>
      </c>
      <c r="D2" s="47" t="s">
        <v>3</v>
      </c>
      <c r="E2" s="47" t="s">
        <v>4</v>
      </c>
      <c r="F2" s="47" t="s">
        <v>5</v>
      </c>
      <c r="G2" s="10" t="s">
        <v>11</v>
      </c>
      <c r="H2" s="47" t="s">
        <v>17</v>
      </c>
      <c r="I2" s="47" t="s">
        <v>2</v>
      </c>
      <c r="M2" s="19" t="s">
        <v>23</v>
      </c>
      <c r="S2" s="1">
        <v>47254042</v>
      </c>
    </row>
    <row r="3" spans="1:19" ht="15" hidden="1" customHeight="1">
      <c r="A3" s="46"/>
      <c r="B3" s="48"/>
      <c r="C3" s="48"/>
      <c r="D3" s="48"/>
      <c r="E3" s="48"/>
      <c r="F3" s="48"/>
      <c r="G3" s="43"/>
      <c r="H3" s="48"/>
      <c r="I3" s="48"/>
      <c r="L3" s="16">
        <v>1</v>
      </c>
      <c r="M3" s="17" t="s">
        <v>7</v>
      </c>
    </row>
    <row r="4" spans="1:19" ht="27.75">
      <c r="A4" s="1">
        <v>1</v>
      </c>
      <c r="B4" s="1">
        <v>2</v>
      </c>
      <c r="C4" s="1">
        <v>3</v>
      </c>
      <c r="D4" s="1">
        <v>4</v>
      </c>
      <c r="E4" s="1">
        <v>5</v>
      </c>
      <c r="F4" s="1">
        <v>6</v>
      </c>
      <c r="G4" s="1"/>
      <c r="H4" s="1">
        <v>11</v>
      </c>
      <c r="I4" s="1">
        <v>17</v>
      </c>
      <c r="L4" s="15">
        <v>2</v>
      </c>
      <c r="M4" s="14" t="s">
        <v>12</v>
      </c>
    </row>
    <row r="5" spans="1:19" ht="108.75">
      <c r="A5" s="36">
        <v>1</v>
      </c>
      <c r="B5" s="14" t="s">
        <v>38</v>
      </c>
      <c r="C5" s="7" t="s">
        <v>39</v>
      </c>
      <c r="D5" s="3" t="s">
        <v>13</v>
      </c>
      <c r="E5" s="3" t="s">
        <v>14</v>
      </c>
      <c r="F5" s="4" t="s">
        <v>9</v>
      </c>
      <c r="G5" s="4">
        <v>28754</v>
      </c>
      <c r="H5" s="4">
        <v>21288048</v>
      </c>
      <c r="I5" s="9" t="s">
        <v>201</v>
      </c>
      <c r="L5" s="15">
        <v>10</v>
      </c>
      <c r="M5" s="14" t="s">
        <v>10</v>
      </c>
      <c r="S5" s="8">
        <v>21384000</v>
      </c>
    </row>
    <row r="6" spans="1:19" ht="134.25" customHeight="1">
      <c r="A6" s="36">
        <v>2</v>
      </c>
      <c r="B6" s="14" t="s">
        <v>41</v>
      </c>
      <c r="C6" s="3" t="s">
        <v>20</v>
      </c>
      <c r="D6" s="6" t="s">
        <v>19</v>
      </c>
      <c r="E6" s="6" t="s">
        <v>18</v>
      </c>
      <c r="F6" s="4" t="s">
        <v>15</v>
      </c>
      <c r="G6" s="5">
        <v>5060</v>
      </c>
      <c r="H6" s="34">
        <v>2428824</v>
      </c>
      <c r="I6" s="42" t="s">
        <v>199</v>
      </c>
      <c r="L6" s="27">
        <v>21</v>
      </c>
      <c r="M6" s="14" t="s">
        <v>21</v>
      </c>
    </row>
    <row r="7" spans="1:19" ht="185.25" customHeight="1">
      <c r="A7" s="37">
        <v>3</v>
      </c>
      <c r="B7" s="35" t="s">
        <v>40</v>
      </c>
      <c r="C7" s="23" t="s">
        <v>25</v>
      </c>
      <c r="D7" s="24" t="s">
        <v>26</v>
      </c>
      <c r="E7" s="23" t="s">
        <v>27</v>
      </c>
      <c r="F7" s="4" t="s">
        <v>15</v>
      </c>
      <c r="G7" s="33">
        <v>5934.03</v>
      </c>
      <c r="H7" s="22">
        <v>4984584</v>
      </c>
      <c r="I7" s="35" t="s">
        <v>207</v>
      </c>
    </row>
    <row r="8" spans="1:19" ht="102" customHeight="1">
      <c r="A8" s="37">
        <v>4</v>
      </c>
      <c r="B8" s="35" t="s">
        <v>29</v>
      </c>
      <c r="C8" s="23" t="s">
        <v>31</v>
      </c>
      <c r="D8" s="23" t="s">
        <v>30</v>
      </c>
      <c r="E8" s="21" t="s">
        <v>58</v>
      </c>
      <c r="F8" s="4" t="s">
        <v>15</v>
      </c>
      <c r="G8" s="33">
        <v>7343.91</v>
      </c>
      <c r="H8" s="33">
        <v>2467553.7599999998</v>
      </c>
      <c r="I8" s="28" t="s">
        <v>119</v>
      </c>
    </row>
    <row r="9" spans="1:19" ht="115.5">
      <c r="A9" s="37">
        <v>5</v>
      </c>
      <c r="B9" s="14" t="s">
        <v>32</v>
      </c>
      <c r="C9" s="2" t="s">
        <v>33</v>
      </c>
      <c r="D9" s="6" t="s">
        <v>16</v>
      </c>
      <c r="E9" s="6" t="s">
        <v>34</v>
      </c>
      <c r="F9" s="4" t="s">
        <v>15</v>
      </c>
      <c r="G9" s="33">
        <v>13203</v>
      </c>
      <c r="H9" s="22">
        <v>23919132</v>
      </c>
      <c r="I9" s="35" t="s">
        <v>176</v>
      </c>
    </row>
    <row r="10" spans="1:19" ht="105">
      <c r="A10" s="37">
        <v>6</v>
      </c>
      <c r="B10" s="14" t="s">
        <v>42</v>
      </c>
      <c r="C10" s="2" t="s">
        <v>35</v>
      </c>
      <c r="D10" s="6" t="s">
        <v>36</v>
      </c>
      <c r="E10" s="6" t="s">
        <v>37</v>
      </c>
      <c r="F10" s="4" t="s">
        <v>9</v>
      </c>
      <c r="G10" s="33">
        <v>37158</v>
      </c>
      <c r="H10" s="22">
        <v>30766824</v>
      </c>
      <c r="I10" s="21" t="s">
        <v>202</v>
      </c>
    </row>
    <row r="11" spans="1:19" ht="90">
      <c r="A11" s="37">
        <v>7</v>
      </c>
      <c r="B11" s="39" t="s">
        <v>43</v>
      </c>
      <c r="C11" s="2" t="s">
        <v>44</v>
      </c>
      <c r="D11" s="2" t="s">
        <v>45</v>
      </c>
      <c r="E11" s="2" t="s">
        <v>46</v>
      </c>
      <c r="F11" s="4" t="s">
        <v>15</v>
      </c>
      <c r="G11" s="34">
        <v>7343.91</v>
      </c>
      <c r="H11" s="34">
        <v>4133148</v>
      </c>
      <c r="I11" s="35" t="s">
        <v>180</v>
      </c>
    </row>
    <row r="12" spans="1:19" ht="120">
      <c r="A12" s="37">
        <v>8</v>
      </c>
      <c r="B12" s="14" t="s">
        <v>47</v>
      </c>
      <c r="C12" s="7" t="s">
        <v>51</v>
      </c>
      <c r="D12" s="7" t="s">
        <v>48</v>
      </c>
      <c r="E12" s="7" t="s">
        <v>49</v>
      </c>
      <c r="F12" s="4" t="s">
        <v>9</v>
      </c>
      <c r="G12" s="34">
        <v>11921.28</v>
      </c>
      <c r="H12" s="34">
        <v>8911872</v>
      </c>
      <c r="I12" s="35" t="s">
        <v>205</v>
      </c>
    </row>
    <row r="13" spans="1:19" ht="105">
      <c r="A13" s="37">
        <v>9</v>
      </c>
      <c r="B13" s="14" t="s">
        <v>86</v>
      </c>
      <c r="C13" s="7" t="s">
        <v>52</v>
      </c>
      <c r="D13" s="7" t="s">
        <v>50</v>
      </c>
      <c r="E13" s="20" t="s">
        <v>55</v>
      </c>
      <c r="F13" s="4" t="s">
        <v>9</v>
      </c>
      <c r="G13" s="34">
        <v>8439</v>
      </c>
      <c r="H13" s="13">
        <v>2066880</v>
      </c>
      <c r="I13" s="21" t="s">
        <v>198</v>
      </c>
    </row>
    <row r="14" spans="1:19" ht="105">
      <c r="A14" s="37">
        <v>10</v>
      </c>
      <c r="B14" s="14" t="s">
        <v>53</v>
      </c>
      <c r="C14" s="7" t="s">
        <v>57</v>
      </c>
      <c r="D14" s="7" t="s">
        <v>54</v>
      </c>
      <c r="E14" s="7" t="s">
        <v>56</v>
      </c>
      <c r="F14" s="4" t="s">
        <v>15</v>
      </c>
      <c r="G14" s="34">
        <v>1120</v>
      </c>
      <c r="H14" s="34">
        <v>252000</v>
      </c>
      <c r="I14" s="21" t="s">
        <v>120</v>
      </c>
    </row>
    <row r="15" spans="1:19" ht="105">
      <c r="A15" s="37">
        <v>11</v>
      </c>
      <c r="B15" s="14" t="s">
        <v>59</v>
      </c>
      <c r="C15" s="7" t="s">
        <v>65</v>
      </c>
      <c r="D15" s="7" t="s">
        <v>60</v>
      </c>
      <c r="E15" s="7" t="s">
        <v>115</v>
      </c>
      <c r="F15" s="4" t="s">
        <v>9</v>
      </c>
      <c r="G15" s="20">
        <v>10349.48</v>
      </c>
      <c r="H15" s="34">
        <v>2040000</v>
      </c>
      <c r="I15" s="35" t="s">
        <v>200</v>
      </c>
    </row>
    <row r="16" spans="1:19" ht="136.5" customHeight="1">
      <c r="A16" s="37">
        <v>12</v>
      </c>
      <c r="B16" s="14" t="s">
        <v>61</v>
      </c>
      <c r="C16" s="7" t="s">
        <v>62</v>
      </c>
      <c r="D16" s="7" t="s">
        <v>63</v>
      </c>
      <c r="E16" s="7" t="s">
        <v>64</v>
      </c>
      <c r="F16" s="4" t="s">
        <v>15</v>
      </c>
      <c r="G16" s="20">
        <v>8106.69</v>
      </c>
      <c r="H16" s="34">
        <v>7976982.96</v>
      </c>
      <c r="I16" s="35" t="s">
        <v>208</v>
      </c>
    </row>
    <row r="17" spans="1:9" ht="75">
      <c r="A17" s="38">
        <v>13</v>
      </c>
      <c r="B17" s="35" t="s">
        <v>69</v>
      </c>
      <c r="C17" s="12" t="s">
        <v>70</v>
      </c>
      <c r="D17" s="12" t="s">
        <v>54</v>
      </c>
      <c r="E17" s="12" t="s">
        <v>71</v>
      </c>
      <c r="F17" s="4" t="s">
        <v>9</v>
      </c>
      <c r="G17" s="20">
        <v>4454.1000000000004</v>
      </c>
      <c r="H17" s="34">
        <v>1987596</v>
      </c>
      <c r="I17" s="35" t="s">
        <v>215</v>
      </c>
    </row>
    <row r="18" spans="1:9" ht="75">
      <c r="A18" s="37">
        <v>14</v>
      </c>
      <c r="B18" s="40" t="s">
        <v>206</v>
      </c>
      <c r="C18" s="12" t="s">
        <v>66</v>
      </c>
      <c r="D18" s="26" t="s">
        <v>67</v>
      </c>
      <c r="E18" s="26" t="s">
        <v>68</v>
      </c>
      <c r="F18" s="4" t="s">
        <v>9</v>
      </c>
      <c r="G18" s="20">
        <v>9090</v>
      </c>
      <c r="H18" s="34">
        <v>2601600</v>
      </c>
      <c r="I18" s="35" t="s">
        <v>203</v>
      </c>
    </row>
    <row r="19" spans="1:9" ht="64.5" customHeight="1">
      <c r="A19" s="37">
        <v>15</v>
      </c>
      <c r="B19" s="41" t="s">
        <v>84</v>
      </c>
      <c r="C19" s="30" t="s">
        <v>72</v>
      </c>
      <c r="D19" s="30" t="s">
        <v>73</v>
      </c>
      <c r="E19" s="30" t="s">
        <v>74</v>
      </c>
      <c r="F19" s="4" t="s">
        <v>9</v>
      </c>
      <c r="G19" s="13">
        <v>12708</v>
      </c>
      <c r="H19" s="34">
        <v>5289360</v>
      </c>
      <c r="I19" s="35" t="s">
        <v>169</v>
      </c>
    </row>
    <row r="20" spans="1:9" ht="90">
      <c r="A20" s="37">
        <v>16</v>
      </c>
      <c r="B20" s="41" t="s">
        <v>83</v>
      </c>
      <c r="C20" s="30" t="s">
        <v>75</v>
      </c>
      <c r="D20" s="30" t="s">
        <v>76</v>
      </c>
      <c r="E20" s="30" t="s">
        <v>77</v>
      </c>
      <c r="F20" s="4" t="s">
        <v>15</v>
      </c>
      <c r="G20" s="34">
        <v>4785.67</v>
      </c>
      <c r="H20" s="34">
        <v>2286228</v>
      </c>
      <c r="I20" s="35" t="s">
        <v>175</v>
      </c>
    </row>
    <row r="21" spans="1:9" ht="60">
      <c r="A21" s="37">
        <v>17</v>
      </c>
      <c r="B21" s="41" t="s">
        <v>78</v>
      </c>
      <c r="C21" s="30" t="s">
        <v>79</v>
      </c>
      <c r="D21" s="30" t="s">
        <v>8</v>
      </c>
      <c r="E21" s="30" t="s">
        <v>80</v>
      </c>
      <c r="F21" s="4" t="s">
        <v>15</v>
      </c>
      <c r="G21" s="20">
        <v>12047</v>
      </c>
      <c r="H21" s="34">
        <v>5059740</v>
      </c>
      <c r="I21" s="35" t="s">
        <v>210</v>
      </c>
    </row>
    <row r="22" spans="1:9" ht="75">
      <c r="A22" s="37">
        <v>18</v>
      </c>
      <c r="B22" s="41" t="s">
        <v>85</v>
      </c>
      <c r="C22" s="30" t="s">
        <v>81</v>
      </c>
      <c r="D22" s="30" t="s">
        <v>16</v>
      </c>
      <c r="E22" s="30" t="s">
        <v>82</v>
      </c>
      <c r="F22" s="4" t="s">
        <v>9</v>
      </c>
      <c r="G22" s="20">
        <v>8677</v>
      </c>
      <c r="H22" s="34">
        <v>6351564</v>
      </c>
      <c r="I22" s="21" t="s">
        <v>212</v>
      </c>
    </row>
    <row r="23" spans="1:9" ht="135">
      <c r="A23" s="37">
        <v>19</v>
      </c>
      <c r="B23" s="40" t="s">
        <v>87</v>
      </c>
      <c r="C23" s="26" t="s">
        <v>88</v>
      </c>
      <c r="D23" s="26" t="s">
        <v>89</v>
      </c>
      <c r="E23" s="26" t="s">
        <v>90</v>
      </c>
      <c r="F23" s="4" t="s">
        <v>9</v>
      </c>
      <c r="G23" s="34">
        <v>44696.86</v>
      </c>
      <c r="H23" s="34">
        <v>20365764</v>
      </c>
      <c r="I23" s="21" t="s">
        <v>213</v>
      </c>
    </row>
    <row r="24" spans="1:9" ht="75">
      <c r="A24" s="37">
        <v>20</v>
      </c>
      <c r="B24" s="40" t="s">
        <v>197</v>
      </c>
      <c r="C24" s="26" t="s">
        <v>96</v>
      </c>
      <c r="D24" s="26" t="s">
        <v>91</v>
      </c>
      <c r="E24" s="26" t="s">
        <v>92</v>
      </c>
      <c r="F24" s="4" t="s">
        <v>9</v>
      </c>
      <c r="G24" s="34">
        <v>5340</v>
      </c>
      <c r="H24" s="34">
        <v>3377016</v>
      </c>
      <c r="I24" s="35" t="s">
        <v>196</v>
      </c>
    </row>
    <row r="25" spans="1:9" ht="60">
      <c r="A25" s="37">
        <v>21</v>
      </c>
      <c r="B25" s="40" t="s">
        <v>168</v>
      </c>
      <c r="C25" s="26" t="s">
        <v>93</v>
      </c>
      <c r="D25" s="26" t="s">
        <v>94</v>
      </c>
      <c r="E25" s="26" t="s">
        <v>95</v>
      </c>
      <c r="F25" s="4" t="s">
        <v>15</v>
      </c>
      <c r="G25" s="34">
        <v>7610</v>
      </c>
      <c r="H25" s="34">
        <v>3671904</v>
      </c>
      <c r="I25" s="35" t="s">
        <v>167</v>
      </c>
    </row>
    <row r="26" spans="1:9" ht="90">
      <c r="A26" s="37">
        <v>22</v>
      </c>
      <c r="B26" s="40" t="s">
        <v>194</v>
      </c>
      <c r="C26" s="26" t="s">
        <v>108</v>
      </c>
      <c r="D26" s="26" t="s">
        <v>97</v>
      </c>
      <c r="E26" s="26" t="s">
        <v>97</v>
      </c>
      <c r="F26" s="32" t="s">
        <v>9</v>
      </c>
      <c r="G26" s="34">
        <v>12242</v>
      </c>
      <c r="H26" s="34">
        <v>29380800</v>
      </c>
      <c r="I26" s="29" t="s">
        <v>193</v>
      </c>
    </row>
    <row r="27" spans="1:9" ht="60">
      <c r="A27" s="37">
        <v>23</v>
      </c>
      <c r="B27" s="40" t="s">
        <v>98</v>
      </c>
      <c r="C27" s="26" t="s">
        <v>99</v>
      </c>
      <c r="D27" s="26" t="s">
        <v>100</v>
      </c>
      <c r="E27" s="26" t="s">
        <v>101</v>
      </c>
      <c r="F27" s="32" t="s">
        <v>15</v>
      </c>
      <c r="G27" s="34">
        <v>32399.64</v>
      </c>
      <c r="H27" s="34">
        <v>32223036</v>
      </c>
      <c r="I27" s="29" t="s">
        <v>182</v>
      </c>
    </row>
    <row r="28" spans="1:9" ht="90">
      <c r="A28" s="37">
        <v>24</v>
      </c>
      <c r="B28" s="40" t="s">
        <v>102</v>
      </c>
      <c r="C28" s="26" t="s">
        <v>109</v>
      </c>
      <c r="D28" s="26" t="s">
        <v>104</v>
      </c>
      <c r="E28" s="26" t="s">
        <v>103</v>
      </c>
      <c r="F28" s="32" t="s">
        <v>9</v>
      </c>
      <c r="G28" s="34">
        <v>16938.599999999999</v>
      </c>
      <c r="H28" s="34">
        <v>2052000</v>
      </c>
      <c r="I28" s="29" t="s">
        <v>179</v>
      </c>
    </row>
    <row r="29" spans="1:9" ht="69" customHeight="1">
      <c r="A29" s="37">
        <v>25</v>
      </c>
      <c r="B29" s="40" t="s">
        <v>105</v>
      </c>
      <c r="C29" s="26" t="s">
        <v>110</v>
      </c>
      <c r="D29" s="26" t="s">
        <v>107</v>
      </c>
      <c r="E29" s="26" t="s">
        <v>106</v>
      </c>
      <c r="F29" s="32" t="s">
        <v>9</v>
      </c>
      <c r="G29" s="34">
        <v>11514</v>
      </c>
      <c r="H29" s="34">
        <v>26069313</v>
      </c>
      <c r="I29" s="25" t="s">
        <v>188</v>
      </c>
    </row>
    <row r="30" spans="1:9" ht="60">
      <c r="A30" s="37">
        <v>26</v>
      </c>
      <c r="B30" s="40" t="s">
        <v>111</v>
      </c>
      <c r="C30" s="12" t="s">
        <v>114</v>
      </c>
      <c r="D30" s="26" t="s">
        <v>112</v>
      </c>
      <c r="E30" s="34" t="s">
        <v>113</v>
      </c>
      <c r="F30" s="32" t="s">
        <v>9</v>
      </c>
      <c r="G30" s="34">
        <v>18271.349999999999</v>
      </c>
      <c r="H30" s="34">
        <v>10469484</v>
      </c>
      <c r="I30" s="25" t="s">
        <v>181</v>
      </c>
    </row>
    <row r="31" spans="1:9" ht="61.5" customHeight="1">
      <c r="A31" s="37">
        <v>27</v>
      </c>
      <c r="B31" s="40" t="s">
        <v>163</v>
      </c>
      <c r="C31" s="26" t="s">
        <v>116</v>
      </c>
      <c r="D31" s="26" t="s">
        <v>117</v>
      </c>
      <c r="E31" s="26" t="s">
        <v>118</v>
      </c>
      <c r="F31" s="31" t="s">
        <v>9</v>
      </c>
      <c r="G31" s="34">
        <v>6890.27</v>
      </c>
      <c r="H31" s="34">
        <v>1944000</v>
      </c>
      <c r="I31" s="25" t="s">
        <v>195</v>
      </c>
    </row>
    <row r="32" spans="1:9" ht="65.25" customHeight="1">
      <c r="A32" s="37">
        <v>28</v>
      </c>
      <c r="B32" s="35" t="s">
        <v>121</v>
      </c>
      <c r="C32" s="12" t="s">
        <v>125</v>
      </c>
      <c r="D32" s="21" t="s">
        <v>22</v>
      </c>
      <c r="E32" s="12" t="s">
        <v>122</v>
      </c>
      <c r="F32" s="32" t="s">
        <v>15</v>
      </c>
      <c r="G32" s="34">
        <v>932.7</v>
      </c>
      <c r="H32" s="34">
        <v>100728</v>
      </c>
      <c r="I32" s="25" t="s">
        <v>209</v>
      </c>
    </row>
    <row r="33" spans="1:12" ht="72" customHeight="1">
      <c r="A33" s="11">
        <v>29</v>
      </c>
      <c r="B33" s="35" t="s">
        <v>166</v>
      </c>
      <c r="C33" s="12" t="s">
        <v>124</v>
      </c>
      <c r="D33" s="21" t="s">
        <v>8</v>
      </c>
      <c r="E33" s="12" t="s">
        <v>123</v>
      </c>
      <c r="F33" s="32" t="s">
        <v>15</v>
      </c>
      <c r="G33" s="34">
        <v>26606</v>
      </c>
      <c r="H33" s="34">
        <v>56511144</v>
      </c>
      <c r="I33" s="25" t="s">
        <v>165</v>
      </c>
    </row>
    <row r="34" spans="1:12" ht="75">
      <c r="A34" s="11">
        <v>30</v>
      </c>
      <c r="B34" s="35" t="s">
        <v>164</v>
      </c>
      <c r="C34" s="12" t="s">
        <v>128</v>
      </c>
      <c r="D34" s="21" t="s">
        <v>127</v>
      </c>
      <c r="E34" s="12" t="s">
        <v>126</v>
      </c>
      <c r="F34" s="32" t="s">
        <v>15</v>
      </c>
      <c r="G34" s="34">
        <v>9945.9359999999997</v>
      </c>
      <c r="H34" s="34">
        <v>4446288</v>
      </c>
      <c r="I34" s="25" t="s">
        <v>228</v>
      </c>
    </row>
    <row r="35" spans="1:12" ht="75">
      <c r="A35" s="11">
        <v>31</v>
      </c>
      <c r="B35" s="35" t="s">
        <v>129</v>
      </c>
      <c r="C35" s="12" t="s">
        <v>130</v>
      </c>
      <c r="D35" s="21" t="s">
        <v>131</v>
      </c>
      <c r="E35" s="12" t="s">
        <v>132</v>
      </c>
      <c r="F35" s="31" t="s">
        <v>9</v>
      </c>
      <c r="G35" s="34">
        <v>4101</v>
      </c>
      <c r="H35" s="34">
        <v>2127432</v>
      </c>
      <c r="I35" s="29" t="s">
        <v>177</v>
      </c>
    </row>
    <row r="36" spans="1:12" ht="60">
      <c r="A36" s="11">
        <v>32</v>
      </c>
      <c r="B36" s="35" t="s">
        <v>133</v>
      </c>
      <c r="C36" s="12" t="s">
        <v>134</v>
      </c>
      <c r="D36" s="21" t="s">
        <v>28</v>
      </c>
      <c r="E36" s="12" t="s">
        <v>135</v>
      </c>
      <c r="F36" s="31" t="s">
        <v>9</v>
      </c>
      <c r="G36" s="34">
        <v>12500</v>
      </c>
      <c r="H36" s="34">
        <v>23610000</v>
      </c>
      <c r="I36" s="29" t="s">
        <v>204</v>
      </c>
    </row>
    <row r="37" spans="1:12" ht="90">
      <c r="A37" s="11">
        <v>33</v>
      </c>
      <c r="B37" s="35" t="s">
        <v>229</v>
      </c>
      <c r="C37" s="12" t="s">
        <v>136</v>
      </c>
      <c r="D37" s="21"/>
      <c r="E37" s="12" t="s">
        <v>137</v>
      </c>
      <c r="F37" s="31" t="s">
        <v>9</v>
      </c>
      <c r="G37" s="34"/>
      <c r="H37" s="34"/>
      <c r="I37" s="25" t="s">
        <v>214</v>
      </c>
    </row>
    <row r="38" spans="1:12" ht="120">
      <c r="A38" s="11">
        <v>34</v>
      </c>
      <c r="B38" s="35" t="s">
        <v>138</v>
      </c>
      <c r="C38" s="12" t="s">
        <v>139</v>
      </c>
      <c r="D38" s="21" t="s">
        <v>16</v>
      </c>
      <c r="E38" s="12" t="s">
        <v>140</v>
      </c>
      <c r="F38" s="31" t="s">
        <v>9</v>
      </c>
      <c r="G38" s="34" t="s">
        <v>141</v>
      </c>
      <c r="H38" s="34">
        <v>16671912</v>
      </c>
      <c r="I38" s="29" t="s">
        <v>174</v>
      </c>
    </row>
    <row r="39" spans="1:12" ht="60">
      <c r="A39" s="11">
        <v>35</v>
      </c>
      <c r="B39" s="35" t="s">
        <v>142</v>
      </c>
      <c r="C39" s="12" t="s">
        <v>143</v>
      </c>
      <c r="D39" s="21" t="s">
        <v>24</v>
      </c>
      <c r="E39" s="12" t="s">
        <v>144</v>
      </c>
      <c r="F39" s="32" t="s">
        <v>15</v>
      </c>
      <c r="G39" s="34" t="s">
        <v>145</v>
      </c>
      <c r="H39" s="34">
        <v>24314964</v>
      </c>
      <c r="I39" s="29" t="s">
        <v>171</v>
      </c>
    </row>
    <row r="40" spans="1:12" ht="90">
      <c r="A40" s="11">
        <v>36</v>
      </c>
      <c r="B40" s="35" t="s">
        <v>146</v>
      </c>
      <c r="C40" s="12" t="s">
        <v>147</v>
      </c>
      <c r="D40" s="21" t="s">
        <v>16</v>
      </c>
      <c r="E40" s="12" t="s">
        <v>148</v>
      </c>
      <c r="F40" s="34" t="s">
        <v>9</v>
      </c>
      <c r="G40" s="34" t="s">
        <v>149</v>
      </c>
      <c r="H40" s="34">
        <v>37153836</v>
      </c>
      <c r="I40" s="29" t="s">
        <v>170</v>
      </c>
    </row>
    <row r="41" spans="1:12" ht="60">
      <c r="A41" s="11">
        <v>37</v>
      </c>
      <c r="B41" s="35" t="s">
        <v>150</v>
      </c>
      <c r="C41" s="12" t="s">
        <v>151</v>
      </c>
      <c r="D41" s="21" t="s">
        <v>152</v>
      </c>
      <c r="E41" s="12" t="s">
        <v>153</v>
      </c>
      <c r="F41" s="4" t="s">
        <v>15</v>
      </c>
      <c r="G41" s="34">
        <v>9065.44</v>
      </c>
      <c r="H41" s="34">
        <v>8920392</v>
      </c>
      <c r="I41" s="29" t="s">
        <v>173</v>
      </c>
      <c r="L41" s="18">
        <v>49428024</v>
      </c>
    </row>
    <row r="42" spans="1:12" ht="165">
      <c r="A42" s="11">
        <v>38</v>
      </c>
      <c r="B42" s="35" t="s">
        <v>154</v>
      </c>
      <c r="C42" s="12" t="s">
        <v>155</v>
      </c>
      <c r="D42" s="21" t="s">
        <v>157</v>
      </c>
      <c r="E42" s="12" t="s">
        <v>156</v>
      </c>
      <c r="F42" s="34" t="s">
        <v>9</v>
      </c>
      <c r="G42" s="34" t="s">
        <v>158</v>
      </c>
      <c r="H42" s="34">
        <v>12549512</v>
      </c>
      <c r="I42" s="29" t="s">
        <v>172</v>
      </c>
      <c r="L42" s="18">
        <v>75721488</v>
      </c>
    </row>
    <row r="43" spans="1:12" ht="60">
      <c r="A43" s="11">
        <v>39</v>
      </c>
      <c r="B43" s="35" t="s">
        <v>159</v>
      </c>
      <c r="C43" s="12" t="s">
        <v>160</v>
      </c>
      <c r="D43" s="21" t="s">
        <v>162</v>
      </c>
      <c r="E43" s="12" t="s">
        <v>161</v>
      </c>
      <c r="F43" s="34" t="s">
        <v>9</v>
      </c>
      <c r="G43" s="34">
        <v>71398.2</v>
      </c>
      <c r="H43" s="34">
        <v>120291684</v>
      </c>
      <c r="I43" s="29" t="s">
        <v>178</v>
      </c>
      <c r="L43" s="18">
        <f>SUM(L41:L42)</f>
        <v>125149512</v>
      </c>
    </row>
    <row r="44" spans="1:12" ht="105">
      <c r="A44" s="11">
        <v>40</v>
      </c>
      <c r="B44" s="35" t="s">
        <v>183</v>
      </c>
      <c r="C44" s="12" t="s">
        <v>184</v>
      </c>
      <c r="D44" s="21" t="s">
        <v>185</v>
      </c>
      <c r="E44" s="12" t="s">
        <v>186</v>
      </c>
      <c r="F44" s="4" t="s">
        <v>15</v>
      </c>
      <c r="G44" s="13">
        <v>14200</v>
      </c>
      <c r="H44" s="34">
        <v>10609104</v>
      </c>
      <c r="I44" s="29" t="s">
        <v>187</v>
      </c>
    </row>
    <row r="45" spans="1:12" ht="75">
      <c r="A45" s="11">
        <v>41</v>
      </c>
      <c r="B45" s="35" t="s">
        <v>189</v>
      </c>
      <c r="C45" s="12" t="s">
        <v>191</v>
      </c>
      <c r="D45" s="21"/>
      <c r="E45" s="12" t="s">
        <v>190</v>
      </c>
      <c r="F45" s="34" t="s">
        <v>9</v>
      </c>
      <c r="G45" s="34">
        <v>24472</v>
      </c>
      <c r="H45" s="34">
        <v>20556714</v>
      </c>
      <c r="I45" s="25" t="s">
        <v>192</v>
      </c>
    </row>
    <row r="46" spans="1:12" ht="60">
      <c r="A46" s="11">
        <v>42</v>
      </c>
      <c r="B46" s="35" t="s">
        <v>211</v>
      </c>
      <c r="C46" s="12" t="s">
        <v>221</v>
      </c>
      <c r="D46" s="21" t="s">
        <v>226</v>
      </c>
      <c r="E46" s="12" t="s">
        <v>227</v>
      </c>
      <c r="F46" s="34" t="s">
        <v>9</v>
      </c>
      <c r="G46" s="34">
        <v>3750</v>
      </c>
      <c r="H46" s="34">
        <v>1836900</v>
      </c>
      <c r="I46" s="29" t="s">
        <v>216</v>
      </c>
    </row>
    <row r="47" spans="1:12" ht="90">
      <c r="A47" s="11">
        <v>43</v>
      </c>
      <c r="B47" s="35" t="s">
        <v>230</v>
      </c>
      <c r="C47" s="12" t="s">
        <v>217</v>
      </c>
      <c r="D47" s="21" t="s">
        <v>218</v>
      </c>
      <c r="E47" s="12" t="s">
        <v>219</v>
      </c>
      <c r="F47" s="34" t="s">
        <v>9</v>
      </c>
      <c r="G47" s="34">
        <v>9055</v>
      </c>
      <c r="H47" s="13">
        <v>2976000</v>
      </c>
      <c r="I47" s="25" t="s">
        <v>220</v>
      </c>
    </row>
    <row r="48" spans="1:12" ht="75">
      <c r="A48" s="11">
        <v>44</v>
      </c>
      <c r="B48" s="35" t="s">
        <v>222</v>
      </c>
      <c r="C48" s="12" t="s">
        <v>225</v>
      </c>
      <c r="D48" s="21" t="s">
        <v>223</v>
      </c>
      <c r="E48" s="12" t="s">
        <v>224</v>
      </c>
      <c r="F48" s="4" t="s">
        <v>15</v>
      </c>
      <c r="G48" s="34">
        <v>18804.66</v>
      </c>
      <c r="H48" s="13">
        <v>13990668</v>
      </c>
      <c r="I48" s="29" t="s">
        <v>231</v>
      </c>
    </row>
  </sheetData>
  <autoFilter ref="A2:I5">
    <filterColumn colId="6"/>
  </autoFilter>
  <mergeCells count="9">
    <mergeCell ref="A1:I1"/>
    <mergeCell ref="A2:A3"/>
    <mergeCell ref="B2:B3"/>
    <mergeCell ref="C2:C3"/>
    <mergeCell ref="D2:D3"/>
    <mergeCell ref="E2:E3"/>
    <mergeCell ref="F2:F3"/>
    <mergeCell ref="H2:H3"/>
    <mergeCell ref="I2:I3"/>
  </mergeCells>
  <pageMargins left="0.70866141732283472" right="0.31496062992125984" top="0.55118110236220474" bottom="0.55118110236220474" header="0.31496062992125984" footer="0.31496062992125984"/>
  <pageSetup paperSize="9" scale="6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Ongoing proposals main</vt:lpstr>
      <vt:lpstr>'Ongoing proposals main'!Print_Area</vt:lpstr>
      <vt:lpstr>'Ongoing proposals main'!Print_Titles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HP4</cp:lastModifiedBy>
  <cp:lastPrinted>2020-02-04T09:41:05Z</cp:lastPrinted>
  <dcterms:created xsi:type="dcterms:W3CDTF">2018-07-30T10:55:49Z</dcterms:created>
  <dcterms:modified xsi:type="dcterms:W3CDTF">2020-02-17T07:35:07Z</dcterms:modified>
</cp:coreProperties>
</file>