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8800" windowHeight="12435" firstSheet="5" activeTab="5"/>
  </bookViews>
  <sheets>
    <sheet name="Sanctioned 2020-21 (2)" sheetId="16" r:id="rId1"/>
    <sheet name="Delhi Sanctioned-18-19" sheetId="15" r:id="rId2"/>
    <sheet name="01.04.19 to 31.08.19" sheetId="14" r:id="rId3"/>
    <sheet name="01.04.19 to 07.02.20" sheetId="13" r:id="rId4"/>
    <sheet name="Sanctioned 2019-20 (4)" sheetId="12" r:id="rId5"/>
    <sheet name="Sanctioned 2020-21" sheetId="9" r:id="rId6"/>
  </sheets>
  <definedNames>
    <definedName name="_xlnm._FilterDatabase" localSheetId="3" hidden="1">'01.04.19 to 07.02.20'!$A$3:$I$43</definedName>
    <definedName name="_xlnm._FilterDatabase" localSheetId="2" hidden="1">'01.04.19 to 31.08.19'!$A$3:$I$24</definedName>
    <definedName name="_xlnm._FilterDatabase" localSheetId="1" hidden="1">'Delhi Sanctioned-18-19'!$A$3:$M$3</definedName>
    <definedName name="_xlnm._FilterDatabase" localSheetId="4" hidden="1">'Sanctioned 2019-20 (4)'!$A$3:$I$8</definedName>
    <definedName name="_xlnm._FilterDatabase" localSheetId="5" hidden="1">'Sanctioned 2020-21'!$A$2:$I$43</definedName>
    <definedName name="_xlnm._FilterDatabase" localSheetId="0" hidden="1">'Sanctioned 2020-21 (2)'!$A$2:$I$28</definedName>
    <definedName name="_xlnm.Print_Area" localSheetId="5">'Sanctioned 2020-21'!$A$1:$I$43</definedName>
    <definedName name="_xlnm.Print_Area" localSheetId="0">'Sanctioned 2020-21 (2)'!$A$1:$J$28</definedName>
    <definedName name="_xlnm.Print_Titles" localSheetId="3">'01.04.19 to 07.02.20'!$3:$3</definedName>
    <definedName name="_xlnm.Print_Titles" localSheetId="2">'01.04.19 to 31.08.19'!$3:$3</definedName>
    <definedName name="_xlnm.Print_Titles" localSheetId="4">'Sanctioned 2019-20 (4)'!$3:$3</definedName>
    <definedName name="_xlnm.Print_Titles" localSheetId="5">'Sanctioned 2020-21'!$2:$2</definedName>
    <definedName name="_xlnm.Print_Titles" localSheetId="0">'Sanctioned 2020-21 (2)'!$2:$2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0" i="9" l="1"/>
  <c r="D28" i="16" l="1"/>
  <c r="C28" i="16"/>
  <c r="F25" i="16"/>
  <c r="M88" i="15" l="1"/>
  <c r="I31" i="15"/>
  <c r="F24" i="15"/>
  <c r="O43" i="14"/>
  <c r="O38" i="14"/>
  <c r="D24" i="14"/>
  <c r="C24" i="14"/>
  <c r="F21" i="14"/>
  <c r="D43" i="13"/>
  <c r="C43" i="13"/>
  <c r="F40" i="13"/>
  <c r="F8" i="12"/>
  <c r="D43" i="9"/>
  <c r="C43" i="9"/>
</calcChain>
</file>

<file path=xl/sharedStrings.xml><?xml version="1.0" encoding="utf-8"?>
<sst xmlns="http://schemas.openxmlformats.org/spreadsheetml/2006/main" count="1001" uniqueCount="605">
  <si>
    <t>S. No.</t>
  </si>
  <si>
    <t>File No.</t>
  </si>
  <si>
    <t>Area (in sq.ft.)</t>
  </si>
  <si>
    <t>Subject</t>
  </si>
  <si>
    <t>Amount</t>
  </si>
  <si>
    <t>Comm'te</t>
  </si>
  <si>
    <t>Sanction Order No.</t>
  </si>
  <si>
    <t>REVISON/FRESH</t>
  </si>
  <si>
    <t>REVISON</t>
  </si>
  <si>
    <t>924/17/Hiring/Delhi (Vig)/HRD/15</t>
  </si>
  <si>
    <t>A/a &amp; e/s for intial hiring of additional space of 1760 sq.ft. on 3rd floor of Hotel Samrat, New Delhi from the date of hiring upto 27.10.2017 on nomination basis.</t>
  </si>
  <si>
    <t>Rs.10,56,493/- p.m. Rs. 12677916/- p.a.
Rs.25355832/-period from 28.10.2015 to 27.10.2017</t>
  </si>
  <si>
    <t>DG Vig., New Delhi</t>
  </si>
  <si>
    <t>Rent/05/2017-18-SANCTION dated 04.05.2017</t>
  </si>
  <si>
    <t>FRESH</t>
  </si>
  <si>
    <t>924/10/Hiring/Div.&amp; Range/Kakinada/Viz./HRD/2017</t>
  </si>
  <si>
    <t>A/a &amp; e/s for hiring of office space for office accommodation for 2 Divisions &amp; 7 Range offices of Kakinada Commissionerate, Visakhapatnam</t>
  </si>
  <si>
    <t>Rent/08/2017-18-SANCTION dated 29.05.2017</t>
  </si>
  <si>
    <t>924/23/Hiring/Audit Circle/Nasik/HRD/16</t>
  </si>
  <si>
    <t>C.Ex., Customs &amp; S.Tax Comm'te, Aurangabad</t>
  </si>
  <si>
    <t>Rent/13/2017-18-SANCTION dated 07.07.2017</t>
  </si>
  <si>
    <t>924/42/Hiring/Ludhiana/HRD/2016</t>
  </si>
  <si>
    <t>C.Ex., Ludhiana</t>
  </si>
  <si>
    <t>Rent/14/2017-18-SANCTION dated 21.07.2017</t>
  </si>
  <si>
    <t>924/24/Hiring/Jamnagar/HRD/2016</t>
  </si>
  <si>
    <t>A/a &amp; e/s for revision of rent for office space hired at Jamnagar occupied by the Commissioner of Customs (prev.), Jamnagar for a further period of 3 years from 01.02.2016 to 31.01.2019</t>
  </si>
  <si>
    <t>Customs, Jamnagar</t>
  </si>
  <si>
    <t>Rent/15/2017-18-SANCTION dated 04.08.2017</t>
  </si>
  <si>
    <t>211/28/2005-Ad.VIII(EC)</t>
  </si>
  <si>
    <t>Rs. 21,23,327/-</t>
  </si>
  <si>
    <t>Customs, Tuticorin</t>
  </si>
  <si>
    <t>Rent/16/2017-18-SANCTION dated 30.08.2017</t>
  </si>
  <si>
    <t>924/30/Hiring/Custom Division Surat/HRD/2016</t>
  </si>
  <si>
    <t>Revision of rent for office accommodation located at Urmi Complex, 1st Floor to 4th Floor Lalwadi, Sagrampura Ring Road, Surat for Customs Division, Surat for a further period of 3 years w.e.f. 15.11.2015 to 14.11.2018</t>
  </si>
  <si>
    <t>Customs, Surat</t>
  </si>
  <si>
    <t>Rent/17/2017-18-SANCTION dated 30.08.2017</t>
  </si>
  <si>
    <t>924/47/Hiring/S Tax/Mumbai VI/HRD/2014</t>
  </si>
  <si>
    <t>Revision of rent of the premises of 8049.35 sq. ft. leased by Shri Mahavira Jaina Vidyala at Juhu Lane, C.D. Burfiwala Marg, Andheri (W), Mumbai 400058- for the period 01.01.2015 to 31.12.2017</t>
  </si>
  <si>
    <t>Commr. S.Tax-VI, Mumbai</t>
  </si>
  <si>
    <t>Rent/18/2017-18-SANCTION dated 04.09.2017</t>
  </si>
  <si>
    <t xml:space="preserve">900/33/Admn/HRD/2011/Pt.I </t>
  </si>
  <si>
    <t>DGHRD, IRCON, Saket, Delhi</t>
  </si>
  <si>
    <t>924/12/Hiring/DeepShikha HRM/HRD/13</t>
  </si>
  <si>
    <t>Directorate General of Human Resource Development, Customs &amp; Central Excise, 507/8, Deepshikha Building, Rajendra Place, New Delhi-110008 w.e.f. 2014/15/16/17 for three years</t>
  </si>
  <si>
    <t>New Delhi</t>
  </si>
  <si>
    <t>RENT/25/SANCTION/201-18 Dated 26.12.2017</t>
  </si>
  <si>
    <t>924/24/Hiring/Revision/Dir.Legal Affiars/HRD/2017</t>
  </si>
  <si>
    <t>Rs. 4,10,381/- p.m.
Rs. 49,24,572/-p.a.
Rs. 1,47,73,716/- for 3 years</t>
  </si>
  <si>
    <t>D'te of legal Affairs, New Delhi</t>
  </si>
  <si>
    <t>Rent/29/2017-18-SANCTION dated 06.03.2018</t>
  </si>
  <si>
    <t>Total</t>
  </si>
  <si>
    <t xml:space="preserve">TOTAL </t>
  </si>
  <si>
    <t>REVISION</t>
  </si>
  <si>
    <t>RENT/32/SANCTION/2018-19 dated 18.02.2019</t>
  </si>
  <si>
    <t>DGHRD, HRM</t>
  </si>
  <si>
    <t>Rs. 2,78,555/- p.m.
Rs.33,42,660/- p.a.
Rs.1,67,13,300/- for 3 years</t>
  </si>
  <si>
    <t>Proposal for initial hiring of office accommodation of HRM Wing, DGHRD at Deep Shikha Building, Rajendra Place, New Delhi</t>
  </si>
  <si>
    <t xml:space="preserve">924/20/Hiring/Deep Shikha (HRM)/HRD/18
</t>
  </si>
  <si>
    <t>HIRING/26/SANCTION/2018-19 dated 13.12.2018</t>
  </si>
  <si>
    <t>DGARM,DGEP, DIC, GST Investigation, Customs Investigation,  
  WCO &amp; NCTF</t>
  </si>
  <si>
    <t>Rs.1,03,46,060/-  p.m.
Rs.12,41,52,720/- p.a.
Rs. 62,07,63,600/- for 5 years</t>
  </si>
  <si>
    <t>924/33/Hiring/DGARM/Revision/Delhi/HRD/18</t>
  </si>
  <si>
    <t>HIRING/25/SANCTION/2018-19 dated 03.12.2018</t>
  </si>
  <si>
    <t>ADG, HRM</t>
  </si>
  <si>
    <t>Rs.53,706/-  p.m.
Rs.6,44,472/- p.a.
Rs. 32,22,360/- for 5 years</t>
  </si>
  <si>
    <t>Enhancement of rent of office accommodation of HRM Wing, DGHRD at Deep Shikha Building, Rajendra Place, New Delhi</t>
  </si>
  <si>
    <t xml:space="preserve">924/19/Hiring/Deep Shikha (HRM)/HRD/18
</t>
  </si>
  <si>
    <t>HIRING/19/SANCTION/2018-19 dated 30.10.2018</t>
  </si>
  <si>
    <t>DG (Safeguards), New Delhi</t>
  </si>
  <si>
    <t>Rs. 996784/- p.m.
Rs.1,19,61,408/- p.a.
Rs. 3,58,84,224/- for 3 years</t>
  </si>
  <si>
    <t xml:space="preserve">Renewal of lease agreement for hiring of this office premises at Bhai Vir Singh Sahitya Sadan, Gole Market, New Delhi
</t>
  </si>
  <si>
    <t xml:space="preserve">924/03/Hiring/DG (Safeguards)/HRD/18
</t>
  </si>
  <si>
    <t>HIRING/16/SANCTION/2018-19 dated 30.08.2018</t>
  </si>
  <si>
    <t>Directorate of Revenue Intelligence (Hqrs.), New Delhi</t>
  </si>
  <si>
    <t>Rs. 71,15,645/- p.m.
Rs.8,53,87,740/- p.a.
Rs.25,61,63,220/- for 3 years w.e.f. 01.06.2018</t>
  </si>
  <si>
    <t>924/14/Hiring/DRI/New Delhi/HRD/18</t>
  </si>
  <si>
    <t>Rent/12/2018-19-SANCTION dated 17.07.2018</t>
  </si>
  <si>
    <t>DG (Vig.)</t>
  </si>
  <si>
    <t>Rs. 59,09,156/- p.m.
Rs. 7,09,09,872/- p.a.
Rs. 14,18,19,744/- for 2 years</t>
  </si>
  <si>
    <t>Proposal for revision of rent for the premises occupied by the office of DG Vigilance at 2nd &amp; 3rd floors of Hotel Samrat, Chanakyapuri, New Delhi w.e.f. 28.10.2017 to 27.10.2019</t>
  </si>
  <si>
    <t>924/01/Hiring/DG (Vig.)/HRD/18</t>
  </si>
  <si>
    <t>HIRING/07/SANCTION/2018-19 dated 11.06.2018</t>
  </si>
  <si>
    <t>DGSDM, New Delhi</t>
  </si>
  <si>
    <t>Rs. 84,46,576/- p.m.
Rs. 10,13,58,912/- p.a.
Rs.202717824/- for two years</t>
  </si>
  <si>
    <t>924/22/Hiring/DGSDM/HRD/17</t>
  </si>
  <si>
    <t>REVISION/FRESH</t>
  </si>
  <si>
    <t>Annual Amount</t>
  </si>
  <si>
    <t>RENT/32/SANCTION/2019-20 dated 09.12.2019</t>
  </si>
  <si>
    <t xml:space="preserve">Directorate General of Systems and Data Management, New Delhi </t>
  </si>
  <si>
    <t>Rs. 84,46,576/-p.m.
Rs.10,13,58,912/- p.a.
Rs.30,40,76,736/- for 3 years</t>
  </si>
  <si>
    <t xml:space="preserve">Proposal for extension of lease for the office of DG Systems &amp; Data Management, Hotel Samrat, Chanakyapuri, Delhi
</t>
  </si>
  <si>
    <t>924/46/Hiring/DGSDM/Delhi/HRD/2019-20</t>
  </si>
  <si>
    <t>TOTAL</t>
  </si>
  <si>
    <t>FRESH=</t>
  </si>
  <si>
    <t>REVISION=</t>
  </si>
  <si>
    <t>RENT/37/SANCTION/2019-20 dated 17.01.2020</t>
  </si>
  <si>
    <t>Commissioner of GST (Audit), Plot No. 24, Mudit Square, Sector-32, Gurgaon, Haryana</t>
  </si>
  <si>
    <t>Rs.18,42,690/-p.m.
Rs.2,21,12,280/- p.a.
Rs.6,63,36,840/- for 3 years</t>
  </si>
  <si>
    <t>Proposal for renewal of lease agreement for hiring of office premises situated at Plot No. 24, Mudit Square, Sector-32, Gurugram</t>
  </si>
  <si>
    <t>RENT/35/SANCTION/2019-20 dated 23.12.2019</t>
  </si>
  <si>
    <t>Commissioner, GST, Central Excise &amp; Customs, Bhubaneswar</t>
  </si>
  <si>
    <t>Rs.6,26,996/-p.m.
Rs.75,23,952/- p.a.
Rs.2,25,71,856/- for 3 years</t>
  </si>
  <si>
    <t>Administrative approval &amp; expenditure sanction of Rs. 7,86,799/- per month for hiring of office accommodation for GST &amp; Central Excise, Bhubaneswar-I &amp; II Division and their 11 Range offices from the National Small Industries Corporation Ltd. (M/s NSIC Ltd.)</t>
  </si>
  <si>
    <t xml:space="preserve">924/49/Hiring/CGST/Bhubaneswar/HRD/19
</t>
  </si>
  <si>
    <t>RENT/34/SANCTION/2019-20 dated 19.12.2019</t>
  </si>
  <si>
    <t>Pr. Commissioner, Customs (Prev.), Nedw Delhi</t>
  </si>
  <si>
    <t xml:space="preserve">924/05/Hiring/revision CWC/Delhi/ HRD/17
</t>
  </si>
  <si>
    <t>RENT/33/SANCTION/2019-20 dated 10.12.2019</t>
  </si>
  <si>
    <t>DRI, Nhava Sheva Unit , Mumbai</t>
  </si>
  <si>
    <t>Rs. 5,22,400/-p.m.
Rs.6,26,88,002/- p.a.
Rs.1,88,06,400/- for 3 years</t>
  </si>
  <si>
    <t>Proposal for hiring of office premises for DRI, Nhava Sheva Units working under DRI, Mumbai Zonal Unit</t>
  </si>
  <si>
    <t xml:space="preserve">924/32/Hiring/DRI/Nhava Sheva Unit/Mumbai/HRD /2019-20
</t>
  </si>
  <si>
    <t>RENT/31/SANCTION/2019-20 dated 18.11.2019</t>
  </si>
  <si>
    <t>Commissioner, CGST and C.Ex. Range, Patna-II</t>
  </si>
  <si>
    <t>Rs. 15,500/-p.m.
Rs.1,86,000/- p.a.
Rs.5,58,000/- for 3 years</t>
  </si>
  <si>
    <t xml:space="preserve">Grant of administrative approval for hiring of office   premises for CGST and C. Ex. Range, Supaul under Darbhanga Division
</t>
  </si>
  <si>
    <t xml:space="preserve">924/04/Hiring/Darbhanga (Supaul)/Patna-II/HRD/2019-20
</t>
  </si>
  <si>
    <t>RENT/30/SANCTION/2019-20 dated 18.11.2019</t>
  </si>
  <si>
    <t>Rs. 17,000/-p.m.
Rs.2,04,000/- p.a.
Rs.6,12,000/- for 3 years</t>
  </si>
  <si>
    <t xml:space="preserve">Grant of administrative approval for hiring of office premises for CGST and C. Ex. Range, Madhubani under Darbhanga Division
</t>
  </si>
  <si>
    <t xml:space="preserve">924/03/Hiring/Darbhanga (Madhubani)/Patna-II/HRD/2019-20
</t>
  </si>
  <si>
    <t>RENT/29/SANCTION/2019-20 dated 11.11.2019</t>
  </si>
  <si>
    <t>Rs. 8,00,000/-p.m.
Rs.96,00,000/- p.a.
Rs.2,88,00,000/- for 3 years</t>
  </si>
  <si>
    <t>Proposal for hiring of new office premises for DRI, Guwahati Zonal Unit</t>
  </si>
  <si>
    <t>RENT/28/SANCTION/2019-20 dated 31.10.2019</t>
  </si>
  <si>
    <t xml:space="preserve">Principal   
Commissioner (AR), CESTAT, Mumbai
</t>
  </si>
  <si>
    <t>Rs. 11,04,677/-p.m.
Rs.1,32,56,124/- p.a.
Rs.3,97,68,372/- for 3 years</t>
  </si>
  <si>
    <t xml:space="preserve">Renewal of lease of office premises of office of Principal  Commissioner (AR), CESTAT, Mumbai 
</t>
  </si>
  <si>
    <t>924/21/Hiring/Commr. (AR)CESTAT/Mumbai/HRD/2019-20</t>
  </si>
  <si>
    <t>RENT/27/SANCTION/2019-20 dated 30.10.2019</t>
  </si>
  <si>
    <t xml:space="preserve">Customs, Delhi </t>
  </si>
  <si>
    <t>Rs. 7143496 (Storage charges)</t>
  </si>
  <si>
    <t xml:space="preserve">Payment of warehouse rent amounting to Rs. 71,43,496/- to M/s Cargo Planners Ltd..
</t>
  </si>
  <si>
    <t>RENT/26/SANCTION/2019-20 dated 21.10.2019</t>
  </si>
  <si>
    <t>Commissioner, CGST, Kolhapur Commissionerate</t>
  </si>
  <si>
    <t>Rs. 5,89,203/-p.m.
Rs.70,70,436/- p.a.
Rs.2,12,11,308/- for 3 years</t>
  </si>
  <si>
    <t xml:space="preserve">Proposal for Renewal of Rent Lease Agreement in respect of  premises at Vasant Plaza, Kolhapur for C.Ex. &amp; S.Tax Commissionerate Kolhapur
</t>
  </si>
  <si>
    <t xml:space="preserve">924/27/Hiring/Kolhapur/HRD/2019-20
</t>
  </si>
  <si>
    <t>RENT/25/SANCTION/2019-20 dated 21.10.2019</t>
  </si>
  <si>
    <t xml:space="preserve">Commissioner of Customs, Cochin </t>
  </si>
  <si>
    <t>Rs.2,21,98,232</t>
  </si>
  <si>
    <t xml:space="preserve">924/19/Hiring/High Court/Kerala/ Cochin /HRD/2019-20
</t>
  </si>
  <si>
    <t>RENT/24/SANCTION/2019-20 dated 17.10.2019</t>
  </si>
  <si>
    <t>Commissioner of Customs (Prev.), Jamnagar</t>
  </si>
  <si>
    <t>Rs. 5,05,000/-p.m.
Rs.60,60,000/- p.a.
Rs.1,81,80,000/- for 3 years</t>
  </si>
  <si>
    <t>Proposal for revision of rent  (from 15.12.2018 to 14.12.2021) of the office premises at “Dev Divine”, Saru Section Road, Jamnagar for Commissionerate of Customs Preventive, Jamnagar- for a monthly rent of Rs. 5,05,000/- (Exclusive of Water, electricity charges, Municipal Taxes and GST)</t>
  </si>
  <si>
    <t>RENT/23/SANCTION/2019-20 dated 16.10.2019</t>
  </si>
  <si>
    <t>GST &amp; Central Excise Audit, Surat 
Commissionerate</t>
  </si>
  <si>
    <t>Rs. 5,06,331/-p.m.
Rs.60,75,972/- p.a.
Rs.1,82,27,916/- for 3 years</t>
  </si>
  <si>
    <t xml:space="preserve">Approval for renewal of lease agreement for hiring of 2019.95 sq.mtrs. of plinth area located at “Times Square”, 2nd &amp; 3rd floor, Vapi-Daman Road, Chala Vapi 
for GST &amp; Central Excise Audit, Surat 
Commissionerate
</t>
  </si>
  <si>
    <t xml:space="preserve">924/37/Hiring/Audit/Vapi/HRD/2019-20
</t>
  </si>
  <si>
    <t>RENT/22/SANCTION/2019-20 dated 01.10.2019</t>
  </si>
  <si>
    <t xml:space="preserve">DGGI, Thiruvananthapuram Regional Unit </t>
  </si>
  <si>
    <t>Rs. 1,60,254/-p.m.
Rs.19,23,048/- p.a.
Rs.57,69,144/- for 3 years</t>
  </si>
  <si>
    <t xml:space="preserve">Proposal for initial hiring of office builring for the office  of DGGI, Thiruvananthapuram Regional Unit 
</t>
  </si>
  <si>
    <t>924/12/Hiring/DGGI/Thiruvananthapuram R.U./HRD /2019-20</t>
  </si>
  <si>
    <t>RENT/21/SANCTION/2019-20 dated 03.10.2019</t>
  </si>
  <si>
    <t>CGST &amp; C.Ex., Navi Mumbai Commissionerate</t>
  </si>
  <si>
    <t>Rs. 24,50,250/-p.m.
Rs.2,94,03,000/- p.a.
Rs.8,82,09,000/- for 3 years</t>
  </si>
  <si>
    <t>Administrative approval and expenditure sanction for revision of rent space occupied by CGST &amp; C.Ex., Navi Mumbai Commissionerate at No.1601 to 1613, Satra Plaza, Palm Beach Road, 16th floor, Sector-19D, Vashi, Navi Mumbai w.e.f. 15.04.2019 to 14.04.2022</t>
  </si>
  <si>
    <t>924/22/Hiring/CGST/Navi Mumbai/HRD/2019</t>
  </si>
  <si>
    <t>RENT/20/SANCTION/2019-20 dated 24.09.2019</t>
  </si>
  <si>
    <t>Rs. 3,90,000/-p.m.
Rs.46,80,000/- p.a.
Rs.1,40,40,000/- for 3 years</t>
  </si>
  <si>
    <t>Proposal for revision of rent  (from 01.02.2019 to 31.01.2022) of the office premises at Sarda House, Bedi Bundar Road, Jamnagar for Commissionerate of Customs Preventive, Jamnagar- for a monthly rent of Rs. 3,90,000/- (Exclusive of Water, electricity charges , Municipal Taxes and GST)</t>
  </si>
  <si>
    <t>924/02/Hiring/Jamnagar Customs (Prev.)/HRD/2019-20</t>
  </si>
  <si>
    <t>RENT/19/SANCTION/2019-20 dated 23.09.2019</t>
  </si>
  <si>
    <t>1276 sq.mtrs.</t>
  </si>
  <si>
    <t>Customs (Preventive) Commissionerate, Mumbai</t>
  </si>
  <si>
    <t>Rs. 9,68,484/- p.m.
Rs.1,16,21,808/- p.a.</t>
  </si>
  <si>
    <t xml:space="preserve">Proposal for administrative approval and expenditure sanction for revised rent of godown space measuring 1276 sq.mtrs., hired from CWC at M.S.Jetha, Mumbai for Customs Preventive Commissionerate, Mumbai
</t>
  </si>
  <si>
    <t>924/30/Hiring/CWC/Mumbai/HRD/2019-20</t>
  </si>
  <si>
    <t>RENT/18/SANCTION/2019-20 dated 03.09.2019</t>
  </si>
  <si>
    <t>CGST &amp; CX, Kolkata North Commissionerate</t>
  </si>
  <si>
    <t>Rs. 4,32,264/-p.m.
Rs.51,87,168/- p.a.
Rs.1,55,61,504/- for 3 years</t>
  </si>
  <si>
    <t>Proposal for initial hiring of office space admeasuring 9296 sq.ft. carpet area for the office of Khardah and Barrackpore Divisions of CGST &amp; CX, Kolkata North 
 Commissionerate</t>
  </si>
  <si>
    <t>924/16/Hiring/Khardah &amp; Barrackpore Div./Kolkata /HRD/2019-20</t>
  </si>
  <si>
    <t>RENT/17/SANCTION/2019-20 dated 28.08.2019</t>
  </si>
  <si>
    <t xml:space="preserve">Commissioner, Customs Commissionerate, Manik Bagh Palace, P.B. No. 10, Indore </t>
  </si>
  <si>
    <t>Rs. 5,45,020/-p.m.
Rs.65,40,240/- p.a.
Rs.1,96,20,720/- for 3 years</t>
  </si>
  <si>
    <t>Proposal for initial hiring of office accommodation for Customs Commissionerate, Indore</t>
  </si>
  <si>
    <t>924/10/Hiring/Indore Comm’te/HRD/2019-20</t>
  </si>
  <si>
    <t>RENT/16/SANCTION/2019-20 dated 26.08.2019</t>
  </si>
  <si>
    <t xml:space="preserve">DGGST, WZU, Mumbai </t>
  </si>
  <si>
    <t>Rs. 14,54,436/-p.m.
Rs.1,74,53,232/- p.a.
Rs.5,23,59,696/- for 3 years</t>
  </si>
  <si>
    <t>Proposal for initial hiring of office space admeasuring  804 sq.mtrs. (8654 sq.ft.) carpet area located at 1  Aerocity,6th floor, CTS-669, Near MTNL Office,  Andheri Kurla Road, Andheri (E), Mumbai for the  office of DGGST, WZU, Mumbai</t>
  </si>
  <si>
    <t>924/14/Hiring/DGGST (WZU)/Mumbai/HRD/2019-20</t>
  </si>
  <si>
    <t>RENT/15/SANCTION/2019-20 dated 29.07.2019</t>
  </si>
  <si>
    <t>Pr. Commissioner of Cx. (East), Mumbai</t>
  </si>
  <si>
    <t>Rs. 5,54,20,490/- Revision's Arrears</t>
  </si>
  <si>
    <t>Revision of rent for office space at Madhu Industrial Estate, Worli Mumbai during the period from 03.06.2015 to 14.08.2016</t>
  </si>
  <si>
    <t>924/06/Hiring/Revision/Madhu Industrial Estate/Mumbai/HRD/17</t>
  </si>
  <si>
    <t>RENT/14/SANCTION/2019-20 dated 19.07.2019</t>
  </si>
  <si>
    <t xml:space="preserve">Commissioner of CGST and Central  Excise, Hawrah Commissionerate, Kolkata </t>
  </si>
  <si>
    <t>Rs. 4,04,606/-p.m.
Rs.48,55,272/- p.a.
Rs.2,42,76,360/- for 3 years</t>
  </si>
  <si>
    <t>Renewal of lease agreement for the rented office accommodation at 39, Rabindra Sarani, Kolkata w.e.f. 01.09.2017 to 31.08.2022.</t>
  </si>
  <si>
    <t xml:space="preserve">924/39/Hiring/Rabindra Sarani Kolkata/HRD/18
</t>
  </si>
  <si>
    <t>RENT/36/SANCTION/2019-20 dated 17.01.2020</t>
  </si>
  <si>
    <t xml:space="preserve">Audit-II  Commissionerate, Hyderabad </t>
  </si>
  <si>
    <t>Rs. 12,39,236/-p.m.
Rs.1,48,70,832/- p.a.
Rs.4,46,12,496/- for 3 years</t>
  </si>
  <si>
    <t xml:space="preserve">Proposal for initial hiring of office space for the Audit-II  Commissionerate, Hyderabad 
</t>
  </si>
  <si>
    <t>924/13/Hiring/Audit-II Comm’te/Hyderabad/HRD/2019-20</t>
  </si>
  <si>
    <t>RENT/12/SANCTION/2019-20 dated 08.07.2019</t>
  </si>
  <si>
    <t xml:space="preserve">Assistant Commissioner,
GST &amp; Central Excise,
Hqrs Office, Puducherry
</t>
  </si>
  <si>
    <t>Rs. 5,06,141/-p.m.
Rs.60,73,692/- p.a.
Rs.1,82,21,076/- for 3 years</t>
  </si>
  <si>
    <t xml:space="preserve">Reassessment of office premises of the Vijayawada  CGST Division w.e.f. 03.11.2018 to 02.11.2021.
</t>
  </si>
  <si>
    <t>924/15/Hiring/Div.I&amp;II/Vijawada/HRD/2019-20</t>
  </si>
  <si>
    <t>RENT/11/SANCTION/2019-20 dated 17.06.2019</t>
  </si>
  <si>
    <t>Commissioner, CGST, Mumbai West, Mumbai</t>
  </si>
  <si>
    <t>Rs. 8,35,60,104/- Arrears</t>
  </si>
  <si>
    <t>Request for revision of rent by M/s Samant Associates &amp; Others, Goregaon (East), Mumbai for the period from 02.12.2012 to 01.12.2015 and for the period from 02.12.2015 to 01.12.2018 in respect of premises known as Unit Nos. A-101, A-201, A-301 &amp; A-401 in building Takshashila situated as 1-Samant Estate, Goregaon (East), Mumbai</t>
  </si>
  <si>
    <t xml:space="preserve">924/47/Hiring/Mumbai/HRD/19
</t>
  </si>
  <si>
    <t>RENT/10/SANCTION/2019-20 dated 30.05.2019</t>
  </si>
  <si>
    <t>DGHRD, Saket, New Delhi</t>
  </si>
  <si>
    <t>Rs. 57,88,630/-p.m.
Rs.6,94,63,560/- p.a.
Rs.20,83,90,680/- for 3 years</t>
  </si>
  <si>
    <t xml:space="preserve">Proposal for hiring of office space for DGHRD (I&amp;W  and EMC Wings), Saket, New Delhi @ Rs. 310/- per sq.ft. Per month. W.e.f. 01.10.2019 to 31.09.2022
</t>
  </si>
  <si>
    <t xml:space="preserve">924/09/Hiring/DGHRD/IRCON/HRD/2019-20
</t>
  </si>
  <si>
    <t>RENT/09/SANCTION/2019-20 dated 30.05.2019</t>
  </si>
  <si>
    <t xml:space="preserve">Commissioner of CGST and Central Excise, Palghar </t>
  </si>
  <si>
    <t>Rs. 5,49,889/-p.m.
Rs.65,98,668/- p.a.
Rs.3,29,93,340/- for 5 years</t>
  </si>
  <si>
    <t>Renewal of lease agreement for the office accommodation of Vasai Division-I &amp; II, CGST Palghar at 1st and 2nd floors at Vimal Shopping Centre, Vasai</t>
  </si>
  <si>
    <t>924/38/Hiring/Vasai/Thane-II/HRD/18</t>
  </si>
  <si>
    <t>RENT/08/SANCTION/2019-20 dated 30.05.2019</t>
  </si>
  <si>
    <t xml:space="preserve">DGGI, Ahmedabad 
                      Zonal Unit
</t>
  </si>
  <si>
    <t>Rs. 8,85,916/-p.m.
Rs.1,06,30,992/- p.a.
Rs.3,18,92,976/- for 3 years</t>
  </si>
  <si>
    <t xml:space="preserve">Hiring of New Office premises for DGGI, Ahmedabad Zonal Unit 
</t>
  </si>
  <si>
    <t>924/01/Hiring/DGGI/Ahmedabad Z.U./HRD/2019-20</t>
  </si>
  <si>
    <t>RENT/07/SANCTION/2019-20 dated 09.05.2019</t>
  </si>
  <si>
    <t>Commissioner, GST Commissionerate, Jalandhar (Hqrs Office Building) at Jalandhar</t>
  </si>
  <si>
    <t>Rs. 6,28,320/-p.m.
Rs.75,39,840/- p.a.
Rs.2,26,19,520/- for 3 years</t>
  </si>
  <si>
    <t>Proposal for initial hiring of office accommodation for GST Commissionerate, Jalandhar (Hqrs Office Building) at Jalandhar</t>
  </si>
  <si>
    <t>924/45/Hiring/GST (Hqrs Office)/Jalandhar/HRD/19</t>
  </si>
  <si>
    <t>RENT/06/SANCTION/2019-20 dated 08.05.2019</t>
  </si>
  <si>
    <t>GST Audit Commissionerate (Hqrs Office Building), Ludhiana</t>
  </si>
  <si>
    <t>Rs. 5,01,498/-p.m.
Rs.60,17,976/- p.a.
Rs.1,80,53,928/- for 3 years</t>
  </si>
  <si>
    <t xml:space="preserve">Proposal for initial hiring of office accommodation for GST Audit Commissionerate (Hqrs Office Building), Ludhiana </t>
  </si>
  <si>
    <t>924/21/Hiring/GST Audit (Hqrs Office)/Ludhiana/HRD/18</t>
  </si>
  <si>
    <t>RENT/05/SANCTION/2019-20 dated 17.05.2019</t>
  </si>
  <si>
    <t>Commissioner of Customs (Prev.),  5th Floor, Catholic Center, Broadway, Cochin-682031</t>
  </si>
  <si>
    <t>Rs. 4,29,464/-p.m.
Rs.51,53,568/- p.a.
Rs.1,54,60,704/- for 3 years</t>
  </si>
  <si>
    <t xml:space="preserve">Renewal of office space of Customs (Prev.) Commissionerate Headquarters office and Customs   (Prev.) Division, Catholic Centre, Broadway, Cochin w.e.f. 01.07.2019 to 30.06.2022
</t>
  </si>
  <si>
    <t>924/35/Hiring/Revision/Cochin/HRD/18</t>
  </si>
  <si>
    <t>RENT/04/SANCTION/2019-20 dated 07.05.2019</t>
  </si>
  <si>
    <t>Commissioner of Central Goods &amp; Services Tax, Noida-II</t>
  </si>
  <si>
    <t>Rs. 17,82,000/-p.m.
Rs.2,13,84,000/- p.a.
Rs.6,41,52,000/- for 3 years</t>
  </si>
  <si>
    <t xml:space="preserve">Renewal of lease agreement for a lease period of three years hiring of office space measuring 30,000 sq.ft. (carpet aera) on 3rd floor at Wegmans Business Park, Knowledge Park-III, Greater Noida w.e.f. 01.12.2018 to 30.11.2021
</t>
  </si>
  <si>
    <t xml:space="preserve">924/31/Hiring/Noida-II/Revision/HRD/18
</t>
  </si>
  <si>
    <t>RENT/03/SANCTION/2019-20 dated 01.05.2019</t>
  </si>
  <si>
    <t>Pr. CommissionerCGST &amp; Central Excise, Mumbai South</t>
  </si>
  <si>
    <t>Rs. 1,41,13,332 /- p.m.
Rs.16,93,59,984/- p.a.
Rs.50,80,79,952/- for 3 years</t>
  </si>
  <si>
    <t>Administrative approval and expenditure sanction for reneal of lease agreement for continued hiring of office premises at Air India Building, nariman Point, Mumbai w.e.f. 22.05.2018 to 21.05.2021</t>
  </si>
  <si>
    <t>924/50/Hiring/CGST/Mumbai/HRD/19</t>
  </si>
  <si>
    <t>RENT/02/SANCTION/2019-20 dated 01.05.2019</t>
  </si>
  <si>
    <t>Commissioner, CGST &amp; Central Excise, Mumbai Central</t>
  </si>
  <si>
    <t>Rs. 83,47,498 /- p.m.
Rs.10,01,69,976/- p.a.
Rs.30,05,09,928/- for 3 years</t>
  </si>
  <si>
    <t>Grant of administrsative approval and expenditure sanction for rent revision of office premises at Piramal Chambers, Mumbai of Central Excise, Mumbai-II for the period from 01.09.2017 to 31.08.2020</t>
  </si>
  <si>
    <t>924/27/Hiring/Piramal Chambers/Mumbai-II/HRD/18</t>
  </si>
  <si>
    <t>RENT/01/SANCTION/2019-20 dated 16.04.2019</t>
  </si>
  <si>
    <t>GST &amp; Central Excise, Division-I,II &amp; II of Puducherry</t>
  </si>
  <si>
    <t>Rs. 1,64,500 /- p.m.
Rs.19,74,000/- p.a.
Rs.59,22,000/- for 3 years</t>
  </si>
  <si>
    <t xml:space="preserve">Administrative approval and expenditure sanction towards hiring of premises at rate exceeding the limit of Rs. 1.5 lakhs to Puducherry Commissionerate w.e.f. 01.01.2018 to 31.12.2020
</t>
  </si>
  <si>
    <t>924/44/Hiring/Puducherry/Chennai/HRD/19</t>
  </si>
  <si>
    <r>
      <t xml:space="preserve">924/05/Hiring/Dev Divine/Jamnagar Cus (Prev.)/HRD/2019-20
</t>
    </r>
    <r>
      <rPr>
        <b/>
        <sz val="11"/>
        <color rgb="FF000000"/>
        <rFont val="Bookman Old Style"/>
        <family val="1"/>
      </rPr>
      <t>FTS 432723</t>
    </r>
  </si>
  <si>
    <r>
      <t>Undertaking given as per the directions of the Hon’ble High Court of Kerala dated 15.03.2019 in Contempt Petition No. 320 of 2019 &amp; 296 of  2019 by M/s Atul Automation Pvt. Ltd. &amp; M/s Parag Domestic Appliances-Approval &amp; Sanction for payment of</t>
    </r>
    <r>
      <rPr>
        <b/>
        <sz val="11"/>
        <color theme="1"/>
        <rFont val="Bookman Old Style"/>
        <family val="1"/>
      </rPr>
      <t xml:space="preserve"> demurrage charges</t>
    </r>
  </si>
  <si>
    <r>
      <t xml:space="preserve">924/20/Hiring/Warehouse Rent/NCH/Delhi/2019-20
</t>
    </r>
    <r>
      <rPr>
        <b/>
        <sz val="11"/>
        <rFont val="Bookman Old Style"/>
        <family val="1"/>
      </rPr>
      <t>FTS 422754</t>
    </r>
  </si>
  <si>
    <r>
      <t xml:space="preserve">924/31/Hiring/DRI/Guwahati Z.U./HRD/2019-20
</t>
    </r>
    <r>
      <rPr>
        <b/>
        <sz val="11"/>
        <rFont val="Bookman Old Style"/>
        <family val="1"/>
      </rPr>
      <t>FTS 429397</t>
    </r>
  </si>
  <si>
    <r>
      <t xml:space="preserve">(i) Payment of insurance charges and enhanced storage charges.
(ii) Approval of enhanced storage charges of Central Warehousing Corporation (CWC) godown hired by the Delhi Customs </t>
    </r>
    <r>
      <rPr>
        <b/>
        <sz val="11"/>
        <color theme="1"/>
        <rFont val="Bookman Old Style"/>
        <family val="1"/>
      </rPr>
      <t>(Arrears)</t>
    </r>
  </si>
  <si>
    <r>
      <t xml:space="preserve">924/40/Hiring/GST/Audit/Gurugram/HRD/2019-20
</t>
    </r>
    <r>
      <rPr>
        <b/>
        <sz val="11"/>
        <color rgb="FF000000"/>
        <rFont val="Bookman Old Style"/>
        <family val="1"/>
      </rPr>
      <t>FTS 439051</t>
    </r>
  </si>
  <si>
    <t>924/53/Hiring/CWC Vashi/Mumbai/HRD/2019-20</t>
  </si>
  <si>
    <t xml:space="preserve">Approval of rent towards storage charges of seized goods at CWC, Vashi
</t>
  </si>
  <si>
    <t xml:space="preserve">Rs.3,70,524/-p.m.
Rs.44,46,288/- p.a.
</t>
  </si>
  <si>
    <t xml:space="preserve">Commissioner of Customs (Prev.),Customs House, Ballard Estate, Mumbai </t>
  </si>
  <si>
    <t>924 sq.mtrs.</t>
  </si>
  <si>
    <t>RENT/38/SANCTION/2019-20 dated 21.02..2020</t>
  </si>
  <si>
    <r>
      <t xml:space="preserve">924/35/Hiring/Div. &amp; Range/Visakhapatnam/HRD/2019-20
</t>
    </r>
    <r>
      <rPr>
        <b/>
        <sz val="10"/>
        <color rgb="FF000000"/>
        <rFont val="Bookman Old Style"/>
        <family val="1"/>
      </rPr>
      <t>FTS 432881</t>
    </r>
  </si>
  <si>
    <t>Administrative approval &amp; sanction for rent in respect of hired building for North CGST Division and its range officers, Visakhapatnam</t>
  </si>
  <si>
    <t>North CGST Division and its range officers, Visakhapatnam</t>
  </si>
  <si>
    <t>Rs.4,37,848/-p.m.
Rs.52,44,176/- p.a.
Rs. 1,57,62,528/- for 3 years</t>
  </si>
  <si>
    <t>List of Proposal relating to hiring of initial/revision of rent sanctioned by the Ministry  1st April 2019 to 31 March, 2020</t>
  </si>
  <si>
    <t>RENT/39/SANCTION/2019-20 dated 06.03.2020</t>
  </si>
  <si>
    <r>
      <t xml:space="preserve">924/65/Hiring/Div-II&amp;III &amp; Range/Visakhapatnam/HRD/2019-20
</t>
    </r>
    <r>
      <rPr>
        <b/>
        <sz val="10"/>
        <color rgb="FF000000"/>
        <rFont val="Bookman Old Style"/>
        <family val="1"/>
      </rPr>
      <t xml:space="preserve">FTS 449263  </t>
    </r>
  </si>
  <si>
    <t>Rs.2,48,000/-p.m.
Rs.29,76,000/- p.a.
Rs. 89,28,000/- for 3 years</t>
  </si>
  <si>
    <t>CGST Central Division and its range offices of Visakhapatnam Commissionerate</t>
  </si>
  <si>
    <t>RENT/40/SANCTION/2019-20 dated 18.03.2020</t>
  </si>
  <si>
    <t>Administrative approval &amp; sanction for revision of rent in respect of hired building for Visakhapatnam CGST Division-II &amp; III and its 10 Range offices
(w.e.f. 25.11.2019 to 24.11.2022)</t>
  </si>
  <si>
    <t>Rs. 43,05,300 /- p.m.
Rs.5,16,63,600/- p.a.
Rs.15,49,90,800/- for 3 years</t>
  </si>
  <si>
    <t>RENT/01/SANCTION/2020-21 dated 18.05.2020</t>
  </si>
  <si>
    <t xml:space="preserve">Proposal for hiring of new office premises for the offices of the Delhi Zonal Unit, ADG (Adjudication) and Camp Office of Director General (North) of the Directorate General of Goods and Services Tax Intelligence (DGGI) located at 1st &amp; 2nd floor of MTNL Building, Sector-6, Dwarka, New Delhi.
</t>
  </si>
  <si>
    <t>Delhi Zonal Unit, ADG (Adjudication) and Camp Office of Director General (North), New Delhi</t>
  </si>
  <si>
    <t>8/B/10(147)/HRD/EMC/2018</t>
  </si>
  <si>
    <t>Commissioner, CGST, Surat</t>
  </si>
  <si>
    <t>RENT/02/SANCTION/2020-21 dated 19.05.2020</t>
  </si>
  <si>
    <t xml:space="preserve">Range offices of Division-IV &amp; V, CGST, Palghar </t>
  </si>
  <si>
    <t>Renewal of lease agreement for the office accommodation for Range offices of Division-IV &amp; V, CGST, Palghar at Sai Shopping Complex, Chitralaya, MIDC, Boisar (W), District-Palghar W.E.F. 01.11.2018 TO 31.10.2021</t>
  </si>
  <si>
    <t>Rs. 4,72,750/- p.m.
Rs.56,73,000/- p.a.
Rs.1,70,19,000/- for 3 years</t>
  </si>
  <si>
    <t>RENT/03/SANCTION/2020-21 dated 22.05.2020</t>
  </si>
  <si>
    <t xml:space="preserve">DRI, Indore Zonal Unit </t>
  </si>
  <si>
    <t>RENT/04/SANCTION/2020-21 dated 22.05.2020</t>
  </si>
  <si>
    <t>Rs. 3,05,922/- p.m.
Rs.36,71,064/- p.a.
Rs.1,10,13,192/- for 3 years</t>
  </si>
  <si>
    <t>Proposal for hiring of office premises for DRI, Indore Zonal Unit located at BSNL Building, Transport Nagar, T.E. Campus, Indore</t>
  </si>
  <si>
    <t>Commissioner of GST &amp; Central Excise, Audit Raigad, Navi Mumbai</t>
  </si>
  <si>
    <t>Enhancement of rent of office accommodation of occupied by the HRM-I Wing of DGHRD at Bhai Vir Singh Sahitya Sadan, Gole Market, New Delhi</t>
  </si>
  <si>
    <t xml:space="preserve">(HRM-I), DGHRD, Rajendra Place, New Delhi </t>
  </si>
  <si>
    <t>RENT/05/SANCTION/2020-21 dated 22.05.2020</t>
  </si>
  <si>
    <t>RENT/06/SANCTION/2020-21 dated 27.05.2020</t>
  </si>
  <si>
    <t>Rs. 34,26,119/- p.m.
Rs.20556714/- for six months</t>
  </si>
  <si>
    <t>List of Proposal relating to hiring of initial/revision of rent sanctioned by the Ministry  24th December, 2019 to 31st March, 2020</t>
  </si>
  <si>
    <r>
      <t xml:space="preserve">Rs. 8862064/- </t>
    </r>
    <r>
      <rPr>
        <b/>
        <sz val="10"/>
        <color theme="1"/>
        <rFont val="Bookman Old Style"/>
        <family val="1"/>
      </rPr>
      <t>(arrears)</t>
    </r>
  </si>
  <si>
    <r>
      <t>Renewal of lease for space hired at Vashi, MTNL Building</t>
    </r>
    <r>
      <rPr>
        <b/>
        <sz val="10"/>
        <color rgb="FF000000"/>
        <rFont val="Bookman Old Style"/>
        <family val="1"/>
      </rPr>
      <t xml:space="preserve"> </t>
    </r>
    <r>
      <rPr>
        <sz val="10"/>
        <color rgb="FF000000"/>
        <rFont val="Bookman Old Style"/>
        <family val="1"/>
      </rPr>
      <t xml:space="preserve">(Rs. 34,26,119/- per month for the period from October, 2019 to March, 2020) </t>
    </r>
  </si>
  <si>
    <t>List of Proposal relating to hiring of initial/revision of rent sanctioned by the Ministry  1st April 2019 to 07th Feb., 2020</t>
  </si>
  <si>
    <t>Commissioner, CGST, Delhi (West) {Divisional Office of Mundka, Mangolpuri, Rohini and Pitampura}</t>
  </si>
  <si>
    <t>Renewal of lease agreement for continued hiring opf office space admeasuring 11921.28 sq.ft. carpet area located at 4th &amp; 7th floor, ambedkar Bhawan, Sector-16, Rohini, New Delhi owned by M/s DSFDC (A Government of NCT of Delhi Undertaing) for Divisional Office of Mundka, Mangolpuri, Rohini and Pitampura under Delhi (West) GST &amp; Central Excise Commissioenrate</t>
  </si>
  <si>
    <t>Rs. 7,42,656/- p.m.
Rs.89,11,872/- p.a.
Rs.2,67,35,616/- for 3 years</t>
  </si>
  <si>
    <t>Rs. 19,67,500/- p.m.
Rs.2,36,10,000/- p.a.
Rs.7,08,30,000/- for 3 years</t>
  </si>
  <si>
    <t>RENT/08/SANCTION/2020-21 dated 06.08.2020</t>
  </si>
  <si>
    <r>
      <t>924/67/Hiring/</t>
    </r>
    <r>
      <rPr>
        <b/>
        <sz val="10"/>
        <color rgb="FF000000"/>
        <rFont val="Bookman Old Style"/>
        <family val="1"/>
      </rPr>
      <t>DGGI/DZU/Delhi</t>
    </r>
    <r>
      <rPr>
        <sz val="10"/>
        <color rgb="FF000000"/>
        <rFont val="Bookman Old Style"/>
        <family val="1"/>
      </rPr>
      <t>/HRD/2019-20</t>
    </r>
  </si>
  <si>
    <r>
      <t>924/39/Hiring/</t>
    </r>
    <r>
      <rPr>
        <b/>
        <sz val="10"/>
        <color rgb="FF000000"/>
        <rFont val="Bookman Old Style"/>
        <family val="1"/>
      </rPr>
      <t>Boisar (W)/Palghar/Mumbai</t>
    </r>
    <r>
      <rPr>
        <sz val="10"/>
        <color rgb="FF000000"/>
        <rFont val="Bookman Old Style"/>
        <family val="1"/>
      </rPr>
      <t xml:space="preserve">/HRD/2019-20
</t>
    </r>
  </si>
  <si>
    <r>
      <t xml:space="preserve">Grant of administrsative approval and expenditure sanction for payment of outstanding rent to </t>
    </r>
    <r>
      <rPr>
        <b/>
        <sz val="10"/>
        <color rgb="FF000000"/>
        <rFont val="Bookman Old Style"/>
        <family val="1"/>
      </rPr>
      <t xml:space="preserve">M/s Central Warehousing Corporation (CWC), </t>
    </r>
    <r>
      <rPr>
        <sz val="10"/>
        <color rgb="FF000000"/>
        <rFont val="Bookman Old Style"/>
        <family val="1"/>
      </rPr>
      <t>Umbergaon after apopropriation of sale proceeds as per Section-150 (2) of Customs Act, 1962.</t>
    </r>
  </si>
  <si>
    <r>
      <t>924/43/Hiring</t>
    </r>
    <r>
      <rPr>
        <b/>
        <sz val="10"/>
        <color rgb="FF000000"/>
        <rFont val="Bookman Old Style"/>
        <family val="1"/>
      </rPr>
      <t>/DRI/Indore Z.U./</t>
    </r>
    <r>
      <rPr>
        <sz val="10"/>
        <color rgb="FF000000"/>
        <rFont val="Bookman Old Style"/>
        <family val="1"/>
      </rPr>
      <t xml:space="preserve">HRD/2019-20
</t>
    </r>
  </si>
  <si>
    <r>
      <t>924/07/Hiring/</t>
    </r>
    <r>
      <rPr>
        <b/>
        <sz val="10"/>
        <color rgb="FF000000"/>
        <rFont val="Bookman Old Style"/>
        <family val="1"/>
      </rPr>
      <t>Mumbai-II (Audit)</t>
    </r>
    <r>
      <rPr>
        <sz val="10"/>
        <color rgb="FF000000"/>
        <rFont val="Bookman Old Style"/>
        <family val="1"/>
      </rPr>
      <t>/HRD/15</t>
    </r>
  </si>
  <si>
    <r>
      <t>924/55/Hiring/</t>
    </r>
    <r>
      <rPr>
        <b/>
        <sz val="10"/>
        <color rgb="FF000000"/>
        <rFont val="Bookman Old Style"/>
        <family val="1"/>
      </rPr>
      <t>HRM-I/DGHRD/New Delhi</t>
    </r>
    <r>
      <rPr>
        <sz val="10"/>
        <color rgb="FF000000"/>
        <rFont val="Bookman Old Style"/>
        <family val="1"/>
      </rPr>
      <t>/HRD/2019-20</t>
    </r>
  </si>
  <si>
    <r>
      <t>924/24/Hiring/</t>
    </r>
    <r>
      <rPr>
        <b/>
        <sz val="10"/>
        <rFont val="Bookman Old Style"/>
        <family val="1"/>
      </rPr>
      <t>Rohini Div./Delhi (West)</t>
    </r>
    <r>
      <rPr>
        <sz val="10"/>
        <rFont val="Bookman Old Style"/>
        <family val="1"/>
      </rPr>
      <t>/HRD/2019-20</t>
    </r>
  </si>
  <si>
    <t xml:space="preserve">Approval of enhanced storage charges of CWC godowns hired by Delhi Customs
</t>
  </si>
  <si>
    <t xml:space="preserve">Pr. Commissioner of Customs Preventive, New Customs House, New Delhi </t>
  </si>
  <si>
    <t>(i) 1100 sq.m. X 430= 473000 p.m.
Rs. 5676000 p.a.
(ii) 1095 X 430 = Rs. 4,70,850 p.m.
Rs. 65,50,200/- p.a.</t>
  </si>
  <si>
    <t>RENT/10/SANCTION/2020-21 dated 21.09.2020</t>
  </si>
  <si>
    <t>924/01/Hiring/CGST/Thane/HRD/2020-21</t>
  </si>
  <si>
    <t>Proposal for hiring five floors (1st (part) to 5th) from M/s J.E. Properties Pvt. Ltd. in their premises, viz. Accel House situated at Wagle Industrial Estate, Thane (W) for accommodating the Headquarters of CGST Thane TPS Commissionerate and Headquarters of CGST Thane Audit Commissionerate</t>
  </si>
  <si>
    <t xml:space="preserve">Commissioner of CGST &amp; C.Ex, Thane </t>
  </si>
  <si>
    <t>RENT/11/SANCTION/2020-21 dated 14.10.2020</t>
  </si>
  <si>
    <t>Rs. 19,11,775/- p.m.
Rs. 2,29,41,300/- p.a.
Rs. 6,88,23,900/- for 3 years</t>
  </si>
  <si>
    <t xml:space="preserve">924/02/Hiring/CGST Audit-II/Mumbai/HRD/2020-21    </t>
  </si>
  <si>
    <t>RENT/12/SANCTION/2020-21 dated 14.10.2020</t>
  </si>
  <si>
    <t>Rs. 43,27,120/- p.m.
Rs. 5,19,25,440/- p.a.
Rs. 15,57,76,320/- for 3 years</t>
  </si>
  <si>
    <t xml:space="preserve">Commissioner GST (Audit-II), Mumbai </t>
  </si>
  <si>
    <t>924/03/Hiring/DG (Vig.)/Revision/HRD/2020-21</t>
  </si>
  <si>
    <t>Rs. 59,09,156/- p.m.
Rs. 7,09,09,872/- p.a.
,</t>
  </si>
  <si>
    <t>Proposal for revision of rent for the premises occupied by the office of DG Vigilance at 2nd&amp; 3rd floors of Hotel Samrat, Chanakyapuri, New Delhi w.e.f. 28.10.2019 to 27.10.2020</t>
  </si>
  <si>
    <t xml:space="preserve">Directorate General of Vigilance, New Delhi </t>
  </si>
  <si>
    <t>RENT/13/SANCTION/2020-21 dated 15.10.2020</t>
  </si>
  <si>
    <t>New File-InW/Hir/IP/CGST/6/2020-HRNG
Old File-924/17/Hiring/CGST/Thane Rural/HRD/2019-20</t>
  </si>
  <si>
    <r>
      <t xml:space="preserve">Proposal for hiring of new office space in Kalyan, Mumbai </t>
    </r>
    <r>
      <rPr>
        <b/>
        <sz val="10"/>
        <color theme="1"/>
        <rFont val="Bookman Old Style"/>
        <family val="1"/>
      </rPr>
      <t xml:space="preserve">for the Divisional office premises </t>
    </r>
    <r>
      <rPr>
        <sz val="10"/>
        <color theme="1"/>
        <rFont val="Bookman Old Style"/>
        <family val="1"/>
      </rPr>
      <t>of CGST &amp; C.Ex., Thane Rural Commissionerate</t>
    </r>
  </si>
  <si>
    <t>Rs. 11,08,454/- p.m.
Rs. 1,33,01,448/- p.a.
Rs. 3,99,04,344/- for 3 years</t>
  </si>
  <si>
    <t>Divisional office premises of CGST &amp; C.Ex., Thane Rural Commissionerate</t>
  </si>
  <si>
    <t>Renewal of Leave &amp; License agreement between CGST Audit-II Mumbai Commissionerate for office space at 30th floor, Centre-1, World Trade Centre, Cuffee parade, Mumbai-400005 owned by M/s MVIRDC W.E.F. 10.02.2019 TO 09.02.2022.</t>
  </si>
  <si>
    <t>Hiring Delhi Proposal Sanctioned</t>
  </si>
  <si>
    <t>F</t>
  </si>
  <si>
    <t>A</t>
  </si>
  <si>
    <t>R</t>
  </si>
  <si>
    <t>924/03/Hiring/Delhi-II (Div.-V)/HRD/15</t>
  </si>
  <si>
    <r>
      <t xml:space="preserve">Proposal for renewal of lease agreement of hiring in r/o Building No. </t>
    </r>
    <r>
      <rPr>
        <b/>
        <sz val="11"/>
        <color theme="1"/>
        <rFont val="Bookman Old Style"/>
        <family val="1"/>
      </rPr>
      <t>C-19, DDA Community Centre, Janakpuri, New Delhi</t>
    </r>
    <r>
      <rPr>
        <sz val="11"/>
        <color theme="1"/>
        <rFont val="Bookman Old Style"/>
        <family val="1"/>
      </rPr>
      <t xml:space="preserve"> occupied by Division-V, Delhi-II Commissionerate (w.e.f. 01.04.2014 to 31.03.2017)</t>
    </r>
  </si>
  <si>
    <t>Rs. 4,17,774/- p.m.  
Rs.5013288/- p.a.
Rs. 1,50,39,864/- for 3 years</t>
  </si>
  <si>
    <t>Commr. Of C.Ex., Delhi-II Comm'te</t>
  </si>
  <si>
    <r>
      <t xml:space="preserve">Rent/04/2015-16 Sanction Dated 26.03.2015   and further </t>
    </r>
    <r>
      <rPr>
        <b/>
        <sz val="11"/>
        <color theme="1"/>
        <rFont val="Bookman Old Style"/>
        <family val="1"/>
      </rPr>
      <t xml:space="preserve">corrigendum </t>
    </r>
    <r>
      <rPr>
        <sz val="11"/>
        <color theme="1"/>
        <rFont val="Bookman Old Style"/>
        <family val="1"/>
      </rPr>
      <t xml:space="preserve">dated 28.04.2015 </t>
    </r>
  </si>
  <si>
    <t>(i) 924/62/Hiring/S.Tax Delhi I/HRD/15
(ii) 924/73/Hiring/S.Tax-II/Delhi/HRD/15</t>
  </si>
  <si>
    <r>
      <t xml:space="preserve">A/a &amp; e/s for initial hiring of office space measuring 12480 sq.ft. from </t>
    </r>
    <r>
      <rPr>
        <b/>
        <sz val="11"/>
        <color theme="1"/>
        <rFont val="Bookman Old Style"/>
        <family val="1"/>
      </rPr>
      <t>M/s National Seeds Corporation Ltd., 14-15, 5th Floor Farm Bhawan, Nehru Place, New Delhi (Fresh for 3 years)</t>
    </r>
  </si>
  <si>
    <t>Rs. 10,48,320/- p.m.
Rs. 1,25,79,840/- p.a.
Rs.3,77,39,520/- for three years</t>
  </si>
  <si>
    <t>Pr. Commr. Of S.Tax-II Comm'te, New Delhi</t>
  </si>
  <si>
    <t>Rent/51/2015-16 Sanction Dated 16.02.2016</t>
  </si>
  <si>
    <t>924/54/Hiring/S.Tax Delhi/HRD/15</t>
  </si>
  <si>
    <r>
      <t xml:space="preserve">A/a &amp; e/s to hire additional office space at </t>
    </r>
    <r>
      <rPr>
        <b/>
        <sz val="11"/>
        <color theme="1"/>
        <rFont val="Bookman Old Style"/>
        <family val="1"/>
      </rPr>
      <t>3rd floor, Jeevan Vihar Building, Parliament Street, New Delhi (Fresh for 5 years)</t>
    </r>
  </si>
  <si>
    <t>Rs. 12,57,250/- p.m.
Rs.1,50,87,000/- p.a.
Rs.7,54,35,000/- for five years</t>
  </si>
  <si>
    <t>Commr. Of S.Tax,Delhi-I, New Delhi</t>
  </si>
  <si>
    <t>Rent/58/2015-16 Sanction Dated 10.03.2016</t>
  </si>
  <si>
    <t>924/95/Hiring/DG-GST/Delhi/HRD/15</t>
  </si>
  <si>
    <r>
      <t xml:space="preserve">Proposal for initial hiring office space at </t>
    </r>
    <r>
      <rPr>
        <b/>
        <sz val="11"/>
        <color theme="1"/>
        <rFont val="Bookman Old Style"/>
        <family val="1"/>
      </rPr>
      <t>6th floor, MTNL  Building, Bhikaji Cama Place, New Delhi (Change floor 6th to 5th Floor) (Fresh for 3 years)</t>
    </r>
  </si>
  <si>
    <t>Rs. 25,09,610/- p.m.  
Rs.30115320/- p.a.
Rs. 9,03,50,352/-for 3 years</t>
  </si>
  <si>
    <t>Director General of Goods and S.Tax, New Delhi</t>
  </si>
  <si>
    <r>
      <t xml:space="preserve">Rent/16/2016-17-SANCTION dated 02.08.2016
</t>
    </r>
    <r>
      <rPr>
        <b/>
        <sz val="11"/>
        <color theme="1"/>
        <rFont val="Bookman Old Style"/>
        <family val="1"/>
      </rPr>
      <t>Rent/22/2016-17-SANCTION dated 26.08.2016</t>
    </r>
  </si>
  <si>
    <t>924/07/Hiring/Delhi-II (Div-VIII)/HRD /14</t>
  </si>
  <si>
    <r>
      <t xml:space="preserve">A/a &amp; e/s for rent revision of rent in respect of office space hired at </t>
    </r>
    <r>
      <rPr>
        <b/>
        <sz val="11"/>
        <color theme="1"/>
        <rFont val="Bookman Old Style"/>
        <family val="1"/>
      </rPr>
      <t>Scope Minar, South Tower, Core-V, 1st Floor, Laxmi Nagar, District Cetre, Delhi-92</t>
    </r>
    <r>
      <rPr>
        <sz val="11"/>
        <color theme="1"/>
        <rFont val="Bookman Old Style"/>
        <family val="1"/>
      </rPr>
      <t xml:space="preserve"> for a period of 3 years from </t>
    </r>
    <r>
      <rPr>
        <b/>
        <sz val="11"/>
        <color theme="1"/>
        <rFont val="Bookman Old Style"/>
        <family val="1"/>
      </rPr>
      <t xml:space="preserve">10.11.2013 to 10.11.2016 </t>
    </r>
    <r>
      <rPr>
        <sz val="11"/>
        <color theme="1"/>
        <rFont val="Bookman Old Style"/>
        <family val="1"/>
      </rPr>
      <t>(M/s Gujarat State Fertilizers &amp; Chemicals Limited (GSFC Ltd.) occupied by Division-VIII of C.Ex. Comm’te, Delhi-II</t>
    </r>
  </si>
  <si>
    <t>Rs. 4,25,295/- p.m. 
Rs.5103540/- p.a.
Rs.1,53,10,620/- for 3 years</t>
  </si>
  <si>
    <t>C.Ex. Comm’te, Delhi-II</t>
  </si>
  <si>
    <t>Rent/25/2016-17 Sanction Dated 20.09.2016</t>
  </si>
  <si>
    <t>924/32/Hiring/EIL/S.Tax. Delhi/HRD/16</t>
  </si>
  <si>
    <r>
      <t xml:space="preserve">Proposal to initial hiring office space at </t>
    </r>
    <r>
      <rPr>
        <b/>
        <sz val="11"/>
        <color theme="1"/>
        <rFont val="Bookman Old Style"/>
        <family val="1"/>
      </rPr>
      <t>EIL Annexe Building, Bhikaji Complex, New Delhi for entire Service Tax Delhi</t>
    </r>
    <r>
      <rPr>
        <sz val="11"/>
        <color theme="1"/>
        <rFont val="Bookman Old Style"/>
        <family val="1"/>
      </rPr>
      <t xml:space="preserve"> Zone</t>
    </r>
  </si>
  <si>
    <t>Rs. 9281766/- p.m. 
Rs.111381192/- p.a.
Rs.334143576
for a 3 years.</t>
  </si>
  <si>
    <t>CC, Service Tax Delhi Zone</t>
  </si>
  <si>
    <t>Rent/30/2016-17 Sanction Dated 30.11.2016</t>
  </si>
  <si>
    <t>924/03/Hiring/Audit-I/Delhi/HRD/17</t>
  </si>
  <si>
    <t xml:space="preserve">A/a &amp; e/s for hiring of office space to be vacated by Service Tax-I Commissioenrate adeameasing 14690 sq.ft. (carpet area) located at Indian Ault EducationAssociation, Shafiq Memorial, IAEA House, 17-B Indrapastha Estate, New Delhi for Central Excise Audit-I Commissioernate. </t>
  </si>
  <si>
    <t>Rs. 10,48,886/- p.m. 
Rs.12586632/- p.a.
Rs.37759896/-
for 3 years</t>
  </si>
  <si>
    <t>Central Excise Audit-I Commissioernate.</t>
  </si>
  <si>
    <t>Rent/36/2016-17 Sanction Dated 16.03.2017</t>
  </si>
  <si>
    <t>924/35/Hiring/HRM/HRD/14</t>
  </si>
  <si>
    <r>
      <t xml:space="preserve">A/ A &amp; E/S for hiring of officce space measuring 12530 sq.ft. at </t>
    </r>
    <r>
      <rPr>
        <b/>
        <sz val="11"/>
        <color theme="1"/>
        <rFont val="Bookman Old Style"/>
        <family val="1"/>
      </rPr>
      <t>2nd floor (part) and 3rd floor owned by Bhai Vir Singh Sahitya Sadan, Gole Market, New Delhi</t>
    </r>
    <r>
      <rPr>
        <sz val="11"/>
        <color theme="1"/>
        <rFont val="Bookman Old Style"/>
        <family val="1"/>
      </rPr>
      <t>. (Fresh for 3 years)</t>
    </r>
  </si>
  <si>
    <t>A/a &amp; e/s of Rs. 15,90,425/- p.m. + S.Tax and Municipal Tax (Total rental outgo for 3 years Rs. 57255300)</t>
  </si>
  <si>
    <t>HRM, DGHRD, Saket, New Delhi</t>
  </si>
  <si>
    <t>Rent/14/2014-15 Sanction Dated 06.01.2015</t>
  </si>
  <si>
    <t>Rs. 4,28,677/- p.m.
Rs.5144124/- p.a.
(Arrears amout Rs. 74,62,243/-)</t>
  </si>
  <si>
    <t>A/a &amp; e/s s for revision of rent of the office space hired by the D'te of Legal Affairs located at  4th Floor,    Rajendra Bhawan Trust,Rajendra Bhawan, 210, Deen Dayal Upadhyay Marg, New Delhi</t>
  </si>
  <si>
    <t>A/a and e/s for renewal of lease deed and continued hiring of office premises occupied y DG (Systems &amp; Data Management) at 4th &amp; 5th floor (part), Hotel Samrat, Chanakyapuri, New Delhi for a period of two years w.e.f. 10.06.2017 to 09.06.2019</t>
  </si>
  <si>
    <t>Hiring of office accommodation for DRI (Hqrs.), New Delhi at Videsh Sanchar Bhawan, Bangla Sahib Road, New Delhi owned by M/s Tata Communications Ltd. (TCL)</t>
  </si>
  <si>
    <t xml:space="preserve">Hiring of office premises for the offices of DGARM,  DGEP, DIC, GST Investigation, Customs Investigation,  WCO &amp; NCTF
</t>
  </si>
  <si>
    <t xml:space="preserve">Proposal for hiring of office space for DGHRD (I&amp;W  and EMC Wings), Saket, New Delhi
</t>
  </si>
  <si>
    <t>Rs. 58,00,630/-p.m.
Rs.6,96,07,560/- p.a.
Rs.20,88,22,680/- for 5 years</t>
  </si>
  <si>
    <t xml:space="preserve"> TOTAL NO. OF PROPOSALS FOR HIRING/REVISION= 21
TOTAL NO. OF CASES OF REVALIDATION= 1
TOTAL AMOUNT OF SANCTION= Rs.1,51,09,79,735/-</t>
  </si>
  <si>
    <t>List of Proposal relating to initial hiring of rent sanctioned by the Ministry  in  (2017-18)</t>
  </si>
  <si>
    <t>Rs.10,56,493/- p.m. period from 28.10.2015 to 27.10.2017</t>
  </si>
  <si>
    <t>Fresh</t>
  </si>
  <si>
    <t>Rs. 2,06,000/- p.m. period for 3 years</t>
  </si>
  <si>
    <t>Chief Commr. of Cus. &amp; C.Ex., Visakhapatnam</t>
  </si>
  <si>
    <t>A/a &amp; e/s for continaution of hiring of office space a t a monthly rent of rs. 1,77,397/- + municipal tax and Service tax etc located at jande Park, Takli Road, Near Hotel Dwarka Audit Circles under Audit-II Aurangabad Comm'te.</t>
  </si>
  <si>
    <t>Rs. 1,77,397/- p.m.</t>
  </si>
  <si>
    <t>List of Proposal relating to hiring/ revision of rent sanctioned by the Ministry from 20.07.2017 to 03.11.2017</t>
  </si>
  <si>
    <t xml:space="preserve">Revision of rent for hired office accommodation in Savitri 
Complex-II (1st floor), Dada Motors, G.T.Road, Ludhiana (for 3 years w.e.f. 01.02.2016 to 31.01.2019) owned by Mr. Suraj Dada M/s Dada Motors &amp; others
</t>
  </si>
  <si>
    <t>Rs. 3,32,596/ p.m.+ tax, as applicable
Rs.3991152/- p.a.
Rs.11973456/- for 3 years</t>
  </si>
  <si>
    <t>Rs. 3,30,397/-p.m. + tax, as applicable
Rs.3964764/- p.a.
Rs.11894292/- for 3 years</t>
  </si>
  <si>
    <r>
      <rPr>
        <b/>
        <sz val="9"/>
        <color theme="1"/>
        <rFont val="Bookman Old Style"/>
        <family val="1"/>
      </rPr>
      <t xml:space="preserve">Revalidation </t>
    </r>
    <r>
      <rPr>
        <sz val="9"/>
        <color theme="1"/>
        <rFont val="Bookman Old Style"/>
        <family val="1"/>
      </rPr>
      <t>of A/a &amp; e/s No. RENT/17/2013-14-SANCTION/ dated 11.12.2013 for full amount of Rs. 21,23,327/- for apyment of surcharge for stacking of confiscated/seized goods to Tuticorin Port Trust.</t>
    </r>
  </si>
  <si>
    <t>Rs. 5,43,404/- p.m. + tax, as applicable
Rs.6520848/- p.a.
Rs.19562544/- for 3 years</t>
  </si>
  <si>
    <t>Rs.21,43,065/- p.m.+ tax, as applicable
Rs.2,57,16,780-/ p.a.
Rs.7,71,50,340/- for 3 years</t>
  </si>
  <si>
    <r>
      <t xml:space="preserve">Revision of rent for DGHRD located at </t>
    </r>
    <r>
      <rPr>
        <b/>
        <sz val="9"/>
        <color theme="1"/>
        <rFont val="Bookman Old Style"/>
        <family val="1"/>
      </rPr>
      <t>plot no. C-4,  West Wing, ground floor, IRCON Building, Saket New 
Delhi-110017</t>
    </r>
    <r>
      <rPr>
        <sz val="9"/>
        <color theme="1"/>
        <rFont val="Bookman Old Style"/>
        <family val="1"/>
      </rPr>
      <t xml:space="preserve"> for the period 01.11.2017 to 31.10.2020
</t>
    </r>
  </si>
  <si>
    <t>Rs. 27,92,170/- p.m. + tax, as applicable 
(Rs. 3,35,06,040/- p.a.. 
Rs.10,05,18,120/- for 3 years</t>
  </si>
  <si>
    <t>Rent/19/2017-18 Sanction Dated 27.10.2016</t>
  </si>
  <si>
    <t xml:space="preserve"> TOTAL NO. OF PROPOSALS FOR HIRING/REVISION= 18
TOTAL NO. OF CASES OF REVALIDATION= 1
TOTAL AMOUNT OF SANCTION= Rs.1,20,68,52,387/-</t>
  </si>
  <si>
    <t>RENT/14/SANCTION/2020-21 dated 19.10.2020</t>
  </si>
  <si>
    <t>RENT/15/SANCTION/2020-21 dated 19.11.2020</t>
  </si>
  <si>
    <t>InW/Hir/RP/CGST/3/2020-HRNG</t>
  </si>
  <si>
    <t>Commissioner of CGST &amp; CX, Mumbai West</t>
  </si>
  <si>
    <r>
      <rPr>
        <b/>
        <sz val="10"/>
        <color theme="1"/>
        <rFont val="Bookman Old Style"/>
        <family val="1"/>
      </rPr>
      <t xml:space="preserve">(i) </t>
    </r>
    <r>
      <rPr>
        <sz val="10"/>
        <color theme="1"/>
        <rFont val="Bookman Old Style"/>
        <family val="1"/>
      </rPr>
      <t xml:space="preserve">Rs. 26,57,401/- p.m.
Rs. 3,18,88,812/- p.a.
Rs. 9,56,66,436/- for 3 years (w.e.f. 01.01.2018 to 31.12.2020)
</t>
    </r>
    <r>
      <rPr>
        <b/>
        <sz val="10"/>
        <color theme="1"/>
        <rFont val="Bookman Old Style"/>
        <family val="1"/>
      </rPr>
      <t>(ii)</t>
    </r>
    <r>
      <rPr>
        <sz val="10"/>
        <color theme="1"/>
        <rFont val="Bookman Old Style"/>
        <family val="1"/>
      </rPr>
      <t xml:space="preserve"> Rs. 1,28,670/- p.m.
Rs. 15,44,044/- p.a.
Rs. 70,76,866/- for 04 years &amp; 07 months (w.e.f. 01.06.2016 to 31.12.2020)
</t>
    </r>
    <r>
      <rPr>
        <b/>
        <sz val="10"/>
        <color theme="1"/>
        <rFont val="Bookman Old Style"/>
        <family val="1"/>
      </rPr>
      <t>Grand Total= Rs. 102743302/-</t>
    </r>
  </si>
  <si>
    <r>
      <t xml:space="preserve">Proposal for revision of rent in respect of “Ground, First, Second and Third floor” for the period </t>
    </r>
    <r>
      <rPr>
        <b/>
        <sz val="10"/>
        <color theme="1"/>
        <rFont val="Bookman Old Style"/>
        <family val="1"/>
      </rPr>
      <t>(i)</t>
    </r>
    <r>
      <rPr>
        <sz val="10"/>
        <color theme="1"/>
        <rFont val="Bookman Old Style"/>
        <family val="1"/>
      </rPr>
      <t xml:space="preserve"> 2018-2020 (w.e.f. 01.01.2018 to 31.12.2020) (18635.35 sq.ft. @ Rs.142.60 psm) and “Basement” for the period </t>
    </r>
    <r>
      <rPr>
        <b/>
        <sz val="10"/>
        <color theme="1"/>
        <rFont val="Bookman Old Style"/>
        <family val="1"/>
      </rPr>
      <t xml:space="preserve">(ii) </t>
    </r>
    <r>
      <rPr>
        <sz val="10"/>
        <color theme="1"/>
        <rFont val="Bookman Old Style"/>
        <family val="1"/>
      </rPr>
      <t>2016-2020 (w.e.f. 01.06.2016 to 31.12.2020) (2453.20 sq.ft. @ Rs.52.45 psm) for ShriMahavir Jain Vidyalaya, Andhri (W), Mumbai</t>
    </r>
  </si>
  <si>
    <t>18635.35+ 2453.20= 21088.55</t>
  </si>
  <si>
    <t xml:space="preserve">924/56/Hiring/Revision/CWC/Delhi/HRD/2019-20/Pt.I
</t>
  </si>
  <si>
    <t>RENT/16/SANCTION/2020-21 dated 09.12.2020</t>
  </si>
  <si>
    <t>24 workstation</t>
  </si>
  <si>
    <t>New File-Inw/Hir/RP/CGST/8/2020-HRNG Old File-924/57/Hiring/Takshashila/Mumbai/HRD/2019-20</t>
  </si>
  <si>
    <t>Commissioner, Central GST, Mumbai West</t>
  </si>
  <si>
    <t>10282.85 and 652.84</t>
  </si>
  <si>
    <t>RENT/17/SANCTION/2020-21 dated 09.12.2020</t>
  </si>
  <si>
    <t>Rs. 13,89,267/- p.m.
Rs. 1,66,71,204/- p.a.
Rs. 5,00,13,612/- for 3 years</t>
  </si>
  <si>
    <r>
      <t xml:space="preserve">Proposal for revision of rent by M/s Samant Associates &amp; Others, Goregaon (East), Mumbai for the period from </t>
    </r>
    <r>
      <rPr>
        <b/>
        <sz val="10"/>
        <color rgb="FF000000"/>
        <rFont val="Bookman Old Style"/>
        <family val="1"/>
      </rPr>
      <t>02.12.2018 to 01.12.2021</t>
    </r>
    <r>
      <rPr>
        <sz val="10"/>
        <color rgb="FF000000"/>
        <rFont val="Bookman Old Style"/>
        <family val="1"/>
      </rPr>
      <t xml:space="preserve"> in respect of premises known as Unit Nos. A-101, A-201, A-301 &amp; A-401 in building Takshashila situated as 1-Samant Estate, Goregaon (East), Mumbai</t>
    </r>
  </si>
  <si>
    <t xml:space="preserve">New File InW/Hir/IP/CGST/4/2020-HRNG
Old File F.No.924/71/Hiring/CCA/Delhi/HRD/2019-20
</t>
  </si>
  <si>
    <t>Proposal for hiring of office accommodation for relocation of ARPIT IT Team of O/o the Pr. CCA, CBIC</t>
  </si>
  <si>
    <t>Rs. 18880/- X 24 per month
Rs. 5437440/- pa.</t>
  </si>
  <si>
    <t>Pr. Commissioner of CGST (Delhi North)</t>
  </si>
  <si>
    <t>New File InW/Hir/IP/CGST/6/2020-HRNG
Old File 924/17/Hiring/CGST/Thane Rural/HRD/2019-20</t>
  </si>
  <si>
    <t>Proposal for hiring of new office space in Kalyan, Mumbai for the Divisional office premises of CGST &amp; C.Ex., Thane Rural Commissionerate</t>
  </si>
  <si>
    <t>Pr. Commissioner, CGST, Thane Rural, Mumbai</t>
  </si>
  <si>
    <t>List of Proposal relating to hiring of initial/revision of rent sanctioned by the Ministry  1st April 2020 to 1st Feb., 2021</t>
  </si>
  <si>
    <t>InW/Hir/IP/DIR/5/2020-HRNG</t>
  </si>
  <si>
    <t>Proposal for administrative approval and expenditure sanction for initial hiring of office accommodation at Gurugram for DG (North), DGGI and DGGI, Gurugram Zonal Unit</t>
  </si>
  <si>
    <t>Rs. 14,78,198/- p.m.
Rs. 17738376/- p.a.
Rs. 5,32,15,128/- for 3 years</t>
  </si>
  <si>
    <t xml:space="preserve">DG (North), DGGI, Gurugram </t>
  </si>
  <si>
    <t>RENT/20/SANCTION/2020-21 dated 05.02.2021</t>
  </si>
  <si>
    <t>RENT/18/SANCTION/2020-21 dated 05.02.2021</t>
  </si>
  <si>
    <r>
      <rPr>
        <b/>
        <sz val="10"/>
        <color rgb="FF000000"/>
        <rFont val="Bookman Old Style"/>
        <family val="1"/>
      </rPr>
      <t>New File-InW/Hir/RP/DIR/2/2020-HRNG</t>
    </r>
    <r>
      <rPr>
        <sz val="10"/>
        <color rgb="FF000000"/>
        <rFont val="Bookman Old Style"/>
        <family val="1"/>
      </rPr>
      <t xml:space="preserve">
Old File-924/49/Hiring/Revision/NACEN/Chennai/HRD/2019-20</t>
    </r>
  </si>
  <si>
    <r>
      <t xml:space="preserve">Proposal for rent revision of office accommodation to house </t>
    </r>
    <r>
      <rPr>
        <b/>
        <sz val="10"/>
        <color rgb="FF000000"/>
        <rFont val="Bookman Old Style"/>
        <family val="1"/>
      </rPr>
      <t>NACIN, Chennai</t>
    </r>
    <r>
      <rPr>
        <sz val="10"/>
        <color rgb="FF000000"/>
        <rFont val="Bookman Old Style"/>
        <family val="1"/>
      </rPr>
      <t xml:space="preserve"> at Plot No. 3/86-E, Ambattur Industrial Estate, Chennai (w.e.f. 01.05.2019/01.07.2019/01.12.2019 to 30.04.2022/30.06.2022/30.11.2022)</t>
    </r>
  </si>
  <si>
    <t xml:space="preserve">NACIN, Chennai </t>
  </si>
  <si>
    <r>
      <rPr>
        <b/>
        <sz val="10"/>
        <color rgb="FF000000"/>
        <rFont val="Bookman Old Style"/>
        <family val="1"/>
      </rPr>
      <t>New File-Inw/Hir/RP/CGST/11/2020-HRNG</t>
    </r>
    <r>
      <rPr>
        <sz val="10"/>
        <color rgb="FF000000"/>
        <rFont val="Bookman Old Style"/>
        <family val="1"/>
      </rPr>
      <t xml:space="preserve"> Old File-924/59/Hiring/Navprabhat Chambers/Thane/HRD/2019-20</t>
    </r>
  </si>
  <si>
    <t>RENT/19/SANCTION/2020-21 dated 05.02.2021</t>
  </si>
  <si>
    <t>Proposal for reassessment of rent of office accommodation at Navprabhat Chambers, Ranade Road, Dadar (West), Mumbai-400028 for CGST Commissionerate, Thane (W.E.F. 01.11.2018 TO 31.01.2021)</t>
  </si>
  <si>
    <t>Commissioner of Central GST &amp; Central Excise, Thane</t>
  </si>
  <si>
    <t>16805 &amp; 2192</t>
  </si>
  <si>
    <t>Rs. 3191023/- p.m.
Rs. 3,82,92,276/- p.a.
Rs. 11,48,76,828/- for 3 years</t>
  </si>
  <si>
    <t>Rs. 872457/- p.m.
Rs. 1,04,69,484/- p.a.
Rs. 3,14,08,452/- for 3 years</t>
  </si>
  <si>
    <t xml:space="preserve">F.No.InW/Hir/RP/DIR/1/2020-HRNG
Old File No. F.No.924/44/Hiring/DGGST/New Delhi/HRD/2019-20
</t>
  </si>
  <si>
    <t>Proposal for renewal/revision of lease agreement for the office accommodation  admeasuring 12,242 sq.ft. built up area (10,000 sq.ft. carpet area) for DGGST, New Delhi at 5th Floor,  MTNL Building, Bhikaji Cama Place, New Delhi (w.e.f. 25.1.2020 to 24.01.2023)</t>
  </si>
  <si>
    <t>RENT/21/SANCTION/2020-21 dated 10.02.2021</t>
  </si>
  <si>
    <t>RENT/22/SANCTION/2020-21 dated 12.02.2021</t>
  </si>
  <si>
    <t>Rs. 31,09,468/- p.m.
Rs. 3,73,13,616/- p.a.
Rs. 11,19,40,848/- for 3 years</t>
  </si>
  <si>
    <t>Rs. 1,76,950/- p.m.
Rs. 21,23,400/- p.a.
Rs. 63,70,200/- for 3 years</t>
  </si>
  <si>
    <t xml:space="preserve">DGGST, New Delhi </t>
  </si>
  <si>
    <t xml:space="preserve">Division-III &amp; VI, CGST, Palghar  </t>
  </si>
  <si>
    <r>
      <rPr>
        <b/>
        <sz val="10"/>
        <color rgb="FF000000"/>
        <rFont val="Bookman Old Style"/>
        <family val="1"/>
      </rPr>
      <t>New File-InW/Hir/RP/CGST/13/2020-HRNG</t>
    </r>
    <r>
      <rPr>
        <sz val="10"/>
        <color rgb="FF000000"/>
        <rFont val="Bookman Old Style"/>
        <family val="1"/>
      </rPr>
      <t xml:space="preserve">
Old File-924/54/Hiring/Div-III &amp; VI/ CGST/Palghar/HRD/2019-20
</t>
    </r>
  </si>
  <si>
    <t xml:space="preserve">Proposal for renewal of lease agreement for office accommodation at 1st &amp; 2nd floor of Mahavir Chambers, Kacheri Road, Palghar for range offices of Division-III &amp; VI, CGST, Palghar </t>
  </si>
  <si>
    <t>MISSING 9 NO. SANCTIONED FILE FROM JUGNU</t>
  </si>
  <si>
    <t>Proposal for rent revision &amp; renewal of lease of office premises at 1st floor, Ganga House, 110, L.B.S. Marg, Vikhroli (West), Mumbai-83 for Div-II &amp; IV of CGST Commissionerate, Mumbai East for the period from 27.03.2018 to 26.03.2021</t>
  </si>
  <si>
    <t>RENT/23/SANCTION/2020-21 dated 24.02.2021</t>
  </si>
  <si>
    <t>Rs. 7,59,833/- p.m.
Rs. 91,17,996/- p.a.
Rs. 2,73,53,988/- for 3 years</t>
  </si>
  <si>
    <t>Pr. Commissioner, CGST (East), Mumbai</t>
  </si>
  <si>
    <t>RENT/24/SANCTION/2020-21 dated 23.02.2021</t>
  </si>
  <si>
    <t>Proposal for initial hiring of office accommodation from HUDCO, Ahmedabad for Customs Appeals Commissionerate &amp; other sections</t>
  </si>
  <si>
    <t>Rs. 8,52,151/- p.m.
Rs. 1,02,25,812/- p.a.
Rs. 3,06,77,436/- for 3 years</t>
  </si>
  <si>
    <t>Principal Commissioner of Customs,  Ahmedabad</t>
  </si>
  <si>
    <t>InW/Hir/RP/DIR/1/2021-HRNG</t>
  </si>
  <si>
    <t>RENT/25/SANCTION/2020-21 dated 24.02.2021</t>
  </si>
  <si>
    <t>Rs. 23,99,375/- p.m.
Rs. 2,87,92,500/- p.a.
Rs. 8,63,77,500/- for 3 years</t>
  </si>
  <si>
    <t>INITIAL</t>
  </si>
  <si>
    <t>REVISION/INITIAL</t>
  </si>
  <si>
    <t>INITIAL=</t>
  </si>
  <si>
    <t>Proposal for renewal of lease agreement of the existing office premises of Central GST Division, Bhavnagar-2 located at  2nd Floor, “Silver Arc” Building, Waghawadi Road, Bhavnagar from 16.11.2018 to 15.11.2021</t>
  </si>
  <si>
    <t>Commissioner, Central GST, Bhavnagar-364001</t>
  </si>
  <si>
    <t>Rs. 2,82,000/- p.m.
Rs. 33,84,000/- p.a.
Rs.1,01,52,000/- for 3 years</t>
  </si>
  <si>
    <t>RENT/27/SANCTION/2020-21 dated 04.03.2021</t>
  </si>
  <si>
    <t>Rs. 19,16,143/- p.m.
Rs. 2,29,93,716/- p.a.
Rs.6,89,81,148/- for 3 years</t>
  </si>
  <si>
    <t>Commissioner of Central Tax, Audit-II Commissionerate,  Bengaluru</t>
  </si>
  <si>
    <t>Renewal of lease agreement of office space for office of Central Tax Audit-II Commissionerate, Bengaluru at JSS Towers, BSK-III Stage, Bangalore w.e.f. 07.08.2018 to 06.08.2021</t>
  </si>
  <si>
    <t>RENT/26/SANCTION/2020-21 dated 05.03.2021</t>
  </si>
  <si>
    <t>InW/Hir/RP/CGST/20/2020-HRNG</t>
  </si>
  <si>
    <t>Commissioner of CGST, Aizawl</t>
  </si>
  <si>
    <t>RENT/29/SANCTION/2020-21 dated 05.03.2021</t>
  </si>
  <si>
    <t>Rs. 2,23,000/- p.m.
Rs. 26,76,000/- p.a.
Rs.80,28,000/- for 3 years</t>
  </si>
  <si>
    <t>Proposal for revision of rent of hired office premise at Aizawl for CGST Commissionerate, Aizawl at M.G. Road, Upper Khatla, Aizwal w.e.f. 16.08.2020 to 15.08.2023</t>
  </si>
  <si>
    <t>InW/Hir/RP/CGST/5/2020-HRNG</t>
  </si>
  <si>
    <t>Proposal for re-hiring of already occupied office space at Aabha Building, Kalyan for Division-I of CGST Commissionerate Thane Rural and one Division of Bhiwandi Commissionerate</t>
  </si>
  <si>
    <t xml:space="preserve">Commissioner of Central GST Thane Rural, Mumbai-400051 </t>
  </si>
  <si>
    <t>RENT/28/SANCTION/2020-21 dated 08.03.2021</t>
  </si>
  <si>
    <t>InW/Hir/RP/DIR/5/2020-HRNG</t>
  </si>
  <si>
    <t>Proposal for revision of rent for the premises occupied by the office of DG Vigilance at 2nd &amp; 3rd floors of Hotel Samrat, Chanakyapuri, New Delhi w.e.f. 28.10.2020 to 27.10.2021</t>
  </si>
  <si>
    <t>RENT/31/SANCTION/2020-21 dated 23.03.2021</t>
  </si>
  <si>
    <t>InW/Hir/RP/DIR/4/2020-HRNG</t>
  </si>
  <si>
    <t xml:space="preserve">DGGSTI, Jaipur Zonal Unit </t>
  </si>
  <si>
    <t>RENT/32/SANCTION/2020-21 dated 24.03.2021</t>
  </si>
  <si>
    <t>Rs. 7,03,715/- p.m.
Rs. 84,44,580/- p.a.
Rs.2,53,33,740/- for 3 years</t>
  </si>
  <si>
    <t>Proposal for revision of rent of hired office building for DGGI, Jaipur Zonal Unit, Jaipur (w.e.f. 07.12.2020 to 06.12.2023)</t>
  </si>
  <si>
    <t>RENT/30/SANCTION/2020-21 dated 26.03.2021</t>
  </si>
  <si>
    <t>InW/Hir/RP/CUS/1/2021-HRNG</t>
  </si>
  <si>
    <t xml:space="preserve">Proposal for obtaining administrative approval and expenditure sanction for enhanced storage charges of CWC Godowns hired by Delhi Customs </t>
  </si>
  <si>
    <t xml:space="preserve">326 sq.m. X 435= 141810 p.m.
Rs. 1701720 p.a.
</t>
  </si>
  <si>
    <t>RENT/33/SANCTION/2020-21 dated 24.03.2021</t>
  </si>
  <si>
    <t>InW/Hir/RP/CGST/9/2020-HRNG</t>
  </si>
  <si>
    <t>Rs. 5,48,708/- p.m.
Rs. 65,84,496/- p.a.
Rs.1,97,53,488/- for 3 years</t>
  </si>
  <si>
    <t>Proposal for re-assessment of rent of hired building No. 152C 2114 U367 (W-6) Delhi Hisar Bye pass Road, Rohtak for CGST Rohtak Commissionerate (w.e.f. 19.07.2019 to 18.07.2022)</t>
  </si>
  <si>
    <t>InW/Hir/RP/CGST/4/2021-HRNG</t>
  </si>
  <si>
    <t xml:space="preserve">CGST Commissionerate, Mangaluru </t>
  </si>
  <si>
    <t>RENT/34/SANCTION/2020-21 dated 26.03.2021</t>
  </si>
  <si>
    <t>RENT/35/SANCTION/2020-21 dated 26.03.2021</t>
  </si>
  <si>
    <t>Arrears: Rs. 2,53,440/-
Rs. 4,76,068/- p.m.
Rs. 57,12,816/- p.a.
Rs.2,85,64,080/- for 5 years</t>
  </si>
  <si>
    <t>Commissioner, C GST Commissionerate, Rohtak, Haryana-124001</t>
  </si>
  <si>
    <t xml:space="preserve">Proposal for revision in rent of office premise for CGST Commissionerate, Mangaluru for a further period 5 years w.e.f. 01.01.2021 to 31.12.2025 </t>
  </si>
  <si>
    <t>Pr. Commissioner, Central GST &amp; CX, Patna-I</t>
  </si>
  <si>
    <t>9181.87 (7181.87 &amp; 2000  parking area)</t>
  </si>
  <si>
    <t>Proposal for re-assessment of rent of the office building at Chandpura Complex, Bank Road, West Gandhi Maidan,Patna for CGST &amp; CX, Patna Central Division for a further period of three years from 01.12.2018 to 31.11.2021.</t>
  </si>
  <si>
    <t>Rs. 3,18,820/- p.m.
Rs. 38,25,840/- p.a.
Rs.1,14,77,520/- for 3 years</t>
  </si>
  <si>
    <t>RENT/37/SANCTION/2020-21 dated 30.03.2021</t>
  </si>
  <si>
    <t>Principal Commissioner of CGST, Delhi South</t>
  </si>
  <si>
    <t>RENT/36/SANCTION/2020-21 dated 30.03.2021</t>
  </si>
  <si>
    <t>Proposal for revision of rent of hired premises at EIL Annexe Building, Bhikaji Complex, New Delhi for CGST Commissionerate, Delhi South, CGST Commissionerate, Delhi West, Audit &amp; Appeals for a further period of three years from 30.01.2020 to 29.01.2023.</t>
  </si>
  <si>
    <t>Rs. 1,00,24,307/- p.m.
Rs. 12,02,91,684/- p.a.
Rs.36,08,75,052/- for 3 years</t>
  </si>
  <si>
    <t>InW/Hir/RP/CGST/11/2021-HRNG</t>
  </si>
  <si>
    <t xml:space="preserve">Proposal for obtaining administrative approval and expenditure sanction for payment of License Fee amounting to Rs. 1,05,41,000/- to the Directorate of Estates, Ministry of Urban Development, as a part payment of the due license fee or the period from 01.07.2017 to 31.03.2021 </t>
  </si>
  <si>
    <t>Rs. 4,10,02,472/-</t>
  </si>
  <si>
    <t>Commissioner, CGST Commissionerate, Faridabad</t>
  </si>
  <si>
    <t>RENT/38/SANCTION/2020-21 dated 31.03.2021</t>
  </si>
  <si>
    <t>Proposal for rent revision of office premises at Lotus Info Centre, Parel (E), Mumbai-12 for CGST Mumbai East Commissionerate, Bhiwandi Commissionerate, Thane Appeal and Audit-III for the period from 20.11.2017 to 19.11.2020 for 1st, 9th, 10th, 11th and 12th floor and the period from 01.03.2019 to 28.02.2022 for Ground, 8th (part), 14th and 15th floor.</t>
  </si>
  <si>
    <t>Principal Commissioner, GST &amp; CX, Mumbai East, Parel (E), Mumbai</t>
  </si>
  <si>
    <t xml:space="preserve">31238.24 &amp; 20391.10 = 51629.34 </t>
  </si>
  <si>
    <t>InW/Hir/RP/DIR/5/2021-HRNG</t>
  </si>
  <si>
    <t xml:space="preserve">Renewal of lease agreement for continued hiring of office space at Bhai Vir Singh SahityaSadan,Gole Market, New Delhi for the Directorate General of Anti-Profiteering for a further period from 01.04.2021 to 31.03.2024 </t>
  </si>
  <si>
    <t>Rs. 11,97,689/- p.m.
Rs. 1,43,72,268/- p.a.
Rs.1,14,77,520/- for 3 years</t>
  </si>
  <si>
    <t>Directorate General of Anti-Profiteering</t>
  </si>
  <si>
    <t>RENT/39/SANCTION/2020-21 dated 31.03.2021</t>
  </si>
  <si>
    <t>ARREARS</t>
  </si>
  <si>
    <t>List of Hiring Proposals Sanctioned during 1st April 2020 to 31st  March, 2021</t>
  </si>
  <si>
    <t>924/67/Hiring/DGGI/DZU/Delhi/HRD/2019-20</t>
  </si>
  <si>
    <t xml:space="preserve">924/39/Hiring/Boisar (W)/Palghar/Mumbai/HRD/2019-20
</t>
  </si>
  <si>
    <t xml:space="preserve">924/43/Hiring/DRI/Indore Z.U./HRD/2019-20
</t>
  </si>
  <si>
    <t>924/07/Hiring/Mumbai-II (Audit)/HRD/15</t>
  </si>
  <si>
    <t>924/55/Hiring/HRM-I/DGHRD/New Delhi/HRD/2019-20</t>
  </si>
  <si>
    <t>924/24/Hiring/Rohini Div./Delhi (West)/HRD/2019-20</t>
  </si>
  <si>
    <t>New File-InW/Hir/RP/DIR/2/2020-HRNG
Old File-924/49/Hiring/Revision/NACEN/Chennai/HRD/2019-20</t>
  </si>
  <si>
    <t>New File-Inw/Hir/RP/CGST/11/2020-HRNG Old File-924/59/Hiring/Navprabhat Chambers/Thane/HRD/2019-20</t>
  </si>
  <si>
    <t xml:space="preserve">New File-InW/Hir/RP/CGST/13/2020-HRNG
Old File-924/54/Hiring/Div-III &amp; VI/ CGST/Palghar/HRD/2019-20
</t>
  </si>
  <si>
    <t xml:space="preserve">New File-InW/Hir/RP/CGST/2/2020-HRNG
Old File-924/14/Hiring/CGST-Mumbai-East-Div.II&amp;IV/HRD/2020-21 </t>
  </si>
  <si>
    <t>New File-Inw/Hir/IP/Cus/1/2020-HRNG Old File-924/60/Hiring/Customs (Div)/Ahmedabad/HRD/2019-20</t>
  </si>
  <si>
    <t>New File-InW/Hir/RP/CGST/15/2020-HRNG
Old File-924/12/Hiring/Bhavnagar/CGST Div.-2/HRD/2020-21</t>
  </si>
  <si>
    <t>New File-InW/RP/CGST/14/2020 Old File-924/41/Hiring/Audit-II/Bengaluru/HRD/2019-20</t>
  </si>
  <si>
    <t>New File-Inw/Hir/RP/CGST/10/2020-HRNG Old File-924/61/Hiring/Lotus Info Centre/Mumbai/HRD/2019-20</t>
  </si>
  <si>
    <t>New File-Inw/Hir/RP/CGST/19/2020-HRNG Old File-924/62/Hiring/EIL/CGST/Delhi/HRD/2019-20</t>
  </si>
  <si>
    <t>New File-InW/Hir/RP/CGST/1/2020-HRNG
Old File-924/10/Hiring/Revision/Patna-I/HRD/2020-21</t>
  </si>
  <si>
    <t>Grant of administrsative approval and expenditure sanction for payment of outstanding rent to M/s Central Warehousing Corporation (CWC), Umbergaon after apopropriation of sale proceeds as per Section-150 (2) of Customs Act, 1962.</t>
  </si>
  <si>
    <t xml:space="preserve">Renewal of lease for space hired at Vashi, MTNL Building (Rs. 34,26,119/- per month for the period from October, 2019 to March, 2020) </t>
  </si>
  <si>
    <t>Proposal for revision of rent in respect of “Ground, First, Second and Third floor” for the period (i) 2018-2020 (w.e.f. 01.01.2018 to 31.12.2020) (18635.35 sq.ft. @ Rs.142.60 psm) and “Basement” for the period (ii) 2016-2020 (w.e.f. 01.06.2016 to 31.12.2020) (2453.20 sq.ft. @ Rs.52.45 psm) for ShriMahavir Jain Vidyalaya, Andhri (W), Mumbai</t>
  </si>
  <si>
    <t>Proposal for revision of rent by M/s Samant Associates &amp; Others, Goregaon (East), Mumbai for the period from 02.12.2018 to 01.12.2021 in respect of premises known as Unit Nos. A-101, A-201, A-301 &amp; A-401 in building Takshashila situated as 1-Samant Estate, Goregaon (East), Mumbai</t>
  </si>
  <si>
    <t>Proposal for rent revision of office accommodation to house NACIN, Chennai at Plot No. 3/86-E, Ambattur Industrial Estate, Chennai (w.e.f. 01.05.2019/01.07.2019/01.12.2019 to 30.04.2022/30.06.2022/30.11.2022)</t>
  </si>
  <si>
    <t>Rs. 8862064/- (arrears)</t>
  </si>
  <si>
    <t>(i) Rs. 26,57,401/- p.m.
Rs. 3,18,88,812/- p.a.
Rs. 9,56,66,436/- for 3 years (w.e.f. 01.01.2018 to 31.12.2020)
(ii) Rs. 1,28,670/- p.m.
Rs. 15,44,044/- p.a.
Rs. 70,76,866/- for 04 years &amp; 07 months (w.e.f. 01.06.2016 to 31.12.2020)
Grand Total= Rs. 102743302/-</t>
  </si>
  <si>
    <t>(i) Rs. 1,78,342/- p.m.
Rs. 21,40,104/- p.a.
Rs. 62,41,987.50/- for 35 months (w.e.f. 01.05.2018 to 31.03.2021)
(ii) Rs. 1,78,342/- p.m.
Rs. 21,40,104/- p.a.
Rs. 64,16,550/- for 03 years  (w.e.f. 01.05.2018 to 31.04.2021)
Grand Total= Rs. 1,26,58,537.50/-</t>
  </si>
  <si>
    <t>(i) Rs. 63,10,124/- p.m.
Rs. 7,57,21,488/- p.a.
Rs. 32,34,99,024/- for 51 months and 8 days (w.e.f. 21.11.2017 to 28.02.2022)
(ii) Rs. 41,19,002/- p.m.
Rs. 4,94,28,024/- p.a.
Rs. 14,82,84,072/- for 03 years  (w.e.f. 01.03.2019 to 28.02.2022)
Grand Total= Rs. 47,17,83,096/-</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</si>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</sst>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scheme val="minor"/>
    </font>
    <font>
      <b/>
      <sz val="11"/>
      <color theme="1"/>
      <name val="Calibri"/>
      <family val="2"/>
      <scheme val="minor"/>
    </font>
    <font>
      <b/>
      <sz val="16"/>
      <color theme="1"/>
      <name val="Bookman Old Style"/>
      <family val="1"/>
    </font>
    <font>
      <b/>
      <sz val="12"/>
      <color theme="1"/>
      <name val="Bookman Old Style"/>
      <family val="1"/>
    </font>
    <font>
      <b/>
      <sz val="11"/>
      <color theme="1"/>
      <name val="Bookman Old Style"/>
      <family val="1"/>
    </font>
    <font>
      <sz val="9"/>
      <color theme="1"/>
      <name val="Bookman Old Style"/>
      <family val="1"/>
    </font>
    <font>
      <b/>
      <sz val="11"/>
      <name val="Bookman Old Style"/>
      <family val="1"/>
    </font>
    <font>
      <b/>
      <sz val="9"/>
      <color theme="1"/>
      <name val="Bookman Old Style"/>
      <family val="1"/>
    </font>
    <font>
      <u/>
      <sz val="9"/>
      <color theme="1"/>
      <name val="Bookman Old Style"/>
      <family val="1"/>
    </font>
    <font>
      <b/>
      <sz val="12"/>
      <name val="Bookman Old Style"/>
      <family val="1"/>
    </font>
    <font>
      <sz val="11"/>
      <color theme="1"/>
      <name val="Bookman Old Style"/>
      <family val="1"/>
    </font>
    <font>
      <sz val="10"/>
      <color theme="1"/>
      <name val="Bookman Old Style"/>
      <family val="1"/>
    </font>
    <font>
      <sz val="11"/>
      <name val="Bookman Old Style"/>
      <family val="1"/>
    </font>
    <font>
      <sz val="10"/>
      <name val="Bookman Old Style"/>
      <family val="1"/>
    </font>
    <font>
      <b/>
      <sz val="10"/>
      <name val="Bookman Old Style"/>
      <family val="1"/>
    </font>
    <font>
      <sz val="10"/>
      <color theme="1"/>
      <name val="Calibri"/>
      <family val="2"/>
      <scheme val="minor"/>
    </font>
    <font>
      <sz val="10"/>
      <color rgb="FF000000"/>
      <name val="Bookman Old Style"/>
      <family val="1"/>
    </font>
    <font>
      <b/>
      <sz val="10"/>
      <color rgb="FF000000"/>
      <name val="Bookman Old Style"/>
      <family val="1"/>
    </font>
    <font>
      <b/>
      <sz val="11"/>
      <color rgb="FF000000"/>
      <name val="Bookman Old Style"/>
      <family val="1"/>
    </font>
    <font>
      <b/>
      <sz val="12"/>
      <color theme="1"/>
      <name val="Calibri"/>
      <family val="2"/>
      <scheme val="minor"/>
    </font>
    <font>
      <sz val="11"/>
      <color rgb="FF000000"/>
      <name val="Bookman Old Style"/>
      <family val="1"/>
    </font>
    <font>
      <b/>
      <sz val="10"/>
      <color theme="1"/>
      <name val="Bookman Old Style"/>
      <family val="1"/>
    </font>
    <font>
      <sz val="12"/>
      <color theme="1"/>
      <name val="Calibri"/>
      <family val="2"/>
      <scheme val="minor"/>
    </font>
    <font>
      <sz val="12"/>
      <color theme="1"/>
      <name val="Bookman Old Style"/>
      <family val="1"/>
    </font>
    <font>
      <sz val="12"/>
      <name val="Bookman Old Style"/>
      <family val="1"/>
    </font>
    <font>
      <b/>
      <sz val="14"/>
      <color theme="1"/>
      <name val="Bookman Old Style"/>
      <family val="1"/>
    </font>
    <font>
      <b/>
      <sz val="16"/>
      <name val="Bookman Old Style"/>
      <family val="1"/>
    </font>
    <font>
      <sz val="11"/>
      <name val="Calibri"/>
      <family val="2"/>
      <scheme val="minor"/>
    </font>
    <font>
      <b/>
      <sz val="11"/>
      <name val="Calibri"/>
      <family val="2"/>
      <scheme val="minor"/>
    </font>
    <font>
      <sz val="10"/>
      <name val="Calibri"/>
      <family val="2"/>
      <scheme val="minor"/>
    </font>
    <font>
      <sz val="12"/>
      <name val="Calibri"/>
      <family val="2"/>
      <scheme val="minor"/>
    </font>
    <font>
      <sz val="13"/>
      <name val="Book Antiqua"/>
      <family val="1"/>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95">
    <xf numFmtId="0" fontId="0" fillId="0" borderId="0" xfId="0"/>
    <xf numFmtId="0" fontId="4" fillId="0" borderId="2" xfId="0" applyFont="1" applyBorder="1" applyAlignment="1">
      <alignment horizontal="center" vertical="top" wrapText="1"/>
    </xf>
    <xf numFmtId="0" fontId="0" fillId="0" borderId="0" xfId="0" applyBorder="1"/>
    <xf numFmtId="0" fontId="5" fillId="0" borderId="0" xfId="0" applyFont="1"/>
    <xf numFmtId="0" fontId="5" fillId="0" borderId="0" xfId="0" applyFont="1" applyBorder="1" applyAlignment="1">
      <alignment horizontal="center" vertical="top" wrapText="1"/>
    </xf>
    <xf numFmtId="0" fontId="7" fillId="0" borderId="0" xfId="0" applyFont="1" applyBorder="1" applyAlignment="1">
      <alignment vertical="top"/>
    </xf>
    <xf numFmtId="0" fontId="8" fillId="0" borderId="0" xfId="0" applyFont="1" applyBorder="1" applyAlignment="1">
      <alignment horizontal="center" vertical="top" wrapText="1"/>
    </xf>
    <xf numFmtId="0" fontId="5" fillId="0" borderId="0" xfId="0" applyFont="1" applyBorder="1" applyAlignment="1">
      <alignment horizontal="left" vertical="top" wrapText="1"/>
    </xf>
    <xf numFmtId="0" fontId="5" fillId="0" borderId="0" xfId="0" applyFont="1" applyBorder="1" applyAlignment="1">
      <alignment vertical="top" wrapText="1"/>
    </xf>
    <xf numFmtId="0" fontId="5" fillId="0" borderId="0" xfId="0" applyFont="1" applyBorder="1" applyAlignment="1">
      <alignment horizontal="justify"/>
    </xf>
    <xf numFmtId="0" fontId="5" fillId="0" borderId="0" xfId="0" applyFont="1" applyBorder="1"/>
    <xf numFmtId="0" fontId="5" fillId="0" borderId="1" xfId="0" applyFont="1" applyBorder="1"/>
    <xf numFmtId="0" fontId="5" fillId="0" borderId="8" xfId="0" applyFont="1" applyBorder="1"/>
    <xf numFmtId="0" fontId="4" fillId="0" borderId="9" xfId="0" applyFont="1" applyBorder="1" applyAlignment="1">
      <alignment horizontal="left" vertical="top" wrapText="1"/>
    </xf>
    <xf numFmtId="0" fontId="9" fillId="0" borderId="10" xfId="0" applyFont="1" applyFill="1" applyBorder="1" applyAlignment="1">
      <alignment vertical="top" wrapText="1"/>
    </xf>
    <xf numFmtId="0" fontId="3" fillId="0" borderId="10" xfId="0" applyFont="1" applyBorder="1" applyAlignment="1">
      <alignment horizontal="left" vertical="top" wrapText="1"/>
    </xf>
    <xf numFmtId="0" fontId="4" fillId="0" borderId="10" xfId="0" applyFont="1" applyBorder="1" applyAlignment="1">
      <alignment horizontal="left" vertical="top" wrapText="1"/>
    </xf>
    <xf numFmtId="0" fontId="10" fillId="0" borderId="11" xfId="0" applyFont="1" applyFill="1" applyBorder="1" applyAlignment="1">
      <alignment horizontal="center" vertical="top" wrapText="1"/>
    </xf>
    <xf numFmtId="0" fontId="10" fillId="0" borderId="1" xfId="0" applyFont="1" applyBorder="1" applyAlignment="1">
      <alignment horizontal="left" vertical="top" wrapText="1"/>
    </xf>
    <xf numFmtId="0" fontId="11" fillId="0" borderId="1" xfId="0" applyFont="1" applyBorder="1" applyAlignment="1">
      <alignment horizontal="center" vertical="center"/>
    </xf>
    <xf numFmtId="0" fontId="10" fillId="0" borderId="1" xfId="0" applyFont="1" applyBorder="1" applyAlignment="1">
      <alignment horizontal="center" vertical="center" wrapText="1"/>
    </xf>
    <xf numFmtId="0" fontId="12" fillId="0" borderId="1" xfId="0" applyFont="1" applyFill="1" applyBorder="1" applyAlignment="1">
      <alignment vertical="top" wrapText="1"/>
    </xf>
    <xf numFmtId="0" fontId="13" fillId="2" borderId="1" xfId="0" applyFont="1" applyFill="1" applyBorder="1" applyAlignment="1">
      <alignment vertical="top" wrapText="1"/>
    </xf>
    <xf numFmtId="0" fontId="12" fillId="0" borderId="2" xfId="0" applyFont="1" applyFill="1" applyBorder="1" applyAlignment="1">
      <alignment vertical="top" wrapText="1"/>
    </xf>
    <xf numFmtId="0" fontId="12" fillId="0" borderId="4" xfId="0" applyFont="1" applyFill="1" applyBorder="1" applyAlignment="1">
      <alignment vertical="top" wrapText="1"/>
    </xf>
    <xf numFmtId="0" fontId="12" fillId="0" borderId="1" xfId="0" applyFont="1" applyFill="1" applyBorder="1" applyAlignment="1">
      <alignment horizontal="center" vertical="center" wrapText="1"/>
    </xf>
    <xf numFmtId="4" fontId="10" fillId="0" borderId="1" xfId="0" applyNumberFormat="1" applyFont="1" applyBorder="1" applyAlignment="1">
      <alignment horizontal="center" vertical="center"/>
    </xf>
    <xf numFmtId="0" fontId="10" fillId="0" borderId="1" xfId="0" applyFont="1" applyBorder="1" applyAlignment="1">
      <alignment vertical="top" wrapText="1"/>
    </xf>
    <xf numFmtId="0" fontId="10" fillId="0" borderId="1" xfId="0" applyFont="1" applyFill="1" applyBorder="1" applyAlignment="1">
      <alignment horizontal="left" vertical="top" wrapText="1"/>
    </xf>
    <xf numFmtId="0" fontId="10" fillId="0" borderId="1" xfId="0" applyFont="1" applyBorder="1" applyAlignment="1">
      <alignment horizontal="center" vertical="center"/>
    </xf>
    <xf numFmtId="0" fontId="17" fillId="0" borderId="0" xfId="0" applyFont="1" applyBorder="1" applyAlignment="1">
      <alignment horizontal="center" vertical="center" wrapText="1"/>
    </xf>
    <xf numFmtId="0" fontId="18" fillId="0" borderId="0" xfId="0" applyFont="1" applyBorder="1" applyAlignment="1">
      <alignment horizontal="center" vertical="center" wrapText="1"/>
    </xf>
    <xf numFmtId="0" fontId="1" fillId="0" borderId="1" xfId="0" applyFont="1" applyBorder="1" applyAlignment="1">
      <alignment horizontal="center"/>
    </xf>
    <xf numFmtId="0" fontId="19" fillId="0" borderId="1" xfId="0" applyFont="1" applyBorder="1"/>
    <xf numFmtId="0" fontId="10" fillId="0" borderId="1" xfId="0" applyFont="1" applyFill="1" applyBorder="1" applyAlignment="1">
      <alignment horizontal="center" vertical="center" wrapText="1"/>
    </xf>
    <xf numFmtId="3" fontId="10" fillId="0" borderId="1" xfId="0" applyNumberFormat="1" applyFont="1" applyFill="1" applyBorder="1" applyAlignment="1">
      <alignment horizontal="center" vertical="center" wrapText="1"/>
    </xf>
    <xf numFmtId="0" fontId="10" fillId="0" borderId="1" xfId="0" applyFont="1" applyFill="1" applyBorder="1" applyAlignment="1">
      <alignment vertical="top" wrapText="1"/>
    </xf>
    <xf numFmtId="0" fontId="10" fillId="0" borderId="1" xfId="0" applyFont="1" applyFill="1" applyBorder="1" applyAlignment="1">
      <alignment horizontal="center" vertical="center"/>
    </xf>
    <xf numFmtId="3" fontId="10" fillId="0" borderId="1" xfId="0" applyNumberFormat="1" applyFont="1" applyBorder="1" applyAlignment="1">
      <alignment horizontal="center" vertical="center" wrapText="1"/>
    </xf>
    <xf numFmtId="0" fontId="3" fillId="0" borderId="2" xfId="0" applyFont="1" applyBorder="1" applyAlignment="1">
      <alignment vertical="top" wrapText="1"/>
    </xf>
    <xf numFmtId="0" fontId="16" fillId="0" borderId="0" xfId="0" applyFont="1" applyBorder="1" applyAlignment="1">
      <alignment horizontal="left" vertical="top" wrapText="1"/>
    </xf>
    <xf numFmtId="0" fontId="10" fillId="0" borderId="0" xfId="0" applyFont="1" applyFill="1" applyBorder="1" applyAlignment="1">
      <alignment horizontal="left" vertical="top" wrapText="1"/>
    </xf>
    <xf numFmtId="0" fontId="11"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0" fontId="10" fillId="0" borderId="0" xfId="0" applyFont="1" applyBorder="1" applyAlignment="1">
      <alignment horizontal="left" vertical="top" wrapText="1"/>
    </xf>
    <xf numFmtId="0" fontId="10" fillId="0" borderId="0" xfId="0" applyFont="1" applyBorder="1" applyAlignment="1">
      <alignment horizontal="center" vertical="center" wrapText="1"/>
    </xf>
    <xf numFmtId="0" fontId="10" fillId="0" borderId="1" xfId="0" applyFont="1" applyBorder="1" applyAlignment="1">
      <alignment horizontal="center" vertical="top" wrapText="1"/>
    </xf>
    <xf numFmtId="2" fontId="10" fillId="0" borderId="1" xfId="0" applyNumberFormat="1" applyFont="1" applyBorder="1" applyAlignment="1">
      <alignment horizontal="center" vertical="center"/>
    </xf>
    <xf numFmtId="0" fontId="10" fillId="0"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2" fillId="2" borderId="1" xfId="0" applyFont="1" applyFill="1" applyBorder="1" applyAlignment="1">
      <alignment vertical="top" wrapText="1"/>
    </xf>
    <xf numFmtId="0" fontId="10" fillId="0" borderId="1" xfId="0" applyFont="1" applyBorder="1" applyAlignment="1">
      <alignment horizontal="justify" vertical="top" wrapText="1"/>
    </xf>
    <xf numFmtId="0" fontId="10" fillId="0" borderId="1" xfId="0" applyFont="1" applyFill="1" applyBorder="1" applyAlignment="1">
      <alignment horizontal="justify" vertical="top" wrapText="1"/>
    </xf>
    <xf numFmtId="0" fontId="4" fillId="0" borderId="1" xfId="0" applyFont="1" applyFill="1" applyBorder="1" applyAlignment="1">
      <alignment horizontal="center" vertical="center"/>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Fill="1" applyBorder="1" applyAlignment="1">
      <alignment horizontal="left" vertical="center" wrapText="1"/>
    </xf>
    <xf numFmtId="0" fontId="20" fillId="0" borderId="1" xfId="0" applyFont="1" applyFill="1" applyBorder="1" applyAlignment="1">
      <alignment horizontal="center" vertical="center" wrapText="1"/>
    </xf>
    <xf numFmtId="3" fontId="20" fillId="0" borderId="1" xfId="0" applyNumberFormat="1" applyFont="1" applyFill="1" applyBorder="1" applyAlignment="1">
      <alignment horizontal="center" vertical="center" wrapText="1"/>
    </xf>
    <xf numFmtId="0" fontId="10" fillId="0" borderId="12" xfId="0" applyFont="1" applyFill="1" applyBorder="1" applyAlignment="1">
      <alignment horizontal="justify" vertical="top" wrapText="1"/>
    </xf>
    <xf numFmtId="0" fontId="10" fillId="0" borderId="1" xfId="0" applyFont="1" applyFill="1" applyBorder="1" applyAlignment="1">
      <alignment wrapText="1"/>
    </xf>
    <xf numFmtId="0" fontId="20" fillId="0" borderId="1" xfId="0" applyFont="1" applyFill="1" applyBorder="1" applyAlignment="1">
      <alignment horizontal="left" vertical="top" wrapText="1"/>
    </xf>
    <xf numFmtId="0" fontId="20" fillId="0" borderId="1" xfId="0" applyFont="1" applyBorder="1" applyAlignment="1">
      <alignment vertical="top" wrapText="1"/>
    </xf>
    <xf numFmtId="0" fontId="10" fillId="0" borderId="1" xfId="0" applyFont="1" applyFill="1" applyBorder="1" applyAlignment="1">
      <alignment horizontal="left" vertical="top"/>
    </xf>
    <xf numFmtId="3" fontId="20" fillId="0" borderId="1" xfId="0" applyNumberFormat="1" applyFont="1" applyBorder="1" applyAlignment="1">
      <alignment horizontal="center" vertical="center" wrapText="1"/>
    </xf>
    <xf numFmtId="4" fontId="20" fillId="0" borderId="1" xfId="0" applyNumberFormat="1" applyFont="1" applyBorder="1" applyAlignment="1">
      <alignment horizontal="center" vertical="center" wrapText="1"/>
    </xf>
    <xf numFmtId="0" fontId="20" fillId="0" borderId="1" xfId="0" applyFont="1" applyBorder="1" applyAlignment="1">
      <alignment horizontal="left" vertical="top" wrapText="1"/>
    </xf>
    <xf numFmtId="0" fontId="20" fillId="2" borderId="1" xfId="0" applyFont="1" applyFill="1" applyBorder="1" applyAlignment="1">
      <alignment horizontal="left" vertical="top" wrapText="1"/>
    </xf>
    <xf numFmtId="3" fontId="1" fillId="0" borderId="1" xfId="0" applyNumberFormat="1" applyFont="1" applyBorder="1"/>
    <xf numFmtId="0" fontId="0" fillId="0" borderId="1" xfId="0" applyFont="1" applyBorder="1"/>
    <xf numFmtId="0" fontId="16" fillId="2"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6" fillId="2" borderId="1" xfId="0" applyFont="1" applyFill="1" applyBorder="1" applyAlignment="1">
      <alignment vertical="top" wrapText="1"/>
    </xf>
    <xf numFmtId="0" fontId="16" fillId="0" borderId="1" xfId="0" applyFont="1" applyBorder="1" applyAlignment="1">
      <alignment vertical="top" wrapText="1"/>
    </xf>
    <xf numFmtId="0" fontId="16" fillId="0" borderId="3" xfId="0" applyFont="1" applyFill="1" applyBorder="1" applyAlignment="1">
      <alignment horizontal="left" vertical="center" wrapText="1"/>
    </xf>
    <xf numFmtId="0" fontId="16" fillId="0" borderId="1" xfId="0" applyFont="1" applyBorder="1" applyAlignment="1">
      <alignment horizontal="left" vertical="top" wrapText="1"/>
    </xf>
    <xf numFmtId="3" fontId="1" fillId="0" borderId="1" xfId="0" applyNumberFormat="1" applyFont="1" applyBorder="1" applyAlignment="1">
      <alignment horizontal="center"/>
    </xf>
    <xf numFmtId="0" fontId="16" fillId="0" borderId="1" xfId="0" applyFont="1" applyBorder="1" applyAlignment="1">
      <alignment horizontal="center" vertical="center" wrapText="1"/>
    </xf>
    <xf numFmtId="0" fontId="4" fillId="0" borderId="1" xfId="0" applyFont="1" applyBorder="1" applyAlignment="1">
      <alignment horizontal="center" vertical="center"/>
    </xf>
    <xf numFmtId="0" fontId="11" fillId="0" borderId="1" xfId="0" applyFont="1" applyBorder="1" applyAlignment="1">
      <alignment horizontal="left" vertical="top" wrapText="1"/>
    </xf>
    <xf numFmtId="3" fontId="11" fillId="0" borderId="1" xfId="0" applyNumberFormat="1" applyFont="1" applyBorder="1" applyAlignment="1">
      <alignment horizontal="center" vertical="center" wrapText="1"/>
    </xf>
    <xf numFmtId="0" fontId="21" fillId="0" borderId="1" xfId="0" applyFont="1" applyFill="1" applyBorder="1" applyAlignment="1">
      <alignment horizontal="center" vertical="center"/>
    </xf>
    <xf numFmtId="0" fontId="11" fillId="0" borderId="1" xfId="0" applyFont="1" applyBorder="1" applyAlignment="1">
      <alignment vertical="top" wrapText="1"/>
    </xf>
    <xf numFmtId="0" fontId="21" fillId="0" borderId="1" xfId="0" applyFont="1" applyBorder="1" applyAlignment="1">
      <alignment horizontal="center" vertical="center"/>
    </xf>
    <xf numFmtId="3" fontId="11"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15" fillId="0" borderId="1" xfId="0" applyFont="1" applyBorder="1"/>
    <xf numFmtId="0" fontId="21" fillId="0" borderId="1" xfId="0" applyFont="1" applyBorder="1" applyAlignment="1">
      <alignment horizontal="center" vertical="center" wrapText="1"/>
    </xf>
    <xf numFmtId="0" fontId="21" fillId="0" borderId="1" xfId="0" applyFont="1" applyFill="1" applyBorder="1" applyAlignment="1">
      <alignment horizontal="center" vertical="center" wrapText="1"/>
    </xf>
    <xf numFmtId="3" fontId="21" fillId="0" borderId="1" xfId="0" applyNumberFormat="1"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13" fillId="0" borderId="1" xfId="0" applyFont="1" applyFill="1" applyBorder="1" applyAlignment="1">
      <alignment vertical="top" wrapText="1"/>
    </xf>
    <xf numFmtId="0" fontId="16" fillId="2" borderId="3" xfId="0" applyFont="1" applyFill="1" applyBorder="1" applyAlignment="1">
      <alignment horizontal="left" vertical="top" wrapText="1"/>
    </xf>
    <xf numFmtId="0" fontId="16" fillId="2" borderId="1" xfId="0" applyFont="1" applyFill="1" applyBorder="1" applyAlignment="1">
      <alignment horizontal="left" vertical="top" wrapText="1"/>
    </xf>
    <xf numFmtId="0" fontId="22" fillId="0" borderId="1" xfId="0" applyFont="1" applyBorder="1"/>
    <xf numFmtId="0" fontId="0" fillId="0" borderId="0" xfId="0" applyFont="1"/>
    <xf numFmtId="0" fontId="0" fillId="0" borderId="0" xfId="0" applyFont="1" applyBorder="1"/>
    <xf numFmtId="0" fontId="13"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16" fillId="2" borderId="1" xfId="0"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11" fillId="2" borderId="1" xfId="0" applyFont="1" applyFill="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center"/>
    </xf>
    <xf numFmtId="0" fontId="2" fillId="0" borderId="13" xfId="0" applyFont="1" applyBorder="1" applyAlignment="1">
      <alignment vertical="top" wrapText="1"/>
    </xf>
    <xf numFmtId="0" fontId="4" fillId="0" borderId="2" xfId="0" applyFont="1" applyBorder="1" applyAlignment="1">
      <alignment vertical="top" wrapText="1"/>
    </xf>
    <xf numFmtId="0" fontId="3" fillId="0" borderId="3" xfId="0" applyFont="1" applyFill="1" applyBorder="1" applyAlignment="1">
      <alignment horizontal="center" vertical="top" wrapText="1"/>
    </xf>
    <xf numFmtId="0" fontId="4" fillId="0" borderId="1" xfId="0" applyFont="1" applyBorder="1"/>
    <xf numFmtId="0" fontId="3" fillId="0" borderId="0" xfId="0" applyFont="1" applyFill="1" applyBorder="1" applyAlignment="1">
      <alignment horizontal="center" vertical="top" wrapText="1"/>
    </xf>
    <xf numFmtId="0" fontId="10" fillId="0" borderId="0" xfId="0" applyFont="1"/>
    <xf numFmtId="0" fontId="10" fillId="0" borderId="1" xfId="0" applyFont="1" applyBorder="1"/>
    <xf numFmtId="0" fontId="4"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10" fillId="0" borderId="12" xfId="0" applyFont="1" applyBorder="1" applyAlignment="1">
      <alignment horizontal="center" vertical="center" wrapText="1"/>
    </xf>
    <xf numFmtId="0" fontId="0" fillId="0" borderId="2" xfId="0" applyBorder="1" applyAlignment="1">
      <alignment vertical="center"/>
    </xf>
    <xf numFmtId="0" fontId="5" fillId="0" borderId="2" xfId="0" applyFont="1" applyFill="1" applyBorder="1" applyAlignment="1">
      <alignment horizontal="center" vertical="top" wrapText="1"/>
    </xf>
    <xf numFmtId="0" fontId="5" fillId="0" borderId="14" xfId="0" applyFont="1" applyBorder="1" applyAlignment="1">
      <alignment horizontal="left" vertical="top" wrapText="1"/>
    </xf>
    <xf numFmtId="0" fontId="5" fillId="0" borderId="13"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vertical="center"/>
    </xf>
    <xf numFmtId="0" fontId="5" fillId="0" borderId="1" xfId="0" applyFont="1" applyFill="1" applyBorder="1" applyAlignment="1">
      <alignment horizontal="center" vertical="top" wrapText="1"/>
    </xf>
    <xf numFmtId="0" fontId="5" fillId="0" borderId="1" xfId="0" applyFont="1" applyBorder="1" applyAlignment="1">
      <alignment horizontal="left" vertical="top" wrapText="1"/>
    </xf>
    <xf numFmtId="0" fontId="5" fillId="0" borderId="1" xfId="0" applyFont="1" applyFill="1" applyBorder="1" applyAlignment="1">
      <alignment horizontal="left" vertical="top" wrapText="1"/>
    </xf>
    <xf numFmtId="0" fontId="5" fillId="0" borderId="7" xfId="0" applyFont="1" applyBorder="1"/>
    <xf numFmtId="0" fontId="5" fillId="0" borderId="1" xfId="0" applyFont="1" applyBorder="1" applyAlignment="1">
      <alignment horizontal="center" vertical="top" wrapText="1"/>
    </xf>
    <xf numFmtId="0" fontId="25" fillId="0" borderId="7" xfId="0" applyFont="1" applyBorder="1" applyAlignment="1">
      <alignment vertical="top" wrapText="1"/>
    </xf>
    <xf numFmtId="0" fontId="5" fillId="0" borderId="2"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justify" vertical="top" wrapText="1"/>
    </xf>
    <xf numFmtId="0" fontId="5" fillId="0" borderId="1" xfId="0" applyFont="1" applyBorder="1" applyAlignment="1">
      <alignment vertical="top"/>
    </xf>
    <xf numFmtId="0" fontId="5" fillId="0" borderId="0" xfId="0" applyFont="1" applyBorder="1" applyAlignment="1">
      <alignment vertical="top"/>
    </xf>
    <xf numFmtId="0" fontId="7" fillId="0" borderId="13" xfId="0" applyFont="1" applyBorder="1" applyAlignment="1">
      <alignment vertical="top" wrapText="1"/>
    </xf>
    <xf numFmtId="0" fontId="7" fillId="0" borderId="1" xfId="0" applyFont="1" applyBorder="1" applyAlignment="1">
      <alignment horizontal="center" vertical="top" wrapText="1"/>
    </xf>
    <xf numFmtId="0" fontId="5" fillId="0" borderId="0" xfId="0" applyFont="1" applyBorder="1" applyAlignment="1">
      <alignment wrapText="1"/>
    </xf>
    <xf numFmtId="0" fontId="5" fillId="0" borderId="0" xfId="0" applyFont="1" applyBorder="1" applyAlignment="1">
      <alignment horizontal="justify" vertical="top"/>
    </xf>
    <xf numFmtId="0" fontId="5" fillId="0" borderId="0" xfId="0" applyFont="1" applyBorder="1" applyAlignment="1">
      <alignment horizontal="justify" vertical="top" wrapText="1"/>
    </xf>
    <xf numFmtId="0" fontId="5" fillId="0" borderId="0" xfId="0" applyFont="1" applyBorder="1" applyAlignment="1">
      <alignment horizontal="center" vertical="center" wrapText="1"/>
    </xf>
    <xf numFmtId="0" fontId="7" fillId="0" borderId="1" xfId="0" applyFont="1" applyBorder="1" applyAlignment="1">
      <alignment vertical="top" wrapText="1"/>
    </xf>
    <xf numFmtId="0" fontId="5" fillId="0" borderId="1" xfId="0" applyFont="1" applyFill="1" applyBorder="1" applyAlignment="1">
      <alignment vertical="top" wrapText="1"/>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0" fontId="0" fillId="0" borderId="0" xfId="0" applyAlignment="1">
      <alignment wrapText="1"/>
    </xf>
    <xf numFmtId="0" fontId="5" fillId="0" borderId="4" xfId="0" applyFont="1" applyBorder="1" applyAlignment="1">
      <alignment horizontal="left" vertical="top" wrapText="1"/>
    </xf>
    <xf numFmtId="0" fontId="0" fillId="0" borderId="1" xfId="0" applyBorder="1" applyAlignment="1">
      <alignment wrapText="1"/>
    </xf>
    <xf numFmtId="0" fontId="5" fillId="2" borderId="1" xfId="0" applyFont="1" applyFill="1" applyBorder="1" applyAlignment="1">
      <alignment horizontal="left" vertical="top" wrapText="1"/>
    </xf>
    <xf numFmtId="0" fontId="7" fillId="0" borderId="0" xfId="0" applyFont="1" applyBorder="1" applyAlignment="1">
      <alignment horizontal="center" vertical="top" wrapText="1"/>
    </xf>
    <xf numFmtId="0" fontId="16" fillId="2" borderId="7" xfId="0" applyFont="1" applyFill="1" applyBorder="1" applyAlignment="1">
      <alignment horizontal="left" vertical="top" wrapText="1"/>
    </xf>
    <xf numFmtId="0" fontId="11" fillId="2" borderId="7"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0" borderId="1" xfId="0" applyFont="1" applyFill="1" applyBorder="1" applyAlignment="1">
      <alignment horizontal="left" vertical="top" wrapText="1"/>
    </xf>
    <xf numFmtId="0" fontId="16" fillId="0" borderId="1" xfId="0" applyFont="1" applyFill="1" applyBorder="1" applyAlignment="1">
      <alignment vertical="top" wrapText="1"/>
    </xf>
    <xf numFmtId="0" fontId="11" fillId="0" borderId="1" xfId="0" applyFont="1" applyFill="1" applyBorder="1" applyAlignment="1">
      <alignment horizontal="left" vertical="top"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top" wrapText="1"/>
    </xf>
    <xf numFmtId="0" fontId="1" fillId="0" borderId="0" xfId="0" applyFont="1"/>
    <xf numFmtId="0" fontId="13" fillId="0" borderId="3" xfId="0" applyFont="1" applyFill="1" applyBorder="1" applyAlignment="1">
      <alignment horizontal="left" vertical="center" wrapText="1"/>
    </xf>
    <xf numFmtId="3"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xf>
    <xf numFmtId="0" fontId="13" fillId="0" borderId="1" xfId="0" applyFont="1" applyFill="1" applyBorder="1" applyAlignment="1">
      <alignment horizontal="left" vertical="top"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3" fontId="13" fillId="0" borderId="1" xfId="0" applyNumberFormat="1" applyFont="1" applyFill="1" applyBorder="1" applyAlignment="1">
      <alignment horizontal="left" vertical="top" wrapText="1"/>
    </xf>
    <xf numFmtId="4" fontId="13" fillId="0" borderId="1" xfId="0"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0" fontId="27" fillId="0" borderId="0" xfId="0" applyFont="1" applyFill="1"/>
    <xf numFmtId="0" fontId="6" fillId="0" borderId="2" xfId="0" applyFont="1" applyFill="1" applyBorder="1" applyAlignment="1">
      <alignment horizontal="center" vertical="top" wrapText="1"/>
    </xf>
    <xf numFmtId="0" fontId="9" fillId="0" borderId="2" xfId="0" applyFont="1" applyFill="1" applyBorder="1" applyAlignment="1">
      <alignment vertical="top" wrapText="1"/>
    </xf>
    <xf numFmtId="0" fontId="13" fillId="0" borderId="3" xfId="0" applyFont="1" applyFill="1" applyBorder="1" applyAlignment="1">
      <alignment horizontal="left" vertical="top" wrapText="1"/>
    </xf>
    <xf numFmtId="0" fontId="28" fillId="0" borderId="0" xfId="0" applyFont="1" applyFill="1"/>
    <xf numFmtId="0" fontId="13" fillId="0" borderId="7" xfId="0" applyFont="1" applyFill="1" applyBorder="1" applyAlignment="1">
      <alignment horizontal="left" vertical="top" wrapText="1"/>
    </xf>
    <xf numFmtId="0" fontId="13" fillId="0" borderId="4" xfId="0" applyFont="1" applyFill="1" applyBorder="1" applyAlignment="1">
      <alignment vertical="top" wrapText="1"/>
    </xf>
    <xf numFmtId="3" fontId="27" fillId="0" borderId="4" xfId="0" applyNumberFormat="1" applyFont="1" applyFill="1" applyBorder="1"/>
    <xf numFmtId="3" fontId="14" fillId="0" borderId="1" xfId="0" applyNumberFormat="1" applyFont="1" applyFill="1" applyBorder="1" applyAlignment="1">
      <alignment horizontal="center"/>
    </xf>
    <xf numFmtId="0" fontId="29" fillId="0" borderId="1" xfId="0" applyFont="1" applyFill="1" applyBorder="1"/>
    <xf numFmtId="0" fontId="30" fillId="0" borderId="1" xfId="0" applyFont="1" applyFill="1" applyBorder="1"/>
    <xf numFmtId="3" fontId="31" fillId="0" borderId="0" xfId="0" applyNumberFormat="1" applyFont="1" applyFill="1"/>
    <xf numFmtId="0" fontId="2" fillId="0" borderId="1" xfId="0" applyFont="1" applyBorder="1" applyAlignment="1">
      <alignment horizontal="center" vertical="top" wrapText="1"/>
    </xf>
    <xf numFmtId="0" fontId="14" fillId="0" borderId="1" xfId="0" applyFont="1" applyFill="1" applyBorder="1" applyAlignment="1">
      <alignment horizontal="center" vertical="top" wrapText="1"/>
    </xf>
    <xf numFmtId="0" fontId="5" fillId="0" borderId="0" xfId="0" applyFont="1" applyBorder="1" applyAlignment="1">
      <alignment horizontal="center" vertical="center" wrapText="1"/>
    </xf>
    <xf numFmtId="0" fontId="25" fillId="0" borderId="1" xfId="0" applyFont="1" applyBorder="1" applyAlignment="1">
      <alignment horizontal="left" vertical="top" wrapText="1"/>
    </xf>
    <xf numFmtId="0" fontId="6" fillId="0" borderId="0" xfId="0" applyFont="1" applyBorder="1" applyAlignment="1">
      <alignment horizontal="center" vertical="top" wrapText="1"/>
    </xf>
    <xf numFmtId="0" fontId="25" fillId="0" borderId="5" xfId="0" applyFont="1" applyBorder="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0" fontId="7" fillId="0" borderId="13" xfId="0" applyFont="1" applyBorder="1" applyAlignment="1">
      <alignment horizontal="center" vertical="top" wrapText="1"/>
    </xf>
    <xf numFmtId="0" fontId="6" fillId="0" borderId="1" xfId="0" applyFont="1" applyFill="1" applyBorder="1" applyAlignment="1">
      <alignment horizontal="center" vertical="top" wrapText="1"/>
    </xf>
    <xf numFmtId="0" fontId="26" fillId="0" borderId="1" xfId="0" applyFont="1" applyFill="1" applyBorder="1" applyAlignment="1">
      <alignment horizontal="center" vertical="top" wrapText="1"/>
    </xf>
    <xf numFmtId="0" fontId="13" fillId="0" borderId="4" xfId="0" applyFont="1" applyFill="1" applyBorder="1" applyAlignment="1">
      <alignment horizontal="left" vertical="top" wrapText="1"/>
    </xf>
    <xf numFmtId="0" fontId="20" fillId="0" borderId="0" xfId="0" applyFont="1" applyBorder="1" applyAlignment="1">
      <alignment horizontal="center" vertical="center" wrapText="1"/>
    </xf>
    <xf numFmtId="0" fontId="27" fillId="0" borderId="1" xfId="0" applyFont="1" applyFill="1" applyBorder="1" applyAlignment="1">
      <alignment horizontal="center"/>
    </xf>
    <xf numFmtId="0" fontId="16" fillId="0" borderId="0" xfId="0" applyFont="1" applyBorder="1" applyAlignment="1">
      <alignment horizontal="center" vertical="center" wrapText="1"/>
    </xf>
    <xf numFmtId="0" fontId="14" fillId="0" borderId="1" xfId="0" quotePrefix="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view="pageBreakPreview" topLeftCell="A10" zoomScaleNormal="85" zoomScaleSheetLayoutView="100" workbookViewId="0">
      <selection activeCell="J11" sqref="J11"/>
    </sheetView>
  </sheetViews>
  <sheetFormatPr defaultRowHeight="15" x14ac:dyDescent="0.25"/>
  <cols>
    <col min="1" max="1" width="6.42578125" customWidth="1"/>
    <col min="2" max="2" width="25.28515625" style="96" customWidth="1"/>
    <col min="3" max="3" width="38.5703125" customWidth="1"/>
    <col min="4" max="4" width="32.85546875" customWidth="1"/>
    <col min="5" max="5" width="17.7109375" customWidth="1"/>
    <col min="6" max="6" width="15.5703125" customWidth="1"/>
    <col min="7" max="7" width="12.85546875" customWidth="1"/>
    <col min="8" max="8" width="18.5703125" customWidth="1"/>
    <col min="9" max="9" width="14.140625" customWidth="1"/>
    <col min="10" max="10" width="30.85546875" customWidth="1"/>
    <col min="12" max="12" width="32.140625" customWidth="1"/>
    <col min="13" max="13" width="10.28515625" bestFit="1" customWidth="1"/>
    <col min="15" max="15" width="16.7109375" customWidth="1"/>
  </cols>
  <sheetData>
    <row r="1" spans="1:10" ht="42" customHeight="1" x14ac:dyDescent="0.25">
      <c r="A1" s="179" t="s">
        <v>437</v>
      </c>
      <c r="B1" s="179"/>
      <c r="C1" s="179"/>
      <c r="D1" s="179"/>
      <c r="E1" s="179"/>
      <c r="F1" s="179"/>
      <c r="G1" s="179"/>
      <c r="H1" s="179"/>
      <c r="I1" s="179"/>
    </row>
    <row r="2" spans="1:10" ht="31.5" x14ac:dyDescent="0.25">
      <c r="A2" s="1" t="s">
        <v>0</v>
      </c>
      <c r="B2" s="1" t="s">
        <v>1</v>
      </c>
      <c r="C2" s="1" t="s">
        <v>3</v>
      </c>
      <c r="D2" s="1" t="s">
        <v>4</v>
      </c>
      <c r="E2" s="1" t="s">
        <v>5</v>
      </c>
      <c r="F2" s="1" t="s">
        <v>86</v>
      </c>
      <c r="G2" s="1" t="s">
        <v>2</v>
      </c>
      <c r="H2" s="1" t="s">
        <v>6</v>
      </c>
      <c r="I2" s="39" t="s">
        <v>85</v>
      </c>
    </row>
    <row r="3" spans="1:10" ht="126.75" customHeight="1" x14ac:dyDescent="0.25">
      <c r="A3" s="87">
        <v>1</v>
      </c>
      <c r="B3" s="93" t="s">
        <v>314</v>
      </c>
      <c r="C3" s="73" t="s">
        <v>286</v>
      </c>
      <c r="D3" s="79" t="s">
        <v>284</v>
      </c>
      <c r="E3" s="74" t="s">
        <v>287</v>
      </c>
      <c r="F3" s="80">
        <v>51663600</v>
      </c>
      <c r="G3" s="19">
        <v>29283</v>
      </c>
      <c r="H3" s="79" t="s">
        <v>285</v>
      </c>
      <c r="I3" s="81" t="s">
        <v>14</v>
      </c>
    </row>
    <row r="4" spans="1:10" ht="108.75" customHeight="1" x14ac:dyDescent="0.25">
      <c r="A4" s="87">
        <v>2</v>
      </c>
      <c r="B4" s="82" t="s">
        <v>288</v>
      </c>
      <c r="C4" s="73" t="s">
        <v>316</v>
      </c>
      <c r="D4" s="79" t="s">
        <v>306</v>
      </c>
      <c r="E4" s="82" t="s">
        <v>289</v>
      </c>
      <c r="F4" s="80">
        <v>8862064</v>
      </c>
      <c r="G4" s="19"/>
      <c r="H4" s="79" t="s">
        <v>290</v>
      </c>
      <c r="I4" s="83" t="s">
        <v>52</v>
      </c>
    </row>
    <row r="5" spans="1:10" ht="88.5" customHeight="1" x14ac:dyDescent="0.25">
      <c r="A5" s="87">
        <v>3</v>
      </c>
      <c r="B5" s="72" t="s">
        <v>315</v>
      </c>
      <c r="C5" s="73" t="s">
        <v>292</v>
      </c>
      <c r="D5" s="79" t="s">
        <v>293</v>
      </c>
      <c r="E5" s="73" t="s">
        <v>291</v>
      </c>
      <c r="F5" s="80">
        <v>5673000</v>
      </c>
      <c r="G5" s="19">
        <v>7750</v>
      </c>
      <c r="H5" s="79" t="s">
        <v>294</v>
      </c>
      <c r="I5" s="83" t="s">
        <v>52</v>
      </c>
    </row>
    <row r="6" spans="1:10" ht="68.25" customHeight="1" x14ac:dyDescent="0.25">
      <c r="A6" s="88">
        <v>4</v>
      </c>
      <c r="B6" s="94" t="s">
        <v>317</v>
      </c>
      <c r="C6" s="73" t="s">
        <v>298</v>
      </c>
      <c r="D6" s="79" t="s">
        <v>297</v>
      </c>
      <c r="E6" s="75" t="s">
        <v>295</v>
      </c>
      <c r="F6" s="84">
        <v>3671064</v>
      </c>
      <c r="G6" s="85">
        <v>7610</v>
      </c>
      <c r="H6" s="79" t="s">
        <v>296</v>
      </c>
      <c r="I6" s="81" t="s">
        <v>14</v>
      </c>
    </row>
    <row r="7" spans="1:10" ht="84.75" customHeight="1" x14ac:dyDescent="0.25">
      <c r="A7" s="88">
        <v>5</v>
      </c>
      <c r="B7" s="94" t="s">
        <v>318</v>
      </c>
      <c r="C7" s="73" t="s">
        <v>307</v>
      </c>
      <c r="D7" s="79" t="s">
        <v>304</v>
      </c>
      <c r="E7" s="71" t="s">
        <v>299</v>
      </c>
      <c r="F7" s="84">
        <v>20556714</v>
      </c>
      <c r="G7" s="77">
        <v>24472</v>
      </c>
      <c r="H7" s="79" t="s">
        <v>302</v>
      </c>
      <c r="I7" s="83" t="s">
        <v>52</v>
      </c>
    </row>
    <row r="8" spans="1:10" ht="64.5" customHeight="1" x14ac:dyDescent="0.25">
      <c r="A8" s="88">
        <v>6</v>
      </c>
      <c r="B8" s="94" t="s">
        <v>319</v>
      </c>
      <c r="C8" s="73" t="s">
        <v>300</v>
      </c>
      <c r="D8" s="79" t="s">
        <v>312</v>
      </c>
      <c r="E8" s="71" t="s">
        <v>301</v>
      </c>
      <c r="F8" s="84">
        <v>23610000</v>
      </c>
      <c r="G8" s="85">
        <v>12500</v>
      </c>
      <c r="H8" s="79" t="s">
        <v>303</v>
      </c>
      <c r="I8" s="83" t="s">
        <v>52</v>
      </c>
    </row>
    <row r="9" spans="1:10" ht="156.75" customHeight="1" x14ac:dyDescent="0.25">
      <c r="A9" s="88">
        <v>7</v>
      </c>
      <c r="B9" s="22" t="s">
        <v>320</v>
      </c>
      <c r="C9" s="92" t="s">
        <v>310</v>
      </c>
      <c r="D9" s="79" t="s">
        <v>311</v>
      </c>
      <c r="E9" s="92" t="s">
        <v>309</v>
      </c>
      <c r="F9" s="85">
        <v>8911872</v>
      </c>
      <c r="G9" s="77">
        <v>11921.28</v>
      </c>
      <c r="H9" s="79" t="s">
        <v>313</v>
      </c>
      <c r="I9" s="83" t="s">
        <v>52</v>
      </c>
      <c r="J9" s="157" t="s">
        <v>464</v>
      </c>
    </row>
    <row r="10" spans="1:10" ht="85.5" customHeight="1" x14ac:dyDescent="0.25">
      <c r="A10" s="88">
        <v>8</v>
      </c>
      <c r="B10" s="98" t="s">
        <v>421</v>
      </c>
      <c r="C10" s="70" t="s">
        <v>321</v>
      </c>
      <c r="D10" s="99" t="s">
        <v>323</v>
      </c>
      <c r="E10" s="70" t="s">
        <v>322</v>
      </c>
      <c r="F10" s="100">
        <v>11326200</v>
      </c>
      <c r="G10" s="100">
        <v>2195</v>
      </c>
      <c r="H10" s="79" t="s">
        <v>324</v>
      </c>
      <c r="I10" s="81" t="s">
        <v>14</v>
      </c>
    </row>
    <row r="11" spans="1:10" ht="133.5" customHeight="1" x14ac:dyDescent="0.25">
      <c r="A11" s="88">
        <v>9</v>
      </c>
      <c r="B11" s="70" t="s">
        <v>325</v>
      </c>
      <c r="C11" s="70" t="s">
        <v>326</v>
      </c>
      <c r="D11" s="99" t="s">
        <v>329</v>
      </c>
      <c r="E11" s="70" t="s">
        <v>327</v>
      </c>
      <c r="F11" s="101">
        <v>22941300</v>
      </c>
      <c r="G11" s="100">
        <v>21008.52</v>
      </c>
      <c r="H11" s="79" t="s">
        <v>328</v>
      </c>
      <c r="I11" s="81" t="s">
        <v>14</v>
      </c>
    </row>
    <row r="12" spans="1:10" ht="105" customHeight="1" x14ac:dyDescent="0.25">
      <c r="A12" s="88">
        <v>10</v>
      </c>
      <c r="B12" s="98" t="s">
        <v>330</v>
      </c>
      <c r="C12" s="98" t="s">
        <v>343</v>
      </c>
      <c r="D12" s="99" t="s">
        <v>332</v>
      </c>
      <c r="E12" s="98" t="s">
        <v>333</v>
      </c>
      <c r="F12" s="100">
        <v>51925440</v>
      </c>
      <c r="G12" s="100">
        <v>15454.01</v>
      </c>
      <c r="H12" s="79" t="s">
        <v>331</v>
      </c>
      <c r="I12" s="83" t="s">
        <v>52</v>
      </c>
    </row>
    <row r="13" spans="1:10" ht="78.75" customHeight="1" x14ac:dyDescent="0.25">
      <c r="A13" s="88">
        <v>11</v>
      </c>
      <c r="B13" s="70" t="s">
        <v>334</v>
      </c>
      <c r="C13" s="70" t="s">
        <v>336</v>
      </c>
      <c r="D13" s="99" t="s">
        <v>335</v>
      </c>
      <c r="E13" s="70" t="s">
        <v>337</v>
      </c>
      <c r="F13" s="100">
        <v>70909872</v>
      </c>
      <c r="G13" s="100">
        <v>9844</v>
      </c>
      <c r="H13" s="79" t="s">
        <v>338</v>
      </c>
      <c r="I13" s="83" t="s">
        <v>52</v>
      </c>
    </row>
    <row r="14" spans="1:10" ht="103.5" customHeight="1" x14ac:dyDescent="0.25">
      <c r="A14" s="88">
        <v>12</v>
      </c>
      <c r="B14" s="22" t="s">
        <v>339</v>
      </c>
      <c r="C14" s="102" t="s">
        <v>340</v>
      </c>
      <c r="D14" s="99" t="s">
        <v>341</v>
      </c>
      <c r="E14" s="99" t="s">
        <v>342</v>
      </c>
      <c r="F14" s="100">
        <v>13301448</v>
      </c>
      <c r="G14" s="100">
        <v>9622</v>
      </c>
      <c r="H14" s="79" t="s">
        <v>414</v>
      </c>
      <c r="I14" s="81" t="s">
        <v>14</v>
      </c>
    </row>
    <row r="15" spans="1:10" ht="103.5" customHeight="1" x14ac:dyDescent="0.25">
      <c r="A15" s="88">
        <v>13</v>
      </c>
      <c r="B15" s="22" t="s">
        <v>434</v>
      </c>
      <c r="C15" s="102" t="s">
        <v>435</v>
      </c>
      <c r="D15" s="99" t="s">
        <v>341</v>
      </c>
      <c r="E15" s="150" t="s">
        <v>436</v>
      </c>
      <c r="F15" s="100">
        <v>13301448</v>
      </c>
      <c r="G15" s="100">
        <v>9622</v>
      </c>
      <c r="H15" s="79" t="s">
        <v>414</v>
      </c>
      <c r="I15" s="81" t="s">
        <v>14</v>
      </c>
    </row>
    <row r="16" spans="1:10" ht="165" customHeight="1" x14ac:dyDescent="0.25">
      <c r="A16" s="88">
        <v>14</v>
      </c>
      <c r="B16" s="22" t="s">
        <v>416</v>
      </c>
      <c r="C16" s="102" t="s">
        <v>419</v>
      </c>
      <c r="D16" s="99" t="s">
        <v>418</v>
      </c>
      <c r="E16" s="149" t="s">
        <v>417</v>
      </c>
      <c r="F16" s="100">
        <v>33432856</v>
      </c>
      <c r="G16" s="100" t="s">
        <v>420</v>
      </c>
      <c r="H16" s="79" t="s">
        <v>415</v>
      </c>
      <c r="I16" s="83" t="s">
        <v>52</v>
      </c>
    </row>
    <row r="17" spans="1:9" ht="105" x14ac:dyDescent="0.25">
      <c r="A17" s="88">
        <v>15</v>
      </c>
      <c r="B17" s="70" t="s">
        <v>430</v>
      </c>
      <c r="C17" s="70" t="s">
        <v>431</v>
      </c>
      <c r="D17" s="99" t="s">
        <v>432</v>
      </c>
      <c r="E17" s="70" t="s">
        <v>433</v>
      </c>
      <c r="F17" s="100">
        <v>5437440</v>
      </c>
      <c r="G17" s="100" t="s">
        <v>423</v>
      </c>
      <c r="H17" s="79" t="s">
        <v>422</v>
      </c>
      <c r="I17" s="81" t="s">
        <v>14</v>
      </c>
    </row>
    <row r="18" spans="1:9" ht="135" x14ac:dyDescent="0.25">
      <c r="A18" s="88">
        <v>16</v>
      </c>
      <c r="B18" s="70" t="s">
        <v>424</v>
      </c>
      <c r="C18" s="70" t="s">
        <v>429</v>
      </c>
      <c r="D18" s="99" t="s">
        <v>428</v>
      </c>
      <c r="E18" s="70" t="s">
        <v>425</v>
      </c>
      <c r="F18" s="100">
        <v>16671204</v>
      </c>
      <c r="G18" s="100" t="s">
        <v>426</v>
      </c>
      <c r="H18" s="79" t="s">
        <v>427</v>
      </c>
      <c r="I18" s="83" t="s">
        <v>52</v>
      </c>
    </row>
    <row r="19" spans="1:9" ht="100.5" x14ac:dyDescent="0.25">
      <c r="A19" s="88">
        <v>17</v>
      </c>
      <c r="B19" s="94" t="s">
        <v>444</v>
      </c>
      <c r="C19" s="94" t="s">
        <v>445</v>
      </c>
      <c r="D19" s="99" t="s">
        <v>453</v>
      </c>
      <c r="E19" s="94" t="s">
        <v>446</v>
      </c>
      <c r="F19" s="100">
        <v>10469484</v>
      </c>
      <c r="G19" s="100">
        <v>12836.17</v>
      </c>
      <c r="H19" s="79" t="s">
        <v>443</v>
      </c>
      <c r="I19" s="83" t="s">
        <v>52</v>
      </c>
    </row>
    <row r="20" spans="1:9" ht="100.5" x14ac:dyDescent="0.25">
      <c r="A20" s="88">
        <v>18</v>
      </c>
      <c r="B20" s="94" t="s">
        <v>447</v>
      </c>
      <c r="C20" s="94" t="s">
        <v>449</v>
      </c>
      <c r="D20" s="99" t="s">
        <v>452</v>
      </c>
      <c r="E20" s="94" t="s">
        <v>450</v>
      </c>
      <c r="F20" s="100">
        <v>38292276</v>
      </c>
      <c r="G20" s="100" t="s">
        <v>451</v>
      </c>
      <c r="H20" s="79" t="s">
        <v>448</v>
      </c>
      <c r="I20" s="83" t="s">
        <v>52</v>
      </c>
    </row>
    <row r="21" spans="1:9" ht="75" x14ac:dyDescent="0.25">
      <c r="A21" s="88">
        <v>19</v>
      </c>
      <c r="B21" s="151" t="s">
        <v>438</v>
      </c>
      <c r="C21" s="94" t="s">
        <v>439</v>
      </c>
      <c r="D21" s="99" t="s">
        <v>440</v>
      </c>
      <c r="E21" s="94" t="s">
        <v>441</v>
      </c>
      <c r="F21" s="100">
        <v>17738376</v>
      </c>
      <c r="G21" s="100">
        <v>15725.51</v>
      </c>
      <c r="H21" s="79" t="s">
        <v>442</v>
      </c>
      <c r="I21" s="81" t="s">
        <v>14</v>
      </c>
    </row>
    <row r="22" spans="1:9" ht="120" x14ac:dyDescent="0.25">
      <c r="A22" s="88">
        <v>20</v>
      </c>
      <c r="B22" s="152" t="s">
        <v>454</v>
      </c>
      <c r="C22" s="153" t="s">
        <v>455</v>
      </c>
      <c r="D22" s="154" t="s">
        <v>458</v>
      </c>
      <c r="E22" s="155" t="s">
        <v>460</v>
      </c>
      <c r="F22" s="100">
        <v>37313616</v>
      </c>
      <c r="G22" s="100">
        <v>12242</v>
      </c>
      <c r="H22" s="79" t="s">
        <v>456</v>
      </c>
      <c r="I22" s="83" t="s">
        <v>52</v>
      </c>
    </row>
    <row r="23" spans="1:9" ht="130.5" x14ac:dyDescent="0.25">
      <c r="A23" s="88">
        <v>21</v>
      </c>
      <c r="B23" s="156" t="s">
        <v>462</v>
      </c>
      <c r="C23" s="156" t="s">
        <v>463</v>
      </c>
      <c r="D23" s="154" t="s">
        <v>459</v>
      </c>
      <c r="E23" s="156" t="s">
        <v>461</v>
      </c>
      <c r="F23" s="100">
        <v>2123400</v>
      </c>
      <c r="G23" s="100">
        <v>4101</v>
      </c>
      <c r="H23" s="79" t="s">
        <v>457</v>
      </c>
      <c r="I23" s="83" t="s">
        <v>52</v>
      </c>
    </row>
    <row r="24" spans="1:9" x14ac:dyDescent="0.25">
      <c r="A24" s="88"/>
      <c r="B24" s="70"/>
      <c r="C24" s="70"/>
      <c r="D24" s="99"/>
      <c r="E24" s="70"/>
      <c r="F24" s="100"/>
      <c r="G24" s="100"/>
      <c r="H24" s="79"/>
      <c r="I24" s="83"/>
    </row>
    <row r="25" spans="1:9" x14ac:dyDescent="0.25">
      <c r="A25" s="180"/>
      <c r="B25" s="180"/>
      <c r="C25" s="180"/>
      <c r="D25" s="180"/>
      <c r="E25" s="180"/>
      <c r="F25" s="89">
        <f>SUM(F3:F21)</f>
        <v>428695658</v>
      </c>
      <c r="G25" s="86"/>
      <c r="H25" s="86"/>
      <c r="I25" s="86"/>
    </row>
    <row r="26" spans="1:9" ht="15.75" x14ac:dyDescent="0.25">
      <c r="B26" s="95" t="s">
        <v>94</v>
      </c>
      <c r="C26" s="33">
        <v>289314782</v>
      </c>
      <c r="D26" s="32">
        <v>11</v>
      </c>
    </row>
    <row r="27" spans="1:9" ht="15.75" x14ac:dyDescent="0.25">
      <c r="B27" s="95" t="s">
        <v>93</v>
      </c>
      <c r="C27" s="33">
        <v>102903612</v>
      </c>
      <c r="D27" s="32">
        <v>8</v>
      </c>
    </row>
    <row r="28" spans="1:9" ht="15.75" x14ac:dyDescent="0.25">
      <c r="B28" s="95" t="s">
        <v>92</v>
      </c>
      <c r="C28" s="33">
        <f>SUM(C26:C27)</f>
        <v>392218394</v>
      </c>
      <c r="D28" s="32">
        <f>SUM(D26:D27)</f>
        <v>19</v>
      </c>
    </row>
    <row r="50" spans="2:8" x14ac:dyDescent="0.25">
      <c r="C50" s="2"/>
      <c r="D50" s="2"/>
      <c r="E50" s="2"/>
      <c r="F50" s="2"/>
      <c r="G50" s="2"/>
      <c r="H50" s="2"/>
    </row>
    <row r="51" spans="2:8" x14ac:dyDescent="0.25">
      <c r="C51" s="2"/>
      <c r="D51" s="2"/>
      <c r="E51" s="2"/>
      <c r="F51" s="2"/>
      <c r="G51" s="2"/>
      <c r="H51" s="2"/>
    </row>
    <row r="52" spans="2:8" x14ac:dyDescent="0.25">
      <c r="C52" s="2"/>
      <c r="D52" s="2"/>
      <c r="E52" s="2"/>
      <c r="F52" s="2"/>
      <c r="G52" s="2"/>
      <c r="H52" s="2"/>
    </row>
    <row r="53" spans="2:8" x14ac:dyDescent="0.25">
      <c r="C53" s="2"/>
      <c r="D53" s="2"/>
      <c r="E53" s="2"/>
      <c r="F53" s="2"/>
      <c r="G53" s="2"/>
      <c r="H53" s="2"/>
    </row>
    <row r="54" spans="2:8" x14ac:dyDescent="0.25">
      <c r="C54" s="2"/>
      <c r="D54" s="2"/>
      <c r="E54" s="2"/>
      <c r="F54" s="2"/>
      <c r="G54" s="2"/>
      <c r="H54" s="2"/>
    </row>
    <row r="55" spans="2:8" x14ac:dyDescent="0.25">
      <c r="C55" s="2"/>
      <c r="D55" s="2"/>
      <c r="E55" s="2"/>
      <c r="F55" s="2"/>
      <c r="G55" s="2"/>
      <c r="H55" s="2"/>
    </row>
    <row r="56" spans="2:8" x14ac:dyDescent="0.25">
      <c r="C56" s="31"/>
      <c r="D56" s="30"/>
      <c r="E56" s="2"/>
      <c r="F56" s="2"/>
      <c r="G56" s="2"/>
      <c r="H56" s="2"/>
    </row>
    <row r="57" spans="2:8" x14ac:dyDescent="0.25">
      <c r="C57" s="2"/>
      <c r="D57" s="2"/>
      <c r="E57" s="2"/>
      <c r="F57" s="2"/>
      <c r="G57" s="2"/>
      <c r="H57" s="2"/>
    </row>
    <row r="58" spans="2:8" x14ac:dyDescent="0.25">
      <c r="C58" s="2"/>
      <c r="D58" s="2"/>
      <c r="E58" s="2"/>
      <c r="F58" s="2"/>
      <c r="G58" s="2"/>
      <c r="H58" s="2"/>
    </row>
    <row r="59" spans="2:8" x14ac:dyDescent="0.25">
      <c r="C59" s="2"/>
      <c r="D59" s="2"/>
      <c r="E59" s="2"/>
      <c r="F59" s="2"/>
      <c r="G59" s="2"/>
      <c r="H59" s="2"/>
    </row>
    <row r="60" spans="2:8" x14ac:dyDescent="0.25">
      <c r="C60" s="2"/>
      <c r="D60" s="2"/>
      <c r="E60" s="2"/>
      <c r="F60" s="2"/>
      <c r="G60" s="2"/>
      <c r="H60" s="2"/>
    </row>
    <row r="62" spans="2:8" ht="0.75" customHeight="1" x14ac:dyDescent="0.25"/>
    <row r="63" spans="2:8" s="2" customFormat="1" x14ac:dyDescent="0.25">
      <c r="B63" s="97"/>
    </row>
    <row r="64" spans="2:8" s="2" customFormat="1" x14ac:dyDescent="0.25">
      <c r="B64" s="97"/>
    </row>
    <row r="65" spans="2:8" s="2" customFormat="1" x14ac:dyDescent="0.25">
      <c r="B65" s="97"/>
    </row>
    <row r="66" spans="2:8" s="2" customFormat="1" x14ac:dyDescent="0.25">
      <c r="B66" s="97"/>
    </row>
    <row r="67" spans="2:8" s="2" customFormat="1" x14ac:dyDescent="0.25">
      <c r="B67" s="97"/>
    </row>
    <row r="68" spans="2:8" s="2" customFormat="1" x14ac:dyDescent="0.25">
      <c r="B68" s="97"/>
    </row>
    <row r="69" spans="2:8" s="2" customFormat="1" x14ac:dyDescent="0.25">
      <c r="B69" s="40"/>
      <c r="C69" s="40"/>
      <c r="D69" s="41"/>
      <c r="E69" s="40"/>
      <c r="F69" s="42"/>
      <c r="G69" s="43"/>
      <c r="H69" s="44"/>
    </row>
    <row r="70" spans="2:8" s="2" customFormat="1" x14ac:dyDescent="0.25">
      <c r="B70" s="44"/>
      <c r="C70" s="44"/>
      <c r="D70" s="44"/>
      <c r="E70" s="44"/>
      <c r="F70" s="45"/>
      <c r="G70" s="45"/>
      <c r="H70" s="44"/>
    </row>
  </sheetData>
  <autoFilter ref="A2:I28"/>
  <mergeCells count="2">
    <mergeCell ref="A1:I1"/>
    <mergeCell ref="A25:E25"/>
  </mergeCells>
  <pageMargins left="0.39370078740157483" right="0.19685039370078741" top="0.23622047244094491" bottom="0.23622047244094491" header="3.937007874015748E-2" footer="3.937007874015748E-2"/>
  <pageSetup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2"/>
  <sheetViews>
    <sheetView topLeftCell="A15" zoomScale="85" zoomScaleNormal="85" workbookViewId="0">
      <selection activeCell="A2" sqref="A2:H22"/>
    </sheetView>
  </sheetViews>
  <sheetFormatPr defaultRowHeight="15" x14ac:dyDescent="0.25"/>
  <cols>
    <col min="1" max="1" width="6.42578125" customWidth="1"/>
    <col min="2" max="2" width="19.28515625" customWidth="1"/>
    <col min="3" max="3" width="39.85546875" customWidth="1"/>
    <col min="4" max="4" width="26.28515625" customWidth="1"/>
    <col min="5" max="5" width="17.140625" customWidth="1"/>
    <col min="6" max="6" width="13.7109375" customWidth="1"/>
    <col min="7" max="7" width="19.7109375" customWidth="1"/>
    <col min="8" max="8" width="14.140625" customWidth="1"/>
    <col min="9" max="9" width="16.7109375" customWidth="1"/>
    <col min="10" max="10" width="15.140625" customWidth="1"/>
    <col min="11" max="11" width="22.7109375" customWidth="1"/>
    <col min="13" max="13" width="9.28515625" bestFit="1" customWidth="1"/>
  </cols>
  <sheetData>
    <row r="2" spans="1:12" ht="42" customHeight="1" x14ac:dyDescent="0.25">
      <c r="A2" s="179" t="s">
        <v>344</v>
      </c>
      <c r="B2" s="179"/>
      <c r="C2" s="179"/>
      <c r="D2" s="179"/>
      <c r="E2" s="179"/>
      <c r="F2" s="179"/>
      <c r="G2" s="179"/>
      <c r="H2" s="179"/>
      <c r="I2" s="105"/>
      <c r="K2" s="3"/>
    </row>
    <row r="3" spans="1:12" ht="30" x14ac:dyDescent="0.25">
      <c r="A3" s="1" t="s">
        <v>0</v>
      </c>
      <c r="B3" s="1" t="s">
        <v>1</v>
      </c>
      <c r="C3" s="1" t="s">
        <v>3</v>
      </c>
      <c r="D3" s="1" t="s">
        <v>4</v>
      </c>
      <c r="E3" s="1" t="s">
        <v>5</v>
      </c>
      <c r="F3" s="1" t="s">
        <v>2</v>
      </c>
      <c r="G3" s="1" t="s">
        <v>6</v>
      </c>
      <c r="H3" s="106" t="s">
        <v>85</v>
      </c>
      <c r="I3" s="103" t="s">
        <v>50</v>
      </c>
      <c r="J3" s="107" t="s">
        <v>345</v>
      </c>
      <c r="K3" s="107" t="s">
        <v>346</v>
      </c>
      <c r="L3" s="107" t="s">
        <v>347</v>
      </c>
    </row>
    <row r="4" spans="1:12" ht="120" x14ac:dyDescent="0.25">
      <c r="A4" s="46">
        <v>1</v>
      </c>
      <c r="B4" s="36" t="s">
        <v>348</v>
      </c>
      <c r="C4" s="27" t="s">
        <v>349</v>
      </c>
      <c r="D4" s="18" t="s">
        <v>350</v>
      </c>
      <c r="E4" s="27" t="s">
        <v>351</v>
      </c>
      <c r="F4" s="20">
        <v>7203</v>
      </c>
      <c r="G4" s="18" t="s">
        <v>352</v>
      </c>
      <c r="H4" s="108" t="s">
        <v>52</v>
      </c>
      <c r="I4" s="103"/>
      <c r="J4" s="109"/>
      <c r="K4" s="109"/>
      <c r="L4" s="109"/>
    </row>
    <row r="5" spans="1:12" ht="135" x14ac:dyDescent="0.25">
      <c r="A5" s="46">
        <v>2</v>
      </c>
      <c r="B5" s="18" t="s">
        <v>353</v>
      </c>
      <c r="C5" s="27" t="s">
        <v>354</v>
      </c>
      <c r="D5" s="51" t="s">
        <v>355</v>
      </c>
      <c r="E5" s="27" t="s">
        <v>356</v>
      </c>
      <c r="F5" s="29">
        <v>12480</v>
      </c>
      <c r="G5" s="18" t="s">
        <v>357</v>
      </c>
      <c r="H5" s="108" t="s">
        <v>14</v>
      </c>
      <c r="I5" s="103"/>
      <c r="J5" s="109"/>
      <c r="K5" s="109"/>
      <c r="L5" s="109"/>
    </row>
    <row r="6" spans="1:12" ht="60" x14ac:dyDescent="0.25">
      <c r="A6" s="46">
        <v>3</v>
      </c>
      <c r="B6" s="18" t="s">
        <v>358</v>
      </c>
      <c r="C6" s="27" t="s">
        <v>359</v>
      </c>
      <c r="D6" s="51" t="s">
        <v>360</v>
      </c>
      <c r="E6" s="27" t="s">
        <v>361</v>
      </c>
      <c r="F6" s="29">
        <v>5350</v>
      </c>
      <c r="G6" s="18" t="s">
        <v>362</v>
      </c>
      <c r="H6" s="108" t="s">
        <v>14</v>
      </c>
      <c r="I6" s="103"/>
      <c r="J6" s="109"/>
      <c r="K6" s="109"/>
      <c r="L6" s="109"/>
    </row>
    <row r="7" spans="1:12" ht="120" x14ac:dyDescent="0.25">
      <c r="A7" s="46">
        <v>4</v>
      </c>
      <c r="B7" s="27" t="s">
        <v>363</v>
      </c>
      <c r="C7" s="27" t="s">
        <v>364</v>
      </c>
      <c r="D7" s="18" t="s">
        <v>365</v>
      </c>
      <c r="E7" s="27" t="s">
        <v>366</v>
      </c>
      <c r="F7" s="47">
        <v>12242</v>
      </c>
      <c r="G7" s="49" t="s">
        <v>367</v>
      </c>
      <c r="H7" s="108" t="s">
        <v>14</v>
      </c>
      <c r="I7" s="103"/>
      <c r="J7" s="109"/>
      <c r="K7" s="109"/>
      <c r="L7" s="109"/>
    </row>
    <row r="8" spans="1:12" ht="150" x14ac:dyDescent="0.25">
      <c r="A8" s="46">
        <v>5</v>
      </c>
      <c r="B8" s="18" t="s">
        <v>368</v>
      </c>
      <c r="C8" s="27" t="s">
        <v>369</v>
      </c>
      <c r="D8" s="18" t="s">
        <v>370</v>
      </c>
      <c r="E8" s="27" t="s">
        <v>371</v>
      </c>
      <c r="F8" s="29">
        <v>5175</v>
      </c>
      <c r="G8" s="49" t="s">
        <v>372</v>
      </c>
      <c r="H8" s="108" t="s">
        <v>8</v>
      </c>
      <c r="I8" s="103"/>
      <c r="J8" s="109"/>
      <c r="K8" s="109"/>
      <c r="L8" s="109"/>
    </row>
    <row r="9" spans="1:12" ht="60" x14ac:dyDescent="0.25">
      <c r="A9" s="46">
        <v>6</v>
      </c>
      <c r="B9" s="18" t="s">
        <v>373</v>
      </c>
      <c r="C9" s="27" t="s">
        <v>374</v>
      </c>
      <c r="D9" s="18" t="s">
        <v>375</v>
      </c>
      <c r="E9" s="27" t="s">
        <v>376</v>
      </c>
      <c r="F9" s="29">
        <v>71398.2</v>
      </c>
      <c r="G9" s="49" t="s">
        <v>377</v>
      </c>
      <c r="H9" s="108" t="s">
        <v>8</v>
      </c>
      <c r="I9" s="103"/>
      <c r="J9" s="109"/>
      <c r="K9" s="109"/>
      <c r="L9" s="109"/>
    </row>
    <row r="10" spans="1:12" ht="150" x14ac:dyDescent="0.25">
      <c r="A10" s="46">
        <v>7</v>
      </c>
      <c r="B10" s="18" t="s">
        <v>378</v>
      </c>
      <c r="C10" s="27" t="s">
        <v>379</v>
      </c>
      <c r="D10" s="18" t="s">
        <v>380</v>
      </c>
      <c r="E10" s="27" t="s">
        <v>381</v>
      </c>
      <c r="F10" s="29">
        <v>14690</v>
      </c>
      <c r="G10" s="49" t="s">
        <v>382</v>
      </c>
      <c r="H10" s="108" t="s">
        <v>14</v>
      </c>
      <c r="I10" s="103"/>
      <c r="J10" s="109"/>
      <c r="K10" s="109"/>
      <c r="L10" s="109"/>
    </row>
    <row r="11" spans="1:12" ht="90" x14ac:dyDescent="0.25">
      <c r="A11" s="46">
        <v>8</v>
      </c>
      <c r="B11" s="36" t="s">
        <v>383</v>
      </c>
      <c r="C11" s="27" t="s">
        <v>384</v>
      </c>
      <c r="D11" s="18" t="s">
        <v>385</v>
      </c>
      <c r="E11" s="27" t="s">
        <v>386</v>
      </c>
      <c r="F11" s="20">
        <v>12530</v>
      </c>
      <c r="G11" s="18" t="s">
        <v>387</v>
      </c>
      <c r="H11" s="110"/>
      <c r="I11" s="103"/>
      <c r="J11" s="109"/>
      <c r="K11" s="109"/>
      <c r="L11" s="109"/>
    </row>
    <row r="12" spans="1:12" ht="75" x14ac:dyDescent="0.25">
      <c r="A12" s="46">
        <v>9</v>
      </c>
      <c r="B12" s="27" t="s">
        <v>9</v>
      </c>
      <c r="C12" s="27" t="s">
        <v>10</v>
      </c>
      <c r="D12" s="18" t="s">
        <v>11</v>
      </c>
      <c r="E12" s="27" t="s">
        <v>12</v>
      </c>
      <c r="F12" s="104">
        <v>1760</v>
      </c>
      <c r="G12" s="18" t="s">
        <v>13</v>
      </c>
      <c r="H12" s="111" t="s">
        <v>14</v>
      </c>
      <c r="I12" s="103"/>
      <c r="J12" s="109"/>
      <c r="K12" s="109"/>
      <c r="L12" s="109"/>
    </row>
    <row r="13" spans="1:12" ht="90" x14ac:dyDescent="0.25">
      <c r="A13" s="48">
        <v>10</v>
      </c>
      <c r="B13" s="18" t="s">
        <v>42</v>
      </c>
      <c r="C13" s="28" t="s">
        <v>43</v>
      </c>
      <c r="D13" s="18" t="s">
        <v>388</v>
      </c>
      <c r="E13" s="18" t="s">
        <v>44</v>
      </c>
      <c r="F13" s="112">
        <v>5276</v>
      </c>
      <c r="G13" s="18" t="s">
        <v>45</v>
      </c>
      <c r="H13" s="111" t="s">
        <v>8</v>
      </c>
      <c r="I13" s="103"/>
      <c r="J13" s="109"/>
      <c r="K13" s="109"/>
      <c r="L13" s="109"/>
    </row>
    <row r="14" spans="1:12" ht="105" x14ac:dyDescent="0.25">
      <c r="A14" s="48">
        <v>11</v>
      </c>
      <c r="B14" s="18" t="s">
        <v>46</v>
      </c>
      <c r="C14" s="18" t="s">
        <v>389</v>
      </c>
      <c r="D14" s="18" t="s">
        <v>47</v>
      </c>
      <c r="E14" s="18" t="s">
        <v>48</v>
      </c>
      <c r="F14" s="104">
        <v>3277</v>
      </c>
      <c r="G14" s="18" t="s">
        <v>49</v>
      </c>
      <c r="H14" s="111" t="s">
        <v>8</v>
      </c>
      <c r="I14" s="103"/>
      <c r="J14" s="109"/>
      <c r="K14" s="109"/>
      <c r="L14" s="109"/>
    </row>
    <row r="15" spans="1:12" ht="120" x14ac:dyDescent="0.25">
      <c r="A15" s="48">
        <v>12</v>
      </c>
      <c r="B15" s="18" t="s">
        <v>84</v>
      </c>
      <c r="C15" s="18" t="s">
        <v>390</v>
      </c>
      <c r="D15" s="18" t="s">
        <v>83</v>
      </c>
      <c r="E15" s="18" t="s">
        <v>82</v>
      </c>
      <c r="F15" s="20">
        <v>14071.06</v>
      </c>
      <c r="G15" s="18" t="s">
        <v>81</v>
      </c>
      <c r="H15" s="104" t="s">
        <v>52</v>
      </c>
      <c r="I15" s="103"/>
      <c r="J15" s="109"/>
      <c r="K15" s="109"/>
      <c r="L15" s="109"/>
    </row>
    <row r="16" spans="1:12" ht="120" customHeight="1" x14ac:dyDescent="0.25">
      <c r="A16" s="20">
        <v>13</v>
      </c>
      <c r="B16" s="18" t="s">
        <v>80</v>
      </c>
      <c r="C16" s="18" t="s">
        <v>79</v>
      </c>
      <c r="D16" s="18" t="s">
        <v>78</v>
      </c>
      <c r="E16" s="18" t="s">
        <v>77</v>
      </c>
      <c r="F16" s="20">
        <v>9844</v>
      </c>
      <c r="G16" s="18" t="s">
        <v>76</v>
      </c>
      <c r="H16" s="112" t="s">
        <v>52</v>
      </c>
      <c r="I16" s="113">
        <v>202717824</v>
      </c>
      <c r="K16" s="3"/>
    </row>
    <row r="17" spans="1:11" ht="90" customHeight="1" x14ac:dyDescent="0.25">
      <c r="A17" s="20">
        <v>14</v>
      </c>
      <c r="B17" s="21" t="s">
        <v>75</v>
      </c>
      <c r="C17" s="18" t="s">
        <v>391</v>
      </c>
      <c r="D17" s="18" t="s">
        <v>74</v>
      </c>
      <c r="E17" s="18" t="s">
        <v>73</v>
      </c>
      <c r="F17" s="26">
        <v>28462.58</v>
      </c>
      <c r="G17" s="18" t="s">
        <v>72</v>
      </c>
      <c r="H17" s="104" t="s">
        <v>14</v>
      </c>
      <c r="I17" s="113">
        <v>141819744</v>
      </c>
      <c r="K17" s="3"/>
    </row>
    <row r="18" spans="1:11" ht="80.25" customHeight="1" x14ac:dyDescent="0.25">
      <c r="A18" s="20">
        <v>15</v>
      </c>
      <c r="B18" s="21" t="s">
        <v>71</v>
      </c>
      <c r="C18" s="21" t="s">
        <v>70</v>
      </c>
      <c r="D18" s="21" t="s">
        <v>69</v>
      </c>
      <c r="E18" s="21" t="s">
        <v>68</v>
      </c>
      <c r="F18" s="25">
        <v>5975</v>
      </c>
      <c r="G18" s="21" t="s">
        <v>67</v>
      </c>
      <c r="H18" s="104" t="s">
        <v>52</v>
      </c>
      <c r="I18" s="113">
        <v>256163220</v>
      </c>
      <c r="J18">
        <v>85387740</v>
      </c>
      <c r="K18" s="3"/>
    </row>
    <row r="19" spans="1:11" ht="77.25" customHeight="1" x14ac:dyDescent="0.25">
      <c r="A19" s="20">
        <v>16</v>
      </c>
      <c r="B19" s="50" t="s">
        <v>66</v>
      </c>
      <c r="C19" s="50" t="s">
        <v>65</v>
      </c>
      <c r="D19" s="24" t="s">
        <v>64</v>
      </c>
      <c r="E19" s="50" t="s">
        <v>63</v>
      </c>
      <c r="F19" s="29">
        <v>551</v>
      </c>
      <c r="G19" s="21" t="s">
        <v>62</v>
      </c>
      <c r="H19" s="104" t="s">
        <v>52</v>
      </c>
      <c r="I19" s="114">
        <v>35884224</v>
      </c>
      <c r="K19" s="3"/>
    </row>
    <row r="20" spans="1:11" ht="73.5" customHeight="1" x14ac:dyDescent="0.25">
      <c r="A20" s="20">
        <v>17</v>
      </c>
      <c r="B20" s="50" t="s">
        <v>61</v>
      </c>
      <c r="C20" s="50" t="s">
        <v>392</v>
      </c>
      <c r="D20" s="21" t="s">
        <v>60</v>
      </c>
      <c r="E20" s="52" t="s">
        <v>59</v>
      </c>
      <c r="F20" s="29">
        <v>25865.15</v>
      </c>
      <c r="G20" s="21" t="s">
        <v>58</v>
      </c>
      <c r="H20" s="104" t="s">
        <v>52</v>
      </c>
      <c r="I20" s="114">
        <v>3222360</v>
      </c>
      <c r="K20" s="3"/>
    </row>
    <row r="21" spans="1:11" ht="60" x14ac:dyDescent="0.25">
      <c r="A21" s="20">
        <v>18</v>
      </c>
      <c r="B21" s="50" t="s">
        <v>57</v>
      </c>
      <c r="C21" s="52" t="s">
        <v>56</v>
      </c>
      <c r="D21" s="21" t="s">
        <v>55</v>
      </c>
      <c r="E21" s="18" t="s">
        <v>54</v>
      </c>
      <c r="F21" s="29">
        <v>2702</v>
      </c>
      <c r="G21" s="23" t="s">
        <v>53</v>
      </c>
      <c r="H21" s="104" t="s">
        <v>52</v>
      </c>
      <c r="I21" s="114">
        <v>620763600</v>
      </c>
      <c r="K21" s="3"/>
    </row>
    <row r="22" spans="1:11" ht="69.75" customHeight="1" x14ac:dyDescent="0.25">
      <c r="A22" s="20">
        <v>19</v>
      </c>
      <c r="B22" s="56" t="s">
        <v>215</v>
      </c>
      <c r="C22" s="56" t="s">
        <v>393</v>
      </c>
      <c r="D22" s="28" t="s">
        <v>394</v>
      </c>
      <c r="E22" s="57" t="s">
        <v>212</v>
      </c>
      <c r="F22" s="57">
        <v>18673</v>
      </c>
      <c r="G22" s="18" t="s">
        <v>211</v>
      </c>
      <c r="H22" s="53" t="s">
        <v>14</v>
      </c>
      <c r="I22" s="115"/>
      <c r="K22" s="3"/>
    </row>
    <row r="23" spans="1:11" x14ac:dyDescent="0.25">
      <c r="A23" s="116"/>
      <c r="K23" s="3"/>
    </row>
    <row r="24" spans="1:11" ht="24.75" customHeight="1" thickBot="1" x14ac:dyDescent="0.3">
      <c r="A24" s="17"/>
      <c r="B24" s="16"/>
      <c r="C24" s="14" t="s">
        <v>51</v>
      </c>
      <c r="D24" s="15"/>
      <c r="E24" s="15"/>
      <c r="F24" s="14">
        <f>SUM(F15:F20)</f>
        <v>84768.790000000008</v>
      </c>
      <c r="G24" s="13"/>
      <c r="H24" s="12"/>
      <c r="I24" s="117"/>
      <c r="K24" s="3"/>
    </row>
    <row r="25" spans="1:11" ht="54" customHeight="1" x14ac:dyDescent="0.25">
      <c r="A25" s="118">
        <v>24</v>
      </c>
      <c r="B25" s="119"/>
      <c r="C25" s="120"/>
      <c r="D25" s="121"/>
      <c r="E25" s="121"/>
      <c r="F25" s="121"/>
      <c r="G25" s="121"/>
      <c r="H25" s="11"/>
      <c r="I25" s="122"/>
      <c r="K25" s="3"/>
    </row>
    <row r="26" spans="1:11" ht="67.5" customHeight="1" x14ac:dyDescent="0.25">
      <c r="A26" s="123">
        <v>25</v>
      </c>
      <c r="B26" s="124"/>
      <c r="C26" s="125"/>
      <c r="D26" s="124"/>
      <c r="E26" s="124"/>
      <c r="F26" s="124"/>
      <c r="G26" s="124"/>
      <c r="H26" s="11"/>
      <c r="I26" s="122"/>
      <c r="K26" s="3"/>
    </row>
    <row r="27" spans="1:11" ht="61.5" customHeight="1" x14ac:dyDescent="0.25">
      <c r="A27" s="123">
        <v>26</v>
      </c>
      <c r="B27" s="124"/>
      <c r="C27" s="124"/>
      <c r="D27" s="124"/>
      <c r="E27" s="124"/>
      <c r="F27" s="124"/>
      <c r="G27" s="124"/>
      <c r="H27" s="126"/>
      <c r="I27" s="122"/>
      <c r="K27" s="3"/>
    </row>
    <row r="28" spans="1:11" ht="64.5" customHeight="1" x14ac:dyDescent="0.25">
      <c r="A28" s="123">
        <v>27</v>
      </c>
      <c r="B28" s="124"/>
      <c r="C28" s="124"/>
      <c r="D28" s="124"/>
      <c r="E28" s="124"/>
      <c r="F28" s="124"/>
      <c r="G28" s="124"/>
      <c r="H28" s="126"/>
      <c r="I28" s="122"/>
      <c r="K28" s="3"/>
    </row>
    <row r="29" spans="1:11" ht="68.25" customHeight="1" x14ac:dyDescent="0.25">
      <c r="A29" s="123">
        <v>28</v>
      </c>
      <c r="B29" s="124"/>
      <c r="C29" s="124"/>
      <c r="D29" s="124"/>
      <c r="E29" s="124"/>
      <c r="F29" s="124"/>
      <c r="G29" s="124"/>
      <c r="H29" s="126"/>
      <c r="I29" s="122"/>
      <c r="K29" s="3"/>
    </row>
    <row r="30" spans="1:11" ht="73.5" customHeight="1" x14ac:dyDescent="0.25">
      <c r="A30" s="123">
        <v>29</v>
      </c>
      <c r="B30" s="124"/>
      <c r="C30" s="124"/>
      <c r="D30" s="124"/>
      <c r="E30" s="124"/>
      <c r="F30" s="124"/>
      <c r="G30" s="124"/>
      <c r="H30" s="11"/>
      <c r="I30" s="122"/>
      <c r="K30" s="3"/>
    </row>
    <row r="31" spans="1:11" ht="54.75" customHeight="1" x14ac:dyDescent="0.25">
      <c r="A31" s="127"/>
      <c r="B31" s="184" t="s">
        <v>395</v>
      </c>
      <c r="C31" s="185"/>
      <c r="D31" s="185"/>
      <c r="E31" s="185"/>
      <c r="F31" s="185"/>
      <c r="G31" s="186"/>
      <c r="H31" s="128"/>
      <c r="I31" s="127">
        <f>SUM(I16:I19)</f>
        <v>636585012</v>
      </c>
      <c r="K31" s="124"/>
    </row>
    <row r="32" spans="1:11" ht="125.25" customHeight="1" x14ac:dyDescent="0.25">
      <c r="A32" s="127"/>
      <c r="B32" s="129"/>
      <c r="C32" s="129"/>
      <c r="D32" s="121"/>
      <c r="E32" s="129"/>
      <c r="F32" s="129"/>
      <c r="G32" s="121"/>
      <c r="H32" s="3"/>
      <c r="I32" s="127"/>
      <c r="K32" s="3"/>
    </row>
    <row r="33" spans="1:11" ht="74.25" customHeight="1" x14ac:dyDescent="0.25">
      <c r="A33" s="127"/>
      <c r="B33" s="130"/>
      <c r="C33" s="130"/>
      <c r="D33" s="124"/>
      <c r="E33" s="130"/>
      <c r="F33" s="130"/>
      <c r="G33" s="124"/>
      <c r="H33" s="3"/>
      <c r="I33" s="127"/>
      <c r="K33" s="3"/>
    </row>
    <row r="34" spans="1:11" ht="105.75" customHeight="1" x14ac:dyDescent="0.25">
      <c r="A34" s="127"/>
      <c r="B34" s="130"/>
      <c r="C34" s="130"/>
      <c r="D34" s="124"/>
      <c r="E34" s="130"/>
      <c r="F34" s="130"/>
      <c r="G34" s="124"/>
      <c r="H34" s="3"/>
      <c r="I34" s="127"/>
      <c r="K34" s="3"/>
    </row>
    <row r="35" spans="1:11" ht="99.75" customHeight="1" x14ac:dyDescent="0.25">
      <c r="A35" s="127"/>
      <c r="B35" s="130"/>
      <c r="C35" s="130"/>
      <c r="D35" s="124"/>
      <c r="E35" s="130"/>
      <c r="F35" s="130"/>
      <c r="G35" s="124"/>
      <c r="H35" s="3"/>
      <c r="I35" s="127"/>
      <c r="K35" s="3"/>
    </row>
    <row r="36" spans="1:11" ht="99.75" customHeight="1" x14ac:dyDescent="0.25">
      <c r="A36" s="127"/>
      <c r="B36" s="130"/>
      <c r="C36" s="130"/>
      <c r="D36" s="124"/>
      <c r="E36" s="130"/>
      <c r="F36" s="130"/>
      <c r="G36" s="124"/>
      <c r="H36" s="3"/>
      <c r="I36" s="127"/>
      <c r="K36" s="3"/>
    </row>
    <row r="37" spans="1:11" x14ac:dyDescent="0.25">
      <c r="A37" s="127"/>
      <c r="B37" s="130"/>
      <c r="C37" s="130"/>
      <c r="D37" s="124"/>
      <c r="E37" s="130"/>
      <c r="F37" s="130"/>
      <c r="G37" s="124"/>
      <c r="H37" s="3"/>
      <c r="I37" s="127"/>
      <c r="K37" s="3"/>
    </row>
    <row r="38" spans="1:11" ht="142.5" customHeight="1" x14ac:dyDescent="0.25">
      <c r="A38" s="127"/>
      <c r="B38" s="124"/>
      <c r="C38" s="130"/>
      <c r="D38" s="131"/>
      <c r="E38" s="130"/>
      <c r="F38" s="130"/>
      <c r="G38" s="124"/>
      <c r="H38" s="132"/>
      <c r="I38" s="133"/>
      <c r="K38" s="3"/>
    </row>
    <row r="39" spans="1:11" x14ac:dyDescent="0.25">
      <c r="A39" s="127"/>
      <c r="B39" s="124"/>
      <c r="C39" s="130"/>
      <c r="D39" s="124"/>
      <c r="E39" s="130"/>
      <c r="F39" s="130"/>
      <c r="G39" s="124"/>
      <c r="H39" s="133"/>
      <c r="I39" s="133"/>
      <c r="K39" s="3"/>
    </row>
    <row r="40" spans="1:11" ht="62.25" customHeight="1" x14ac:dyDescent="0.25">
      <c r="A40" s="127"/>
      <c r="B40" s="124"/>
      <c r="C40" s="130"/>
      <c r="D40" s="124"/>
      <c r="E40" s="130"/>
      <c r="F40" s="130"/>
      <c r="G40" s="124"/>
      <c r="H40" s="133"/>
      <c r="I40" s="133"/>
      <c r="K40" s="3"/>
    </row>
    <row r="41" spans="1:11" ht="33.75" customHeight="1" x14ac:dyDescent="0.25">
      <c r="A41" s="187" t="s">
        <v>396</v>
      </c>
      <c r="B41" s="187"/>
      <c r="C41" s="187"/>
      <c r="D41" s="187"/>
      <c r="E41" s="187"/>
      <c r="F41" s="187"/>
      <c r="G41" s="187"/>
      <c r="H41" s="3"/>
      <c r="I41" s="134"/>
      <c r="K41" s="3"/>
    </row>
    <row r="42" spans="1:11" ht="43.5" customHeight="1" x14ac:dyDescent="0.25">
      <c r="A42" s="135" t="s">
        <v>0</v>
      </c>
      <c r="B42" s="135" t="s">
        <v>1</v>
      </c>
      <c r="C42" s="135" t="s">
        <v>3</v>
      </c>
      <c r="D42" s="135" t="s">
        <v>4</v>
      </c>
      <c r="E42" s="135" t="s">
        <v>5</v>
      </c>
      <c r="F42" s="135"/>
      <c r="G42" s="135" t="s">
        <v>6</v>
      </c>
      <c r="H42" s="3"/>
      <c r="I42" s="135" t="s">
        <v>50</v>
      </c>
      <c r="K42" s="3"/>
    </row>
    <row r="43" spans="1:11" ht="113.25" customHeight="1" x14ac:dyDescent="0.25">
      <c r="A43" s="127">
        <v>1</v>
      </c>
      <c r="B43" s="130" t="s">
        <v>9</v>
      </c>
      <c r="C43" s="130" t="s">
        <v>10</v>
      </c>
      <c r="D43" s="124" t="s">
        <v>397</v>
      </c>
      <c r="E43" s="130" t="s">
        <v>12</v>
      </c>
      <c r="F43" s="130"/>
      <c r="G43" s="124" t="s">
        <v>13</v>
      </c>
      <c r="H43" s="3" t="s">
        <v>398</v>
      </c>
      <c r="I43" s="127"/>
      <c r="K43" s="3"/>
    </row>
    <row r="44" spans="1:11" ht="63.75" customHeight="1" x14ac:dyDescent="0.25">
      <c r="A44" s="127">
        <v>2</v>
      </c>
      <c r="B44" s="130" t="s">
        <v>15</v>
      </c>
      <c r="C44" s="130" t="s">
        <v>16</v>
      </c>
      <c r="D44" s="130" t="s">
        <v>399</v>
      </c>
      <c r="E44" s="130" t="s">
        <v>400</v>
      </c>
      <c r="F44" s="130"/>
      <c r="G44" s="124" t="s">
        <v>17</v>
      </c>
      <c r="H44" s="3" t="s">
        <v>398</v>
      </c>
      <c r="I44" s="135"/>
      <c r="K44" s="3"/>
    </row>
    <row r="45" spans="1:11" ht="91.5" customHeight="1" x14ac:dyDescent="0.25">
      <c r="A45" s="127">
        <v>3</v>
      </c>
      <c r="B45" s="130" t="s">
        <v>18</v>
      </c>
      <c r="C45" s="130" t="s">
        <v>401</v>
      </c>
      <c r="D45" s="124" t="s">
        <v>402</v>
      </c>
      <c r="E45" s="130" t="s">
        <v>19</v>
      </c>
      <c r="F45" s="130"/>
      <c r="G45" s="124" t="s">
        <v>20</v>
      </c>
      <c r="H45" s="3" t="s">
        <v>398</v>
      </c>
      <c r="I45" s="127"/>
      <c r="K45" s="3"/>
    </row>
    <row r="46" spans="1:11" ht="102.75" customHeight="1" x14ac:dyDescent="0.25">
      <c r="A46" s="127"/>
      <c r="B46" s="130"/>
      <c r="C46" s="130"/>
      <c r="D46" s="124"/>
      <c r="E46" s="130"/>
      <c r="F46" s="130"/>
      <c r="G46" s="124"/>
      <c r="H46" s="3"/>
      <c r="I46" s="127"/>
      <c r="K46" s="3"/>
    </row>
    <row r="47" spans="1:11" x14ac:dyDescent="0.25">
      <c r="A47" s="4"/>
      <c r="B47" s="136"/>
      <c r="C47" s="136"/>
      <c r="D47" s="137"/>
      <c r="E47" s="133"/>
      <c r="F47" s="133"/>
      <c r="G47" s="181"/>
      <c r="H47" s="3"/>
      <c r="I47" s="181"/>
      <c r="K47" s="3"/>
    </row>
    <row r="48" spans="1:11" x14ac:dyDescent="0.25">
      <c r="A48" s="4"/>
      <c r="B48" s="8"/>
      <c r="C48" s="138"/>
      <c r="D48" s="137"/>
      <c r="E48" s="133"/>
      <c r="F48" s="133"/>
      <c r="G48" s="181"/>
      <c r="H48" s="3"/>
      <c r="I48" s="181"/>
      <c r="K48" s="3"/>
    </row>
    <row r="49" spans="1:11" x14ac:dyDescent="0.25">
      <c r="A49" s="4"/>
      <c r="B49" s="8"/>
      <c r="C49" s="138"/>
      <c r="D49" s="137"/>
      <c r="E49" s="133"/>
      <c r="F49" s="133"/>
      <c r="G49" s="181"/>
      <c r="H49" s="3"/>
      <c r="I49" s="181"/>
      <c r="K49" s="3"/>
    </row>
    <row r="50" spans="1:11" ht="129.75" customHeight="1" x14ac:dyDescent="0.25">
      <c r="A50" s="4"/>
      <c r="B50" s="8"/>
      <c r="C50" s="138"/>
      <c r="D50" s="137"/>
      <c r="E50" s="133"/>
      <c r="F50" s="133"/>
      <c r="G50" s="7"/>
      <c r="H50" s="3"/>
      <c r="I50" s="139"/>
      <c r="K50" s="3"/>
    </row>
    <row r="51" spans="1:11" x14ac:dyDescent="0.25">
      <c r="A51" s="4"/>
      <c r="B51" s="8"/>
      <c r="C51" s="138"/>
      <c r="D51" s="8"/>
      <c r="E51" s="7"/>
      <c r="F51" s="7"/>
      <c r="G51" s="7"/>
      <c r="H51" s="3"/>
      <c r="I51" s="139"/>
      <c r="K51" s="3"/>
    </row>
    <row r="52" spans="1:11" ht="44.25" customHeight="1" x14ac:dyDescent="0.25">
      <c r="A52" s="179" t="s">
        <v>403</v>
      </c>
      <c r="B52" s="179"/>
      <c r="C52" s="179"/>
      <c r="D52" s="179"/>
      <c r="E52" s="179"/>
      <c r="F52" s="179"/>
      <c r="G52" s="179"/>
      <c r="H52" s="105"/>
      <c r="I52" s="139"/>
      <c r="K52" s="3"/>
    </row>
    <row r="53" spans="1:11" ht="28.5" customHeight="1" x14ac:dyDescent="0.25">
      <c r="A53" s="135" t="s">
        <v>0</v>
      </c>
      <c r="B53" s="135" t="s">
        <v>1</v>
      </c>
      <c r="C53" s="135" t="s">
        <v>3</v>
      </c>
      <c r="D53" s="135" t="s">
        <v>4</v>
      </c>
      <c r="E53" s="135" t="s">
        <v>5</v>
      </c>
      <c r="F53" s="135"/>
      <c r="G53" s="135" t="s">
        <v>6</v>
      </c>
      <c r="H53" s="140" t="s">
        <v>7</v>
      </c>
      <c r="I53" s="139"/>
      <c r="K53" s="3"/>
    </row>
    <row r="54" spans="1:11" ht="82.5" customHeight="1" x14ac:dyDescent="0.25">
      <c r="A54" s="127">
        <v>1</v>
      </c>
      <c r="B54" s="130" t="s">
        <v>21</v>
      </c>
      <c r="C54" s="130" t="s">
        <v>404</v>
      </c>
      <c r="D54" s="124" t="s">
        <v>405</v>
      </c>
      <c r="E54" s="130" t="s">
        <v>22</v>
      </c>
      <c r="F54" s="130"/>
      <c r="G54" s="124" t="s">
        <v>23</v>
      </c>
      <c r="H54" s="11" t="s">
        <v>8</v>
      </c>
      <c r="I54" s="139"/>
      <c r="K54" s="3"/>
    </row>
    <row r="55" spans="1:11" ht="66.75" customHeight="1" x14ac:dyDescent="0.25">
      <c r="A55" s="127">
        <v>2</v>
      </c>
      <c r="B55" s="130" t="s">
        <v>24</v>
      </c>
      <c r="C55" s="130" t="s">
        <v>25</v>
      </c>
      <c r="D55" s="124" t="s">
        <v>406</v>
      </c>
      <c r="E55" s="130" t="s">
        <v>26</v>
      </c>
      <c r="F55" s="130"/>
      <c r="G55" s="124" t="s">
        <v>27</v>
      </c>
      <c r="H55" s="11" t="s">
        <v>8</v>
      </c>
      <c r="I55" s="139"/>
      <c r="K55" s="3"/>
    </row>
    <row r="56" spans="1:11" ht="80.25" customHeight="1" x14ac:dyDescent="0.25">
      <c r="A56" s="123">
        <v>3</v>
      </c>
      <c r="B56" s="141" t="s">
        <v>28</v>
      </c>
      <c r="C56" s="141" t="s">
        <v>407</v>
      </c>
      <c r="D56" s="125" t="s">
        <v>29</v>
      </c>
      <c r="E56" s="141" t="s">
        <v>30</v>
      </c>
      <c r="F56" s="141"/>
      <c r="G56" s="124" t="s">
        <v>31</v>
      </c>
      <c r="H56" s="11"/>
      <c r="I56" s="139"/>
      <c r="K56" s="3"/>
    </row>
    <row r="57" spans="1:11" ht="96.75" customHeight="1" x14ac:dyDescent="0.25">
      <c r="A57" s="142">
        <v>4</v>
      </c>
      <c r="B57" s="143" t="s">
        <v>32</v>
      </c>
      <c r="C57" s="143" t="s">
        <v>33</v>
      </c>
      <c r="D57" s="144" t="s">
        <v>408</v>
      </c>
      <c r="E57" s="143" t="s">
        <v>34</v>
      </c>
      <c r="F57" s="143"/>
      <c r="G57" s="145" t="s">
        <v>35</v>
      </c>
      <c r="H57" s="11" t="s">
        <v>8</v>
      </c>
      <c r="I57" s="139"/>
      <c r="K57" s="3"/>
    </row>
    <row r="58" spans="1:11" ht="107.25" customHeight="1" x14ac:dyDescent="0.25">
      <c r="A58" s="123">
        <v>5</v>
      </c>
      <c r="B58" s="141" t="s">
        <v>36</v>
      </c>
      <c r="C58" s="141" t="s">
        <v>37</v>
      </c>
      <c r="D58" s="146" t="s">
        <v>409</v>
      </c>
      <c r="E58" s="141" t="s">
        <v>38</v>
      </c>
      <c r="F58" s="141"/>
      <c r="G58" s="124" t="s">
        <v>39</v>
      </c>
      <c r="H58" s="11" t="s">
        <v>8</v>
      </c>
      <c r="I58" s="139"/>
      <c r="K58" s="3"/>
    </row>
    <row r="59" spans="1:11" ht="88.5" customHeight="1" x14ac:dyDescent="0.25">
      <c r="A59" s="123">
        <v>6</v>
      </c>
      <c r="B59" s="124" t="s">
        <v>40</v>
      </c>
      <c r="C59" s="130" t="s">
        <v>410</v>
      </c>
      <c r="D59" s="124" t="s">
        <v>411</v>
      </c>
      <c r="E59" s="130" t="s">
        <v>41</v>
      </c>
      <c r="F59" s="130"/>
      <c r="G59" s="147" t="s">
        <v>412</v>
      </c>
      <c r="H59" s="11" t="s">
        <v>8</v>
      </c>
      <c r="I59" s="139"/>
      <c r="K59" s="3"/>
    </row>
    <row r="60" spans="1:11" ht="63.75" customHeight="1" x14ac:dyDescent="0.25">
      <c r="A60" s="127"/>
      <c r="B60" s="182" t="s">
        <v>413</v>
      </c>
      <c r="C60" s="182"/>
      <c r="D60" s="182"/>
      <c r="E60" s="182"/>
      <c r="F60" s="182"/>
      <c r="G60" s="182"/>
      <c r="H60" s="182"/>
      <c r="I60" s="139"/>
      <c r="K60" s="3"/>
    </row>
    <row r="61" spans="1:11" ht="38.25" customHeight="1" x14ac:dyDescent="0.25">
      <c r="A61" s="4"/>
      <c r="B61" s="8"/>
      <c r="C61" s="8"/>
      <c r="D61" s="8"/>
      <c r="E61" s="7"/>
      <c r="F61" s="7"/>
      <c r="G61" s="7"/>
      <c r="H61" s="7"/>
      <c r="I61" s="139"/>
      <c r="K61" s="3"/>
    </row>
    <row r="62" spans="1:11" ht="39.75" customHeight="1" x14ac:dyDescent="0.25">
      <c r="A62" s="4"/>
      <c r="B62" s="8"/>
      <c r="C62" s="8"/>
      <c r="D62" s="8"/>
      <c r="E62" s="7"/>
      <c r="F62" s="7"/>
      <c r="G62" s="7"/>
      <c r="H62" s="7"/>
      <c r="I62" s="139"/>
      <c r="K62" s="3"/>
    </row>
    <row r="63" spans="1:11" ht="39.75" customHeight="1" x14ac:dyDescent="0.25">
      <c r="A63" s="4"/>
      <c r="B63" s="8"/>
      <c r="C63" s="8"/>
      <c r="D63" s="8"/>
      <c r="E63" s="7"/>
      <c r="F63" s="7"/>
      <c r="G63" s="7"/>
      <c r="H63" s="7"/>
      <c r="I63" s="139"/>
      <c r="K63" s="3"/>
    </row>
    <row r="64" spans="1:11" ht="42" customHeight="1" x14ac:dyDescent="0.25">
      <c r="A64" s="4"/>
      <c r="B64" s="8"/>
      <c r="C64" s="8"/>
      <c r="D64" s="8"/>
      <c r="E64" s="7"/>
      <c r="F64" s="7"/>
      <c r="G64" s="7"/>
      <c r="H64" s="7"/>
      <c r="I64" s="139"/>
      <c r="K64" s="3"/>
    </row>
    <row r="65" spans="1:11" ht="53.25" customHeight="1" x14ac:dyDescent="0.25">
      <c r="A65" s="4"/>
      <c r="B65" s="8"/>
      <c r="C65" s="8"/>
      <c r="D65" s="8"/>
      <c r="E65" s="7"/>
      <c r="F65" s="7"/>
      <c r="G65" s="7"/>
      <c r="H65" s="7"/>
      <c r="I65" s="139"/>
      <c r="K65" s="3"/>
    </row>
    <row r="66" spans="1:11" ht="126.75" customHeight="1" x14ac:dyDescent="0.25">
      <c r="A66" s="4"/>
      <c r="B66" s="8"/>
      <c r="C66" s="8"/>
      <c r="D66" s="8"/>
      <c r="E66" s="7"/>
      <c r="F66" s="7"/>
      <c r="G66" s="7"/>
      <c r="H66" s="7"/>
      <c r="I66" s="139"/>
      <c r="K66" s="3"/>
    </row>
    <row r="67" spans="1:11" ht="54" customHeight="1" x14ac:dyDescent="0.25">
      <c r="A67" s="4"/>
      <c r="B67" s="8"/>
      <c r="C67" s="8"/>
      <c r="D67" s="8"/>
      <c r="E67" s="7"/>
      <c r="F67" s="7"/>
      <c r="G67" s="7"/>
      <c r="H67" s="7"/>
      <c r="I67" s="139"/>
      <c r="K67" s="3"/>
    </row>
    <row r="68" spans="1:11" ht="37.5" customHeight="1" x14ac:dyDescent="0.25">
      <c r="A68" s="4"/>
      <c r="B68" s="8"/>
      <c r="C68" s="8"/>
      <c r="D68" s="8"/>
      <c r="E68" s="7"/>
      <c r="F68" s="7"/>
      <c r="G68" s="7"/>
      <c r="H68" s="7"/>
      <c r="I68" s="139"/>
      <c r="K68" s="3"/>
    </row>
    <row r="69" spans="1:11" ht="64.5" customHeight="1" x14ac:dyDescent="0.25">
      <c r="A69" s="4"/>
      <c r="B69" s="7"/>
      <c r="C69" s="8"/>
      <c r="D69" s="138"/>
      <c r="E69" s="8"/>
      <c r="F69" s="8"/>
      <c r="G69" s="7"/>
      <c r="H69" s="7"/>
      <c r="I69" s="139"/>
      <c r="K69" s="3">
        <v>183307104</v>
      </c>
    </row>
    <row r="70" spans="1:11" ht="88.5" customHeight="1" x14ac:dyDescent="0.25">
      <c r="A70" s="4"/>
      <c r="B70" s="7"/>
      <c r="C70" s="8"/>
      <c r="D70" s="138"/>
      <c r="E70" s="8"/>
      <c r="F70" s="8"/>
      <c r="G70" s="7"/>
      <c r="H70" s="7"/>
      <c r="I70" s="139"/>
      <c r="K70" s="3"/>
    </row>
    <row r="71" spans="1:11" ht="100.5" customHeight="1" x14ac:dyDescent="0.25">
      <c r="A71" s="4"/>
      <c r="B71" s="7"/>
      <c r="C71" s="8"/>
      <c r="D71" s="138"/>
      <c r="E71" s="8"/>
      <c r="F71" s="8"/>
      <c r="G71" s="7"/>
      <c r="H71" s="7"/>
      <c r="I71" s="139"/>
      <c r="K71" s="3"/>
    </row>
    <row r="72" spans="1:11" ht="64.5" customHeight="1" x14ac:dyDescent="0.25">
      <c r="A72" s="4"/>
      <c r="B72" s="7"/>
      <c r="C72" s="8"/>
      <c r="D72" s="138"/>
      <c r="E72" s="8"/>
      <c r="F72" s="8"/>
      <c r="G72" s="7"/>
      <c r="H72" s="7"/>
      <c r="I72" s="139"/>
      <c r="K72" s="3"/>
    </row>
    <row r="73" spans="1:11" ht="64.5" customHeight="1" x14ac:dyDescent="0.25">
      <c r="A73" s="4"/>
      <c r="B73" s="7"/>
      <c r="C73" s="8"/>
      <c r="D73" s="138"/>
      <c r="E73" s="8"/>
      <c r="F73" s="8"/>
      <c r="G73" s="7"/>
      <c r="H73" s="7"/>
      <c r="I73" s="139"/>
      <c r="K73" s="3"/>
    </row>
    <row r="74" spans="1:11" ht="64.5" customHeight="1" x14ac:dyDescent="0.25">
      <c r="A74" s="4"/>
      <c r="B74" s="7"/>
      <c r="C74" s="8"/>
      <c r="D74" s="138"/>
      <c r="E74" s="8"/>
      <c r="F74" s="8"/>
      <c r="G74" s="7"/>
      <c r="H74" s="7"/>
      <c r="I74" s="139"/>
      <c r="K74" s="3"/>
    </row>
    <row r="75" spans="1:11" ht="64.5" customHeight="1" x14ac:dyDescent="0.25">
      <c r="A75" s="4"/>
      <c r="B75" s="7"/>
      <c r="C75" s="8"/>
      <c r="D75" s="138"/>
      <c r="E75" s="8"/>
      <c r="F75" s="8"/>
      <c r="G75" s="7"/>
      <c r="H75" s="7"/>
      <c r="I75" s="139"/>
      <c r="K75" s="3"/>
    </row>
    <row r="76" spans="1:11" ht="64.5" customHeight="1" x14ac:dyDescent="0.25">
      <c r="A76" s="4"/>
      <c r="B76" s="7"/>
      <c r="C76" s="8"/>
      <c r="D76" s="138"/>
      <c r="E76" s="8"/>
      <c r="F76" s="8"/>
      <c r="G76" s="7"/>
      <c r="H76" s="7"/>
      <c r="I76" s="139"/>
      <c r="K76" s="3"/>
    </row>
    <row r="77" spans="1:11" ht="64.5" customHeight="1" x14ac:dyDescent="0.25">
      <c r="A77" s="4"/>
      <c r="B77" s="7"/>
      <c r="C77" s="8"/>
      <c r="D77" s="138"/>
      <c r="E77" s="8"/>
      <c r="F77" s="8"/>
      <c r="G77" s="7"/>
      <c r="H77" s="7"/>
      <c r="I77" s="139"/>
      <c r="K77" s="3"/>
    </row>
    <row r="78" spans="1:11" ht="64.5" customHeight="1" x14ac:dyDescent="0.25">
      <c r="A78" s="4"/>
      <c r="B78" s="7"/>
      <c r="C78" s="8"/>
      <c r="D78" s="138"/>
      <c r="E78" s="8"/>
      <c r="F78" s="8"/>
      <c r="G78" s="7"/>
      <c r="H78" s="7"/>
      <c r="I78" s="139"/>
      <c r="K78" s="3"/>
    </row>
    <row r="79" spans="1:11" ht="64.5" customHeight="1" x14ac:dyDescent="0.25">
      <c r="A79" s="4"/>
      <c r="B79" s="7"/>
      <c r="C79" s="8"/>
      <c r="D79" s="138"/>
      <c r="E79" s="8"/>
      <c r="F79" s="8"/>
      <c r="G79" s="7"/>
      <c r="H79" s="7"/>
      <c r="I79" s="139"/>
      <c r="K79" s="3"/>
    </row>
    <row r="80" spans="1:11" ht="50.25" customHeight="1" x14ac:dyDescent="0.25">
      <c r="A80" s="4"/>
      <c r="B80" s="7"/>
      <c r="C80" s="8"/>
      <c r="D80" s="138"/>
      <c r="E80" s="8"/>
      <c r="F80" s="8"/>
      <c r="G80" s="7"/>
      <c r="H80" s="7"/>
      <c r="I80" s="139"/>
      <c r="K80" s="3"/>
    </row>
    <row r="81" spans="1:13" ht="64.5" customHeight="1" x14ac:dyDescent="0.25">
      <c r="A81" s="4"/>
      <c r="B81" s="7"/>
      <c r="C81" s="8"/>
      <c r="D81" s="138"/>
      <c r="E81" s="8"/>
      <c r="F81" s="8"/>
      <c r="G81" s="7"/>
      <c r="H81" s="7"/>
      <c r="I81" s="139"/>
      <c r="K81" s="3"/>
    </row>
    <row r="82" spans="1:13" ht="64.5" customHeight="1" x14ac:dyDescent="0.25">
      <c r="A82" s="4"/>
      <c r="B82" s="7"/>
      <c r="C82" s="8"/>
      <c r="D82" s="138"/>
      <c r="E82" s="8"/>
      <c r="F82" s="8"/>
      <c r="G82" s="7"/>
      <c r="H82" s="7"/>
      <c r="I82" s="139"/>
      <c r="K82" s="3"/>
    </row>
    <row r="83" spans="1:13" ht="64.5" customHeight="1" x14ac:dyDescent="0.25">
      <c r="A83" s="4"/>
      <c r="B83" s="7"/>
      <c r="C83" s="8"/>
      <c r="D83" s="138"/>
      <c r="E83" s="8"/>
      <c r="F83" s="8"/>
      <c r="G83" s="7"/>
      <c r="H83" s="7"/>
      <c r="I83" s="139"/>
      <c r="K83" s="3"/>
    </row>
    <row r="84" spans="1:13" ht="64.5" customHeight="1" x14ac:dyDescent="0.25">
      <c r="A84" s="4"/>
      <c r="B84" s="7"/>
      <c r="C84" s="8"/>
      <c r="D84" s="138"/>
      <c r="E84" s="8"/>
      <c r="F84" s="8"/>
      <c r="G84" s="7"/>
      <c r="H84" s="7"/>
      <c r="I84" s="139"/>
      <c r="K84" s="3"/>
    </row>
    <row r="85" spans="1:13" ht="64.5" customHeight="1" x14ac:dyDescent="0.25">
      <c r="A85" s="4"/>
      <c r="B85" s="7"/>
      <c r="C85" s="8"/>
      <c r="D85" s="138"/>
      <c r="E85" s="8"/>
      <c r="F85" s="8"/>
      <c r="G85" s="7"/>
      <c r="H85" s="7"/>
      <c r="I85" s="139"/>
      <c r="K85" s="3"/>
    </row>
    <row r="86" spans="1:13" ht="64.5" customHeight="1" x14ac:dyDescent="0.25">
      <c r="A86" s="4"/>
      <c r="B86" s="7"/>
      <c r="C86" s="8"/>
      <c r="D86" s="138"/>
      <c r="E86" s="8"/>
      <c r="F86" s="8"/>
      <c r="G86" s="7"/>
      <c r="H86" s="7"/>
      <c r="I86" s="139"/>
      <c r="K86" s="3"/>
      <c r="M86">
        <v>3080160</v>
      </c>
    </row>
    <row r="87" spans="1:13" ht="102" customHeight="1" x14ac:dyDescent="0.25">
      <c r="A87" s="4"/>
      <c r="B87" s="7"/>
      <c r="C87" s="8"/>
      <c r="D87" s="138"/>
      <c r="E87" s="8"/>
      <c r="F87" s="8"/>
      <c r="G87" s="7"/>
      <c r="H87" s="7"/>
      <c r="I87" s="139"/>
      <c r="K87" s="3"/>
      <c r="M87">
        <v>14158800</v>
      </c>
    </row>
    <row r="88" spans="1:13" x14ac:dyDescent="0.25">
      <c r="A88" s="4"/>
      <c r="B88" s="10"/>
      <c r="C88" s="10"/>
      <c r="D88" s="9"/>
      <c r="E88" s="8"/>
      <c r="F88" s="8"/>
      <c r="G88" s="7"/>
      <c r="H88" s="3"/>
      <c r="I88" s="148"/>
      <c r="K88" s="3"/>
      <c r="M88">
        <f>SUM(M86:M87)</f>
        <v>17238960</v>
      </c>
    </row>
    <row r="89" spans="1:13" x14ac:dyDescent="0.25">
      <c r="A89" s="4"/>
      <c r="B89" s="2"/>
      <c r="C89" s="10"/>
      <c r="D89" s="9"/>
      <c r="E89" s="8"/>
      <c r="F89" s="8"/>
      <c r="G89" s="7"/>
      <c r="H89" s="3"/>
      <c r="I89" s="148"/>
      <c r="K89" s="3"/>
    </row>
    <row r="90" spans="1:13" x14ac:dyDescent="0.25">
      <c r="A90" s="4"/>
      <c r="B90" s="6"/>
      <c r="C90" s="5"/>
      <c r="D90" s="4"/>
      <c r="E90" s="4"/>
      <c r="F90" s="4"/>
      <c r="G90" s="4"/>
      <c r="H90" s="3"/>
      <c r="I90" s="4"/>
      <c r="K90" s="3"/>
    </row>
    <row r="91" spans="1:13" ht="15.75" customHeight="1" x14ac:dyDescent="0.25">
      <c r="A91" s="4"/>
      <c r="B91" s="183"/>
      <c r="C91" s="183"/>
      <c r="D91" s="183"/>
      <c r="E91" s="183"/>
      <c r="F91" s="183"/>
      <c r="G91" s="183"/>
      <c r="H91" s="3"/>
      <c r="I91" s="4"/>
      <c r="K91" s="3"/>
    </row>
    <row r="92" spans="1:13" x14ac:dyDescent="0.25">
      <c r="A92" s="2"/>
      <c r="B92" s="2"/>
      <c r="C92" s="2"/>
      <c r="D92" s="2"/>
      <c r="E92" s="2"/>
      <c r="F92" s="2"/>
      <c r="G92" s="2"/>
      <c r="I92" s="2"/>
    </row>
  </sheetData>
  <mergeCells count="8">
    <mergeCell ref="I47:I49"/>
    <mergeCell ref="A52:G52"/>
    <mergeCell ref="B60:H60"/>
    <mergeCell ref="B91:G91"/>
    <mergeCell ref="A2:H2"/>
    <mergeCell ref="B31:G31"/>
    <mergeCell ref="A41:G41"/>
    <mergeCell ref="G47:G49"/>
  </mergeCells>
  <pageMargins left="0.39370078740157483" right="0.19685039370078741" top="0.23622047244094491" bottom="0.23622047244094491" header="3.937007874015748E-2" footer="3.937007874015748E-2"/>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6"/>
  <sheetViews>
    <sheetView topLeftCell="A10" zoomScale="85" zoomScaleNormal="85" workbookViewId="0">
      <selection activeCell="D14" sqref="D14"/>
    </sheetView>
  </sheetViews>
  <sheetFormatPr defaultRowHeight="15" x14ac:dyDescent="0.25"/>
  <cols>
    <col min="1" max="1" width="6.42578125" customWidth="1"/>
    <col min="2" max="2" width="19.28515625" customWidth="1"/>
    <col min="3" max="3" width="38.5703125" customWidth="1"/>
    <col min="4" max="4" width="26.28515625" customWidth="1"/>
    <col min="5" max="5" width="17.140625" customWidth="1"/>
    <col min="6" max="6" width="15.5703125" customWidth="1"/>
    <col min="7" max="7" width="12.85546875" customWidth="1"/>
    <col min="8" max="8" width="18.5703125" customWidth="1"/>
    <col min="9" max="9" width="14.140625" customWidth="1"/>
    <col min="13" max="13" width="10.28515625" bestFit="1" customWidth="1"/>
    <col min="15" max="15" width="42.28515625" customWidth="1"/>
  </cols>
  <sheetData>
    <row r="2" spans="1:9" ht="42" customHeight="1" x14ac:dyDescent="0.25">
      <c r="A2" s="179" t="s">
        <v>277</v>
      </c>
      <c r="B2" s="179"/>
      <c r="C2" s="179"/>
      <c r="D2" s="179"/>
      <c r="E2" s="179"/>
      <c r="F2" s="179"/>
      <c r="G2" s="179"/>
      <c r="H2" s="179"/>
      <c r="I2" s="179"/>
    </row>
    <row r="3" spans="1:9" ht="31.5" x14ac:dyDescent="0.25">
      <c r="A3" s="1" t="s">
        <v>0</v>
      </c>
      <c r="B3" s="1" t="s">
        <v>1</v>
      </c>
      <c r="C3" s="1" t="s">
        <v>3</v>
      </c>
      <c r="D3" s="1" t="s">
        <v>4</v>
      </c>
      <c r="E3" s="1" t="s">
        <v>5</v>
      </c>
      <c r="F3" s="1" t="s">
        <v>86</v>
      </c>
      <c r="G3" s="1" t="s">
        <v>2</v>
      </c>
      <c r="H3" s="1" t="s">
        <v>6</v>
      </c>
      <c r="I3" s="39" t="s">
        <v>85</v>
      </c>
    </row>
    <row r="4" spans="1:9" ht="100.5" customHeight="1" x14ac:dyDescent="0.25">
      <c r="A4" s="20">
        <v>1</v>
      </c>
      <c r="B4" s="27" t="s">
        <v>260</v>
      </c>
      <c r="C4" s="27" t="s">
        <v>259</v>
      </c>
      <c r="D4" s="18" t="s">
        <v>258</v>
      </c>
      <c r="E4" s="27" t="s">
        <v>257</v>
      </c>
      <c r="F4" s="38">
        <v>1974000</v>
      </c>
      <c r="G4" s="29">
        <v>10349.48</v>
      </c>
      <c r="H4" s="18" t="s">
        <v>256</v>
      </c>
      <c r="I4" s="91" t="s">
        <v>52</v>
      </c>
    </row>
    <row r="5" spans="1:9" ht="96.75" customHeight="1" x14ac:dyDescent="0.25">
      <c r="A5" s="20">
        <v>2</v>
      </c>
      <c r="B5" s="27" t="s">
        <v>255</v>
      </c>
      <c r="C5" s="27" t="s">
        <v>254</v>
      </c>
      <c r="D5" s="18" t="s">
        <v>253</v>
      </c>
      <c r="E5" s="27" t="s">
        <v>252</v>
      </c>
      <c r="F5" s="38">
        <v>100169976</v>
      </c>
      <c r="G5" s="29">
        <v>39007</v>
      </c>
      <c r="H5" s="18" t="s">
        <v>251</v>
      </c>
      <c r="I5" s="91" t="s">
        <v>52</v>
      </c>
    </row>
    <row r="6" spans="1:9" ht="105" x14ac:dyDescent="0.25">
      <c r="A6" s="20">
        <v>3</v>
      </c>
      <c r="B6" s="27" t="s">
        <v>250</v>
      </c>
      <c r="C6" s="27" t="s">
        <v>249</v>
      </c>
      <c r="D6" s="18" t="s">
        <v>248</v>
      </c>
      <c r="E6" s="27" t="s">
        <v>247</v>
      </c>
      <c r="F6" s="38">
        <v>169359984</v>
      </c>
      <c r="G6" s="29">
        <v>40089</v>
      </c>
      <c r="H6" s="18" t="s">
        <v>246</v>
      </c>
      <c r="I6" s="91" t="s">
        <v>52</v>
      </c>
    </row>
    <row r="7" spans="1:9" ht="108.75" customHeight="1" x14ac:dyDescent="0.25">
      <c r="A7" s="34">
        <v>4</v>
      </c>
      <c r="B7" s="50" t="s">
        <v>245</v>
      </c>
      <c r="C7" s="50" t="s">
        <v>244</v>
      </c>
      <c r="D7" s="28" t="s">
        <v>243</v>
      </c>
      <c r="E7" s="51" t="s">
        <v>242</v>
      </c>
      <c r="F7" s="35">
        <v>21384000</v>
      </c>
      <c r="G7" s="37">
        <v>30000</v>
      </c>
      <c r="H7" s="18" t="s">
        <v>241</v>
      </c>
      <c r="I7" s="91" t="s">
        <v>52</v>
      </c>
    </row>
    <row r="8" spans="1:9" ht="110.25" customHeight="1" x14ac:dyDescent="0.25">
      <c r="A8" s="34">
        <v>5</v>
      </c>
      <c r="B8" s="50" t="s">
        <v>240</v>
      </c>
      <c r="C8" s="50" t="s">
        <v>239</v>
      </c>
      <c r="D8" s="28" t="s">
        <v>238</v>
      </c>
      <c r="E8" s="52" t="s">
        <v>237</v>
      </c>
      <c r="F8" s="35">
        <v>5153568</v>
      </c>
      <c r="G8" s="37">
        <v>18255.740000000002</v>
      </c>
      <c r="H8" s="18" t="s">
        <v>236</v>
      </c>
      <c r="I8" s="91" t="s">
        <v>52</v>
      </c>
    </row>
    <row r="9" spans="1:9" ht="90" x14ac:dyDescent="0.25">
      <c r="A9" s="34">
        <v>6</v>
      </c>
      <c r="B9" s="36" t="s">
        <v>235</v>
      </c>
      <c r="C9" s="51" t="s">
        <v>234</v>
      </c>
      <c r="D9" s="28" t="s">
        <v>233</v>
      </c>
      <c r="E9" s="18" t="s">
        <v>232</v>
      </c>
      <c r="F9" s="35">
        <v>6017976</v>
      </c>
      <c r="G9" s="29">
        <v>13554</v>
      </c>
      <c r="H9" s="18" t="s">
        <v>231</v>
      </c>
      <c r="I9" s="53" t="s">
        <v>14</v>
      </c>
    </row>
    <row r="10" spans="1:9" ht="120" x14ac:dyDescent="0.25">
      <c r="A10" s="34">
        <v>7</v>
      </c>
      <c r="B10" s="50" t="s">
        <v>230</v>
      </c>
      <c r="C10" s="52" t="s">
        <v>229</v>
      </c>
      <c r="D10" s="28" t="s">
        <v>228</v>
      </c>
      <c r="E10" s="52" t="s">
        <v>227</v>
      </c>
      <c r="F10" s="35">
        <v>7539840</v>
      </c>
      <c r="G10" s="29">
        <v>20860.63</v>
      </c>
      <c r="H10" s="18" t="s">
        <v>226</v>
      </c>
      <c r="I10" s="53" t="s">
        <v>14</v>
      </c>
    </row>
    <row r="11" spans="1:9" ht="75" x14ac:dyDescent="0.25">
      <c r="A11" s="34">
        <v>8</v>
      </c>
      <c r="B11" s="54" t="s">
        <v>225</v>
      </c>
      <c r="C11" s="54" t="s">
        <v>224</v>
      </c>
      <c r="D11" s="28" t="s">
        <v>223</v>
      </c>
      <c r="E11" s="54" t="s">
        <v>222</v>
      </c>
      <c r="F11" s="35">
        <v>10630992</v>
      </c>
      <c r="G11" s="55">
        <v>17542.88</v>
      </c>
      <c r="H11" s="18" t="s">
        <v>221</v>
      </c>
      <c r="I11" s="53" t="s">
        <v>14</v>
      </c>
    </row>
    <row r="12" spans="1:9" ht="75" x14ac:dyDescent="0.25">
      <c r="A12" s="34">
        <v>9</v>
      </c>
      <c r="B12" s="50" t="s">
        <v>220</v>
      </c>
      <c r="C12" s="50" t="s">
        <v>219</v>
      </c>
      <c r="D12" s="28" t="s">
        <v>218</v>
      </c>
      <c r="E12" s="52" t="s">
        <v>217</v>
      </c>
      <c r="F12" s="35">
        <v>6598668</v>
      </c>
      <c r="G12" s="29">
        <v>7326</v>
      </c>
      <c r="H12" s="18" t="s">
        <v>216</v>
      </c>
      <c r="I12" s="91" t="s">
        <v>52</v>
      </c>
    </row>
    <row r="13" spans="1:9" ht="90" x14ac:dyDescent="0.25">
      <c r="A13" s="34">
        <v>10</v>
      </c>
      <c r="B13" s="56" t="s">
        <v>215</v>
      </c>
      <c r="C13" s="56" t="s">
        <v>214</v>
      </c>
      <c r="D13" s="28" t="s">
        <v>213</v>
      </c>
      <c r="E13" s="57" t="s">
        <v>212</v>
      </c>
      <c r="F13" s="58">
        <v>69463560</v>
      </c>
      <c r="G13" s="57">
        <v>18673</v>
      </c>
      <c r="H13" s="18" t="s">
        <v>211</v>
      </c>
      <c r="I13" s="53" t="s">
        <v>14</v>
      </c>
    </row>
    <row r="14" spans="1:9" ht="139.5" customHeight="1" x14ac:dyDescent="0.25">
      <c r="A14" s="34">
        <v>11</v>
      </c>
      <c r="B14" s="21" t="s">
        <v>210</v>
      </c>
      <c r="C14" s="52" t="s">
        <v>209</v>
      </c>
      <c r="D14" s="52" t="s">
        <v>208</v>
      </c>
      <c r="E14" s="28" t="s">
        <v>207</v>
      </c>
      <c r="F14" s="37">
        <v>83560104</v>
      </c>
      <c r="G14" s="37">
        <v>10935.68</v>
      </c>
      <c r="H14" s="18" t="s">
        <v>206</v>
      </c>
      <c r="I14" s="91" t="s">
        <v>52</v>
      </c>
    </row>
    <row r="15" spans="1:9" ht="100.5" customHeight="1" x14ac:dyDescent="0.25">
      <c r="A15" s="34">
        <v>12</v>
      </c>
      <c r="B15" s="21" t="s">
        <v>205</v>
      </c>
      <c r="C15" s="36" t="s">
        <v>204</v>
      </c>
      <c r="D15" s="28" t="s">
        <v>203</v>
      </c>
      <c r="E15" s="59" t="s">
        <v>202</v>
      </c>
      <c r="F15" s="58">
        <v>6073692</v>
      </c>
      <c r="G15" s="29">
        <v>10349.48</v>
      </c>
      <c r="H15" s="18" t="s">
        <v>201</v>
      </c>
      <c r="I15" s="91" t="s">
        <v>52</v>
      </c>
    </row>
    <row r="16" spans="1:9" ht="75" x14ac:dyDescent="0.25">
      <c r="A16" s="34">
        <v>13</v>
      </c>
      <c r="B16" s="21" t="s">
        <v>200</v>
      </c>
      <c r="C16" s="60" t="s">
        <v>199</v>
      </c>
      <c r="D16" s="28" t="s">
        <v>198</v>
      </c>
      <c r="E16" s="28" t="s">
        <v>197</v>
      </c>
      <c r="F16" s="37">
        <v>14870832</v>
      </c>
      <c r="G16" s="57">
        <v>21004</v>
      </c>
      <c r="H16" s="18" t="s">
        <v>196</v>
      </c>
      <c r="I16" s="53" t="s">
        <v>14</v>
      </c>
    </row>
    <row r="17" spans="1:15" ht="105" x14ac:dyDescent="0.25">
      <c r="A17" s="34">
        <v>14</v>
      </c>
      <c r="B17" s="21" t="s">
        <v>195</v>
      </c>
      <c r="C17" s="21" t="s">
        <v>194</v>
      </c>
      <c r="D17" s="28" t="s">
        <v>193</v>
      </c>
      <c r="E17" s="52" t="s">
        <v>192</v>
      </c>
      <c r="F17" s="37">
        <v>5301221</v>
      </c>
      <c r="G17" s="37">
        <v>10461</v>
      </c>
      <c r="H17" s="18" t="s">
        <v>191</v>
      </c>
      <c r="I17" s="91" t="s">
        <v>52</v>
      </c>
    </row>
    <row r="18" spans="1:15" ht="75" x14ac:dyDescent="0.25">
      <c r="A18" s="34">
        <v>15</v>
      </c>
      <c r="B18" s="21" t="s">
        <v>190</v>
      </c>
      <c r="C18" s="21" t="s">
        <v>189</v>
      </c>
      <c r="D18" s="52" t="s">
        <v>188</v>
      </c>
      <c r="E18" s="28" t="s">
        <v>187</v>
      </c>
      <c r="F18" s="37">
        <v>55420490</v>
      </c>
      <c r="G18" s="37">
        <v>36245.269999999997</v>
      </c>
      <c r="H18" s="18" t="s">
        <v>186</v>
      </c>
      <c r="I18" s="91" t="s">
        <v>52</v>
      </c>
    </row>
    <row r="19" spans="1:15" ht="120" x14ac:dyDescent="0.25">
      <c r="A19" s="34">
        <v>16</v>
      </c>
      <c r="B19" s="21" t="s">
        <v>185</v>
      </c>
      <c r="C19" s="21" t="s">
        <v>184</v>
      </c>
      <c r="D19" s="28" t="s">
        <v>183</v>
      </c>
      <c r="E19" s="28" t="s">
        <v>182</v>
      </c>
      <c r="F19" s="37">
        <v>17453232</v>
      </c>
      <c r="G19" s="37">
        <v>8654</v>
      </c>
      <c r="H19" s="18" t="s">
        <v>181</v>
      </c>
      <c r="I19" s="53" t="s">
        <v>14</v>
      </c>
    </row>
    <row r="20" spans="1:15" ht="105" x14ac:dyDescent="0.25">
      <c r="A20" s="34">
        <v>17</v>
      </c>
      <c r="B20" s="21" t="s">
        <v>180</v>
      </c>
      <c r="C20" s="61" t="s">
        <v>179</v>
      </c>
      <c r="D20" s="28" t="s">
        <v>178</v>
      </c>
      <c r="E20" s="56" t="s">
        <v>177</v>
      </c>
      <c r="F20" s="37">
        <v>6540240</v>
      </c>
      <c r="G20" s="37">
        <v>14000</v>
      </c>
      <c r="H20" s="18" t="s">
        <v>176</v>
      </c>
      <c r="I20" s="53" t="s">
        <v>14</v>
      </c>
    </row>
    <row r="21" spans="1:15" x14ac:dyDescent="0.25">
      <c r="A21" s="188" t="s">
        <v>50</v>
      </c>
      <c r="B21" s="188"/>
      <c r="C21" s="188"/>
      <c r="D21" s="188"/>
      <c r="E21" s="188"/>
      <c r="F21" s="68">
        <f>SUM(F4:F20)</f>
        <v>587512375</v>
      </c>
      <c r="G21" s="69"/>
      <c r="H21" s="69"/>
      <c r="I21" s="69"/>
      <c r="O21">
        <v>83747116</v>
      </c>
    </row>
    <row r="22" spans="1:15" ht="15.75" x14ac:dyDescent="0.25">
      <c r="B22" s="33" t="s">
        <v>94</v>
      </c>
      <c r="C22" s="33">
        <v>816866857</v>
      </c>
      <c r="D22" s="32">
        <v>23</v>
      </c>
      <c r="O22">
        <v>5244176</v>
      </c>
    </row>
    <row r="23" spans="1:15" ht="15.75" x14ac:dyDescent="0.25">
      <c r="B23" s="33" t="s">
        <v>93</v>
      </c>
      <c r="C23" s="33">
        <v>190054160</v>
      </c>
      <c r="D23" s="32">
        <v>16</v>
      </c>
      <c r="O23">
        <v>144858950</v>
      </c>
    </row>
    <row r="24" spans="1:15" ht="15.75" x14ac:dyDescent="0.25">
      <c r="B24" s="33" t="s">
        <v>92</v>
      </c>
      <c r="C24" s="33">
        <f>SUM(C22:C23)</f>
        <v>1006921017</v>
      </c>
      <c r="D24" s="32">
        <f>SUM(D22:D23)</f>
        <v>39</v>
      </c>
      <c r="O24">
        <v>62688002</v>
      </c>
    </row>
    <row r="25" spans="1:15" x14ac:dyDescent="0.25">
      <c r="O25">
        <v>186000</v>
      </c>
    </row>
    <row r="26" spans="1:15" x14ac:dyDescent="0.25">
      <c r="O26">
        <v>204000</v>
      </c>
    </row>
    <row r="27" spans="1:15" x14ac:dyDescent="0.25">
      <c r="O27">
        <v>9600000</v>
      </c>
    </row>
    <row r="28" spans="1:15" x14ac:dyDescent="0.25">
      <c r="O28">
        <v>13256124</v>
      </c>
    </row>
    <row r="29" spans="1:15" x14ac:dyDescent="0.25">
      <c r="O29">
        <v>7143496</v>
      </c>
    </row>
    <row r="30" spans="1:15" x14ac:dyDescent="0.25">
      <c r="O30">
        <v>7070436</v>
      </c>
    </row>
    <row r="31" spans="1:15" x14ac:dyDescent="0.25">
      <c r="O31">
        <v>22198232</v>
      </c>
    </row>
    <row r="32" spans="1:15" x14ac:dyDescent="0.25">
      <c r="O32">
        <v>6060000</v>
      </c>
    </row>
    <row r="33" spans="3:15" x14ac:dyDescent="0.25">
      <c r="O33">
        <v>1923048</v>
      </c>
    </row>
    <row r="34" spans="3:15" x14ac:dyDescent="0.25">
      <c r="O34">
        <v>29403000</v>
      </c>
    </row>
    <row r="35" spans="3:15" x14ac:dyDescent="0.25">
      <c r="O35">
        <v>4680000</v>
      </c>
    </row>
    <row r="36" spans="3:15" x14ac:dyDescent="0.25">
      <c r="O36">
        <v>11621808</v>
      </c>
    </row>
    <row r="37" spans="3:15" x14ac:dyDescent="0.25">
      <c r="O37">
        <v>5187168</v>
      </c>
    </row>
    <row r="38" spans="3:15" x14ac:dyDescent="0.25">
      <c r="O38">
        <f>SUM(O21:O37)</f>
        <v>415071556</v>
      </c>
    </row>
    <row r="41" spans="3:15" x14ac:dyDescent="0.25">
      <c r="O41">
        <v>415071556</v>
      </c>
    </row>
    <row r="42" spans="3:15" x14ac:dyDescent="0.25">
      <c r="O42">
        <v>587512375</v>
      </c>
    </row>
    <row r="43" spans="3:15" x14ac:dyDescent="0.25">
      <c r="O43">
        <f>SUM(O41:O42)</f>
        <v>1002583931</v>
      </c>
    </row>
    <row r="46" spans="3:15" x14ac:dyDescent="0.25">
      <c r="C46" s="2"/>
      <c r="D46" s="2"/>
      <c r="E46" s="2"/>
      <c r="F46" s="2"/>
      <c r="G46" s="2"/>
      <c r="H46" s="2"/>
    </row>
    <row r="47" spans="3:15" x14ac:dyDescent="0.25">
      <c r="C47" s="2"/>
      <c r="D47" s="2"/>
      <c r="E47" s="2"/>
      <c r="F47" s="2"/>
      <c r="G47" s="2"/>
      <c r="H47" s="2"/>
    </row>
    <row r="48" spans="3:15" x14ac:dyDescent="0.25">
      <c r="C48" s="2"/>
      <c r="D48" s="2"/>
      <c r="E48" s="2"/>
      <c r="F48" s="2"/>
      <c r="G48" s="2"/>
      <c r="H48" s="2"/>
    </row>
    <row r="49" spans="3:8" x14ac:dyDescent="0.25">
      <c r="C49" s="2"/>
      <c r="D49" s="2"/>
      <c r="E49" s="2"/>
      <c r="F49" s="2"/>
      <c r="G49" s="2"/>
      <c r="H49" s="2"/>
    </row>
    <row r="50" spans="3:8" x14ac:dyDescent="0.25">
      <c r="C50" s="2"/>
      <c r="D50" s="2"/>
      <c r="E50" s="2"/>
      <c r="F50" s="2"/>
      <c r="G50" s="2"/>
      <c r="H50" s="2"/>
    </row>
    <row r="51" spans="3:8" x14ac:dyDescent="0.25">
      <c r="C51" s="2"/>
      <c r="D51" s="2"/>
      <c r="E51" s="2"/>
      <c r="F51" s="2"/>
      <c r="G51" s="2"/>
      <c r="H51" s="2"/>
    </row>
    <row r="52" spans="3:8" x14ac:dyDescent="0.25">
      <c r="C52" s="31"/>
      <c r="D52" s="30"/>
      <c r="E52" s="2"/>
      <c r="F52" s="2"/>
      <c r="G52" s="2"/>
      <c r="H52" s="2"/>
    </row>
    <row r="53" spans="3:8" x14ac:dyDescent="0.25">
      <c r="C53" s="2"/>
      <c r="D53" s="2"/>
      <c r="E53" s="2"/>
      <c r="F53" s="2"/>
      <c r="G53" s="2"/>
      <c r="H53" s="2"/>
    </row>
    <row r="54" spans="3:8" x14ac:dyDescent="0.25">
      <c r="C54" s="2"/>
      <c r="D54" s="2"/>
      <c r="E54" s="2"/>
      <c r="F54" s="2"/>
      <c r="G54" s="2"/>
      <c r="H54" s="2"/>
    </row>
    <row r="55" spans="3:8" x14ac:dyDescent="0.25">
      <c r="C55" s="2"/>
      <c r="D55" s="2"/>
      <c r="E55" s="2"/>
      <c r="F55" s="2"/>
      <c r="G55" s="2"/>
      <c r="H55" s="2"/>
    </row>
    <row r="56" spans="3:8" x14ac:dyDescent="0.25">
      <c r="C56" s="2"/>
      <c r="D56" s="2"/>
      <c r="E56" s="2"/>
      <c r="F56" s="2"/>
      <c r="G56" s="2"/>
      <c r="H56" s="2"/>
    </row>
    <row r="58" spans="3:8" ht="0.75" customHeight="1" x14ac:dyDescent="0.25"/>
    <row r="59" spans="3:8" s="2" customFormat="1" x14ac:dyDescent="0.25"/>
    <row r="60" spans="3:8" s="2" customFormat="1" x14ac:dyDescent="0.25"/>
    <row r="61" spans="3:8" s="2" customFormat="1" x14ac:dyDescent="0.25"/>
    <row r="62" spans="3:8" s="2" customFormat="1" x14ac:dyDescent="0.25"/>
    <row r="63" spans="3:8" s="2" customFormat="1" x14ac:dyDescent="0.25"/>
    <row r="64" spans="3:8" s="2" customFormat="1" x14ac:dyDescent="0.25"/>
    <row r="65" spans="2:8" s="2" customFormat="1" x14ac:dyDescent="0.25">
      <c r="B65" s="40"/>
      <c r="C65" s="40"/>
      <c r="D65" s="41"/>
      <c r="E65" s="40"/>
      <c r="F65" s="42"/>
      <c r="G65" s="43"/>
      <c r="H65" s="44"/>
    </row>
    <row r="66" spans="2:8" s="2" customFormat="1" x14ac:dyDescent="0.25">
      <c r="B66" s="44"/>
      <c r="C66" s="44"/>
      <c r="D66" s="44"/>
      <c r="E66" s="44"/>
      <c r="F66" s="45"/>
      <c r="G66" s="45"/>
      <c r="H66" s="44"/>
    </row>
  </sheetData>
  <autoFilter ref="A3:I24"/>
  <mergeCells count="2">
    <mergeCell ref="A2:I2"/>
    <mergeCell ref="A21:E21"/>
  </mergeCells>
  <pageMargins left="0.19685039370078741" right="0.19685039370078741" top="0.23622047244094491" bottom="0.23622047244094491" header="3.937007874015748E-2" footer="3.937007874015748E-2"/>
  <pageSetup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5"/>
  <sheetViews>
    <sheetView topLeftCell="A34" zoomScale="85" zoomScaleNormal="85" workbookViewId="0">
      <selection activeCell="H38" sqref="H38"/>
    </sheetView>
  </sheetViews>
  <sheetFormatPr defaultRowHeight="15" x14ac:dyDescent="0.25"/>
  <cols>
    <col min="1" max="1" width="6.42578125" customWidth="1"/>
    <col min="2" max="2" width="19.28515625" customWidth="1"/>
    <col min="3" max="3" width="38.5703125" customWidth="1"/>
    <col min="4" max="4" width="26.28515625" customWidth="1"/>
    <col min="5" max="5" width="17.140625" customWidth="1"/>
    <col min="6" max="6" width="15.5703125" customWidth="1"/>
    <col min="7" max="7" width="12.85546875" customWidth="1"/>
    <col min="8" max="8" width="18.5703125" customWidth="1"/>
    <col min="9" max="9" width="14.140625" customWidth="1"/>
    <col min="13" max="13" width="10.28515625" bestFit="1" customWidth="1"/>
  </cols>
  <sheetData>
    <row r="2" spans="1:9" ht="42" customHeight="1" x14ac:dyDescent="0.25">
      <c r="A2" s="179" t="s">
        <v>308</v>
      </c>
      <c r="B2" s="179"/>
      <c r="C2" s="179"/>
      <c r="D2" s="179"/>
      <c r="E2" s="179"/>
      <c r="F2" s="179"/>
      <c r="G2" s="179"/>
      <c r="H2" s="179"/>
      <c r="I2" s="179"/>
    </row>
    <row r="3" spans="1:9" ht="31.5" x14ac:dyDescent="0.25">
      <c r="A3" s="1" t="s">
        <v>0</v>
      </c>
      <c r="B3" s="1" t="s">
        <v>1</v>
      </c>
      <c r="C3" s="1" t="s">
        <v>3</v>
      </c>
      <c r="D3" s="1" t="s">
        <v>4</v>
      </c>
      <c r="E3" s="1" t="s">
        <v>5</v>
      </c>
      <c r="F3" s="1" t="s">
        <v>86</v>
      </c>
      <c r="G3" s="1" t="s">
        <v>2</v>
      </c>
      <c r="H3" s="1" t="s">
        <v>6</v>
      </c>
      <c r="I3" s="39" t="s">
        <v>85</v>
      </c>
    </row>
    <row r="4" spans="1:9" ht="100.5" customHeight="1" x14ac:dyDescent="0.25">
      <c r="A4" s="20">
        <v>1</v>
      </c>
      <c r="B4" s="27" t="s">
        <v>260</v>
      </c>
      <c r="C4" s="27" t="s">
        <v>259</v>
      </c>
      <c r="D4" s="18" t="s">
        <v>258</v>
      </c>
      <c r="E4" s="27" t="s">
        <v>257</v>
      </c>
      <c r="F4" s="38">
        <v>1974000</v>
      </c>
      <c r="G4" s="29">
        <v>10349.48</v>
      </c>
      <c r="H4" s="18" t="s">
        <v>256</v>
      </c>
      <c r="I4" s="90" t="s">
        <v>52</v>
      </c>
    </row>
    <row r="5" spans="1:9" ht="96.75" customHeight="1" x14ac:dyDescent="0.25">
      <c r="A5" s="20">
        <v>2</v>
      </c>
      <c r="B5" s="27" t="s">
        <v>255</v>
      </c>
      <c r="C5" s="27" t="s">
        <v>254</v>
      </c>
      <c r="D5" s="18" t="s">
        <v>253</v>
      </c>
      <c r="E5" s="27" t="s">
        <v>252</v>
      </c>
      <c r="F5" s="38">
        <v>100169976</v>
      </c>
      <c r="G5" s="29">
        <v>39007</v>
      </c>
      <c r="H5" s="18" t="s">
        <v>251</v>
      </c>
      <c r="I5" s="90" t="s">
        <v>52</v>
      </c>
    </row>
    <row r="6" spans="1:9" ht="105" x14ac:dyDescent="0.25">
      <c r="A6" s="20">
        <v>3</v>
      </c>
      <c r="B6" s="27" t="s">
        <v>250</v>
      </c>
      <c r="C6" s="27" t="s">
        <v>249</v>
      </c>
      <c r="D6" s="18" t="s">
        <v>248</v>
      </c>
      <c r="E6" s="27" t="s">
        <v>247</v>
      </c>
      <c r="F6" s="38">
        <v>169359984</v>
      </c>
      <c r="G6" s="29">
        <v>40089</v>
      </c>
      <c r="H6" s="18" t="s">
        <v>246</v>
      </c>
      <c r="I6" s="90" t="s">
        <v>52</v>
      </c>
    </row>
    <row r="7" spans="1:9" ht="108.75" customHeight="1" x14ac:dyDescent="0.25">
      <c r="A7" s="34">
        <v>4</v>
      </c>
      <c r="B7" s="50" t="s">
        <v>245</v>
      </c>
      <c r="C7" s="50" t="s">
        <v>244</v>
      </c>
      <c r="D7" s="28" t="s">
        <v>243</v>
      </c>
      <c r="E7" s="51" t="s">
        <v>242</v>
      </c>
      <c r="F7" s="35">
        <v>21384000</v>
      </c>
      <c r="G7" s="37">
        <v>30000</v>
      </c>
      <c r="H7" s="18" t="s">
        <v>241</v>
      </c>
      <c r="I7" s="90" t="s">
        <v>52</v>
      </c>
    </row>
    <row r="8" spans="1:9" ht="110.25" customHeight="1" x14ac:dyDescent="0.25">
      <c r="A8" s="34">
        <v>5</v>
      </c>
      <c r="B8" s="50" t="s">
        <v>240</v>
      </c>
      <c r="C8" s="50" t="s">
        <v>239</v>
      </c>
      <c r="D8" s="28" t="s">
        <v>238</v>
      </c>
      <c r="E8" s="52" t="s">
        <v>237</v>
      </c>
      <c r="F8" s="35">
        <v>5153568</v>
      </c>
      <c r="G8" s="37">
        <v>18255.740000000002</v>
      </c>
      <c r="H8" s="18" t="s">
        <v>236</v>
      </c>
      <c r="I8" s="90" t="s">
        <v>52</v>
      </c>
    </row>
    <row r="9" spans="1:9" ht="90" x14ac:dyDescent="0.25">
      <c r="A9" s="34">
        <v>6</v>
      </c>
      <c r="B9" s="36" t="s">
        <v>235</v>
      </c>
      <c r="C9" s="51" t="s">
        <v>234</v>
      </c>
      <c r="D9" s="28" t="s">
        <v>233</v>
      </c>
      <c r="E9" s="18" t="s">
        <v>232</v>
      </c>
      <c r="F9" s="35">
        <v>6017976</v>
      </c>
      <c r="G9" s="29">
        <v>13554</v>
      </c>
      <c r="H9" s="18" t="s">
        <v>231</v>
      </c>
      <c r="I9" s="53" t="s">
        <v>14</v>
      </c>
    </row>
    <row r="10" spans="1:9" ht="120" x14ac:dyDescent="0.25">
      <c r="A10" s="34">
        <v>7</v>
      </c>
      <c r="B10" s="50" t="s">
        <v>230</v>
      </c>
      <c r="C10" s="52" t="s">
        <v>229</v>
      </c>
      <c r="D10" s="28" t="s">
        <v>228</v>
      </c>
      <c r="E10" s="52" t="s">
        <v>227</v>
      </c>
      <c r="F10" s="35">
        <v>7539840</v>
      </c>
      <c r="G10" s="29">
        <v>20860.63</v>
      </c>
      <c r="H10" s="18" t="s">
        <v>226</v>
      </c>
      <c r="I10" s="53" t="s">
        <v>14</v>
      </c>
    </row>
    <row r="11" spans="1:9" ht="75" x14ac:dyDescent="0.25">
      <c r="A11" s="34">
        <v>8</v>
      </c>
      <c r="B11" s="54" t="s">
        <v>225</v>
      </c>
      <c r="C11" s="54" t="s">
        <v>224</v>
      </c>
      <c r="D11" s="28" t="s">
        <v>223</v>
      </c>
      <c r="E11" s="54" t="s">
        <v>222</v>
      </c>
      <c r="F11" s="35">
        <v>10630992</v>
      </c>
      <c r="G11" s="55">
        <v>17542.88</v>
      </c>
      <c r="H11" s="18" t="s">
        <v>221</v>
      </c>
      <c r="I11" s="53" t="s">
        <v>14</v>
      </c>
    </row>
    <row r="12" spans="1:9" ht="75" x14ac:dyDescent="0.25">
      <c r="A12" s="34">
        <v>9</v>
      </c>
      <c r="B12" s="50" t="s">
        <v>220</v>
      </c>
      <c r="C12" s="50" t="s">
        <v>219</v>
      </c>
      <c r="D12" s="28" t="s">
        <v>218</v>
      </c>
      <c r="E12" s="52" t="s">
        <v>217</v>
      </c>
      <c r="F12" s="35">
        <v>6598668</v>
      </c>
      <c r="G12" s="29">
        <v>7326</v>
      </c>
      <c r="H12" s="18" t="s">
        <v>216</v>
      </c>
      <c r="I12" s="90" t="s">
        <v>52</v>
      </c>
    </row>
    <row r="13" spans="1:9" ht="90" x14ac:dyDescent="0.25">
      <c r="A13" s="34">
        <v>10</v>
      </c>
      <c r="B13" s="56" t="s">
        <v>215</v>
      </c>
      <c r="C13" s="56" t="s">
        <v>214</v>
      </c>
      <c r="D13" s="28" t="s">
        <v>213</v>
      </c>
      <c r="E13" s="57" t="s">
        <v>212</v>
      </c>
      <c r="F13" s="58">
        <v>69463560</v>
      </c>
      <c r="G13" s="57">
        <v>18673</v>
      </c>
      <c r="H13" s="18" t="s">
        <v>211</v>
      </c>
      <c r="I13" s="53" t="s">
        <v>14</v>
      </c>
    </row>
    <row r="14" spans="1:9" ht="139.5" customHeight="1" x14ac:dyDescent="0.25">
      <c r="A14" s="34">
        <v>11</v>
      </c>
      <c r="B14" s="21" t="s">
        <v>210</v>
      </c>
      <c r="C14" s="52" t="s">
        <v>209</v>
      </c>
      <c r="D14" s="52" t="s">
        <v>208</v>
      </c>
      <c r="E14" s="28" t="s">
        <v>207</v>
      </c>
      <c r="F14" s="37">
        <v>83560104</v>
      </c>
      <c r="G14" s="37">
        <v>10935.68</v>
      </c>
      <c r="H14" s="18" t="s">
        <v>206</v>
      </c>
      <c r="I14" s="90" t="s">
        <v>52</v>
      </c>
    </row>
    <row r="15" spans="1:9" ht="100.5" customHeight="1" x14ac:dyDescent="0.25">
      <c r="A15" s="34">
        <v>12</v>
      </c>
      <c r="B15" s="21" t="s">
        <v>205</v>
      </c>
      <c r="C15" s="36" t="s">
        <v>204</v>
      </c>
      <c r="D15" s="28" t="s">
        <v>203</v>
      </c>
      <c r="E15" s="59" t="s">
        <v>202</v>
      </c>
      <c r="F15" s="58">
        <v>6073692</v>
      </c>
      <c r="G15" s="29">
        <v>10349.48</v>
      </c>
      <c r="H15" s="18" t="s">
        <v>201</v>
      </c>
      <c r="I15" s="90" t="s">
        <v>52</v>
      </c>
    </row>
    <row r="16" spans="1:9" ht="75" x14ac:dyDescent="0.25">
      <c r="A16" s="34">
        <v>13</v>
      </c>
      <c r="B16" s="21" t="s">
        <v>200</v>
      </c>
      <c r="C16" s="60" t="s">
        <v>199</v>
      </c>
      <c r="D16" s="28" t="s">
        <v>198</v>
      </c>
      <c r="E16" s="28" t="s">
        <v>197</v>
      </c>
      <c r="F16" s="37">
        <v>14870832</v>
      </c>
      <c r="G16" s="57">
        <v>21004</v>
      </c>
      <c r="H16" s="18" t="s">
        <v>196</v>
      </c>
      <c r="I16" s="53" t="s">
        <v>14</v>
      </c>
    </row>
    <row r="17" spans="1:9" ht="105" x14ac:dyDescent="0.25">
      <c r="A17" s="34">
        <v>14</v>
      </c>
      <c r="B17" s="21" t="s">
        <v>195</v>
      </c>
      <c r="C17" s="21" t="s">
        <v>194</v>
      </c>
      <c r="D17" s="28" t="s">
        <v>193</v>
      </c>
      <c r="E17" s="52" t="s">
        <v>192</v>
      </c>
      <c r="F17" s="37">
        <v>5301221</v>
      </c>
      <c r="G17" s="37">
        <v>10461</v>
      </c>
      <c r="H17" s="18" t="s">
        <v>191</v>
      </c>
      <c r="I17" s="90" t="s">
        <v>52</v>
      </c>
    </row>
    <row r="18" spans="1:9" ht="75" x14ac:dyDescent="0.25">
      <c r="A18" s="34">
        <v>15</v>
      </c>
      <c r="B18" s="21" t="s">
        <v>190</v>
      </c>
      <c r="C18" s="21" t="s">
        <v>189</v>
      </c>
      <c r="D18" s="52" t="s">
        <v>188</v>
      </c>
      <c r="E18" s="28" t="s">
        <v>187</v>
      </c>
      <c r="F18" s="37">
        <v>55420490</v>
      </c>
      <c r="G18" s="37">
        <v>36245.269999999997</v>
      </c>
      <c r="H18" s="18" t="s">
        <v>186</v>
      </c>
      <c r="I18" s="90" t="s">
        <v>52</v>
      </c>
    </row>
    <row r="19" spans="1:9" ht="120" x14ac:dyDescent="0.25">
      <c r="A19" s="34">
        <v>16</v>
      </c>
      <c r="B19" s="21" t="s">
        <v>185</v>
      </c>
      <c r="C19" s="21" t="s">
        <v>184</v>
      </c>
      <c r="D19" s="28" t="s">
        <v>183</v>
      </c>
      <c r="E19" s="28" t="s">
        <v>182</v>
      </c>
      <c r="F19" s="37">
        <v>17453232</v>
      </c>
      <c r="G19" s="37">
        <v>8654</v>
      </c>
      <c r="H19" s="18" t="s">
        <v>181</v>
      </c>
      <c r="I19" s="53" t="s">
        <v>14</v>
      </c>
    </row>
    <row r="20" spans="1:9" ht="105" x14ac:dyDescent="0.25">
      <c r="A20" s="34">
        <v>17</v>
      </c>
      <c r="B20" s="21" t="s">
        <v>180</v>
      </c>
      <c r="C20" s="61" t="s">
        <v>179</v>
      </c>
      <c r="D20" s="28" t="s">
        <v>178</v>
      </c>
      <c r="E20" s="56" t="s">
        <v>177</v>
      </c>
      <c r="F20" s="37">
        <v>6540240</v>
      </c>
      <c r="G20" s="37">
        <v>14000</v>
      </c>
      <c r="H20" s="18" t="s">
        <v>176</v>
      </c>
      <c r="I20" s="53" t="s">
        <v>14</v>
      </c>
    </row>
    <row r="21" spans="1:9" ht="105" x14ac:dyDescent="0.25">
      <c r="A21" s="34">
        <v>18</v>
      </c>
      <c r="B21" s="21" t="s">
        <v>175</v>
      </c>
      <c r="C21" s="21" t="s">
        <v>174</v>
      </c>
      <c r="D21" s="28" t="s">
        <v>173</v>
      </c>
      <c r="E21" s="28" t="s">
        <v>172</v>
      </c>
      <c r="F21" s="37">
        <v>5187168</v>
      </c>
      <c r="G21" s="37">
        <v>9296</v>
      </c>
      <c r="H21" s="18" t="s">
        <v>171</v>
      </c>
      <c r="I21" s="53" t="s">
        <v>14</v>
      </c>
    </row>
    <row r="22" spans="1:9" ht="135" x14ac:dyDescent="0.25">
      <c r="A22" s="34">
        <v>19</v>
      </c>
      <c r="B22" s="21" t="s">
        <v>170</v>
      </c>
      <c r="C22" s="21" t="s">
        <v>169</v>
      </c>
      <c r="D22" s="28" t="s">
        <v>168</v>
      </c>
      <c r="E22" s="21" t="s">
        <v>167</v>
      </c>
      <c r="F22" s="37">
        <v>11621808</v>
      </c>
      <c r="G22" s="37" t="s">
        <v>166</v>
      </c>
      <c r="H22" s="18" t="s">
        <v>165</v>
      </c>
      <c r="I22" s="90" t="s">
        <v>52</v>
      </c>
    </row>
    <row r="23" spans="1:9" ht="124.5" customHeight="1" x14ac:dyDescent="0.25">
      <c r="A23" s="34">
        <v>20</v>
      </c>
      <c r="B23" s="21" t="s">
        <v>164</v>
      </c>
      <c r="C23" s="56" t="s">
        <v>163</v>
      </c>
      <c r="D23" s="28" t="s">
        <v>162</v>
      </c>
      <c r="E23" s="56" t="s">
        <v>143</v>
      </c>
      <c r="F23" s="37">
        <v>4680000</v>
      </c>
      <c r="G23" s="37">
        <v>12537</v>
      </c>
      <c r="H23" s="18" t="s">
        <v>161</v>
      </c>
      <c r="I23" s="90" t="s">
        <v>52</v>
      </c>
    </row>
    <row r="24" spans="1:9" ht="135" x14ac:dyDescent="0.25">
      <c r="A24" s="34">
        <v>21</v>
      </c>
      <c r="B24" s="21" t="s">
        <v>160</v>
      </c>
      <c r="C24" s="36" t="s">
        <v>159</v>
      </c>
      <c r="D24" s="28" t="s">
        <v>158</v>
      </c>
      <c r="E24" s="28" t="s">
        <v>157</v>
      </c>
      <c r="F24" s="37">
        <v>29403000</v>
      </c>
      <c r="G24" s="37">
        <v>14850</v>
      </c>
      <c r="H24" s="18" t="s">
        <v>156</v>
      </c>
      <c r="I24" s="90" t="s">
        <v>52</v>
      </c>
    </row>
    <row r="25" spans="1:9" ht="75" x14ac:dyDescent="0.25">
      <c r="A25" s="34">
        <v>22</v>
      </c>
      <c r="B25" s="56" t="s">
        <v>155</v>
      </c>
      <c r="C25" s="56" t="s">
        <v>154</v>
      </c>
      <c r="D25" s="28" t="s">
        <v>153</v>
      </c>
      <c r="E25" s="56" t="s">
        <v>152</v>
      </c>
      <c r="F25" s="37">
        <v>1923048</v>
      </c>
      <c r="G25" s="37">
        <v>4057.06</v>
      </c>
      <c r="H25" s="18" t="s">
        <v>151</v>
      </c>
      <c r="I25" s="53" t="s">
        <v>14</v>
      </c>
    </row>
    <row r="26" spans="1:9" ht="135" x14ac:dyDescent="0.25">
      <c r="A26" s="34">
        <v>23</v>
      </c>
      <c r="B26" s="62" t="s">
        <v>150</v>
      </c>
      <c r="C26" s="62" t="s">
        <v>149</v>
      </c>
      <c r="D26" s="28" t="s">
        <v>148</v>
      </c>
      <c r="E26" s="62" t="s">
        <v>147</v>
      </c>
      <c r="F26" s="37">
        <v>6075972</v>
      </c>
      <c r="G26" s="37">
        <v>21742.74</v>
      </c>
      <c r="H26" s="18" t="s">
        <v>146</v>
      </c>
      <c r="I26" s="90" t="s">
        <v>52</v>
      </c>
    </row>
    <row r="27" spans="1:9" ht="150" x14ac:dyDescent="0.25">
      <c r="A27" s="34">
        <v>24</v>
      </c>
      <c r="B27" s="56" t="s">
        <v>261</v>
      </c>
      <c r="C27" s="56" t="s">
        <v>145</v>
      </c>
      <c r="D27" s="28" t="s">
        <v>144</v>
      </c>
      <c r="E27" s="61" t="s">
        <v>143</v>
      </c>
      <c r="F27" s="37">
        <v>6060000</v>
      </c>
      <c r="G27" s="37">
        <v>8116.59</v>
      </c>
      <c r="H27" s="18" t="s">
        <v>142</v>
      </c>
      <c r="I27" s="90" t="s">
        <v>52</v>
      </c>
    </row>
    <row r="28" spans="1:9" ht="135" x14ac:dyDescent="0.25">
      <c r="A28" s="34">
        <v>25</v>
      </c>
      <c r="B28" s="21" t="s">
        <v>141</v>
      </c>
      <c r="C28" s="36" t="s">
        <v>262</v>
      </c>
      <c r="D28" s="63" t="s">
        <v>140</v>
      </c>
      <c r="E28" s="28" t="s">
        <v>139</v>
      </c>
      <c r="F28" s="37">
        <v>22198232</v>
      </c>
      <c r="G28" s="37"/>
      <c r="H28" s="18" t="s">
        <v>138</v>
      </c>
      <c r="I28" s="53" t="s">
        <v>14</v>
      </c>
    </row>
    <row r="29" spans="1:9" ht="90" x14ac:dyDescent="0.25">
      <c r="A29" s="34">
        <v>26</v>
      </c>
      <c r="B29" s="21" t="s">
        <v>137</v>
      </c>
      <c r="C29" s="21" t="s">
        <v>136</v>
      </c>
      <c r="D29" s="28" t="s">
        <v>135</v>
      </c>
      <c r="E29" s="21" t="s">
        <v>134</v>
      </c>
      <c r="F29" s="37">
        <v>7070436</v>
      </c>
      <c r="G29" s="64">
        <v>14770</v>
      </c>
      <c r="H29" s="18" t="s">
        <v>133</v>
      </c>
      <c r="I29" s="90" t="s">
        <v>52</v>
      </c>
    </row>
    <row r="30" spans="1:9" ht="75" x14ac:dyDescent="0.25">
      <c r="A30" s="34">
        <v>27</v>
      </c>
      <c r="B30" s="21" t="s">
        <v>263</v>
      </c>
      <c r="C30" s="60" t="s">
        <v>132</v>
      </c>
      <c r="D30" s="58" t="s">
        <v>131</v>
      </c>
      <c r="E30" s="28" t="s">
        <v>130</v>
      </c>
      <c r="F30" s="37">
        <v>7143496</v>
      </c>
      <c r="G30" s="64"/>
      <c r="H30" s="18" t="s">
        <v>129</v>
      </c>
      <c r="I30" s="90" t="s">
        <v>52</v>
      </c>
    </row>
    <row r="31" spans="1:9" ht="75" x14ac:dyDescent="0.25">
      <c r="A31" s="34">
        <v>28</v>
      </c>
      <c r="B31" s="21" t="s">
        <v>128</v>
      </c>
      <c r="C31" s="36" t="s">
        <v>127</v>
      </c>
      <c r="D31" s="28" t="s">
        <v>126</v>
      </c>
      <c r="E31" s="28" t="s">
        <v>125</v>
      </c>
      <c r="F31" s="37">
        <v>13256124</v>
      </c>
      <c r="G31" s="65">
        <v>7890.55</v>
      </c>
      <c r="H31" s="18" t="s">
        <v>124</v>
      </c>
      <c r="I31" s="90" t="s">
        <v>52</v>
      </c>
    </row>
    <row r="32" spans="1:9" ht="75" x14ac:dyDescent="0.25">
      <c r="A32" s="34">
        <v>29</v>
      </c>
      <c r="B32" s="21" t="s">
        <v>264</v>
      </c>
      <c r="C32" s="21" t="s">
        <v>123</v>
      </c>
      <c r="D32" s="28" t="s">
        <v>122</v>
      </c>
      <c r="E32" s="28"/>
      <c r="F32" s="37">
        <v>9600000</v>
      </c>
      <c r="G32" s="65">
        <v>13503</v>
      </c>
      <c r="H32" s="18" t="s">
        <v>121</v>
      </c>
      <c r="I32" s="53" t="s">
        <v>14</v>
      </c>
    </row>
    <row r="33" spans="1:9" ht="90" x14ac:dyDescent="0.25">
      <c r="A33" s="34">
        <v>30</v>
      </c>
      <c r="B33" s="56" t="s">
        <v>120</v>
      </c>
      <c r="C33" s="56" t="s">
        <v>119</v>
      </c>
      <c r="D33" s="28" t="s">
        <v>118</v>
      </c>
      <c r="E33" s="56" t="s">
        <v>113</v>
      </c>
      <c r="F33" s="37">
        <v>204000</v>
      </c>
      <c r="G33" s="65">
        <v>977.12</v>
      </c>
      <c r="H33" s="18" t="s">
        <v>117</v>
      </c>
      <c r="I33" s="53" t="s">
        <v>14</v>
      </c>
    </row>
    <row r="34" spans="1:9" ht="75" x14ac:dyDescent="0.25">
      <c r="A34" s="34">
        <v>31</v>
      </c>
      <c r="B34" s="56" t="s">
        <v>116</v>
      </c>
      <c r="C34" s="56" t="s">
        <v>115</v>
      </c>
      <c r="D34" s="28" t="s">
        <v>114</v>
      </c>
      <c r="E34" s="56" t="s">
        <v>113</v>
      </c>
      <c r="F34" s="37">
        <v>186000</v>
      </c>
      <c r="G34" s="57">
        <v>991.64</v>
      </c>
      <c r="H34" s="18" t="s">
        <v>112</v>
      </c>
      <c r="I34" s="53" t="s">
        <v>14</v>
      </c>
    </row>
    <row r="35" spans="1:9" ht="90" x14ac:dyDescent="0.25">
      <c r="A35" s="34">
        <v>32</v>
      </c>
      <c r="B35" s="66" t="s">
        <v>91</v>
      </c>
      <c r="C35" s="66" t="s">
        <v>90</v>
      </c>
      <c r="D35" s="28" t="s">
        <v>89</v>
      </c>
      <c r="E35" s="66" t="s">
        <v>88</v>
      </c>
      <c r="F35" s="37">
        <v>101358912</v>
      </c>
      <c r="G35" s="57">
        <v>14071.06</v>
      </c>
      <c r="H35" s="18" t="s">
        <v>87</v>
      </c>
      <c r="I35" s="90" t="s">
        <v>52</v>
      </c>
    </row>
    <row r="36" spans="1:9" ht="90" x14ac:dyDescent="0.25">
      <c r="A36" s="34">
        <v>33</v>
      </c>
      <c r="B36" s="54" t="s">
        <v>111</v>
      </c>
      <c r="C36" s="54" t="s">
        <v>110</v>
      </c>
      <c r="D36" s="28" t="s">
        <v>109</v>
      </c>
      <c r="E36" s="54" t="s">
        <v>108</v>
      </c>
      <c r="F36" s="37">
        <v>6268800</v>
      </c>
      <c r="G36" s="57">
        <v>6530</v>
      </c>
      <c r="H36" s="18" t="s">
        <v>107</v>
      </c>
      <c r="I36" s="53" t="s">
        <v>14</v>
      </c>
    </row>
    <row r="37" spans="1:9" ht="90" x14ac:dyDescent="0.25">
      <c r="A37" s="34">
        <v>34</v>
      </c>
      <c r="B37" s="50" t="s">
        <v>106</v>
      </c>
      <c r="C37" s="36" t="s">
        <v>265</v>
      </c>
      <c r="D37" s="55">
        <v>144858950</v>
      </c>
      <c r="E37" s="54" t="s">
        <v>105</v>
      </c>
      <c r="F37" s="55">
        <v>144858950</v>
      </c>
      <c r="G37" s="57"/>
      <c r="H37" s="18" t="s">
        <v>104</v>
      </c>
      <c r="I37" s="90" t="s">
        <v>52</v>
      </c>
    </row>
    <row r="38" spans="1:9" ht="135" x14ac:dyDescent="0.25">
      <c r="A38" s="34">
        <v>35</v>
      </c>
      <c r="B38" s="50" t="s">
        <v>103</v>
      </c>
      <c r="C38" s="52" t="s">
        <v>102</v>
      </c>
      <c r="D38" s="28" t="s">
        <v>101</v>
      </c>
      <c r="E38" s="28" t="s">
        <v>100</v>
      </c>
      <c r="F38" s="37">
        <v>7523952</v>
      </c>
      <c r="G38" s="37">
        <v>9881.74</v>
      </c>
      <c r="H38" s="18" t="s">
        <v>99</v>
      </c>
      <c r="I38" s="53" t="s">
        <v>14</v>
      </c>
    </row>
    <row r="39" spans="1:9" ht="105" x14ac:dyDescent="0.25">
      <c r="A39" s="34">
        <v>36</v>
      </c>
      <c r="B39" s="67" t="s">
        <v>266</v>
      </c>
      <c r="C39" s="66" t="s">
        <v>98</v>
      </c>
      <c r="D39" s="28" t="s">
        <v>97</v>
      </c>
      <c r="E39" s="66" t="s">
        <v>96</v>
      </c>
      <c r="F39" s="37">
        <v>22112280</v>
      </c>
      <c r="G39" s="64">
        <v>28680</v>
      </c>
      <c r="H39" s="18" t="s">
        <v>95</v>
      </c>
      <c r="I39" s="90" t="s">
        <v>52</v>
      </c>
    </row>
    <row r="40" spans="1:9" x14ac:dyDescent="0.25">
      <c r="A40" s="188" t="s">
        <v>50</v>
      </c>
      <c r="B40" s="188"/>
      <c r="C40" s="188"/>
      <c r="D40" s="188"/>
      <c r="E40" s="188"/>
      <c r="F40" s="68">
        <f>SUM(F4:F39)</f>
        <v>994244553</v>
      </c>
      <c r="G40" s="69"/>
      <c r="H40" s="69"/>
      <c r="I40" s="69"/>
    </row>
    <row r="41" spans="1:9" ht="15.75" x14ac:dyDescent="0.25">
      <c r="B41" s="33" t="s">
        <v>94</v>
      </c>
      <c r="C41" s="33">
        <v>808636681</v>
      </c>
      <c r="D41" s="32">
        <v>21</v>
      </c>
    </row>
    <row r="42" spans="1:9" ht="15.75" x14ac:dyDescent="0.25">
      <c r="B42" s="33" t="s">
        <v>93</v>
      </c>
      <c r="C42" s="33">
        <v>185607872</v>
      </c>
      <c r="D42" s="32">
        <v>15</v>
      </c>
    </row>
    <row r="43" spans="1:9" ht="15.75" x14ac:dyDescent="0.25">
      <c r="B43" s="33" t="s">
        <v>92</v>
      </c>
      <c r="C43" s="33">
        <f>SUM(C41:C42)</f>
        <v>994244553</v>
      </c>
      <c r="D43" s="32">
        <f>SUM(D41:D42)</f>
        <v>36</v>
      </c>
    </row>
    <row r="65" spans="3:8" x14ac:dyDescent="0.25">
      <c r="C65" s="2"/>
      <c r="D65" s="2"/>
      <c r="E65" s="2"/>
      <c r="F65" s="2"/>
      <c r="G65" s="2"/>
      <c r="H65" s="2"/>
    </row>
    <row r="66" spans="3:8" x14ac:dyDescent="0.25">
      <c r="C66" s="2"/>
      <c r="D66" s="2"/>
      <c r="E66" s="2"/>
      <c r="F66" s="2"/>
      <c r="G66" s="2"/>
      <c r="H66" s="2"/>
    </row>
    <row r="67" spans="3:8" x14ac:dyDescent="0.25">
      <c r="C67" s="2"/>
      <c r="D67" s="2"/>
      <c r="E67" s="2"/>
      <c r="F67" s="2"/>
      <c r="G67" s="2"/>
      <c r="H67" s="2"/>
    </row>
    <row r="68" spans="3:8" x14ac:dyDescent="0.25">
      <c r="C68" s="2"/>
      <c r="D68" s="2"/>
      <c r="E68" s="2"/>
      <c r="F68" s="2"/>
      <c r="G68" s="2"/>
      <c r="H68" s="2"/>
    </row>
    <row r="69" spans="3:8" x14ac:dyDescent="0.25">
      <c r="C69" s="2"/>
      <c r="D69" s="2"/>
      <c r="E69" s="2"/>
      <c r="F69" s="2"/>
      <c r="G69" s="2"/>
      <c r="H69" s="2"/>
    </row>
    <row r="70" spans="3:8" x14ac:dyDescent="0.25">
      <c r="C70" s="2"/>
      <c r="D70" s="2"/>
      <c r="E70" s="2"/>
      <c r="F70" s="2"/>
      <c r="G70" s="2"/>
      <c r="H70" s="2"/>
    </row>
    <row r="71" spans="3:8" x14ac:dyDescent="0.25">
      <c r="C71" s="31"/>
      <c r="D71" s="30"/>
      <c r="E71" s="2"/>
      <c r="F71" s="2"/>
      <c r="G71" s="2"/>
      <c r="H71" s="2"/>
    </row>
    <row r="72" spans="3:8" x14ac:dyDescent="0.25">
      <c r="C72" s="2"/>
      <c r="D72" s="2"/>
      <c r="E72" s="2"/>
      <c r="F72" s="2"/>
      <c r="G72" s="2"/>
      <c r="H72" s="2"/>
    </row>
    <row r="73" spans="3:8" x14ac:dyDescent="0.25">
      <c r="C73" s="2"/>
      <c r="D73" s="2"/>
      <c r="E73" s="2"/>
      <c r="F73" s="2"/>
      <c r="G73" s="2"/>
      <c r="H73" s="2"/>
    </row>
    <row r="74" spans="3:8" x14ac:dyDescent="0.25">
      <c r="C74" s="2"/>
      <c r="D74" s="2"/>
      <c r="E74" s="2"/>
      <c r="F74" s="2"/>
      <c r="G74" s="2"/>
      <c r="H74" s="2"/>
    </row>
    <row r="75" spans="3:8" x14ac:dyDescent="0.25">
      <c r="C75" s="2"/>
      <c r="D75" s="2"/>
      <c r="E75" s="2"/>
      <c r="F75" s="2"/>
      <c r="G75" s="2"/>
      <c r="H75" s="2"/>
    </row>
    <row r="77" spans="3:8" ht="0.75" customHeight="1" x14ac:dyDescent="0.25"/>
    <row r="78" spans="3:8" s="2" customFormat="1" x14ac:dyDescent="0.25"/>
    <row r="79" spans="3:8" s="2" customFormat="1" x14ac:dyDescent="0.25"/>
    <row r="80" spans="3:8" s="2" customFormat="1" x14ac:dyDescent="0.25"/>
    <row r="81" spans="2:8" s="2" customFormat="1" x14ac:dyDescent="0.25"/>
    <row r="82" spans="2:8" s="2" customFormat="1" x14ac:dyDescent="0.25"/>
    <row r="83" spans="2:8" s="2" customFormat="1" x14ac:dyDescent="0.25"/>
    <row r="84" spans="2:8" s="2" customFormat="1" x14ac:dyDescent="0.25">
      <c r="B84" s="40"/>
      <c r="C84" s="40"/>
      <c r="D84" s="41"/>
      <c r="E84" s="40"/>
      <c r="F84" s="42"/>
      <c r="G84" s="43"/>
      <c r="H84" s="44"/>
    </row>
    <row r="85" spans="2:8" s="2" customFormat="1" x14ac:dyDescent="0.25">
      <c r="B85" s="44"/>
      <c r="C85" s="44"/>
      <c r="D85" s="44"/>
      <c r="E85" s="44"/>
      <c r="F85" s="45"/>
      <c r="G85" s="45"/>
      <c r="H85" s="44"/>
    </row>
  </sheetData>
  <autoFilter ref="A3:I43"/>
  <mergeCells count="2">
    <mergeCell ref="A2:I2"/>
    <mergeCell ref="A40:E40"/>
  </mergeCells>
  <pageMargins left="0.19685039370078741" right="0.19685039370078741" top="0.23622047244094491" bottom="0.23622047244094491" header="3.937007874015748E-2" footer="3.937007874015748E-2"/>
  <pageSetup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9"/>
  <sheetViews>
    <sheetView zoomScale="85" zoomScaleNormal="85" workbookViewId="0">
      <selection activeCell="C5" sqref="C5"/>
    </sheetView>
  </sheetViews>
  <sheetFormatPr defaultRowHeight="15" x14ac:dyDescent="0.25"/>
  <cols>
    <col min="1" max="1" width="6.42578125" customWidth="1"/>
    <col min="2" max="2" width="19.28515625" customWidth="1"/>
    <col min="3" max="3" width="38.5703125" customWidth="1"/>
    <col min="4" max="4" width="26.28515625" customWidth="1"/>
    <col min="5" max="5" width="17.140625" customWidth="1"/>
    <col min="6" max="6" width="15.5703125" customWidth="1"/>
    <col min="7" max="7" width="12.85546875" customWidth="1"/>
    <col min="8" max="8" width="18.5703125" customWidth="1"/>
    <col min="9" max="9" width="14.140625" customWidth="1"/>
    <col min="13" max="13" width="10.28515625" bestFit="1" customWidth="1"/>
  </cols>
  <sheetData>
    <row r="2" spans="1:9" ht="42" customHeight="1" x14ac:dyDescent="0.25">
      <c r="A2" s="179" t="s">
        <v>305</v>
      </c>
      <c r="B2" s="179"/>
      <c r="C2" s="179"/>
      <c r="D2" s="179"/>
      <c r="E2" s="179"/>
      <c r="F2" s="179"/>
      <c r="G2" s="179"/>
      <c r="H2" s="179"/>
      <c r="I2" s="179"/>
    </row>
    <row r="3" spans="1:9" ht="31.5" x14ac:dyDescent="0.25">
      <c r="A3" s="1" t="s">
        <v>0</v>
      </c>
      <c r="B3" s="1" t="s">
        <v>1</v>
      </c>
      <c r="C3" s="1" t="s">
        <v>3</v>
      </c>
      <c r="D3" s="1" t="s">
        <v>4</v>
      </c>
      <c r="E3" s="1" t="s">
        <v>5</v>
      </c>
      <c r="F3" s="1" t="s">
        <v>86</v>
      </c>
      <c r="G3" s="1" t="s">
        <v>2</v>
      </c>
      <c r="H3" s="1" t="s">
        <v>6</v>
      </c>
      <c r="I3" s="39" t="s">
        <v>85</v>
      </c>
    </row>
    <row r="4" spans="1:9" ht="105" x14ac:dyDescent="0.25">
      <c r="A4" s="34">
        <v>1</v>
      </c>
      <c r="B4" s="67" t="s">
        <v>266</v>
      </c>
      <c r="C4" s="66" t="s">
        <v>98</v>
      </c>
      <c r="D4" s="28" t="s">
        <v>97</v>
      </c>
      <c r="E4" s="66" t="s">
        <v>96</v>
      </c>
      <c r="F4" s="37">
        <v>22112280</v>
      </c>
      <c r="G4" s="64">
        <v>28680</v>
      </c>
      <c r="H4" s="18" t="s">
        <v>95</v>
      </c>
      <c r="I4" s="78" t="s">
        <v>52</v>
      </c>
    </row>
    <row r="5" spans="1:9" ht="75" x14ac:dyDescent="0.25">
      <c r="A5" s="34">
        <v>2</v>
      </c>
      <c r="B5" s="70" t="s">
        <v>267</v>
      </c>
      <c r="C5" s="71" t="s">
        <v>268</v>
      </c>
      <c r="D5" s="28" t="s">
        <v>269</v>
      </c>
      <c r="E5" s="71" t="s">
        <v>270</v>
      </c>
      <c r="F5" s="37">
        <v>4446288</v>
      </c>
      <c r="G5" s="64" t="s">
        <v>271</v>
      </c>
      <c r="H5" s="18" t="s">
        <v>272</v>
      </c>
      <c r="I5" s="53" t="s">
        <v>14</v>
      </c>
    </row>
    <row r="6" spans="1:9" ht="87.75" x14ac:dyDescent="0.25">
      <c r="A6" s="34">
        <v>3</v>
      </c>
      <c r="B6" s="72" t="s">
        <v>273</v>
      </c>
      <c r="C6" s="73" t="s">
        <v>274</v>
      </c>
      <c r="D6" s="28" t="s">
        <v>276</v>
      </c>
      <c r="E6" s="73" t="s">
        <v>275</v>
      </c>
      <c r="F6" s="37">
        <v>5254176</v>
      </c>
      <c r="G6" s="64">
        <v>12317</v>
      </c>
      <c r="H6" s="18" t="s">
        <v>278</v>
      </c>
      <c r="I6" s="78" t="s">
        <v>52</v>
      </c>
    </row>
    <row r="7" spans="1:9" ht="90" x14ac:dyDescent="0.25">
      <c r="A7" s="34">
        <v>4</v>
      </c>
      <c r="B7" s="70" t="s">
        <v>279</v>
      </c>
      <c r="C7" s="71" t="s">
        <v>283</v>
      </c>
      <c r="D7" s="28" t="s">
        <v>280</v>
      </c>
      <c r="E7" s="71" t="s">
        <v>281</v>
      </c>
      <c r="F7" s="37">
        <v>2976000</v>
      </c>
      <c r="G7" s="64">
        <v>9055</v>
      </c>
      <c r="H7" s="18" t="s">
        <v>282</v>
      </c>
      <c r="I7" s="78" t="s">
        <v>52</v>
      </c>
    </row>
    <row r="8" spans="1:9" x14ac:dyDescent="0.25">
      <c r="A8" s="188" t="s">
        <v>50</v>
      </c>
      <c r="B8" s="188"/>
      <c r="C8" s="188"/>
      <c r="D8" s="188"/>
      <c r="E8" s="188"/>
      <c r="F8" s="76">
        <f>SUM(F4:F7)</f>
        <v>34788744</v>
      </c>
      <c r="G8" s="69"/>
      <c r="H8" s="69"/>
      <c r="I8" s="69"/>
    </row>
    <row r="29" spans="3:8" x14ac:dyDescent="0.25">
      <c r="C29" s="2"/>
      <c r="D29" s="2"/>
      <c r="E29" s="2"/>
      <c r="F29" s="2"/>
      <c r="G29" s="2"/>
      <c r="H29" s="2"/>
    </row>
    <row r="30" spans="3:8" x14ac:dyDescent="0.25">
      <c r="C30" s="2"/>
      <c r="D30" s="2"/>
      <c r="E30" s="2"/>
      <c r="F30" s="2"/>
      <c r="G30" s="2"/>
      <c r="H30" s="2"/>
    </row>
    <row r="31" spans="3:8" x14ac:dyDescent="0.25">
      <c r="C31" s="2"/>
      <c r="D31" s="2"/>
      <c r="E31" s="2"/>
      <c r="F31" s="2"/>
      <c r="G31" s="2"/>
      <c r="H31" s="2"/>
    </row>
    <row r="32" spans="3:8" x14ac:dyDescent="0.25">
      <c r="C32" s="2"/>
      <c r="D32" s="2"/>
      <c r="E32" s="2"/>
      <c r="F32" s="2"/>
      <c r="G32" s="2"/>
      <c r="H32" s="2"/>
    </row>
    <row r="33" spans="2:8" x14ac:dyDescent="0.25">
      <c r="C33" s="2"/>
      <c r="D33" s="2"/>
      <c r="E33" s="2"/>
      <c r="F33" s="2"/>
      <c r="G33" s="2"/>
      <c r="H33" s="2"/>
    </row>
    <row r="34" spans="2:8" x14ac:dyDescent="0.25">
      <c r="C34" s="2"/>
      <c r="D34" s="2"/>
      <c r="E34" s="2"/>
      <c r="F34" s="2"/>
      <c r="G34" s="2"/>
      <c r="H34" s="2"/>
    </row>
    <row r="35" spans="2:8" x14ac:dyDescent="0.25">
      <c r="C35" s="31"/>
      <c r="D35" s="30"/>
      <c r="E35" s="2"/>
      <c r="F35" s="2"/>
      <c r="G35" s="2"/>
      <c r="H35" s="2"/>
    </row>
    <row r="36" spans="2:8" x14ac:dyDescent="0.25">
      <c r="C36" s="2"/>
      <c r="D36" s="2"/>
      <c r="E36" s="2"/>
      <c r="F36" s="2"/>
      <c r="G36" s="2"/>
      <c r="H36" s="2"/>
    </row>
    <row r="37" spans="2:8" x14ac:dyDescent="0.25">
      <c r="C37" s="2"/>
      <c r="D37" s="2"/>
      <c r="E37" s="2"/>
      <c r="F37" s="2"/>
      <c r="G37" s="2"/>
      <c r="H37" s="2"/>
    </row>
    <row r="38" spans="2:8" x14ac:dyDescent="0.25">
      <c r="C38" s="2"/>
      <c r="D38" s="2"/>
      <c r="E38" s="2"/>
      <c r="F38" s="2"/>
      <c r="G38" s="2"/>
      <c r="H38" s="2"/>
    </row>
    <row r="39" spans="2:8" x14ac:dyDescent="0.25">
      <c r="C39" s="2"/>
      <c r="D39" s="2"/>
      <c r="E39" s="2"/>
      <c r="F39" s="2"/>
      <c r="G39" s="2"/>
      <c r="H39" s="2"/>
    </row>
    <row r="41" spans="2:8" ht="0.75" customHeight="1" x14ac:dyDescent="0.25"/>
    <row r="42" spans="2:8" s="2" customFormat="1" x14ac:dyDescent="0.25"/>
    <row r="43" spans="2:8" s="2" customFormat="1" x14ac:dyDescent="0.25"/>
    <row r="44" spans="2:8" s="2" customFormat="1" x14ac:dyDescent="0.25"/>
    <row r="45" spans="2:8" s="2" customFormat="1" x14ac:dyDescent="0.25"/>
    <row r="46" spans="2:8" s="2" customFormat="1" x14ac:dyDescent="0.25"/>
    <row r="47" spans="2:8" s="2" customFormat="1" x14ac:dyDescent="0.25"/>
    <row r="48" spans="2:8" s="2" customFormat="1" x14ac:dyDescent="0.25">
      <c r="B48" s="40"/>
      <c r="C48" s="40"/>
      <c r="D48" s="41"/>
      <c r="E48" s="40"/>
      <c r="F48" s="42"/>
      <c r="G48" s="43"/>
      <c r="H48" s="44"/>
    </row>
    <row r="49" spans="2:8" s="2" customFormat="1" x14ac:dyDescent="0.25">
      <c r="B49" s="44"/>
      <c r="C49" s="44"/>
      <c r="D49" s="44"/>
      <c r="E49" s="44"/>
      <c r="F49" s="45"/>
      <c r="G49" s="45"/>
      <c r="H49" s="44"/>
    </row>
  </sheetData>
  <autoFilter ref="A3:I8"/>
  <mergeCells count="2">
    <mergeCell ref="A2:I2"/>
    <mergeCell ref="A8:E8"/>
  </mergeCells>
  <pageMargins left="0.19685039370078741" right="0.19685039370078741" top="0.23622047244094491" bottom="0.23622047244094491" header="3.937007874015748E-2" footer="3.937007874015748E-2"/>
  <pageSetup scale="8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tabSelected="1" view="pageBreakPreview" zoomScale="115" zoomScaleNormal="85" zoomScaleSheetLayoutView="115" workbookViewId="0">
      <selection activeCell="E70" sqref="E70"/>
    </sheetView>
  </sheetViews>
  <sheetFormatPr defaultRowHeight="15" x14ac:dyDescent="0.25"/>
  <cols>
    <col min="1" max="1" width="6.42578125" customWidth="1"/>
    <col min="2" max="2" width="25.28515625" style="96" customWidth="1"/>
    <col min="3" max="3" width="38.5703125" style="96" customWidth="1"/>
    <col min="4" max="4" width="32.85546875" style="96" customWidth="1"/>
    <col min="5" max="5" width="17.7109375" customWidth="1"/>
    <col min="6" max="6" width="15.5703125" customWidth="1"/>
    <col min="7" max="7" width="12.85546875" customWidth="1"/>
    <col min="8" max="8" width="18.5703125" customWidth="1"/>
    <col min="9" max="9" width="14.140625" style="96" customWidth="1"/>
    <col min="10" max="10" width="30.85546875" customWidth="1"/>
    <col min="12" max="12" width="32.140625" customWidth="1"/>
    <col min="13" max="13" width="10.28515625" bestFit="1" customWidth="1"/>
    <col min="15" max="15" width="16.7109375" customWidth="1"/>
  </cols>
  <sheetData>
    <row r="1" spans="1:10" ht="42" customHeight="1" x14ac:dyDescent="0.25">
      <c r="A1" s="189" t="s">
        <v>542</v>
      </c>
      <c r="B1" s="189"/>
      <c r="C1" s="189"/>
      <c r="D1" s="189"/>
      <c r="E1" s="189"/>
      <c r="F1" s="189"/>
      <c r="G1" s="189"/>
      <c r="H1" s="189"/>
      <c r="I1" s="189"/>
      <c r="J1" s="167"/>
    </row>
    <row r="2" spans="1:10" ht="31.5" x14ac:dyDescent="0.25">
      <c r="A2" s="168" t="s">
        <v>0</v>
      </c>
      <c r="B2" s="168" t="s">
        <v>1</v>
      </c>
      <c r="C2" s="168" t="s">
        <v>3</v>
      </c>
      <c r="D2" s="168" t="s">
        <v>4</v>
      </c>
      <c r="E2" s="168" t="s">
        <v>5</v>
      </c>
      <c r="F2" s="168" t="s">
        <v>86</v>
      </c>
      <c r="G2" s="168" t="s">
        <v>2</v>
      </c>
      <c r="H2" s="168" t="s">
        <v>6</v>
      </c>
      <c r="I2" s="169" t="s">
        <v>477</v>
      </c>
      <c r="J2" s="167"/>
    </row>
    <row r="3" spans="1:10" ht="126.75" customHeight="1" x14ac:dyDescent="0.25">
      <c r="A3" s="194" t="s">
        <v>568</v>
      </c>
      <c r="B3" s="170" t="s">
        <v>543</v>
      </c>
      <c r="C3" s="92" t="s">
        <v>286</v>
      </c>
      <c r="D3" s="161" t="s">
        <v>284</v>
      </c>
      <c r="E3" s="158" t="s">
        <v>287</v>
      </c>
      <c r="F3" s="159">
        <v>51663600</v>
      </c>
      <c r="G3" s="160">
        <v>29283</v>
      </c>
      <c r="H3" s="161" t="s">
        <v>285</v>
      </c>
      <c r="I3" s="160" t="s">
        <v>476</v>
      </c>
      <c r="J3" s="167"/>
    </row>
    <row r="4" spans="1:10" ht="108.75" customHeight="1" x14ac:dyDescent="0.25">
      <c r="A4" s="194" t="s">
        <v>569</v>
      </c>
      <c r="B4" s="92" t="s">
        <v>288</v>
      </c>
      <c r="C4" s="92" t="s">
        <v>559</v>
      </c>
      <c r="D4" s="161" t="s">
        <v>564</v>
      </c>
      <c r="E4" s="92" t="s">
        <v>289</v>
      </c>
      <c r="F4" s="159">
        <v>8862064</v>
      </c>
      <c r="G4" s="160"/>
      <c r="H4" s="161" t="s">
        <v>290</v>
      </c>
      <c r="I4" s="160" t="s">
        <v>52</v>
      </c>
      <c r="J4" s="167"/>
    </row>
    <row r="5" spans="1:10" ht="88.5" customHeight="1" x14ac:dyDescent="0.25">
      <c r="A5" s="194" t="s">
        <v>570</v>
      </c>
      <c r="B5" s="92" t="s">
        <v>544</v>
      </c>
      <c r="C5" s="92" t="s">
        <v>292</v>
      </c>
      <c r="D5" s="161" t="s">
        <v>293</v>
      </c>
      <c r="E5" s="92" t="s">
        <v>291</v>
      </c>
      <c r="F5" s="159">
        <v>5673000</v>
      </c>
      <c r="G5" s="160">
        <v>7750</v>
      </c>
      <c r="H5" s="161" t="s">
        <v>294</v>
      </c>
      <c r="I5" s="160" t="s">
        <v>52</v>
      </c>
      <c r="J5" s="167"/>
    </row>
    <row r="6" spans="1:10" ht="68.25" customHeight="1" x14ac:dyDescent="0.25">
      <c r="A6" s="194" t="s">
        <v>571</v>
      </c>
      <c r="B6" s="161" t="s">
        <v>545</v>
      </c>
      <c r="C6" s="92" t="s">
        <v>298</v>
      </c>
      <c r="D6" s="161" t="s">
        <v>297</v>
      </c>
      <c r="E6" s="161" t="s">
        <v>295</v>
      </c>
      <c r="F6" s="159">
        <v>3671064</v>
      </c>
      <c r="G6" s="160">
        <v>7610</v>
      </c>
      <c r="H6" s="161" t="s">
        <v>296</v>
      </c>
      <c r="I6" s="160" t="s">
        <v>476</v>
      </c>
      <c r="J6" s="167"/>
    </row>
    <row r="7" spans="1:10" ht="84.75" customHeight="1" x14ac:dyDescent="0.25">
      <c r="A7" s="194" t="s">
        <v>572</v>
      </c>
      <c r="B7" s="161" t="s">
        <v>546</v>
      </c>
      <c r="C7" s="92" t="s">
        <v>560</v>
      </c>
      <c r="D7" s="161" t="s">
        <v>304</v>
      </c>
      <c r="E7" s="162" t="s">
        <v>299</v>
      </c>
      <c r="F7" s="159">
        <v>20556714</v>
      </c>
      <c r="G7" s="163">
        <v>24472</v>
      </c>
      <c r="H7" s="161" t="s">
        <v>302</v>
      </c>
      <c r="I7" s="160" t="s">
        <v>52</v>
      </c>
      <c r="J7" s="167"/>
    </row>
    <row r="8" spans="1:10" ht="64.5" customHeight="1" x14ac:dyDescent="0.25">
      <c r="A8" s="194" t="s">
        <v>573</v>
      </c>
      <c r="B8" s="161" t="s">
        <v>547</v>
      </c>
      <c r="C8" s="92" t="s">
        <v>300</v>
      </c>
      <c r="D8" s="161" t="s">
        <v>312</v>
      </c>
      <c r="E8" s="162" t="s">
        <v>301</v>
      </c>
      <c r="F8" s="159">
        <v>23610000</v>
      </c>
      <c r="G8" s="160">
        <v>12500</v>
      </c>
      <c r="H8" s="161" t="s">
        <v>303</v>
      </c>
      <c r="I8" s="160" t="s">
        <v>52</v>
      </c>
      <c r="J8" s="167"/>
    </row>
    <row r="9" spans="1:10" ht="156.75" customHeight="1" x14ac:dyDescent="0.25">
      <c r="A9" s="194" t="s">
        <v>574</v>
      </c>
      <c r="B9" s="92" t="s">
        <v>548</v>
      </c>
      <c r="C9" s="92" t="s">
        <v>310</v>
      </c>
      <c r="D9" s="161" t="s">
        <v>311</v>
      </c>
      <c r="E9" s="92" t="s">
        <v>309</v>
      </c>
      <c r="F9" s="160">
        <v>8911872</v>
      </c>
      <c r="G9" s="163">
        <v>11921.28</v>
      </c>
      <c r="H9" s="161" t="s">
        <v>313</v>
      </c>
      <c r="I9" s="160" t="s">
        <v>52</v>
      </c>
      <c r="J9" s="171"/>
    </row>
    <row r="10" spans="1:10" ht="85.5" customHeight="1" x14ac:dyDescent="0.25">
      <c r="A10" s="194" t="s">
        <v>575</v>
      </c>
      <c r="B10" s="162" t="s">
        <v>421</v>
      </c>
      <c r="C10" s="162" t="s">
        <v>321</v>
      </c>
      <c r="D10" s="161" t="s">
        <v>323</v>
      </c>
      <c r="E10" s="162" t="s">
        <v>322</v>
      </c>
      <c r="F10" s="163">
        <v>11326200</v>
      </c>
      <c r="G10" s="163">
        <v>2195</v>
      </c>
      <c r="H10" s="161" t="s">
        <v>324</v>
      </c>
      <c r="I10" s="160" t="s">
        <v>476</v>
      </c>
      <c r="J10" s="167"/>
    </row>
    <row r="11" spans="1:10" ht="133.5" customHeight="1" x14ac:dyDescent="0.25">
      <c r="A11" s="194" t="s">
        <v>576</v>
      </c>
      <c r="B11" s="162" t="s">
        <v>325</v>
      </c>
      <c r="C11" s="162" t="s">
        <v>326</v>
      </c>
      <c r="D11" s="161" t="s">
        <v>329</v>
      </c>
      <c r="E11" s="162" t="s">
        <v>327</v>
      </c>
      <c r="F11" s="159">
        <v>22941300</v>
      </c>
      <c r="G11" s="163">
        <v>21008.52</v>
      </c>
      <c r="H11" s="161" t="s">
        <v>328</v>
      </c>
      <c r="I11" s="160" t="s">
        <v>476</v>
      </c>
      <c r="J11" s="167"/>
    </row>
    <row r="12" spans="1:10" ht="105" customHeight="1" x14ac:dyDescent="0.25">
      <c r="A12" s="194" t="s">
        <v>577</v>
      </c>
      <c r="B12" s="162" t="s">
        <v>330</v>
      </c>
      <c r="C12" s="162" t="s">
        <v>343</v>
      </c>
      <c r="D12" s="161" t="s">
        <v>332</v>
      </c>
      <c r="E12" s="162" t="s">
        <v>333</v>
      </c>
      <c r="F12" s="163">
        <v>51925440</v>
      </c>
      <c r="G12" s="163">
        <v>15454.01</v>
      </c>
      <c r="H12" s="161" t="s">
        <v>331</v>
      </c>
      <c r="I12" s="160" t="s">
        <v>52</v>
      </c>
      <c r="J12" s="167"/>
    </row>
    <row r="13" spans="1:10" ht="78.75" customHeight="1" x14ac:dyDescent="0.25">
      <c r="A13" s="194" t="s">
        <v>578</v>
      </c>
      <c r="B13" s="162" t="s">
        <v>334</v>
      </c>
      <c r="C13" s="162" t="s">
        <v>336</v>
      </c>
      <c r="D13" s="161" t="s">
        <v>335</v>
      </c>
      <c r="E13" s="162" t="s">
        <v>337</v>
      </c>
      <c r="F13" s="163">
        <v>70909872</v>
      </c>
      <c r="G13" s="163">
        <v>9844</v>
      </c>
      <c r="H13" s="161" t="s">
        <v>338</v>
      </c>
      <c r="I13" s="160" t="s">
        <v>52</v>
      </c>
      <c r="J13" s="167"/>
    </row>
    <row r="14" spans="1:10" ht="103.5" customHeight="1" x14ac:dyDescent="0.25">
      <c r="A14" s="194" t="s">
        <v>579</v>
      </c>
      <c r="B14" s="92" t="s">
        <v>339</v>
      </c>
      <c r="C14" s="92" t="s">
        <v>435</v>
      </c>
      <c r="D14" s="161" t="s">
        <v>341</v>
      </c>
      <c r="E14" s="161" t="s">
        <v>342</v>
      </c>
      <c r="F14" s="163">
        <v>13301448</v>
      </c>
      <c r="G14" s="163">
        <v>9622</v>
      </c>
      <c r="H14" s="161" t="s">
        <v>414</v>
      </c>
      <c r="I14" s="160" t="s">
        <v>476</v>
      </c>
      <c r="J14" s="167"/>
    </row>
    <row r="15" spans="1:10" ht="165" customHeight="1" x14ac:dyDescent="0.25">
      <c r="A15" s="194" t="s">
        <v>580</v>
      </c>
      <c r="B15" s="92" t="s">
        <v>416</v>
      </c>
      <c r="C15" s="92" t="s">
        <v>561</v>
      </c>
      <c r="D15" s="161" t="s">
        <v>565</v>
      </c>
      <c r="E15" s="172" t="s">
        <v>417</v>
      </c>
      <c r="F15" s="163">
        <v>33432856</v>
      </c>
      <c r="G15" s="163" t="s">
        <v>420</v>
      </c>
      <c r="H15" s="161" t="s">
        <v>415</v>
      </c>
      <c r="I15" s="160" t="s">
        <v>52</v>
      </c>
      <c r="J15" s="167"/>
    </row>
    <row r="16" spans="1:10" ht="105" x14ac:dyDescent="0.25">
      <c r="A16" s="194" t="s">
        <v>581</v>
      </c>
      <c r="B16" s="162" t="s">
        <v>430</v>
      </c>
      <c r="C16" s="162" t="s">
        <v>431</v>
      </c>
      <c r="D16" s="161" t="s">
        <v>432</v>
      </c>
      <c r="E16" s="162" t="s">
        <v>433</v>
      </c>
      <c r="F16" s="163">
        <v>5437440</v>
      </c>
      <c r="G16" s="163" t="s">
        <v>423</v>
      </c>
      <c r="H16" s="161" t="s">
        <v>422</v>
      </c>
      <c r="I16" s="160" t="s">
        <v>476</v>
      </c>
      <c r="J16" s="167"/>
    </row>
    <row r="17" spans="1:10" ht="135" x14ac:dyDescent="0.25">
      <c r="A17" s="194" t="s">
        <v>582</v>
      </c>
      <c r="B17" s="162" t="s">
        <v>424</v>
      </c>
      <c r="C17" s="162" t="s">
        <v>562</v>
      </c>
      <c r="D17" s="161" t="s">
        <v>428</v>
      </c>
      <c r="E17" s="162" t="s">
        <v>425</v>
      </c>
      <c r="F17" s="163">
        <v>16671204</v>
      </c>
      <c r="G17" s="163" t="s">
        <v>426</v>
      </c>
      <c r="H17" s="161" t="s">
        <v>427</v>
      </c>
      <c r="I17" s="160" t="s">
        <v>52</v>
      </c>
      <c r="J17" s="167"/>
    </row>
    <row r="18" spans="1:10" ht="105" x14ac:dyDescent="0.25">
      <c r="A18" s="194" t="s">
        <v>583</v>
      </c>
      <c r="B18" s="161" t="s">
        <v>549</v>
      </c>
      <c r="C18" s="161" t="s">
        <v>563</v>
      </c>
      <c r="D18" s="161" t="s">
        <v>453</v>
      </c>
      <c r="E18" s="161" t="s">
        <v>446</v>
      </c>
      <c r="F18" s="163">
        <v>10469484</v>
      </c>
      <c r="G18" s="163">
        <v>12836.17</v>
      </c>
      <c r="H18" s="161" t="s">
        <v>443</v>
      </c>
      <c r="I18" s="160" t="s">
        <v>52</v>
      </c>
      <c r="J18" s="167"/>
    </row>
    <row r="19" spans="1:10" ht="105" x14ac:dyDescent="0.25">
      <c r="A19" s="194" t="s">
        <v>584</v>
      </c>
      <c r="B19" s="161" t="s">
        <v>550</v>
      </c>
      <c r="C19" s="161" t="s">
        <v>449</v>
      </c>
      <c r="D19" s="161" t="s">
        <v>452</v>
      </c>
      <c r="E19" s="161" t="s">
        <v>450</v>
      </c>
      <c r="F19" s="163">
        <v>38292276</v>
      </c>
      <c r="G19" s="163" t="s">
        <v>451</v>
      </c>
      <c r="H19" s="161" t="s">
        <v>448</v>
      </c>
      <c r="I19" s="160" t="s">
        <v>52</v>
      </c>
      <c r="J19" s="167"/>
    </row>
    <row r="20" spans="1:10" ht="75" x14ac:dyDescent="0.25">
      <c r="A20" s="194" t="s">
        <v>585</v>
      </c>
      <c r="B20" s="161" t="s">
        <v>438</v>
      </c>
      <c r="C20" s="161" t="s">
        <v>439</v>
      </c>
      <c r="D20" s="161" t="s">
        <v>440</v>
      </c>
      <c r="E20" s="161" t="s">
        <v>441</v>
      </c>
      <c r="F20" s="163">
        <v>17738376</v>
      </c>
      <c r="G20" s="163">
        <v>15725.51</v>
      </c>
      <c r="H20" s="161" t="s">
        <v>442</v>
      </c>
      <c r="I20" s="160" t="s">
        <v>476</v>
      </c>
      <c r="J20" s="167"/>
    </row>
    <row r="21" spans="1:10" ht="120" x14ac:dyDescent="0.25">
      <c r="A21" s="194" t="s">
        <v>586</v>
      </c>
      <c r="B21" s="161" t="s">
        <v>454</v>
      </c>
      <c r="C21" s="92" t="s">
        <v>455</v>
      </c>
      <c r="D21" s="161" t="s">
        <v>458</v>
      </c>
      <c r="E21" s="162" t="s">
        <v>460</v>
      </c>
      <c r="F21" s="163">
        <v>37313616</v>
      </c>
      <c r="G21" s="163">
        <v>12242</v>
      </c>
      <c r="H21" s="161" t="s">
        <v>456</v>
      </c>
      <c r="I21" s="160" t="s">
        <v>52</v>
      </c>
      <c r="J21" s="167"/>
    </row>
    <row r="22" spans="1:10" ht="135" x14ac:dyDescent="0.25">
      <c r="A22" s="194" t="s">
        <v>587</v>
      </c>
      <c r="B22" s="161" t="s">
        <v>551</v>
      </c>
      <c r="C22" s="161" t="s">
        <v>463</v>
      </c>
      <c r="D22" s="161" t="s">
        <v>459</v>
      </c>
      <c r="E22" s="161" t="s">
        <v>461</v>
      </c>
      <c r="F22" s="163">
        <v>2123400</v>
      </c>
      <c r="G22" s="163">
        <v>4101</v>
      </c>
      <c r="H22" s="161" t="s">
        <v>457</v>
      </c>
      <c r="I22" s="160" t="s">
        <v>52</v>
      </c>
      <c r="J22" s="167"/>
    </row>
    <row r="23" spans="1:10" ht="105" x14ac:dyDescent="0.25">
      <c r="A23" s="194" t="s">
        <v>588</v>
      </c>
      <c r="B23" s="161" t="s">
        <v>552</v>
      </c>
      <c r="C23" s="161" t="s">
        <v>465</v>
      </c>
      <c r="D23" s="161" t="s">
        <v>467</v>
      </c>
      <c r="E23" s="161" t="s">
        <v>468</v>
      </c>
      <c r="F23" s="163">
        <v>9117996</v>
      </c>
      <c r="G23" s="163">
        <v>7993.19</v>
      </c>
      <c r="H23" s="161" t="s">
        <v>466</v>
      </c>
      <c r="I23" s="160" t="s">
        <v>52</v>
      </c>
      <c r="J23" s="167"/>
    </row>
    <row r="24" spans="1:10" ht="90" x14ac:dyDescent="0.25">
      <c r="A24" s="194" t="s">
        <v>589</v>
      </c>
      <c r="B24" s="161" t="s">
        <v>553</v>
      </c>
      <c r="C24" s="161" t="s">
        <v>470</v>
      </c>
      <c r="D24" s="161" t="s">
        <v>471</v>
      </c>
      <c r="E24" s="161" t="s">
        <v>472</v>
      </c>
      <c r="F24" s="163">
        <v>10225812</v>
      </c>
      <c r="G24" s="163">
        <v>9065.44</v>
      </c>
      <c r="H24" s="161" t="s">
        <v>469</v>
      </c>
      <c r="I24" s="160" t="s">
        <v>476</v>
      </c>
      <c r="J24" s="167"/>
    </row>
    <row r="25" spans="1:10" ht="75" x14ac:dyDescent="0.25">
      <c r="A25" s="194" t="s">
        <v>590</v>
      </c>
      <c r="B25" s="161" t="s">
        <v>473</v>
      </c>
      <c r="C25" s="92" t="s">
        <v>300</v>
      </c>
      <c r="D25" s="161" t="s">
        <v>475</v>
      </c>
      <c r="E25" s="162" t="s">
        <v>301</v>
      </c>
      <c r="F25" s="163">
        <v>28792500</v>
      </c>
      <c r="G25" s="163">
        <v>12500</v>
      </c>
      <c r="H25" s="161" t="s">
        <v>474</v>
      </c>
      <c r="I25" s="160" t="s">
        <v>52</v>
      </c>
      <c r="J25" s="167"/>
    </row>
    <row r="26" spans="1:10" ht="105" x14ac:dyDescent="0.25">
      <c r="A26" s="194" t="s">
        <v>591</v>
      </c>
      <c r="B26" s="161" t="s">
        <v>554</v>
      </c>
      <c r="C26" s="161" t="s">
        <v>479</v>
      </c>
      <c r="D26" s="161" t="s">
        <v>481</v>
      </c>
      <c r="E26" s="161" t="s">
        <v>480</v>
      </c>
      <c r="F26" s="163">
        <v>3384000</v>
      </c>
      <c r="G26" s="163">
        <v>6632</v>
      </c>
      <c r="H26" s="161" t="s">
        <v>482</v>
      </c>
      <c r="I26" s="160" t="s">
        <v>52</v>
      </c>
      <c r="J26" s="167"/>
    </row>
    <row r="27" spans="1:10" ht="90" x14ac:dyDescent="0.25">
      <c r="A27" s="194" t="s">
        <v>592</v>
      </c>
      <c r="B27" s="161" t="s">
        <v>555</v>
      </c>
      <c r="C27" s="161" t="s">
        <v>485</v>
      </c>
      <c r="D27" s="161" t="s">
        <v>483</v>
      </c>
      <c r="E27" s="161" t="s">
        <v>484</v>
      </c>
      <c r="F27" s="163">
        <v>22993716</v>
      </c>
      <c r="G27" s="161">
        <v>44696.86</v>
      </c>
      <c r="H27" s="161" t="s">
        <v>486</v>
      </c>
      <c r="I27" s="160" t="s">
        <v>52</v>
      </c>
      <c r="J27" s="167"/>
    </row>
    <row r="28" spans="1:10" ht="75" x14ac:dyDescent="0.25">
      <c r="A28" s="194" t="s">
        <v>593</v>
      </c>
      <c r="B28" s="161" t="s">
        <v>487</v>
      </c>
      <c r="C28" s="161" t="s">
        <v>491</v>
      </c>
      <c r="D28" s="161" t="s">
        <v>490</v>
      </c>
      <c r="E28" s="161" t="s">
        <v>488</v>
      </c>
      <c r="F28" s="163">
        <v>2676000</v>
      </c>
      <c r="G28" s="163">
        <v>16455.740000000002</v>
      </c>
      <c r="H28" s="161" t="s">
        <v>489</v>
      </c>
      <c r="I28" s="160" t="s">
        <v>52</v>
      </c>
      <c r="J28" s="167"/>
    </row>
    <row r="29" spans="1:10" ht="135" x14ac:dyDescent="0.25">
      <c r="A29" s="194" t="s">
        <v>594</v>
      </c>
      <c r="B29" s="161" t="s">
        <v>492</v>
      </c>
      <c r="C29" s="161" t="s">
        <v>493</v>
      </c>
      <c r="D29" s="161" t="s">
        <v>566</v>
      </c>
      <c r="E29" s="161" t="s">
        <v>494</v>
      </c>
      <c r="F29" s="163">
        <v>4280208</v>
      </c>
      <c r="G29" s="164">
        <v>6792</v>
      </c>
      <c r="H29" s="161" t="s">
        <v>495</v>
      </c>
      <c r="I29" s="160" t="s">
        <v>52</v>
      </c>
      <c r="J29" s="167"/>
    </row>
    <row r="30" spans="1:10" ht="75" x14ac:dyDescent="0.25">
      <c r="A30" s="194" t="s">
        <v>595</v>
      </c>
      <c r="B30" s="161" t="s">
        <v>496</v>
      </c>
      <c r="C30" s="161" t="s">
        <v>497</v>
      </c>
      <c r="D30" s="161" t="s">
        <v>335</v>
      </c>
      <c r="E30" s="162" t="s">
        <v>337</v>
      </c>
      <c r="F30" s="163">
        <v>70909872</v>
      </c>
      <c r="G30" s="163">
        <v>9844</v>
      </c>
      <c r="H30" s="161" t="s">
        <v>498</v>
      </c>
      <c r="I30" s="160" t="s">
        <v>52</v>
      </c>
      <c r="J30" s="167"/>
    </row>
    <row r="31" spans="1:10" ht="60" x14ac:dyDescent="0.25">
      <c r="A31" s="194" t="s">
        <v>596</v>
      </c>
      <c r="B31" s="161" t="s">
        <v>499</v>
      </c>
      <c r="C31" s="161" t="s">
        <v>503</v>
      </c>
      <c r="D31" s="161" t="s">
        <v>502</v>
      </c>
      <c r="E31" s="161" t="s">
        <v>500</v>
      </c>
      <c r="F31" s="163">
        <v>8444580</v>
      </c>
      <c r="G31" s="163">
        <v>23331.83</v>
      </c>
      <c r="H31" s="161" t="s">
        <v>501</v>
      </c>
      <c r="I31" s="160" t="s">
        <v>52</v>
      </c>
      <c r="J31" s="167"/>
    </row>
    <row r="32" spans="1:10" ht="90" x14ac:dyDescent="0.25">
      <c r="A32" s="194" t="s">
        <v>597</v>
      </c>
      <c r="B32" s="161" t="s">
        <v>505</v>
      </c>
      <c r="C32" s="161" t="s">
        <v>506</v>
      </c>
      <c r="D32" s="161" t="s">
        <v>507</v>
      </c>
      <c r="E32" s="162" t="s">
        <v>322</v>
      </c>
      <c r="F32" s="163">
        <v>1701720</v>
      </c>
      <c r="G32" s="163">
        <v>3509</v>
      </c>
      <c r="H32" s="161" t="s">
        <v>504</v>
      </c>
      <c r="I32" s="160" t="s">
        <v>52</v>
      </c>
      <c r="J32" s="167"/>
    </row>
    <row r="33" spans="1:10" ht="75" x14ac:dyDescent="0.25">
      <c r="A33" s="194" t="s">
        <v>598</v>
      </c>
      <c r="B33" s="161" t="s">
        <v>509</v>
      </c>
      <c r="C33" s="161" t="s">
        <v>511</v>
      </c>
      <c r="D33" s="161" t="s">
        <v>510</v>
      </c>
      <c r="E33" s="161" t="s">
        <v>517</v>
      </c>
      <c r="F33" s="163">
        <v>6584496</v>
      </c>
      <c r="G33" s="163">
        <v>23990.35</v>
      </c>
      <c r="H33" s="161" t="s">
        <v>508</v>
      </c>
      <c r="I33" s="160" t="s">
        <v>52</v>
      </c>
      <c r="J33" s="167"/>
    </row>
    <row r="34" spans="1:10" ht="60" x14ac:dyDescent="0.25">
      <c r="A34" s="194" t="s">
        <v>599</v>
      </c>
      <c r="B34" s="161" t="s">
        <v>512</v>
      </c>
      <c r="C34" s="161" t="s">
        <v>518</v>
      </c>
      <c r="D34" s="161" t="s">
        <v>516</v>
      </c>
      <c r="E34" s="161" t="s">
        <v>513</v>
      </c>
      <c r="F34" s="163">
        <v>5712816</v>
      </c>
      <c r="G34" s="163">
        <v>12469</v>
      </c>
      <c r="H34" s="161" t="s">
        <v>514</v>
      </c>
      <c r="I34" s="160" t="s">
        <v>52</v>
      </c>
      <c r="J34" s="167"/>
    </row>
    <row r="35" spans="1:10" ht="150" x14ac:dyDescent="0.25">
      <c r="A35" s="194" t="s">
        <v>600</v>
      </c>
      <c r="B35" s="161" t="s">
        <v>556</v>
      </c>
      <c r="C35" s="161" t="s">
        <v>533</v>
      </c>
      <c r="D35" s="161" t="s">
        <v>567</v>
      </c>
      <c r="E35" s="161" t="s">
        <v>534</v>
      </c>
      <c r="F35" s="163">
        <v>125149512</v>
      </c>
      <c r="G35" s="163" t="s">
        <v>535</v>
      </c>
      <c r="H35" s="161" t="s">
        <v>515</v>
      </c>
      <c r="I35" s="160" t="s">
        <v>52</v>
      </c>
      <c r="J35" s="167"/>
    </row>
    <row r="36" spans="1:10" ht="105" x14ac:dyDescent="0.25">
      <c r="A36" s="194" t="s">
        <v>601</v>
      </c>
      <c r="B36" s="161" t="s">
        <v>557</v>
      </c>
      <c r="C36" s="161" t="s">
        <v>526</v>
      </c>
      <c r="D36" s="161" t="s">
        <v>527</v>
      </c>
      <c r="E36" s="161" t="s">
        <v>524</v>
      </c>
      <c r="F36" s="163">
        <v>120291684</v>
      </c>
      <c r="G36" s="161">
        <v>71398.2</v>
      </c>
      <c r="H36" s="161" t="s">
        <v>525</v>
      </c>
      <c r="I36" s="160" t="s">
        <v>52</v>
      </c>
      <c r="J36" s="167"/>
    </row>
    <row r="37" spans="1:10" ht="105" x14ac:dyDescent="0.25">
      <c r="A37" s="194" t="s">
        <v>602</v>
      </c>
      <c r="B37" s="161" t="s">
        <v>558</v>
      </c>
      <c r="C37" s="161" t="s">
        <v>521</v>
      </c>
      <c r="D37" s="161" t="s">
        <v>522</v>
      </c>
      <c r="E37" s="161" t="s">
        <v>519</v>
      </c>
      <c r="F37" s="163">
        <v>3825840</v>
      </c>
      <c r="G37" s="161" t="s">
        <v>520</v>
      </c>
      <c r="H37" s="161" t="s">
        <v>523</v>
      </c>
      <c r="I37" s="160" t="s">
        <v>52</v>
      </c>
      <c r="J37" s="167"/>
    </row>
    <row r="38" spans="1:10" ht="120" x14ac:dyDescent="0.25">
      <c r="A38" s="194" t="s">
        <v>603</v>
      </c>
      <c r="B38" s="161" t="s">
        <v>528</v>
      </c>
      <c r="C38" s="92" t="s">
        <v>529</v>
      </c>
      <c r="D38" s="161" t="s">
        <v>530</v>
      </c>
      <c r="E38" s="161" t="s">
        <v>531</v>
      </c>
      <c r="F38" s="163">
        <v>41002472</v>
      </c>
      <c r="G38" s="165">
        <v>41751</v>
      </c>
      <c r="H38" s="161" t="s">
        <v>532</v>
      </c>
      <c r="I38" s="160" t="s">
        <v>541</v>
      </c>
      <c r="J38" s="167"/>
    </row>
    <row r="39" spans="1:10" ht="105" x14ac:dyDescent="0.25">
      <c r="A39" s="194" t="s">
        <v>604</v>
      </c>
      <c r="B39" s="190" t="s">
        <v>536</v>
      </c>
      <c r="C39" s="173" t="s">
        <v>537</v>
      </c>
      <c r="D39" s="161" t="s">
        <v>538</v>
      </c>
      <c r="E39" s="161" t="s">
        <v>539</v>
      </c>
      <c r="F39" s="166">
        <v>14372268</v>
      </c>
      <c r="G39" s="174">
        <v>5975</v>
      </c>
      <c r="H39" s="161" t="s">
        <v>540</v>
      </c>
      <c r="I39" s="160" t="s">
        <v>52</v>
      </c>
      <c r="J39" s="167"/>
    </row>
    <row r="40" spans="1:10" x14ac:dyDescent="0.25">
      <c r="A40" s="180"/>
      <c r="B40" s="180"/>
      <c r="C40" s="180"/>
      <c r="D40" s="180"/>
      <c r="E40" s="180"/>
      <c r="F40" s="175">
        <f>SUM(F3:F39)</f>
        <v>934296718</v>
      </c>
      <c r="G40" s="176"/>
      <c r="H40" s="176"/>
      <c r="I40" s="176"/>
      <c r="J40" s="167"/>
    </row>
    <row r="41" spans="1:10" ht="17.25" x14ac:dyDescent="0.3">
      <c r="A41" s="167"/>
      <c r="B41" s="177" t="s">
        <v>94</v>
      </c>
      <c r="C41" s="177">
        <v>797991478</v>
      </c>
      <c r="D41" s="192">
        <v>29</v>
      </c>
      <c r="E41" s="167"/>
      <c r="F41" s="167"/>
      <c r="G41" s="178"/>
      <c r="H41" s="167"/>
      <c r="I41" s="167"/>
      <c r="J41" s="167"/>
    </row>
    <row r="42" spans="1:10" ht="15.75" x14ac:dyDescent="0.25">
      <c r="A42" s="167"/>
      <c r="B42" s="177" t="s">
        <v>478</v>
      </c>
      <c r="C42" s="177">
        <v>136305240</v>
      </c>
      <c r="D42" s="192">
        <v>8</v>
      </c>
      <c r="E42" s="167"/>
      <c r="F42" s="167"/>
      <c r="G42" s="167"/>
      <c r="H42" s="167"/>
      <c r="I42" s="167"/>
      <c r="J42" s="167"/>
    </row>
    <row r="43" spans="1:10" ht="15.75" x14ac:dyDescent="0.25">
      <c r="A43" s="167"/>
      <c r="B43" s="177" t="s">
        <v>92</v>
      </c>
      <c r="C43" s="177">
        <f>SUM(C41:C42)</f>
        <v>934296718</v>
      </c>
      <c r="D43" s="192">
        <f>SUM(D41:D42)</f>
        <v>37</v>
      </c>
      <c r="E43" s="167"/>
      <c r="F43" s="167"/>
      <c r="G43" s="167"/>
      <c r="H43" s="167"/>
      <c r="I43" s="167"/>
      <c r="J43" s="167"/>
    </row>
    <row r="65" spans="2:9" x14ac:dyDescent="0.25">
      <c r="C65" s="97"/>
      <c r="D65" s="97"/>
      <c r="E65" s="2"/>
      <c r="F65" s="2"/>
      <c r="G65" s="2"/>
      <c r="H65" s="2"/>
    </row>
    <row r="66" spans="2:9" x14ac:dyDescent="0.25">
      <c r="C66" s="97"/>
      <c r="D66" s="97"/>
      <c r="E66" s="2"/>
      <c r="F66" s="2"/>
      <c r="G66" s="2"/>
      <c r="H66" s="2"/>
    </row>
    <row r="67" spans="2:9" x14ac:dyDescent="0.25">
      <c r="C67" s="97"/>
      <c r="D67" s="97"/>
      <c r="E67" s="2"/>
      <c r="F67" s="2"/>
      <c r="G67" s="2"/>
      <c r="H67" s="2"/>
    </row>
    <row r="68" spans="2:9" x14ac:dyDescent="0.25">
      <c r="C68" s="97"/>
      <c r="D68" s="97"/>
      <c r="E68" s="2"/>
      <c r="F68" s="2"/>
      <c r="G68" s="2"/>
      <c r="H68" s="2"/>
    </row>
    <row r="69" spans="2:9" x14ac:dyDescent="0.25">
      <c r="C69" s="97"/>
      <c r="D69" s="97"/>
      <c r="E69" s="2"/>
      <c r="F69" s="2"/>
      <c r="G69" s="2"/>
      <c r="H69" s="2"/>
    </row>
    <row r="70" spans="2:9" x14ac:dyDescent="0.25">
      <c r="C70" s="97"/>
      <c r="D70" s="97"/>
      <c r="E70" s="2"/>
      <c r="F70" s="2"/>
      <c r="G70" s="2"/>
      <c r="H70" s="2"/>
    </row>
    <row r="71" spans="2:9" x14ac:dyDescent="0.25">
      <c r="C71" s="191"/>
      <c r="D71" s="193"/>
      <c r="E71" s="2"/>
      <c r="F71" s="2"/>
      <c r="G71" s="2"/>
      <c r="H71" s="2"/>
    </row>
    <row r="72" spans="2:9" x14ac:dyDescent="0.25">
      <c r="C72" s="97"/>
      <c r="D72" s="97"/>
      <c r="E72" s="2"/>
      <c r="F72" s="2"/>
      <c r="G72" s="2"/>
      <c r="H72" s="2"/>
    </row>
    <row r="73" spans="2:9" x14ac:dyDescent="0.25">
      <c r="C73" s="97"/>
      <c r="D73" s="97"/>
      <c r="E73" s="2"/>
      <c r="F73" s="2"/>
      <c r="G73" s="2"/>
      <c r="H73" s="2"/>
    </row>
    <row r="74" spans="2:9" x14ac:dyDescent="0.25">
      <c r="C74" s="97"/>
      <c r="D74" s="97"/>
      <c r="E74" s="2"/>
      <c r="F74" s="2"/>
      <c r="G74" s="2"/>
      <c r="H74" s="2"/>
    </row>
    <row r="75" spans="2:9" x14ac:dyDescent="0.25">
      <c r="C75" s="97"/>
      <c r="D75" s="97"/>
      <c r="E75" s="2"/>
      <c r="F75" s="2"/>
      <c r="G75" s="2"/>
      <c r="H75" s="2"/>
    </row>
    <row r="77" spans="2:9" ht="0.75" customHeight="1" x14ac:dyDescent="0.25"/>
    <row r="78" spans="2:9" s="2" customFormat="1" x14ac:dyDescent="0.25">
      <c r="B78" s="97"/>
      <c r="C78" s="97"/>
      <c r="D78" s="97"/>
      <c r="I78" s="97"/>
    </row>
    <row r="79" spans="2:9" s="2" customFormat="1" x14ac:dyDescent="0.25">
      <c r="B79" s="97"/>
      <c r="C79" s="97"/>
      <c r="D79" s="97"/>
      <c r="I79" s="97"/>
    </row>
    <row r="80" spans="2:9" s="2" customFormat="1" x14ac:dyDescent="0.25">
      <c r="B80" s="97"/>
      <c r="C80" s="97"/>
      <c r="D80" s="97"/>
      <c r="I80" s="97"/>
    </row>
    <row r="81" spans="2:9" s="2" customFormat="1" x14ac:dyDescent="0.25">
      <c r="B81" s="97"/>
      <c r="C81" s="97"/>
      <c r="D81" s="97"/>
      <c r="I81" s="97"/>
    </row>
    <row r="82" spans="2:9" s="2" customFormat="1" x14ac:dyDescent="0.25">
      <c r="B82" s="97"/>
      <c r="C82" s="97"/>
      <c r="D82" s="97"/>
      <c r="I82" s="97"/>
    </row>
    <row r="83" spans="2:9" s="2" customFormat="1" x14ac:dyDescent="0.25">
      <c r="B83" s="97"/>
      <c r="C83" s="97"/>
      <c r="D83" s="97"/>
      <c r="I83" s="97"/>
    </row>
    <row r="84" spans="2:9" s="2" customFormat="1" x14ac:dyDescent="0.25">
      <c r="B84" s="40"/>
      <c r="C84" s="40"/>
      <c r="D84" s="41"/>
      <c r="E84" s="40"/>
      <c r="F84" s="42"/>
      <c r="G84" s="43"/>
      <c r="H84" s="44"/>
      <c r="I84" s="97"/>
    </row>
    <row r="85" spans="2:9" s="2" customFormat="1" x14ac:dyDescent="0.25">
      <c r="B85" s="44"/>
      <c r="C85" s="44"/>
      <c r="D85" s="44"/>
      <c r="E85" s="44"/>
      <c r="F85" s="45"/>
      <c r="G85" s="45"/>
      <c r="H85" s="44"/>
      <c r="I85" s="97"/>
    </row>
  </sheetData>
  <autoFilter ref="A2:I43"/>
  <mergeCells count="2">
    <mergeCell ref="A1:I1"/>
    <mergeCell ref="A40:E40"/>
  </mergeCells>
  <pageMargins left="0.39370078740157483" right="0.19685039370078741" top="0.23622047244094491" bottom="0.23622047244094491" header="3.937007874015748E-2" footer="3.937007874015748E-2"/>
  <pageSetup scale="65" orientation="landscape" r:id="rId1"/>
  <rowBreaks count="2" manualBreakCount="2">
    <brk id="17" max="8" man="1"/>
    <brk id="25"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Sanctioned 2020-21 (2)</vt:lpstr>
      <vt:lpstr>Delhi Sanctioned-18-19</vt:lpstr>
      <vt:lpstr>01.04.19 to 31.08.19</vt:lpstr>
      <vt:lpstr>01.04.19 to 07.02.20</vt:lpstr>
      <vt:lpstr>Sanctioned 2019-20 (4)</vt:lpstr>
      <vt:lpstr>Sanctioned 2020-21</vt:lpstr>
      <vt:lpstr>'Sanctioned 2020-21'!Print_Area</vt:lpstr>
      <vt:lpstr>'Sanctioned 2020-21 (2)'!Print_Area</vt:lpstr>
      <vt:lpstr>'01.04.19 to 07.02.20'!Print_Titles</vt:lpstr>
      <vt:lpstr>'01.04.19 to 31.08.19'!Print_Titles</vt:lpstr>
      <vt:lpstr>'Sanctioned 2019-20 (4)'!Print_Titles</vt:lpstr>
      <vt:lpstr>'Sanctioned 2020-21'!Print_Titles</vt:lpstr>
      <vt:lpstr>'Sanctioned 2020-21 (2)'!Print_Titles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hiring pc</dc:creator>
  <cp:lastModifiedBy>Admin</cp:lastModifiedBy>
  <cp:lastPrinted>2021-03-02T06:45:24Z</cp:lastPrinted>
  <dcterms:created xsi:type="dcterms:W3CDTF">2015-06-05T18:17:20Z</dcterms:created>
  <dcterms:modified xsi:type="dcterms:W3CDTF">2021-04-01T09:11:17Z</dcterms:modified>
</cp:coreProperties>
</file>