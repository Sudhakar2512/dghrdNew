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5"/>
  <workbookPr filterPrivacy="1" defaultThemeVersion="124226"/>
  <bookViews>
    <workbookView xWindow="0" yWindow="0" windowWidth="15600" windowHeight="7155" firstSheet="1" activeTab="3"/>
  </bookViews>
  <sheets>
    <sheet name="DGs, Directorate Annexure -A" sheetId="1" r:id="rId1"/>
    <sheet name="DGs, Directorate Annexure -B" sheetId="2" r:id="rId2"/>
    <sheet name="DGs, Directorate Annexure -C" sheetId="3" r:id="rId3"/>
    <sheet name="DGs, Directorate Annexure -D" sheetId="4" r:id="rId4"/>
  </sheets>
  <definedNames>
    <definedName name="_xlnm.Print_Area" localSheetId="0">'DGs, Directorate Annexure -A'!$A$1:$P$628</definedName>
    <definedName name="_xlnm.Print_Area" localSheetId="1">'DGs, Directorate Annexure -B'!$A$1:$O$148</definedName>
    <definedName name="_xlnm.Print_Area" localSheetId="2">'DGs, Directorate Annexure -C'!$A$1:$P$312</definedName>
    <definedName name="_xlnm.Print_Area" localSheetId="3">'DGs, Directorate Annexure -D'!$A$1:$N$245</definedName>
  </definedNames>
  <calcPr calcId="124519"/>
</workbook>
</file>

<file path=xl/calcChain.xml><?xml version="1.0" encoding="utf-8"?>
<calcChain xmlns="http://schemas.openxmlformats.org/spreadsheetml/2006/main">
  <c r="F87" i="2"/>
  <c r="M133" i="4"/>
  <c r="M132"/>
  <c r="M88"/>
  <c r="M68"/>
  <c r="G344" i="1"/>
  <c r="G343"/>
  <c r="G342"/>
</calcChain>
</file>

<file path=xl/sharedStrings.xml><?xml version="1.0" encoding="utf-8"?>
<sst xmlns="http://schemas.openxmlformats.org/spreadsheetml/2006/main" count="6759" uniqueCount="1301">
  <si>
    <t>S.No.</t>
  </si>
  <si>
    <t>Commissionerate (Custodian)</t>
  </si>
  <si>
    <t>Location of the Property with complete address(with district &amp; Pin Code)*</t>
  </si>
  <si>
    <t>Area in sq.mtrs</t>
  </si>
  <si>
    <t>Date of Acquisition</t>
  </si>
  <si>
    <t xml:space="preserve">If on lease, tenure with dates </t>
  </si>
  <si>
    <t xml:space="preserve">Lease rent/ ground rent etc./ other recurring charges  payable </t>
  </si>
  <si>
    <t xml:space="preserve">Court case/ litigation/     dispute/ encroachment etc. </t>
  </si>
  <si>
    <t xml:space="preserve">Whether proposal for construction  initiated/ sent to DGHRD/ sanctioned by Ministry </t>
  </si>
  <si>
    <t xml:space="preserve">Reasons for non- utilization </t>
  </si>
  <si>
    <t>GLIS ID No.**</t>
  </si>
  <si>
    <t xml:space="preserve">Remarks/ Other relevant information </t>
  </si>
  <si>
    <t>NA</t>
  </si>
  <si>
    <t>N.A</t>
  </si>
  <si>
    <t>No</t>
  </si>
  <si>
    <t>-</t>
  </si>
  <si>
    <t>Note:</t>
  </si>
  <si>
    <t>Annexure A1: Vacant Land</t>
  </si>
  <si>
    <t>LAND</t>
  </si>
  <si>
    <t>Land area in sq.mtrs</t>
  </si>
  <si>
    <t>Date of Acquisition of Land</t>
  </si>
  <si>
    <t>Current Circle rate  (as on 31.03.2020)            **</t>
  </si>
  <si>
    <t>Mode of ownership/ possession    ( free-hold/ lease hold/ allotted/other- to be specified)</t>
  </si>
  <si>
    <t xml:space="preserve">Court case/ litigation/ dispute/ encroach- ment etc. </t>
  </si>
  <si>
    <t>GLIS ID No.</t>
  </si>
  <si>
    <t>S. No. of entry  in Annexure B#</t>
  </si>
  <si>
    <t>Remarks/ Other relevant information</t>
  </si>
  <si>
    <t>NIL</t>
  </si>
  <si>
    <t xml:space="preserve">Annexure A2: Land on which office buildings have been constructed </t>
  </si>
  <si>
    <t>Land Area in sq.mtrs</t>
  </si>
  <si>
    <t>Acquisition /Purchase Cost          (Rs.in crores)**</t>
  </si>
  <si>
    <t xml:space="preserve">Court case/ litigation/dispute/ encroachment etc. </t>
  </si>
  <si>
    <t>S. No. of enrty  in Annexure C#</t>
  </si>
  <si>
    <t>S. No. of entry  in Annexure B #</t>
  </si>
  <si>
    <t>Annexure A3: Land on which residential quarters have been constructed</t>
  </si>
  <si>
    <t xml:space="preserve">Annexure A4: Land on which both office &amp; residential quarters have been constructed </t>
  </si>
  <si>
    <t>Zone/ Direc-torate</t>
  </si>
  <si>
    <t>N.A.</t>
  </si>
  <si>
    <t>Not known</t>
  </si>
  <si>
    <t xml:space="preserve"> -</t>
  </si>
  <si>
    <t>Not Known</t>
  </si>
  <si>
    <t>Nil</t>
  </si>
  <si>
    <t>Not available</t>
  </si>
  <si>
    <t>Not Available</t>
  </si>
  <si>
    <t>_</t>
  </si>
  <si>
    <t>Allotted</t>
  </si>
  <si>
    <t>--</t>
  </si>
  <si>
    <t>Alloted</t>
  </si>
  <si>
    <t>N/A</t>
  </si>
  <si>
    <t>yes</t>
  </si>
  <si>
    <t xml:space="preserve">Not available </t>
  </si>
  <si>
    <t>Free-Hold</t>
  </si>
  <si>
    <t>ANNEXURE B: Office Buildings</t>
  </si>
  <si>
    <t>Zone/ Directorate</t>
  </si>
  <si>
    <t xml:space="preserve">Location of the building  with complete address including District &amp; Pin Code </t>
  </si>
  <si>
    <t>Name(s) of the office(s) located in the building</t>
  </si>
  <si>
    <t xml:space="preserve">Date of Construction </t>
  </si>
  <si>
    <t xml:space="preserve">Current Circle rate* of building as on 31.03.2020  </t>
  </si>
  <si>
    <t>S. No. of entry   in Annexure A2 **</t>
  </si>
  <si>
    <t>S. No. of entry   in Annexure A4 **</t>
  </si>
  <si>
    <t xml:space="preserve">Remarks/ Other relevant information# </t>
  </si>
  <si>
    <t>Commissionerate (Custodian/ Estate Manager)</t>
  </si>
  <si>
    <t xml:space="preserve">Location of the residential quarters  with complete address including District &amp; Pin Code </t>
  </si>
  <si>
    <t>Date of purchase      (in case of  ready-built purchase)</t>
  </si>
  <si>
    <t>Charges being paid e.g. maintenance etc. (for building only), if yes details thereof</t>
  </si>
  <si>
    <t>S. No. of entry   in Annexure A3 **</t>
  </si>
  <si>
    <t>No. of Type of Quarters (Available/ Habitable/Allotted) as on 31.03.2020</t>
  </si>
  <si>
    <t>I</t>
  </si>
  <si>
    <t>II</t>
  </si>
  <si>
    <t>III</t>
  </si>
  <si>
    <t>IV</t>
  </si>
  <si>
    <t>V</t>
  </si>
  <si>
    <t xml:space="preserve">Available </t>
  </si>
  <si>
    <t>Habitable</t>
  </si>
  <si>
    <t>VI</t>
  </si>
  <si>
    <t>VII</t>
  </si>
  <si>
    <t>Other Type/Category (specify)</t>
  </si>
  <si>
    <t>*Purchase/ Circle rate of residential buildings only may be provided in this Annexure.</t>
  </si>
  <si>
    <t>*However, composite cost (land+building) may be provided in this Annexure in r/o ready-built residential buildings purchased, if separate land cost is not mentioned under Annexure A3/A4</t>
  </si>
  <si>
    <t>**S. Nos. of entries in Annexure A3 &amp; A4 (whichever applicable) wherein details of Land on which residential building(s) have been constructed may be given in these column.</t>
  </si>
  <si>
    <t>Commissionerate</t>
  </si>
  <si>
    <t>Name(s) of the office(s) located in the hired premises</t>
  </si>
  <si>
    <t>Location of the premises with complete address</t>
  </si>
  <si>
    <t>Date of Hiring with Sanction Order &amp; Date</t>
  </si>
  <si>
    <t>Sanctioning Authority</t>
  </si>
  <si>
    <t>Period of Lease</t>
  </si>
  <si>
    <t>Due Date of Renewal of Lease</t>
  </si>
  <si>
    <t>Rent Amount Per Month (In Rs.)</t>
  </si>
  <si>
    <t>Rent Rate (Rs. per sq. mtrs.)</t>
  </si>
  <si>
    <t>Remarks</t>
  </si>
  <si>
    <t>3 Years</t>
  </si>
  <si>
    <t>5 Years</t>
  </si>
  <si>
    <t>01.04.2021</t>
  </si>
  <si>
    <t>3 years</t>
  </si>
  <si>
    <t>01.04.2022</t>
  </si>
  <si>
    <t>03 years</t>
  </si>
  <si>
    <t>01.05.2021</t>
  </si>
  <si>
    <t>Acquisition / Purchase Cost
(Rs.in crores)**</t>
  </si>
  <si>
    <t>Mode of ownership/ possession    
(free-hold/ lease hold/ allotted/other- to be specified)</t>
  </si>
  <si>
    <t>Mode of ownership/ possession 
(free-hold/ lease hold/ allotted/ other- to be specified)</t>
  </si>
  <si>
    <t>Acquisition / Purchase Cost (Rs.in crores)**</t>
  </si>
  <si>
    <t>Current Circle rate  
(as on 31.03.2020)**</t>
  </si>
  <si>
    <t>Zone/ 
Directorate</t>
  </si>
  <si>
    <t>Mode of ownership/ possession    
( free-hold/ lease hold/ allotted/other- to be specified)</t>
  </si>
  <si>
    <t>Acquisition / Purchase Cost  (Rs.in crores)**</t>
  </si>
  <si>
    <t xml:space="preserve">Zone/ 
Directorate </t>
  </si>
  <si>
    <t>Location of the Property with complete address 
(with district &amp; Pin Code)*</t>
  </si>
  <si>
    <t>Acquisition/ Purchase Cost  (Rs.in crores)</t>
  </si>
  <si>
    <t xml:space="preserve"> Current Circle rate  
(as on 31.03.2020)            </t>
  </si>
  <si>
    <t>Location of the Property with complete address
(with district &amp; Pin Code)*</t>
  </si>
  <si>
    <t>Zone/ 
Direc-torate</t>
  </si>
  <si>
    <t>Total built- up area
(in sq. mtrs.)</t>
  </si>
  <si>
    <t>Date of purchase
(in case  of ready-built purchase)</t>
  </si>
  <si>
    <t>Purchase*/ Construction Cost
(Rs.in crores)</t>
  </si>
  <si>
    <t>Mode of ownership/ possession   
( free-hold/ lease hold/ allotted/other- to be specified)</t>
  </si>
  <si>
    <t>Zone/
Directorate</t>
  </si>
  <si>
    <t>Commissionerate 
(Custodian)</t>
  </si>
  <si>
    <t>Charges being paid e.g. maintenance/ licence fee etc. (for building only), if yes details thereof</t>
  </si>
  <si>
    <t xml:space="preserve">In case building allotted by MoHUA/ Dte. of Estates/ CPWD/ Income Tax/ Others- details thereof </t>
  </si>
  <si>
    <t>Annexure D: Hired Premises</t>
  </si>
  <si>
    <t>Total Carpet Area 
(In Sq. Mtrs.)</t>
  </si>
  <si>
    <t>Built Up Area 
(In Sq. Mtrs.)</t>
  </si>
  <si>
    <t>01.04.2018</t>
  </si>
  <si>
    <t>05 years</t>
  </si>
  <si>
    <t>01.04.2019</t>
  </si>
  <si>
    <t>01.07.2021</t>
  </si>
  <si>
    <t>01.05.2020</t>
  </si>
  <si>
    <t>Annexure D: Residential Quarters</t>
  </si>
  <si>
    <t>Total built- up area      
(in sq. mtrs.)</t>
  </si>
  <si>
    <t>Annexure C: Residential Quarters</t>
  </si>
  <si>
    <t>Purchase*/ Construction Cost      
(Rs.in crores)</t>
  </si>
  <si>
    <t>* In case of buildings constructed on plots of land  mentioned under Annexure A4, if it is not possible to provide separate values for office &amp; residential quarters, combined value may be provided in Annexure B only  and appropriate remarks may be given in  Annexure C.</t>
  </si>
  <si>
    <t># In case the residential building is a heritage building; allotted by/shared with Income Tax Deptt.; used for different purpose (other than residential) information may be provided under this column in addition to other relevant details.</t>
  </si>
  <si>
    <t>Commissionerate 
(Custodian/ Estate Manager)</t>
  </si>
  <si>
    <t>no</t>
  </si>
  <si>
    <t>not available</t>
  </si>
  <si>
    <t>free hold</t>
  </si>
  <si>
    <t>Yes</t>
  </si>
  <si>
    <t>31.03.2022</t>
  </si>
  <si>
    <t>01.07.2022</t>
  </si>
  <si>
    <t>01.05.2017 to 30.04.2020</t>
  </si>
  <si>
    <t>05 Years</t>
  </si>
  <si>
    <t>01.06.2023</t>
  </si>
  <si>
    <t>IV- Special</t>
  </si>
  <si>
    <t>DG Audit (Hqrs.)</t>
  </si>
  <si>
    <t>DG Audit,AZU</t>
  </si>
  <si>
    <t>DG Audit,BZU</t>
  </si>
  <si>
    <t>DG Audit,CZU</t>
  </si>
  <si>
    <t>DG Audit,DZU</t>
  </si>
  <si>
    <t>DG Audit,HZU</t>
  </si>
  <si>
    <t>DG Audit,KZU</t>
  </si>
  <si>
    <t>DG Audit,MZU</t>
  </si>
  <si>
    <t>4. Director General  GST Intelligence</t>
  </si>
  <si>
    <t xml:space="preserve">4. Director General  Export Promotion </t>
  </si>
  <si>
    <t>DGGI(Hdqrs.)</t>
  </si>
  <si>
    <t>DGGI            Headquarter</t>
  </si>
  <si>
    <t>Delhi ZU</t>
  </si>
  <si>
    <t>DGGI</t>
  </si>
  <si>
    <t>Ahmedabad ZU</t>
  </si>
  <si>
    <t>Belagavi ZU</t>
  </si>
  <si>
    <t>Bengaluru ZU</t>
  </si>
  <si>
    <t>Bhopal ZU</t>
  </si>
  <si>
    <t>Bhubaneshwar ZU</t>
  </si>
  <si>
    <t>Functioning on hired building</t>
  </si>
  <si>
    <t>Chandigarh ZU</t>
  </si>
  <si>
    <t>Block No.2, Sector 38-A Chandigarh 160036</t>
  </si>
  <si>
    <t>21.05.2019 (date of Lease Deed)</t>
  </si>
  <si>
    <t xml:space="preserve"> --</t>
  </si>
  <si>
    <t>Lease hold</t>
  </si>
  <si>
    <t>The current lease deed is for 33 years from 21.05.2019,  thereafter, two more renewals of 33 years each will be made.</t>
  </si>
  <si>
    <t>Rs.1,56,40,063/- (i.e.2.50% of acquisition cost) towards Annual Ground rent for 33 years. Thereafter 3.75% for next 33 years and 5% for remaining 33 years)</t>
  </si>
  <si>
    <t xml:space="preserve">Matter is under consultation with CPWD. </t>
  </si>
  <si>
    <t>Chennai ZU</t>
  </si>
  <si>
    <t>Coimbatore ZU</t>
  </si>
  <si>
    <t>Gurugram ZU</t>
  </si>
  <si>
    <t>No Vacant Land</t>
  </si>
  <si>
    <t>Guwahati ZU</t>
  </si>
  <si>
    <t>Hydrabad ZU</t>
  </si>
  <si>
    <t>Jaipur ZU</t>
  </si>
  <si>
    <t>Kochi ZU</t>
  </si>
  <si>
    <t>DGGI,Kochi Zonal Unit</t>
  </si>
  <si>
    <t>S.No.292.294,Ernakulam Village,
Kathrikadavu(near CBI office),
Kaloor(PO),Ernakulam (Dist.),
Kerala 682017</t>
  </si>
  <si>
    <t>Office building constructed by CGST, Cochin Commissionerate</t>
  </si>
  <si>
    <t>Kolkata ZU</t>
  </si>
  <si>
    <t>Lucknow ZU</t>
  </si>
  <si>
    <t>Ludhiana ZU</t>
  </si>
  <si>
    <t>Meerut ZU</t>
  </si>
  <si>
    <t>Mumbai ZU</t>
  </si>
  <si>
    <t>Nagpur ZU</t>
  </si>
  <si>
    <t>Patna ZU</t>
  </si>
  <si>
    <t>Pune ZU</t>
  </si>
  <si>
    <t>Raipur ZU</t>
  </si>
  <si>
    <t>Siliguri ZU</t>
  </si>
  <si>
    <t>DGGI, Siliguri Zonal Unit is functioning from   rented hired building</t>
  </si>
  <si>
    <t>Surat ZU</t>
  </si>
  <si>
    <t>Visakhapatnam ZU</t>
  </si>
  <si>
    <t>DG (East)</t>
  </si>
  <si>
    <t>DG (North)</t>
  </si>
  <si>
    <t>DG (South)</t>
  </si>
  <si>
    <t>DG (West)</t>
  </si>
  <si>
    <t>No building constructed</t>
  </si>
  <si>
    <t>DGGI,Kochi, ZU</t>
  </si>
  <si>
    <t>No residential quarters constructed</t>
  </si>
  <si>
    <t>DG(East)</t>
  </si>
  <si>
    <t>DG(North)</t>
  </si>
  <si>
    <t>DG(South)</t>
  </si>
  <si>
    <t>DG(West)</t>
  </si>
  <si>
    <t>No construction of Office or Residential quarters</t>
  </si>
  <si>
    <t>NACIN</t>
  </si>
  <si>
    <t>Faridabad</t>
  </si>
  <si>
    <t xml:space="preserve">Zonal Campus,
Visakhapatnam </t>
  </si>
  <si>
    <t>Patna</t>
  </si>
  <si>
    <t>Chandigarh</t>
  </si>
  <si>
    <t>Mumbai</t>
  </si>
  <si>
    <t>Shillong</t>
  </si>
  <si>
    <t>NACIN
 Zonal 
Campus, Cochin</t>
  </si>
  <si>
    <t>Department 
of revenue, 
Ministry of Finance (NACIN)</t>
  </si>
  <si>
    <t>Survey No
.63/1 KDH Village, Devikulam Taluk, Idukki District, Kerala. Pin-685613</t>
  </si>
  <si>
    <t>14165
 (01.4165 hectare)</t>
  </si>
  <si>
    <t>10.01.2018</t>
  </si>
  <si>
    <t>Possession</t>
  </si>
  <si>
    <t>Proposal Initiated
. CPWD entrusted with the task of constructing a compound wall around the premises. Architectural Drawings received from CPWD under consideration.</t>
  </si>
  <si>
    <t>The land was
 purchased from the Govt. of Kerala. The Govt. of Kerala has been requested to widen the approach road to the property. Action awaited from their side</t>
  </si>
  <si>
    <t>Vadodara</t>
  </si>
  <si>
    <t>Bhopal</t>
  </si>
  <si>
    <t>ZTI Chennai</t>
  </si>
  <si>
    <t>Nolambur, 
Phase-1, Chennai</t>
  </si>
  <si>
    <t>29.04.2015</t>
  </si>
  <si>
    <t>46,880/
Sq.m</t>
  </si>
  <si>
    <t>Free-hold</t>
  </si>
  <si>
    <t>Sent to DGHRD
 for approval</t>
  </si>
  <si>
    <t>Sanction from 
Competent Authority not received</t>
  </si>
  <si>
    <t>Proposal for construction of Integrated NACIN complex was sent to DGHRD
 on 17.12.2019. The proposal was returned with directions from IFU not to take up the project in F.Y.2020-21</t>
  </si>
  <si>
    <t>Raipur</t>
  </si>
  <si>
    <t>Jaipur</t>
  </si>
  <si>
    <t>Kolkata</t>
  </si>
  <si>
    <t xml:space="preserve">NACIN </t>
  </si>
  <si>
    <t>Hyderabad</t>
  </si>
  <si>
    <t xml:space="preserve">Survey No. 366, Beside Peda Talla, Kunta Lake Hyderabad 500048
</t>
  </si>
  <si>
    <t>26.08.2013</t>
  </si>
  <si>
    <t>Own(Purchased from 
HMDA, Govt. of Andhra Pradesh)</t>
  </si>
  <si>
    <t>NA( after completion of the project
property tax may have to pay to local authority)</t>
  </si>
  <si>
    <t>Under construction(Rs. 46.71 Cr. Administrative approval and expenditure sanction granted on 30.12.2016)</t>
  </si>
  <si>
    <t>84405 Dt.25.05.2017</t>
  </si>
  <si>
    <t>Bhubaneshwar</t>
  </si>
  <si>
    <t>COE</t>
  </si>
  <si>
    <t>ZTI , Delhi</t>
  </si>
  <si>
    <t>National Academy of Customs, Indirect Taxes &amp; Narcotics, ZTI, Bengaluru.</t>
  </si>
  <si>
    <t>No. 40, HMT Factory Main Road, Next to HMT School, Jalahalli, Bangaluru 560 013</t>
  </si>
  <si>
    <t>09.05.2003</t>
  </si>
  <si>
    <t>40000/sqm (Value taken as per state Government Kaveri Online Services)</t>
  </si>
  <si>
    <t>Free Hold (Purchased)</t>
  </si>
  <si>
    <t>NACIN Complex Sector-28, Faridabad, 121008</t>
  </si>
  <si>
    <t xml:space="preserve">refer Annexure A4
</t>
  </si>
  <si>
    <t xml:space="preserve">
Visakhapatnam </t>
  </si>
  <si>
    <t>National 
Academy of Customs, Indirect taxes and Narcotics, Post Office Lane, Bhandup(East) Mumbai- 400042</t>
  </si>
  <si>
    <t>8409 Sq. 
Meters</t>
  </si>
  <si>
    <t>24.09.1975</t>
  </si>
  <si>
    <t>0.0005976
(5976/- actuals)</t>
  </si>
  <si>
    <t>Rs.55780/
Sq. Meter</t>
  </si>
  <si>
    <t>Circle rate from Stamp duty Ready Reckoner</t>
  </si>
  <si>
    <t xml:space="preserve">P-27, CIT Scheme VIII (M), Bidhan Nagar Road,
Kolkata – 700 067
</t>
  </si>
  <si>
    <t>4760.12 sq mtr.</t>
  </si>
  <si>
    <t>30.01.1981</t>
  </si>
  <si>
    <t>Circle rate as enquired from Additional District Registrar Office, Alipore on 31.12.2010 was Rs. 3250/- per sq.ft.</t>
  </si>
  <si>
    <t xml:space="preserve">P-29, 
CIT Scheme VIII (M), Bidhan Nagar Road,
Kolkata – 700 067
</t>
  </si>
  <si>
    <t>2501.85 sq mtr.</t>
  </si>
  <si>
    <t>17.12.1982</t>
  </si>
  <si>
    <t>ZTI Delhi</t>
  </si>
  <si>
    <t>40000/sqm</t>
  </si>
  <si>
    <t>Cost shown at coloumn 7 is taken proportionately to the total cost.</t>
  </si>
  <si>
    <t xml:space="preserve">Cost shown at coloumn 7 is taken proportionately to the total cost. </t>
  </si>
  <si>
    <t>Kanpur</t>
  </si>
  <si>
    <t>NACIN Faridabad</t>
  </si>
  <si>
    <t xml:space="preserve">NACIN
</t>
  </si>
  <si>
    <t>Cochin</t>
  </si>
  <si>
    <t>ZTI
 Chennai</t>
  </si>
  <si>
    <t>NACIN
 Faridabad</t>
  </si>
  <si>
    <t>NACIN Complex, Sector-29, Faridabad, 121008</t>
  </si>
  <si>
    <t>86917.43 sq. mt.</t>
  </si>
  <si>
    <t>* Annexure A4 provide the details of the total land of the office and staff quarter which was acquired consolidately , hence the separate acquisition details of the acquiring the land of office &amp; residential premises are not provided here.</t>
  </si>
  <si>
    <t>Entire Land area on which ADMN, HOSTEL(including 2 residential Quarters ) and SPORTS BLOCK constructed taken.</t>
  </si>
  <si>
    <t>Director General Systems &amp; Data Management</t>
  </si>
  <si>
    <t>DGTS, HQ</t>
  </si>
  <si>
    <t>DGTS, CR Building, IP Estate, ITO, New Delhi 110109</t>
  </si>
  <si>
    <t>Space Provided by CGST, North Commissionerate</t>
  </si>
  <si>
    <t>DGTS Delhi Zonal Unit</t>
  </si>
  <si>
    <t>DGTS Mezzine Floor EIL Building Bhikaji Cama Place New Delhi-110066</t>
  </si>
  <si>
    <t>Space Provided by CGST, South Commissionerate</t>
  </si>
  <si>
    <t>CRCL</t>
  </si>
  <si>
    <t>CRCL, IARE, PUSA, ND-12</t>
  </si>
  <si>
    <t>No Vacant Land Exist in the name of Directorate</t>
  </si>
  <si>
    <t>2326.97 Sq Mtr.</t>
  </si>
  <si>
    <t>Alotted by Central Govt.  Agencies</t>
  </si>
  <si>
    <t xml:space="preserve">335.47 Sq Mtr. + 370.57 Sq Mtr.= total 705.98 Sq Mtr. </t>
  </si>
  <si>
    <t>Directorate's Bunglow at  Plot No. B-21 and Staff quarters</t>
  </si>
  <si>
    <t>2326.97 Sq Mtr
370.51 Sq Mtr. 
335.47 Sq Mtr.
Total=3032.95 Sq Mtr.</t>
  </si>
  <si>
    <t xml:space="preserve">1. CRCL Building Area=2326.97 Sq Mtr.
2. Staff  Entry Area=  370.51 Sq mtr. 
3. Directorate Residence= 335.47
Total Constructed area= 3032.95 Sq Mtr. 
</t>
  </si>
  <si>
    <t>DGARM</t>
  </si>
  <si>
    <t xml:space="preserve">DGARM, DGEP, DIC, WCO, Commissioner Customs Investigation and Commissioner GST Investigation </t>
  </si>
  <si>
    <t>8th and 10th Floor, Tower-II Jeevan Bharti, Connaught Place, New Delhi -110001</t>
  </si>
  <si>
    <t>2403.21 Sq Mtrs.</t>
  </si>
  <si>
    <t>IN-DL20150549199043Q dated 24.12.2018</t>
  </si>
  <si>
    <t xml:space="preserve">Revenue Secretary </t>
  </si>
  <si>
    <t>06.12.2018 to 05.12.2023</t>
  </si>
  <si>
    <t>06.12.2023</t>
  </si>
  <si>
    <t>ADG(Audit), DG Audit, Customs &amp; CGST , AZU, Ahmedabad</t>
  </si>
  <si>
    <t>office of ADG (Audit), Customs &amp; CGST,AZU, Ahmedabad</t>
  </si>
  <si>
    <t>B-414-416, Himalaya Arcade Opp. Vastrapur Lake, Vastrapur, Ahmedabad-380015</t>
  </si>
  <si>
    <t>259.40 Sq. Mtrs and basement (parking) area 40 Sq. Mtrs</t>
  </si>
  <si>
    <t>323.46 Sq. Mtrs and basement (parking) area 40 Sq. Mtrs.</t>
  </si>
  <si>
    <t>July 2003 (Property was initially hired), Further renewed 01.07.2008,  Renewal Sanctioned by Pr. ADG, Audit on 22.10.2019</t>
  </si>
  <si>
    <t>Pr. ADG, Audit, DG Audit, Ahmedabad</t>
  </si>
  <si>
    <t>Five years</t>
  </si>
  <si>
    <t>01.07.2003</t>
  </si>
  <si>
    <t>1,06,084</t>
  </si>
  <si>
    <t>DG Audit, BZU</t>
  </si>
  <si>
    <t>DG (Audit), BZU, Bangalore</t>
  </si>
  <si>
    <t>II Floor, TTMC/BMTC Building, Banashankari, Bangalore-560070</t>
  </si>
  <si>
    <t>No seprate rent paid by this office, however consolidted monthly rent is paid by the Bangalore West Commissionerate being the caretaker of the building.</t>
  </si>
  <si>
    <t>DG Audit, CZU</t>
  </si>
  <si>
    <t>ADG (Audit), CZU</t>
  </si>
  <si>
    <t>ADG Audit, CZU, IIIrd Floor, Rani Meyyammai Hall, 18-C, Rukmini Lakshmipathy Road, Egmore, Chennai-600008</t>
  </si>
  <si>
    <t>Additional Director General</t>
  </si>
  <si>
    <t>3 years (01.08.2018 to 31.07.2021)</t>
  </si>
  <si>
    <t>01.08.21</t>
  </si>
  <si>
    <t>Rs. 1,61,215 (Basic Rent Amount Rs. 1,29183/-+ Maintenance Rs.  7440+GST as applicable per month</t>
  </si>
  <si>
    <t>This office occupied the said premises with effect from 01.08.2003 and the lease agreement is being renewed every three years</t>
  </si>
  <si>
    <t>DG Audit, HZU</t>
  </si>
  <si>
    <t>Office of the ADG Audit, H.No. 5-8-196to 207/A, 1st floor, Akira Shikar Plaza, Jusbagh, Namapally, Hyderabad-500001</t>
  </si>
  <si>
    <t>H.No. 5-8-196to 207/A, 1st floor, Akira Shikar Plaza, Jusbagh, Namapally, Hyderabad-500001</t>
  </si>
  <si>
    <t>01.10.2018 vide agreement dated 30.10.2018</t>
  </si>
  <si>
    <t>Additional Director General, DG Audit, HZU</t>
  </si>
  <si>
    <t xml:space="preserve">3 years </t>
  </si>
  <si>
    <t>30.09.2021</t>
  </si>
  <si>
    <t>Rs. 2,97,000+ GST</t>
  </si>
  <si>
    <t>Rs. 516.20 (Rs. 47.957 per Sq. Ft.)</t>
  </si>
  <si>
    <t>2nd Floor, West Block-8, Wing No.6, R.K. Puram, New Delhi-110066</t>
  </si>
  <si>
    <t>10288 sq.ft. = 955.78 sq. mtr.</t>
  </si>
  <si>
    <t>The present office is allotted by Estate office, Govt. of India and the building is maintained by CPWD</t>
  </si>
  <si>
    <t xml:space="preserve">DGGI </t>
  </si>
  <si>
    <t>1st Floor, West Block-8, Wing No.3, R.K. Puram, New Delhi-110066</t>
  </si>
  <si>
    <t>5000 sq. ft. = 464.51 sq. mtr.</t>
  </si>
  <si>
    <t>Allotted by Govt.</t>
  </si>
  <si>
    <t>1st Floor, MTNL Telephone Exchange Building, Sarita Vihar, New Delhi</t>
  </si>
  <si>
    <t>3318 sq. ft. = 308.25 sq. mtr.</t>
  </si>
  <si>
    <t>Plot No. 24, Sector-32, Gurugram Pin-122001</t>
  </si>
  <si>
    <t xml:space="preserve">DGGI, Zonal Unit, Gurugram </t>
  </si>
  <si>
    <t>Functioning in premises hired  by the office of GST, Audit Gurugram</t>
  </si>
  <si>
    <t>224,Subhash Nagar, Rohtak, Pin-124001</t>
  </si>
  <si>
    <t>DGGI, Regional Unit, Rohtak</t>
  </si>
  <si>
    <t>Rs. 70,900/- per month as rent</t>
  </si>
  <si>
    <t>Office  Premises hired on rent in 2015</t>
  </si>
  <si>
    <t>DGGI,Kochi,ZU</t>
  </si>
  <si>
    <t>The buidling where DGGI,Kochi Zonal Unit is functioning is constructed by CGST Commissionerate, Cochin</t>
  </si>
  <si>
    <t>DGGI (Hdqrs)</t>
  </si>
  <si>
    <t>DGGI (Hdqrs.) &amp; DGGI, Delhi Zonal Unit</t>
  </si>
  <si>
    <t>Zonal Unit</t>
  </si>
  <si>
    <t>O/o the Pr. ADG, Delhi Zonal Unit, West Block-8, Wing No.3, 1st Floor, R.K. Puram, New Delhi-110066</t>
  </si>
  <si>
    <t>West Block-8, Wing No.3, 1st Floor, R.K. Puram, New Delhi - 110066</t>
  </si>
  <si>
    <t>Regional Unit</t>
  </si>
  <si>
    <t>10.12.2012*</t>
  </si>
  <si>
    <t>HoD</t>
  </si>
  <si>
    <t>10.12.2022</t>
  </si>
  <si>
    <t>Rs.355358/-</t>
  </si>
  <si>
    <t>Hired premises used for storage purpose (record)</t>
  </si>
  <si>
    <t>Ahmedabad Zonal Unit</t>
  </si>
  <si>
    <t>Office of the Pr. ADG/ADG, Directorate General of GST Intelligence</t>
  </si>
  <si>
    <t xml:space="preserve"> 6th &amp; 7th Floor, I-The Address, Science City Road, Near Sola Flyover, Sola, Ahmedabad-380060</t>
  </si>
  <si>
    <t>01.08.2019 Concurrence of the Financial Adviser (Finance) vide Dy. No. 181/IFU-EC/2019 dated 15.05.2019.</t>
  </si>
  <si>
    <t>Financial Adviser (Finance) vide Dy. No. 181/IFU-EC/2019 dated 15.05.2019</t>
  </si>
  <si>
    <t xml:space="preserve">03 Years </t>
  </si>
  <si>
    <t xml:space="preserve">01.08.2022 </t>
  </si>
  <si>
    <t xml:space="preserve">10,45,380/- </t>
  </si>
  <si>
    <t>Rent is inclusive of GST and exclusive of Municipal Tax</t>
  </si>
  <si>
    <t>Rajkot Regional Unit</t>
  </si>
  <si>
    <t xml:space="preserve">Office of the Dy./Assistant Director, Directorate General of GST Intelligence,   </t>
  </si>
  <si>
    <t>Amruta Estate, Ground Floor, Near Girnar Cinema,  M.G. Road, Rajkot-360001</t>
  </si>
  <si>
    <t xml:space="preserve">1st Lease agreement date 03.02.2015 &amp; 2nd Lease Agreement dated 03.02.2018.Sanction Order F. NO. 924/24/Hiring/DGGI/Rajkot/HRD/18 dated 18.02.2019 of DoR, CBIC, New Delhi. IFU concurrence Dy. No. 21/2019/IFU-EC dated 06.02.2019 </t>
  </si>
  <si>
    <t xml:space="preserve">Sanction Order F. NO. 924/24/Hiring/DGGI/Rajkot/HRD/18 dated 18.02.2019 of DoR, CBIC, New Delhi. IFU concurrence Dy. No. 21/2019/IFU-EC dated 06.02.2019 </t>
  </si>
  <si>
    <t xml:space="preserve">03.02.2021 </t>
  </si>
  <si>
    <t xml:space="preserve">1,90,472/- </t>
  </si>
  <si>
    <t>Gandhidham Regional Unit</t>
  </si>
  <si>
    <t>Office of the Dy./Assistant Director, Directorate General of GST Intelligence</t>
  </si>
  <si>
    <t xml:space="preserve"> Plot No. 69 (Gr. Floor+1st Floor+2nd Floor) &amp; 1st Floor of Plot No. 120, Ward-10A, Opp. IFFCO Gate, Gandhidham-370203</t>
  </si>
  <si>
    <t xml:space="preserve">Lease Agreement dated 01.11.2018, under the delegated financial power under the jurisdiction of this office. </t>
  </si>
  <si>
    <t xml:space="preserve">01.11.2023 </t>
  </si>
  <si>
    <t>Rent is  exclusive of Municipal Tax</t>
  </si>
  <si>
    <t>THE DGGI BELGAVI ZONAL UNIT,     NO: 4855/83,   2nd ,3rd and 5th FLOOR, LAXMI COMPLEX SADASHIVANAGAR, BELAGAVI-19</t>
  </si>
  <si>
    <t xml:space="preserve">01.02.2018 </t>
  </si>
  <si>
    <t xml:space="preserve">The Additional Director General , DGGI Belagavi Zonal Unit, Belagavi </t>
  </si>
  <si>
    <t>2,15,560/- (inclusive of GST)</t>
  </si>
  <si>
    <t xml:space="preserve">PROCESS INITIATED  FOR REVISION OF RENT </t>
  </si>
  <si>
    <t xml:space="preserve">01.08.2019 </t>
  </si>
  <si>
    <t>99,000/- + GST</t>
  </si>
  <si>
    <t>THE DGGI BALLARI REGIONAL UNIT                      SMT: BHRATHI KRISHNA                          2ND FLOOR, 8/2 AKASHYA NILAYA, GANDHINAGAR MAIN ROAD BALLARI 583103</t>
  </si>
  <si>
    <t>31.03.2021</t>
  </si>
  <si>
    <t>47,250/- (inclusive of GST)</t>
  </si>
  <si>
    <t>Directorate General of GST Intelligence, Bengaluru Zonal Unit</t>
  </si>
  <si>
    <t>No.112, S.P. Enclave, Adjacent to Karnataka Bank, K.H. Road, Bengaluru - 560 027</t>
  </si>
  <si>
    <t>(a) 12881 sq. ft. (carpet area) - 75% and (b)  3274 sq. ft. (carpet area), i.e. 16155 sq. ft.</t>
  </si>
  <si>
    <t>16155 sq. ft.</t>
  </si>
  <si>
    <t>(a) 15.10.2016 &amp; (b) 01.07.2017</t>
  </si>
  <si>
    <t>(a) REMT/18/2016-17-SANCTION from F.No. 924/97/Hiring/DGCEI/Bangalore /HRD/15 dt. 11th August, 2016 for 75% area and (b) For 25% area by the Head of Department as per powers accorded to HOD</t>
  </si>
  <si>
    <t>(a) 15.10.2016 to 14.10.2019 &amp; (b) 01.07.2017 to 30.06.2020</t>
  </si>
  <si>
    <t>15.10.2019 for 1st Agreement and 01.07.2020 for 2nd Agreement</t>
  </si>
  <si>
    <t>` 953143/- for total area of 16155 sq. ft. + car parking area</t>
  </si>
  <si>
    <t>` 50/- per sq. ft.</t>
  </si>
  <si>
    <t>The renewal of rental agreements is under process at DGHRD, New Delhi</t>
  </si>
  <si>
    <t xml:space="preserve"> DGGI, Zonal Unit, Bhopal</t>
  </si>
  <si>
    <t>Office of the Additional Director General, DGGI, Zonal Unit, Bhopal</t>
  </si>
  <si>
    <t>Additional Director General/ Directorate General of GSt Intelligence 4th Floor Chinarr Incube Business Centre Hoshangabad Road Bhopal Bhopal Zonal Unit</t>
  </si>
  <si>
    <t>01.07.2018</t>
  </si>
  <si>
    <t>01.07.2018 to 30.06.2021</t>
  </si>
  <si>
    <t>Rs. 1,41,155 (excluding all taxes)</t>
  </si>
  <si>
    <t>Office of Assistant Director, DGGI, Regional Unit, Jabalpur</t>
  </si>
  <si>
    <t>1193, 1st Floor, Wright Town, Chanchalabai College, Main Road, Jabalpur</t>
  </si>
  <si>
    <t>Intitial Hiring from Feb 2017 for 219.89 sq.mtrs. and after that renewed from 01.03.2020 with additional space of 102.19 sq.mtrs. vide sanction order DGCEI/Bhzu/F-23012/02/2020/2519 date 09.09.2020</t>
  </si>
  <si>
    <t>01.03.2020 to 28.02.2022 for 219.89 Sq.mtrs. And  from 01.08.2020 to 28.02.2022 for 102.19 sq. mtrs</t>
  </si>
  <si>
    <t>01.03.2022</t>
  </si>
  <si>
    <t>76273/-</t>
  </si>
  <si>
    <t xml:space="preserve">Director General of GST Intelegence </t>
  </si>
  <si>
    <t>at Plot 27, Saheed Nagar, Bhubaneswar, Pin 751007</t>
  </si>
  <si>
    <t>01.10.2017 vide F.No.DGGSTI/BZU/ADMN-Estt/2320 dated 22.09.2017</t>
  </si>
  <si>
    <t>ADG, DGGI, Bhubaneswra</t>
  </si>
  <si>
    <t>01.10.2020</t>
  </si>
  <si>
    <t>Town Engg Office Campus, Project Building, Sec-5, Rourkela, Pin 769002</t>
  </si>
  <si>
    <t>21.06.2005 vide F.No. DGCEI F.No.D-428/CE/20/2000-Admn dated 28.09.2004</t>
  </si>
  <si>
    <t>HOD, DGGI (Hq), New Delhi</t>
  </si>
  <si>
    <t xml:space="preserve">11 months (renew after every 11 months) </t>
  </si>
  <si>
    <t>20.04.2021</t>
  </si>
  <si>
    <t>DGGI, Shimla Regional Unit, Baddi</t>
  </si>
  <si>
    <t>Third Floor, Motia Plaza, Pinjore-Nalagarh Highway, Baddi, Distt. Sirmour, Himachal Pradesh</t>
  </si>
  <si>
    <t>24.06.2019, ADMIN-INFR0HRNG/6/2019-ZU-DGGI-CHD</t>
  </si>
  <si>
    <t>Additional Director General, DGGI, Chandigarh Zonal Unit, Chandigarh</t>
  </si>
  <si>
    <t>Initially, the premises has been hired for three years.</t>
  </si>
  <si>
    <t>56689 (excluding GST)</t>
  </si>
  <si>
    <t>DGGI, Jammu Regional Unit, Jammu</t>
  </si>
  <si>
    <t>First Floor, Blue Dart Building, Opp. Gurudwara, Bye Pass Road, NH-1A, Channi Rama, Jammu</t>
  </si>
  <si>
    <t>125000 (excluding GST)</t>
  </si>
  <si>
    <t xml:space="preserve">Office of the Director General of GST Intelligence,  DG (SOUTH) Sub- National Unit, Chennai </t>
  </si>
  <si>
    <t>C-3, C Wing, Rajaji Bhawan, Besant Nagar, Chennai -600090.</t>
  </si>
  <si>
    <t>719.9057 Sq.mt     (7749 Sq.ft.)</t>
  </si>
  <si>
    <t>Date of Hiring 01.05.1996, Initlally the Office Permisis was occpaid without any paymemnt of licence fee. However, licence fee has been decided to recover w.e.f. 01.04.2017 Vide , Directorate of Esates O.M. No. 12036/1/2016-Pol. III dated 11.04.2017</t>
  </si>
  <si>
    <t xml:space="preserve"> Initial approval for Hiring was obtained from   DGGI, Hqrs New Delhi.  Montly rent will be   sanctioned by Pr. ADG </t>
  </si>
  <si>
    <t xml:space="preserve">N/A </t>
  </si>
  <si>
    <t>Rs. 2.24.721/-</t>
  </si>
  <si>
    <t xml:space="preserve"> Rs. 312.133/-    (Rs. 29/- per Sq. ft.)</t>
  </si>
  <si>
    <t>Licence fees has been decided to revocer w.e.f. 01.04.2017 Vide  Ministry of Urban Development , Directorate of Esates O.M. No. 11015/1/98- Pol. I dated 16.03.2017</t>
  </si>
  <si>
    <t xml:space="preserve">Office of the Principal Additional Director Genral of GST Intelligence, Zonal Unit, Chennai </t>
  </si>
  <si>
    <t>No.16, 5 th and 8th floor, Tower II, BSNL Building, Greams Raod, Chennai - 600006</t>
  </si>
  <si>
    <t xml:space="preserve">1,926.34 Sq. mt.   (20,735 Sq. ft.) </t>
  </si>
  <si>
    <t>Date of Hiring 01.06.2018        F.No. 924/27/Hiring/DGGSTI Chennai Zonal Unit/ HRD/17/ dated 21.02.2018</t>
  </si>
  <si>
    <t xml:space="preserve"> Initial approval for Hiring the Premisis was  obtained  from DGHRD. Montly rent will  sanctioned by Pr. ADG </t>
  </si>
  <si>
    <t xml:space="preserve">Three Years </t>
  </si>
  <si>
    <t>01.06.2021</t>
  </si>
  <si>
    <t>Rs24,46,730/-</t>
  </si>
  <si>
    <t xml:space="preserve">  Rs.895.11/-per Sq.m          (Rs. 118/- Per Sq.ft.)</t>
  </si>
  <si>
    <t xml:space="preserve">Office of the Deputy Director of GST Intelligence, Puducherry Regional Unit, Puducherry </t>
  </si>
  <si>
    <t>No. 42 &amp; 43, Second Cross, Peter Nagar, Pondicherry 605013</t>
  </si>
  <si>
    <t>475.52 Sq. mt. (5118.5 Sq. ft.)</t>
  </si>
  <si>
    <t>Date of Hiring 21.03.2018</t>
  </si>
  <si>
    <t xml:space="preserve">Pr. ADG </t>
  </si>
  <si>
    <t>21.03.2021</t>
  </si>
  <si>
    <t xml:space="preserve"> Rs.1,15,166/-</t>
  </si>
  <si>
    <t xml:space="preserve"> Rs. 242.189/- Per Sq. mt     (Rs.22.50 Per Sq. ft.)</t>
  </si>
  <si>
    <t>Coimbatore Zonal Unit</t>
  </si>
  <si>
    <t>155-1, Lakshmanan Street, Ukkadam, Coimbatore-641001</t>
  </si>
  <si>
    <t>24.10.2018 DGHRD Sanction Order – HIRING/ 06/ SANCTION/ 2018-19 dt. 30.05.2018</t>
  </si>
  <si>
    <t>Financial Advisor (Finance), IFU, New Delhi</t>
  </si>
  <si>
    <t>3 Yrs.</t>
  </si>
  <si>
    <t>23.10.2021</t>
  </si>
  <si>
    <t>559.72*</t>
  </si>
  <si>
    <t>GST @ 18% extra</t>
  </si>
  <si>
    <t>Madurai Regional Unit</t>
  </si>
  <si>
    <t>Sri Lakshmi Complex, Plot No. 4, P&amp;T Nagar Main Road, Valluvar Colony, Madurai - 625014</t>
  </si>
  <si>
    <t xml:space="preserve">01.04.2018 F.No. ADMN/ DGGSTI/ CoZU/ 46/ 2017 dt. 27.03.2018 </t>
  </si>
  <si>
    <t>ADG, DGGI, Coimbatore Zonal Unit</t>
  </si>
  <si>
    <t>153.92**</t>
  </si>
  <si>
    <t>Trichy Regional Unit</t>
  </si>
  <si>
    <t>47 &amp; 47A/125 Heber Road, Beema Nagar, Trichy - 620001</t>
  </si>
  <si>
    <t>02.07.2020  F.No. ADMN /DGGI /CoZU/ 01/ 2020 dt. 23.06.2020</t>
  </si>
  <si>
    <t>01.07.2023</t>
  </si>
  <si>
    <t>282.014**</t>
  </si>
  <si>
    <t>Hosur Regional Unit</t>
  </si>
  <si>
    <t>SRM Towers, 222/1A1 Shanthi Nagar, 100 Feet Road, Near RC Church, Hosur - 635109</t>
  </si>
  <si>
    <t>11.07.2018 F.No. ADMN/ DGGSTI/ CoZU/ 65/ 2017 dt. 10.07.2018</t>
  </si>
  <si>
    <t>10.07.2021</t>
  </si>
  <si>
    <t>355.21*</t>
  </si>
  <si>
    <t>Directorate General of GST Intelligence, Regional Unit, Rohtak</t>
  </si>
  <si>
    <t>224, Subhash Nagar, Rohtak</t>
  </si>
  <si>
    <t>01.05.2015</t>
  </si>
  <si>
    <t>ADG, DGGI, DZU</t>
  </si>
  <si>
    <t>Revision of rent rates is under process.</t>
  </si>
  <si>
    <t>Guwahati Zonal Unit</t>
  </si>
  <si>
    <t>DGGI, GuZU</t>
  </si>
  <si>
    <t>House No. 4, Rajghar Main Road, Bye Lane No. 2, Guwahati-781003</t>
  </si>
  <si>
    <t>16-06-2011 F.No. DGCEI/SH/RU/ACC/01/2008 dated 15-06-2011</t>
  </si>
  <si>
    <t>ADG, DGCEI, KZU, Kolkata</t>
  </si>
  <si>
    <t>11 yrs</t>
  </si>
  <si>
    <t>Dimapur Regional Unit</t>
  </si>
  <si>
    <t>DGGI, Dimapur Regional Unit.</t>
  </si>
  <si>
    <t>H.No.135,Lane 12A, Opp. Axis Bank (Kuda Br.), Kuda ‘C’Khel, Dimapur – 797112, Nagaland.</t>
  </si>
  <si>
    <t>01-09-2018 F.No.DGGSTI/DRU/GuZU/Accomodation/2018 dated 22-08-2018</t>
  </si>
  <si>
    <t>ADG, DGGI, Guwahati Zonal Unit</t>
  </si>
  <si>
    <t>3 yrs</t>
  </si>
  <si>
    <t>Imphal Regional Unit</t>
  </si>
  <si>
    <t>DGGI, Imphal Regional Unit.</t>
  </si>
  <si>
    <t>Shawn,s Building, Opp.CMC Hospital, Koirengei, Imphal-795002</t>
  </si>
  <si>
    <t>5-06-2018 F.No. I/(II)01/ACCOM/DG-GDTI/IMPHAL RU/17/661 DATE 05-06-2018</t>
  </si>
  <si>
    <t>ADG, Guwahati Zonal Unit</t>
  </si>
  <si>
    <t>Shillong Regional Unit</t>
  </si>
  <si>
    <t>Top Floor, Old Arunachal Pradesh Secretariat Building, Opposite Anjalee Petrol Pump, Shillong-793001</t>
  </si>
  <si>
    <t>01-02-2020 F.No.DGGSTI/SHRU/ACMD/1/2018/694 date 01-02-2020</t>
  </si>
  <si>
    <t>DGGI,HZU</t>
  </si>
  <si>
    <t>H.no :1-11-222/4 Lane opp  HDFC Bank Begumpet, Hyd-500016</t>
  </si>
  <si>
    <t>7997 sq.fts</t>
  </si>
  <si>
    <t>23140Sq.fts</t>
  </si>
  <si>
    <t>F.No.DGCEI/HYRU/2-11/2013-  dated 2011</t>
  </si>
  <si>
    <t>1 Year</t>
  </si>
  <si>
    <t>31.12.2020</t>
  </si>
  <si>
    <t>2,95,944/-</t>
  </si>
  <si>
    <t>Jaipur Zonal Unit</t>
  </si>
  <si>
    <t>DGGI, Jaipur Zonal Unit, Jaipur</t>
  </si>
  <si>
    <t>C-62, Sarojani Marg, C-Scheme, Jaipur-302001</t>
  </si>
  <si>
    <t>ADG, DGGI, JZU, Jaipur</t>
  </si>
  <si>
    <t>3 Year</t>
  </si>
  <si>
    <t>Rs 6,17,590/- plus GST</t>
  </si>
  <si>
    <t>Rs 284.92 plus GST (based on built up area)</t>
  </si>
  <si>
    <t>DGGI,Kozhikode,RU</t>
  </si>
  <si>
    <t>Bldg.No.2/1248, Paniker Road,
Vellayil,Kozhikode 673011</t>
  </si>
  <si>
    <t>4000 sq. ft.</t>
  </si>
  <si>
    <t>20/07/2018</t>
  </si>
  <si>
    <t>19/07/2021</t>
  </si>
  <si>
    <t>Rs.56800/-</t>
  </si>
  <si>
    <t>DGGI, Trivandrum Regional Unit</t>
  </si>
  <si>
    <t>Sreedhanya Boulevard', TC No.2/3603, Opp. Big Bazar, Kesavadasapuram, Pattom (PO), Thiruvananthapuram</t>
  </si>
  <si>
    <t>4057.60 sq.ft.</t>
  </si>
  <si>
    <t>31/10/2022</t>
  </si>
  <si>
    <t>Rs.160254/-</t>
  </si>
  <si>
    <t>O/o The Pr. ADG, DGGI, KZU</t>
  </si>
  <si>
    <t>4/2, Karaya Road, Kolkata - 700017</t>
  </si>
  <si>
    <t>16.03.2011 to 15.03.2016</t>
  </si>
  <si>
    <t>16.03.2016</t>
  </si>
  <si>
    <t>Rs. 2,37,652/-</t>
  </si>
  <si>
    <t>Rs. 38/- per sqft</t>
  </si>
  <si>
    <t>DGGI, Lucknow Zonal Unit, Lucknow</t>
  </si>
  <si>
    <t>1/51, Vijay Kand Gomti Nagar, Lucknow-226010</t>
  </si>
  <si>
    <t>01.08.2015</t>
  </si>
  <si>
    <t>ADG</t>
  </si>
  <si>
    <t>31.07.2020</t>
  </si>
  <si>
    <t>1,79,800/-+ GST</t>
  </si>
  <si>
    <t>Rate revised w.e.f. 01.08.2018</t>
  </si>
  <si>
    <t>1/52, Vijay Kand Gomti Nagar, Lucknow-226010</t>
  </si>
  <si>
    <t xml:space="preserve"> Rent -456.37 per sq.ft + maintenace charge: Rs.10 per Sq.ft.</t>
  </si>
  <si>
    <t>DGGI, Regionl Unit, Kanpur</t>
  </si>
  <si>
    <t>117/85, (C-20), Sarvoday Nagar, Kanpur</t>
  </si>
  <si>
    <t>01.04.2018*</t>
  </si>
  <si>
    <t>1,13,000/-+ GST</t>
  </si>
  <si>
    <t>*Agreement renewed from 01.04.2018</t>
  </si>
  <si>
    <t>Ludhiana Zonal Unit</t>
  </si>
  <si>
    <t>O/o the Additional Director General, DGGI, LdZU.</t>
  </si>
  <si>
    <t xml:space="preserve"> 51-D, Sarabha Nagar, Ludhiana</t>
  </si>
  <si>
    <r>
      <t>01</t>
    </r>
    <r>
      <rPr>
        <vertAlign val="superscript"/>
        <sz val="11"/>
        <color theme="1"/>
        <rFont val="Times New Roman"/>
        <family val="1"/>
      </rPr>
      <t>st</t>
    </r>
    <r>
      <rPr>
        <sz val="11"/>
        <color theme="1"/>
        <rFont val="Times New Roman"/>
        <family val="1"/>
      </rPr>
      <t xml:space="preserve"> November, 2016</t>
    </r>
  </si>
  <si>
    <t>01st November 2021</t>
  </si>
  <si>
    <t>1,49,100/-</t>
  </si>
  <si>
    <t xml:space="preserve"> F.No. DZU/Admn./LRU/42/2011-pt./5488 dated: -26.07.2016</t>
  </si>
  <si>
    <t>Meerut Zonal Unit</t>
  </si>
  <si>
    <t>Ghaziabad Regional Unit</t>
  </si>
  <si>
    <t>Plot no. 6, Arrow Corporate Tower, Sector 14, Kaushambi, Ghaziabad</t>
  </si>
  <si>
    <t>29.01.2018</t>
  </si>
  <si>
    <t>Addl. Director General</t>
  </si>
  <si>
    <t>Three Years</t>
  </si>
  <si>
    <t>28.01.2021</t>
  </si>
  <si>
    <t>352970 (Excluding GST)</t>
  </si>
  <si>
    <t>Dehradun Regional Unit</t>
  </si>
  <si>
    <t>3rd Floor, Shree Tower, Near Rispana Bridge, Haridwar Road, Dehradun</t>
  </si>
  <si>
    <t>31.08.2015</t>
  </si>
  <si>
    <t>Five Years</t>
  </si>
  <si>
    <t>31.08. 2020</t>
  </si>
  <si>
    <t>122600 (excluding GST)</t>
  </si>
  <si>
    <t>329.37</t>
  </si>
  <si>
    <t>Directorate General of GST Intelligence, Zonal Unit, Mumbai</t>
  </si>
  <si>
    <t>NTC House, 15, M.N. Marg, Ballard Estate, Mumbai - 400001</t>
  </si>
  <si>
    <t>4606 Sq. Ft. at 1st floor</t>
  </si>
  <si>
    <t>01.09.2000</t>
  </si>
  <si>
    <t>DGHRD F.No.924/13/Hiring/DGCEI-Mumbai/HRD/10</t>
  </si>
  <si>
    <t>01.09.2012</t>
  </si>
  <si>
    <t>w.e.f. onwards 31.08.2012</t>
  </si>
  <si>
    <t>276360/-</t>
  </si>
  <si>
    <t>60*</t>
  </si>
  <si>
    <t>3200 Sq. Ft. at 3rd Floor</t>
  </si>
  <si>
    <t>192000/-</t>
  </si>
  <si>
    <t>3552 Sq. Ft. at Mezzanine Floor</t>
  </si>
  <si>
    <t>03.04.2001</t>
  </si>
  <si>
    <t>106560/-</t>
  </si>
  <si>
    <t>30*</t>
  </si>
  <si>
    <t>DGGI, Nagpur Zonal Unit, Nagpur</t>
  </si>
  <si>
    <t>Office of the Additional Director General, DGGI, Nagpur Zonal Unit,2nd Floor, South Wing, New Secretariat Building, Civil Lines, Nagpur-01</t>
  </si>
  <si>
    <t>2nd Floor, South Wing, New Secretariat Building, Civil Lines, Nagpur-01</t>
  </si>
  <si>
    <t xml:space="preserve"> Letter No. AEM(N)/5(12)/2017/CB dated 06.03.2018</t>
  </si>
  <si>
    <t>ADG, NZU</t>
  </si>
  <si>
    <t>1,04,400/-</t>
  </si>
  <si>
    <t>313.10/-</t>
  </si>
  <si>
    <t xml:space="preserve"> Letter No. AEM(N)/13(110)/2017/CB dated 06-03-2020</t>
  </si>
  <si>
    <t>2,83,475/-</t>
  </si>
  <si>
    <t>312.16/-</t>
  </si>
  <si>
    <t>DGGI, Nashik Regional Unit</t>
  </si>
  <si>
    <t>Office of the Assistant / Deputy Director, DGGI, Nashik Regional Unit, 3rd Floor, Mamta Anand Complex, Nashik-Pune Road, Nashik - 422006</t>
  </si>
  <si>
    <t>3rd Floor, Mamta Anand Complex, Nashik-Pune Ro0ad, Nashik-422006</t>
  </si>
  <si>
    <t>F.No. DGCEI/NRU/53/2014 dated 10.09.2020</t>
  </si>
  <si>
    <t>36 Months  (From 18.09.2020 to 17.09.2023)</t>
  </si>
  <si>
    <t>18.09.2023</t>
  </si>
  <si>
    <t>97,631/-</t>
  </si>
  <si>
    <t>305.21/-</t>
  </si>
  <si>
    <t>Office of the Assistant / Deputy Director, DGGI, Aurnagabad Regional Unit, 2nd Floor, Sanchar Sadan, Cannaught Place, N-5, CIDCO, Aurangabad-431003</t>
  </si>
  <si>
    <t xml:space="preserve"> 2nd Floor, Sanchar Sadan, Cannaught Place, N-5, CIDCO, Aurangabad-431003</t>
  </si>
  <si>
    <t>01.07.2019 and F.No. DGGSTI/ARU/Office Premises/20/2018-19 dated 20.06.2019</t>
  </si>
  <si>
    <t>ADG,NZU</t>
  </si>
  <si>
    <t>36 Months (From 01.07.2019 to 30.06.2022)</t>
  </si>
  <si>
    <t>1,40,956/-</t>
  </si>
  <si>
    <t>574.04/-</t>
  </si>
  <si>
    <t xml:space="preserve">DGGI, Pune Zonal Unit (PZU), </t>
  </si>
  <si>
    <t>DGGI, Pune Zonal Unit (PZU), Phoenix Building, Bund Garden Road,  Pune 411001 (Premises Hired: Ground Floor G-3, Second floor 201 and third floor 301), Maharashtra</t>
  </si>
  <si>
    <t>766 approx (8249 Sq. Ft)</t>
  </si>
  <si>
    <t>811 approx (8730 Sq Ft)</t>
  </si>
  <si>
    <t>21.06.2018</t>
  </si>
  <si>
    <t>ADG, DGGI, PZU</t>
  </si>
  <si>
    <t>21.06.2021</t>
  </si>
  <si>
    <t>8,39,000/- (excluding GST)</t>
  </si>
  <si>
    <t>1035/- per sq mtrs.  Rent Finalized within limits of RRC issued by CPWD.</t>
  </si>
  <si>
    <t>Under the delegated financial powers</t>
  </si>
  <si>
    <t>DGGI, Pune Zonal Unit (PZU), Phoenix Building, Bund Garden Road,  Pune 411001 (Premises Hired:  Second floor 202) Maharashtra</t>
  </si>
  <si>
    <t>158 approx (1705.44 Sq Ft)</t>
  </si>
  <si>
    <t>168 approx (1818.29 Sq Ft)</t>
  </si>
  <si>
    <t>1,90,920/- (excluding GST)</t>
  </si>
  <si>
    <t>1136/- per Sq Mtrs (105 per Sq Ft). Rent Finalized within limits of RRC issued by CPWD.</t>
  </si>
  <si>
    <t>Kolhapur Regional Unit of DGGI, PZU</t>
  </si>
  <si>
    <t>O/o the Deputy Director, DGGI, Kolhapur Regional Unit, Samarth Banglow, 2133B,Near Head Post Office, Ramanmala, Kolhapur -416003</t>
  </si>
  <si>
    <t>199.18 (2143.92 Sq Ft)</t>
  </si>
  <si>
    <t>213.50 (2298 Sq Ft)</t>
  </si>
  <si>
    <t>01.06.2020 as per ADG, PZU's approval on 22.05.2020</t>
  </si>
  <si>
    <t>1,49,752/- (excluding GST)</t>
  </si>
  <si>
    <t>701/- per Sq Mtrs. Rent Finalized within limits of RRC issued by CPWD.</t>
  </si>
  <si>
    <t>Goa Regional Unit of DGGI, PZU</t>
  </si>
  <si>
    <t>O/o the Deputy Director, DGGI, Regional Unit, No. 406/79, "SHANGRILA", PDA Colony, Porovorim, Goa-403521.</t>
  </si>
  <si>
    <t>01.05.2020 (ADG/PZU Sanction order mail dt. 24.04.2020)</t>
  </si>
  <si>
    <t>01.05.2023</t>
  </si>
  <si>
    <t>306/- per Sq Mtrs. Rent Finalized within limits of RRC issued by CPWD.</t>
  </si>
  <si>
    <t>DGGI, Hqrt, New Delhi</t>
  </si>
  <si>
    <t>DG GST Intelligence, Raipur Zonal Unit</t>
  </si>
  <si>
    <t>4th Floor, Rio Complex, Near Fruit Market, Lalpur, Dhamtari Road, Raipur</t>
  </si>
  <si>
    <t>8750 SQ.FT.</t>
  </si>
  <si>
    <t>08.11.17</t>
  </si>
  <si>
    <t>Shri Navneet Goyal, ADG</t>
  </si>
  <si>
    <t>01.02.2021</t>
  </si>
  <si>
    <t>Rent = 2,97500+ 53,550 (CGST + SGST)= 3,51,050.</t>
  </si>
  <si>
    <t>SQ.FT. @34/-</t>
  </si>
  <si>
    <t>__</t>
  </si>
  <si>
    <t>Udham Singh Sarani, Bylane-I, Ashrampara, Siliguri-734001</t>
  </si>
  <si>
    <t>01.05.2018 Videe F. No. 09/DGCEI/DRU/GST/2017-18</t>
  </si>
  <si>
    <t xml:space="preserve">Additional Director General </t>
  </si>
  <si>
    <t>03 Years</t>
  </si>
  <si>
    <t>405417/-</t>
  </si>
  <si>
    <t>Shambhunath Plot No.RB-1, Kamrov Path, Bidhannagar,Durgapur-713212</t>
  </si>
  <si>
    <t>01.08.2018 Vide F. No. 44/DGCEI/dru/House rent/2017</t>
  </si>
  <si>
    <t>01.08.2021</t>
  </si>
  <si>
    <t>DGGI, SZU, Surat</t>
  </si>
  <si>
    <t>4th Floor, "White House Building" Nr. Roongta Shoping Centre, VIP Road Vesu, Surat-395007</t>
  </si>
  <si>
    <t>16.09.2018</t>
  </si>
  <si>
    <t>16.09.2018 to 15.09.2021     (3 Years)</t>
  </si>
  <si>
    <t>16.09.2021</t>
  </si>
  <si>
    <t>252031/-</t>
  </si>
  <si>
    <t>Deputy Director, Vadodara Regional Unit</t>
  </si>
  <si>
    <t>1st Floor, Pujer Complex, Opp. Golden Silver Apartment</t>
  </si>
  <si>
    <t>18.06.2014</t>
  </si>
  <si>
    <t>1 year as extended from April-2020 to 31st March-2021</t>
  </si>
  <si>
    <t>1,01,800/-</t>
  </si>
  <si>
    <t>Initial hiring for 6 months and since contract is extended. Last extension from April-2020 for a period of 1 year</t>
  </si>
  <si>
    <t>Assistant Director, Vapi Regional Unit</t>
  </si>
  <si>
    <t>3rd Floor, Royal Fortune, Daman Road, Pin No. 396191 (Gujarat)</t>
  </si>
  <si>
    <t>31.08.2018</t>
  </si>
  <si>
    <t>31.08.2018 to 30.07.2021</t>
  </si>
  <si>
    <t>31.07.2021</t>
  </si>
  <si>
    <t>95,500/-</t>
  </si>
  <si>
    <t>Directorate General of GST Intelligence, Visakhapatnam Zonal Unit, Visakhapatnam</t>
  </si>
  <si>
    <t>D.No. 28-14-17 Suryabagh, Beside Melody Threatre, visakhapatnam, Andhra Pradesh-530020</t>
  </si>
  <si>
    <t>20-11-2018(Sanction Date: 13.11.2018 vide F.No 924/25/Hiring/DGGI/Visakhapatnam Z.U./HRD/2018</t>
  </si>
  <si>
    <t>Under Secretary, Central Board of Indirect Taxes and Customs, New Delhi</t>
  </si>
  <si>
    <t>5,35,240/- (exclusive of GST)</t>
  </si>
  <si>
    <t>Directorate General of GST Intelligence, Vijayawada Regional Unit, Vijayawada</t>
  </si>
  <si>
    <t>Door No. 10-56, 1st and 2nd floo, Abdula Salam Towers, Bandar Road, Ashoka Nagar, Vijayawada-520007</t>
  </si>
  <si>
    <t>22-03-2018(Sanction Date: 21.03.2018 vide F.No.DGGSTI/VZU/Admin-infra/01/2017(PF-1)</t>
  </si>
  <si>
    <t>Prinicpal Additional Director General, DGGI, Hyderabad Zonal Unit, Hyderabad</t>
  </si>
  <si>
    <t>1,42,200/-(exclusive of GST)</t>
  </si>
  <si>
    <t>DG, SNU(East)</t>
  </si>
  <si>
    <t>DG, SNU(North)</t>
  </si>
  <si>
    <t>DG, SNU(South)</t>
  </si>
  <si>
    <t>Directorate General of GST Intelligence,DGGI(SOUTH) SUB-NATIONAL UNIT</t>
  </si>
  <si>
    <t>C-3,C-WING, II FLOOR, RAJAJI BHAVAN, BESANT NAGAR, CHENNAI-600 090</t>
  </si>
  <si>
    <t>719.90Sq.Mtr.</t>
  </si>
  <si>
    <t>690.18Sq.Mtr.</t>
  </si>
  <si>
    <t>Pr.Director General(South)</t>
  </si>
  <si>
    <t>CPWD BUILDING</t>
  </si>
  <si>
    <t>Rs.2,24,721/-</t>
  </si>
  <si>
    <t>Rs.29/-</t>
  </si>
  <si>
    <t>Allotted and Maintained  by CPWD, BESANT NAGAR.</t>
  </si>
  <si>
    <t>DG, SNU(West)</t>
  </si>
  <si>
    <t>DGGST New Delhi</t>
  </si>
  <si>
    <t>5th Floor, MTNL Building, 8-Bhikaji Cama Place, New Delhi - 110066</t>
  </si>
  <si>
    <t>3731.36 sq.mtrs</t>
  </si>
  <si>
    <t>Directorate of Hiring 25.01.2017</t>
  </si>
  <si>
    <t>HRD, Govt. of India, Ministry of Finance, Department of Revenue</t>
  </si>
  <si>
    <t>24.01.2020</t>
  </si>
  <si>
    <t>2975786 (Rupees Twenty Nine Lakhs Seventy five Thousand Seven Hundred Eighty Six only)</t>
  </si>
  <si>
    <t>797.50 per sq.mtrs.</t>
  </si>
  <si>
    <t xml:space="preserve">DGGST, WZ, Mumbai </t>
  </si>
  <si>
    <t>1Aerocity, 6th floor, Andheri Kurla Road, Andheri (E), Mumbai, 400072</t>
  </si>
  <si>
    <t>804 sq.mtrs.</t>
  </si>
  <si>
    <t>Directorate of Hiring 06.12.2019
Order No.RENT/16/SANCTION/2019-20 dated 26.08.2019.</t>
  </si>
  <si>
    <t>06.12.2022</t>
  </si>
  <si>
    <t>Rs. 1454436 (Rupees Fourteen lakhs Fifty Four Thousand Four Hundred Thirty Six only)</t>
  </si>
  <si>
    <t>1809 per sq.mtrs.</t>
  </si>
  <si>
    <t>Admin &amp; Training Block No. 40, HMT Factory Main Road, Next to HMT School, Jalahalli, Bangaluru 560 013</t>
  </si>
  <si>
    <t>Hostel Block No. 40, HMT Factory Main Road, Next to HMT School, Jalahalli, Bangaluru 560 013</t>
  </si>
  <si>
    <t xml:space="preserve"> Sports and Auditorium Complex No. 40, HMT Factory Main Road, Next to HMT School, Jalahalli, Bangaluru 560 013</t>
  </si>
  <si>
    <t>Hostel Block includes 2 Residential Quarters built on 139.47 Sq.m   Cost shown at coloumn 7 is taken proportionately to the total cost.</t>
  </si>
  <si>
    <r>
      <t>`</t>
    </r>
    <r>
      <rPr>
        <b/>
        <sz val="11"/>
        <color rgb="FF000000"/>
        <rFont val="Times New Roman"/>
        <family val="1"/>
      </rPr>
      <t xml:space="preserve"> </t>
    </r>
    <r>
      <rPr>
        <sz val="11"/>
        <color theme="1"/>
        <rFont val="Times New Roman"/>
        <family val="1"/>
      </rPr>
      <t>0.106 99 year’s lease premium</t>
    </r>
  </si>
  <si>
    <r>
      <t>`</t>
    </r>
    <r>
      <rPr>
        <b/>
        <sz val="11"/>
        <color rgb="FF000000"/>
        <rFont val="Times New Roman"/>
        <family val="1"/>
      </rPr>
      <t xml:space="preserve"> </t>
    </r>
    <r>
      <rPr>
        <sz val="11"/>
        <color theme="1"/>
        <rFont val="Times New Roman"/>
        <family val="1"/>
      </rPr>
      <t>0.056 99 year’s lease premium</t>
    </r>
  </si>
  <si>
    <t>Refer Annexure A4</t>
  </si>
  <si>
    <t xml:space="preserve">Visakhapatnam </t>
  </si>
  <si>
    <t>NACIN Complex, Sector-29, Faridabad,121008</t>
  </si>
  <si>
    <t xml:space="preserve"> NACIN ZC PATNA</t>
  </si>
  <si>
    <t>NACIN, RC, RANCHI</t>
  </si>
  <si>
    <t xml:space="preserve"> 1st floor , Grand Emerald, Ashoknagar, Kadru-Argora Main Road, Ranchi-834002</t>
  </si>
  <si>
    <t>220 sqm (400 sqft at  ground floor + 1970 sqft at 1st floor = total 2370 sqft)</t>
  </si>
  <si>
    <t>Sanction order communicated by the Under Secretary, Government of India, CBEC New Delhi vide letter F.No. 924/66/Hiring /Ranchi-II/HRD/2015 dated 30.11.2015</t>
  </si>
  <si>
    <t>Sanction order communicated by the Under Secretary, Government of India, CBEC New Delhi</t>
  </si>
  <si>
    <t>FROM: 01.07.2017 to 30.06.2020</t>
  </si>
  <si>
    <t>Action has been initiated for renewal of the lease agreement w.e.f 01.07.2020.</t>
  </si>
  <si>
    <t>81102/-(including GST)</t>
  </si>
  <si>
    <t>approx 95.15 per sqmtr (Rs.29/- per sqft)</t>
  </si>
  <si>
    <t>Prior to 01.07.2017 , the said premises was under  the erstwhile Central Excise and Service Tax  Commissionerate, Ranchi-II, which  was subsequently hired by CGST &amp; CX Audit Commissionerate Ranchi as per the sanction order of DGHRD  letter dated 30.11.2015 .Further, with effect from 01.07.2017, 2370 sqft space (out of the total area measuring  14529.03 sqft)  has been allocated/ earmarked  for NACIN,RC,Ranchi at the same rate (@Rs.29 per sqft) and  rent @ Rs.81102/-(Rs.68730/- and GST @18%) per month.</t>
  </si>
  <si>
    <t xml:space="preserve">NACIN, Zonal Campus, Visakhapatnam </t>
  </si>
  <si>
    <t xml:space="preserve">D.No. 45-57-21/3,4, NH-16, Near Narasimha Nagar Rythu Bazaar, 
Visakhapatnam - 530024
</t>
  </si>
  <si>
    <t>1,118
(plinth area)</t>
  </si>
  <si>
    <t>21.05.2018</t>
  </si>
  <si>
    <t>21.05.2021</t>
  </si>
  <si>
    <t>4,33,244/-
plus
 property tax &amp; GST 18%</t>
  </si>
  <si>
    <t>Rs. 387.52 (excluding property tax  &amp; GST)</t>
  </si>
  <si>
    <t>The approval of hiring of office accommodation was made as per DGHRD's letter F.No. 8/B/10(140)/HRD/EMC/2017 dated 12.05.2017 wherein the financial powers of HODs had been enhanced as a one-time measure in FY 2017-18</t>
  </si>
  <si>
    <t>ZTI, CHENNAI</t>
  </si>
  <si>
    <t>National
Academy of
Customs,
Indirect Taxes
and Narcotics,
Chenn</t>
  </si>
  <si>
    <t>Plot No. 3/86-
E, ATC
Street,
Ambattur
Indl. Estate,
Chennai - 58.</t>
  </si>
  <si>
    <t>Hiring of
Premises
approved
based on
built up area
only
(1192.51
Sq.m.)</t>
  </si>
  <si>
    <t>1697.46 Sq.
m
(18,271.35
sq.ft)</t>
  </si>
  <si>
    <t>(i) Sanctioned by
Ministry vide letter
F.No.
924/22/Hiring/NACE
N/Chennai/HRD/11
dated 13.03.2012. (ii)
Occupied the 2nd and
3rd floor of the
premises from
01.05.2012 ; western
wing of 1st floor on
1.7.2012; Eastern
wing of 1st Floor on
1.12.2012 onwards.</t>
  </si>
  <si>
    <t>CBIC</t>
  </si>
  <si>
    <t>Period of
lease valid (i)
upto
30.4.2019 in
r/o 2nd and
3rd floor;
(ii)upto
30.6.2019 in
r/o western
wing of 1st
floor ; (iii)
upto
30.11.2019 in
r/o Eastern
wing of 1st
Floor</t>
  </si>
  <si>
    <t>(i)From
1.5.2019 in
r/o 2nd and
3rd floor;
(ii)from
1.7.2019 in
r/o western
wing of 1st
floor ; (iii)
from
1.12.2019 in
r/o Eastern
wing of 1st
Floor</t>
  </si>
  <si>
    <t>Rs. 7,12,583/-
( GST not
included)</t>
  </si>
  <si>
    <t>Rs. 39/- per
Sq.ft.
(sanctioned
based on
builtup area)</t>
  </si>
  <si>
    <t>Proposal for
rent renewal of
hiring sent on
07.08.19 and
reply for
observations
made by
DGHRD were
furnished on
27.08.2020 and
5.10.2020.
Proposa</t>
  </si>
  <si>
    <t xml:space="preserve">Jaipur </t>
  </si>
  <si>
    <t>National Academy
of Customs,
Indirect Taxes &amp;
Narcotics, Zonal
Campus, Jaipur</t>
  </si>
  <si>
    <t>NACIN Zonal
Campus, 117, Santosh
Nagar, Near Civil
Lines, Metro Station,
Ajmer Road, Jaipur-
302006</t>
  </si>
  <si>
    <t>15.03.2018
(F.No.I(4)01/ZTI/
JPR/Hiring of
Premises/ 2017)</t>
  </si>
  <si>
    <t xml:space="preserve">HoD </t>
  </si>
  <si>
    <t xml:space="preserve">14.03.2021 </t>
  </si>
  <si>
    <t>Rs.
6,88,822/-
+ GST 18%</t>
  </si>
  <si>
    <t>NACIN, Zonal Campus, Cochin</t>
  </si>
  <si>
    <t>Office of the Additional Director General, NACIN, Zonal Campus, Cochin</t>
  </si>
  <si>
    <t>3rd and 4th floor, M.T. Plaza, Kaloor-Kadavanthra Road, Cochin - 682017, Kerala</t>
  </si>
  <si>
    <t>26.03.2018</t>
  </si>
  <si>
    <t>Additional Director General, NACIN, Cochin</t>
  </si>
  <si>
    <t>26.03.2021</t>
  </si>
  <si>
    <t>2,95,000/-+GST @18%</t>
  </si>
  <si>
    <t>301.73 (Excluding GST @ 18%)</t>
  </si>
  <si>
    <t>NACIN, ZC, SHILLONG</t>
  </si>
  <si>
    <t>Meghalaya State Housing Financing Cooperative Society Ltd., Nongrim Hills, Shillong-793003</t>
  </si>
  <si>
    <t>1072.19 sq.m</t>
  </si>
  <si>
    <t xml:space="preserve">Block-II (820.52 sq.m) Date of hiring - 01.09.2017 Order No.II(I)RTI/NACEN/Office ACO/NER/2017/464 dt.28/08/2017    </t>
  </si>
  <si>
    <t>5yrs</t>
  </si>
  <si>
    <t>31.08.2022</t>
  </si>
  <si>
    <t>1,87,592             (including GST)</t>
  </si>
  <si>
    <t>Rs.18 per Sq.ft i.e Rs.193.75 per sq.m</t>
  </si>
  <si>
    <t xml:space="preserve">         Block III (251.67 sq.m) Date of Hiring-10.01.2019 Order No.II(I)RTI/NACEN/Office Acco/NER/2017/1042(b) dt.09/01/2019</t>
  </si>
  <si>
    <t>09.01.2024</t>
  </si>
  <si>
    <t>57,539                 (including GST</t>
  </si>
  <si>
    <t>NACIN, Kolkata</t>
  </si>
  <si>
    <t>P-29, CIT Scheme VIII (M), Bidhan Nagar Road,
Kolkata – 700 067</t>
  </si>
  <si>
    <t>NACIN ZC,
Hyderabad</t>
  </si>
  <si>
    <t>Dr. MCRHRDI,Jubilee Hils,
Road No. 25, Hyderabad</t>
  </si>
  <si>
    <t>01.04.2015</t>
  </si>
  <si>
    <t>6 yrs</t>
  </si>
  <si>
    <t>NACIN ZC,
Bhubaneshwar</t>
  </si>
  <si>
    <t>At-Plot 35,Satya 
Nagar, Bhubaneshwar, Pin 751007</t>
  </si>
  <si>
    <t>09.02.2018 vide F.No.I(22)
04/NACIN/BBSR/2017 dated 09.02.2018</t>
  </si>
  <si>
    <t>3 years 
(1.3.2018-28.02.2021)</t>
  </si>
  <si>
    <t>01.03.2021</t>
  </si>
  <si>
    <t>266280
( without GST)</t>
  </si>
  <si>
    <t>Bengaluru</t>
  </si>
  <si>
    <t>kanpur</t>
  </si>
  <si>
    <t>NACIN, ZC, Kanpur</t>
  </si>
  <si>
    <t xml:space="preserve"> </t>
  </si>
  <si>
    <t>19.01.2019</t>
  </si>
  <si>
    <t>19.01.2022</t>
  </si>
  <si>
    <t>Hostel</t>
  </si>
  <si>
    <t>H.No. 226, Lakhanpur Housing Society, Lakhanpur, Kanpur, U.P.</t>
  </si>
  <si>
    <t>01.02.2020</t>
  </si>
  <si>
    <t>01.02.2023</t>
  </si>
  <si>
    <r>
      <t>4</t>
    </r>
    <r>
      <rPr>
        <vertAlign val="superscript"/>
        <sz val="11"/>
        <color theme="1"/>
        <rFont val="Times New Roman"/>
        <family val="1"/>
      </rPr>
      <t>th</t>
    </r>
    <r>
      <rPr>
        <sz val="11"/>
        <color theme="1"/>
        <rFont val="Times New Roman"/>
        <family val="1"/>
      </rPr>
      <t xml:space="preserve"> Floor, UPSIDC Building, A-1/4, Lakhanpur, Kanpur U.P.</t>
    </r>
  </si>
  <si>
    <t>DRI-Hqrs., New Delhi</t>
  </si>
  <si>
    <t>DRI</t>
  </si>
  <si>
    <t>Plot no. 11(B), Vasant Kunj, Delhi</t>
  </si>
  <si>
    <t>9 cores (Approx)</t>
  </si>
  <si>
    <t>Under construction</t>
  </si>
  <si>
    <t>DRI, Lucknow Z/U</t>
  </si>
  <si>
    <t>Plot No. 07/13-B-2, Gomti Nagar, Extension, Lucknow-226027</t>
  </si>
  <si>
    <t>11.02.20</t>
  </si>
  <si>
    <t>NO</t>
  </si>
  <si>
    <t>Sent</t>
  </si>
  <si>
    <t>Dri, Chennai Z/U</t>
  </si>
  <si>
    <t>Town Survey No. 72, Block No. 26, Puliyar village, Egmore Taluk, Chennai-600026</t>
  </si>
  <si>
    <t>23.09.19</t>
  </si>
  <si>
    <t>4355/-</t>
  </si>
  <si>
    <t xml:space="preserve">initiated </t>
  </si>
  <si>
    <t>DRI-Hyderabad Z/U</t>
  </si>
  <si>
    <t>TS No-2, Block-A, Ward no. 9, Sy. No. 403/P of Shaikhpet village &amp; Mandal, Hyderabad, Telangana-500033</t>
  </si>
  <si>
    <t>28.05.19 under Conveyance deed executed on 27.08.19</t>
  </si>
  <si>
    <t>yes, Rough estimate for construction obtained from CPWD was forwarded vide this office letter F. No. 1/1101/46/DRI/HZU/Admn/2017 dated 21.08.18. At present preliminary drawings prepared by CPWD are under teh process of finalisation.</t>
  </si>
  <si>
    <t>the saction was received at the end of financial year, though it was processed at this office and sent to PAO, Rs.877260/- the amount was not utilized as CPWD expressed its difficulty in floating tenders in the given short span of time to complete in the financial year.</t>
  </si>
  <si>
    <t>Purchased</t>
  </si>
  <si>
    <t>DRI-Kolkata Z/U</t>
  </si>
  <si>
    <t>CBD-93 at financial Hub, New Town, Kolkata</t>
  </si>
  <si>
    <t>lease</t>
  </si>
  <si>
    <t>99yrs</t>
  </si>
  <si>
    <t>DRI-Bangalore Z/U</t>
  </si>
  <si>
    <t>No. 8(P) 2, 1st stage 3rd block opp. BDA complex, HBR Layout Kalyan Nagar, Post Bangalore, urban, Karnataka-560043.</t>
  </si>
  <si>
    <t>20.03.08</t>
  </si>
  <si>
    <t>08 to 19.03.2038</t>
  </si>
  <si>
    <t>DRI, Mumbai Z/U</t>
  </si>
  <si>
    <t>13, Vithaldas Thackersey Marg, New Marine Lines, Mumbai-40020.</t>
  </si>
  <si>
    <t>20.10.2006</t>
  </si>
  <si>
    <t>4.37 crores</t>
  </si>
  <si>
    <t>16,53,792/- service charges being paid in lieu of property tax.</t>
  </si>
  <si>
    <t>Plot No. 07/13-B-2, Gomti Nagar Extension, Lucknow-226027</t>
  </si>
  <si>
    <t>DRI-LZU</t>
  </si>
  <si>
    <t>Under construction on plot area 5729.02</t>
  </si>
  <si>
    <t>Plot from LDA, Lucknow vide sale deed reg. No. 4043 on 11.02.20</t>
  </si>
  <si>
    <t>DRI, Kolkata Z/U</t>
  </si>
  <si>
    <t>65 cr.</t>
  </si>
  <si>
    <t>No. 8(P) 2, 1st Stage 3rd Block, opp; BDA Complex HBR Layout Kalyan Nagar post, Bangalore-560043.</t>
  </si>
  <si>
    <t>DRI-BZU</t>
  </si>
  <si>
    <t>21.11.15</t>
  </si>
  <si>
    <t>1) Risk Mangment Centre for Customs, 
2) DRI-Mumbai</t>
  </si>
  <si>
    <t>NACIN 
Mumbai</t>
  </si>
  <si>
    <t>Admin Building 
 Hostel Building of NACIN ZTI Mumbai</t>
  </si>
  <si>
    <t>4584.8 Sq.
 Meter</t>
  </si>
  <si>
    <t>Construction of office 
building completed in January 1985</t>
  </si>
  <si>
    <t>Rs.140920/
 Sq. Meter</t>
  </si>
  <si>
    <t xml:space="preserve"> Cochin</t>
  </si>
  <si>
    <t>Chennai</t>
  </si>
  <si>
    <t>National Academy of Customs, Indirect Taxes &amp; Narcotics, Kolkata</t>
  </si>
  <si>
    <t xml:space="preserve">P-27, CIT Scheme VIII (M), Bidhan Nagar Road,
Kolkata – 700067
</t>
  </si>
  <si>
    <t xml:space="preserve">Plinth Area- 2630 sq. mts. Carpet Area- 2464 sq. mts. </t>
  </si>
  <si>
    <t>Handed Over by CPWD in 1997</t>
  </si>
  <si>
    <t>Rs. 1.26 Crores</t>
  </si>
  <si>
    <t xml:space="preserve">ZTI </t>
  </si>
  <si>
    <t>12.4.2017 (Date on which completion certificate received)</t>
  </si>
  <si>
    <t>42.64 ( As per Final Expenditure statement )</t>
  </si>
  <si>
    <t>12.4.2017</t>
  </si>
  <si>
    <t>Includes 82 Hostel Rooms allocated to trainees.  But excludes two residential  quarters shown in Annexure C.</t>
  </si>
  <si>
    <t>DRI-Mumbai Z/U</t>
  </si>
  <si>
    <t>Bldg No. 39, Samata Nagar, Kandivali (East) Mumbai-400101</t>
  </si>
  <si>
    <t>10.02.1985</t>
  </si>
  <si>
    <t>0.02 crores</t>
  </si>
  <si>
    <t>Agreement has been signed for redevelopment of the preperty on no cost basis. All charges are being borned by the develper.</t>
  </si>
  <si>
    <t>O/o Deputy Director , Nhava Sheva I &amp; II,</t>
  </si>
  <si>
    <t xml:space="preserve"> 1st floor, Port Users Bldg, (PUB), Nhava Sheva, Uran, Raigad</t>
  </si>
  <si>
    <t>Not mentioned in agreement copy</t>
  </si>
  <si>
    <t>01.04.2004</t>
  </si>
  <si>
    <t>1,62,458/-</t>
  </si>
  <si>
    <t>O/o Deputy Director, Goa R/U</t>
  </si>
  <si>
    <t>No.21/207, Plot No. E4, La Citadel Colony, Dona Paula, Taleigaon, Goa-403004.</t>
  </si>
  <si>
    <t xml:space="preserve">01.06.2020 </t>
  </si>
  <si>
    <t>Pr. ADG, DRI-MZU</t>
  </si>
  <si>
    <t>3 yrs.</t>
  </si>
  <si>
    <t>31.05.2023</t>
  </si>
  <si>
    <t>1,32,000/-</t>
  </si>
  <si>
    <t>O/o Deputy Director,Pune R/U</t>
  </si>
  <si>
    <t>4, Riverside villas, Lane n. 1, Boat club Road, Pune-01</t>
  </si>
  <si>
    <t>03.06.2019</t>
  </si>
  <si>
    <t>4 yrs.</t>
  </si>
  <si>
    <t>14.06.2022</t>
  </si>
  <si>
    <t>1,70,000/-+ GST</t>
  </si>
  <si>
    <t>O/o Deputy Director, Nagpur R/U</t>
  </si>
  <si>
    <t>B Block, 6th floor, CGO Complex, Seminary Hills, Nagpur-440006.</t>
  </si>
  <si>
    <t>12.05.2015</t>
  </si>
  <si>
    <t>5 yrs.</t>
  </si>
  <si>
    <t>97200/-</t>
  </si>
  <si>
    <t xml:space="preserve">DRI-Indore Z/U </t>
  </si>
  <si>
    <t>Indore Z/U</t>
  </si>
  <si>
    <t>1st Floor, BSNL Exchange Building, Transport Nagar, Indore</t>
  </si>
  <si>
    <t>1.346.74 (for the period 11.01.19 to 10.01.22) and 360.50(for the period 10.07.20 to 09.07.23) i.e. Total =707.25</t>
  </si>
  <si>
    <t>11.0119 &amp; 10.07.20</t>
  </si>
  <si>
    <t>03 yrs</t>
  </si>
  <si>
    <t>Rs. 189964 for 1.346.74 and Rs. 137628 for 360.50</t>
  </si>
  <si>
    <t>BRU</t>
  </si>
  <si>
    <t>Jyoti Nagar, BawadiakAla, Ward no-52, Zone-II, Bhopal-462026</t>
  </si>
  <si>
    <t>21.01.20</t>
  </si>
  <si>
    <t>RRU</t>
  </si>
  <si>
    <t>30, Panchsheel Nagar, Civil Lines, Raipur</t>
  </si>
  <si>
    <t>75000/-</t>
  </si>
  <si>
    <t>DRI-Guwahati Z/U</t>
  </si>
  <si>
    <t xml:space="preserve">DRI Guwahati Zonal Unit
</t>
  </si>
  <si>
    <t>Mainaak Tower, Gr &amp; 1st Floor, G.S Road, Christian Basti, Guwahati-781005, Assam</t>
  </si>
  <si>
    <t>CBIC/IFU</t>
  </si>
  <si>
    <t xml:space="preserve">DRI Agartala Regional Unit
</t>
  </si>
  <si>
    <t>Priyabala Bhavan, 
Ramnagar Road, No. 5, 
Agartala, 799002, Tripura</t>
  </si>
  <si>
    <t>Pr ADG</t>
  </si>
  <si>
    <t>10 Years</t>
  </si>
  <si>
    <t>DRI Aizwal Regional Unit</t>
  </si>
  <si>
    <t>T-5/5, Bungkawn, Dam Veng, Aizawl-796001, Mizorm</t>
  </si>
  <si>
    <t>DRI Shillong Regional Unit</t>
  </si>
  <si>
    <t>2nd Floor, Nar-Shy Dulan, Ioanis Nartiang Building, Evaliyne Ride Road, Opp. Lumshngain Ground, Pohkseh, Shillong-793006, Meghalaya</t>
  </si>
  <si>
    <t>2 years</t>
  </si>
  <si>
    <t xml:space="preserve">DRI Imphal Regional Unit
</t>
  </si>
  <si>
    <t>Soibam Leikai, Ayangpalli Road, Opp to SAYC Community Hall, Imphal East, Imphal - 795001. Manipur</t>
  </si>
  <si>
    <t xml:space="preserve">DRI Dimapur Regional Unit
</t>
  </si>
  <si>
    <t>SKT Apartment, House No 40, Kuda-B Khei, Lane-3, Nagarjan, Dimapur-797112,  Nagaland</t>
  </si>
  <si>
    <t>DRI Silchar Sub Regional Unit</t>
  </si>
  <si>
    <t>Bilash Kunja, Shanti Para, Rongpur, Silchar-780099, Assam</t>
  </si>
  <si>
    <t>DRI-Lucknow Z/U</t>
  </si>
  <si>
    <t>LZU, Lucknow</t>
  </si>
  <si>
    <t>2/31, Vishal Khand, Gomti Nagar, Lucknow</t>
  </si>
  <si>
    <t>01.01.19 to 31.12.21</t>
  </si>
  <si>
    <t>01.01.2022</t>
  </si>
  <si>
    <t>60638/-</t>
  </si>
  <si>
    <t>NRU, Noida</t>
  </si>
  <si>
    <t>G-10, Ground &amp; First Floor, Sector-63, Noida</t>
  </si>
  <si>
    <t>11.11.16 to 10.11.21</t>
  </si>
  <si>
    <t>11.11.2021</t>
  </si>
  <si>
    <t>261252/-</t>
  </si>
  <si>
    <t>PRU, Patna</t>
  </si>
  <si>
    <t>Malaynil, House of Smt. Manju Pandey, Opp. Goal Institure, Buddha colony, Main Road, Patna</t>
  </si>
  <si>
    <t>01.12.18 to 30.11.21</t>
  </si>
  <si>
    <t>01.12.2021</t>
  </si>
  <si>
    <t>91000/-</t>
  </si>
  <si>
    <t>the fresh tender is under process for hiring of new Premises at GSRU, Gorakhpur</t>
  </si>
  <si>
    <t>GSRU, Gorakhpur</t>
  </si>
  <si>
    <t>HIG-III, 62, Gautam Vihar Vistar, Taramandal, Gorakhpur</t>
  </si>
  <si>
    <t>01.13.17 to 28.02.22</t>
  </si>
  <si>
    <t>20043/-</t>
  </si>
  <si>
    <t>VSRU, Varanasi</t>
  </si>
  <si>
    <t>M-5/1, Gandhi Nagar, Sigra, Varanasi</t>
  </si>
  <si>
    <t>01.03.16 to 28.02.21</t>
  </si>
  <si>
    <t>01.03.2020</t>
  </si>
  <si>
    <t>38608/-</t>
  </si>
  <si>
    <t>PSRU, Purnea</t>
  </si>
  <si>
    <t>1st floor, Maa B. Plaza complex, NH31, Khuski Bagh, Purnea.</t>
  </si>
  <si>
    <t>01.10.16 to 30.09.21</t>
  </si>
  <si>
    <t>01.10.20</t>
  </si>
  <si>
    <t>25164/-</t>
  </si>
  <si>
    <t>DRI-Cochin Z/U</t>
  </si>
  <si>
    <t>Cochin Z/U</t>
  </si>
  <si>
    <t>Bldg no. 32/641 A-E, St.Thomas Lane, Pallinada, Palarivattom, Ernakulam-682025</t>
  </si>
  <si>
    <t>21.12.18 , F. No. 924/07/Hiring/DRI/Ernakulam(kerala)/Cochin/HRD/2018 dated 24.09.2018</t>
  </si>
  <si>
    <t>IFU</t>
  </si>
  <si>
    <t>21.12.18-21.12.21</t>
  </si>
  <si>
    <t>21.12.21</t>
  </si>
  <si>
    <t>351.85104.81</t>
  </si>
  <si>
    <t>Trivandrum R/U</t>
  </si>
  <si>
    <t>Rashmi, TC 27/1895, CRA 16, Convent Road, Vanchiyoor, Trivandrum-695053</t>
  </si>
  <si>
    <t>01.05.18, DRI/COZU/CHN/Admn/15/2019-20 dated 22.08.19</t>
  </si>
  <si>
    <t>HOD(ADG)</t>
  </si>
  <si>
    <t>01.05.18-01.05.21</t>
  </si>
  <si>
    <t>01.05.21</t>
  </si>
  <si>
    <t>Calicut R/U</t>
  </si>
  <si>
    <t>No. 5/1575-K1,  Kasmikandy, Jawahar Nagar, Colony Road, Asokapuram PO, Eranjipalam, Calicut-673006.</t>
  </si>
  <si>
    <t>01.12.2018, DRI/CRU/OA/2018 dated 21.11.2018</t>
  </si>
  <si>
    <t>01.12.18-01.12.21</t>
  </si>
  <si>
    <t>01.12.21</t>
  </si>
  <si>
    <t>Kannur R/U</t>
  </si>
  <si>
    <t>Vasanth Nivas, Patiriparamba, PO Chovva, Kannur-670006.</t>
  </si>
  <si>
    <t>04.10.2019, DRI/KRU/Admn/01/2018 dated 30.09.2019</t>
  </si>
  <si>
    <t>04.10.19-04.10.22</t>
  </si>
  <si>
    <t>04.10.22</t>
  </si>
  <si>
    <t>agreement extended upto same rent and same terms and conditions</t>
  </si>
  <si>
    <t>DRI-Ludhiana Z/U</t>
  </si>
  <si>
    <t>Ludhiana Z/U</t>
  </si>
  <si>
    <t>213, Rani Jhansi Road, Civil Lines, Ludhiana-141001</t>
  </si>
  <si>
    <t>15.05.2020</t>
  </si>
  <si>
    <t>01.04.21</t>
  </si>
  <si>
    <t>147541/-</t>
  </si>
  <si>
    <t>Amritsar R/U</t>
  </si>
  <si>
    <t>A-57, Ranjit Avenue, Amritsar-143001</t>
  </si>
  <si>
    <t>01.10.18 vide sanction order no DRI/857/RRt/05/2016/1844 dated 17.09.18</t>
  </si>
  <si>
    <t>30.09.21</t>
  </si>
  <si>
    <t>a commettee has been constitited and negotiation is under process.</t>
  </si>
  <si>
    <t>Jammu R/U</t>
  </si>
  <si>
    <t>422, Sainik colony, Jammu-180011</t>
  </si>
  <si>
    <t>01.11.15</t>
  </si>
  <si>
    <t>31.10.18</t>
  </si>
  <si>
    <t>52162/-</t>
  </si>
  <si>
    <t>Srinagar SR/U</t>
  </si>
  <si>
    <t>Hotel Centaur Lake View, Chashm-e-shahi, Srinagar-190001</t>
  </si>
  <si>
    <t>01.03.20</t>
  </si>
  <si>
    <t>2 yrs</t>
  </si>
  <si>
    <t>28.02.22</t>
  </si>
  <si>
    <t>97118/-</t>
  </si>
  <si>
    <t>Chandigarh R/U</t>
  </si>
  <si>
    <t>2nd Floor, SCO 258;, Sector-44-c, Chandigarh-160047.</t>
  </si>
  <si>
    <t>01.04.19</t>
  </si>
  <si>
    <t>31.03.22</t>
  </si>
  <si>
    <t>68509/-</t>
  </si>
  <si>
    <t>DRI- Chennai Z/U</t>
  </si>
  <si>
    <t>Chennai Z/U</t>
  </si>
  <si>
    <t>27, GN Chetty Road, T. Nagar, Chennai-600017</t>
  </si>
  <si>
    <t>924/42/Hiring/DRI/Chennai Z. U./HRD/2018 dt. 13.06.2018</t>
  </si>
  <si>
    <t>16.02.18-15.02.21</t>
  </si>
  <si>
    <t>16.02.21</t>
  </si>
  <si>
    <t>Tuticorin R/U</t>
  </si>
  <si>
    <t>22/14, Celin Garden, Roche colony, south Beach Road, Tuticorin-628001</t>
  </si>
  <si>
    <t>D-1011/01/2004 dt. 26.02.2020</t>
  </si>
  <si>
    <t>01.04.19-31.03.24</t>
  </si>
  <si>
    <t>01.04.24</t>
  </si>
  <si>
    <t>Coimbatore R/U</t>
  </si>
  <si>
    <t>1103/old no. 1608, Trichy Road, coimbatore-644018</t>
  </si>
  <si>
    <t>D-11031/01/2015-Chennai dt. 21.10.2019</t>
  </si>
  <si>
    <t>01.09.18-30.08.21</t>
  </si>
  <si>
    <t>01.09.21</t>
  </si>
  <si>
    <t>Madurai R/U</t>
  </si>
  <si>
    <t>House no. 7-1-32, Mahatma Gandhi Nagar, Main Road, Madurai-625014</t>
  </si>
  <si>
    <t>D-11011/03/2015-Chennai dt. 09.08.2019</t>
  </si>
  <si>
    <t>05.04.19-04.04.22</t>
  </si>
  <si>
    <t>05.04.22</t>
  </si>
  <si>
    <t>Trichy R/U</t>
  </si>
  <si>
    <t>No-9-c, Bharathidasan Road, Cantonment, Trichy-62001.</t>
  </si>
  <si>
    <t>D-11012/01/2018-CZU dt 13.02.2020</t>
  </si>
  <si>
    <t>05.03.20-04.03.23</t>
  </si>
  <si>
    <t>05.03.23</t>
  </si>
  <si>
    <t>DRI-Delhi Z/U</t>
  </si>
  <si>
    <t>Jaipur R/U</t>
  </si>
  <si>
    <t>Plot no. 8 7 9, Bhagat Vatika-1, Civil Lines, Jaipur-302006</t>
  </si>
  <si>
    <t>agreement dt. 01.07.18</t>
  </si>
  <si>
    <t>Pr. ADG</t>
  </si>
  <si>
    <t>19.07.21</t>
  </si>
  <si>
    <t>Jodhpur SR/U</t>
  </si>
  <si>
    <t>Villa 33, Umaid heritage, ratanada, jodhpur-342006</t>
  </si>
  <si>
    <t>agreement dt. 28.08.18</t>
  </si>
  <si>
    <t>02.09.21</t>
  </si>
  <si>
    <t>DRI-headquarters</t>
  </si>
  <si>
    <t>Headquarter</t>
  </si>
  <si>
    <t>Drum Shape building, Indraprastha Bhawan, I. P. Estate, New Delhi</t>
  </si>
  <si>
    <t>No rent is paid.</t>
  </si>
  <si>
    <t>CBD-96 at financial hub, New town kolkata, under construction</t>
  </si>
  <si>
    <t>99 yrs</t>
  </si>
  <si>
    <t>rent revision is under process</t>
  </si>
  <si>
    <t>DRI-Ahmedabad Z/U</t>
  </si>
  <si>
    <t>Ahmedabad Z/U</t>
  </si>
  <si>
    <t>Unit no. 15, Magnet Corporate park, near sola over Bridge, 100 Ft. Hebatputr-Thaltej Road, Thaltej, Ahmedabad-380054</t>
  </si>
  <si>
    <t>01.02.17</t>
  </si>
  <si>
    <t>31.01.20</t>
  </si>
  <si>
    <t>743316+GST</t>
  </si>
  <si>
    <t>DRI-Gandhidham R/U</t>
  </si>
  <si>
    <t>Gandhidham R/U</t>
  </si>
  <si>
    <t>Plot No. 107, Sector-4, Near OSLO Talkies, Gandhidham</t>
  </si>
  <si>
    <t>01.01.04</t>
  </si>
  <si>
    <t>01.07.21</t>
  </si>
  <si>
    <t>DRI- Jamnagar R/U</t>
  </si>
  <si>
    <t>Jamnagar R/U</t>
  </si>
  <si>
    <t>Plot no. 45, Jampuri Estates, Opp. Deepbhawan, Bedi Bunder Road, Jamnagar-06.</t>
  </si>
  <si>
    <t>01.11.82</t>
  </si>
  <si>
    <t>DRI-Surat R/U</t>
  </si>
  <si>
    <t>Surat R/U</t>
  </si>
  <si>
    <t>2nd &amp; 3rd Floor, AVLON building, plot no-4, Adheshwar society, near ratna astha, B/H. S D jain School, Piplod-Vesu, Surat</t>
  </si>
  <si>
    <t>06.07.15</t>
  </si>
  <si>
    <t>06.07.21</t>
  </si>
  <si>
    <t>200232+GST</t>
  </si>
  <si>
    <t>DRI-Vapi SR/U</t>
  </si>
  <si>
    <t>Vapi sub R/U</t>
  </si>
  <si>
    <t>501-502, 516-517, 5th, Floor, Fortune square-II, near primary school, vapi-daman main road, chala, Vapi-396191</t>
  </si>
  <si>
    <t>16.12.16</t>
  </si>
  <si>
    <t>16.12.22</t>
  </si>
  <si>
    <t>DRI-Bhavnagr SR/U</t>
  </si>
  <si>
    <t>Bhavnagar SR/U</t>
  </si>
  <si>
    <t>1st Floor, Vrajraj, Plot No. 2130, A/2, Atabhai Chowk, Bhavnagar-364002</t>
  </si>
  <si>
    <t>30.03.16</t>
  </si>
  <si>
    <t>30.03.22</t>
  </si>
  <si>
    <t>O/o the ADG, DRI,Hyderabad Z/U</t>
  </si>
  <si>
    <t>H. No. 10-2-289/57/1&amp;2, Suryavanshi Residency, II Cross Road, Shantinagar, Masab Tank, Hyderabad-500028</t>
  </si>
  <si>
    <t>01.09.15</t>
  </si>
  <si>
    <t>ADG, HZU</t>
  </si>
  <si>
    <t>01.09.18-31.08.21</t>
  </si>
  <si>
    <t>DRI-Vishakhapatnam R/U</t>
  </si>
  <si>
    <t>O/o the DD, DRI, Vishakhapatnam</t>
  </si>
  <si>
    <t>Plot no.-15, D. NO. 11-3-9/1, Gangapur Layout, Near Governer's Bunglow, visakhapatnam-530003</t>
  </si>
  <si>
    <t>01.10.18-30.09.21</t>
  </si>
  <si>
    <t>01.10.21</t>
  </si>
  <si>
    <t>DRI-Bhubaneswar R/U</t>
  </si>
  <si>
    <t>O/o the AD, DRI, Bhubaneswar R/U</t>
  </si>
  <si>
    <t>Plot no. 206, 206/474, Gajapatinagar, Sainik School, Bhubaneswar-751017</t>
  </si>
  <si>
    <t>10.02.20-09.02.23</t>
  </si>
  <si>
    <t>10.02.23</t>
  </si>
  <si>
    <t>DRI-Vijaywada R/U</t>
  </si>
  <si>
    <t>O/o The DD, DRI, Vijaywada R/U</t>
  </si>
  <si>
    <t>D. No. 10-56, 5th floor, above syndicate bank, ashok nagar, Bundar Road, vijaywada-520007</t>
  </si>
  <si>
    <t>16.05.20-15.05.23</t>
  </si>
  <si>
    <t>16.05.23</t>
  </si>
  <si>
    <t>DRI-Nellore SR/U</t>
  </si>
  <si>
    <t>O/o The DD, DRI, Nellore, SR/U</t>
  </si>
  <si>
    <t>D. NO. 16-15-986-1, Aadhya Enclave, childern's Park Road, Nellore-524003</t>
  </si>
  <si>
    <t>01.05.18-30.04.21</t>
  </si>
  <si>
    <t>Director General of System &amp; Data Management</t>
  </si>
  <si>
    <t>Hotel Samrat, 4th &amp; 5th Floor, Chanakya Puri, New Delhi - 110021</t>
  </si>
  <si>
    <t xml:space="preserve">1307.24 sq.mtrs
</t>
  </si>
  <si>
    <t>NBCC Plaza, 1st Floor, Pushp Vihar, Sector - V, New Delhi</t>
  </si>
  <si>
    <t>Director General of System</t>
  </si>
  <si>
    <t>3577.42 sq.mtrs.</t>
  </si>
  <si>
    <t>04.04.2011 9
(date of acquistion)</t>
  </si>
  <si>
    <t>118.92 Cr.</t>
  </si>
  <si>
    <t>10.06.2019-09.06.2021</t>
  </si>
  <si>
    <t>10.06.2021</t>
  </si>
  <si>
    <t>Rs. 84,46,576/- plus GST of Rs. 15,20,384/-</t>
  </si>
  <si>
    <t>DGoV</t>
  </si>
  <si>
    <t>Hqrs. Delhi</t>
  </si>
  <si>
    <t>DGoV, Hqrs.</t>
  </si>
  <si>
    <t>2nd &amp; 3 rd Floor, Hotel Samrat, Chankyapuri, New Delhi - 110021</t>
  </si>
  <si>
    <t>914.5376 Sq. mtrs.</t>
  </si>
  <si>
    <t>DGHRD</t>
  </si>
  <si>
    <t>1 year</t>
  </si>
  <si>
    <t>28.10.2020</t>
  </si>
  <si>
    <t>59,09,156 + GST = 69,72,804</t>
  </si>
  <si>
    <t xml:space="preserve">Rs.600.28 per Sq. feet per month </t>
  </si>
  <si>
    <t>North Zonal Unit</t>
  </si>
  <si>
    <t>DGoV, NZU</t>
  </si>
  <si>
    <t>1st Floor, C.R, Building, ITO, Delhi-110002</t>
  </si>
  <si>
    <t>Govt. Building</t>
  </si>
  <si>
    <t>Lucknow Zonal Unit</t>
  </si>
  <si>
    <t>DGoV, LZU</t>
  </si>
  <si>
    <t xml:space="preserve">7-R, Dalibagh, Butler Road, Lucknow-226001 </t>
  </si>
  <si>
    <t>F.No. Vig./Admn/(LZU)/07/2014/Hiring dt. 31.08.2015</t>
  </si>
  <si>
    <t>5 years</t>
  </si>
  <si>
    <t>06.11.2020</t>
  </si>
  <si>
    <t>1,04,220</t>
  </si>
  <si>
    <t>Rs. 192.66 per sq. mtrs.</t>
  </si>
  <si>
    <t>South Zonal Unit</t>
  </si>
  <si>
    <t>DGoV, SZU</t>
  </si>
  <si>
    <t>4th &amp; 5th Floor, Krishna Block, Custom House, No. 60, Rajaji Salai, Chennai-600001</t>
  </si>
  <si>
    <t>Hyderbad Zonal unit</t>
  </si>
  <si>
    <t>DGoV, HZU</t>
  </si>
  <si>
    <t>H.No.1-11-251/10, S.V. Trinabh Heights, Begumpet, Hyderabad-500016</t>
  </si>
  <si>
    <t>(572.69 Sq. Mtrs.) (6164.56 Sq. Feet) and car parking area in cellar floor and stilt floor totalling to (145.30 Sq. Mtrs.) (1564 Sq. feet)</t>
  </si>
  <si>
    <t>572.69 Sq. Mtrs. (6164.56 Sq. Feet)</t>
  </si>
  <si>
    <t>File C.No.I/11/01/2014-DGoV HZU 01.06.2016</t>
  </si>
  <si>
    <t>5 years from 01.06.2016</t>
  </si>
  <si>
    <t>2,93,164</t>
  </si>
  <si>
    <t>Rs. 32.50 per sq. feet for 4269.56 Sq. feet (Buildup area rent) and @ Rs. 32.00 per Sq. feet for 1895 Sq. feet (Builtup area) and @Rs. 10/- per sq. feet (Parking area rent)</t>
  </si>
  <si>
    <t>Gross Rent per month as per agreement is Rs. 2,15,040 (Excluding operational Expenditure Rs. 33,404/- and GST @18% i.e. Rs. 44,720/-)total works out to Rs. 2,93,164/-</t>
  </si>
  <si>
    <t>West Zonal Unit</t>
  </si>
  <si>
    <t>DGoV, WZU</t>
  </si>
  <si>
    <t>7th floor, Annexe Building , New Custom House, Mumbai-400001</t>
  </si>
  <si>
    <t>DGoV, AZU</t>
  </si>
  <si>
    <t>4th &amp; 5th Floor, BSNL -Naranpura Telephone Exchange Building, Near Mangal Murti Naranpura, Ahmedabad-380063</t>
  </si>
  <si>
    <t>5315 Sq. Ft.</t>
  </si>
  <si>
    <t>01.03.2017</t>
  </si>
  <si>
    <t>Five years from 01.04.2017</t>
  </si>
  <si>
    <t>2,97,640</t>
  </si>
  <si>
    <t>Rs. 56 per Sq. ft.</t>
  </si>
  <si>
    <t>East Zonal Unit</t>
  </si>
  <si>
    <t>DGoV, EZU</t>
  </si>
  <si>
    <t>C.R. Building, 4th floor Bamboo Villa, 169, A.J.C. Bose Road, Kolkata-700014</t>
  </si>
  <si>
    <t>NIL (The Office of DICE is beng functioning from rented premise, the rent of which is bring paid by Office of DG(ARM).</t>
  </si>
  <si>
    <t>DLA Delhi</t>
  </si>
  <si>
    <t>Directorate of Legal Affairs</t>
  </si>
  <si>
    <t>DLA (HQ)</t>
  </si>
  <si>
    <t>4th Floor Rajendra Bhawan, 210, Den Dayal Upadhyay Marg, Delhi- 1100021</t>
  </si>
  <si>
    <t>Date of Hiring is  16.07.2017 and Sanction Order No. F. No. 924/24/Hiring/Revision//Dir. Of Legal Affairs/HRD/2017 dated 06.03.2018</t>
  </si>
  <si>
    <t>Under Secretary to the Government of India, CBEC,Hudco Vishala Building, Bhikaji Cama Place, New Delhi</t>
  </si>
  <si>
    <t>16.07.2017 to 15.07.2020 
(Three Years)</t>
  </si>
  <si>
    <t>16.07.2020</t>
  </si>
  <si>
    <t>4,10,381/-</t>
  </si>
  <si>
    <t>Rs. 1347.97 per sq mtrs. (Including maintenance charges Rs 5 /- per Sq. Mtrs and Service Tax/GST as applicable</t>
  </si>
  <si>
    <t>Renewal of agreement is under process</t>
  </si>
  <si>
    <t>Special monitoring Cell (SMC) DLA, New Delhi</t>
  </si>
  <si>
    <t>V. K. Krishnan Menon  Bhawan Das Road New Delhi- 110001</t>
  </si>
  <si>
    <t>Date of Hiring is  01.10.2017</t>
  </si>
  <si>
    <t>As above</t>
  </si>
  <si>
    <t>01.10.2017-30.09.2022</t>
  </si>
  <si>
    <t>01.10.2017</t>
  </si>
  <si>
    <t>Rs. 1469/-</t>
  </si>
  <si>
    <t>Rs. 1,18,717/-</t>
  </si>
  <si>
    <t>3. Directorate General  Audit (DG Audit)</t>
  </si>
  <si>
    <t xml:space="preserve">4. Directorate General  Export Promotion </t>
  </si>
  <si>
    <t xml:space="preserve">5 Directorate General  of Goods and Service Tax Intelligence </t>
  </si>
  <si>
    <t>6. Directorate General GST</t>
  </si>
  <si>
    <t>3.Directorate Audit (DG Audit)</t>
  </si>
  <si>
    <t xml:space="preserve">5. Directorate General  of Goods and Service Tax Intelligence </t>
  </si>
  <si>
    <t>1. Directorate General of Analytics and Risk Management (DGARM)</t>
  </si>
  <si>
    <t>2. Directorate General of Anti-Profiteering/National Anti-Profiteering Authority</t>
  </si>
  <si>
    <t>3. Directorate General of Audit (DG Audit)</t>
  </si>
  <si>
    <t xml:space="preserve">4. Directorate General of Export Promotion </t>
  </si>
  <si>
    <t>6. Directorate General of GST</t>
  </si>
  <si>
    <t xml:space="preserve">5. Directorate General of Goods and Service Tax Intelligence </t>
  </si>
  <si>
    <t>11837729.68 
(including all tax</t>
  </si>
  <si>
    <t>ANNEXURE D: HIRED PREMISES</t>
  </si>
  <si>
    <r>
      <rPr>
        <b/>
        <sz val="11"/>
        <color theme="1"/>
        <rFont val="Times New Roman"/>
        <family val="1"/>
      </rPr>
      <t>Note:</t>
    </r>
    <r>
      <rPr>
        <sz val="11"/>
        <color theme="1"/>
        <rFont val="Times New Roman"/>
        <family val="1"/>
      </rPr>
      <t xml:space="preserve"> DGEP is situated at 8th Floor of Jeevan Bharti Building, Cannught Place, which is hired by DG(ARM)</t>
    </r>
  </si>
  <si>
    <t>i)DGGI, Shillong Regional Unit, 
ii)BSF Sector Hqrs,
iii)DRC, Govt. of Arunachal Pradesh 
iv) Meghalaya Human Right commission</t>
  </si>
  <si>
    <t>5300 sqft 
(3300 sqft in 4th floor and 2000 sqft in Ground floor)</t>
  </si>
  <si>
    <t>DG Audit, AZU</t>
  </si>
  <si>
    <t>DG Audit, DZU</t>
  </si>
  <si>
    <t>DG Audit, KZU</t>
  </si>
  <si>
    <t>DG Audit, MZU</t>
  </si>
  <si>
    <t>DGGI (HQRS.)</t>
  </si>
  <si>
    <t>Delhi Zonal Unit</t>
  </si>
  <si>
    <t>Belagavi Zonal Unit</t>
  </si>
  <si>
    <t>Bengaluru Zonal Unit</t>
  </si>
  <si>
    <t>Bhopal Zonal Unit</t>
  </si>
  <si>
    <t>Bhubaneshwar Zonal Unit</t>
  </si>
  <si>
    <t>Chandigarh Zonal Unit</t>
  </si>
  <si>
    <t>Chennai Zonal Unit</t>
  </si>
  <si>
    <t>Gurugram Zonal Unit</t>
  </si>
  <si>
    <t>Hyderabad Zonal Unit</t>
  </si>
  <si>
    <t>Kochi Zonal Unit</t>
  </si>
  <si>
    <t>Kolkat Zonal Unit</t>
  </si>
  <si>
    <t>Mumbai Zonal Unit</t>
  </si>
  <si>
    <t>Nagpur Zonal Unit</t>
  </si>
  <si>
    <t>Patna Zonal Unit</t>
  </si>
  <si>
    <t>Pune Zonal Unit</t>
  </si>
  <si>
    <t>Raipur Zonal Unit</t>
  </si>
  <si>
    <t>Siliguri Zonal Unit</t>
  </si>
  <si>
    <t>Surat Zonal Unit</t>
  </si>
  <si>
    <t>Visakhapatnam Zonal Unit</t>
  </si>
  <si>
    <t>DG (East) Sub- National Unit</t>
  </si>
  <si>
    <t>DG (North) Sub- National Unit</t>
  </si>
  <si>
    <t>DG (South) Sub- National Unit</t>
  </si>
  <si>
    <t>DG (West) Sub-National Unit</t>
  </si>
  <si>
    <t>Directorate</t>
  </si>
  <si>
    <t>HRM-I</t>
  </si>
  <si>
    <t>HRM-II</t>
  </si>
  <si>
    <t xml:space="preserve">Bhai Vir Singh Sahitya Sadan, 2nd &amp; 3rd Floor, Bhai Vir Singh Marg, New Delhi </t>
  </si>
  <si>
    <t>Date of initial Hiring is 18.02.2015 &amp; date of revision is 03.02.2018</t>
  </si>
  <si>
    <t>Sanctioned by Ministry of Finance 
924/55/Hiring/HRM-I/HRD/19-20 dated 27.05.2020 w.e.f. 02.03.2018 to 01.03.2021</t>
  </si>
  <si>
    <t>03.02.2021</t>
  </si>
  <si>
    <t>19,67,500/- 
+ GST</t>
  </si>
  <si>
    <t>Deepshikha Building, Rajendra Place, New Delhi</t>
  </si>
  <si>
    <t>Since 1976</t>
  </si>
  <si>
    <t>Sanctioned by Ministry of Finance vide order F.No.924/20/Hiring/Deepshikha/HRM/HRD/2018 dated 18.02.2019</t>
  </si>
  <si>
    <t>Date of Hiring of 5 Flats (Room No. 601, 609, 515,505,605) w.e.f. April 2019 for 3 years. Total Monthly rent paid for these 5 flats is Rupees 2,78,555/- (including all taxes). Due date of renewal is March -2022.
Date of Hiring of 9 flats is since 1976 (Flat No. 207, 403, 406, 407, 409, 415, 506, 507, 509). Due dates of renewal are differnt dates in 2019 and the proposal for renewal has been sent to CPWD for issuing RRC. Total montly rent paid for these 9 flats is Rs. 4,28,677/- (including all taxes).</t>
  </si>
  <si>
    <t>The DGGI Belgavi Zonal Unit, Belagavi</t>
  </si>
  <si>
    <t>The DGGI Mangaluru Regional Unit, Mangalore</t>
  </si>
  <si>
    <t>The DGGI Mangaluru Regional Unit,                     M/s BHARATH BEEDI WORKS PVT LTD                  D NO: 6-4-103 &amp;103/1 BHARATH NIVAS, OPPOSITE GANDHI PARK , GANDHI NAGAR, MANNAGUDDA , MANGALORE-575003</t>
  </si>
  <si>
    <t xml:space="preserve">The DGGI Ballari Regional Unit Ballari </t>
  </si>
  <si>
    <t>19.11.2019, ADMIN-INFRA/HRNG/8/2019-ZU-DGGI-CHD</t>
  </si>
  <si>
    <t>DGHRD (I &amp;W, EMC)</t>
  </si>
  <si>
    <t>Ircon Building Ground Floor, Plot No. C-4, District Centre, Saket, New Delhi.</t>
  </si>
  <si>
    <t>18,673/-</t>
  </si>
  <si>
    <t>15.07.2020, vide sanction order F.No. Rent/10/Sanction/2019-20</t>
  </si>
  <si>
    <t>Mnistry of Finance</t>
  </si>
  <si>
    <t>16.07.2023</t>
  </si>
  <si>
    <t>57,88,630/- 
+
GST</t>
  </si>
  <si>
    <t>310/-</t>
  </si>
  <si>
    <t>Directorate of Logistics, Customs &amp; Indirect Taxes</t>
  </si>
  <si>
    <t>ANNEXURE C: RESIDENTIAL QUARTERS</t>
  </si>
  <si>
    <t xml:space="preserve">  </t>
  </si>
  <si>
    <t>7 Street, Shanti Niketan</t>
  </si>
  <si>
    <t>Directorate of Logistic, Customs &amp; indirect Taxes</t>
  </si>
  <si>
    <t>05.08.1976</t>
  </si>
  <si>
    <t>Versova Custom House, Mud Island, Mumbai</t>
  </si>
  <si>
    <t>Custom Marine Head Quarter</t>
  </si>
  <si>
    <t>02.02.1978</t>
  </si>
  <si>
    <t>NACIN Complex, Sector-29, Faridabad-121008</t>
  </si>
  <si>
    <t xml:space="preserve">  Cost of Contruction included in Sl.No.9 of Ann.B)</t>
  </si>
  <si>
    <t>Note: Residential Quarters includes two staff quarters 2BHK with  area of 64.18 Sqm and 3BHK  with area of  75.29 Sqm for caretakers .</t>
  </si>
  <si>
    <t xml:space="preserve">Bengaluru. ZTI, </t>
  </si>
  <si>
    <t>7. Directorate General HRD (HRM-I, HRM-II, I&amp;W and EMC)</t>
  </si>
  <si>
    <t>8. Directorate General NACIN</t>
  </si>
  <si>
    <t>9. Directorate General Performance Management (DGPM)</t>
  </si>
  <si>
    <t>10. Directorate General Revenue Intelligence</t>
  </si>
  <si>
    <r>
      <rPr>
        <b/>
        <sz val="18"/>
        <rFont val="Times New Roman"/>
        <family val="1"/>
      </rPr>
      <t>11. Directorate General Systems &amp; Data Management</t>
    </r>
    <r>
      <rPr>
        <b/>
        <sz val="18"/>
        <color rgb="FFFF0000"/>
        <rFont val="Times New Roman"/>
        <family val="1"/>
      </rPr>
      <t xml:space="preserve">
  </t>
    </r>
  </si>
  <si>
    <r>
      <rPr>
        <b/>
        <sz val="18"/>
        <rFont val="Times New Roman"/>
        <family val="1"/>
      </rPr>
      <t>12. Directorate of Data Management</t>
    </r>
    <r>
      <rPr>
        <b/>
        <sz val="18"/>
        <color rgb="FFFF0000"/>
        <rFont val="Times New Roman"/>
        <family val="1"/>
      </rPr>
      <t xml:space="preserve">
  </t>
    </r>
  </si>
  <si>
    <t>13. Directorate General of Taxpayer Services</t>
  </si>
  <si>
    <t xml:space="preserve">14. Directorate General of Valuation </t>
  </si>
  <si>
    <t>15. Directorate General of Vigilance</t>
  </si>
  <si>
    <t>16. Directorate of International Customs (DIC)</t>
  </si>
  <si>
    <t>17. Directorate of Legal Affairs</t>
  </si>
  <si>
    <t>18. Directorate of Logistics</t>
  </si>
  <si>
    <t xml:space="preserve">19. Directorate of Central Revenues Control Laboratories </t>
  </si>
  <si>
    <t>10. Director General Revenue Intelligence</t>
  </si>
  <si>
    <t>11.Directorate General Systems &amp; Data Management</t>
  </si>
  <si>
    <t>12. Directorate of Data Management</t>
  </si>
  <si>
    <t>19. Directorate of Central Revenues Control Laboratories</t>
  </si>
  <si>
    <t>8. Directorate General of  NACIN</t>
  </si>
  <si>
    <t>9. Directorate Geneal of  Performance Management (DGPM)</t>
  </si>
  <si>
    <t>10. Directorate General of Revenue Intelligence</t>
  </si>
  <si>
    <t>11. Directorate General of Systems &amp; Data Management</t>
  </si>
  <si>
    <t>12. Directorate General of Data Management</t>
  </si>
  <si>
    <t>8. Directorate General of NACIN</t>
  </si>
  <si>
    <t>11. Directorate General of  Systems &amp; Data Management</t>
  </si>
  <si>
    <t>16. Directorectorate of International Customs</t>
  </si>
</sst>
</file>

<file path=xl/styles.xml><?xml version="1.0" encoding="utf-8"?>
<styleSheet xmlns="http://schemas.openxmlformats.org/spreadsheetml/2006/main">
  <numFmts count="2">
    <numFmt numFmtId="164" formatCode="0.000"/>
    <numFmt numFmtId="165" formatCode="00000"/>
  </numFmts>
  <fonts count="41">
    <font>
      <sz val="11"/>
      <color theme="1"/>
      <name val="Calibri"/>
      <family val="2"/>
      <scheme val="minor"/>
    </font>
    <font>
      <sz val="11"/>
      <color theme="1"/>
      <name val="Verdana"/>
      <family val="2"/>
    </font>
    <font>
      <sz val="11"/>
      <color rgb="FF000000"/>
      <name val="Calibri"/>
      <family val="2"/>
    </font>
    <font>
      <b/>
      <sz val="11"/>
      <color theme="1"/>
      <name val="Verdana"/>
      <family val="2"/>
    </font>
    <font>
      <sz val="11"/>
      <color theme="1"/>
      <name val="Times New Roman"/>
      <family val="1"/>
    </font>
    <font>
      <b/>
      <sz val="11"/>
      <color theme="1"/>
      <name val="Times New Roman"/>
      <family val="1"/>
    </font>
    <font>
      <b/>
      <sz val="11"/>
      <name val="Times New Roman"/>
      <family val="1"/>
    </font>
    <font>
      <b/>
      <sz val="11"/>
      <color rgb="FF000000"/>
      <name val="Times New Roman"/>
      <family val="1"/>
    </font>
    <font>
      <sz val="11"/>
      <name val="Times New Roman"/>
      <family val="1"/>
    </font>
    <font>
      <b/>
      <sz val="16"/>
      <color theme="1"/>
      <name val="Times New Roman"/>
      <family val="1"/>
    </font>
    <font>
      <sz val="10"/>
      <color theme="1"/>
      <name val="Calibri"/>
      <family val="2"/>
      <scheme val="minor"/>
    </font>
    <font>
      <b/>
      <sz val="18"/>
      <color theme="1"/>
      <name val="Times New Roman"/>
      <family val="1"/>
    </font>
    <font>
      <b/>
      <sz val="20"/>
      <color theme="1"/>
      <name val="Times New Roman"/>
      <family val="1"/>
    </font>
    <font>
      <sz val="11"/>
      <name val="Calibri"/>
      <family val="2"/>
      <scheme val="minor"/>
    </font>
    <font>
      <sz val="11"/>
      <color rgb="FF333333"/>
      <name val="Times New Roman"/>
      <family val="1"/>
    </font>
    <font>
      <sz val="10"/>
      <color theme="1"/>
      <name val="Times New Roman"/>
      <family val="1"/>
    </font>
    <font>
      <sz val="11"/>
      <color rgb="FF000000"/>
      <name val="Times New Roman"/>
      <family val="1"/>
    </font>
    <font>
      <sz val="10"/>
      <color theme="1"/>
      <name val="Arial"/>
      <family val="2"/>
    </font>
    <font>
      <sz val="12"/>
      <color theme="1"/>
      <name val="Times New Roman"/>
      <family val="1"/>
    </font>
    <font>
      <sz val="11"/>
      <color theme="1"/>
      <name val="Arial"/>
      <family val="2"/>
    </font>
    <font>
      <sz val="11"/>
      <color rgb="FFFF0000"/>
      <name val="Times New Roman"/>
      <family val="1"/>
    </font>
    <font>
      <b/>
      <sz val="18"/>
      <color rgb="FFFF0000"/>
      <name val="Times New Roman"/>
      <family val="1"/>
    </font>
    <font>
      <b/>
      <sz val="18"/>
      <name val="Times New Roman"/>
      <family val="1"/>
    </font>
    <font>
      <sz val="11"/>
      <color rgb="FF000000"/>
      <name val="Verdana"/>
      <family val="2"/>
    </font>
    <font>
      <sz val="11"/>
      <name val="Verdana"/>
      <family val="2"/>
    </font>
    <font>
      <b/>
      <sz val="16"/>
      <color rgb="FF000000"/>
      <name val="Times New Roman"/>
      <family val="1"/>
    </font>
    <font>
      <b/>
      <sz val="12"/>
      <color theme="1"/>
      <name val="Arial"/>
      <family val="2"/>
    </font>
    <font>
      <b/>
      <sz val="20"/>
      <color rgb="FF000000"/>
      <name val="Times New Roman"/>
      <family val="1"/>
    </font>
    <font>
      <sz val="12"/>
      <color theme="1"/>
      <name val="Arial Narrow"/>
      <family val="2"/>
    </font>
    <font>
      <sz val="10"/>
      <color theme="1"/>
      <name val="Cambria"/>
      <family val="1"/>
    </font>
    <font>
      <sz val="10"/>
      <color rgb="FF000000"/>
      <name val="Bookman Old Style"/>
      <family val="1"/>
    </font>
    <font>
      <sz val="9"/>
      <color theme="1"/>
      <name val="Times New Roman"/>
      <family val="1"/>
    </font>
    <font>
      <sz val="9"/>
      <name val="Arial"/>
      <family val="2"/>
    </font>
    <font>
      <sz val="11"/>
      <name val="Arial"/>
      <family val="2"/>
    </font>
    <font>
      <sz val="11"/>
      <color rgb="FF000000"/>
      <name val="Times New Roman"/>
      <family val="1"/>
    </font>
    <font>
      <sz val="12"/>
      <color rgb="FF000000"/>
      <name val="Times New Roman"/>
      <family val="1"/>
    </font>
    <font>
      <b/>
      <sz val="11"/>
      <color theme="1"/>
      <name val="Bookman Old Style"/>
      <family val="1"/>
    </font>
    <font>
      <sz val="11"/>
      <color theme="1"/>
      <name val="Bookman Old Style"/>
      <family val="1"/>
    </font>
    <font>
      <vertAlign val="superscript"/>
      <sz val="11"/>
      <color theme="1"/>
      <name val="Times New Roman"/>
      <family val="1"/>
    </font>
    <font>
      <sz val="12"/>
      <color rgb="FF000000"/>
      <name val="Times New Roman"/>
      <family val="1"/>
    </font>
    <font>
      <sz val="11"/>
      <color theme="1"/>
      <name val="Calibri"/>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indexed="64"/>
      </top>
      <bottom style="thin">
        <color indexed="64"/>
      </bottom>
      <diagonal/>
    </border>
  </borders>
  <cellStyleXfs count="3">
    <xf numFmtId="0" fontId="0" fillId="0" borderId="0"/>
    <xf numFmtId="0" fontId="2" fillId="0" borderId="0" applyNumberFormat="0" applyBorder="0" applyAlignment="0"/>
    <xf numFmtId="0" fontId="2" fillId="0" borderId="0" applyNumberFormat="0" applyBorder="0" applyAlignment="0"/>
  </cellStyleXfs>
  <cellXfs count="436">
    <xf numFmtId="0" fontId="0" fillId="0" borderId="0" xfId="0"/>
    <xf numFmtId="0" fontId="5" fillId="2"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Font="1" applyAlignment="1">
      <alignment horizontal="center" vertical="center" wrapText="1"/>
    </xf>
    <xf numFmtId="17" fontId="4" fillId="0" borderId="1" xfId="0" applyNumberFormat="1" applyFont="1" applyBorder="1" applyAlignment="1">
      <alignment horizontal="center" vertical="top" wrapText="1"/>
    </xf>
    <xf numFmtId="0" fontId="4" fillId="0" borderId="1" xfId="0" applyFont="1" applyBorder="1" applyAlignment="1">
      <alignment vertical="top" wrapText="1"/>
    </xf>
    <xf numFmtId="0" fontId="4" fillId="2" borderId="1" xfId="0" applyFont="1" applyFill="1" applyBorder="1" applyAlignment="1">
      <alignment horizontal="center" vertical="center"/>
    </xf>
    <xf numFmtId="0" fontId="8" fillId="0" borderId="1" xfId="0" applyFont="1" applyBorder="1" applyAlignment="1">
      <alignment vertical="top" wrapText="1"/>
    </xf>
    <xf numFmtId="0" fontId="4" fillId="0" borderId="1" xfId="0" quotePrefix="1" applyFont="1" applyBorder="1" applyAlignment="1">
      <alignment horizontal="center" vertical="top"/>
    </xf>
    <xf numFmtId="0" fontId="0" fillId="0" borderId="0" xfId="0" applyFill="1" applyAlignment="1">
      <alignment horizontal="center" vertical="center" wrapText="1"/>
    </xf>
    <xf numFmtId="0" fontId="4" fillId="2" borderId="1" xfId="0" applyFont="1" applyFill="1" applyBorder="1" applyAlignment="1">
      <alignment horizontal="center" vertical="top"/>
    </xf>
    <xf numFmtId="0" fontId="3" fillId="2" borderId="0" xfId="0" applyFont="1" applyFill="1" applyBorder="1" applyAlignment="1">
      <alignment horizontal="left" vertical="top"/>
    </xf>
    <xf numFmtId="0" fontId="3" fillId="2" borderId="0" xfId="0" applyFont="1" applyFill="1" applyAlignment="1">
      <alignment horizontal="left" vertical="top"/>
    </xf>
    <xf numFmtId="0" fontId="1" fillId="2" borderId="0" xfId="0" applyFont="1" applyFill="1" applyBorder="1" applyAlignment="1">
      <alignment horizontal="left" vertical="top"/>
    </xf>
    <xf numFmtId="0" fontId="1" fillId="2" borderId="0" xfId="0" applyFont="1" applyFill="1" applyAlignment="1">
      <alignment horizontal="left" vertical="top"/>
    </xf>
    <xf numFmtId="0" fontId="1" fillId="2" borderId="1" xfId="0" applyFont="1" applyFill="1" applyBorder="1" applyAlignment="1">
      <alignment horizontal="left" vertical="top" wrapText="1"/>
    </xf>
    <xf numFmtId="0" fontId="1" fillId="2" borderId="1" xfId="0" applyFont="1" applyFill="1" applyBorder="1" applyAlignment="1">
      <alignment horizontal="left" vertical="top"/>
    </xf>
    <xf numFmtId="0" fontId="1" fillId="2" borderId="7" xfId="0" applyFont="1" applyFill="1" applyBorder="1" applyAlignment="1">
      <alignment horizontal="left" vertical="top"/>
    </xf>
    <xf numFmtId="0" fontId="1" fillId="2" borderId="0" xfId="0" applyFont="1" applyFill="1" applyAlignment="1">
      <alignment horizontal="left" vertical="top" wrapText="1"/>
    </xf>
    <xf numFmtId="0" fontId="1" fillId="2" borderId="9" xfId="0" applyFont="1" applyFill="1" applyBorder="1" applyAlignment="1">
      <alignment horizontal="left" vertical="top"/>
    </xf>
    <xf numFmtId="0" fontId="1" fillId="2" borderId="4" xfId="0" applyFont="1" applyFill="1" applyBorder="1" applyAlignment="1">
      <alignment horizontal="left" vertical="top"/>
    </xf>
    <xf numFmtId="0" fontId="23" fillId="2" borderId="5" xfId="1" applyFont="1" applyFill="1" applyBorder="1" applyAlignment="1" applyProtection="1">
      <alignment horizontal="left" vertical="top" wrapText="1"/>
    </xf>
    <xf numFmtId="0" fontId="1" fillId="2" borderId="10" xfId="0" applyFont="1" applyFill="1" applyBorder="1" applyAlignment="1">
      <alignment horizontal="left" vertical="top"/>
    </xf>
    <xf numFmtId="0" fontId="1" fillId="2" borderId="1" xfId="0" applyFont="1" applyFill="1" applyBorder="1" applyAlignment="1">
      <alignment horizontal="center" vertical="top" wrapText="1"/>
    </xf>
    <xf numFmtId="0" fontId="7" fillId="2" borderId="1" xfId="1" applyFont="1" applyFill="1" applyBorder="1" applyAlignment="1" applyProtection="1">
      <alignment horizontal="center" vertical="top" wrapText="1"/>
    </xf>
    <xf numFmtId="0" fontId="5" fillId="2" borderId="1" xfId="0" applyFont="1" applyFill="1" applyBorder="1" applyAlignment="1">
      <alignment horizontal="center" vertical="top" wrapText="1"/>
    </xf>
    <xf numFmtId="0" fontId="6" fillId="2" borderId="1" xfId="0" applyFont="1" applyFill="1" applyBorder="1" applyAlignment="1">
      <alignment horizontal="center" vertical="top" wrapText="1"/>
    </xf>
    <xf numFmtId="0" fontId="23" fillId="2" borderId="5" xfId="1" applyFont="1" applyFill="1" applyBorder="1" applyAlignment="1" applyProtection="1">
      <alignment horizontal="center" vertical="top" wrapText="1"/>
    </xf>
    <xf numFmtId="0" fontId="7" fillId="2" borderId="5" xfId="1" applyFont="1" applyFill="1" applyBorder="1" applyAlignment="1" applyProtection="1">
      <alignment horizontal="center" vertical="top" wrapText="1"/>
    </xf>
    <xf numFmtId="0" fontId="5" fillId="2" borderId="5" xfId="0" applyFont="1" applyFill="1" applyBorder="1" applyAlignment="1">
      <alignment horizontal="center" vertical="top" wrapText="1"/>
    </xf>
    <xf numFmtId="0" fontId="6" fillId="2" borderId="5" xfId="0" applyFont="1" applyFill="1" applyBorder="1" applyAlignment="1">
      <alignment horizontal="center" vertical="top" wrapText="1"/>
    </xf>
    <xf numFmtId="0" fontId="1" fillId="2" borderId="1" xfId="0" applyFont="1" applyFill="1" applyBorder="1" applyAlignment="1">
      <alignment horizontal="center" vertical="top"/>
    </xf>
    <xf numFmtId="0" fontId="1" fillId="2" borderId="0" xfId="0" applyFont="1" applyFill="1" applyAlignment="1">
      <alignment horizontal="center" vertical="top"/>
    </xf>
    <xf numFmtId="0" fontId="1" fillId="2" borderId="4" xfId="0" applyFont="1" applyFill="1" applyBorder="1" applyAlignment="1">
      <alignment horizontal="center" vertical="top"/>
    </xf>
    <xf numFmtId="0" fontId="1" fillId="2" borderId="11" xfId="0" applyFont="1" applyFill="1" applyBorder="1" applyAlignment="1">
      <alignment horizontal="center" vertical="top"/>
    </xf>
    <xf numFmtId="0" fontId="1" fillId="2" borderId="4" xfId="0" applyFont="1" applyFill="1" applyBorder="1" applyAlignment="1">
      <alignment horizontal="center" vertical="top" wrapText="1"/>
    </xf>
    <xf numFmtId="0" fontId="1" fillId="2" borderId="0" xfId="0" applyFont="1" applyFill="1" applyAlignment="1">
      <alignment vertical="top"/>
    </xf>
    <xf numFmtId="0" fontId="4" fillId="0" borderId="1" xfId="0" applyFont="1" applyBorder="1"/>
    <xf numFmtId="0" fontId="8" fillId="2" borderId="1" xfId="0" applyFont="1" applyFill="1" applyBorder="1" applyAlignment="1">
      <alignment horizontal="center" vertical="top"/>
    </xf>
    <xf numFmtId="0" fontId="4" fillId="0" borderId="1" xfId="0" applyFont="1" applyBorder="1" applyAlignment="1">
      <alignment horizontal="left" vertical="center"/>
    </xf>
    <xf numFmtId="0" fontId="5" fillId="2" borderId="1" xfId="0" applyFont="1" applyFill="1" applyBorder="1" applyAlignment="1">
      <alignment horizontal="center" vertical="top"/>
    </xf>
    <xf numFmtId="0" fontId="5" fillId="2" borderId="2" xfId="0" applyFont="1" applyFill="1" applyBorder="1" applyAlignment="1">
      <alignment horizontal="center" vertical="top"/>
    </xf>
    <xf numFmtId="0" fontId="8" fillId="0" borderId="1" xfId="0" applyFont="1" applyBorder="1" applyAlignment="1">
      <alignment horizontal="left" vertical="top"/>
    </xf>
    <xf numFmtId="0" fontId="4" fillId="2" borderId="0" xfId="0" applyFont="1" applyFill="1" applyBorder="1" applyAlignment="1">
      <alignment horizontal="left" vertical="top" wrapText="1"/>
    </xf>
    <xf numFmtId="0" fontId="5" fillId="0" borderId="1" xfId="0" applyFont="1" applyFill="1" applyBorder="1" applyAlignment="1">
      <alignment horizontal="center" vertical="top" wrapText="1"/>
    </xf>
    <xf numFmtId="0" fontId="3" fillId="0" borderId="1" xfId="0" applyFont="1" applyFill="1" applyBorder="1" applyAlignment="1">
      <alignment horizontal="center" vertical="top"/>
    </xf>
    <xf numFmtId="0" fontId="8" fillId="0" borderId="1" xfId="0" applyFont="1" applyFill="1" applyBorder="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4" fillId="0" borderId="1" xfId="0" applyFont="1" applyFill="1" applyBorder="1" applyAlignment="1">
      <alignment vertical="top" wrapText="1"/>
    </xf>
    <xf numFmtId="0" fontId="7" fillId="2" borderId="4" xfId="1" applyFont="1" applyFill="1" applyBorder="1" applyAlignment="1" applyProtection="1">
      <alignment horizontal="center" vertical="top" wrapText="1"/>
    </xf>
    <xf numFmtId="0" fontId="6" fillId="0" borderId="1" xfId="0" applyFont="1" applyFill="1" applyBorder="1" applyAlignment="1">
      <alignment horizontal="center" vertical="top" wrapText="1"/>
    </xf>
    <xf numFmtId="3" fontId="8" fillId="0" borderId="1" xfId="0" applyNumberFormat="1" applyFont="1" applyBorder="1" applyAlignment="1">
      <alignment horizontal="center" vertical="top" wrapText="1"/>
    </xf>
    <xf numFmtId="0" fontId="8" fillId="0" borderId="1" xfId="0" applyFont="1" applyFill="1" applyBorder="1" applyAlignment="1">
      <alignment horizontal="left" vertical="top"/>
    </xf>
    <xf numFmtId="0" fontId="4" fillId="0" borderId="0" xfId="0" applyFont="1" applyAlignment="1">
      <alignment horizontal="center" vertical="top"/>
    </xf>
    <xf numFmtId="0" fontId="4" fillId="2" borderId="1" xfId="0" applyFont="1" applyFill="1" applyBorder="1" applyAlignment="1">
      <alignment horizontal="center" vertical="top" wrapText="1"/>
    </xf>
    <xf numFmtId="0" fontId="4" fillId="2" borderId="1" xfId="0" applyFont="1" applyFill="1" applyBorder="1" applyAlignment="1">
      <alignment horizontal="left" vertical="top"/>
    </xf>
    <xf numFmtId="0" fontId="4" fillId="2" borderId="1" xfId="0" applyFont="1" applyFill="1" applyBorder="1" applyAlignment="1">
      <alignment horizontal="left" vertical="top" wrapText="1"/>
    </xf>
    <xf numFmtId="0" fontId="1" fillId="2" borderId="2" xfId="0" applyFont="1" applyFill="1" applyBorder="1" applyAlignment="1">
      <alignment horizontal="center" vertical="top"/>
    </xf>
    <xf numFmtId="0" fontId="17" fillId="0" borderId="1" xfId="0" applyFont="1" applyBorder="1"/>
    <xf numFmtId="0" fontId="4" fillId="2" borderId="1" xfId="0" applyFont="1" applyFill="1" applyBorder="1" applyAlignment="1">
      <alignment horizontal="center" vertical="center" wrapText="1"/>
    </xf>
    <xf numFmtId="0" fontId="7" fillId="2" borderId="1" xfId="1" applyFont="1" applyFill="1" applyBorder="1" applyAlignment="1" applyProtection="1">
      <alignment horizontal="left" vertical="top" wrapText="1"/>
    </xf>
    <xf numFmtId="0" fontId="4" fillId="2" borderId="2" xfId="0" applyFont="1" applyFill="1" applyBorder="1" applyAlignment="1">
      <alignment horizontal="left" vertical="top"/>
    </xf>
    <xf numFmtId="0" fontId="4" fillId="2" borderId="6" xfId="0" applyFont="1" applyFill="1" applyBorder="1" applyAlignment="1">
      <alignment horizontal="left" vertical="top"/>
    </xf>
    <xf numFmtId="0" fontId="8" fillId="0" borderId="1" xfId="0" applyFont="1" applyBorder="1" applyAlignment="1">
      <alignment horizontal="center"/>
    </xf>
    <xf numFmtId="0" fontId="4" fillId="2" borderId="0" xfId="0" applyFont="1" applyFill="1" applyBorder="1" applyAlignment="1">
      <alignment horizontal="left" vertical="top"/>
    </xf>
    <xf numFmtId="0" fontId="4" fillId="0" borderId="0" xfId="0" applyFont="1" applyBorder="1" applyAlignment="1">
      <alignment horizontal="center"/>
    </xf>
    <xf numFmtId="0" fontId="4" fillId="2" borderId="1" xfId="0" applyFont="1" applyFill="1" applyBorder="1" applyAlignment="1">
      <alignment horizontal="center" vertical="top" wrapText="1"/>
    </xf>
    <xf numFmtId="0" fontId="4" fillId="2" borderId="1" xfId="0" applyFont="1" applyFill="1" applyBorder="1" applyAlignment="1">
      <alignment horizontal="left" vertical="top"/>
    </xf>
    <xf numFmtId="0" fontId="4" fillId="0" borderId="4" xfId="0" applyFont="1" applyBorder="1" applyAlignment="1">
      <alignment horizontal="center" vertical="top"/>
    </xf>
    <xf numFmtId="0" fontId="4" fillId="0" borderId="1" xfId="0" applyFont="1" applyBorder="1" applyAlignment="1">
      <alignment horizontal="left" vertical="top"/>
    </xf>
    <xf numFmtId="0" fontId="4" fillId="0" borderId="1" xfId="0" applyFont="1" applyBorder="1" applyAlignment="1">
      <alignment horizontal="center" vertical="top"/>
    </xf>
    <xf numFmtId="0" fontId="4" fillId="2" borderId="1" xfId="0" applyFont="1" applyFill="1" applyBorder="1" applyAlignment="1">
      <alignment horizontal="center"/>
    </xf>
    <xf numFmtId="0" fontId="4" fillId="0" borderId="1" xfId="0" applyFont="1" applyBorder="1" applyAlignment="1">
      <alignment horizontal="center"/>
    </xf>
    <xf numFmtId="0" fontId="8" fillId="0" borderId="1" xfId="1" applyFont="1" applyFill="1" applyBorder="1" applyAlignment="1" applyProtection="1">
      <alignment horizontal="center" vertical="top" wrapText="1"/>
    </xf>
    <xf numFmtId="0" fontId="16" fillId="0" borderId="1" xfId="1" applyFont="1" applyBorder="1" applyAlignment="1">
      <alignment horizontal="center" vertical="top" wrapText="1"/>
    </xf>
    <xf numFmtId="0" fontId="4" fillId="0" borderId="1" xfId="1" applyFont="1" applyBorder="1" applyAlignment="1">
      <alignment horizontal="center" vertical="top" wrapText="1"/>
    </xf>
    <xf numFmtId="14" fontId="8" fillId="0" borderId="1" xfId="1" applyNumberFormat="1" applyFont="1" applyFill="1" applyBorder="1" applyAlignment="1" applyProtection="1">
      <alignment horizontal="center" vertical="top" wrapText="1"/>
    </xf>
    <xf numFmtId="14" fontId="8" fillId="0" borderId="1" xfId="0" applyNumberFormat="1" applyFont="1" applyFill="1" applyBorder="1" applyAlignment="1">
      <alignment horizontal="center" vertical="top" wrapText="1"/>
    </xf>
    <xf numFmtId="0" fontId="4" fillId="2" borderId="1" xfId="0" applyFont="1" applyFill="1" applyBorder="1" applyAlignment="1">
      <alignment horizontal="center" wrapText="1"/>
    </xf>
    <xf numFmtId="0" fontId="4" fillId="2" borderId="0" xfId="0" applyFont="1" applyFill="1" applyBorder="1" applyAlignment="1">
      <alignment horizontal="center" vertical="top"/>
    </xf>
    <xf numFmtId="0" fontId="26" fillId="0" borderId="1" xfId="0" applyFont="1" applyBorder="1" applyAlignment="1">
      <alignment horizontal="center" vertical="top"/>
    </xf>
    <xf numFmtId="0" fontId="5" fillId="2" borderId="1" xfId="0" applyFont="1" applyFill="1" applyBorder="1" applyAlignment="1">
      <alignment horizontal="center" vertical="top"/>
    </xf>
    <xf numFmtId="0" fontId="28" fillId="0" borderId="1" xfId="0" applyFont="1" applyBorder="1" applyAlignment="1">
      <alignment horizontal="center" vertical="top"/>
    </xf>
    <xf numFmtId="0" fontId="4" fillId="0" borderId="1" xfId="0" applyFont="1" applyFill="1" applyBorder="1" applyAlignment="1">
      <alignment horizontal="center" vertical="top" wrapText="1"/>
    </xf>
    <xf numFmtId="0" fontId="7" fillId="2" borderId="0" xfId="1" applyFont="1" applyFill="1" applyBorder="1" applyAlignment="1" applyProtection="1">
      <alignment horizontal="left" vertical="top" wrapText="1"/>
    </xf>
    <xf numFmtId="0" fontId="18" fillId="0" borderId="1" xfId="0" applyFont="1" applyBorder="1" applyAlignment="1">
      <alignment horizontal="center" vertical="top"/>
    </xf>
    <xf numFmtId="14" fontId="4" fillId="0" borderId="1" xfId="0" applyNumberFormat="1" applyFont="1" applyBorder="1" applyAlignment="1">
      <alignment horizontal="center" vertical="top" wrapText="1"/>
    </xf>
    <xf numFmtId="0" fontId="10" fillId="0" borderId="1" xfId="0" applyFont="1" applyFill="1" applyBorder="1" applyAlignment="1">
      <alignment horizontal="center" vertical="center"/>
    </xf>
    <xf numFmtId="0" fontId="4" fillId="2" borderId="1" xfId="0" applyFont="1" applyFill="1" applyBorder="1" applyAlignment="1">
      <alignment horizontal="left" vertical="top"/>
    </xf>
    <xf numFmtId="0" fontId="4" fillId="0" borderId="1" xfId="0" applyFont="1" applyBorder="1" applyAlignment="1">
      <alignment horizontal="center"/>
    </xf>
    <xf numFmtId="0" fontId="18" fillId="0" borderId="1" xfId="0" applyFont="1" applyBorder="1" applyAlignment="1">
      <alignment horizontal="right" vertical="top"/>
    </xf>
    <xf numFmtId="0" fontId="4" fillId="0" borderId="1" xfId="0" applyFont="1" applyBorder="1" applyAlignment="1">
      <alignment horizontal="center"/>
    </xf>
    <xf numFmtId="0" fontId="5" fillId="2" borderId="2" xfId="0" applyFont="1" applyFill="1" applyBorder="1" applyAlignment="1">
      <alignment horizontal="center" vertical="top"/>
    </xf>
    <xf numFmtId="0" fontId="5" fillId="2" borderId="1" xfId="0" applyFont="1" applyFill="1" applyBorder="1" applyAlignment="1">
      <alignment horizontal="center" vertical="top"/>
    </xf>
    <xf numFmtId="0" fontId="4" fillId="2" borderId="1" xfId="0" applyFont="1" applyFill="1" applyBorder="1" applyAlignment="1">
      <alignment horizontal="center" vertical="top" wrapText="1"/>
    </xf>
    <xf numFmtId="2" fontId="4" fillId="0" borderId="1" xfId="0" applyNumberFormat="1" applyFont="1" applyBorder="1" applyAlignment="1">
      <alignment horizontal="center" vertical="top" wrapText="1"/>
    </xf>
    <xf numFmtId="3" fontId="4" fillId="0" borderId="1" xfId="0" applyNumberFormat="1" applyFont="1" applyBorder="1" applyAlignment="1">
      <alignment horizontal="center" vertical="top" wrapText="1"/>
    </xf>
    <xf numFmtId="0" fontId="5" fillId="2" borderId="4" xfId="0" applyFont="1" applyFill="1" applyBorder="1" applyAlignment="1">
      <alignment horizontal="center" vertical="top"/>
    </xf>
    <xf numFmtId="0" fontId="4" fillId="0" borderId="0" xfId="0" applyFont="1" applyBorder="1"/>
    <xf numFmtId="0" fontId="4" fillId="0" borderId="0" xfId="0" applyFont="1"/>
    <xf numFmtId="0" fontId="0" fillId="0" borderId="0" xfId="0" applyBorder="1"/>
    <xf numFmtId="0" fontId="4" fillId="0" borderId="0" xfId="0" applyFont="1" applyAlignment="1">
      <alignment horizontal="center"/>
    </xf>
    <xf numFmtId="0" fontId="31" fillId="0" borderId="0" xfId="0" applyFont="1" applyBorder="1"/>
    <xf numFmtId="0" fontId="32" fillId="0" borderId="0" xfId="0" applyFont="1" applyBorder="1"/>
    <xf numFmtId="0" fontId="32" fillId="0" borderId="0" xfId="0" applyFont="1"/>
    <xf numFmtId="0" fontId="32" fillId="2" borderId="0" xfId="0" applyFont="1" applyFill="1" applyBorder="1"/>
    <xf numFmtId="0" fontId="32" fillId="2" borderId="0" xfId="0" applyFont="1" applyFill="1"/>
    <xf numFmtId="0" fontId="4" fillId="2" borderId="1" xfId="0" applyFont="1" applyFill="1" applyBorder="1" applyAlignment="1">
      <alignment horizontal="center" vertical="top"/>
    </xf>
    <xf numFmtId="0" fontId="5" fillId="2" borderId="1" xfId="0" applyFont="1" applyFill="1" applyBorder="1" applyAlignment="1">
      <alignment horizontal="center" vertical="top"/>
    </xf>
    <xf numFmtId="0" fontId="0" fillId="0" borderId="0" xfId="0" applyAlignment="1">
      <alignment vertical="top"/>
    </xf>
    <xf numFmtId="0" fontId="4" fillId="0" borderId="0" xfId="0" applyFont="1" applyAlignment="1">
      <alignment vertical="top"/>
    </xf>
    <xf numFmtId="0" fontId="15" fillId="0" borderId="3" xfId="0" applyFont="1" applyBorder="1"/>
    <xf numFmtId="0" fontId="15" fillId="0" borderId="1" xfId="0" applyFont="1" applyBorder="1" applyAlignment="1">
      <alignment horizontal="center"/>
    </xf>
    <xf numFmtId="0" fontId="17" fillId="2" borderId="0" xfId="0" applyFont="1" applyFill="1"/>
    <xf numFmtId="0" fontId="33" fillId="0" borderId="1" xfId="0" applyFont="1" applyBorder="1" applyAlignment="1">
      <alignment horizontal="center" vertical="center"/>
    </xf>
    <xf numFmtId="0" fontId="16" fillId="0" borderId="1" xfId="0" applyFont="1" applyBorder="1" applyAlignment="1">
      <alignment horizontal="center" vertical="center" wrapText="1"/>
    </xf>
    <xf numFmtId="0" fontId="0" fillId="0" borderId="0" xfId="0" applyFont="1" applyAlignment="1"/>
    <xf numFmtId="0" fontId="34" fillId="0" borderId="16" xfId="0" applyFont="1" applyBorder="1" applyAlignment="1">
      <alignment horizontal="center" vertical="center"/>
    </xf>
    <xf numFmtId="0" fontId="13" fillId="2" borderId="1" xfId="0" applyFont="1" applyFill="1" applyBorder="1" applyAlignment="1">
      <alignment horizontal="center" vertical="center"/>
    </xf>
    <xf numFmtId="0" fontId="4" fillId="0" borderId="1" xfId="0" applyFont="1" applyBorder="1" applyAlignment="1">
      <alignment horizontal="center" vertical="top" wrapText="1"/>
    </xf>
    <xf numFmtId="0" fontId="4" fillId="0" borderId="1" xfId="0" applyFont="1" applyBorder="1" applyAlignment="1">
      <alignment horizontal="center"/>
    </xf>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0" fontId="4" fillId="4"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16" fillId="0" borderId="1" xfId="0" applyFont="1" applyBorder="1" applyAlignment="1">
      <alignment horizontal="left" vertical="top" wrapText="1"/>
    </xf>
    <xf numFmtId="0" fontId="0" fillId="0" borderId="1" xfId="0" applyFont="1" applyBorder="1" applyAlignment="1">
      <alignment vertical="top" wrapText="1"/>
    </xf>
    <xf numFmtId="0" fontId="5" fillId="0" borderId="1" xfId="0" applyFont="1" applyBorder="1" applyAlignment="1">
      <alignment horizontal="center" vertical="top"/>
    </xf>
    <xf numFmtId="164" fontId="4" fillId="0" borderId="1" xfId="0" applyNumberFormat="1" applyFont="1" applyBorder="1" applyAlignment="1">
      <alignment horizontal="center" vertical="top" wrapText="1"/>
    </xf>
    <xf numFmtId="0" fontId="8" fillId="0" borderId="1" xfId="0" applyNumberFormat="1" applyFont="1" applyFill="1" applyBorder="1" applyAlignment="1" applyProtection="1">
      <alignment horizontal="left" vertical="top" wrapText="1"/>
    </xf>
    <xf numFmtId="0" fontId="8" fillId="0" borderId="1" xfId="0" applyNumberFormat="1" applyFont="1" applyFill="1" applyBorder="1" applyAlignment="1" applyProtection="1">
      <alignment horizontal="center" vertical="top" wrapText="1"/>
    </xf>
    <xf numFmtId="4" fontId="4" fillId="0" borderId="1" xfId="0" applyNumberFormat="1" applyFont="1" applyBorder="1" applyAlignment="1">
      <alignment horizontal="center" vertical="top" wrapText="1"/>
    </xf>
    <xf numFmtId="0" fontId="20" fillId="0" borderId="1" xfId="0" applyFont="1" applyBorder="1" applyAlignment="1">
      <alignment horizontal="center" vertical="top" wrapText="1"/>
    </xf>
    <xf numFmtId="3" fontId="16" fillId="0" borderId="1" xfId="0" applyNumberFormat="1" applyFont="1" applyBorder="1" applyAlignment="1">
      <alignment horizontal="center" vertical="top" wrapText="1"/>
    </xf>
    <xf numFmtId="2" fontId="4" fillId="0" borderId="1" xfId="0" applyNumberFormat="1" applyFont="1" applyFill="1" applyBorder="1" applyAlignment="1">
      <alignment horizontal="center" vertical="top" wrapText="1"/>
    </xf>
    <xf numFmtId="0" fontId="4" fillId="0" borderId="1" xfId="0" quotePrefix="1" applyFont="1" applyBorder="1" applyAlignment="1">
      <alignment horizontal="left" vertical="top" wrapText="1"/>
    </xf>
    <xf numFmtId="165" fontId="4" fillId="0" borderId="1" xfId="0" applyNumberFormat="1" applyFont="1" applyBorder="1" applyAlignment="1">
      <alignment horizontal="left" vertical="top" wrapText="1"/>
    </xf>
    <xf numFmtId="1" fontId="4" fillId="0" borderId="1" xfId="0" applyNumberFormat="1" applyFont="1" applyBorder="1" applyAlignment="1">
      <alignment horizontal="left" vertical="top" wrapText="1"/>
    </xf>
    <xf numFmtId="0" fontId="13" fillId="2" borderId="1" xfId="0" applyFont="1" applyFill="1" applyBorder="1" applyAlignment="1">
      <alignment horizontal="center" vertical="top"/>
    </xf>
    <xf numFmtId="0" fontId="8" fillId="2" borderId="1" xfId="0" applyFont="1" applyFill="1" applyBorder="1" applyAlignment="1">
      <alignment horizontal="left" vertical="top"/>
    </xf>
    <xf numFmtId="0" fontId="8" fillId="2" borderId="1" xfId="0" applyFont="1" applyFill="1" applyBorder="1" applyAlignment="1">
      <alignment horizontal="left" vertical="center" wrapText="1"/>
    </xf>
    <xf numFmtId="0" fontId="13" fillId="2" borderId="1" xfId="0" applyFont="1" applyFill="1" applyBorder="1" applyAlignment="1">
      <alignment horizontal="left" vertical="top"/>
    </xf>
    <xf numFmtId="0" fontId="13" fillId="2" borderId="1" xfId="0" applyFont="1" applyFill="1" applyBorder="1" applyAlignment="1">
      <alignment horizontal="left" vertical="top" wrapText="1"/>
    </xf>
    <xf numFmtId="0" fontId="13" fillId="0" borderId="1" xfId="0" applyFont="1" applyBorder="1" applyAlignment="1">
      <alignment horizontal="left" vertical="top"/>
    </xf>
    <xf numFmtId="0" fontId="13" fillId="0" borderId="1" xfId="0" applyFont="1" applyFill="1" applyBorder="1" applyAlignment="1">
      <alignment horizontal="left" vertical="top"/>
    </xf>
    <xf numFmtId="0" fontId="13" fillId="0" borderId="1" xfId="0" applyFont="1" applyFill="1" applyBorder="1" applyAlignment="1">
      <alignment vertical="top"/>
    </xf>
    <xf numFmtId="0" fontId="13" fillId="2" borderId="1" xfId="0" applyFont="1" applyFill="1" applyBorder="1" applyAlignment="1">
      <alignment vertical="top"/>
    </xf>
    <xf numFmtId="0" fontId="13" fillId="2" borderId="1" xfId="0" applyFont="1" applyFill="1" applyBorder="1" applyAlignment="1">
      <alignment horizontal="center" vertical="top" wrapText="1"/>
    </xf>
    <xf numFmtId="0" fontId="13" fillId="0" borderId="1" xfId="0" applyFont="1" applyBorder="1" applyAlignment="1">
      <alignment horizontal="left" vertical="top" wrapText="1"/>
    </xf>
    <xf numFmtId="0" fontId="13" fillId="0" borderId="1" xfId="0" applyFont="1" applyBorder="1" applyAlignment="1">
      <alignment horizontal="center" vertical="top"/>
    </xf>
    <xf numFmtId="0" fontId="13" fillId="0" borderId="1" xfId="0" applyFont="1" applyBorder="1" applyAlignment="1">
      <alignment horizontal="center" vertical="top" wrapText="1"/>
    </xf>
    <xf numFmtId="0" fontId="18" fillId="0" borderId="1" xfId="0" applyFont="1" applyBorder="1" applyAlignment="1">
      <alignment horizontal="center" vertical="top" wrapText="1"/>
    </xf>
    <xf numFmtId="0" fontId="18" fillId="0" borderId="1" xfId="0" applyFont="1" applyBorder="1" applyAlignment="1">
      <alignment horizontal="left"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5" fillId="2" borderId="2" xfId="0" applyFont="1" applyFill="1" applyBorder="1" applyAlignment="1">
      <alignment horizontal="center" vertical="top"/>
    </xf>
    <xf numFmtId="0" fontId="5" fillId="2" borderId="1" xfId="0" applyFont="1" applyFill="1" applyBorder="1" applyAlignment="1">
      <alignment horizontal="center" vertical="top"/>
    </xf>
    <xf numFmtId="0" fontId="16" fillId="0" borderId="1" xfId="0" applyFont="1" applyBorder="1" applyAlignment="1">
      <alignment horizontal="center" vertical="top" wrapText="1"/>
    </xf>
    <xf numFmtId="0" fontId="4" fillId="0" borderId="1" xfId="0" applyFont="1" applyFill="1" applyBorder="1" applyAlignment="1">
      <alignment horizontal="center" vertical="top" wrapText="1"/>
    </xf>
    <xf numFmtId="0" fontId="4" fillId="0" borderId="1" xfId="0" applyFont="1" applyFill="1" applyBorder="1" applyAlignment="1">
      <alignment horizontal="left" vertical="top" wrapText="1"/>
    </xf>
    <xf numFmtId="0" fontId="8" fillId="0" borderId="1" xfId="0" applyFont="1" applyBorder="1" applyAlignment="1">
      <alignment horizontal="left" vertical="top" wrapText="1"/>
    </xf>
    <xf numFmtId="0" fontId="33" fillId="0" borderId="1" xfId="0" applyFont="1" applyBorder="1" applyAlignment="1">
      <alignment horizontal="center"/>
    </xf>
    <xf numFmtId="0" fontId="4" fillId="0" borderId="1" xfId="0" applyFont="1" applyFill="1" applyBorder="1" applyAlignment="1" applyProtection="1">
      <alignment horizontal="center" vertical="top" wrapText="1"/>
    </xf>
    <xf numFmtId="0" fontId="4" fillId="0" borderId="1" xfId="0" applyFont="1" applyFill="1" applyBorder="1" applyAlignment="1" applyProtection="1">
      <alignment horizontal="left" vertical="top" wrapText="1"/>
    </xf>
    <xf numFmtId="3" fontId="8" fillId="2" borderId="1" xfId="0" applyNumberFormat="1" applyFont="1" applyFill="1" applyBorder="1" applyAlignment="1">
      <alignment horizontal="center" vertical="top" wrapText="1"/>
    </xf>
    <xf numFmtId="14" fontId="4" fillId="0" borderId="1" xfId="0" applyNumberFormat="1" applyFont="1" applyFill="1" applyBorder="1" applyAlignment="1">
      <alignment horizontal="center" vertical="top" wrapText="1"/>
    </xf>
    <xf numFmtId="2" fontId="8" fillId="0" borderId="1" xfId="0" applyNumberFormat="1" applyFont="1" applyFill="1" applyBorder="1" applyAlignment="1">
      <alignment horizontal="center" vertical="top" wrapText="1"/>
    </xf>
    <xf numFmtId="14" fontId="4" fillId="0" borderId="1" xfId="0" quotePrefix="1" applyNumberFormat="1" applyFont="1" applyFill="1" applyBorder="1" applyAlignment="1">
      <alignment horizontal="center" vertical="top" wrapText="1"/>
    </xf>
    <xf numFmtId="0" fontId="18" fillId="0" borderId="4" xfId="0" applyFont="1" applyBorder="1" applyAlignment="1">
      <alignment horizontal="center" vertical="top"/>
    </xf>
    <xf numFmtId="0" fontId="4" fillId="2" borderId="4" xfId="0" applyFont="1" applyFill="1" applyBorder="1" applyAlignment="1">
      <alignment horizontal="left" vertical="top"/>
    </xf>
    <xf numFmtId="0" fontId="8" fillId="0" borderId="1" xfId="1" applyFont="1" applyFill="1" applyBorder="1" applyAlignment="1" applyProtection="1">
      <alignment vertical="top" wrapText="1"/>
    </xf>
    <xf numFmtId="15" fontId="4" fillId="0" borderId="1" xfId="0" applyNumberFormat="1" applyFont="1" applyBorder="1" applyAlignment="1">
      <alignment horizontal="center" vertical="top" wrapText="1"/>
    </xf>
    <xf numFmtId="0" fontId="34" fillId="0" borderId="1" xfId="0" applyFont="1" applyBorder="1" applyAlignment="1">
      <alignment horizontal="center" vertical="top"/>
    </xf>
    <xf numFmtId="0" fontId="34" fillId="0" borderId="1" xfId="0" applyFont="1" applyBorder="1" applyAlignment="1">
      <alignment horizontal="center" vertical="top" wrapText="1"/>
    </xf>
    <xf numFmtId="0" fontId="0" fillId="0" borderId="1" xfId="0" applyBorder="1" applyAlignment="1">
      <alignment horizontal="center" vertical="top"/>
    </xf>
    <xf numFmtId="0" fontId="35" fillId="0" borderId="1" xfId="0" applyFont="1" applyBorder="1" applyAlignment="1">
      <alignment horizontal="center" vertical="top" wrapText="1"/>
    </xf>
    <xf numFmtId="0" fontId="39" fillId="0" borderId="1" xfId="0" applyFont="1" applyBorder="1" applyAlignment="1">
      <alignment horizontal="center" vertical="top" wrapText="1"/>
    </xf>
    <xf numFmtId="0" fontId="34" fillId="0" borderId="1" xfId="0" applyFont="1" applyBorder="1" applyAlignment="1">
      <alignment horizontal="left" vertical="top" wrapText="1"/>
    </xf>
    <xf numFmtId="3" fontId="4" fillId="0" borderId="1" xfId="0" applyNumberFormat="1" applyFont="1" applyFill="1" applyBorder="1" applyAlignment="1">
      <alignment horizontal="center" vertical="top" wrapText="1"/>
    </xf>
    <xf numFmtId="0" fontId="4" fillId="0" borderId="1" xfId="0" applyFont="1" applyBorder="1" applyAlignment="1">
      <alignment horizontal="center" vertical="top"/>
    </xf>
    <xf numFmtId="0" fontId="4" fillId="0" borderId="1" xfId="0" applyFont="1" applyBorder="1" applyAlignment="1">
      <alignment horizontal="center" vertical="center"/>
    </xf>
    <xf numFmtId="0" fontId="4" fillId="2" borderId="1" xfId="0" applyFont="1" applyFill="1" applyBorder="1" applyAlignment="1">
      <alignment horizontal="center" vertical="top"/>
    </xf>
    <xf numFmtId="0" fontId="8"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horizontal="center"/>
    </xf>
    <xf numFmtId="0" fontId="5" fillId="2" borderId="1" xfId="0" applyFont="1" applyFill="1" applyBorder="1" applyAlignment="1">
      <alignment horizontal="center" vertical="top"/>
    </xf>
    <xf numFmtId="0" fontId="8" fillId="2" borderId="1" xfId="0" applyFont="1" applyFill="1" applyBorder="1" applyAlignment="1">
      <alignment horizontal="center" vertical="top"/>
    </xf>
    <xf numFmtId="0" fontId="4" fillId="2" borderId="1" xfId="0" applyFont="1" applyFill="1" applyBorder="1" applyAlignment="1">
      <alignment horizontal="center" vertical="top"/>
    </xf>
    <xf numFmtId="0" fontId="4" fillId="0" borderId="1" xfId="0" applyFont="1" applyBorder="1" applyAlignment="1">
      <alignment horizontal="center"/>
    </xf>
    <xf numFmtId="0" fontId="11" fillId="3" borderId="10" xfId="0" applyFont="1" applyFill="1" applyBorder="1" applyAlignment="1">
      <alignment horizontal="left" vertical="top"/>
    </xf>
    <xf numFmtId="0" fontId="11" fillId="3" borderId="15" xfId="0" applyFont="1" applyFill="1" applyBorder="1" applyAlignment="1">
      <alignment horizontal="left" vertical="top"/>
    </xf>
    <xf numFmtId="0" fontId="4" fillId="2" borderId="1" xfId="0" applyFont="1" applyFill="1" applyBorder="1" applyAlignment="1">
      <alignment horizontal="center" vertical="top" wrapText="1"/>
    </xf>
    <xf numFmtId="0" fontId="4" fillId="2" borderId="4" xfId="0" applyFont="1" applyFill="1" applyBorder="1" applyAlignment="1">
      <alignment horizontal="left" vertical="top" wrapText="1"/>
    </xf>
    <xf numFmtId="0" fontId="4" fillId="2" borderId="4" xfId="0" applyFont="1" applyFill="1" applyBorder="1" applyAlignment="1">
      <alignment horizontal="center" vertical="top"/>
    </xf>
    <xf numFmtId="0" fontId="4" fillId="0" borderId="0" xfId="0" applyFont="1" applyBorder="1" applyAlignment="1">
      <alignment wrapText="1"/>
    </xf>
    <xf numFmtId="0" fontId="10" fillId="0" borderId="4" xfId="0" applyFont="1" applyFill="1" applyBorder="1" applyAlignment="1">
      <alignment horizontal="center"/>
    </xf>
    <xf numFmtId="0" fontId="4" fillId="0" borderId="0" xfId="0" applyFont="1" applyFill="1" applyBorder="1" applyAlignment="1">
      <alignment horizontal="center" vertical="top" wrapText="1"/>
    </xf>
    <xf numFmtId="0" fontId="8" fillId="0" borderId="0" xfId="0" applyFont="1" applyBorder="1" applyAlignment="1">
      <alignment horizontal="left" vertical="top" wrapText="1"/>
    </xf>
    <xf numFmtId="0" fontId="4" fillId="2" borderId="0" xfId="0" applyFont="1" applyFill="1" applyBorder="1" applyAlignment="1">
      <alignment vertical="top"/>
    </xf>
    <xf numFmtId="0" fontId="4" fillId="0" borderId="1" xfId="0" applyFont="1" applyBorder="1" applyAlignment="1">
      <alignment horizontal="center" vertical="top" wrapText="1"/>
    </xf>
    <xf numFmtId="0" fontId="8" fillId="2" borderId="1" xfId="0" applyFont="1" applyFill="1" applyBorder="1" applyAlignment="1">
      <alignment horizontal="center" vertical="center"/>
    </xf>
    <xf numFmtId="0" fontId="4" fillId="0" borderId="1" xfId="0" applyFont="1" applyBorder="1" applyAlignment="1">
      <alignment horizontal="center" vertical="top"/>
    </xf>
    <xf numFmtId="0" fontId="4" fillId="0" borderId="1" xfId="0" applyFont="1" applyBorder="1" applyAlignment="1">
      <alignment horizontal="left" vertical="top" wrapText="1"/>
    </xf>
    <xf numFmtId="0" fontId="4" fillId="0" borderId="1" xfId="0" applyFont="1" applyBorder="1" applyAlignment="1">
      <alignment horizontal="center" vertical="center"/>
    </xf>
    <xf numFmtId="0" fontId="8" fillId="2" borderId="1" xfId="0" applyFont="1" applyFill="1" applyBorder="1" applyAlignment="1">
      <alignment horizontal="center" vertical="top"/>
    </xf>
    <xf numFmtId="0" fontId="8" fillId="2" borderId="1" xfId="0" applyFont="1" applyFill="1" applyBorder="1" applyAlignment="1">
      <alignment horizontal="center" vertical="top" wrapText="1"/>
    </xf>
    <xf numFmtId="0" fontId="4" fillId="0" borderId="1" xfId="0" applyFont="1" applyBorder="1" applyAlignment="1">
      <alignment horizontal="center" vertical="top" wrapText="1"/>
    </xf>
    <xf numFmtId="0" fontId="8" fillId="2"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4" borderId="1" xfId="0" applyFont="1" applyFill="1" applyBorder="1" applyAlignment="1">
      <alignment horizontal="center" vertical="top" wrapText="1"/>
    </xf>
    <xf numFmtId="0" fontId="8" fillId="0" borderId="1" xfId="0" applyFont="1" applyBorder="1" applyAlignment="1">
      <alignment horizontal="center" vertical="top" wrapText="1"/>
    </xf>
    <xf numFmtId="0" fontId="4" fillId="0" borderId="1" xfId="0" applyFont="1" applyBorder="1" applyAlignment="1">
      <alignment horizontal="center" vertical="top"/>
    </xf>
    <xf numFmtId="0" fontId="8" fillId="2" borderId="1" xfId="0" applyFont="1" applyFill="1" applyBorder="1" applyAlignment="1">
      <alignment horizontal="left" vertical="center"/>
    </xf>
    <xf numFmtId="0" fontId="4" fillId="2" borderId="1" xfId="0" applyFont="1" applyFill="1" applyBorder="1" applyAlignment="1">
      <alignment horizontal="center" vertical="top"/>
    </xf>
    <xf numFmtId="0" fontId="4" fillId="0" borderId="1" xfId="0" applyFont="1" applyBorder="1" applyAlignment="1">
      <alignment horizontal="center" vertical="center"/>
    </xf>
    <xf numFmtId="0" fontId="4" fillId="0" borderId="1" xfId="0" applyFont="1" applyBorder="1" applyAlignment="1">
      <alignment horizontal="left" vertical="top" wrapText="1"/>
    </xf>
    <xf numFmtId="0" fontId="8"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4" fillId="2" borderId="1" xfId="0" applyFont="1" applyFill="1" applyBorder="1" applyAlignment="1">
      <alignment horizontal="center" vertical="top" wrapText="1"/>
    </xf>
    <xf numFmtId="0" fontId="4" fillId="0" borderId="1" xfId="0" applyFont="1" applyBorder="1" applyAlignment="1">
      <alignment horizontal="center"/>
    </xf>
    <xf numFmtId="0" fontId="8" fillId="0" borderId="1" xfId="0" applyFont="1" applyBorder="1" applyAlignment="1">
      <alignment horizontal="center" vertical="top"/>
    </xf>
    <xf numFmtId="0" fontId="1" fillId="2" borderId="1" xfId="0" applyFont="1" applyFill="1" applyBorder="1" applyAlignment="1">
      <alignment horizontal="center" vertical="top"/>
    </xf>
    <xf numFmtId="0" fontId="5" fillId="2" borderId="1" xfId="0" applyFont="1" applyFill="1" applyBorder="1" applyAlignment="1">
      <alignment horizontal="center" vertical="top"/>
    </xf>
    <xf numFmtId="0" fontId="4" fillId="0" borderId="1" xfId="0" applyFont="1" applyFill="1" applyBorder="1" applyAlignment="1">
      <alignment horizontal="center" vertical="top"/>
    </xf>
    <xf numFmtId="0" fontId="4" fillId="0" borderId="1" xfId="0" quotePrefix="1" applyFont="1" applyBorder="1" applyAlignment="1">
      <alignment horizontal="center" vertical="top" wrapText="1"/>
    </xf>
    <xf numFmtId="0" fontId="8" fillId="0"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2" borderId="6" xfId="0" applyFont="1" applyFill="1" applyBorder="1" applyAlignment="1">
      <alignment horizontal="center" vertical="center"/>
    </xf>
    <xf numFmtId="0" fontId="0" fillId="0" borderId="0" xfId="0" applyAlignment="1">
      <alignment horizontal="center"/>
    </xf>
    <xf numFmtId="0" fontId="4" fillId="0" borderId="2" xfId="0" applyFont="1" applyBorder="1" applyAlignment="1">
      <alignment horizontal="left" vertical="top"/>
    </xf>
    <xf numFmtId="0" fontId="4" fillId="0" borderId="6" xfId="0" applyFont="1" applyFill="1" applyBorder="1" applyAlignment="1">
      <alignment horizontal="center" vertical="center"/>
    </xf>
    <xf numFmtId="0" fontId="0" fillId="0" borderId="1" xfId="0" applyFont="1" applyBorder="1" applyAlignment="1">
      <alignment horizontal="center" vertical="top" wrapText="1"/>
    </xf>
    <xf numFmtId="0" fontId="40" fillId="0" borderId="1" xfId="0" applyFont="1" applyBorder="1" applyAlignment="1">
      <alignment horizontal="center" vertical="top" wrapText="1"/>
    </xf>
    <xf numFmtId="0" fontId="19" fillId="0" borderId="1" xfId="0" applyFont="1" applyBorder="1" applyAlignment="1">
      <alignment horizontal="left"/>
    </xf>
    <xf numFmtId="0" fontId="4" fillId="0" borderId="1" xfId="0" applyFont="1" applyFill="1" applyBorder="1" applyAlignment="1">
      <alignment horizontal="center" vertical="top" wrapText="1"/>
    </xf>
    <xf numFmtId="0" fontId="4" fillId="0" borderId="1" xfId="0" applyFont="1" applyBorder="1" applyAlignment="1">
      <alignment vertical="top"/>
    </xf>
    <xf numFmtId="0" fontId="1" fillId="2" borderId="12" xfId="0" applyFont="1" applyFill="1" applyBorder="1" applyAlignment="1">
      <alignment vertical="top"/>
    </xf>
    <xf numFmtId="0" fontId="14" fillId="0" borderId="1" xfId="0" applyFont="1" applyBorder="1" applyAlignment="1">
      <alignment horizontal="center" vertical="top" wrapText="1"/>
    </xf>
    <xf numFmtId="0" fontId="7" fillId="0" borderId="1" xfId="1" applyFont="1" applyFill="1" applyBorder="1" applyAlignment="1" applyProtection="1">
      <alignment horizontal="center" vertical="top" wrapText="1"/>
    </xf>
    <xf numFmtId="0" fontId="8" fillId="2" borderId="1" xfId="0" applyFont="1" applyFill="1" applyBorder="1" applyAlignment="1">
      <alignment vertical="center"/>
    </xf>
    <xf numFmtId="0" fontId="5" fillId="0" borderId="1" xfId="0" applyFont="1" applyBorder="1" applyAlignment="1">
      <alignment vertical="center" wrapText="1"/>
    </xf>
    <xf numFmtId="0" fontId="1" fillId="0" borderId="1" xfId="0" applyFont="1" applyFill="1" applyBorder="1" applyAlignment="1">
      <alignment horizontal="center" vertical="top" wrapText="1"/>
    </xf>
    <xf numFmtId="0" fontId="1" fillId="0" borderId="1" xfId="0" applyFont="1" applyFill="1" applyBorder="1" applyAlignment="1">
      <alignment horizontal="left" vertical="top" wrapText="1"/>
    </xf>
    <xf numFmtId="0" fontId="1" fillId="0" borderId="1" xfId="0" applyFont="1" applyFill="1" applyBorder="1" applyAlignment="1">
      <alignment vertical="top" wrapText="1"/>
    </xf>
    <xf numFmtId="4" fontId="8" fillId="0" borderId="1" xfId="0" applyNumberFormat="1" applyFont="1" applyBorder="1" applyAlignment="1">
      <alignment horizontal="center" vertical="top" wrapText="1"/>
    </xf>
    <xf numFmtId="0" fontId="8" fillId="0" borderId="1" xfId="0" quotePrefix="1" applyFont="1" applyBorder="1" applyAlignment="1">
      <alignment horizontal="center" vertical="top" wrapText="1"/>
    </xf>
    <xf numFmtId="0" fontId="0" fillId="0" borderId="1" xfId="0" applyFill="1" applyBorder="1"/>
    <xf numFmtId="0" fontId="5" fillId="0" borderId="1" xfId="0" applyFont="1" applyFill="1" applyBorder="1" applyAlignment="1">
      <alignment horizontal="center" vertical="top"/>
    </xf>
    <xf numFmtId="0" fontId="4" fillId="0" borderId="1" xfId="0" applyFont="1" applyBorder="1" applyAlignment="1">
      <alignment horizontal="center" vertical="center" wrapText="1"/>
    </xf>
    <xf numFmtId="0" fontId="8" fillId="2" borderId="1" xfId="0" applyFont="1" applyFill="1" applyBorder="1" applyAlignment="1">
      <alignment horizontal="center" vertical="top"/>
    </xf>
    <xf numFmtId="0" fontId="9" fillId="0" borderId="1" xfId="0" applyFont="1" applyFill="1" applyBorder="1" applyAlignment="1">
      <alignment horizontal="left" vertical="center" wrapText="1"/>
    </xf>
    <xf numFmtId="0" fontId="22" fillId="3" borderId="1" xfId="0" applyFont="1" applyFill="1" applyBorder="1" applyAlignment="1">
      <alignment horizontal="left" vertical="center" wrapText="1"/>
    </xf>
    <xf numFmtId="0" fontId="0" fillId="0" borderId="1" xfId="0" applyFill="1" applyBorder="1" applyAlignment="1">
      <alignment horizontal="center" vertical="top" wrapText="1"/>
    </xf>
    <xf numFmtId="0" fontId="4" fillId="0" borderId="1" xfId="0" applyFont="1" applyFill="1" applyBorder="1" applyAlignment="1">
      <alignment horizontal="center" vertical="center" wrapText="1"/>
    </xf>
    <xf numFmtId="0" fontId="0" fillId="0" borderId="1" xfId="0" applyFill="1" applyBorder="1" applyAlignment="1">
      <alignment horizontal="center" vertical="center" wrapText="1"/>
    </xf>
    <xf numFmtId="0" fontId="8" fillId="2" borderId="1" xfId="0" applyFont="1" applyFill="1" applyBorder="1" applyAlignment="1">
      <alignment horizontal="center" vertical="top" wrapText="1"/>
    </xf>
    <xf numFmtId="0" fontId="4" fillId="2" borderId="1" xfId="0" applyFont="1" applyFill="1" applyBorder="1" applyAlignment="1">
      <alignment horizontal="center" vertical="top"/>
    </xf>
    <xf numFmtId="0" fontId="9" fillId="2" borderId="1" xfId="0" applyFont="1" applyFill="1" applyBorder="1" applyAlignment="1">
      <alignment horizontal="left" vertical="center" wrapText="1"/>
    </xf>
    <xf numFmtId="0" fontId="12" fillId="0" borderId="1" xfId="0" applyFont="1" applyBorder="1" applyAlignment="1">
      <alignment horizontal="center" vertical="center" wrapText="1"/>
    </xf>
    <xf numFmtId="0" fontId="11" fillId="3" borderId="1" xfId="0" applyFont="1" applyFill="1" applyBorder="1" applyAlignment="1">
      <alignment horizontal="left" vertical="center" wrapText="1"/>
    </xf>
    <xf numFmtId="0" fontId="4" fillId="4" borderId="1" xfId="0" applyFont="1" applyFill="1" applyBorder="1" applyAlignment="1">
      <alignment horizontal="center" vertical="top"/>
    </xf>
    <xf numFmtId="0" fontId="16" fillId="0" borderId="1" xfId="0" applyFont="1" applyBorder="1" applyAlignment="1">
      <alignment horizontal="center" vertical="center"/>
    </xf>
    <xf numFmtId="0" fontId="34" fillId="0" borderId="1" xfId="0" applyFont="1" applyBorder="1" applyAlignment="1">
      <alignment horizontal="center" vertical="center"/>
    </xf>
    <xf numFmtId="0" fontId="4" fillId="4" borderId="1" xfId="0" applyFont="1" applyFill="1" applyBorder="1" applyAlignment="1">
      <alignment horizontal="center" vertical="top" wrapText="1"/>
    </xf>
    <xf numFmtId="0" fontId="0" fillId="0" borderId="1" xfId="0" applyBorder="1" applyAlignment="1">
      <alignment horizontal="center" vertical="center" wrapText="1"/>
    </xf>
    <xf numFmtId="0" fontId="4" fillId="0" borderId="1" xfId="0" applyFont="1" applyBorder="1" applyAlignment="1">
      <alignment horizontal="center" vertical="top" wrapText="1"/>
    </xf>
    <xf numFmtId="0" fontId="8" fillId="2" borderId="1" xfId="0" applyFont="1" applyFill="1" applyBorder="1" applyAlignment="1">
      <alignment horizontal="center" vertical="center"/>
    </xf>
    <xf numFmtId="0" fontId="9" fillId="0"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8" fillId="0" borderId="1" xfId="0" applyFont="1" applyBorder="1" applyAlignment="1">
      <alignment horizontal="center" vertical="top"/>
    </xf>
    <xf numFmtId="0" fontId="4" fillId="2" borderId="1" xfId="0" applyFont="1" applyFill="1" applyBorder="1" applyAlignment="1">
      <alignment horizontal="center" vertical="center"/>
    </xf>
    <xf numFmtId="0" fontId="4" fillId="0" borderId="1" xfId="0" applyFont="1" applyBorder="1" applyAlignment="1">
      <alignment horizontal="center" vertical="top"/>
    </xf>
    <xf numFmtId="0" fontId="11" fillId="3" borderId="2" xfId="0" applyFont="1" applyFill="1" applyBorder="1" applyAlignment="1">
      <alignment horizontal="left" vertical="center" wrapText="1"/>
    </xf>
    <xf numFmtId="0" fontId="11" fillId="3" borderId="14" xfId="0" applyFont="1" applyFill="1" applyBorder="1" applyAlignment="1">
      <alignment horizontal="left" vertical="center" wrapText="1"/>
    </xf>
    <xf numFmtId="0" fontId="21" fillId="3" borderId="1" xfId="0" applyFont="1" applyFill="1" applyBorder="1" applyAlignment="1">
      <alignment horizontal="left" vertical="center" wrapText="1"/>
    </xf>
    <xf numFmtId="0" fontId="8" fillId="0" borderId="1" xfId="0" applyFont="1" applyBorder="1" applyAlignment="1">
      <alignment horizontal="right" vertical="top"/>
    </xf>
    <xf numFmtId="0" fontId="8" fillId="0" borderId="1" xfId="0" applyFont="1" applyBorder="1" applyAlignment="1">
      <alignment horizontal="center" vertical="top" wrapText="1"/>
    </xf>
    <xf numFmtId="0" fontId="8" fillId="2" borderId="1" xfId="0" applyFont="1" applyFill="1" applyBorder="1" applyAlignment="1">
      <alignment horizontal="left" vertical="center"/>
    </xf>
    <xf numFmtId="0" fontId="0" fillId="0" borderId="1" xfId="0" applyBorder="1"/>
    <xf numFmtId="0" fontId="4" fillId="0" borderId="1" xfId="0" applyFont="1" applyBorder="1" applyAlignment="1">
      <alignment horizontal="center" vertical="center"/>
    </xf>
    <xf numFmtId="0" fontId="15" fillId="0" borderId="1" xfId="0" applyFont="1" applyBorder="1" applyAlignment="1">
      <alignment horizontal="center" vertical="center"/>
    </xf>
    <xf numFmtId="0" fontId="5" fillId="2" borderId="1" xfId="0" applyFont="1" applyFill="1" applyBorder="1" applyAlignment="1">
      <alignment horizontal="center" vertical="center"/>
    </xf>
    <xf numFmtId="0" fontId="37" fillId="4"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8" fillId="0" borderId="1" xfId="0" applyFont="1" applyBorder="1" applyAlignment="1">
      <alignment horizontal="center" vertical="center"/>
    </xf>
    <xf numFmtId="0" fontId="0" fillId="0" borderId="12" xfId="0" applyBorder="1" applyAlignment="1">
      <alignment horizontal="center" vertical="center" wrapText="1"/>
    </xf>
    <xf numFmtId="0" fontId="4" fillId="0" borderId="1" xfId="0" applyFont="1" applyFill="1" applyBorder="1" applyAlignment="1">
      <alignment horizontal="center" vertical="top"/>
    </xf>
    <xf numFmtId="0" fontId="4" fillId="0" borderId="1" xfId="0" applyFont="1" applyBorder="1" applyAlignment="1">
      <alignment horizontal="left" vertical="top" wrapText="1"/>
    </xf>
    <xf numFmtId="0" fontId="8" fillId="2" borderId="1" xfId="0" applyFont="1" applyFill="1" applyBorder="1" applyAlignment="1">
      <alignment horizontal="center" vertical="center" wrapText="1"/>
    </xf>
    <xf numFmtId="0" fontId="4" fillId="2" borderId="1" xfId="0" applyFont="1" applyFill="1" applyBorder="1" applyAlignment="1">
      <alignment horizontal="center" vertical="top" wrapText="1"/>
    </xf>
    <xf numFmtId="0" fontId="9" fillId="2" borderId="1" xfId="0" applyFont="1" applyFill="1" applyBorder="1" applyAlignment="1">
      <alignment horizontal="center" vertical="center" wrapText="1"/>
    </xf>
    <xf numFmtId="0" fontId="36" fillId="4" borderId="1" xfId="0" applyFont="1" applyFill="1" applyBorder="1" applyAlignment="1">
      <alignment horizontal="center" vertical="top" wrapText="1"/>
    </xf>
    <xf numFmtId="0" fontId="5" fillId="2" borderId="1" xfId="0" applyFont="1" applyFill="1" applyBorder="1" applyAlignment="1">
      <alignment horizontal="center" vertical="top" wrapText="1"/>
    </xf>
    <xf numFmtId="0" fontId="8" fillId="0" borderId="1" xfId="0" applyFont="1" applyBorder="1" applyAlignment="1">
      <alignment horizontal="center"/>
    </xf>
    <xf numFmtId="0" fontId="4" fillId="0" borderId="1" xfId="0" applyFont="1" applyBorder="1" applyAlignment="1">
      <alignment horizontal="center"/>
    </xf>
    <xf numFmtId="0" fontId="1" fillId="2" borderId="2" xfId="0" applyFont="1" applyFill="1" applyBorder="1" applyAlignment="1">
      <alignment horizontal="center" vertical="top"/>
    </xf>
    <xf numFmtId="0" fontId="1" fillId="2" borderId="14" xfId="0" applyFont="1" applyFill="1" applyBorder="1" applyAlignment="1">
      <alignment horizontal="center" vertical="top"/>
    </xf>
    <xf numFmtId="0" fontId="1" fillId="2" borderId="3" xfId="0" applyFont="1" applyFill="1" applyBorder="1" applyAlignment="1">
      <alignment horizontal="center" vertical="top"/>
    </xf>
    <xf numFmtId="0" fontId="1" fillId="2" borderId="1" xfId="0" applyFont="1" applyFill="1" applyBorder="1" applyAlignment="1">
      <alignment horizontal="center" vertical="top"/>
    </xf>
    <xf numFmtId="0" fontId="1" fillId="0" borderId="1" xfId="0" applyFont="1" applyFill="1" applyBorder="1" applyAlignment="1">
      <alignment horizontal="center" vertical="top"/>
    </xf>
    <xf numFmtId="0" fontId="25" fillId="2" borderId="1" xfId="1" applyFont="1" applyFill="1" applyBorder="1" applyAlignment="1" applyProtection="1">
      <alignment horizontal="center" vertical="top" wrapText="1"/>
    </xf>
    <xf numFmtId="0" fontId="8" fillId="0" borderId="1" xfId="0" applyFont="1" applyBorder="1" applyAlignment="1">
      <alignment horizontal="left" vertical="top" wrapText="1"/>
    </xf>
    <xf numFmtId="0" fontId="24" fillId="0" borderId="1" xfId="0" applyFont="1" applyFill="1" applyBorder="1" applyAlignment="1">
      <alignment horizontal="center" vertical="top"/>
    </xf>
    <xf numFmtId="0" fontId="22" fillId="3" borderId="2" xfId="0" applyFont="1" applyFill="1" applyBorder="1" applyAlignment="1">
      <alignment horizontal="left" vertical="center" wrapText="1"/>
    </xf>
    <xf numFmtId="0" fontId="22" fillId="3" borderId="14" xfId="0" applyFont="1" applyFill="1" applyBorder="1" applyAlignment="1">
      <alignment horizontal="left" vertical="center" wrapText="1"/>
    </xf>
    <xf numFmtId="0" fontId="4" fillId="0" borderId="2" xfId="0" applyFont="1" applyBorder="1" applyAlignment="1">
      <alignment horizontal="left" vertical="top" wrapText="1"/>
    </xf>
    <xf numFmtId="0" fontId="4" fillId="0" borderId="14" xfId="0" applyFont="1" applyBorder="1" applyAlignment="1">
      <alignment horizontal="left" vertical="top" wrapText="1"/>
    </xf>
    <xf numFmtId="0" fontId="4" fillId="0" borderId="3" xfId="0" applyFont="1" applyBorder="1" applyAlignment="1">
      <alignment horizontal="left" vertical="top" wrapText="1"/>
    </xf>
    <xf numFmtId="0" fontId="5" fillId="2" borderId="2" xfId="0" applyFont="1" applyFill="1" applyBorder="1" applyAlignment="1">
      <alignment horizontal="center" vertical="top"/>
    </xf>
    <xf numFmtId="0" fontId="5" fillId="2" borderId="14" xfId="0" applyFont="1" applyFill="1" applyBorder="1" applyAlignment="1">
      <alignment horizontal="center" vertical="top"/>
    </xf>
    <xf numFmtId="0" fontId="5" fillId="2" borderId="3" xfId="0" applyFont="1" applyFill="1" applyBorder="1" applyAlignment="1">
      <alignment horizontal="center" vertical="top"/>
    </xf>
    <xf numFmtId="0" fontId="5" fillId="2" borderId="1" xfId="0" applyFont="1" applyFill="1" applyBorder="1" applyAlignment="1">
      <alignment horizontal="center" vertical="top"/>
    </xf>
    <xf numFmtId="0" fontId="9" fillId="2" borderId="2" xfId="0" applyFont="1" applyFill="1" applyBorder="1" applyAlignment="1">
      <alignment horizontal="left" vertical="top"/>
    </xf>
    <xf numFmtId="0" fontId="9" fillId="2" borderId="14" xfId="0" applyFont="1" applyFill="1" applyBorder="1" applyAlignment="1">
      <alignment horizontal="left" vertical="top"/>
    </xf>
    <xf numFmtId="0" fontId="9" fillId="2" borderId="3" xfId="0" applyFont="1" applyFill="1" applyBorder="1" applyAlignment="1">
      <alignment horizontal="left" vertical="top"/>
    </xf>
    <xf numFmtId="0" fontId="9" fillId="2" borderId="1" xfId="0" applyFont="1" applyFill="1" applyBorder="1" applyAlignment="1">
      <alignment horizontal="left" vertical="top"/>
    </xf>
    <xf numFmtId="0" fontId="21" fillId="3" borderId="14" xfId="0" applyFont="1" applyFill="1" applyBorder="1" applyAlignment="1">
      <alignment horizontal="left" vertical="center" wrapText="1"/>
    </xf>
    <xf numFmtId="0" fontId="4" fillId="0" borderId="2" xfId="0" applyFont="1" applyBorder="1" applyAlignment="1">
      <alignment horizontal="center" vertical="top" wrapText="1"/>
    </xf>
    <xf numFmtId="0" fontId="4" fillId="0" borderId="14" xfId="0" applyFont="1" applyBorder="1" applyAlignment="1">
      <alignment horizontal="center" vertical="top" wrapText="1"/>
    </xf>
    <xf numFmtId="0" fontId="4" fillId="0" borderId="3" xfId="0" applyFont="1" applyBorder="1" applyAlignment="1">
      <alignment horizontal="center" vertical="top" wrapText="1"/>
    </xf>
    <xf numFmtId="0" fontId="27" fillId="2" borderId="9" xfId="1" applyFont="1" applyFill="1" applyBorder="1" applyAlignment="1" applyProtection="1">
      <alignment horizontal="center" vertical="top" wrapText="1"/>
    </xf>
    <xf numFmtId="0" fontId="27" fillId="2" borderId="10" xfId="1" applyFont="1" applyFill="1" applyBorder="1" applyAlignment="1" applyProtection="1">
      <alignment horizontal="center" vertical="top" wrapText="1"/>
    </xf>
    <xf numFmtId="0" fontId="4" fillId="0" borderId="2" xfId="0" applyFont="1" applyBorder="1" applyAlignment="1">
      <alignment horizontal="center" vertical="top"/>
    </xf>
    <xf numFmtId="0" fontId="4" fillId="0" borderId="14" xfId="0" applyFont="1" applyBorder="1" applyAlignment="1">
      <alignment horizontal="center" vertical="top"/>
    </xf>
    <xf numFmtId="0" fontId="4" fillId="0" borderId="3" xfId="0" applyFont="1" applyBorder="1" applyAlignment="1">
      <alignment horizontal="center" vertical="top"/>
    </xf>
    <xf numFmtId="0" fontId="4" fillId="2" borderId="2" xfId="0" applyFont="1" applyFill="1" applyBorder="1" applyAlignment="1">
      <alignment horizontal="center" vertical="top"/>
    </xf>
    <xf numFmtId="0" fontId="4" fillId="2" borderId="14" xfId="0" applyFont="1" applyFill="1" applyBorder="1" applyAlignment="1">
      <alignment horizontal="center" vertical="top"/>
    </xf>
    <xf numFmtId="0" fontId="4" fillId="2" borderId="3" xfId="0" applyFont="1" applyFill="1" applyBorder="1" applyAlignment="1">
      <alignment horizontal="center" vertical="top"/>
    </xf>
    <xf numFmtId="0" fontId="17" fillId="0" borderId="2" xfId="0" applyFont="1" applyBorder="1" applyAlignment="1">
      <alignment horizontal="center"/>
    </xf>
    <xf numFmtId="0" fontId="17" fillId="0" borderId="14" xfId="0" applyFont="1" applyBorder="1" applyAlignment="1">
      <alignment horizontal="center"/>
    </xf>
    <xf numFmtId="0" fontId="17" fillId="0" borderId="3" xfId="0" applyFont="1" applyBorder="1" applyAlignment="1">
      <alignment horizontal="center"/>
    </xf>
    <xf numFmtId="0" fontId="29" fillId="0" borderId="11" xfId="0" applyFont="1" applyBorder="1" applyAlignment="1">
      <alignment horizontal="center" vertical="top" wrapText="1"/>
    </xf>
    <xf numFmtId="0" fontId="29" fillId="0" borderId="12" xfId="0" applyFont="1" applyBorder="1" applyAlignment="1">
      <alignment horizontal="center" vertical="top" wrapText="1"/>
    </xf>
    <xf numFmtId="0" fontId="29" fillId="0" borderId="13" xfId="0" applyFont="1" applyBorder="1" applyAlignment="1">
      <alignment horizontal="center" vertical="top" wrapText="1"/>
    </xf>
    <xf numFmtId="0" fontId="4" fillId="2" borderId="2" xfId="0" applyFont="1" applyFill="1" applyBorder="1" applyAlignment="1">
      <alignment horizontal="left" vertical="top" wrapText="1" readingOrder="1"/>
    </xf>
    <xf numFmtId="0" fontId="4" fillId="2" borderId="14" xfId="0" applyFont="1" applyFill="1" applyBorder="1" applyAlignment="1">
      <alignment horizontal="left" vertical="top" wrapText="1" readingOrder="1"/>
    </xf>
    <xf numFmtId="0" fontId="4" fillId="2" borderId="3" xfId="0" applyFont="1" applyFill="1" applyBorder="1" applyAlignment="1">
      <alignment horizontal="left" vertical="top" wrapText="1" readingOrder="1"/>
    </xf>
    <xf numFmtId="0" fontId="3" fillId="2" borderId="1" xfId="0" applyFont="1" applyFill="1" applyBorder="1" applyAlignment="1">
      <alignment horizontal="center" vertical="top"/>
    </xf>
    <xf numFmtId="0" fontId="11" fillId="3" borderId="11" xfId="0" applyFont="1" applyFill="1" applyBorder="1" applyAlignment="1">
      <alignment horizontal="left" vertical="top"/>
    </xf>
    <xf numFmtId="0" fontId="11" fillId="3" borderId="12" xfId="0" applyFont="1" applyFill="1" applyBorder="1" applyAlignment="1">
      <alignment horizontal="left" vertical="top"/>
    </xf>
    <xf numFmtId="0" fontId="11" fillId="3" borderId="13" xfId="0" applyFont="1" applyFill="1" applyBorder="1" applyAlignment="1">
      <alignment horizontal="left" vertical="top"/>
    </xf>
    <xf numFmtId="0" fontId="3" fillId="2" borderId="11" xfId="0" applyFont="1" applyFill="1" applyBorder="1" applyAlignment="1">
      <alignment horizontal="center" vertical="top"/>
    </xf>
    <xf numFmtId="0" fontId="3" fillId="2" borderId="12" xfId="0" applyFont="1" applyFill="1" applyBorder="1" applyAlignment="1">
      <alignment horizontal="center" vertical="top"/>
    </xf>
    <xf numFmtId="0" fontId="3" fillId="2" borderId="13" xfId="0" applyFont="1" applyFill="1" applyBorder="1" applyAlignment="1">
      <alignment horizontal="center" vertical="top"/>
    </xf>
    <xf numFmtId="0" fontId="3" fillId="2" borderId="7" xfId="0" applyFont="1" applyFill="1" applyBorder="1" applyAlignment="1">
      <alignment horizontal="center" vertical="top"/>
    </xf>
    <xf numFmtId="0" fontId="3" fillId="2" borderId="0" xfId="0" applyFont="1" applyFill="1" applyBorder="1" applyAlignment="1">
      <alignment horizontal="center" vertical="top"/>
    </xf>
    <xf numFmtId="0" fontId="3" fillId="2" borderId="8" xfId="0" applyFont="1" applyFill="1" applyBorder="1" applyAlignment="1">
      <alignment horizontal="center" vertical="top"/>
    </xf>
    <xf numFmtId="0" fontId="3" fillId="2" borderId="9" xfId="0" applyFont="1" applyFill="1" applyBorder="1" applyAlignment="1">
      <alignment horizontal="center" vertical="top"/>
    </xf>
    <xf numFmtId="0" fontId="3" fillId="2" borderId="10" xfId="0" applyFont="1" applyFill="1" applyBorder="1" applyAlignment="1">
      <alignment horizontal="center" vertical="top"/>
    </xf>
    <xf numFmtId="0" fontId="3" fillId="2" borderId="15" xfId="0" applyFont="1" applyFill="1" applyBorder="1" applyAlignment="1">
      <alignment horizontal="center" vertical="top"/>
    </xf>
    <xf numFmtId="0" fontId="4" fillId="2" borderId="2" xfId="0" applyFont="1" applyFill="1" applyBorder="1" applyAlignment="1">
      <alignment horizontal="left" vertical="top" wrapText="1"/>
    </xf>
    <xf numFmtId="0" fontId="4" fillId="2" borderId="14" xfId="0" applyFont="1" applyFill="1" applyBorder="1" applyAlignment="1">
      <alignment horizontal="left" vertical="top" wrapText="1"/>
    </xf>
    <xf numFmtId="0" fontId="4" fillId="2" borderId="3" xfId="0" applyFont="1" applyFill="1" applyBorder="1" applyAlignment="1">
      <alignment horizontal="left" vertical="top" wrapText="1"/>
    </xf>
    <xf numFmtId="0" fontId="4" fillId="0" borderId="2" xfId="0" applyFont="1" applyBorder="1" applyAlignment="1">
      <alignment horizontal="center" vertical="center"/>
    </xf>
    <xf numFmtId="0" fontId="4" fillId="0" borderId="14"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xf>
    <xf numFmtId="0" fontId="4" fillId="0" borderId="14" xfId="0" applyFont="1" applyBorder="1" applyAlignment="1">
      <alignment horizontal="center"/>
    </xf>
    <xf numFmtId="0" fontId="4" fillId="0" borderId="3" xfId="0" applyFont="1" applyBorder="1" applyAlignment="1">
      <alignment horizontal="center"/>
    </xf>
    <xf numFmtId="0" fontId="11" fillId="3" borderId="9" xfId="0" applyFont="1" applyFill="1" applyBorder="1" applyAlignment="1">
      <alignment horizontal="left" vertical="top"/>
    </xf>
    <xf numFmtId="0" fontId="11" fillId="3" borderId="10" xfId="0" applyFont="1" applyFill="1" applyBorder="1" applyAlignment="1">
      <alignment horizontal="left" vertical="top"/>
    </xf>
    <xf numFmtId="0" fontId="11" fillId="3" borderId="15" xfId="0" applyFont="1" applyFill="1" applyBorder="1" applyAlignment="1">
      <alignment horizontal="left" vertical="top"/>
    </xf>
    <xf numFmtId="0" fontId="23" fillId="2" borderId="2" xfId="1" applyFont="1" applyFill="1" applyBorder="1" applyAlignment="1" applyProtection="1">
      <alignment horizontal="center" vertical="top" wrapText="1"/>
    </xf>
    <xf numFmtId="0" fontId="23" fillId="2" borderId="14" xfId="1" applyFont="1" applyFill="1" applyBorder="1" applyAlignment="1" applyProtection="1">
      <alignment horizontal="center" vertical="top" wrapText="1"/>
    </xf>
    <xf numFmtId="0" fontId="23" fillId="2" borderId="3" xfId="1" applyFont="1" applyFill="1" applyBorder="1" applyAlignment="1" applyProtection="1">
      <alignment horizontal="center" vertical="top" wrapText="1"/>
    </xf>
    <xf numFmtId="0" fontId="4" fillId="2" borderId="4" xfId="0" applyFont="1" applyFill="1" applyBorder="1" applyAlignment="1">
      <alignment horizontal="center" vertical="top"/>
    </xf>
    <xf numFmtId="0" fontId="5" fillId="2" borderId="9" xfId="0" applyFont="1" applyFill="1" applyBorder="1" applyAlignment="1">
      <alignment horizontal="center" vertical="top"/>
    </xf>
    <xf numFmtId="0" fontId="5" fillId="2" borderId="10" xfId="0" applyFont="1" applyFill="1" applyBorder="1" applyAlignment="1">
      <alignment horizontal="center" vertical="top"/>
    </xf>
    <xf numFmtId="0" fontId="5" fillId="2" borderId="15" xfId="0" applyFont="1" applyFill="1" applyBorder="1" applyAlignment="1">
      <alignment horizontal="center" vertical="top"/>
    </xf>
    <xf numFmtId="0" fontId="17" fillId="0" borderId="1" xfId="0" applyFont="1" applyBorder="1" applyAlignment="1">
      <alignment horizontal="left" vertical="center" wrapText="1"/>
    </xf>
    <xf numFmtId="0" fontId="4" fillId="2" borderId="2"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3" xfId="0" applyFont="1" applyFill="1" applyBorder="1" applyAlignment="1">
      <alignment horizontal="center" vertical="center"/>
    </xf>
    <xf numFmtId="0" fontId="5" fillId="0" borderId="1" xfId="0" applyFont="1" applyBorder="1" applyAlignment="1">
      <alignment horizontal="center"/>
    </xf>
    <xf numFmtId="0" fontId="15" fillId="0" borderId="2" xfId="0" applyFont="1" applyBorder="1" applyAlignment="1">
      <alignment horizontal="center"/>
    </xf>
    <xf numFmtId="0" fontId="15" fillId="0" borderId="14" xfId="0" applyFont="1" applyBorder="1" applyAlignment="1">
      <alignment horizontal="center"/>
    </xf>
    <xf numFmtId="0" fontId="15" fillId="0" borderId="3" xfId="0" applyFont="1" applyBorder="1" applyAlignment="1">
      <alignment horizontal="center"/>
    </xf>
    <xf numFmtId="0" fontId="10" fillId="0" borderId="1" xfId="0" applyFont="1" applyFill="1" applyBorder="1" applyAlignment="1">
      <alignment horizontal="center"/>
    </xf>
    <xf numFmtId="0" fontId="30" fillId="0" borderId="2" xfId="0" applyFont="1" applyBorder="1" applyAlignment="1">
      <alignment horizontal="center" vertical="center"/>
    </xf>
    <xf numFmtId="0" fontId="30" fillId="0" borderId="14" xfId="0" applyFont="1" applyBorder="1" applyAlignment="1">
      <alignment horizontal="center" vertical="center"/>
    </xf>
    <xf numFmtId="0" fontId="30" fillId="0" borderId="3" xfId="0" applyFont="1" applyBorder="1" applyAlignment="1">
      <alignment horizontal="center" vertical="center"/>
    </xf>
    <xf numFmtId="0" fontId="11" fillId="3" borderId="1" xfId="0" applyFont="1" applyFill="1" applyBorder="1" applyAlignment="1">
      <alignment horizontal="left" vertical="top"/>
    </xf>
    <xf numFmtId="0" fontId="4" fillId="2" borderId="11" xfId="0" applyFont="1" applyFill="1" applyBorder="1" applyAlignment="1">
      <alignment horizontal="center" vertical="top"/>
    </xf>
    <xf numFmtId="0" fontId="4" fillId="2" borderId="12" xfId="0" applyFont="1" applyFill="1" applyBorder="1" applyAlignment="1">
      <alignment horizontal="center" vertical="top"/>
    </xf>
    <xf numFmtId="0" fontId="4" fillId="2" borderId="13" xfId="0" applyFont="1" applyFill="1" applyBorder="1" applyAlignment="1">
      <alignment horizontal="center" vertical="top"/>
    </xf>
    <xf numFmtId="0" fontId="4" fillId="2" borderId="7" xfId="0" applyFont="1" applyFill="1" applyBorder="1" applyAlignment="1">
      <alignment horizontal="center" vertical="top"/>
    </xf>
    <xf numFmtId="0" fontId="4" fillId="2" borderId="0" xfId="0" applyFont="1" applyFill="1" applyBorder="1" applyAlignment="1">
      <alignment horizontal="center" vertical="top"/>
    </xf>
    <xf numFmtId="0" fontId="4" fillId="2" borderId="8" xfId="0" applyFont="1" applyFill="1" applyBorder="1" applyAlignment="1">
      <alignment horizontal="center" vertical="top"/>
    </xf>
    <xf numFmtId="0" fontId="4" fillId="2" borderId="9" xfId="0" applyFont="1" applyFill="1" applyBorder="1" applyAlignment="1">
      <alignment horizontal="center" vertical="top"/>
    </xf>
    <xf numFmtId="0" fontId="4" fillId="2" borderId="10" xfId="0" applyFont="1" applyFill="1" applyBorder="1" applyAlignment="1">
      <alignment horizontal="center" vertical="top"/>
    </xf>
    <xf numFmtId="0" fontId="4" fillId="2" borderId="15" xfId="0" applyFont="1" applyFill="1" applyBorder="1" applyAlignment="1">
      <alignment horizontal="center" vertical="top"/>
    </xf>
    <xf numFmtId="0" fontId="5" fillId="0" borderId="2" xfId="0" applyFont="1" applyBorder="1" applyAlignment="1">
      <alignment horizontal="center"/>
    </xf>
    <xf numFmtId="0" fontId="5" fillId="0" borderId="14" xfId="0" applyFont="1" applyBorder="1" applyAlignment="1">
      <alignment horizontal="center"/>
    </xf>
    <xf numFmtId="0" fontId="5" fillId="0" borderId="3" xfId="0" applyFont="1" applyBorder="1" applyAlignment="1">
      <alignment horizontal="center"/>
    </xf>
    <xf numFmtId="0" fontId="4" fillId="0" borderId="2" xfId="0" applyFont="1" applyBorder="1" applyAlignment="1">
      <alignment horizontal="left" vertical="top"/>
    </xf>
    <xf numFmtId="0" fontId="4" fillId="0" borderId="14" xfId="0" applyFont="1" applyBorder="1" applyAlignment="1">
      <alignment horizontal="left" vertical="top"/>
    </xf>
    <xf numFmtId="0" fontId="4" fillId="0" borderId="3" xfId="0" applyFont="1" applyBorder="1" applyAlignment="1">
      <alignment horizontal="left" vertical="top"/>
    </xf>
    <xf numFmtId="0" fontId="18" fillId="0" borderId="8" xfId="0" applyFont="1" applyBorder="1" applyAlignment="1">
      <alignment horizontal="left" vertical="top" wrapText="1"/>
    </xf>
    <xf numFmtId="0" fontId="18" fillId="0" borderId="6" xfId="0" applyFont="1" applyBorder="1" applyAlignment="1">
      <alignment horizontal="left" vertical="top" wrapText="1"/>
    </xf>
    <xf numFmtId="0" fontId="18" fillId="0" borderId="5" xfId="0" applyFont="1" applyBorder="1" applyAlignment="1">
      <alignment horizontal="left" vertical="top" wrapText="1"/>
    </xf>
    <xf numFmtId="0" fontId="9" fillId="2" borderId="9" xfId="0" applyFont="1" applyFill="1" applyBorder="1" applyAlignment="1">
      <alignment horizontal="left" vertical="top"/>
    </xf>
    <xf numFmtId="0" fontId="9" fillId="2" borderId="10" xfId="0" applyFont="1" applyFill="1" applyBorder="1" applyAlignment="1">
      <alignment horizontal="left" vertical="top"/>
    </xf>
    <xf numFmtId="0" fontId="9" fillId="2" borderId="15" xfId="0" applyFont="1" applyFill="1" applyBorder="1" applyAlignment="1">
      <alignment horizontal="left" vertical="top"/>
    </xf>
    <xf numFmtId="0" fontId="11" fillId="3" borderId="2" xfId="0" applyFont="1" applyFill="1" applyBorder="1" applyAlignment="1">
      <alignment horizontal="left" vertical="top"/>
    </xf>
    <xf numFmtId="0" fontId="11" fillId="3" borderId="14" xfId="0" applyFont="1" applyFill="1" applyBorder="1" applyAlignment="1">
      <alignment horizontal="left" vertical="top"/>
    </xf>
    <xf numFmtId="0" fontId="11" fillId="3" borderId="3" xfId="0" applyFont="1" applyFill="1" applyBorder="1" applyAlignment="1">
      <alignment horizontal="left" vertical="top"/>
    </xf>
    <xf numFmtId="0" fontId="4" fillId="2" borderId="2" xfId="0" applyFont="1" applyFill="1" applyBorder="1" applyAlignment="1">
      <alignment horizontal="center" vertical="top" wrapText="1"/>
    </xf>
    <xf numFmtId="0" fontId="4" fillId="2" borderId="14" xfId="0" applyFont="1" applyFill="1" applyBorder="1" applyAlignment="1">
      <alignment horizontal="center" vertical="top" wrapText="1"/>
    </xf>
    <xf numFmtId="0" fontId="4" fillId="2" borderId="3" xfId="0" applyFont="1" applyFill="1" applyBorder="1" applyAlignment="1">
      <alignment horizontal="center" vertical="top" wrapText="1"/>
    </xf>
    <xf numFmtId="0" fontId="16" fillId="2" borderId="2" xfId="1" applyFont="1" applyFill="1" applyBorder="1" applyAlignment="1" applyProtection="1">
      <alignment horizontal="center" vertical="top" wrapText="1"/>
    </xf>
    <xf numFmtId="0" fontId="16" fillId="2" borderId="14" xfId="1" applyFont="1" applyFill="1" applyBorder="1" applyAlignment="1" applyProtection="1">
      <alignment horizontal="center" vertical="top" wrapText="1"/>
    </xf>
    <xf numFmtId="0" fontId="16" fillId="2" borderId="3" xfId="1" applyFont="1" applyFill="1" applyBorder="1" applyAlignment="1" applyProtection="1">
      <alignment horizontal="center" vertical="top" wrapText="1"/>
    </xf>
    <xf numFmtId="0" fontId="16" fillId="0" borderId="17" xfId="0" applyFont="1" applyBorder="1" applyAlignment="1">
      <alignment horizontal="center" vertical="top" wrapText="1"/>
    </xf>
    <xf numFmtId="0" fontId="16" fillId="0" borderId="14" xfId="0" applyFont="1" applyBorder="1" applyAlignment="1">
      <alignment horizontal="center" vertical="top" wrapText="1"/>
    </xf>
    <xf numFmtId="0" fontId="16" fillId="0" borderId="3" xfId="0" applyFont="1" applyBorder="1" applyAlignment="1">
      <alignment horizontal="center" vertical="top" wrapText="1"/>
    </xf>
    <xf numFmtId="0" fontId="33" fillId="0" borderId="2" xfId="0" applyFont="1" applyBorder="1" applyAlignment="1">
      <alignment horizontal="center"/>
    </xf>
    <xf numFmtId="0" fontId="33" fillId="0" borderId="14" xfId="0" applyFont="1" applyBorder="1" applyAlignment="1">
      <alignment horizontal="center"/>
    </xf>
    <xf numFmtId="0" fontId="33" fillId="0" borderId="3" xfId="0" applyFont="1" applyBorder="1" applyAlignment="1">
      <alignment horizontal="center"/>
    </xf>
    <xf numFmtId="0" fontId="0" fillId="0" borderId="1" xfId="0" applyBorder="1" applyAlignment="1">
      <alignment horizontal="center"/>
    </xf>
    <xf numFmtId="0" fontId="4" fillId="0" borderId="1" xfId="0" applyFont="1" applyFill="1" applyBorder="1" applyAlignment="1">
      <alignment horizontal="center" vertical="top" wrapText="1"/>
    </xf>
    <xf numFmtId="0" fontId="4" fillId="0" borderId="1" xfId="0" applyFont="1" applyFill="1" applyBorder="1" applyAlignment="1">
      <alignment horizontal="left" vertical="top" wrapText="1"/>
    </xf>
    <xf numFmtId="0" fontId="16" fillId="0" borderId="1" xfId="0" applyFont="1" applyBorder="1" applyAlignment="1">
      <alignment horizontal="justify" vertical="top" wrapText="1"/>
    </xf>
    <xf numFmtId="0" fontId="34" fillId="0" borderId="1" xfId="0" applyFont="1" applyBorder="1" applyAlignment="1">
      <alignment horizontal="justify" vertical="top" wrapText="1"/>
    </xf>
    <xf numFmtId="0" fontId="34" fillId="0" borderId="1" xfId="0" applyFont="1" applyBorder="1" applyAlignment="1">
      <alignment horizontal="left" vertical="top"/>
    </xf>
    <xf numFmtId="0" fontId="34" fillId="0" borderId="1" xfId="0" applyFont="1" applyBorder="1" applyAlignment="1">
      <alignment horizontal="left" vertical="top" wrapText="1"/>
    </xf>
    <xf numFmtId="1" fontId="4" fillId="0" borderId="1" xfId="0" applyNumberFormat="1" applyFont="1" applyBorder="1" applyAlignment="1">
      <alignment horizontal="center" vertical="top" wrapText="1"/>
    </xf>
    <xf numFmtId="0" fontId="4" fillId="0" borderId="1" xfId="0" quotePrefix="1" applyFont="1" applyBorder="1" applyAlignment="1">
      <alignment horizontal="center" vertical="top" wrapText="1"/>
    </xf>
    <xf numFmtId="0" fontId="8" fillId="0" borderId="1" xfId="0" applyNumberFormat="1" applyFont="1" applyFill="1" applyBorder="1" applyAlignment="1" applyProtection="1">
      <alignment horizontal="left" vertical="top" wrapText="1"/>
    </xf>
    <xf numFmtId="0" fontId="16" fillId="0" borderId="1" xfId="0" applyFont="1" applyFill="1" applyBorder="1" applyAlignment="1">
      <alignment horizontal="center" vertical="top" wrapText="1"/>
    </xf>
    <xf numFmtId="0" fontId="8" fillId="0" borderId="1" xfId="0" applyNumberFormat="1" applyFont="1" applyFill="1" applyBorder="1" applyAlignment="1" applyProtection="1">
      <alignment horizontal="center" vertical="top" wrapText="1"/>
    </xf>
    <xf numFmtId="0" fontId="8" fillId="0"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0" fillId="0" borderId="1" xfId="0" applyBorder="1" applyAlignment="1">
      <alignment horizontal="center" vertical="top"/>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XDB629"/>
  <sheetViews>
    <sheetView view="pageBreakPreview" zoomScale="60" workbookViewId="0">
      <selection activeCell="C650" sqref="C650"/>
    </sheetView>
  </sheetViews>
  <sheetFormatPr defaultRowHeight="15"/>
  <cols>
    <col min="1" max="1" width="7.7109375" style="2" customWidth="1"/>
    <col min="2" max="2" width="15.7109375" style="48" customWidth="1"/>
    <col min="3" max="3" width="22.7109375" style="48" customWidth="1"/>
    <col min="4" max="4" width="24.7109375" style="48" customWidth="1"/>
    <col min="5" max="5" width="20.5703125" style="47" customWidth="1"/>
    <col min="6" max="6" width="15.5703125" style="47" customWidth="1"/>
    <col min="7" max="7" width="15.28515625" style="47" customWidth="1"/>
    <col min="8" max="8" width="15.42578125" style="47" customWidth="1"/>
    <col min="9" max="9" width="23.85546875" style="47" customWidth="1"/>
    <col min="10" max="10" width="12.140625" style="47" customWidth="1"/>
    <col min="11" max="11" width="16.28515625" style="47" customWidth="1"/>
    <col min="12" max="12" width="18.140625" style="47" customWidth="1"/>
    <col min="13" max="13" width="22" style="47" customWidth="1"/>
    <col min="14" max="14" width="15.42578125" style="47" customWidth="1"/>
    <col min="15" max="15" width="29.7109375" style="47" customWidth="1"/>
    <col min="16" max="16" width="28.85546875" style="47" customWidth="1"/>
    <col min="17" max="16384" width="9.140625" style="2"/>
  </cols>
  <sheetData>
    <row r="1" spans="1:16" ht="25.5">
      <c r="A1" s="260" t="s">
        <v>18</v>
      </c>
      <c r="B1" s="260"/>
      <c r="C1" s="260"/>
      <c r="D1" s="260"/>
      <c r="E1" s="260"/>
      <c r="F1" s="260"/>
      <c r="G1" s="260"/>
      <c r="H1" s="260"/>
      <c r="I1" s="260"/>
      <c r="J1" s="260"/>
      <c r="K1" s="260"/>
      <c r="L1" s="260"/>
      <c r="M1" s="260"/>
      <c r="N1" s="260"/>
      <c r="O1" s="260"/>
      <c r="P1" s="260"/>
    </row>
    <row r="2" spans="1:16" ht="22.5">
      <c r="A2" s="261" t="s">
        <v>1199</v>
      </c>
      <c r="B2" s="261"/>
      <c r="C2" s="261"/>
      <c r="D2" s="261"/>
      <c r="E2" s="261"/>
      <c r="F2" s="261"/>
      <c r="G2" s="261"/>
      <c r="H2" s="261"/>
      <c r="I2" s="261"/>
      <c r="J2" s="261"/>
      <c r="K2" s="261"/>
      <c r="L2" s="261"/>
      <c r="M2" s="261"/>
      <c r="N2" s="261"/>
      <c r="O2" s="261"/>
      <c r="P2" s="261"/>
    </row>
    <row r="3" spans="1:16" ht="20.25">
      <c r="A3" s="259" t="s">
        <v>17</v>
      </c>
      <c r="B3" s="259"/>
      <c r="C3" s="259"/>
      <c r="D3" s="259"/>
      <c r="E3" s="259"/>
      <c r="F3" s="259"/>
      <c r="G3" s="259"/>
      <c r="H3" s="259"/>
      <c r="I3" s="259"/>
      <c r="J3" s="259"/>
      <c r="K3" s="259"/>
      <c r="L3" s="259"/>
      <c r="M3" s="259"/>
      <c r="N3" s="259"/>
      <c r="O3" s="259"/>
      <c r="P3" s="259"/>
    </row>
    <row r="4" spans="1:16" s="3" customFormat="1" ht="85.5">
      <c r="A4" s="25" t="s">
        <v>0</v>
      </c>
      <c r="B4" s="25" t="s">
        <v>105</v>
      </c>
      <c r="C4" s="25" t="s">
        <v>1</v>
      </c>
      <c r="D4" s="25" t="s">
        <v>106</v>
      </c>
      <c r="E4" s="25" t="s">
        <v>3</v>
      </c>
      <c r="F4" s="25" t="s">
        <v>4</v>
      </c>
      <c r="G4" s="25" t="s">
        <v>107</v>
      </c>
      <c r="H4" s="25" t="s">
        <v>108</v>
      </c>
      <c r="I4" s="25" t="s">
        <v>99</v>
      </c>
      <c r="J4" s="25" t="s">
        <v>5</v>
      </c>
      <c r="K4" s="25" t="s">
        <v>6</v>
      </c>
      <c r="L4" s="25" t="s">
        <v>7</v>
      </c>
      <c r="M4" s="26" t="s">
        <v>8</v>
      </c>
      <c r="N4" s="26" t="s">
        <v>9</v>
      </c>
      <c r="O4" s="25" t="s">
        <v>10</v>
      </c>
      <c r="P4" s="24" t="s">
        <v>11</v>
      </c>
    </row>
    <row r="5" spans="1:16">
      <c r="A5" s="1">
        <v>1</v>
      </c>
      <c r="B5" s="25">
        <v>2</v>
      </c>
      <c r="C5" s="25">
        <v>3</v>
      </c>
      <c r="D5" s="25">
        <v>4</v>
      </c>
      <c r="E5" s="25">
        <v>5</v>
      </c>
      <c r="F5" s="25">
        <v>6</v>
      </c>
      <c r="G5" s="25">
        <v>7</v>
      </c>
      <c r="H5" s="25">
        <v>8</v>
      </c>
      <c r="I5" s="25">
        <v>9</v>
      </c>
      <c r="J5" s="25">
        <v>10</v>
      </c>
      <c r="K5" s="25">
        <v>11</v>
      </c>
      <c r="L5" s="25">
        <v>12</v>
      </c>
      <c r="M5" s="25">
        <v>13</v>
      </c>
      <c r="N5" s="25">
        <v>14</v>
      </c>
      <c r="O5" s="25">
        <v>15</v>
      </c>
      <c r="P5" s="25">
        <v>16</v>
      </c>
    </row>
    <row r="6" spans="1:16">
      <c r="A6" s="282" t="s">
        <v>27</v>
      </c>
      <c r="B6" s="283"/>
      <c r="C6" s="283"/>
      <c r="D6" s="283"/>
      <c r="E6" s="283"/>
      <c r="F6" s="283"/>
      <c r="G6" s="283"/>
      <c r="H6" s="283"/>
      <c r="I6" s="283"/>
      <c r="J6" s="283"/>
      <c r="K6" s="283"/>
      <c r="L6" s="283"/>
      <c r="M6" s="283"/>
      <c r="N6" s="283"/>
      <c r="O6" s="283"/>
      <c r="P6" s="283"/>
    </row>
    <row r="7" spans="1:16">
      <c r="A7" s="283"/>
      <c r="B7" s="283"/>
      <c r="C7" s="283"/>
      <c r="D7" s="283"/>
      <c r="E7" s="283"/>
      <c r="F7" s="283"/>
      <c r="G7" s="283"/>
      <c r="H7" s="283"/>
      <c r="I7" s="283"/>
      <c r="J7" s="283"/>
      <c r="K7" s="283"/>
      <c r="L7" s="283"/>
      <c r="M7" s="283"/>
      <c r="N7" s="283"/>
      <c r="O7" s="283"/>
      <c r="P7" s="283"/>
    </row>
    <row r="8" spans="1:16" ht="20.25" customHeight="1">
      <c r="A8" s="259" t="s">
        <v>28</v>
      </c>
      <c r="B8" s="259"/>
      <c r="C8" s="259"/>
      <c r="D8" s="259"/>
      <c r="E8" s="259"/>
      <c r="F8" s="259"/>
      <c r="G8" s="259"/>
      <c r="H8" s="259"/>
      <c r="I8" s="259"/>
      <c r="J8" s="259"/>
      <c r="K8" s="259"/>
      <c r="L8" s="259"/>
      <c r="M8" s="259"/>
      <c r="N8" s="259"/>
      <c r="O8" s="259"/>
      <c r="P8" s="293"/>
    </row>
    <row r="9" spans="1:16" ht="85.5">
      <c r="A9" s="25" t="s">
        <v>0</v>
      </c>
      <c r="B9" s="25" t="s">
        <v>102</v>
      </c>
      <c r="C9" s="25" t="s">
        <v>1</v>
      </c>
      <c r="D9" s="25" t="s">
        <v>109</v>
      </c>
      <c r="E9" s="26" t="s">
        <v>19</v>
      </c>
      <c r="F9" s="26" t="s">
        <v>20</v>
      </c>
      <c r="G9" s="25" t="s">
        <v>100</v>
      </c>
      <c r="H9" s="25" t="s">
        <v>101</v>
      </c>
      <c r="I9" s="25" t="s">
        <v>103</v>
      </c>
      <c r="J9" s="25" t="s">
        <v>5</v>
      </c>
      <c r="K9" s="25" t="s">
        <v>6</v>
      </c>
      <c r="L9" s="25" t="s">
        <v>23</v>
      </c>
      <c r="M9" s="25" t="s">
        <v>24</v>
      </c>
      <c r="N9" s="26" t="s">
        <v>25</v>
      </c>
      <c r="O9" s="24" t="s">
        <v>26</v>
      </c>
      <c r="P9" s="293"/>
    </row>
    <row r="10" spans="1:16" ht="15" customHeight="1">
      <c r="A10" s="219">
        <v>1</v>
      </c>
      <c r="B10" s="224">
        <v>2</v>
      </c>
      <c r="C10" s="224">
        <v>3</v>
      </c>
      <c r="D10" s="224">
        <v>4</v>
      </c>
      <c r="E10" s="224">
        <v>5</v>
      </c>
      <c r="F10" s="224">
        <v>6</v>
      </c>
      <c r="G10" s="224">
        <v>7</v>
      </c>
      <c r="H10" s="224">
        <v>8</v>
      </c>
      <c r="I10" s="224">
        <v>9</v>
      </c>
      <c r="J10" s="224">
        <v>10</v>
      </c>
      <c r="K10" s="224">
        <v>11</v>
      </c>
      <c r="L10" s="224">
        <v>12</v>
      </c>
      <c r="M10" s="224">
        <v>13</v>
      </c>
      <c r="N10" s="224">
        <v>14</v>
      </c>
      <c r="O10" s="224">
        <v>15</v>
      </c>
      <c r="P10" s="293"/>
    </row>
    <row r="11" spans="1:16" ht="15" customHeight="1">
      <c r="A11" s="282" t="s">
        <v>27</v>
      </c>
      <c r="B11" s="282"/>
      <c r="C11" s="282"/>
      <c r="D11" s="282"/>
      <c r="E11" s="282"/>
      <c r="F11" s="282"/>
      <c r="G11" s="282"/>
      <c r="H11" s="282"/>
      <c r="I11" s="282"/>
      <c r="J11" s="282"/>
      <c r="K11" s="282"/>
      <c r="L11" s="282"/>
      <c r="M11" s="282"/>
      <c r="N11" s="282"/>
      <c r="O11" s="282"/>
      <c r="P11" s="293"/>
    </row>
    <row r="12" spans="1:16" ht="15" customHeight="1">
      <c r="A12" s="292"/>
      <c r="B12" s="292"/>
      <c r="C12" s="292"/>
      <c r="D12" s="292"/>
      <c r="E12" s="292"/>
      <c r="F12" s="292"/>
      <c r="G12" s="292"/>
      <c r="H12" s="292"/>
      <c r="I12" s="292"/>
      <c r="J12" s="292"/>
      <c r="K12" s="292"/>
      <c r="L12" s="292"/>
      <c r="M12" s="292"/>
      <c r="N12" s="292"/>
      <c r="O12" s="292"/>
      <c r="P12" s="292"/>
    </row>
    <row r="13" spans="1:16" ht="20.25" customHeight="1">
      <c r="A13" s="259" t="s">
        <v>34</v>
      </c>
      <c r="B13" s="281"/>
      <c r="C13" s="281"/>
      <c r="D13" s="281"/>
      <c r="E13" s="281"/>
      <c r="F13" s="281"/>
      <c r="G13" s="281"/>
      <c r="H13" s="281"/>
      <c r="I13" s="281"/>
      <c r="J13" s="281"/>
      <c r="K13" s="281"/>
      <c r="L13" s="281"/>
      <c r="M13" s="281"/>
      <c r="N13" s="281"/>
      <c r="O13" s="281"/>
      <c r="P13" s="293"/>
    </row>
    <row r="14" spans="1:16" ht="85.5">
      <c r="A14" s="25" t="s">
        <v>0</v>
      </c>
      <c r="B14" s="25" t="s">
        <v>102</v>
      </c>
      <c r="C14" s="25" t="s">
        <v>1</v>
      </c>
      <c r="D14" s="25" t="s">
        <v>109</v>
      </c>
      <c r="E14" s="25" t="s">
        <v>29</v>
      </c>
      <c r="F14" s="25" t="s">
        <v>20</v>
      </c>
      <c r="G14" s="25" t="s">
        <v>104</v>
      </c>
      <c r="H14" s="25" t="s">
        <v>101</v>
      </c>
      <c r="I14" s="25" t="s">
        <v>98</v>
      </c>
      <c r="J14" s="25" t="s">
        <v>5</v>
      </c>
      <c r="K14" s="25" t="s">
        <v>6</v>
      </c>
      <c r="L14" s="25" t="s">
        <v>31</v>
      </c>
      <c r="M14" s="25" t="s">
        <v>24</v>
      </c>
      <c r="N14" s="26" t="s">
        <v>32</v>
      </c>
      <c r="O14" s="24" t="s">
        <v>11</v>
      </c>
      <c r="P14" s="293"/>
    </row>
    <row r="15" spans="1:16" ht="15" customHeight="1">
      <c r="A15" s="219">
        <v>1</v>
      </c>
      <c r="B15" s="224">
        <v>2</v>
      </c>
      <c r="C15" s="224">
        <v>3</v>
      </c>
      <c r="D15" s="224">
        <v>4</v>
      </c>
      <c r="E15" s="224">
        <v>5</v>
      </c>
      <c r="F15" s="224">
        <v>6</v>
      </c>
      <c r="G15" s="224">
        <v>7</v>
      </c>
      <c r="H15" s="224">
        <v>8</v>
      </c>
      <c r="I15" s="224">
        <v>9</v>
      </c>
      <c r="J15" s="224">
        <v>10</v>
      </c>
      <c r="K15" s="224">
        <v>11</v>
      </c>
      <c r="L15" s="224">
        <v>12</v>
      </c>
      <c r="M15" s="224">
        <v>13</v>
      </c>
      <c r="N15" s="224">
        <v>14</v>
      </c>
      <c r="O15" s="224">
        <v>15</v>
      </c>
      <c r="P15" s="293"/>
    </row>
    <row r="16" spans="1:16" ht="15" customHeight="1">
      <c r="A16" s="282" t="s">
        <v>27</v>
      </c>
      <c r="B16" s="282"/>
      <c r="C16" s="282"/>
      <c r="D16" s="282"/>
      <c r="E16" s="282"/>
      <c r="F16" s="282"/>
      <c r="G16" s="282"/>
      <c r="H16" s="282"/>
      <c r="I16" s="282"/>
      <c r="J16" s="282"/>
      <c r="K16" s="282"/>
      <c r="L16" s="282"/>
      <c r="M16" s="282"/>
      <c r="N16" s="282"/>
      <c r="O16" s="282"/>
      <c r="P16" s="293"/>
    </row>
    <row r="17" spans="1:16" ht="15" customHeight="1">
      <c r="A17" s="258"/>
      <c r="B17" s="258"/>
      <c r="C17" s="258"/>
      <c r="D17" s="258"/>
      <c r="E17" s="258"/>
      <c r="F17" s="258"/>
      <c r="G17" s="258"/>
      <c r="H17" s="258"/>
      <c r="I17" s="258"/>
      <c r="J17" s="258"/>
      <c r="K17" s="258"/>
      <c r="L17" s="258"/>
      <c r="M17" s="258"/>
      <c r="N17" s="258"/>
      <c r="O17" s="258"/>
      <c r="P17" s="293"/>
    </row>
    <row r="18" spans="1:16" ht="20.25">
      <c r="A18" s="259" t="s">
        <v>35</v>
      </c>
      <c r="B18" s="259"/>
      <c r="C18" s="259"/>
      <c r="D18" s="259"/>
      <c r="E18" s="259"/>
      <c r="F18" s="259"/>
      <c r="G18" s="259"/>
      <c r="H18" s="259"/>
      <c r="I18" s="259"/>
      <c r="J18" s="259"/>
      <c r="K18" s="259"/>
      <c r="L18" s="259"/>
      <c r="M18" s="259"/>
      <c r="N18" s="259"/>
      <c r="O18" s="259"/>
      <c r="P18" s="259"/>
    </row>
    <row r="19" spans="1:16" ht="85.5">
      <c r="A19" s="25" t="s">
        <v>0</v>
      </c>
      <c r="B19" s="25" t="s">
        <v>102</v>
      </c>
      <c r="C19" s="25" t="s">
        <v>1</v>
      </c>
      <c r="D19" s="25" t="s">
        <v>109</v>
      </c>
      <c r="E19" s="25" t="s">
        <v>29</v>
      </c>
      <c r="F19" s="25" t="s">
        <v>20</v>
      </c>
      <c r="G19" s="25" t="s">
        <v>97</v>
      </c>
      <c r="H19" s="25" t="s">
        <v>101</v>
      </c>
      <c r="I19" s="25" t="s">
        <v>98</v>
      </c>
      <c r="J19" s="25" t="s">
        <v>5</v>
      </c>
      <c r="K19" s="25" t="s">
        <v>6</v>
      </c>
      <c r="L19" s="25" t="s">
        <v>31</v>
      </c>
      <c r="M19" s="25" t="s">
        <v>24</v>
      </c>
      <c r="N19" s="26" t="s">
        <v>33</v>
      </c>
      <c r="O19" s="26" t="s">
        <v>32</v>
      </c>
      <c r="P19" s="24" t="s">
        <v>26</v>
      </c>
    </row>
    <row r="20" spans="1:16">
      <c r="A20" s="25">
        <v>1</v>
      </c>
      <c r="B20" s="25">
        <v>2</v>
      </c>
      <c r="C20" s="25">
        <v>3</v>
      </c>
      <c r="D20" s="25">
        <v>4</v>
      </c>
      <c r="E20" s="25">
        <v>5</v>
      </c>
      <c r="F20" s="25">
        <v>6</v>
      </c>
      <c r="G20" s="25">
        <v>7</v>
      </c>
      <c r="H20" s="25">
        <v>8</v>
      </c>
      <c r="I20" s="25">
        <v>9</v>
      </c>
      <c r="J20" s="25">
        <v>10</v>
      </c>
      <c r="K20" s="25">
        <v>11</v>
      </c>
      <c r="L20" s="25">
        <v>12</v>
      </c>
      <c r="M20" s="25">
        <v>13</v>
      </c>
      <c r="N20" s="25">
        <v>14</v>
      </c>
      <c r="O20" s="25">
        <v>15</v>
      </c>
      <c r="P20" s="25">
        <v>16</v>
      </c>
    </row>
    <row r="21" spans="1:16" customFormat="1">
      <c r="A21" s="267" t="s">
        <v>27</v>
      </c>
      <c r="B21" s="267"/>
      <c r="C21" s="267"/>
      <c r="D21" s="267"/>
      <c r="E21" s="267"/>
      <c r="F21" s="267"/>
      <c r="G21" s="267"/>
      <c r="H21" s="267"/>
      <c r="I21" s="267"/>
      <c r="J21" s="267"/>
      <c r="K21" s="267"/>
      <c r="L21" s="267"/>
      <c r="M21" s="267"/>
      <c r="N21" s="267"/>
      <c r="O21" s="267"/>
      <c r="P21" s="267"/>
    </row>
    <row r="22" spans="1:16">
      <c r="A22" s="284"/>
      <c r="B22" s="284"/>
      <c r="C22" s="284"/>
      <c r="D22" s="284"/>
      <c r="E22" s="284"/>
      <c r="F22" s="284"/>
      <c r="G22" s="284"/>
      <c r="H22" s="284"/>
      <c r="I22" s="284"/>
      <c r="J22" s="284"/>
      <c r="K22" s="284"/>
      <c r="L22" s="284"/>
      <c r="M22" s="284"/>
      <c r="N22" s="284"/>
      <c r="O22" s="284"/>
      <c r="P22" s="284"/>
    </row>
    <row r="23" spans="1:16" ht="22.5">
      <c r="A23" s="261" t="s">
        <v>1200</v>
      </c>
      <c r="B23" s="261"/>
      <c r="C23" s="261"/>
      <c r="D23" s="261"/>
      <c r="E23" s="261"/>
      <c r="F23" s="261"/>
      <c r="G23" s="261"/>
      <c r="H23" s="261"/>
      <c r="I23" s="261"/>
      <c r="J23" s="261"/>
      <c r="K23" s="261"/>
      <c r="L23" s="261"/>
      <c r="M23" s="261"/>
      <c r="N23" s="261"/>
      <c r="O23" s="261"/>
      <c r="P23" s="261"/>
    </row>
    <row r="24" spans="1:16" ht="20.25">
      <c r="A24" s="259" t="s">
        <v>17</v>
      </c>
      <c r="B24" s="259"/>
      <c r="C24" s="259"/>
      <c r="D24" s="259"/>
      <c r="E24" s="259"/>
      <c r="F24" s="259"/>
      <c r="G24" s="259"/>
      <c r="H24" s="259"/>
      <c r="I24" s="259"/>
      <c r="J24" s="259"/>
      <c r="K24" s="259"/>
      <c r="L24" s="259"/>
      <c r="M24" s="259"/>
      <c r="N24" s="259"/>
      <c r="O24" s="259"/>
      <c r="P24" s="259"/>
    </row>
    <row r="25" spans="1:16" ht="31.5" customHeight="1">
      <c r="A25" s="25" t="s">
        <v>0</v>
      </c>
      <c r="B25" s="25" t="s">
        <v>105</v>
      </c>
      <c r="C25" s="25" t="s">
        <v>1</v>
      </c>
      <c r="D25" s="25" t="s">
        <v>106</v>
      </c>
      <c r="E25" s="25" t="s">
        <v>3</v>
      </c>
      <c r="F25" s="25" t="s">
        <v>4</v>
      </c>
      <c r="G25" s="25" t="s">
        <v>107</v>
      </c>
      <c r="H25" s="25" t="s">
        <v>108</v>
      </c>
      <c r="I25" s="25" t="s">
        <v>99</v>
      </c>
      <c r="J25" s="25" t="s">
        <v>5</v>
      </c>
      <c r="K25" s="25" t="s">
        <v>6</v>
      </c>
      <c r="L25" s="25" t="s">
        <v>7</v>
      </c>
      <c r="M25" s="26" t="s">
        <v>8</v>
      </c>
      <c r="N25" s="26" t="s">
        <v>9</v>
      </c>
      <c r="O25" s="25" t="s">
        <v>10</v>
      </c>
      <c r="P25" s="24" t="s">
        <v>11</v>
      </c>
    </row>
    <row r="26" spans="1:16">
      <c r="A26" s="1">
        <v>1</v>
      </c>
      <c r="B26" s="25">
        <v>2</v>
      </c>
      <c r="C26" s="25">
        <v>3</v>
      </c>
      <c r="D26" s="25">
        <v>4</v>
      </c>
      <c r="E26" s="25">
        <v>5</v>
      </c>
      <c r="F26" s="25">
        <v>6</v>
      </c>
      <c r="G26" s="25">
        <v>7</v>
      </c>
      <c r="H26" s="25">
        <v>8</v>
      </c>
      <c r="I26" s="25">
        <v>9</v>
      </c>
      <c r="J26" s="25">
        <v>10</v>
      </c>
      <c r="K26" s="25">
        <v>11</v>
      </c>
      <c r="L26" s="25">
        <v>12</v>
      </c>
      <c r="M26" s="25">
        <v>13</v>
      </c>
      <c r="N26" s="25">
        <v>14</v>
      </c>
      <c r="O26" s="25">
        <v>15</v>
      </c>
      <c r="P26" s="25">
        <v>16</v>
      </c>
    </row>
    <row r="27" spans="1:16" customFormat="1">
      <c r="A27" s="262" t="s">
        <v>27</v>
      </c>
      <c r="B27" s="262"/>
      <c r="C27" s="262"/>
      <c r="D27" s="262"/>
      <c r="E27" s="262"/>
      <c r="F27" s="262"/>
      <c r="G27" s="262"/>
      <c r="H27" s="262"/>
      <c r="I27" s="262"/>
      <c r="J27" s="262"/>
      <c r="K27" s="262"/>
      <c r="L27" s="262"/>
      <c r="M27" s="262"/>
      <c r="N27" s="262"/>
      <c r="O27" s="262"/>
      <c r="P27" s="262"/>
    </row>
    <row r="28" spans="1:16" customFormat="1">
      <c r="A28" s="262"/>
      <c r="B28" s="262"/>
      <c r="C28" s="262"/>
      <c r="D28" s="262"/>
      <c r="E28" s="262"/>
      <c r="F28" s="262"/>
      <c r="G28" s="262"/>
      <c r="H28" s="262"/>
      <c r="I28" s="262"/>
      <c r="J28" s="262"/>
      <c r="K28" s="262"/>
      <c r="L28" s="262"/>
      <c r="M28" s="262"/>
      <c r="N28" s="262"/>
      <c r="O28" s="262"/>
      <c r="P28" s="262"/>
    </row>
    <row r="29" spans="1:16" ht="20.25" customHeight="1">
      <c r="A29" s="259" t="s">
        <v>28</v>
      </c>
      <c r="B29" s="259"/>
      <c r="C29" s="259"/>
      <c r="D29" s="259"/>
      <c r="E29" s="259"/>
      <c r="F29" s="259"/>
      <c r="G29" s="259"/>
      <c r="H29" s="259"/>
      <c r="I29" s="259"/>
      <c r="J29" s="259"/>
      <c r="K29" s="259"/>
      <c r="L29" s="259"/>
      <c r="M29" s="259"/>
      <c r="N29" s="259"/>
      <c r="O29" s="259"/>
      <c r="P29" s="293"/>
    </row>
    <row r="30" spans="1:16" ht="85.5">
      <c r="A30" s="25" t="s">
        <v>0</v>
      </c>
      <c r="B30" s="25" t="s">
        <v>102</v>
      </c>
      <c r="C30" s="25" t="s">
        <v>1</v>
      </c>
      <c r="D30" s="25" t="s">
        <v>109</v>
      </c>
      <c r="E30" s="26" t="s">
        <v>19</v>
      </c>
      <c r="F30" s="26" t="s">
        <v>20</v>
      </c>
      <c r="G30" s="25" t="s">
        <v>100</v>
      </c>
      <c r="H30" s="25" t="s">
        <v>101</v>
      </c>
      <c r="I30" s="25" t="s">
        <v>103</v>
      </c>
      <c r="J30" s="25" t="s">
        <v>5</v>
      </c>
      <c r="K30" s="25" t="s">
        <v>6</v>
      </c>
      <c r="L30" s="25" t="s">
        <v>23</v>
      </c>
      <c r="M30" s="25" t="s">
        <v>24</v>
      </c>
      <c r="N30" s="26" t="s">
        <v>25</v>
      </c>
      <c r="O30" s="24" t="s">
        <v>26</v>
      </c>
      <c r="P30" s="293"/>
    </row>
    <row r="31" spans="1:16" ht="15" customHeight="1">
      <c r="A31" s="224">
        <v>1</v>
      </c>
      <c r="B31" s="224">
        <v>2</v>
      </c>
      <c r="C31" s="224">
        <v>3</v>
      </c>
      <c r="D31" s="224">
        <v>4</v>
      </c>
      <c r="E31" s="224">
        <v>5</v>
      </c>
      <c r="F31" s="224">
        <v>6</v>
      </c>
      <c r="G31" s="224">
        <v>7</v>
      </c>
      <c r="H31" s="224">
        <v>8</v>
      </c>
      <c r="I31" s="224">
        <v>9</v>
      </c>
      <c r="J31" s="224">
        <v>10</v>
      </c>
      <c r="K31" s="224">
        <v>11</v>
      </c>
      <c r="L31" s="224">
        <v>12</v>
      </c>
      <c r="M31" s="224">
        <v>13</v>
      </c>
      <c r="N31" s="224">
        <v>14</v>
      </c>
      <c r="O31" s="224">
        <v>15</v>
      </c>
      <c r="P31" s="293"/>
    </row>
    <row r="32" spans="1:16" customFormat="1" ht="15" customHeight="1">
      <c r="A32" s="265" t="s">
        <v>27</v>
      </c>
      <c r="B32" s="265"/>
      <c r="C32" s="265"/>
      <c r="D32" s="265"/>
      <c r="E32" s="265"/>
      <c r="F32" s="265"/>
      <c r="G32" s="265"/>
      <c r="H32" s="265"/>
      <c r="I32" s="265"/>
      <c r="J32" s="265"/>
      <c r="K32" s="265"/>
      <c r="L32" s="265"/>
      <c r="M32" s="265"/>
      <c r="N32" s="265"/>
      <c r="O32" s="265"/>
      <c r="P32" s="293"/>
    </row>
    <row r="33" spans="1:16330" customFormat="1" ht="15" customHeight="1">
      <c r="A33" s="294"/>
      <c r="B33" s="294"/>
      <c r="C33" s="294"/>
      <c r="D33" s="294"/>
      <c r="E33" s="294"/>
      <c r="F33" s="294"/>
      <c r="G33" s="294"/>
      <c r="H33" s="294"/>
      <c r="I33" s="294"/>
      <c r="J33" s="294"/>
      <c r="K33" s="294"/>
      <c r="L33" s="294"/>
      <c r="M33" s="294"/>
      <c r="N33" s="294"/>
      <c r="O33" s="294"/>
      <c r="P33" s="294"/>
    </row>
    <row r="34" spans="1:16330" ht="20.25" customHeight="1">
      <c r="A34" s="259" t="s">
        <v>34</v>
      </c>
      <c r="B34" s="259"/>
      <c r="C34" s="259"/>
      <c r="D34" s="259"/>
      <c r="E34" s="259"/>
      <c r="F34" s="259"/>
      <c r="G34" s="259"/>
      <c r="H34" s="259"/>
      <c r="I34" s="259"/>
      <c r="J34" s="259"/>
      <c r="K34" s="259"/>
      <c r="L34" s="259"/>
      <c r="M34" s="259"/>
      <c r="N34" s="259"/>
      <c r="O34" s="259"/>
      <c r="P34" s="293"/>
    </row>
    <row r="35" spans="1:16330" ht="85.5">
      <c r="A35" s="25" t="s">
        <v>0</v>
      </c>
      <c r="B35" s="25" t="s">
        <v>102</v>
      </c>
      <c r="C35" s="25" t="s">
        <v>1</v>
      </c>
      <c r="D35" s="25" t="s">
        <v>109</v>
      </c>
      <c r="E35" s="25" t="s">
        <v>29</v>
      </c>
      <c r="F35" s="25" t="s">
        <v>20</v>
      </c>
      <c r="G35" s="25" t="s">
        <v>104</v>
      </c>
      <c r="H35" s="25" t="s">
        <v>101</v>
      </c>
      <c r="I35" s="25" t="s">
        <v>98</v>
      </c>
      <c r="J35" s="25" t="s">
        <v>5</v>
      </c>
      <c r="K35" s="25" t="s">
        <v>6</v>
      </c>
      <c r="L35" s="25" t="s">
        <v>31</v>
      </c>
      <c r="M35" s="25" t="s">
        <v>24</v>
      </c>
      <c r="N35" s="26" t="s">
        <v>32</v>
      </c>
      <c r="O35" s="24" t="s">
        <v>11</v>
      </c>
      <c r="P35" s="293"/>
    </row>
    <row r="36" spans="1:16330" ht="15" customHeight="1">
      <c r="A36" s="219">
        <v>1</v>
      </c>
      <c r="B36" s="224">
        <v>2</v>
      </c>
      <c r="C36" s="224">
        <v>3</v>
      </c>
      <c r="D36" s="224">
        <v>4</v>
      </c>
      <c r="E36" s="224">
        <v>5</v>
      </c>
      <c r="F36" s="224">
        <v>6</v>
      </c>
      <c r="G36" s="224">
        <v>7</v>
      </c>
      <c r="H36" s="224">
        <v>8</v>
      </c>
      <c r="I36" s="224">
        <v>9</v>
      </c>
      <c r="J36" s="224">
        <v>10</v>
      </c>
      <c r="K36" s="224">
        <v>11</v>
      </c>
      <c r="L36" s="224">
        <v>12</v>
      </c>
      <c r="M36" s="224">
        <v>13</v>
      </c>
      <c r="N36" s="224">
        <v>14</v>
      </c>
      <c r="O36" s="224">
        <v>15</v>
      </c>
      <c r="P36" s="293"/>
    </row>
    <row r="37" spans="1:16330" customFormat="1" ht="15" customHeight="1">
      <c r="A37" s="285" t="s">
        <v>27</v>
      </c>
      <c r="B37" s="285"/>
      <c r="C37" s="285"/>
      <c r="D37" s="285"/>
      <c r="E37" s="285"/>
      <c r="F37" s="285"/>
      <c r="G37" s="285"/>
      <c r="H37" s="285"/>
      <c r="I37" s="285"/>
      <c r="J37" s="285"/>
      <c r="K37" s="285"/>
      <c r="L37" s="285"/>
      <c r="M37" s="285"/>
      <c r="N37" s="285"/>
      <c r="O37" s="285"/>
      <c r="P37" s="293"/>
    </row>
    <row r="38" spans="1:16330" customFormat="1" ht="15" customHeight="1">
      <c r="A38" s="294"/>
      <c r="B38" s="294"/>
      <c r="C38" s="294"/>
      <c r="D38" s="294"/>
      <c r="E38" s="294"/>
      <c r="F38" s="294"/>
      <c r="G38" s="294"/>
      <c r="H38" s="294"/>
      <c r="I38" s="294"/>
      <c r="J38" s="294"/>
      <c r="K38" s="294"/>
      <c r="L38" s="294"/>
      <c r="M38" s="294"/>
      <c r="N38" s="294"/>
      <c r="O38" s="294"/>
      <c r="P38" s="294"/>
    </row>
    <row r="39" spans="1:16330" ht="20.25">
      <c r="A39" s="259" t="s">
        <v>35</v>
      </c>
      <c r="B39" s="259"/>
      <c r="C39" s="259"/>
      <c r="D39" s="259"/>
      <c r="E39" s="259"/>
      <c r="F39" s="259"/>
      <c r="G39" s="259"/>
      <c r="H39" s="259"/>
      <c r="I39" s="259"/>
      <c r="J39" s="259"/>
      <c r="K39" s="259"/>
      <c r="L39" s="259"/>
      <c r="M39" s="259"/>
      <c r="N39" s="259"/>
      <c r="O39" s="259"/>
      <c r="P39" s="259"/>
    </row>
    <row r="40" spans="1:16330" ht="85.5">
      <c r="A40" s="25" t="s">
        <v>0</v>
      </c>
      <c r="B40" s="25" t="s">
        <v>110</v>
      </c>
      <c r="C40" s="25" t="s">
        <v>1</v>
      </c>
      <c r="D40" s="25" t="s">
        <v>109</v>
      </c>
      <c r="E40" s="25" t="s">
        <v>29</v>
      </c>
      <c r="F40" s="25" t="s">
        <v>20</v>
      </c>
      <c r="G40" s="25" t="s">
        <v>104</v>
      </c>
      <c r="H40" s="25" t="s">
        <v>101</v>
      </c>
      <c r="I40" s="25" t="s">
        <v>98</v>
      </c>
      <c r="J40" s="25" t="s">
        <v>5</v>
      </c>
      <c r="K40" s="25" t="s">
        <v>6</v>
      </c>
      <c r="L40" s="25" t="s">
        <v>31</v>
      </c>
      <c r="M40" s="25" t="s">
        <v>24</v>
      </c>
      <c r="N40" s="26" t="s">
        <v>33</v>
      </c>
      <c r="O40" s="26" t="s">
        <v>32</v>
      </c>
      <c r="P40" s="24" t="s">
        <v>26</v>
      </c>
    </row>
    <row r="41" spans="1:16330">
      <c r="A41" s="219">
        <v>1</v>
      </c>
      <c r="B41" s="224">
        <v>2</v>
      </c>
      <c r="C41" s="224">
        <v>3</v>
      </c>
      <c r="D41" s="224">
        <v>4</v>
      </c>
      <c r="E41" s="224">
        <v>5</v>
      </c>
      <c r="F41" s="224">
        <v>6</v>
      </c>
      <c r="G41" s="224">
        <v>7</v>
      </c>
      <c r="H41" s="224">
        <v>8</v>
      </c>
      <c r="I41" s="224">
        <v>9</v>
      </c>
      <c r="J41" s="224">
        <v>10</v>
      </c>
      <c r="K41" s="224">
        <v>11</v>
      </c>
      <c r="L41" s="224">
        <v>12</v>
      </c>
      <c r="M41" s="224">
        <v>13</v>
      </c>
      <c r="N41" s="224">
        <v>14</v>
      </c>
      <c r="O41" s="224">
        <v>15</v>
      </c>
      <c r="P41" s="224">
        <v>16</v>
      </c>
    </row>
    <row r="42" spans="1:16330" customFormat="1">
      <c r="A42" s="265" t="s">
        <v>27</v>
      </c>
      <c r="B42" s="265"/>
      <c r="C42" s="265"/>
      <c r="D42" s="265"/>
      <c r="E42" s="265"/>
      <c r="F42" s="265"/>
      <c r="G42" s="265"/>
      <c r="H42" s="265"/>
      <c r="I42" s="265"/>
      <c r="J42" s="265"/>
      <c r="K42" s="265"/>
      <c r="L42" s="265"/>
      <c r="M42" s="265"/>
      <c r="N42" s="265"/>
      <c r="O42" s="265"/>
      <c r="P42" s="265"/>
    </row>
    <row r="43" spans="1:16330" customFormat="1">
      <c r="A43" s="286"/>
      <c r="B43" s="286"/>
      <c r="C43" s="286"/>
      <c r="D43" s="286"/>
      <c r="E43" s="286"/>
      <c r="F43" s="286"/>
      <c r="G43" s="286"/>
      <c r="H43" s="286"/>
      <c r="I43" s="286"/>
      <c r="J43" s="286"/>
      <c r="K43" s="286"/>
      <c r="L43" s="286"/>
      <c r="M43" s="286"/>
      <c r="N43" s="286"/>
      <c r="O43" s="286"/>
      <c r="P43" s="286"/>
    </row>
    <row r="44" spans="1:16330" ht="22.5">
      <c r="A44" s="261" t="s">
        <v>1193</v>
      </c>
      <c r="B44" s="261"/>
      <c r="C44" s="261"/>
      <c r="D44" s="261"/>
      <c r="E44" s="261"/>
      <c r="F44" s="261"/>
      <c r="G44" s="261"/>
      <c r="H44" s="261"/>
      <c r="I44" s="261"/>
      <c r="J44" s="261"/>
      <c r="K44" s="261"/>
      <c r="L44" s="261"/>
      <c r="M44" s="261"/>
      <c r="N44" s="261"/>
      <c r="O44" s="261"/>
      <c r="P44" s="261"/>
      <c r="Q44" s="276"/>
      <c r="R44" s="276"/>
      <c r="S44" s="276"/>
      <c r="T44" s="276"/>
      <c r="U44" s="276"/>
      <c r="V44" s="276"/>
      <c r="W44" s="276"/>
      <c r="X44" s="276"/>
      <c r="Y44" s="276"/>
      <c r="Z44" s="276"/>
      <c r="AA44" s="275"/>
      <c r="AB44" s="276"/>
      <c r="AC44" s="276"/>
      <c r="AD44" s="276"/>
      <c r="AE44" s="276"/>
      <c r="AF44" s="276"/>
      <c r="AG44" s="276"/>
      <c r="AH44" s="276"/>
      <c r="AI44" s="276"/>
      <c r="AJ44" s="276"/>
      <c r="AK44" s="276"/>
      <c r="AL44" s="276"/>
      <c r="AM44" s="276"/>
      <c r="AN44" s="276"/>
      <c r="AO44" s="276"/>
      <c r="AP44" s="276"/>
      <c r="AQ44" s="275"/>
      <c r="AR44" s="276"/>
      <c r="AS44" s="276"/>
      <c r="AT44" s="276"/>
      <c r="AU44" s="276"/>
      <c r="AV44" s="276"/>
      <c r="AW44" s="276"/>
      <c r="AX44" s="276"/>
      <c r="AY44" s="276"/>
      <c r="AZ44" s="276"/>
      <c r="BA44" s="276"/>
      <c r="BB44" s="276"/>
      <c r="BC44" s="276"/>
      <c r="BD44" s="276"/>
      <c r="BE44" s="276"/>
      <c r="BF44" s="276"/>
      <c r="BG44" s="275"/>
      <c r="BH44" s="276"/>
      <c r="BI44" s="276"/>
      <c r="BJ44" s="276"/>
      <c r="BK44" s="276"/>
      <c r="BL44" s="276"/>
      <c r="BM44" s="276"/>
      <c r="BN44" s="276"/>
      <c r="BO44" s="276"/>
      <c r="BP44" s="276"/>
      <c r="BQ44" s="276"/>
      <c r="BR44" s="276"/>
      <c r="BS44" s="276"/>
      <c r="BT44" s="276"/>
      <c r="BU44" s="276"/>
      <c r="BV44" s="276"/>
      <c r="BW44" s="275"/>
      <c r="BX44" s="276"/>
      <c r="BY44" s="276"/>
      <c r="BZ44" s="276"/>
      <c r="CA44" s="276"/>
      <c r="CB44" s="276"/>
      <c r="CC44" s="276"/>
      <c r="CD44" s="276"/>
      <c r="CE44" s="276"/>
      <c r="CF44" s="276"/>
      <c r="CG44" s="276"/>
      <c r="CH44" s="276"/>
      <c r="CI44" s="276"/>
      <c r="CJ44" s="276"/>
      <c r="CK44" s="276"/>
      <c r="CL44" s="276"/>
      <c r="CM44" s="275"/>
      <c r="CN44" s="276"/>
      <c r="CO44" s="276"/>
      <c r="CP44" s="276"/>
      <c r="CQ44" s="276"/>
      <c r="CR44" s="276"/>
      <c r="CS44" s="276"/>
      <c r="CT44" s="276"/>
      <c r="CU44" s="276"/>
      <c r="CV44" s="276"/>
      <c r="CW44" s="276"/>
      <c r="CX44" s="276"/>
      <c r="CY44" s="276"/>
      <c r="CZ44" s="276"/>
      <c r="DA44" s="276"/>
      <c r="DB44" s="276"/>
      <c r="DC44" s="275"/>
      <c r="DD44" s="276"/>
      <c r="DE44" s="276"/>
      <c r="DF44" s="276"/>
      <c r="DG44" s="276"/>
      <c r="DH44" s="276"/>
      <c r="DI44" s="276"/>
      <c r="DJ44" s="276"/>
      <c r="DK44" s="276"/>
      <c r="DL44" s="276"/>
      <c r="DM44" s="276"/>
      <c r="DN44" s="276"/>
      <c r="DO44" s="276"/>
      <c r="DP44" s="276"/>
      <c r="DQ44" s="276"/>
      <c r="DR44" s="276"/>
      <c r="DS44" s="275"/>
      <c r="DT44" s="276"/>
      <c r="DU44" s="276"/>
      <c r="DV44" s="276"/>
      <c r="DW44" s="276"/>
      <c r="DX44" s="276"/>
      <c r="DY44" s="276"/>
      <c r="DZ44" s="276"/>
      <c r="EA44" s="276"/>
      <c r="EB44" s="276"/>
      <c r="EC44" s="276"/>
      <c r="ED44" s="276"/>
      <c r="EE44" s="276"/>
      <c r="EF44" s="276"/>
      <c r="EG44" s="276"/>
      <c r="EH44" s="276"/>
      <c r="EI44" s="275"/>
      <c r="EJ44" s="276"/>
      <c r="EK44" s="276"/>
      <c r="EL44" s="276"/>
      <c r="EM44" s="276"/>
      <c r="EN44" s="276"/>
      <c r="EO44" s="276"/>
      <c r="EP44" s="276"/>
      <c r="EQ44" s="276"/>
      <c r="ER44" s="276"/>
      <c r="ES44" s="276"/>
      <c r="ET44" s="276"/>
      <c r="EU44" s="276"/>
      <c r="EV44" s="276"/>
      <c r="EW44" s="276"/>
      <c r="EX44" s="276"/>
      <c r="EY44" s="275"/>
      <c r="EZ44" s="276"/>
      <c r="FA44" s="276"/>
      <c r="FB44" s="276"/>
      <c r="FC44" s="276"/>
      <c r="FD44" s="276"/>
      <c r="FE44" s="276"/>
      <c r="FF44" s="276"/>
      <c r="FG44" s="276"/>
      <c r="FH44" s="276"/>
      <c r="FI44" s="276"/>
      <c r="FJ44" s="276"/>
      <c r="FK44" s="276"/>
      <c r="FL44" s="276"/>
      <c r="FM44" s="276"/>
      <c r="FN44" s="276"/>
      <c r="FO44" s="275"/>
      <c r="FP44" s="276"/>
      <c r="FQ44" s="276"/>
      <c r="FR44" s="276"/>
      <c r="FS44" s="276"/>
      <c r="FT44" s="276"/>
      <c r="FU44" s="276"/>
      <c r="FV44" s="276"/>
      <c r="FW44" s="276"/>
      <c r="FX44" s="276"/>
      <c r="FY44" s="276"/>
      <c r="FZ44" s="276"/>
      <c r="GA44" s="276"/>
      <c r="GB44" s="276"/>
      <c r="GC44" s="276"/>
      <c r="GD44" s="276"/>
      <c r="GE44" s="275"/>
      <c r="GF44" s="276"/>
      <c r="GG44" s="276"/>
      <c r="GH44" s="276"/>
      <c r="GI44" s="276"/>
      <c r="GJ44" s="276"/>
      <c r="GK44" s="276"/>
      <c r="GL44" s="276"/>
      <c r="GM44" s="276"/>
      <c r="GN44" s="276"/>
      <c r="GO44" s="276"/>
      <c r="GP44" s="276"/>
      <c r="GQ44" s="276"/>
      <c r="GR44" s="276"/>
      <c r="GS44" s="276"/>
      <c r="GT44" s="276"/>
      <c r="GU44" s="275"/>
      <c r="GV44" s="276"/>
      <c r="GW44" s="276"/>
      <c r="GX44" s="276"/>
      <c r="GY44" s="276"/>
      <c r="GZ44" s="276"/>
      <c r="HA44" s="276"/>
      <c r="HB44" s="276"/>
      <c r="HC44" s="276"/>
      <c r="HD44" s="276"/>
      <c r="HE44" s="276"/>
      <c r="HF44" s="276"/>
      <c r="HG44" s="276"/>
      <c r="HH44" s="276"/>
      <c r="HI44" s="276"/>
      <c r="HJ44" s="276"/>
      <c r="HK44" s="275"/>
      <c r="HL44" s="276"/>
      <c r="HM44" s="276"/>
      <c r="HN44" s="276"/>
      <c r="HO44" s="276"/>
      <c r="HP44" s="276"/>
      <c r="HQ44" s="276"/>
      <c r="HR44" s="276"/>
      <c r="HS44" s="276"/>
      <c r="HT44" s="276"/>
      <c r="HU44" s="276"/>
      <c r="HV44" s="276"/>
      <c r="HW44" s="276"/>
      <c r="HX44" s="276"/>
      <c r="HY44" s="276"/>
      <c r="HZ44" s="276"/>
      <c r="IA44" s="275"/>
      <c r="IB44" s="276"/>
      <c r="IC44" s="276"/>
      <c r="ID44" s="276"/>
      <c r="IE44" s="276"/>
      <c r="IF44" s="276"/>
      <c r="IG44" s="276"/>
      <c r="IH44" s="276"/>
      <c r="II44" s="276"/>
      <c r="IJ44" s="276"/>
      <c r="IK44" s="276"/>
      <c r="IL44" s="276"/>
      <c r="IM44" s="276"/>
      <c r="IN44" s="276"/>
      <c r="IO44" s="276"/>
      <c r="IP44" s="276"/>
      <c r="IQ44" s="275"/>
      <c r="IR44" s="276"/>
      <c r="IS44" s="276"/>
      <c r="IT44" s="276"/>
      <c r="IU44" s="276"/>
      <c r="IV44" s="276"/>
      <c r="IW44" s="276"/>
      <c r="IX44" s="276"/>
      <c r="IY44" s="276"/>
      <c r="IZ44" s="276"/>
      <c r="JA44" s="276"/>
      <c r="JB44" s="276"/>
      <c r="JC44" s="276"/>
      <c r="JD44" s="276"/>
      <c r="JE44" s="276"/>
      <c r="JF44" s="276"/>
      <c r="JG44" s="275"/>
      <c r="JH44" s="276"/>
      <c r="JI44" s="276"/>
      <c r="JJ44" s="276"/>
      <c r="JK44" s="276"/>
      <c r="JL44" s="276"/>
      <c r="JM44" s="276"/>
      <c r="JN44" s="276"/>
      <c r="JO44" s="276"/>
      <c r="JP44" s="276"/>
      <c r="JQ44" s="276"/>
      <c r="JR44" s="276"/>
      <c r="JS44" s="276"/>
      <c r="JT44" s="276"/>
      <c r="JU44" s="276"/>
      <c r="JV44" s="276"/>
      <c r="JW44" s="275"/>
      <c r="JX44" s="276"/>
      <c r="JY44" s="276"/>
      <c r="JZ44" s="276"/>
      <c r="KA44" s="276"/>
      <c r="KB44" s="276"/>
      <c r="KC44" s="276"/>
      <c r="KD44" s="276"/>
      <c r="KE44" s="276"/>
      <c r="KF44" s="276"/>
      <c r="KG44" s="276"/>
      <c r="KH44" s="276"/>
      <c r="KI44" s="276"/>
      <c r="KJ44" s="276"/>
      <c r="KK44" s="276"/>
      <c r="KL44" s="276"/>
      <c r="KM44" s="275"/>
      <c r="KN44" s="276"/>
      <c r="KO44" s="276"/>
      <c r="KP44" s="276"/>
      <c r="KQ44" s="276"/>
      <c r="KR44" s="276"/>
      <c r="KS44" s="276"/>
      <c r="KT44" s="276"/>
      <c r="KU44" s="276"/>
      <c r="KV44" s="276"/>
      <c r="KW44" s="276"/>
      <c r="KX44" s="276"/>
      <c r="KY44" s="276"/>
      <c r="KZ44" s="276"/>
      <c r="LA44" s="276"/>
      <c r="LB44" s="276"/>
      <c r="LC44" s="275"/>
      <c r="LD44" s="276"/>
      <c r="LE44" s="276"/>
      <c r="LF44" s="276"/>
      <c r="LG44" s="276"/>
      <c r="LH44" s="276"/>
      <c r="LI44" s="276"/>
      <c r="LJ44" s="276"/>
      <c r="LK44" s="276"/>
      <c r="LL44" s="276"/>
      <c r="LM44" s="276"/>
      <c r="LN44" s="276"/>
      <c r="LO44" s="276"/>
      <c r="LP44" s="276"/>
      <c r="LQ44" s="276"/>
      <c r="LR44" s="276"/>
      <c r="LS44" s="275"/>
      <c r="LT44" s="276"/>
      <c r="LU44" s="276"/>
      <c r="LV44" s="276"/>
      <c r="LW44" s="276"/>
      <c r="LX44" s="276"/>
      <c r="LY44" s="276"/>
      <c r="LZ44" s="276"/>
      <c r="MA44" s="276"/>
      <c r="MB44" s="276"/>
      <c r="MC44" s="276"/>
      <c r="MD44" s="276"/>
      <c r="ME44" s="276"/>
      <c r="MF44" s="276"/>
      <c r="MG44" s="276"/>
      <c r="MH44" s="276"/>
      <c r="MI44" s="275"/>
      <c r="MJ44" s="276"/>
      <c r="MK44" s="276"/>
      <c r="ML44" s="276"/>
      <c r="MM44" s="276"/>
      <c r="MN44" s="276"/>
      <c r="MO44" s="276"/>
      <c r="MP44" s="276"/>
      <c r="MQ44" s="276"/>
      <c r="MR44" s="276"/>
      <c r="MS44" s="276"/>
      <c r="MT44" s="276"/>
      <c r="MU44" s="276"/>
      <c r="MV44" s="276"/>
      <c r="MW44" s="276"/>
      <c r="MX44" s="276"/>
      <c r="MY44" s="275"/>
      <c r="MZ44" s="276"/>
      <c r="NA44" s="276"/>
      <c r="NB44" s="276"/>
      <c r="NC44" s="276"/>
      <c r="ND44" s="276"/>
      <c r="NE44" s="276"/>
      <c r="NF44" s="276"/>
      <c r="NG44" s="276"/>
      <c r="NH44" s="276"/>
      <c r="NI44" s="276"/>
      <c r="NJ44" s="276"/>
      <c r="NK44" s="276"/>
      <c r="NL44" s="276"/>
      <c r="NM44" s="276"/>
      <c r="NN44" s="276"/>
      <c r="NO44" s="275"/>
      <c r="NP44" s="276"/>
      <c r="NQ44" s="276"/>
      <c r="NR44" s="276"/>
      <c r="NS44" s="276"/>
      <c r="NT44" s="276"/>
      <c r="NU44" s="276"/>
      <c r="NV44" s="276"/>
      <c r="NW44" s="276"/>
      <c r="NX44" s="276"/>
      <c r="NY44" s="276"/>
      <c r="NZ44" s="276"/>
      <c r="OA44" s="276"/>
      <c r="OB44" s="276"/>
      <c r="OC44" s="276"/>
      <c r="OD44" s="276"/>
      <c r="OE44" s="275"/>
      <c r="OF44" s="276"/>
      <c r="OG44" s="276"/>
      <c r="OH44" s="276"/>
      <c r="OI44" s="276"/>
      <c r="OJ44" s="276"/>
      <c r="OK44" s="276"/>
      <c r="OL44" s="276"/>
      <c r="OM44" s="276"/>
      <c r="ON44" s="276"/>
      <c r="OO44" s="276"/>
      <c r="OP44" s="276"/>
      <c r="OQ44" s="276"/>
      <c r="OR44" s="276"/>
      <c r="OS44" s="276"/>
      <c r="OT44" s="276"/>
      <c r="OU44" s="275"/>
      <c r="OV44" s="276"/>
      <c r="OW44" s="276"/>
      <c r="OX44" s="276"/>
      <c r="OY44" s="276"/>
      <c r="OZ44" s="276"/>
      <c r="PA44" s="276"/>
      <c r="PB44" s="276"/>
      <c r="PC44" s="276"/>
      <c r="PD44" s="276"/>
      <c r="PE44" s="276"/>
      <c r="PF44" s="276"/>
      <c r="PG44" s="276"/>
      <c r="PH44" s="276"/>
      <c r="PI44" s="276"/>
      <c r="PJ44" s="276"/>
      <c r="PK44" s="275"/>
      <c r="PL44" s="276"/>
      <c r="PM44" s="276"/>
      <c r="PN44" s="276"/>
      <c r="PO44" s="276"/>
      <c r="PP44" s="276"/>
      <c r="PQ44" s="276"/>
      <c r="PR44" s="276"/>
      <c r="PS44" s="276"/>
      <c r="PT44" s="276"/>
      <c r="PU44" s="276"/>
      <c r="PV44" s="276"/>
      <c r="PW44" s="276"/>
      <c r="PX44" s="276"/>
      <c r="PY44" s="276"/>
      <c r="PZ44" s="276"/>
      <c r="QA44" s="275"/>
      <c r="QB44" s="276"/>
      <c r="QC44" s="276"/>
      <c r="QD44" s="276"/>
      <c r="QE44" s="276"/>
      <c r="QF44" s="276"/>
      <c r="QG44" s="276"/>
      <c r="QH44" s="276"/>
      <c r="QI44" s="276"/>
      <c r="QJ44" s="276"/>
      <c r="QK44" s="276"/>
      <c r="QL44" s="276"/>
      <c r="QM44" s="276"/>
      <c r="QN44" s="276"/>
      <c r="QO44" s="276"/>
      <c r="QP44" s="276"/>
      <c r="QQ44" s="275"/>
      <c r="QR44" s="276"/>
      <c r="QS44" s="276"/>
      <c r="QT44" s="276"/>
      <c r="QU44" s="276"/>
      <c r="QV44" s="276"/>
      <c r="QW44" s="276"/>
      <c r="QX44" s="276"/>
      <c r="QY44" s="276"/>
      <c r="QZ44" s="276"/>
      <c r="RA44" s="276"/>
      <c r="RB44" s="276"/>
      <c r="RC44" s="276"/>
      <c r="RD44" s="276"/>
      <c r="RE44" s="276"/>
      <c r="RF44" s="276"/>
      <c r="RG44" s="275"/>
      <c r="RH44" s="276"/>
      <c r="RI44" s="276"/>
      <c r="RJ44" s="276"/>
      <c r="RK44" s="276"/>
      <c r="RL44" s="276"/>
      <c r="RM44" s="276"/>
      <c r="RN44" s="276"/>
      <c r="RO44" s="276"/>
      <c r="RP44" s="276"/>
      <c r="RQ44" s="276"/>
      <c r="RR44" s="276"/>
      <c r="RS44" s="276"/>
      <c r="RT44" s="276"/>
      <c r="RU44" s="276"/>
      <c r="RV44" s="276"/>
      <c r="RW44" s="275"/>
      <c r="RX44" s="276"/>
      <c r="RY44" s="276"/>
      <c r="RZ44" s="276"/>
      <c r="SA44" s="276"/>
      <c r="SB44" s="276"/>
      <c r="SC44" s="276"/>
      <c r="SD44" s="276"/>
      <c r="SE44" s="276"/>
      <c r="SF44" s="276"/>
      <c r="SG44" s="276"/>
      <c r="SH44" s="276"/>
      <c r="SI44" s="276"/>
      <c r="SJ44" s="276"/>
      <c r="SK44" s="276"/>
      <c r="SL44" s="276"/>
      <c r="SM44" s="275"/>
      <c r="SN44" s="276"/>
      <c r="SO44" s="276"/>
      <c r="SP44" s="276"/>
      <c r="SQ44" s="276"/>
      <c r="SR44" s="276"/>
      <c r="SS44" s="276"/>
      <c r="ST44" s="276"/>
      <c r="SU44" s="276"/>
      <c r="SV44" s="276"/>
      <c r="SW44" s="276"/>
      <c r="SX44" s="276"/>
      <c r="SY44" s="276"/>
      <c r="SZ44" s="276"/>
      <c r="TA44" s="276"/>
      <c r="TB44" s="276"/>
      <c r="TC44" s="275"/>
      <c r="TD44" s="276"/>
      <c r="TE44" s="276"/>
      <c r="TF44" s="276"/>
      <c r="TG44" s="276"/>
      <c r="TH44" s="276"/>
      <c r="TI44" s="276"/>
      <c r="TJ44" s="276"/>
      <c r="TK44" s="276"/>
      <c r="TL44" s="276"/>
      <c r="TM44" s="276"/>
      <c r="TN44" s="276"/>
      <c r="TO44" s="276"/>
      <c r="TP44" s="276"/>
      <c r="TQ44" s="276"/>
      <c r="TR44" s="276"/>
      <c r="TS44" s="275"/>
      <c r="TT44" s="276"/>
      <c r="TU44" s="276"/>
      <c r="TV44" s="276"/>
      <c r="TW44" s="276"/>
      <c r="TX44" s="276"/>
      <c r="TY44" s="276"/>
      <c r="TZ44" s="276"/>
      <c r="UA44" s="276"/>
      <c r="UB44" s="276"/>
      <c r="UC44" s="276"/>
      <c r="UD44" s="276"/>
      <c r="UE44" s="276"/>
      <c r="UF44" s="276"/>
      <c r="UG44" s="276"/>
      <c r="UH44" s="276"/>
      <c r="UI44" s="275"/>
      <c r="UJ44" s="276"/>
      <c r="UK44" s="276"/>
      <c r="UL44" s="276"/>
      <c r="UM44" s="276"/>
      <c r="UN44" s="276"/>
      <c r="UO44" s="276"/>
      <c r="UP44" s="276"/>
      <c r="UQ44" s="276"/>
      <c r="UR44" s="276"/>
      <c r="US44" s="276"/>
      <c r="UT44" s="276"/>
      <c r="UU44" s="276"/>
      <c r="UV44" s="276"/>
      <c r="UW44" s="276"/>
      <c r="UX44" s="276"/>
      <c r="UY44" s="275"/>
      <c r="UZ44" s="276"/>
      <c r="VA44" s="276"/>
      <c r="VB44" s="276"/>
      <c r="VC44" s="276"/>
      <c r="VD44" s="276"/>
      <c r="VE44" s="276"/>
      <c r="VF44" s="276"/>
      <c r="VG44" s="276"/>
      <c r="VH44" s="276"/>
      <c r="VI44" s="276"/>
      <c r="VJ44" s="276"/>
      <c r="VK44" s="276"/>
      <c r="VL44" s="276"/>
      <c r="VM44" s="276"/>
      <c r="VN44" s="276"/>
      <c r="VO44" s="275"/>
      <c r="VP44" s="276"/>
      <c r="VQ44" s="276"/>
      <c r="VR44" s="276"/>
      <c r="VS44" s="276"/>
      <c r="VT44" s="276"/>
      <c r="VU44" s="276"/>
      <c r="VV44" s="276"/>
      <c r="VW44" s="276"/>
      <c r="VX44" s="276"/>
      <c r="VY44" s="276"/>
      <c r="VZ44" s="276"/>
      <c r="WA44" s="276"/>
      <c r="WB44" s="276"/>
      <c r="WC44" s="276"/>
      <c r="WD44" s="276"/>
      <c r="WE44" s="275"/>
      <c r="WF44" s="276"/>
      <c r="WG44" s="276"/>
      <c r="WH44" s="276"/>
      <c r="WI44" s="276"/>
      <c r="WJ44" s="276"/>
      <c r="WK44" s="276"/>
      <c r="WL44" s="276"/>
      <c r="WM44" s="276"/>
      <c r="WN44" s="276"/>
      <c r="WO44" s="276"/>
      <c r="WP44" s="276"/>
      <c r="WQ44" s="276"/>
      <c r="WR44" s="276"/>
      <c r="WS44" s="276"/>
      <c r="WT44" s="276"/>
      <c r="WU44" s="275"/>
      <c r="WV44" s="276"/>
      <c r="WW44" s="276"/>
      <c r="WX44" s="276"/>
      <c r="WY44" s="276"/>
      <c r="WZ44" s="276"/>
      <c r="XA44" s="276"/>
      <c r="XB44" s="276"/>
      <c r="XC44" s="276"/>
      <c r="XD44" s="276"/>
      <c r="XE44" s="276"/>
      <c r="XF44" s="276"/>
      <c r="XG44" s="276"/>
      <c r="XH44" s="276"/>
      <c r="XI44" s="276"/>
      <c r="XJ44" s="276"/>
      <c r="XK44" s="275"/>
      <c r="XL44" s="276"/>
      <c r="XM44" s="276"/>
      <c r="XN44" s="276"/>
      <c r="XO44" s="276"/>
      <c r="XP44" s="276"/>
      <c r="XQ44" s="276"/>
      <c r="XR44" s="276"/>
      <c r="XS44" s="276"/>
      <c r="XT44" s="276"/>
      <c r="XU44" s="276"/>
      <c r="XV44" s="276"/>
      <c r="XW44" s="276"/>
      <c r="XX44" s="276"/>
      <c r="XY44" s="276"/>
      <c r="XZ44" s="276"/>
      <c r="YA44" s="275"/>
      <c r="YB44" s="276"/>
      <c r="YC44" s="276"/>
      <c r="YD44" s="276"/>
      <c r="YE44" s="276"/>
      <c r="YF44" s="276"/>
      <c r="YG44" s="276"/>
      <c r="YH44" s="276"/>
      <c r="YI44" s="276"/>
      <c r="YJ44" s="276"/>
      <c r="YK44" s="276"/>
      <c r="YL44" s="276"/>
      <c r="YM44" s="276"/>
      <c r="YN44" s="276"/>
      <c r="YO44" s="276"/>
      <c r="YP44" s="276"/>
      <c r="YQ44" s="275"/>
      <c r="YR44" s="276"/>
      <c r="YS44" s="276"/>
      <c r="YT44" s="276"/>
      <c r="YU44" s="276"/>
      <c r="YV44" s="276"/>
      <c r="YW44" s="276"/>
      <c r="YX44" s="276"/>
      <c r="YY44" s="276"/>
      <c r="YZ44" s="276"/>
      <c r="ZA44" s="276"/>
      <c r="ZB44" s="276"/>
      <c r="ZC44" s="276"/>
      <c r="ZD44" s="276"/>
      <c r="ZE44" s="276"/>
      <c r="ZF44" s="276"/>
      <c r="ZG44" s="275"/>
      <c r="ZH44" s="276"/>
      <c r="ZI44" s="276"/>
      <c r="ZJ44" s="276"/>
      <c r="ZK44" s="276"/>
      <c r="ZL44" s="276"/>
      <c r="ZM44" s="276"/>
      <c r="ZN44" s="276"/>
      <c r="ZO44" s="276"/>
      <c r="ZP44" s="276"/>
      <c r="ZQ44" s="276"/>
      <c r="ZR44" s="276"/>
      <c r="ZS44" s="276"/>
      <c r="ZT44" s="276"/>
      <c r="ZU44" s="276"/>
      <c r="ZV44" s="276"/>
      <c r="ZW44" s="275"/>
      <c r="ZX44" s="276"/>
      <c r="ZY44" s="276"/>
      <c r="ZZ44" s="276"/>
      <c r="AAA44" s="276"/>
      <c r="AAB44" s="276"/>
      <c r="AAC44" s="276"/>
      <c r="AAD44" s="276"/>
      <c r="AAE44" s="276"/>
      <c r="AAF44" s="276"/>
      <c r="AAG44" s="276"/>
      <c r="AAH44" s="276"/>
      <c r="AAI44" s="276"/>
      <c r="AAJ44" s="276"/>
      <c r="AAK44" s="276"/>
      <c r="AAL44" s="276"/>
      <c r="AAM44" s="275"/>
      <c r="AAN44" s="276"/>
      <c r="AAO44" s="276"/>
      <c r="AAP44" s="276"/>
      <c r="AAQ44" s="276"/>
      <c r="AAR44" s="276"/>
      <c r="AAS44" s="276"/>
      <c r="AAT44" s="276"/>
      <c r="AAU44" s="276"/>
      <c r="AAV44" s="276"/>
      <c r="AAW44" s="276"/>
      <c r="AAX44" s="276"/>
      <c r="AAY44" s="276"/>
      <c r="AAZ44" s="276"/>
      <c r="ABA44" s="276"/>
      <c r="ABB44" s="276"/>
      <c r="ABC44" s="275"/>
      <c r="ABD44" s="276"/>
      <c r="ABE44" s="276"/>
      <c r="ABF44" s="276"/>
      <c r="ABG44" s="276"/>
      <c r="ABH44" s="276"/>
      <c r="ABI44" s="276"/>
      <c r="ABJ44" s="276"/>
      <c r="ABK44" s="276"/>
      <c r="ABL44" s="276"/>
      <c r="ABM44" s="276"/>
      <c r="ABN44" s="276"/>
      <c r="ABO44" s="276"/>
      <c r="ABP44" s="276"/>
      <c r="ABQ44" s="276"/>
      <c r="ABR44" s="276"/>
      <c r="ABS44" s="275"/>
      <c r="ABT44" s="276"/>
      <c r="ABU44" s="276"/>
      <c r="ABV44" s="276"/>
      <c r="ABW44" s="276"/>
      <c r="ABX44" s="276"/>
      <c r="ABY44" s="276"/>
      <c r="ABZ44" s="276"/>
      <c r="ACA44" s="276"/>
      <c r="ACB44" s="276"/>
      <c r="ACC44" s="276"/>
      <c r="ACD44" s="276"/>
      <c r="ACE44" s="276"/>
      <c r="ACF44" s="276"/>
      <c r="ACG44" s="276"/>
      <c r="ACH44" s="276"/>
      <c r="ACI44" s="275"/>
      <c r="ACJ44" s="276"/>
      <c r="ACK44" s="276"/>
      <c r="ACL44" s="276"/>
      <c r="ACM44" s="276"/>
      <c r="ACN44" s="276"/>
      <c r="ACO44" s="276"/>
      <c r="ACP44" s="276"/>
      <c r="ACQ44" s="276"/>
      <c r="ACR44" s="276"/>
      <c r="ACS44" s="276"/>
      <c r="ACT44" s="276"/>
      <c r="ACU44" s="276"/>
      <c r="ACV44" s="276"/>
      <c r="ACW44" s="276"/>
      <c r="ACX44" s="276"/>
      <c r="ACY44" s="275"/>
      <c r="ACZ44" s="276"/>
      <c r="ADA44" s="276"/>
      <c r="ADB44" s="276"/>
      <c r="ADC44" s="276"/>
      <c r="ADD44" s="276"/>
      <c r="ADE44" s="276"/>
      <c r="ADF44" s="276"/>
      <c r="ADG44" s="276"/>
      <c r="ADH44" s="276"/>
      <c r="ADI44" s="276"/>
      <c r="ADJ44" s="276"/>
      <c r="ADK44" s="276"/>
      <c r="ADL44" s="276"/>
      <c r="ADM44" s="276"/>
      <c r="ADN44" s="276"/>
      <c r="ADO44" s="275"/>
      <c r="ADP44" s="276"/>
      <c r="ADQ44" s="276"/>
      <c r="ADR44" s="276"/>
      <c r="ADS44" s="276"/>
      <c r="ADT44" s="276"/>
      <c r="ADU44" s="276"/>
      <c r="ADV44" s="276"/>
      <c r="ADW44" s="276"/>
      <c r="ADX44" s="276"/>
      <c r="ADY44" s="276"/>
      <c r="ADZ44" s="276"/>
      <c r="AEA44" s="276"/>
      <c r="AEB44" s="276"/>
      <c r="AEC44" s="276"/>
      <c r="AED44" s="276"/>
      <c r="AEE44" s="275"/>
      <c r="AEF44" s="276"/>
      <c r="AEG44" s="276"/>
      <c r="AEH44" s="276"/>
      <c r="AEI44" s="276"/>
      <c r="AEJ44" s="276"/>
      <c r="AEK44" s="276"/>
      <c r="AEL44" s="276"/>
      <c r="AEM44" s="276"/>
      <c r="AEN44" s="276"/>
      <c r="AEO44" s="276"/>
      <c r="AEP44" s="276"/>
      <c r="AEQ44" s="276"/>
      <c r="AER44" s="276"/>
      <c r="AES44" s="276"/>
      <c r="AET44" s="276"/>
      <c r="AEU44" s="275"/>
      <c r="AEV44" s="276"/>
      <c r="AEW44" s="276"/>
      <c r="AEX44" s="276"/>
      <c r="AEY44" s="276"/>
      <c r="AEZ44" s="276"/>
      <c r="AFA44" s="276"/>
      <c r="AFB44" s="276"/>
      <c r="AFC44" s="276"/>
      <c r="AFD44" s="276"/>
      <c r="AFE44" s="276"/>
      <c r="AFF44" s="276"/>
      <c r="AFG44" s="276"/>
      <c r="AFH44" s="276"/>
      <c r="AFI44" s="276"/>
      <c r="AFJ44" s="276"/>
      <c r="AFK44" s="275"/>
      <c r="AFL44" s="276"/>
      <c r="AFM44" s="276"/>
      <c r="AFN44" s="276"/>
      <c r="AFO44" s="276"/>
      <c r="AFP44" s="276"/>
      <c r="AFQ44" s="276"/>
      <c r="AFR44" s="276"/>
      <c r="AFS44" s="276"/>
      <c r="AFT44" s="276"/>
      <c r="AFU44" s="276"/>
      <c r="AFV44" s="276"/>
      <c r="AFW44" s="276"/>
      <c r="AFX44" s="276"/>
      <c r="AFY44" s="276"/>
      <c r="AFZ44" s="276"/>
      <c r="AGA44" s="275"/>
      <c r="AGB44" s="276"/>
      <c r="AGC44" s="276"/>
      <c r="AGD44" s="276"/>
      <c r="AGE44" s="276"/>
      <c r="AGF44" s="276"/>
      <c r="AGG44" s="276"/>
      <c r="AGH44" s="276"/>
      <c r="AGI44" s="276"/>
      <c r="AGJ44" s="276"/>
      <c r="AGK44" s="276"/>
      <c r="AGL44" s="276"/>
      <c r="AGM44" s="276"/>
      <c r="AGN44" s="276"/>
      <c r="AGO44" s="276"/>
      <c r="AGP44" s="276"/>
      <c r="AGQ44" s="275"/>
      <c r="AGR44" s="276"/>
      <c r="AGS44" s="276"/>
      <c r="AGT44" s="276"/>
      <c r="AGU44" s="276"/>
      <c r="AGV44" s="276"/>
      <c r="AGW44" s="276"/>
      <c r="AGX44" s="276"/>
      <c r="AGY44" s="276"/>
      <c r="AGZ44" s="276"/>
      <c r="AHA44" s="276"/>
      <c r="AHB44" s="276"/>
      <c r="AHC44" s="276"/>
      <c r="AHD44" s="276"/>
      <c r="AHE44" s="276"/>
      <c r="AHF44" s="276"/>
      <c r="AHG44" s="275"/>
      <c r="AHH44" s="276"/>
      <c r="AHI44" s="276"/>
      <c r="AHJ44" s="276"/>
      <c r="AHK44" s="276"/>
      <c r="AHL44" s="276"/>
      <c r="AHM44" s="276"/>
      <c r="AHN44" s="276"/>
      <c r="AHO44" s="276"/>
      <c r="AHP44" s="276"/>
      <c r="AHQ44" s="276"/>
      <c r="AHR44" s="276"/>
      <c r="AHS44" s="276"/>
      <c r="AHT44" s="276"/>
      <c r="AHU44" s="276"/>
      <c r="AHV44" s="276"/>
      <c r="AHW44" s="275"/>
      <c r="AHX44" s="276"/>
      <c r="AHY44" s="276"/>
      <c r="AHZ44" s="276"/>
      <c r="AIA44" s="276"/>
      <c r="AIB44" s="276"/>
      <c r="AIC44" s="276"/>
      <c r="AID44" s="276"/>
      <c r="AIE44" s="276"/>
      <c r="AIF44" s="276"/>
      <c r="AIG44" s="276"/>
      <c r="AIH44" s="276"/>
      <c r="AII44" s="276"/>
      <c r="AIJ44" s="276"/>
      <c r="AIK44" s="276"/>
      <c r="AIL44" s="276"/>
      <c r="AIM44" s="275"/>
      <c r="AIN44" s="276"/>
      <c r="AIO44" s="276"/>
      <c r="AIP44" s="276"/>
      <c r="AIQ44" s="276"/>
      <c r="AIR44" s="276"/>
      <c r="AIS44" s="276"/>
      <c r="AIT44" s="276"/>
      <c r="AIU44" s="276"/>
      <c r="AIV44" s="276"/>
      <c r="AIW44" s="276"/>
      <c r="AIX44" s="276"/>
      <c r="AIY44" s="276"/>
      <c r="AIZ44" s="276"/>
      <c r="AJA44" s="276"/>
      <c r="AJB44" s="276"/>
      <c r="AJC44" s="275"/>
      <c r="AJD44" s="276"/>
      <c r="AJE44" s="276"/>
      <c r="AJF44" s="276"/>
      <c r="AJG44" s="276"/>
      <c r="AJH44" s="276"/>
      <c r="AJI44" s="276"/>
      <c r="AJJ44" s="276"/>
      <c r="AJK44" s="276"/>
      <c r="AJL44" s="276"/>
      <c r="AJM44" s="276"/>
      <c r="AJN44" s="276"/>
      <c r="AJO44" s="276"/>
      <c r="AJP44" s="276"/>
      <c r="AJQ44" s="276"/>
      <c r="AJR44" s="276"/>
      <c r="AJS44" s="275"/>
      <c r="AJT44" s="276"/>
      <c r="AJU44" s="276"/>
      <c r="AJV44" s="276"/>
      <c r="AJW44" s="276"/>
      <c r="AJX44" s="276"/>
      <c r="AJY44" s="276"/>
      <c r="AJZ44" s="276"/>
      <c r="AKA44" s="276"/>
      <c r="AKB44" s="276"/>
      <c r="AKC44" s="276"/>
      <c r="AKD44" s="276"/>
      <c r="AKE44" s="276"/>
      <c r="AKF44" s="276"/>
      <c r="AKG44" s="276"/>
      <c r="AKH44" s="276"/>
      <c r="AKI44" s="275"/>
      <c r="AKJ44" s="276"/>
      <c r="AKK44" s="276"/>
      <c r="AKL44" s="276"/>
      <c r="AKM44" s="276"/>
      <c r="AKN44" s="276"/>
      <c r="AKO44" s="276"/>
      <c r="AKP44" s="276"/>
      <c r="AKQ44" s="276"/>
      <c r="AKR44" s="276"/>
      <c r="AKS44" s="276"/>
      <c r="AKT44" s="276"/>
      <c r="AKU44" s="276"/>
      <c r="AKV44" s="276"/>
      <c r="AKW44" s="276"/>
      <c r="AKX44" s="276"/>
      <c r="AKY44" s="275"/>
      <c r="AKZ44" s="276"/>
      <c r="ALA44" s="276"/>
      <c r="ALB44" s="276"/>
      <c r="ALC44" s="276"/>
      <c r="ALD44" s="276"/>
      <c r="ALE44" s="276"/>
      <c r="ALF44" s="276"/>
      <c r="ALG44" s="276"/>
      <c r="ALH44" s="276"/>
      <c r="ALI44" s="276"/>
      <c r="ALJ44" s="276"/>
      <c r="ALK44" s="276"/>
      <c r="ALL44" s="276"/>
      <c r="ALM44" s="276"/>
      <c r="ALN44" s="276"/>
      <c r="ALO44" s="275"/>
      <c r="ALP44" s="276"/>
      <c r="ALQ44" s="276"/>
      <c r="ALR44" s="276"/>
      <c r="ALS44" s="276"/>
      <c r="ALT44" s="276"/>
      <c r="ALU44" s="276"/>
      <c r="ALV44" s="276"/>
      <c r="ALW44" s="276"/>
      <c r="ALX44" s="276"/>
      <c r="ALY44" s="276"/>
      <c r="ALZ44" s="276"/>
      <c r="AMA44" s="276"/>
      <c r="AMB44" s="276"/>
      <c r="AMC44" s="276"/>
      <c r="AMD44" s="276"/>
      <c r="AME44" s="275"/>
      <c r="AMF44" s="276"/>
      <c r="AMG44" s="276"/>
      <c r="AMH44" s="276"/>
      <c r="AMI44" s="276"/>
      <c r="AMJ44" s="276"/>
      <c r="AMK44" s="276"/>
      <c r="AML44" s="276"/>
      <c r="AMM44" s="276"/>
      <c r="AMN44" s="276"/>
      <c r="AMO44" s="276"/>
      <c r="AMP44" s="276"/>
      <c r="AMQ44" s="276"/>
      <c r="AMR44" s="276"/>
      <c r="AMS44" s="276"/>
      <c r="AMT44" s="276"/>
      <c r="AMU44" s="275"/>
      <c r="AMV44" s="276"/>
      <c r="AMW44" s="276"/>
      <c r="AMX44" s="276"/>
      <c r="AMY44" s="276"/>
      <c r="AMZ44" s="276"/>
      <c r="ANA44" s="276"/>
      <c r="ANB44" s="276"/>
      <c r="ANC44" s="276"/>
      <c r="AND44" s="276"/>
      <c r="ANE44" s="276"/>
      <c r="ANF44" s="276"/>
      <c r="ANG44" s="276"/>
      <c r="ANH44" s="276"/>
      <c r="ANI44" s="276"/>
      <c r="ANJ44" s="276"/>
      <c r="ANK44" s="275"/>
      <c r="ANL44" s="276"/>
      <c r="ANM44" s="276"/>
      <c r="ANN44" s="276"/>
      <c r="ANO44" s="276"/>
      <c r="ANP44" s="276"/>
      <c r="ANQ44" s="276"/>
      <c r="ANR44" s="276"/>
      <c r="ANS44" s="276"/>
      <c r="ANT44" s="276"/>
      <c r="ANU44" s="276"/>
      <c r="ANV44" s="276"/>
      <c r="ANW44" s="276"/>
      <c r="ANX44" s="276"/>
      <c r="ANY44" s="276"/>
      <c r="ANZ44" s="276"/>
      <c r="AOA44" s="275"/>
      <c r="AOB44" s="276"/>
      <c r="AOC44" s="276"/>
      <c r="AOD44" s="276"/>
      <c r="AOE44" s="276"/>
      <c r="AOF44" s="276"/>
      <c r="AOG44" s="276"/>
      <c r="AOH44" s="276"/>
      <c r="AOI44" s="276"/>
      <c r="AOJ44" s="276"/>
      <c r="AOK44" s="276"/>
      <c r="AOL44" s="276"/>
      <c r="AOM44" s="276"/>
      <c r="AON44" s="276"/>
      <c r="AOO44" s="276"/>
      <c r="AOP44" s="276"/>
      <c r="AOQ44" s="275"/>
      <c r="AOR44" s="276"/>
      <c r="AOS44" s="276"/>
      <c r="AOT44" s="276"/>
      <c r="AOU44" s="276"/>
      <c r="AOV44" s="276"/>
      <c r="AOW44" s="276"/>
      <c r="AOX44" s="276"/>
      <c r="AOY44" s="276"/>
      <c r="AOZ44" s="276"/>
      <c r="APA44" s="276"/>
      <c r="APB44" s="276"/>
      <c r="APC44" s="276"/>
      <c r="APD44" s="276"/>
      <c r="APE44" s="276"/>
      <c r="APF44" s="276"/>
      <c r="APG44" s="275"/>
      <c r="APH44" s="276"/>
      <c r="API44" s="276"/>
      <c r="APJ44" s="276"/>
      <c r="APK44" s="276"/>
      <c r="APL44" s="276"/>
      <c r="APM44" s="276"/>
      <c r="APN44" s="276"/>
      <c r="APO44" s="276"/>
      <c r="APP44" s="276"/>
      <c r="APQ44" s="276"/>
      <c r="APR44" s="276"/>
      <c r="APS44" s="276"/>
      <c r="APT44" s="276"/>
      <c r="APU44" s="276"/>
      <c r="APV44" s="276"/>
      <c r="APW44" s="275"/>
      <c r="APX44" s="276"/>
      <c r="APY44" s="276"/>
      <c r="APZ44" s="276"/>
      <c r="AQA44" s="276"/>
      <c r="AQB44" s="276"/>
      <c r="AQC44" s="276"/>
      <c r="AQD44" s="276"/>
      <c r="AQE44" s="276"/>
      <c r="AQF44" s="276"/>
      <c r="AQG44" s="276"/>
      <c r="AQH44" s="276"/>
      <c r="AQI44" s="276"/>
      <c r="AQJ44" s="276"/>
      <c r="AQK44" s="276"/>
      <c r="AQL44" s="276"/>
      <c r="AQM44" s="275"/>
      <c r="AQN44" s="276"/>
      <c r="AQO44" s="276"/>
      <c r="AQP44" s="276"/>
      <c r="AQQ44" s="276"/>
      <c r="AQR44" s="276"/>
      <c r="AQS44" s="276"/>
      <c r="AQT44" s="276"/>
      <c r="AQU44" s="276"/>
      <c r="AQV44" s="276"/>
      <c r="AQW44" s="276"/>
      <c r="AQX44" s="276"/>
      <c r="AQY44" s="276"/>
      <c r="AQZ44" s="276"/>
      <c r="ARA44" s="276"/>
      <c r="ARB44" s="276"/>
      <c r="ARC44" s="275"/>
      <c r="ARD44" s="276"/>
      <c r="ARE44" s="276"/>
      <c r="ARF44" s="276"/>
      <c r="ARG44" s="276"/>
      <c r="ARH44" s="276"/>
      <c r="ARI44" s="276"/>
      <c r="ARJ44" s="276"/>
      <c r="ARK44" s="276"/>
      <c r="ARL44" s="276"/>
      <c r="ARM44" s="276"/>
      <c r="ARN44" s="276"/>
      <c r="ARO44" s="276"/>
      <c r="ARP44" s="276"/>
      <c r="ARQ44" s="276"/>
      <c r="ARR44" s="276"/>
      <c r="ARS44" s="275"/>
      <c r="ART44" s="276"/>
      <c r="ARU44" s="276"/>
      <c r="ARV44" s="276"/>
      <c r="ARW44" s="276"/>
      <c r="ARX44" s="276"/>
      <c r="ARY44" s="276"/>
      <c r="ARZ44" s="276"/>
      <c r="ASA44" s="276"/>
      <c r="ASB44" s="276"/>
      <c r="ASC44" s="276"/>
      <c r="ASD44" s="276"/>
      <c r="ASE44" s="276"/>
      <c r="ASF44" s="276"/>
      <c r="ASG44" s="276"/>
      <c r="ASH44" s="276"/>
      <c r="ASI44" s="275"/>
      <c r="ASJ44" s="276"/>
      <c r="ASK44" s="276"/>
      <c r="ASL44" s="276"/>
      <c r="ASM44" s="276"/>
      <c r="ASN44" s="276"/>
      <c r="ASO44" s="276"/>
      <c r="ASP44" s="276"/>
      <c r="ASQ44" s="276"/>
      <c r="ASR44" s="276"/>
      <c r="ASS44" s="276"/>
      <c r="AST44" s="276"/>
      <c r="ASU44" s="276"/>
      <c r="ASV44" s="276"/>
      <c r="ASW44" s="276"/>
      <c r="ASX44" s="276"/>
      <c r="ASY44" s="275"/>
      <c r="ASZ44" s="276"/>
      <c r="ATA44" s="276"/>
      <c r="ATB44" s="276"/>
      <c r="ATC44" s="276"/>
      <c r="ATD44" s="276"/>
      <c r="ATE44" s="276"/>
      <c r="ATF44" s="276"/>
      <c r="ATG44" s="276"/>
      <c r="ATH44" s="276"/>
      <c r="ATI44" s="276"/>
      <c r="ATJ44" s="276"/>
      <c r="ATK44" s="276"/>
      <c r="ATL44" s="276"/>
      <c r="ATM44" s="276"/>
      <c r="ATN44" s="276"/>
      <c r="ATO44" s="275"/>
      <c r="ATP44" s="276"/>
      <c r="ATQ44" s="276"/>
      <c r="ATR44" s="276"/>
      <c r="ATS44" s="276"/>
      <c r="ATT44" s="276"/>
      <c r="ATU44" s="276"/>
      <c r="ATV44" s="276"/>
      <c r="ATW44" s="276"/>
      <c r="ATX44" s="276"/>
      <c r="ATY44" s="276"/>
      <c r="ATZ44" s="276"/>
      <c r="AUA44" s="276"/>
      <c r="AUB44" s="276"/>
      <c r="AUC44" s="276"/>
      <c r="AUD44" s="276"/>
      <c r="AUE44" s="275"/>
      <c r="AUF44" s="276"/>
      <c r="AUG44" s="276"/>
      <c r="AUH44" s="276"/>
      <c r="AUI44" s="276"/>
      <c r="AUJ44" s="276"/>
      <c r="AUK44" s="276"/>
      <c r="AUL44" s="276"/>
      <c r="AUM44" s="276"/>
      <c r="AUN44" s="276"/>
      <c r="AUO44" s="276"/>
      <c r="AUP44" s="276"/>
      <c r="AUQ44" s="276"/>
      <c r="AUR44" s="276"/>
      <c r="AUS44" s="276"/>
      <c r="AUT44" s="276"/>
      <c r="AUU44" s="275"/>
      <c r="AUV44" s="276"/>
      <c r="AUW44" s="276"/>
      <c r="AUX44" s="276"/>
      <c r="AUY44" s="276"/>
      <c r="AUZ44" s="276"/>
      <c r="AVA44" s="276"/>
      <c r="AVB44" s="276"/>
      <c r="AVC44" s="276"/>
      <c r="AVD44" s="276"/>
      <c r="AVE44" s="276"/>
      <c r="AVF44" s="276"/>
      <c r="AVG44" s="276"/>
      <c r="AVH44" s="276"/>
      <c r="AVI44" s="276"/>
      <c r="AVJ44" s="276"/>
      <c r="AVK44" s="275"/>
      <c r="AVL44" s="276"/>
      <c r="AVM44" s="276"/>
      <c r="AVN44" s="276"/>
      <c r="AVO44" s="276"/>
      <c r="AVP44" s="276"/>
      <c r="AVQ44" s="276"/>
      <c r="AVR44" s="276"/>
      <c r="AVS44" s="276"/>
      <c r="AVT44" s="276"/>
      <c r="AVU44" s="276"/>
      <c r="AVV44" s="276"/>
      <c r="AVW44" s="276"/>
      <c r="AVX44" s="276"/>
      <c r="AVY44" s="276"/>
      <c r="AVZ44" s="276"/>
      <c r="AWA44" s="275"/>
      <c r="AWB44" s="276"/>
      <c r="AWC44" s="276"/>
      <c r="AWD44" s="276"/>
      <c r="AWE44" s="276"/>
      <c r="AWF44" s="276"/>
      <c r="AWG44" s="276"/>
      <c r="AWH44" s="276"/>
      <c r="AWI44" s="276"/>
      <c r="AWJ44" s="276"/>
      <c r="AWK44" s="276"/>
      <c r="AWL44" s="276"/>
      <c r="AWM44" s="276"/>
      <c r="AWN44" s="276"/>
      <c r="AWO44" s="276"/>
      <c r="AWP44" s="276"/>
      <c r="AWQ44" s="275"/>
      <c r="AWR44" s="276"/>
      <c r="AWS44" s="276"/>
      <c r="AWT44" s="276"/>
      <c r="AWU44" s="276"/>
      <c r="AWV44" s="276"/>
      <c r="AWW44" s="276"/>
      <c r="AWX44" s="276"/>
      <c r="AWY44" s="276"/>
      <c r="AWZ44" s="276"/>
      <c r="AXA44" s="276"/>
      <c r="AXB44" s="276"/>
      <c r="AXC44" s="276"/>
      <c r="AXD44" s="276"/>
      <c r="AXE44" s="276"/>
      <c r="AXF44" s="276"/>
      <c r="AXG44" s="275"/>
      <c r="AXH44" s="276"/>
      <c r="AXI44" s="276"/>
      <c r="AXJ44" s="276"/>
      <c r="AXK44" s="276"/>
      <c r="AXL44" s="276"/>
      <c r="AXM44" s="276"/>
      <c r="AXN44" s="276"/>
      <c r="AXO44" s="276"/>
      <c r="AXP44" s="276"/>
      <c r="AXQ44" s="276"/>
      <c r="AXR44" s="276"/>
      <c r="AXS44" s="276"/>
      <c r="AXT44" s="276"/>
      <c r="AXU44" s="276"/>
      <c r="AXV44" s="276"/>
      <c r="AXW44" s="275"/>
      <c r="AXX44" s="276"/>
      <c r="AXY44" s="276"/>
      <c r="AXZ44" s="276"/>
      <c r="AYA44" s="276"/>
      <c r="AYB44" s="276"/>
      <c r="AYC44" s="276"/>
      <c r="AYD44" s="276"/>
      <c r="AYE44" s="276"/>
      <c r="AYF44" s="276"/>
      <c r="AYG44" s="276"/>
      <c r="AYH44" s="276"/>
      <c r="AYI44" s="276"/>
      <c r="AYJ44" s="276"/>
      <c r="AYK44" s="276"/>
      <c r="AYL44" s="276"/>
      <c r="AYM44" s="275"/>
      <c r="AYN44" s="276"/>
      <c r="AYO44" s="276"/>
      <c r="AYP44" s="276"/>
      <c r="AYQ44" s="276"/>
      <c r="AYR44" s="276"/>
      <c r="AYS44" s="276"/>
      <c r="AYT44" s="276"/>
      <c r="AYU44" s="276"/>
      <c r="AYV44" s="276"/>
      <c r="AYW44" s="276"/>
      <c r="AYX44" s="276"/>
      <c r="AYY44" s="276"/>
      <c r="AYZ44" s="276"/>
      <c r="AZA44" s="276"/>
      <c r="AZB44" s="276"/>
      <c r="AZC44" s="275"/>
      <c r="AZD44" s="276"/>
      <c r="AZE44" s="276"/>
      <c r="AZF44" s="276"/>
      <c r="AZG44" s="276"/>
      <c r="AZH44" s="276"/>
      <c r="AZI44" s="276"/>
      <c r="AZJ44" s="276"/>
      <c r="AZK44" s="276"/>
      <c r="AZL44" s="276"/>
      <c r="AZM44" s="276"/>
      <c r="AZN44" s="276"/>
      <c r="AZO44" s="276"/>
      <c r="AZP44" s="276"/>
      <c r="AZQ44" s="276"/>
      <c r="AZR44" s="276"/>
      <c r="AZS44" s="275"/>
      <c r="AZT44" s="276"/>
      <c r="AZU44" s="276"/>
      <c r="AZV44" s="276"/>
      <c r="AZW44" s="276"/>
      <c r="AZX44" s="276"/>
      <c r="AZY44" s="276"/>
      <c r="AZZ44" s="276"/>
      <c r="BAA44" s="276"/>
      <c r="BAB44" s="276"/>
      <c r="BAC44" s="276"/>
      <c r="BAD44" s="276"/>
      <c r="BAE44" s="276"/>
      <c r="BAF44" s="276"/>
      <c r="BAG44" s="276"/>
      <c r="BAH44" s="276"/>
      <c r="BAI44" s="275"/>
      <c r="BAJ44" s="276"/>
      <c r="BAK44" s="276"/>
      <c r="BAL44" s="276"/>
      <c r="BAM44" s="276"/>
      <c r="BAN44" s="276"/>
      <c r="BAO44" s="276"/>
      <c r="BAP44" s="276"/>
      <c r="BAQ44" s="276"/>
      <c r="BAR44" s="276"/>
      <c r="BAS44" s="276"/>
      <c r="BAT44" s="276"/>
      <c r="BAU44" s="276"/>
      <c r="BAV44" s="276"/>
      <c r="BAW44" s="276"/>
      <c r="BAX44" s="276"/>
      <c r="BAY44" s="275"/>
      <c r="BAZ44" s="276"/>
      <c r="BBA44" s="276"/>
      <c r="BBB44" s="276"/>
      <c r="BBC44" s="276"/>
      <c r="BBD44" s="276"/>
      <c r="BBE44" s="276"/>
      <c r="BBF44" s="276"/>
      <c r="BBG44" s="276"/>
      <c r="BBH44" s="276"/>
      <c r="BBI44" s="276"/>
      <c r="BBJ44" s="276"/>
      <c r="BBK44" s="276"/>
      <c r="BBL44" s="276"/>
      <c r="BBM44" s="276"/>
      <c r="BBN44" s="276"/>
      <c r="BBO44" s="275"/>
      <c r="BBP44" s="276"/>
      <c r="BBQ44" s="276"/>
      <c r="BBR44" s="276"/>
      <c r="BBS44" s="276"/>
      <c r="BBT44" s="276"/>
      <c r="BBU44" s="276"/>
      <c r="BBV44" s="276"/>
      <c r="BBW44" s="276"/>
      <c r="BBX44" s="276"/>
      <c r="BBY44" s="276"/>
      <c r="BBZ44" s="276"/>
      <c r="BCA44" s="276"/>
      <c r="BCB44" s="276"/>
      <c r="BCC44" s="276"/>
      <c r="BCD44" s="276"/>
      <c r="BCE44" s="275"/>
      <c r="BCF44" s="276"/>
      <c r="BCG44" s="276"/>
      <c r="BCH44" s="276"/>
      <c r="BCI44" s="276"/>
      <c r="BCJ44" s="276"/>
      <c r="BCK44" s="276"/>
      <c r="BCL44" s="276"/>
      <c r="BCM44" s="276"/>
      <c r="BCN44" s="276"/>
      <c r="BCO44" s="276"/>
      <c r="BCP44" s="276"/>
      <c r="BCQ44" s="276"/>
      <c r="BCR44" s="276"/>
      <c r="BCS44" s="276"/>
      <c r="BCT44" s="276"/>
      <c r="BCU44" s="275"/>
      <c r="BCV44" s="276"/>
      <c r="BCW44" s="276"/>
      <c r="BCX44" s="276"/>
      <c r="BCY44" s="276"/>
      <c r="BCZ44" s="276"/>
      <c r="BDA44" s="276"/>
      <c r="BDB44" s="276"/>
      <c r="BDC44" s="276"/>
      <c r="BDD44" s="276"/>
      <c r="BDE44" s="276"/>
      <c r="BDF44" s="276"/>
      <c r="BDG44" s="276"/>
      <c r="BDH44" s="276"/>
      <c r="BDI44" s="276"/>
      <c r="BDJ44" s="276"/>
      <c r="BDK44" s="275"/>
      <c r="BDL44" s="276"/>
      <c r="BDM44" s="276"/>
      <c r="BDN44" s="276"/>
      <c r="BDO44" s="276"/>
      <c r="BDP44" s="276"/>
      <c r="BDQ44" s="276"/>
      <c r="BDR44" s="276"/>
      <c r="BDS44" s="276"/>
      <c r="BDT44" s="276"/>
      <c r="BDU44" s="276"/>
      <c r="BDV44" s="276"/>
      <c r="BDW44" s="276"/>
      <c r="BDX44" s="276"/>
      <c r="BDY44" s="276"/>
      <c r="BDZ44" s="276"/>
      <c r="BEA44" s="275"/>
      <c r="BEB44" s="276"/>
      <c r="BEC44" s="276"/>
      <c r="BED44" s="276"/>
      <c r="BEE44" s="276"/>
      <c r="BEF44" s="276"/>
      <c r="BEG44" s="276"/>
      <c r="BEH44" s="276"/>
      <c r="BEI44" s="276"/>
      <c r="BEJ44" s="276"/>
      <c r="BEK44" s="276"/>
      <c r="BEL44" s="276"/>
      <c r="BEM44" s="276"/>
      <c r="BEN44" s="276"/>
      <c r="BEO44" s="276"/>
      <c r="BEP44" s="276"/>
      <c r="BEQ44" s="275"/>
      <c r="BER44" s="276"/>
      <c r="BES44" s="276"/>
      <c r="BET44" s="276"/>
      <c r="BEU44" s="276"/>
      <c r="BEV44" s="276"/>
      <c r="BEW44" s="276"/>
      <c r="BEX44" s="276"/>
      <c r="BEY44" s="276"/>
      <c r="BEZ44" s="276"/>
      <c r="BFA44" s="276"/>
      <c r="BFB44" s="276"/>
      <c r="BFC44" s="276"/>
      <c r="BFD44" s="276"/>
      <c r="BFE44" s="276"/>
      <c r="BFF44" s="276"/>
      <c r="BFG44" s="275"/>
      <c r="BFH44" s="276"/>
      <c r="BFI44" s="276"/>
      <c r="BFJ44" s="276"/>
      <c r="BFK44" s="276"/>
      <c r="BFL44" s="276"/>
      <c r="BFM44" s="276"/>
      <c r="BFN44" s="276"/>
      <c r="BFO44" s="276"/>
      <c r="BFP44" s="276"/>
      <c r="BFQ44" s="276"/>
      <c r="BFR44" s="276"/>
      <c r="BFS44" s="276"/>
      <c r="BFT44" s="276"/>
      <c r="BFU44" s="276"/>
      <c r="BFV44" s="276"/>
      <c r="BFW44" s="275"/>
      <c r="BFX44" s="276"/>
      <c r="BFY44" s="276"/>
      <c r="BFZ44" s="276"/>
      <c r="BGA44" s="276"/>
      <c r="BGB44" s="276"/>
      <c r="BGC44" s="276"/>
      <c r="BGD44" s="276"/>
      <c r="BGE44" s="276"/>
      <c r="BGF44" s="276"/>
      <c r="BGG44" s="276"/>
      <c r="BGH44" s="276"/>
      <c r="BGI44" s="276"/>
      <c r="BGJ44" s="276"/>
      <c r="BGK44" s="276"/>
      <c r="BGL44" s="276"/>
      <c r="BGM44" s="275"/>
      <c r="BGN44" s="276"/>
      <c r="BGO44" s="276"/>
      <c r="BGP44" s="276"/>
      <c r="BGQ44" s="276"/>
      <c r="BGR44" s="276"/>
      <c r="BGS44" s="276"/>
      <c r="BGT44" s="276"/>
      <c r="BGU44" s="276"/>
      <c r="BGV44" s="276"/>
      <c r="BGW44" s="276"/>
      <c r="BGX44" s="276"/>
      <c r="BGY44" s="276"/>
      <c r="BGZ44" s="276"/>
      <c r="BHA44" s="276"/>
      <c r="BHB44" s="276"/>
      <c r="BHC44" s="275"/>
      <c r="BHD44" s="276"/>
      <c r="BHE44" s="276"/>
      <c r="BHF44" s="276"/>
      <c r="BHG44" s="276"/>
      <c r="BHH44" s="276"/>
      <c r="BHI44" s="276"/>
      <c r="BHJ44" s="276"/>
      <c r="BHK44" s="276"/>
      <c r="BHL44" s="276"/>
      <c r="BHM44" s="276"/>
      <c r="BHN44" s="276"/>
      <c r="BHO44" s="276"/>
      <c r="BHP44" s="276"/>
      <c r="BHQ44" s="276"/>
      <c r="BHR44" s="276"/>
      <c r="BHS44" s="275"/>
      <c r="BHT44" s="276"/>
      <c r="BHU44" s="276"/>
      <c r="BHV44" s="276"/>
      <c r="BHW44" s="276"/>
      <c r="BHX44" s="276"/>
      <c r="BHY44" s="276"/>
      <c r="BHZ44" s="276"/>
      <c r="BIA44" s="276"/>
      <c r="BIB44" s="276"/>
      <c r="BIC44" s="276"/>
      <c r="BID44" s="276"/>
      <c r="BIE44" s="276"/>
      <c r="BIF44" s="276"/>
      <c r="BIG44" s="276"/>
      <c r="BIH44" s="276"/>
      <c r="BII44" s="275"/>
      <c r="BIJ44" s="276"/>
      <c r="BIK44" s="276"/>
      <c r="BIL44" s="276"/>
      <c r="BIM44" s="276"/>
      <c r="BIN44" s="276"/>
      <c r="BIO44" s="276"/>
      <c r="BIP44" s="276"/>
      <c r="BIQ44" s="276"/>
      <c r="BIR44" s="276"/>
      <c r="BIS44" s="276"/>
      <c r="BIT44" s="276"/>
      <c r="BIU44" s="276"/>
      <c r="BIV44" s="276"/>
      <c r="BIW44" s="276"/>
      <c r="BIX44" s="276"/>
      <c r="BIY44" s="275"/>
      <c r="BIZ44" s="276"/>
      <c r="BJA44" s="276"/>
      <c r="BJB44" s="276"/>
      <c r="BJC44" s="276"/>
      <c r="BJD44" s="276"/>
      <c r="BJE44" s="276"/>
      <c r="BJF44" s="276"/>
      <c r="BJG44" s="276"/>
      <c r="BJH44" s="276"/>
      <c r="BJI44" s="276"/>
      <c r="BJJ44" s="276"/>
      <c r="BJK44" s="276"/>
      <c r="BJL44" s="276"/>
      <c r="BJM44" s="276"/>
      <c r="BJN44" s="276"/>
      <c r="BJO44" s="275"/>
      <c r="BJP44" s="276"/>
      <c r="BJQ44" s="276"/>
      <c r="BJR44" s="276"/>
      <c r="BJS44" s="276"/>
      <c r="BJT44" s="276"/>
      <c r="BJU44" s="276"/>
      <c r="BJV44" s="276"/>
      <c r="BJW44" s="276"/>
      <c r="BJX44" s="276"/>
      <c r="BJY44" s="276"/>
      <c r="BJZ44" s="276"/>
      <c r="BKA44" s="276"/>
      <c r="BKB44" s="276"/>
      <c r="BKC44" s="276"/>
      <c r="BKD44" s="276"/>
      <c r="BKE44" s="275"/>
      <c r="BKF44" s="276"/>
      <c r="BKG44" s="276"/>
      <c r="BKH44" s="276"/>
      <c r="BKI44" s="276"/>
      <c r="BKJ44" s="276"/>
      <c r="BKK44" s="276"/>
      <c r="BKL44" s="276"/>
      <c r="BKM44" s="276"/>
      <c r="BKN44" s="276"/>
      <c r="BKO44" s="276"/>
      <c r="BKP44" s="276"/>
      <c r="BKQ44" s="276"/>
      <c r="BKR44" s="276"/>
      <c r="BKS44" s="276"/>
      <c r="BKT44" s="276"/>
      <c r="BKU44" s="275"/>
      <c r="BKV44" s="276"/>
      <c r="BKW44" s="276"/>
      <c r="BKX44" s="276"/>
      <c r="BKY44" s="276"/>
      <c r="BKZ44" s="276"/>
      <c r="BLA44" s="276"/>
      <c r="BLB44" s="276"/>
      <c r="BLC44" s="276"/>
      <c r="BLD44" s="276"/>
      <c r="BLE44" s="276"/>
      <c r="BLF44" s="276"/>
      <c r="BLG44" s="276"/>
      <c r="BLH44" s="276"/>
      <c r="BLI44" s="276"/>
      <c r="BLJ44" s="276"/>
      <c r="BLK44" s="275"/>
      <c r="BLL44" s="276"/>
      <c r="BLM44" s="276"/>
      <c r="BLN44" s="276"/>
      <c r="BLO44" s="276"/>
      <c r="BLP44" s="276"/>
      <c r="BLQ44" s="276"/>
      <c r="BLR44" s="276"/>
      <c r="BLS44" s="276"/>
      <c r="BLT44" s="276"/>
      <c r="BLU44" s="276"/>
      <c r="BLV44" s="276"/>
      <c r="BLW44" s="276"/>
      <c r="BLX44" s="276"/>
      <c r="BLY44" s="276"/>
      <c r="BLZ44" s="276"/>
      <c r="BMA44" s="275"/>
      <c r="BMB44" s="276"/>
      <c r="BMC44" s="276"/>
      <c r="BMD44" s="276"/>
      <c r="BME44" s="276"/>
      <c r="BMF44" s="276"/>
      <c r="BMG44" s="276"/>
      <c r="BMH44" s="276"/>
      <c r="BMI44" s="276"/>
      <c r="BMJ44" s="276"/>
      <c r="BMK44" s="276"/>
      <c r="BML44" s="276"/>
      <c r="BMM44" s="276"/>
      <c r="BMN44" s="276"/>
      <c r="BMO44" s="276"/>
      <c r="BMP44" s="276"/>
      <c r="BMQ44" s="275"/>
      <c r="BMR44" s="276"/>
      <c r="BMS44" s="276"/>
      <c r="BMT44" s="276"/>
      <c r="BMU44" s="276"/>
      <c r="BMV44" s="276"/>
      <c r="BMW44" s="276"/>
      <c r="BMX44" s="276"/>
      <c r="BMY44" s="276"/>
      <c r="BMZ44" s="276"/>
      <c r="BNA44" s="276"/>
      <c r="BNB44" s="276"/>
      <c r="BNC44" s="276"/>
      <c r="BND44" s="276"/>
      <c r="BNE44" s="276"/>
      <c r="BNF44" s="276"/>
      <c r="BNG44" s="275"/>
      <c r="BNH44" s="276"/>
      <c r="BNI44" s="276"/>
      <c r="BNJ44" s="276"/>
      <c r="BNK44" s="276"/>
      <c r="BNL44" s="276"/>
      <c r="BNM44" s="276"/>
      <c r="BNN44" s="276"/>
      <c r="BNO44" s="276"/>
      <c r="BNP44" s="276"/>
      <c r="BNQ44" s="276"/>
      <c r="BNR44" s="276"/>
      <c r="BNS44" s="276"/>
      <c r="BNT44" s="276"/>
      <c r="BNU44" s="276"/>
      <c r="BNV44" s="276"/>
      <c r="BNW44" s="275"/>
      <c r="BNX44" s="276"/>
      <c r="BNY44" s="276"/>
      <c r="BNZ44" s="276"/>
      <c r="BOA44" s="276"/>
      <c r="BOB44" s="276"/>
      <c r="BOC44" s="276"/>
      <c r="BOD44" s="276"/>
      <c r="BOE44" s="276"/>
      <c r="BOF44" s="276"/>
      <c r="BOG44" s="276"/>
      <c r="BOH44" s="276"/>
      <c r="BOI44" s="276"/>
      <c r="BOJ44" s="276"/>
      <c r="BOK44" s="276"/>
      <c r="BOL44" s="276"/>
      <c r="BOM44" s="275"/>
      <c r="BON44" s="276"/>
      <c r="BOO44" s="276"/>
      <c r="BOP44" s="276"/>
      <c r="BOQ44" s="276"/>
      <c r="BOR44" s="276"/>
      <c r="BOS44" s="276"/>
      <c r="BOT44" s="276"/>
      <c r="BOU44" s="276"/>
      <c r="BOV44" s="276"/>
      <c r="BOW44" s="276"/>
      <c r="BOX44" s="276"/>
      <c r="BOY44" s="276"/>
      <c r="BOZ44" s="276"/>
      <c r="BPA44" s="276"/>
      <c r="BPB44" s="276"/>
      <c r="BPC44" s="275"/>
      <c r="BPD44" s="276"/>
      <c r="BPE44" s="276"/>
      <c r="BPF44" s="276"/>
      <c r="BPG44" s="276"/>
      <c r="BPH44" s="276"/>
      <c r="BPI44" s="276"/>
      <c r="BPJ44" s="276"/>
      <c r="BPK44" s="276"/>
      <c r="BPL44" s="276"/>
      <c r="BPM44" s="276"/>
      <c r="BPN44" s="276"/>
      <c r="BPO44" s="276"/>
      <c r="BPP44" s="276"/>
      <c r="BPQ44" s="276"/>
      <c r="BPR44" s="276"/>
      <c r="BPS44" s="275"/>
      <c r="BPT44" s="276"/>
      <c r="BPU44" s="276"/>
      <c r="BPV44" s="276"/>
      <c r="BPW44" s="276"/>
      <c r="BPX44" s="276"/>
      <c r="BPY44" s="276"/>
      <c r="BPZ44" s="276"/>
      <c r="BQA44" s="276"/>
      <c r="BQB44" s="276"/>
      <c r="BQC44" s="276"/>
      <c r="BQD44" s="276"/>
      <c r="BQE44" s="276"/>
      <c r="BQF44" s="276"/>
      <c r="BQG44" s="276"/>
      <c r="BQH44" s="276"/>
      <c r="BQI44" s="275"/>
      <c r="BQJ44" s="276"/>
      <c r="BQK44" s="276"/>
      <c r="BQL44" s="276"/>
      <c r="BQM44" s="276"/>
      <c r="BQN44" s="276"/>
      <c r="BQO44" s="276"/>
      <c r="BQP44" s="276"/>
      <c r="BQQ44" s="276"/>
      <c r="BQR44" s="276"/>
      <c r="BQS44" s="276"/>
      <c r="BQT44" s="276"/>
      <c r="BQU44" s="276"/>
      <c r="BQV44" s="276"/>
      <c r="BQW44" s="276"/>
      <c r="BQX44" s="276"/>
      <c r="BQY44" s="275"/>
      <c r="BQZ44" s="276"/>
      <c r="BRA44" s="276"/>
      <c r="BRB44" s="276"/>
      <c r="BRC44" s="276"/>
      <c r="BRD44" s="276"/>
      <c r="BRE44" s="276"/>
      <c r="BRF44" s="276"/>
      <c r="BRG44" s="276"/>
      <c r="BRH44" s="276"/>
      <c r="BRI44" s="276"/>
      <c r="BRJ44" s="276"/>
      <c r="BRK44" s="276"/>
      <c r="BRL44" s="276"/>
      <c r="BRM44" s="276"/>
      <c r="BRN44" s="276"/>
      <c r="BRO44" s="275"/>
      <c r="BRP44" s="276"/>
      <c r="BRQ44" s="276"/>
      <c r="BRR44" s="276"/>
      <c r="BRS44" s="276"/>
      <c r="BRT44" s="276"/>
      <c r="BRU44" s="276"/>
      <c r="BRV44" s="276"/>
      <c r="BRW44" s="276"/>
      <c r="BRX44" s="276"/>
      <c r="BRY44" s="276"/>
      <c r="BRZ44" s="276"/>
      <c r="BSA44" s="276"/>
      <c r="BSB44" s="276"/>
      <c r="BSC44" s="276"/>
      <c r="BSD44" s="276"/>
      <c r="BSE44" s="275"/>
      <c r="BSF44" s="276"/>
      <c r="BSG44" s="276"/>
      <c r="BSH44" s="276"/>
      <c r="BSI44" s="276"/>
      <c r="BSJ44" s="276"/>
      <c r="BSK44" s="276"/>
      <c r="BSL44" s="276"/>
      <c r="BSM44" s="276"/>
      <c r="BSN44" s="276"/>
      <c r="BSO44" s="276"/>
      <c r="BSP44" s="276"/>
      <c r="BSQ44" s="276"/>
      <c r="BSR44" s="276"/>
      <c r="BSS44" s="276"/>
      <c r="BST44" s="276"/>
      <c r="BSU44" s="275"/>
      <c r="BSV44" s="276"/>
      <c r="BSW44" s="276"/>
      <c r="BSX44" s="276"/>
      <c r="BSY44" s="276"/>
      <c r="BSZ44" s="276"/>
      <c r="BTA44" s="276"/>
      <c r="BTB44" s="276"/>
      <c r="BTC44" s="276"/>
      <c r="BTD44" s="276"/>
      <c r="BTE44" s="276"/>
      <c r="BTF44" s="276"/>
      <c r="BTG44" s="276"/>
      <c r="BTH44" s="276"/>
      <c r="BTI44" s="276"/>
      <c r="BTJ44" s="276"/>
      <c r="BTK44" s="275"/>
      <c r="BTL44" s="276"/>
      <c r="BTM44" s="276"/>
      <c r="BTN44" s="276"/>
      <c r="BTO44" s="276"/>
      <c r="BTP44" s="276"/>
      <c r="BTQ44" s="276"/>
      <c r="BTR44" s="276"/>
      <c r="BTS44" s="276"/>
      <c r="BTT44" s="276"/>
      <c r="BTU44" s="276"/>
      <c r="BTV44" s="276"/>
      <c r="BTW44" s="276"/>
      <c r="BTX44" s="276"/>
      <c r="BTY44" s="276"/>
      <c r="BTZ44" s="276"/>
      <c r="BUA44" s="275"/>
      <c r="BUB44" s="276"/>
      <c r="BUC44" s="276"/>
      <c r="BUD44" s="276"/>
      <c r="BUE44" s="276"/>
      <c r="BUF44" s="276"/>
      <c r="BUG44" s="276"/>
      <c r="BUH44" s="276"/>
      <c r="BUI44" s="276"/>
      <c r="BUJ44" s="276"/>
      <c r="BUK44" s="276"/>
      <c r="BUL44" s="276"/>
      <c r="BUM44" s="276"/>
      <c r="BUN44" s="276"/>
      <c r="BUO44" s="276"/>
      <c r="BUP44" s="276"/>
      <c r="BUQ44" s="275"/>
      <c r="BUR44" s="276"/>
      <c r="BUS44" s="276"/>
      <c r="BUT44" s="276"/>
      <c r="BUU44" s="276"/>
      <c r="BUV44" s="276"/>
      <c r="BUW44" s="276"/>
      <c r="BUX44" s="276"/>
      <c r="BUY44" s="276"/>
      <c r="BUZ44" s="276"/>
      <c r="BVA44" s="276"/>
      <c r="BVB44" s="276"/>
      <c r="BVC44" s="276"/>
      <c r="BVD44" s="276"/>
      <c r="BVE44" s="276"/>
      <c r="BVF44" s="276"/>
      <c r="BVG44" s="275"/>
      <c r="BVH44" s="276"/>
      <c r="BVI44" s="276"/>
      <c r="BVJ44" s="276"/>
      <c r="BVK44" s="276"/>
      <c r="BVL44" s="276"/>
      <c r="BVM44" s="276"/>
      <c r="BVN44" s="276"/>
      <c r="BVO44" s="276"/>
      <c r="BVP44" s="276"/>
      <c r="BVQ44" s="276"/>
      <c r="BVR44" s="276"/>
      <c r="BVS44" s="276"/>
      <c r="BVT44" s="276"/>
      <c r="BVU44" s="276"/>
      <c r="BVV44" s="276"/>
      <c r="BVW44" s="275"/>
      <c r="BVX44" s="276"/>
      <c r="BVY44" s="276"/>
      <c r="BVZ44" s="276"/>
      <c r="BWA44" s="276"/>
      <c r="BWB44" s="276"/>
      <c r="BWC44" s="276"/>
      <c r="BWD44" s="276"/>
      <c r="BWE44" s="276"/>
      <c r="BWF44" s="276"/>
      <c r="BWG44" s="276"/>
      <c r="BWH44" s="276"/>
      <c r="BWI44" s="276"/>
      <c r="BWJ44" s="276"/>
      <c r="BWK44" s="276"/>
      <c r="BWL44" s="276"/>
      <c r="BWM44" s="275"/>
      <c r="BWN44" s="276"/>
      <c r="BWO44" s="276"/>
      <c r="BWP44" s="276"/>
      <c r="BWQ44" s="276"/>
      <c r="BWR44" s="276"/>
      <c r="BWS44" s="276"/>
      <c r="BWT44" s="276"/>
      <c r="BWU44" s="276"/>
      <c r="BWV44" s="276"/>
      <c r="BWW44" s="276"/>
      <c r="BWX44" s="276"/>
      <c r="BWY44" s="276"/>
      <c r="BWZ44" s="276"/>
      <c r="BXA44" s="276"/>
      <c r="BXB44" s="276"/>
      <c r="BXC44" s="275"/>
      <c r="BXD44" s="276"/>
      <c r="BXE44" s="276"/>
      <c r="BXF44" s="276"/>
      <c r="BXG44" s="276"/>
      <c r="BXH44" s="276"/>
      <c r="BXI44" s="276"/>
      <c r="BXJ44" s="276"/>
      <c r="BXK44" s="276"/>
      <c r="BXL44" s="276"/>
      <c r="BXM44" s="276"/>
      <c r="BXN44" s="276"/>
      <c r="BXO44" s="276"/>
      <c r="BXP44" s="276"/>
      <c r="BXQ44" s="276"/>
      <c r="BXR44" s="276"/>
      <c r="BXS44" s="275"/>
      <c r="BXT44" s="276"/>
      <c r="BXU44" s="276"/>
      <c r="BXV44" s="276"/>
      <c r="BXW44" s="276"/>
      <c r="BXX44" s="276"/>
      <c r="BXY44" s="276"/>
      <c r="BXZ44" s="276"/>
      <c r="BYA44" s="276"/>
      <c r="BYB44" s="276"/>
      <c r="BYC44" s="276"/>
      <c r="BYD44" s="276"/>
      <c r="BYE44" s="276"/>
      <c r="BYF44" s="276"/>
      <c r="BYG44" s="276"/>
      <c r="BYH44" s="276"/>
      <c r="BYI44" s="275"/>
      <c r="BYJ44" s="276"/>
      <c r="BYK44" s="276"/>
      <c r="BYL44" s="276"/>
      <c r="BYM44" s="276"/>
      <c r="BYN44" s="276"/>
      <c r="BYO44" s="276"/>
      <c r="BYP44" s="276"/>
      <c r="BYQ44" s="276"/>
      <c r="BYR44" s="276"/>
      <c r="BYS44" s="276"/>
      <c r="BYT44" s="276"/>
      <c r="BYU44" s="276"/>
      <c r="BYV44" s="276"/>
      <c r="BYW44" s="276"/>
      <c r="BYX44" s="276"/>
      <c r="BYY44" s="275"/>
      <c r="BYZ44" s="276"/>
      <c r="BZA44" s="276"/>
      <c r="BZB44" s="276"/>
      <c r="BZC44" s="276"/>
      <c r="BZD44" s="276"/>
      <c r="BZE44" s="276"/>
      <c r="BZF44" s="276"/>
      <c r="BZG44" s="276"/>
      <c r="BZH44" s="276"/>
      <c r="BZI44" s="276"/>
      <c r="BZJ44" s="276"/>
      <c r="BZK44" s="276"/>
      <c r="BZL44" s="276"/>
      <c r="BZM44" s="276"/>
      <c r="BZN44" s="276"/>
      <c r="BZO44" s="275"/>
      <c r="BZP44" s="276"/>
      <c r="BZQ44" s="276"/>
      <c r="BZR44" s="276"/>
      <c r="BZS44" s="276"/>
      <c r="BZT44" s="276"/>
      <c r="BZU44" s="276"/>
      <c r="BZV44" s="276"/>
      <c r="BZW44" s="276"/>
      <c r="BZX44" s="276"/>
      <c r="BZY44" s="276"/>
      <c r="BZZ44" s="276"/>
      <c r="CAA44" s="276"/>
      <c r="CAB44" s="276"/>
      <c r="CAC44" s="276"/>
      <c r="CAD44" s="276"/>
      <c r="CAE44" s="275"/>
      <c r="CAF44" s="276"/>
      <c r="CAG44" s="276"/>
      <c r="CAH44" s="276"/>
      <c r="CAI44" s="276"/>
      <c r="CAJ44" s="276"/>
      <c r="CAK44" s="276"/>
      <c r="CAL44" s="276"/>
      <c r="CAM44" s="276"/>
      <c r="CAN44" s="276"/>
      <c r="CAO44" s="276"/>
      <c r="CAP44" s="276"/>
      <c r="CAQ44" s="276"/>
      <c r="CAR44" s="276"/>
      <c r="CAS44" s="276"/>
      <c r="CAT44" s="276"/>
      <c r="CAU44" s="275"/>
      <c r="CAV44" s="276"/>
      <c r="CAW44" s="276"/>
      <c r="CAX44" s="276"/>
      <c r="CAY44" s="276"/>
      <c r="CAZ44" s="276"/>
      <c r="CBA44" s="276"/>
      <c r="CBB44" s="276"/>
      <c r="CBC44" s="276"/>
      <c r="CBD44" s="276"/>
      <c r="CBE44" s="276"/>
      <c r="CBF44" s="276"/>
      <c r="CBG44" s="276"/>
      <c r="CBH44" s="276"/>
      <c r="CBI44" s="276"/>
      <c r="CBJ44" s="276"/>
      <c r="CBK44" s="275"/>
      <c r="CBL44" s="276"/>
      <c r="CBM44" s="276"/>
      <c r="CBN44" s="276"/>
      <c r="CBO44" s="276"/>
      <c r="CBP44" s="276"/>
      <c r="CBQ44" s="276"/>
      <c r="CBR44" s="276"/>
      <c r="CBS44" s="276"/>
      <c r="CBT44" s="276"/>
      <c r="CBU44" s="276"/>
      <c r="CBV44" s="276"/>
      <c r="CBW44" s="276"/>
      <c r="CBX44" s="276"/>
      <c r="CBY44" s="276"/>
      <c r="CBZ44" s="276"/>
      <c r="CCA44" s="275"/>
      <c r="CCB44" s="276"/>
      <c r="CCC44" s="276"/>
      <c r="CCD44" s="276"/>
      <c r="CCE44" s="276"/>
      <c r="CCF44" s="276"/>
      <c r="CCG44" s="276"/>
      <c r="CCH44" s="276"/>
      <c r="CCI44" s="276"/>
      <c r="CCJ44" s="276"/>
      <c r="CCK44" s="276"/>
      <c r="CCL44" s="276"/>
      <c r="CCM44" s="276"/>
      <c r="CCN44" s="276"/>
      <c r="CCO44" s="276"/>
      <c r="CCP44" s="276"/>
      <c r="CCQ44" s="275"/>
      <c r="CCR44" s="276"/>
      <c r="CCS44" s="276"/>
      <c r="CCT44" s="276"/>
      <c r="CCU44" s="276"/>
      <c r="CCV44" s="276"/>
      <c r="CCW44" s="276"/>
      <c r="CCX44" s="276"/>
      <c r="CCY44" s="276"/>
      <c r="CCZ44" s="276"/>
      <c r="CDA44" s="276"/>
      <c r="CDB44" s="276"/>
      <c r="CDC44" s="276"/>
      <c r="CDD44" s="276"/>
      <c r="CDE44" s="276"/>
      <c r="CDF44" s="276"/>
      <c r="CDG44" s="275"/>
      <c r="CDH44" s="276"/>
      <c r="CDI44" s="276"/>
      <c r="CDJ44" s="276"/>
      <c r="CDK44" s="276"/>
      <c r="CDL44" s="276"/>
      <c r="CDM44" s="276"/>
      <c r="CDN44" s="276"/>
      <c r="CDO44" s="276"/>
      <c r="CDP44" s="276"/>
      <c r="CDQ44" s="276"/>
      <c r="CDR44" s="276"/>
      <c r="CDS44" s="276"/>
      <c r="CDT44" s="276"/>
      <c r="CDU44" s="276"/>
      <c r="CDV44" s="276"/>
      <c r="CDW44" s="275"/>
      <c r="CDX44" s="276"/>
      <c r="CDY44" s="276"/>
      <c r="CDZ44" s="276"/>
      <c r="CEA44" s="276"/>
      <c r="CEB44" s="276"/>
      <c r="CEC44" s="276"/>
      <c r="CED44" s="276"/>
      <c r="CEE44" s="276"/>
      <c r="CEF44" s="276"/>
      <c r="CEG44" s="276"/>
      <c r="CEH44" s="276"/>
      <c r="CEI44" s="276"/>
      <c r="CEJ44" s="276"/>
      <c r="CEK44" s="276"/>
      <c r="CEL44" s="276"/>
      <c r="CEM44" s="275"/>
      <c r="CEN44" s="276"/>
      <c r="CEO44" s="276"/>
      <c r="CEP44" s="276"/>
      <c r="CEQ44" s="276"/>
      <c r="CER44" s="276"/>
      <c r="CES44" s="276"/>
      <c r="CET44" s="276"/>
      <c r="CEU44" s="276"/>
      <c r="CEV44" s="276"/>
      <c r="CEW44" s="276"/>
      <c r="CEX44" s="276"/>
      <c r="CEY44" s="276"/>
      <c r="CEZ44" s="276"/>
      <c r="CFA44" s="276"/>
      <c r="CFB44" s="276"/>
      <c r="CFC44" s="275"/>
      <c r="CFD44" s="276"/>
      <c r="CFE44" s="276"/>
      <c r="CFF44" s="276"/>
      <c r="CFG44" s="276"/>
      <c r="CFH44" s="276"/>
      <c r="CFI44" s="276"/>
      <c r="CFJ44" s="276"/>
      <c r="CFK44" s="276"/>
      <c r="CFL44" s="276"/>
      <c r="CFM44" s="276"/>
      <c r="CFN44" s="276"/>
      <c r="CFO44" s="276"/>
      <c r="CFP44" s="276"/>
      <c r="CFQ44" s="276"/>
      <c r="CFR44" s="276"/>
      <c r="CFS44" s="275"/>
      <c r="CFT44" s="276"/>
      <c r="CFU44" s="276"/>
      <c r="CFV44" s="276"/>
      <c r="CFW44" s="276"/>
      <c r="CFX44" s="276"/>
      <c r="CFY44" s="276"/>
      <c r="CFZ44" s="276"/>
      <c r="CGA44" s="276"/>
      <c r="CGB44" s="276"/>
      <c r="CGC44" s="276"/>
      <c r="CGD44" s="276"/>
      <c r="CGE44" s="276"/>
      <c r="CGF44" s="276"/>
      <c r="CGG44" s="276"/>
      <c r="CGH44" s="276"/>
      <c r="CGI44" s="275"/>
      <c r="CGJ44" s="276"/>
      <c r="CGK44" s="276"/>
      <c r="CGL44" s="276"/>
      <c r="CGM44" s="276"/>
      <c r="CGN44" s="276"/>
      <c r="CGO44" s="276"/>
      <c r="CGP44" s="276"/>
      <c r="CGQ44" s="276"/>
      <c r="CGR44" s="276"/>
      <c r="CGS44" s="276"/>
      <c r="CGT44" s="276"/>
      <c r="CGU44" s="276"/>
      <c r="CGV44" s="276"/>
      <c r="CGW44" s="276"/>
      <c r="CGX44" s="276"/>
      <c r="CGY44" s="275"/>
      <c r="CGZ44" s="276"/>
      <c r="CHA44" s="276"/>
      <c r="CHB44" s="276"/>
      <c r="CHC44" s="276"/>
      <c r="CHD44" s="276"/>
      <c r="CHE44" s="276"/>
      <c r="CHF44" s="276"/>
      <c r="CHG44" s="276"/>
      <c r="CHH44" s="276"/>
      <c r="CHI44" s="276"/>
      <c r="CHJ44" s="276"/>
      <c r="CHK44" s="276"/>
      <c r="CHL44" s="276"/>
      <c r="CHM44" s="276"/>
      <c r="CHN44" s="276"/>
      <c r="CHO44" s="275"/>
      <c r="CHP44" s="276"/>
      <c r="CHQ44" s="276"/>
      <c r="CHR44" s="276"/>
      <c r="CHS44" s="276"/>
      <c r="CHT44" s="276"/>
      <c r="CHU44" s="276"/>
      <c r="CHV44" s="276"/>
      <c r="CHW44" s="276"/>
      <c r="CHX44" s="276"/>
      <c r="CHY44" s="276"/>
      <c r="CHZ44" s="276"/>
      <c r="CIA44" s="276"/>
      <c r="CIB44" s="276"/>
      <c r="CIC44" s="276"/>
      <c r="CID44" s="276"/>
      <c r="CIE44" s="275"/>
      <c r="CIF44" s="276"/>
      <c r="CIG44" s="276"/>
      <c r="CIH44" s="276"/>
      <c r="CII44" s="276"/>
      <c r="CIJ44" s="276"/>
      <c r="CIK44" s="276"/>
      <c r="CIL44" s="276"/>
      <c r="CIM44" s="276"/>
      <c r="CIN44" s="276"/>
      <c r="CIO44" s="276"/>
      <c r="CIP44" s="276"/>
      <c r="CIQ44" s="276"/>
      <c r="CIR44" s="276"/>
      <c r="CIS44" s="276"/>
      <c r="CIT44" s="276"/>
      <c r="CIU44" s="275"/>
      <c r="CIV44" s="276"/>
      <c r="CIW44" s="276"/>
      <c r="CIX44" s="276"/>
      <c r="CIY44" s="276"/>
      <c r="CIZ44" s="276"/>
      <c r="CJA44" s="276"/>
      <c r="CJB44" s="276"/>
      <c r="CJC44" s="276"/>
      <c r="CJD44" s="276"/>
      <c r="CJE44" s="276"/>
      <c r="CJF44" s="276"/>
      <c r="CJG44" s="276"/>
      <c r="CJH44" s="276"/>
      <c r="CJI44" s="276"/>
      <c r="CJJ44" s="276"/>
      <c r="CJK44" s="275"/>
      <c r="CJL44" s="276"/>
      <c r="CJM44" s="276"/>
      <c r="CJN44" s="276"/>
      <c r="CJO44" s="276"/>
      <c r="CJP44" s="276"/>
      <c r="CJQ44" s="276"/>
      <c r="CJR44" s="276"/>
      <c r="CJS44" s="276"/>
      <c r="CJT44" s="276"/>
      <c r="CJU44" s="276"/>
      <c r="CJV44" s="276"/>
      <c r="CJW44" s="276"/>
      <c r="CJX44" s="276"/>
      <c r="CJY44" s="276"/>
      <c r="CJZ44" s="276"/>
      <c r="CKA44" s="275"/>
      <c r="CKB44" s="276"/>
      <c r="CKC44" s="276"/>
      <c r="CKD44" s="276"/>
      <c r="CKE44" s="276"/>
      <c r="CKF44" s="276"/>
      <c r="CKG44" s="276"/>
      <c r="CKH44" s="276"/>
      <c r="CKI44" s="276"/>
      <c r="CKJ44" s="276"/>
      <c r="CKK44" s="276"/>
      <c r="CKL44" s="276"/>
      <c r="CKM44" s="276"/>
      <c r="CKN44" s="276"/>
      <c r="CKO44" s="276"/>
      <c r="CKP44" s="276"/>
      <c r="CKQ44" s="275"/>
      <c r="CKR44" s="276"/>
      <c r="CKS44" s="276"/>
      <c r="CKT44" s="276"/>
      <c r="CKU44" s="276"/>
      <c r="CKV44" s="276"/>
      <c r="CKW44" s="276"/>
      <c r="CKX44" s="276"/>
      <c r="CKY44" s="276"/>
      <c r="CKZ44" s="276"/>
      <c r="CLA44" s="276"/>
      <c r="CLB44" s="276"/>
      <c r="CLC44" s="276"/>
      <c r="CLD44" s="276"/>
      <c r="CLE44" s="276"/>
      <c r="CLF44" s="276"/>
      <c r="CLG44" s="275"/>
      <c r="CLH44" s="276"/>
      <c r="CLI44" s="276"/>
      <c r="CLJ44" s="276"/>
      <c r="CLK44" s="276"/>
      <c r="CLL44" s="276"/>
      <c r="CLM44" s="276"/>
      <c r="CLN44" s="276"/>
      <c r="CLO44" s="276"/>
      <c r="CLP44" s="276"/>
      <c r="CLQ44" s="276"/>
      <c r="CLR44" s="276"/>
      <c r="CLS44" s="276"/>
      <c r="CLT44" s="276"/>
      <c r="CLU44" s="276"/>
      <c r="CLV44" s="276"/>
      <c r="CLW44" s="275"/>
      <c r="CLX44" s="276"/>
      <c r="CLY44" s="276"/>
      <c r="CLZ44" s="276"/>
      <c r="CMA44" s="276"/>
      <c r="CMB44" s="276"/>
      <c r="CMC44" s="276"/>
      <c r="CMD44" s="276"/>
      <c r="CME44" s="276"/>
      <c r="CMF44" s="276"/>
      <c r="CMG44" s="276"/>
      <c r="CMH44" s="276"/>
      <c r="CMI44" s="276"/>
      <c r="CMJ44" s="276"/>
      <c r="CMK44" s="276"/>
      <c r="CML44" s="276"/>
      <c r="CMM44" s="275"/>
      <c r="CMN44" s="276"/>
      <c r="CMO44" s="276"/>
      <c r="CMP44" s="276"/>
      <c r="CMQ44" s="276"/>
      <c r="CMR44" s="276"/>
      <c r="CMS44" s="276"/>
      <c r="CMT44" s="276"/>
      <c r="CMU44" s="276"/>
      <c r="CMV44" s="276"/>
      <c r="CMW44" s="276"/>
      <c r="CMX44" s="276"/>
      <c r="CMY44" s="276"/>
      <c r="CMZ44" s="276"/>
      <c r="CNA44" s="276"/>
      <c r="CNB44" s="276"/>
      <c r="CNC44" s="275"/>
      <c r="CND44" s="276"/>
      <c r="CNE44" s="276"/>
      <c r="CNF44" s="276"/>
      <c r="CNG44" s="276"/>
      <c r="CNH44" s="276"/>
      <c r="CNI44" s="276"/>
      <c r="CNJ44" s="276"/>
      <c r="CNK44" s="276"/>
      <c r="CNL44" s="276"/>
      <c r="CNM44" s="276"/>
      <c r="CNN44" s="276"/>
      <c r="CNO44" s="276"/>
      <c r="CNP44" s="276"/>
      <c r="CNQ44" s="276"/>
      <c r="CNR44" s="276"/>
      <c r="CNS44" s="275"/>
      <c r="CNT44" s="276"/>
      <c r="CNU44" s="276"/>
      <c r="CNV44" s="276"/>
      <c r="CNW44" s="276"/>
      <c r="CNX44" s="276"/>
      <c r="CNY44" s="276"/>
      <c r="CNZ44" s="276"/>
      <c r="COA44" s="276"/>
      <c r="COB44" s="276"/>
      <c r="COC44" s="276"/>
      <c r="COD44" s="276"/>
      <c r="COE44" s="276"/>
      <c r="COF44" s="276"/>
      <c r="COG44" s="276"/>
      <c r="COH44" s="276"/>
      <c r="COI44" s="275"/>
      <c r="COJ44" s="276"/>
      <c r="COK44" s="276"/>
      <c r="COL44" s="276"/>
      <c r="COM44" s="276"/>
      <c r="CON44" s="276"/>
      <c r="COO44" s="276"/>
      <c r="COP44" s="276"/>
      <c r="COQ44" s="276"/>
      <c r="COR44" s="276"/>
      <c r="COS44" s="276"/>
      <c r="COT44" s="276"/>
      <c r="COU44" s="276"/>
      <c r="COV44" s="276"/>
      <c r="COW44" s="276"/>
      <c r="COX44" s="276"/>
      <c r="COY44" s="275"/>
      <c r="COZ44" s="276"/>
      <c r="CPA44" s="276"/>
      <c r="CPB44" s="276"/>
      <c r="CPC44" s="276"/>
      <c r="CPD44" s="276"/>
      <c r="CPE44" s="276"/>
      <c r="CPF44" s="276"/>
      <c r="CPG44" s="276"/>
      <c r="CPH44" s="276"/>
      <c r="CPI44" s="276"/>
      <c r="CPJ44" s="276"/>
      <c r="CPK44" s="276"/>
      <c r="CPL44" s="276"/>
      <c r="CPM44" s="276"/>
      <c r="CPN44" s="276"/>
      <c r="CPO44" s="275"/>
      <c r="CPP44" s="276"/>
      <c r="CPQ44" s="276"/>
      <c r="CPR44" s="276"/>
      <c r="CPS44" s="276"/>
      <c r="CPT44" s="276"/>
      <c r="CPU44" s="276"/>
      <c r="CPV44" s="276"/>
      <c r="CPW44" s="276"/>
      <c r="CPX44" s="276"/>
      <c r="CPY44" s="276"/>
      <c r="CPZ44" s="276"/>
      <c r="CQA44" s="276"/>
      <c r="CQB44" s="276"/>
      <c r="CQC44" s="276"/>
      <c r="CQD44" s="276"/>
      <c r="CQE44" s="275"/>
      <c r="CQF44" s="276"/>
      <c r="CQG44" s="276"/>
      <c r="CQH44" s="276"/>
      <c r="CQI44" s="276"/>
      <c r="CQJ44" s="276"/>
      <c r="CQK44" s="276"/>
      <c r="CQL44" s="276"/>
      <c r="CQM44" s="276"/>
      <c r="CQN44" s="276"/>
      <c r="CQO44" s="276"/>
      <c r="CQP44" s="276"/>
      <c r="CQQ44" s="276"/>
      <c r="CQR44" s="276"/>
      <c r="CQS44" s="276"/>
      <c r="CQT44" s="276"/>
      <c r="CQU44" s="275"/>
      <c r="CQV44" s="276"/>
      <c r="CQW44" s="276"/>
      <c r="CQX44" s="276"/>
      <c r="CQY44" s="276"/>
      <c r="CQZ44" s="276"/>
      <c r="CRA44" s="276"/>
      <c r="CRB44" s="276"/>
      <c r="CRC44" s="276"/>
      <c r="CRD44" s="276"/>
      <c r="CRE44" s="276"/>
      <c r="CRF44" s="276"/>
      <c r="CRG44" s="276"/>
      <c r="CRH44" s="276"/>
      <c r="CRI44" s="276"/>
      <c r="CRJ44" s="276"/>
      <c r="CRK44" s="275"/>
      <c r="CRL44" s="276"/>
      <c r="CRM44" s="276"/>
      <c r="CRN44" s="276"/>
      <c r="CRO44" s="276"/>
      <c r="CRP44" s="276"/>
      <c r="CRQ44" s="276"/>
      <c r="CRR44" s="276"/>
      <c r="CRS44" s="276"/>
      <c r="CRT44" s="276"/>
      <c r="CRU44" s="276"/>
      <c r="CRV44" s="276"/>
      <c r="CRW44" s="276"/>
      <c r="CRX44" s="276"/>
      <c r="CRY44" s="276"/>
      <c r="CRZ44" s="276"/>
      <c r="CSA44" s="275"/>
      <c r="CSB44" s="276"/>
      <c r="CSC44" s="276"/>
      <c r="CSD44" s="276"/>
      <c r="CSE44" s="276"/>
      <c r="CSF44" s="276"/>
      <c r="CSG44" s="276"/>
      <c r="CSH44" s="276"/>
      <c r="CSI44" s="276"/>
      <c r="CSJ44" s="276"/>
      <c r="CSK44" s="276"/>
      <c r="CSL44" s="276"/>
      <c r="CSM44" s="276"/>
      <c r="CSN44" s="276"/>
      <c r="CSO44" s="276"/>
      <c r="CSP44" s="276"/>
      <c r="CSQ44" s="275"/>
      <c r="CSR44" s="276"/>
      <c r="CSS44" s="276"/>
      <c r="CST44" s="276"/>
      <c r="CSU44" s="276"/>
      <c r="CSV44" s="276"/>
      <c r="CSW44" s="276"/>
      <c r="CSX44" s="276"/>
      <c r="CSY44" s="276"/>
      <c r="CSZ44" s="276"/>
      <c r="CTA44" s="276"/>
      <c r="CTB44" s="276"/>
      <c r="CTC44" s="276"/>
      <c r="CTD44" s="276"/>
      <c r="CTE44" s="276"/>
      <c r="CTF44" s="276"/>
      <c r="CTG44" s="275"/>
      <c r="CTH44" s="276"/>
      <c r="CTI44" s="276"/>
      <c r="CTJ44" s="276"/>
      <c r="CTK44" s="276"/>
      <c r="CTL44" s="276"/>
      <c r="CTM44" s="276"/>
      <c r="CTN44" s="276"/>
      <c r="CTO44" s="276"/>
      <c r="CTP44" s="276"/>
      <c r="CTQ44" s="276"/>
      <c r="CTR44" s="276"/>
      <c r="CTS44" s="276"/>
      <c r="CTT44" s="276"/>
      <c r="CTU44" s="276"/>
      <c r="CTV44" s="276"/>
      <c r="CTW44" s="275"/>
      <c r="CTX44" s="276"/>
      <c r="CTY44" s="276"/>
      <c r="CTZ44" s="276"/>
      <c r="CUA44" s="276"/>
      <c r="CUB44" s="276"/>
      <c r="CUC44" s="276"/>
      <c r="CUD44" s="276"/>
      <c r="CUE44" s="276"/>
      <c r="CUF44" s="276"/>
      <c r="CUG44" s="276"/>
      <c r="CUH44" s="276"/>
      <c r="CUI44" s="276"/>
      <c r="CUJ44" s="276"/>
      <c r="CUK44" s="276"/>
      <c r="CUL44" s="276"/>
      <c r="CUM44" s="275"/>
      <c r="CUN44" s="276"/>
      <c r="CUO44" s="276"/>
      <c r="CUP44" s="276"/>
      <c r="CUQ44" s="276"/>
      <c r="CUR44" s="276"/>
      <c r="CUS44" s="276"/>
      <c r="CUT44" s="276"/>
      <c r="CUU44" s="276"/>
      <c r="CUV44" s="276"/>
      <c r="CUW44" s="276"/>
      <c r="CUX44" s="276"/>
      <c r="CUY44" s="276"/>
      <c r="CUZ44" s="276"/>
      <c r="CVA44" s="276"/>
      <c r="CVB44" s="276"/>
      <c r="CVC44" s="275"/>
      <c r="CVD44" s="276"/>
      <c r="CVE44" s="276"/>
      <c r="CVF44" s="276"/>
      <c r="CVG44" s="276"/>
      <c r="CVH44" s="276"/>
      <c r="CVI44" s="276"/>
      <c r="CVJ44" s="276"/>
      <c r="CVK44" s="276"/>
      <c r="CVL44" s="276"/>
      <c r="CVM44" s="276"/>
      <c r="CVN44" s="276"/>
      <c r="CVO44" s="276"/>
      <c r="CVP44" s="276"/>
      <c r="CVQ44" s="276"/>
      <c r="CVR44" s="276"/>
      <c r="CVS44" s="275"/>
      <c r="CVT44" s="276"/>
      <c r="CVU44" s="276"/>
      <c r="CVV44" s="276"/>
      <c r="CVW44" s="276"/>
      <c r="CVX44" s="276"/>
      <c r="CVY44" s="276"/>
      <c r="CVZ44" s="276"/>
      <c r="CWA44" s="276"/>
      <c r="CWB44" s="276"/>
      <c r="CWC44" s="276"/>
      <c r="CWD44" s="276"/>
      <c r="CWE44" s="276"/>
      <c r="CWF44" s="276"/>
      <c r="CWG44" s="276"/>
      <c r="CWH44" s="276"/>
      <c r="CWI44" s="275"/>
      <c r="CWJ44" s="276"/>
      <c r="CWK44" s="276"/>
      <c r="CWL44" s="276"/>
      <c r="CWM44" s="276"/>
      <c r="CWN44" s="276"/>
      <c r="CWO44" s="276"/>
      <c r="CWP44" s="276"/>
      <c r="CWQ44" s="276"/>
      <c r="CWR44" s="276"/>
      <c r="CWS44" s="276"/>
      <c r="CWT44" s="276"/>
      <c r="CWU44" s="276"/>
      <c r="CWV44" s="276"/>
      <c r="CWW44" s="276"/>
      <c r="CWX44" s="276"/>
      <c r="CWY44" s="275"/>
      <c r="CWZ44" s="276"/>
      <c r="CXA44" s="276"/>
      <c r="CXB44" s="276"/>
      <c r="CXC44" s="276"/>
      <c r="CXD44" s="276"/>
      <c r="CXE44" s="276"/>
      <c r="CXF44" s="276"/>
      <c r="CXG44" s="276"/>
      <c r="CXH44" s="276"/>
      <c r="CXI44" s="276"/>
      <c r="CXJ44" s="276"/>
      <c r="CXK44" s="276"/>
      <c r="CXL44" s="276"/>
      <c r="CXM44" s="276"/>
      <c r="CXN44" s="276"/>
      <c r="CXO44" s="275"/>
      <c r="CXP44" s="276"/>
      <c r="CXQ44" s="276"/>
      <c r="CXR44" s="276"/>
      <c r="CXS44" s="276"/>
      <c r="CXT44" s="276"/>
      <c r="CXU44" s="276"/>
      <c r="CXV44" s="276"/>
      <c r="CXW44" s="276"/>
      <c r="CXX44" s="276"/>
      <c r="CXY44" s="276"/>
      <c r="CXZ44" s="276"/>
      <c r="CYA44" s="276"/>
      <c r="CYB44" s="276"/>
      <c r="CYC44" s="276"/>
      <c r="CYD44" s="276"/>
      <c r="CYE44" s="275"/>
      <c r="CYF44" s="276"/>
      <c r="CYG44" s="276"/>
      <c r="CYH44" s="276"/>
      <c r="CYI44" s="276"/>
      <c r="CYJ44" s="276"/>
      <c r="CYK44" s="276"/>
      <c r="CYL44" s="276"/>
      <c r="CYM44" s="276"/>
      <c r="CYN44" s="276"/>
      <c r="CYO44" s="276"/>
      <c r="CYP44" s="276"/>
      <c r="CYQ44" s="276"/>
      <c r="CYR44" s="276"/>
      <c r="CYS44" s="276"/>
      <c r="CYT44" s="276"/>
      <c r="CYU44" s="275"/>
      <c r="CYV44" s="276"/>
      <c r="CYW44" s="276"/>
      <c r="CYX44" s="276"/>
      <c r="CYY44" s="276"/>
      <c r="CYZ44" s="276"/>
      <c r="CZA44" s="276"/>
      <c r="CZB44" s="276"/>
      <c r="CZC44" s="276"/>
      <c r="CZD44" s="276"/>
      <c r="CZE44" s="276"/>
      <c r="CZF44" s="276"/>
      <c r="CZG44" s="276"/>
      <c r="CZH44" s="276"/>
      <c r="CZI44" s="276"/>
      <c r="CZJ44" s="276"/>
      <c r="CZK44" s="275"/>
      <c r="CZL44" s="276"/>
      <c r="CZM44" s="276"/>
      <c r="CZN44" s="276"/>
      <c r="CZO44" s="276"/>
      <c r="CZP44" s="276"/>
      <c r="CZQ44" s="276"/>
      <c r="CZR44" s="276"/>
      <c r="CZS44" s="276"/>
      <c r="CZT44" s="276"/>
      <c r="CZU44" s="276"/>
      <c r="CZV44" s="276"/>
      <c r="CZW44" s="276"/>
      <c r="CZX44" s="276"/>
      <c r="CZY44" s="276"/>
      <c r="CZZ44" s="276"/>
      <c r="DAA44" s="275"/>
      <c r="DAB44" s="276"/>
      <c r="DAC44" s="276"/>
      <c r="DAD44" s="276"/>
      <c r="DAE44" s="276"/>
      <c r="DAF44" s="276"/>
      <c r="DAG44" s="276"/>
      <c r="DAH44" s="276"/>
      <c r="DAI44" s="276"/>
      <c r="DAJ44" s="276"/>
      <c r="DAK44" s="276"/>
      <c r="DAL44" s="276"/>
      <c r="DAM44" s="276"/>
      <c r="DAN44" s="276"/>
      <c r="DAO44" s="276"/>
      <c r="DAP44" s="276"/>
      <c r="DAQ44" s="275"/>
      <c r="DAR44" s="276"/>
      <c r="DAS44" s="276"/>
      <c r="DAT44" s="276"/>
      <c r="DAU44" s="276"/>
      <c r="DAV44" s="276"/>
      <c r="DAW44" s="276"/>
      <c r="DAX44" s="276"/>
      <c r="DAY44" s="276"/>
      <c r="DAZ44" s="276"/>
      <c r="DBA44" s="276"/>
      <c r="DBB44" s="276"/>
      <c r="DBC44" s="276"/>
      <c r="DBD44" s="276"/>
      <c r="DBE44" s="276"/>
      <c r="DBF44" s="276"/>
      <c r="DBG44" s="275"/>
      <c r="DBH44" s="276"/>
      <c r="DBI44" s="276"/>
      <c r="DBJ44" s="276"/>
      <c r="DBK44" s="276"/>
      <c r="DBL44" s="276"/>
      <c r="DBM44" s="276"/>
      <c r="DBN44" s="276"/>
      <c r="DBO44" s="276"/>
      <c r="DBP44" s="276"/>
      <c r="DBQ44" s="276"/>
      <c r="DBR44" s="276"/>
      <c r="DBS44" s="276"/>
      <c r="DBT44" s="276"/>
      <c r="DBU44" s="276"/>
      <c r="DBV44" s="276"/>
      <c r="DBW44" s="275"/>
      <c r="DBX44" s="276"/>
      <c r="DBY44" s="276"/>
      <c r="DBZ44" s="276"/>
      <c r="DCA44" s="276"/>
      <c r="DCB44" s="276"/>
      <c r="DCC44" s="276"/>
      <c r="DCD44" s="276"/>
      <c r="DCE44" s="276"/>
      <c r="DCF44" s="276"/>
      <c r="DCG44" s="276"/>
      <c r="DCH44" s="276"/>
      <c r="DCI44" s="276"/>
      <c r="DCJ44" s="276"/>
      <c r="DCK44" s="276"/>
      <c r="DCL44" s="276"/>
      <c r="DCM44" s="275"/>
      <c r="DCN44" s="276"/>
      <c r="DCO44" s="276"/>
      <c r="DCP44" s="276"/>
      <c r="DCQ44" s="276"/>
      <c r="DCR44" s="276"/>
      <c r="DCS44" s="276"/>
      <c r="DCT44" s="276"/>
      <c r="DCU44" s="276"/>
      <c r="DCV44" s="276"/>
      <c r="DCW44" s="276"/>
      <c r="DCX44" s="276"/>
      <c r="DCY44" s="276"/>
      <c r="DCZ44" s="276"/>
      <c r="DDA44" s="276"/>
      <c r="DDB44" s="276"/>
      <c r="DDC44" s="275"/>
      <c r="DDD44" s="276"/>
      <c r="DDE44" s="276"/>
      <c r="DDF44" s="276"/>
      <c r="DDG44" s="276"/>
      <c r="DDH44" s="276"/>
      <c r="DDI44" s="276"/>
      <c r="DDJ44" s="276"/>
      <c r="DDK44" s="276"/>
      <c r="DDL44" s="276"/>
      <c r="DDM44" s="276"/>
      <c r="DDN44" s="276"/>
      <c r="DDO44" s="276"/>
      <c r="DDP44" s="276"/>
      <c r="DDQ44" s="276"/>
      <c r="DDR44" s="276"/>
      <c r="DDS44" s="275"/>
      <c r="DDT44" s="276"/>
      <c r="DDU44" s="276"/>
      <c r="DDV44" s="276"/>
      <c r="DDW44" s="276"/>
      <c r="DDX44" s="276"/>
      <c r="DDY44" s="276"/>
      <c r="DDZ44" s="276"/>
      <c r="DEA44" s="276"/>
      <c r="DEB44" s="276"/>
      <c r="DEC44" s="276"/>
      <c r="DED44" s="276"/>
      <c r="DEE44" s="276"/>
      <c r="DEF44" s="276"/>
      <c r="DEG44" s="276"/>
      <c r="DEH44" s="276"/>
      <c r="DEI44" s="275"/>
      <c r="DEJ44" s="276"/>
      <c r="DEK44" s="276"/>
      <c r="DEL44" s="276"/>
      <c r="DEM44" s="276"/>
      <c r="DEN44" s="276"/>
      <c r="DEO44" s="276"/>
      <c r="DEP44" s="276"/>
      <c r="DEQ44" s="276"/>
      <c r="DER44" s="276"/>
      <c r="DES44" s="276"/>
      <c r="DET44" s="276"/>
      <c r="DEU44" s="276"/>
      <c r="DEV44" s="276"/>
      <c r="DEW44" s="276"/>
      <c r="DEX44" s="276"/>
      <c r="DEY44" s="275"/>
      <c r="DEZ44" s="276"/>
      <c r="DFA44" s="276"/>
      <c r="DFB44" s="276"/>
      <c r="DFC44" s="276"/>
      <c r="DFD44" s="276"/>
      <c r="DFE44" s="276"/>
      <c r="DFF44" s="276"/>
      <c r="DFG44" s="276"/>
      <c r="DFH44" s="276"/>
      <c r="DFI44" s="276"/>
      <c r="DFJ44" s="276"/>
      <c r="DFK44" s="276"/>
      <c r="DFL44" s="276"/>
      <c r="DFM44" s="276"/>
      <c r="DFN44" s="276"/>
      <c r="DFO44" s="275"/>
      <c r="DFP44" s="276"/>
      <c r="DFQ44" s="276"/>
      <c r="DFR44" s="276"/>
      <c r="DFS44" s="276"/>
      <c r="DFT44" s="276"/>
      <c r="DFU44" s="276"/>
      <c r="DFV44" s="276"/>
      <c r="DFW44" s="276"/>
      <c r="DFX44" s="276"/>
      <c r="DFY44" s="276"/>
      <c r="DFZ44" s="276"/>
      <c r="DGA44" s="276"/>
      <c r="DGB44" s="276"/>
      <c r="DGC44" s="276"/>
      <c r="DGD44" s="276"/>
      <c r="DGE44" s="275"/>
      <c r="DGF44" s="276"/>
      <c r="DGG44" s="276"/>
      <c r="DGH44" s="276"/>
      <c r="DGI44" s="276"/>
      <c r="DGJ44" s="276"/>
      <c r="DGK44" s="276"/>
      <c r="DGL44" s="276"/>
      <c r="DGM44" s="276"/>
      <c r="DGN44" s="276"/>
      <c r="DGO44" s="276"/>
      <c r="DGP44" s="276"/>
      <c r="DGQ44" s="276"/>
      <c r="DGR44" s="276"/>
      <c r="DGS44" s="276"/>
      <c r="DGT44" s="276"/>
      <c r="DGU44" s="275"/>
      <c r="DGV44" s="276"/>
      <c r="DGW44" s="276"/>
      <c r="DGX44" s="276"/>
      <c r="DGY44" s="276"/>
      <c r="DGZ44" s="276"/>
      <c r="DHA44" s="276"/>
      <c r="DHB44" s="276"/>
      <c r="DHC44" s="276"/>
      <c r="DHD44" s="276"/>
      <c r="DHE44" s="276"/>
      <c r="DHF44" s="276"/>
      <c r="DHG44" s="276"/>
      <c r="DHH44" s="276"/>
      <c r="DHI44" s="276"/>
      <c r="DHJ44" s="276"/>
      <c r="DHK44" s="275"/>
      <c r="DHL44" s="276"/>
      <c r="DHM44" s="276"/>
      <c r="DHN44" s="276"/>
      <c r="DHO44" s="276"/>
      <c r="DHP44" s="276"/>
      <c r="DHQ44" s="276"/>
      <c r="DHR44" s="276"/>
      <c r="DHS44" s="276"/>
      <c r="DHT44" s="276"/>
      <c r="DHU44" s="276"/>
      <c r="DHV44" s="276"/>
      <c r="DHW44" s="276"/>
      <c r="DHX44" s="276"/>
      <c r="DHY44" s="276"/>
      <c r="DHZ44" s="276"/>
      <c r="DIA44" s="275"/>
      <c r="DIB44" s="276"/>
      <c r="DIC44" s="276"/>
      <c r="DID44" s="276"/>
      <c r="DIE44" s="276"/>
      <c r="DIF44" s="276"/>
      <c r="DIG44" s="276"/>
      <c r="DIH44" s="276"/>
      <c r="DII44" s="276"/>
      <c r="DIJ44" s="276"/>
      <c r="DIK44" s="276"/>
      <c r="DIL44" s="276"/>
      <c r="DIM44" s="276"/>
      <c r="DIN44" s="276"/>
      <c r="DIO44" s="276"/>
      <c r="DIP44" s="276"/>
      <c r="DIQ44" s="275"/>
      <c r="DIR44" s="276"/>
      <c r="DIS44" s="276"/>
      <c r="DIT44" s="276"/>
      <c r="DIU44" s="276"/>
      <c r="DIV44" s="276"/>
      <c r="DIW44" s="276"/>
      <c r="DIX44" s="276"/>
      <c r="DIY44" s="276"/>
      <c r="DIZ44" s="276"/>
      <c r="DJA44" s="276"/>
      <c r="DJB44" s="276"/>
      <c r="DJC44" s="276"/>
      <c r="DJD44" s="276"/>
      <c r="DJE44" s="276"/>
      <c r="DJF44" s="276"/>
      <c r="DJG44" s="275"/>
      <c r="DJH44" s="276"/>
      <c r="DJI44" s="276"/>
      <c r="DJJ44" s="276"/>
      <c r="DJK44" s="276"/>
      <c r="DJL44" s="276"/>
      <c r="DJM44" s="276"/>
      <c r="DJN44" s="276"/>
      <c r="DJO44" s="276"/>
      <c r="DJP44" s="276"/>
      <c r="DJQ44" s="276"/>
      <c r="DJR44" s="276"/>
      <c r="DJS44" s="276"/>
      <c r="DJT44" s="276"/>
      <c r="DJU44" s="276"/>
      <c r="DJV44" s="276"/>
      <c r="DJW44" s="275"/>
      <c r="DJX44" s="276"/>
      <c r="DJY44" s="276"/>
      <c r="DJZ44" s="276"/>
      <c r="DKA44" s="276"/>
      <c r="DKB44" s="276"/>
      <c r="DKC44" s="276"/>
      <c r="DKD44" s="276"/>
      <c r="DKE44" s="276"/>
      <c r="DKF44" s="276"/>
      <c r="DKG44" s="276"/>
      <c r="DKH44" s="276"/>
      <c r="DKI44" s="276"/>
      <c r="DKJ44" s="276"/>
      <c r="DKK44" s="276"/>
      <c r="DKL44" s="276"/>
      <c r="DKM44" s="275"/>
      <c r="DKN44" s="276"/>
      <c r="DKO44" s="276"/>
      <c r="DKP44" s="276"/>
      <c r="DKQ44" s="276"/>
      <c r="DKR44" s="276"/>
      <c r="DKS44" s="276"/>
      <c r="DKT44" s="276"/>
      <c r="DKU44" s="276"/>
      <c r="DKV44" s="276"/>
      <c r="DKW44" s="276"/>
      <c r="DKX44" s="276"/>
      <c r="DKY44" s="276"/>
      <c r="DKZ44" s="276"/>
      <c r="DLA44" s="276"/>
      <c r="DLB44" s="276"/>
      <c r="DLC44" s="275"/>
      <c r="DLD44" s="276"/>
      <c r="DLE44" s="276"/>
      <c r="DLF44" s="276"/>
      <c r="DLG44" s="276"/>
      <c r="DLH44" s="276"/>
      <c r="DLI44" s="276"/>
      <c r="DLJ44" s="276"/>
      <c r="DLK44" s="276"/>
      <c r="DLL44" s="276"/>
      <c r="DLM44" s="276"/>
      <c r="DLN44" s="276"/>
      <c r="DLO44" s="276"/>
      <c r="DLP44" s="276"/>
      <c r="DLQ44" s="276"/>
      <c r="DLR44" s="276"/>
      <c r="DLS44" s="275"/>
      <c r="DLT44" s="276"/>
      <c r="DLU44" s="276"/>
      <c r="DLV44" s="276"/>
      <c r="DLW44" s="276"/>
      <c r="DLX44" s="276"/>
      <c r="DLY44" s="276"/>
      <c r="DLZ44" s="276"/>
      <c r="DMA44" s="276"/>
      <c r="DMB44" s="276"/>
      <c r="DMC44" s="276"/>
      <c r="DMD44" s="276"/>
      <c r="DME44" s="276"/>
      <c r="DMF44" s="276"/>
      <c r="DMG44" s="276"/>
      <c r="DMH44" s="276"/>
      <c r="DMI44" s="275"/>
      <c r="DMJ44" s="276"/>
      <c r="DMK44" s="276"/>
      <c r="DML44" s="276"/>
      <c r="DMM44" s="276"/>
      <c r="DMN44" s="276"/>
      <c r="DMO44" s="276"/>
      <c r="DMP44" s="276"/>
      <c r="DMQ44" s="276"/>
      <c r="DMR44" s="276"/>
      <c r="DMS44" s="276"/>
      <c r="DMT44" s="276"/>
      <c r="DMU44" s="276"/>
      <c r="DMV44" s="276"/>
      <c r="DMW44" s="276"/>
      <c r="DMX44" s="276"/>
      <c r="DMY44" s="275"/>
      <c r="DMZ44" s="276"/>
      <c r="DNA44" s="276"/>
      <c r="DNB44" s="276"/>
      <c r="DNC44" s="276"/>
      <c r="DND44" s="276"/>
      <c r="DNE44" s="276"/>
      <c r="DNF44" s="276"/>
      <c r="DNG44" s="276"/>
      <c r="DNH44" s="276"/>
      <c r="DNI44" s="276"/>
      <c r="DNJ44" s="276"/>
      <c r="DNK44" s="276"/>
      <c r="DNL44" s="276"/>
      <c r="DNM44" s="276"/>
      <c r="DNN44" s="276"/>
      <c r="DNO44" s="275"/>
      <c r="DNP44" s="276"/>
      <c r="DNQ44" s="276"/>
      <c r="DNR44" s="276"/>
      <c r="DNS44" s="276"/>
      <c r="DNT44" s="276"/>
      <c r="DNU44" s="276"/>
      <c r="DNV44" s="276"/>
      <c r="DNW44" s="276"/>
      <c r="DNX44" s="276"/>
      <c r="DNY44" s="276"/>
      <c r="DNZ44" s="276"/>
      <c r="DOA44" s="276"/>
      <c r="DOB44" s="276"/>
      <c r="DOC44" s="276"/>
      <c r="DOD44" s="276"/>
      <c r="DOE44" s="275"/>
      <c r="DOF44" s="276"/>
      <c r="DOG44" s="276"/>
      <c r="DOH44" s="276"/>
      <c r="DOI44" s="276"/>
      <c r="DOJ44" s="276"/>
      <c r="DOK44" s="276"/>
      <c r="DOL44" s="276"/>
      <c r="DOM44" s="276"/>
      <c r="DON44" s="276"/>
      <c r="DOO44" s="276"/>
      <c r="DOP44" s="276"/>
      <c r="DOQ44" s="276"/>
      <c r="DOR44" s="276"/>
      <c r="DOS44" s="276"/>
      <c r="DOT44" s="276"/>
      <c r="DOU44" s="275"/>
      <c r="DOV44" s="276"/>
      <c r="DOW44" s="276"/>
      <c r="DOX44" s="276"/>
      <c r="DOY44" s="276"/>
      <c r="DOZ44" s="276"/>
      <c r="DPA44" s="276"/>
      <c r="DPB44" s="276"/>
      <c r="DPC44" s="276"/>
      <c r="DPD44" s="276"/>
      <c r="DPE44" s="276"/>
      <c r="DPF44" s="276"/>
      <c r="DPG44" s="276"/>
      <c r="DPH44" s="276"/>
      <c r="DPI44" s="276"/>
      <c r="DPJ44" s="276"/>
      <c r="DPK44" s="275"/>
      <c r="DPL44" s="276"/>
      <c r="DPM44" s="276"/>
      <c r="DPN44" s="276"/>
      <c r="DPO44" s="276"/>
      <c r="DPP44" s="276"/>
      <c r="DPQ44" s="276"/>
      <c r="DPR44" s="276"/>
      <c r="DPS44" s="276"/>
      <c r="DPT44" s="276"/>
      <c r="DPU44" s="276"/>
      <c r="DPV44" s="276"/>
      <c r="DPW44" s="276"/>
      <c r="DPX44" s="276"/>
      <c r="DPY44" s="276"/>
      <c r="DPZ44" s="276"/>
      <c r="DQA44" s="275"/>
      <c r="DQB44" s="276"/>
      <c r="DQC44" s="276"/>
      <c r="DQD44" s="276"/>
      <c r="DQE44" s="276"/>
      <c r="DQF44" s="276"/>
      <c r="DQG44" s="276"/>
      <c r="DQH44" s="276"/>
      <c r="DQI44" s="276"/>
      <c r="DQJ44" s="276"/>
      <c r="DQK44" s="276"/>
      <c r="DQL44" s="276"/>
      <c r="DQM44" s="276"/>
      <c r="DQN44" s="276"/>
      <c r="DQO44" s="276"/>
      <c r="DQP44" s="276"/>
      <c r="DQQ44" s="275"/>
      <c r="DQR44" s="276"/>
      <c r="DQS44" s="276"/>
      <c r="DQT44" s="276"/>
      <c r="DQU44" s="276"/>
      <c r="DQV44" s="276"/>
      <c r="DQW44" s="276"/>
      <c r="DQX44" s="276"/>
      <c r="DQY44" s="276"/>
      <c r="DQZ44" s="276"/>
      <c r="DRA44" s="276"/>
      <c r="DRB44" s="276"/>
      <c r="DRC44" s="276"/>
      <c r="DRD44" s="276"/>
      <c r="DRE44" s="276"/>
      <c r="DRF44" s="276"/>
      <c r="DRG44" s="275"/>
      <c r="DRH44" s="276"/>
      <c r="DRI44" s="276"/>
      <c r="DRJ44" s="276"/>
      <c r="DRK44" s="276"/>
      <c r="DRL44" s="276"/>
      <c r="DRM44" s="276"/>
      <c r="DRN44" s="276"/>
      <c r="DRO44" s="276"/>
      <c r="DRP44" s="276"/>
      <c r="DRQ44" s="276"/>
      <c r="DRR44" s="276"/>
      <c r="DRS44" s="276"/>
      <c r="DRT44" s="276"/>
      <c r="DRU44" s="276"/>
      <c r="DRV44" s="276"/>
      <c r="DRW44" s="275"/>
      <c r="DRX44" s="276"/>
      <c r="DRY44" s="276"/>
      <c r="DRZ44" s="276"/>
      <c r="DSA44" s="276"/>
      <c r="DSB44" s="276"/>
      <c r="DSC44" s="276"/>
      <c r="DSD44" s="276"/>
      <c r="DSE44" s="276"/>
      <c r="DSF44" s="276"/>
      <c r="DSG44" s="276"/>
      <c r="DSH44" s="276"/>
      <c r="DSI44" s="276"/>
      <c r="DSJ44" s="276"/>
      <c r="DSK44" s="276"/>
      <c r="DSL44" s="276"/>
      <c r="DSM44" s="275"/>
      <c r="DSN44" s="276"/>
      <c r="DSO44" s="276"/>
      <c r="DSP44" s="276"/>
      <c r="DSQ44" s="276"/>
      <c r="DSR44" s="276"/>
      <c r="DSS44" s="276"/>
      <c r="DST44" s="276"/>
      <c r="DSU44" s="276"/>
      <c r="DSV44" s="276"/>
      <c r="DSW44" s="276"/>
      <c r="DSX44" s="276"/>
      <c r="DSY44" s="276"/>
      <c r="DSZ44" s="276"/>
      <c r="DTA44" s="276"/>
      <c r="DTB44" s="276"/>
      <c r="DTC44" s="275"/>
      <c r="DTD44" s="276"/>
      <c r="DTE44" s="276"/>
      <c r="DTF44" s="276"/>
      <c r="DTG44" s="276"/>
      <c r="DTH44" s="276"/>
      <c r="DTI44" s="276"/>
      <c r="DTJ44" s="276"/>
      <c r="DTK44" s="276"/>
      <c r="DTL44" s="276"/>
      <c r="DTM44" s="276"/>
      <c r="DTN44" s="276"/>
      <c r="DTO44" s="276"/>
      <c r="DTP44" s="276"/>
      <c r="DTQ44" s="276"/>
      <c r="DTR44" s="276"/>
      <c r="DTS44" s="275"/>
      <c r="DTT44" s="276"/>
      <c r="DTU44" s="276"/>
      <c r="DTV44" s="276"/>
      <c r="DTW44" s="276"/>
      <c r="DTX44" s="276"/>
      <c r="DTY44" s="276"/>
      <c r="DTZ44" s="276"/>
      <c r="DUA44" s="276"/>
      <c r="DUB44" s="276"/>
      <c r="DUC44" s="276"/>
      <c r="DUD44" s="276"/>
      <c r="DUE44" s="276"/>
      <c r="DUF44" s="276"/>
      <c r="DUG44" s="276"/>
      <c r="DUH44" s="276"/>
      <c r="DUI44" s="275"/>
      <c r="DUJ44" s="276"/>
      <c r="DUK44" s="276"/>
      <c r="DUL44" s="276"/>
      <c r="DUM44" s="276"/>
      <c r="DUN44" s="276"/>
      <c r="DUO44" s="276"/>
      <c r="DUP44" s="276"/>
      <c r="DUQ44" s="276"/>
      <c r="DUR44" s="276"/>
      <c r="DUS44" s="276"/>
      <c r="DUT44" s="276"/>
      <c r="DUU44" s="276"/>
      <c r="DUV44" s="276"/>
      <c r="DUW44" s="276"/>
      <c r="DUX44" s="276"/>
      <c r="DUY44" s="275"/>
      <c r="DUZ44" s="276"/>
      <c r="DVA44" s="276"/>
      <c r="DVB44" s="276"/>
      <c r="DVC44" s="276"/>
      <c r="DVD44" s="276"/>
      <c r="DVE44" s="276"/>
      <c r="DVF44" s="276"/>
      <c r="DVG44" s="276"/>
      <c r="DVH44" s="276"/>
      <c r="DVI44" s="276"/>
      <c r="DVJ44" s="276"/>
      <c r="DVK44" s="276"/>
      <c r="DVL44" s="276"/>
      <c r="DVM44" s="276"/>
      <c r="DVN44" s="276"/>
      <c r="DVO44" s="275"/>
      <c r="DVP44" s="276"/>
      <c r="DVQ44" s="276"/>
      <c r="DVR44" s="276"/>
      <c r="DVS44" s="276"/>
      <c r="DVT44" s="276"/>
      <c r="DVU44" s="276"/>
      <c r="DVV44" s="276"/>
      <c r="DVW44" s="276"/>
      <c r="DVX44" s="276"/>
      <c r="DVY44" s="276"/>
      <c r="DVZ44" s="276"/>
      <c r="DWA44" s="276"/>
      <c r="DWB44" s="276"/>
      <c r="DWC44" s="276"/>
      <c r="DWD44" s="276"/>
      <c r="DWE44" s="275"/>
      <c r="DWF44" s="276"/>
      <c r="DWG44" s="276"/>
      <c r="DWH44" s="276"/>
      <c r="DWI44" s="276"/>
      <c r="DWJ44" s="276"/>
      <c r="DWK44" s="276"/>
      <c r="DWL44" s="276"/>
      <c r="DWM44" s="276"/>
      <c r="DWN44" s="276"/>
      <c r="DWO44" s="276"/>
      <c r="DWP44" s="276"/>
      <c r="DWQ44" s="276"/>
      <c r="DWR44" s="276"/>
      <c r="DWS44" s="276"/>
      <c r="DWT44" s="276"/>
      <c r="DWU44" s="275"/>
      <c r="DWV44" s="276"/>
      <c r="DWW44" s="276"/>
      <c r="DWX44" s="276"/>
      <c r="DWY44" s="276"/>
      <c r="DWZ44" s="276"/>
      <c r="DXA44" s="276"/>
      <c r="DXB44" s="276"/>
      <c r="DXC44" s="276"/>
      <c r="DXD44" s="276"/>
      <c r="DXE44" s="276"/>
      <c r="DXF44" s="276"/>
      <c r="DXG44" s="276"/>
      <c r="DXH44" s="276"/>
      <c r="DXI44" s="276"/>
      <c r="DXJ44" s="276"/>
      <c r="DXK44" s="275"/>
      <c r="DXL44" s="276"/>
      <c r="DXM44" s="276"/>
      <c r="DXN44" s="276"/>
      <c r="DXO44" s="276"/>
      <c r="DXP44" s="276"/>
      <c r="DXQ44" s="276"/>
      <c r="DXR44" s="276"/>
      <c r="DXS44" s="276"/>
      <c r="DXT44" s="276"/>
      <c r="DXU44" s="276"/>
      <c r="DXV44" s="276"/>
      <c r="DXW44" s="276"/>
      <c r="DXX44" s="276"/>
      <c r="DXY44" s="276"/>
      <c r="DXZ44" s="276"/>
      <c r="DYA44" s="275"/>
      <c r="DYB44" s="276"/>
      <c r="DYC44" s="276"/>
      <c r="DYD44" s="276"/>
      <c r="DYE44" s="276"/>
      <c r="DYF44" s="276"/>
      <c r="DYG44" s="276"/>
      <c r="DYH44" s="276"/>
      <c r="DYI44" s="276"/>
      <c r="DYJ44" s="276"/>
      <c r="DYK44" s="276"/>
      <c r="DYL44" s="276"/>
      <c r="DYM44" s="276"/>
      <c r="DYN44" s="276"/>
      <c r="DYO44" s="276"/>
      <c r="DYP44" s="276"/>
      <c r="DYQ44" s="275"/>
      <c r="DYR44" s="276"/>
      <c r="DYS44" s="276"/>
      <c r="DYT44" s="276"/>
      <c r="DYU44" s="276"/>
      <c r="DYV44" s="276"/>
      <c r="DYW44" s="276"/>
      <c r="DYX44" s="276"/>
      <c r="DYY44" s="276"/>
      <c r="DYZ44" s="276"/>
      <c r="DZA44" s="276"/>
      <c r="DZB44" s="276"/>
      <c r="DZC44" s="276"/>
      <c r="DZD44" s="276"/>
      <c r="DZE44" s="276"/>
      <c r="DZF44" s="276"/>
      <c r="DZG44" s="275"/>
      <c r="DZH44" s="276"/>
      <c r="DZI44" s="276"/>
      <c r="DZJ44" s="276"/>
      <c r="DZK44" s="276"/>
      <c r="DZL44" s="276"/>
      <c r="DZM44" s="276"/>
      <c r="DZN44" s="276"/>
      <c r="DZO44" s="276"/>
      <c r="DZP44" s="276"/>
      <c r="DZQ44" s="276"/>
      <c r="DZR44" s="276"/>
      <c r="DZS44" s="276"/>
      <c r="DZT44" s="276"/>
      <c r="DZU44" s="276"/>
      <c r="DZV44" s="276"/>
      <c r="DZW44" s="275"/>
      <c r="DZX44" s="276"/>
      <c r="DZY44" s="276"/>
      <c r="DZZ44" s="276"/>
      <c r="EAA44" s="276"/>
      <c r="EAB44" s="276"/>
      <c r="EAC44" s="276"/>
      <c r="EAD44" s="276"/>
      <c r="EAE44" s="276"/>
      <c r="EAF44" s="276"/>
      <c r="EAG44" s="276"/>
      <c r="EAH44" s="276"/>
      <c r="EAI44" s="276"/>
      <c r="EAJ44" s="276"/>
      <c r="EAK44" s="276"/>
      <c r="EAL44" s="276"/>
      <c r="EAM44" s="275"/>
      <c r="EAN44" s="276"/>
      <c r="EAO44" s="276"/>
      <c r="EAP44" s="276"/>
      <c r="EAQ44" s="276"/>
      <c r="EAR44" s="276"/>
      <c r="EAS44" s="276"/>
      <c r="EAT44" s="276"/>
      <c r="EAU44" s="276"/>
      <c r="EAV44" s="276"/>
      <c r="EAW44" s="276"/>
      <c r="EAX44" s="276"/>
      <c r="EAY44" s="276"/>
      <c r="EAZ44" s="276"/>
      <c r="EBA44" s="276"/>
      <c r="EBB44" s="276"/>
      <c r="EBC44" s="275"/>
      <c r="EBD44" s="276"/>
      <c r="EBE44" s="276"/>
      <c r="EBF44" s="276"/>
      <c r="EBG44" s="276"/>
      <c r="EBH44" s="276"/>
      <c r="EBI44" s="276"/>
      <c r="EBJ44" s="276"/>
      <c r="EBK44" s="276"/>
      <c r="EBL44" s="276"/>
      <c r="EBM44" s="276"/>
      <c r="EBN44" s="276"/>
      <c r="EBO44" s="276"/>
      <c r="EBP44" s="276"/>
      <c r="EBQ44" s="276"/>
      <c r="EBR44" s="276"/>
      <c r="EBS44" s="275"/>
      <c r="EBT44" s="276"/>
      <c r="EBU44" s="276"/>
      <c r="EBV44" s="276"/>
      <c r="EBW44" s="276"/>
      <c r="EBX44" s="276"/>
      <c r="EBY44" s="276"/>
      <c r="EBZ44" s="276"/>
      <c r="ECA44" s="276"/>
      <c r="ECB44" s="276"/>
      <c r="ECC44" s="276"/>
      <c r="ECD44" s="276"/>
      <c r="ECE44" s="276"/>
      <c r="ECF44" s="276"/>
      <c r="ECG44" s="276"/>
      <c r="ECH44" s="276"/>
      <c r="ECI44" s="275"/>
      <c r="ECJ44" s="276"/>
      <c r="ECK44" s="276"/>
      <c r="ECL44" s="276"/>
      <c r="ECM44" s="276"/>
      <c r="ECN44" s="276"/>
      <c r="ECO44" s="276"/>
      <c r="ECP44" s="276"/>
      <c r="ECQ44" s="276"/>
      <c r="ECR44" s="276"/>
      <c r="ECS44" s="276"/>
      <c r="ECT44" s="276"/>
      <c r="ECU44" s="276"/>
      <c r="ECV44" s="276"/>
      <c r="ECW44" s="276"/>
      <c r="ECX44" s="276"/>
      <c r="ECY44" s="275"/>
      <c r="ECZ44" s="276"/>
      <c r="EDA44" s="276"/>
      <c r="EDB44" s="276"/>
      <c r="EDC44" s="276"/>
      <c r="EDD44" s="276"/>
      <c r="EDE44" s="276"/>
      <c r="EDF44" s="276"/>
      <c r="EDG44" s="276"/>
      <c r="EDH44" s="276"/>
      <c r="EDI44" s="276"/>
      <c r="EDJ44" s="276"/>
      <c r="EDK44" s="276"/>
      <c r="EDL44" s="276"/>
      <c r="EDM44" s="276"/>
      <c r="EDN44" s="276"/>
      <c r="EDO44" s="275"/>
      <c r="EDP44" s="276"/>
      <c r="EDQ44" s="276"/>
      <c r="EDR44" s="276"/>
      <c r="EDS44" s="276"/>
      <c r="EDT44" s="276"/>
      <c r="EDU44" s="276"/>
      <c r="EDV44" s="276"/>
      <c r="EDW44" s="276"/>
      <c r="EDX44" s="276"/>
      <c r="EDY44" s="276"/>
      <c r="EDZ44" s="276"/>
      <c r="EEA44" s="276"/>
      <c r="EEB44" s="276"/>
      <c r="EEC44" s="276"/>
      <c r="EED44" s="276"/>
      <c r="EEE44" s="275"/>
      <c r="EEF44" s="276"/>
      <c r="EEG44" s="276"/>
      <c r="EEH44" s="276"/>
      <c r="EEI44" s="276"/>
      <c r="EEJ44" s="276"/>
      <c r="EEK44" s="276"/>
      <c r="EEL44" s="276"/>
      <c r="EEM44" s="276"/>
      <c r="EEN44" s="276"/>
      <c r="EEO44" s="276"/>
      <c r="EEP44" s="276"/>
      <c r="EEQ44" s="276"/>
      <c r="EER44" s="276"/>
      <c r="EES44" s="276"/>
      <c r="EET44" s="276"/>
      <c r="EEU44" s="275"/>
      <c r="EEV44" s="276"/>
      <c r="EEW44" s="276"/>
      <c r="EEX44" s="276"/>
      <c r="EEY44" s="276"/>
      <c r="EEZ44" s="276"/>
      <c r="EFA44" s="276"/>
      <c r="EFB44" s="276"/>
      <c r="EFC44" s="276"/>
      <c r="EFD44" s="276"/>
      <c r="EFE44" s="276"/>
      <c r="EFF44" s="276"/>
      <c r="EFG44" s="276"/>
      <c r="EFH44" s="276"/>
      <c r="EFI44" s="276"/>
      <c r="EFJ44" s="276"/>
      <c r="EFK44" s="275"/>
      <c r="EFL44" s="276"/>
      <c r="EFM44" s="276"/>
      <c r="EFN44" s="276"/>
      <c r="EFO44" s="276"/>
      <c r="EFP44" s="276"/>
      <c r="EFQ44" s="276"/>
      <c r="EFR44" s="276"/>
      <c r="EFS44" s="276"/>
      <c r="EFT44" s="276"/>
      <c r="EFU44" s="276"/>
      <c r="EFV44" s="276"/>
      <c r="EFW44" s="276"/>
      <c r="EFX44" s="276"/>
      <c r="EFY44" s="276"/>
      <c r="EFZ44" s="276"/>
      <c r="EGA44" s="275"/>
      <c r="EGB44" s="276"/>
      <c r="EGC44" s="276"/>
      <c r="EGD44" s="276"/>
      <c r="EGE44" s="276"/>
      <c r="EGF44" s="276"/>
      <c r="EGG44" s="276"/>
      <c r="EGH44" s="276"/>
      <c r="EGI44" s="276"/>
      <c r="EGJ44" s="276"/>
      <c r="EGK44" s="276"/>
      <c r="EGL44" s="276"/>
      <c r="EGM44" s="276"/>
      <c r="EGN44" s="276"/>
      <c r="EGO44" s="276"/>
      <c r="EGP44" s="276"/>
      <c r="EGQ44" s="275"/>
      <c r="EGR44" s="276"/>
      <c r="EGS44" s="276"/>
      <c r="EGT44" s="276"/>
      <c r="EGU44" s="276"/>
      <c r="EGV44" s="276"/>
      <c r="EGW44" s="276"/>
      <c r="EGX44" s="276"/>
      <c r="EGY44" s="276"/>
      <c r="EGZ44" s="276"/>
      <c r="EHA44" s="276"/>
      <c r="EHB44" s="276"/>
      <c r="EHC44" s="276"/>
      <c r="EHD44" s="276"/>
      <c r="EHE44" s="276"/>
      <c r="EHF44" s="276"/>
      <c r="EHG44" s="275"/>
      <c r="EHH44" s="276"/>
      <c r="EHI44" s="276"/>
      <c r="EHJ44" s="276"/>
      <c r="EHK44" s="276"/>
      <c r="EHL44" s="276"/>
      <c r="EHM44" s="276"/>
      <c r="EHN44" s="276"/>
      <c r="EHO44" s="276"/>
      <c r="EHP44" s="276"/>
      <c r="EHQ44" s="276"/>
      <c r="EHR44" s="276"/>
      <c r="EHS44" s="276"/>
      <c r="EHT44" s="276"/>
      <c r="EHU44" s="276"/>
      <c r="EHV44" s="276"/>
      <c r="EHW44" s="275"/>
      <c r="EHX44" s="276"/>
      <c r="EHY44" s="276"/>
      <c r="EHZ44" s="276"/>
      <c r="EIA44" s="276"/>
      <c r="EIB44" s="276"/>
      <c r="EIC44" s="276"/>
      <c r="EID44" s="276"/>
      <c r="EIE44" s="276"/>
      <c r="EIF44" s="276"/>
      <c r="EIG44" s="276"/>
      <c r="EIH44" s="276"/>
      <c r="EII44" s="276"/>
      <c r="EIJ44" s="276"/>
      <c r="EIK44" s="276"/>
      <c r="EIL44" s="276"/>
      <c r="EIM44" s="275"/>
      <c r="EIN44" s="276"/>
      <c r="EIO44" s="276"/>
      <c r="EIP44" s="276"/>
      <c r="EIQ44" s="276"/>
      <c r="EIR44" s="276"/>
      <c r="EIS44" s="276"/>
      <c r="EIT44" s="276"/>
      <c r="EIU44" s="276"/>
      <c r="EIV44" s="276"/>
      <c r="EIW44" s="276"/>
      <c r="EIX44" s="276"/>
      <c r="EIY44" s="276"/>
      <c r="EIZ44" s="276"/>
      <c r="EJA44" s="276"/>
      <c r="EJB44" s="276"/>
      <c r="EJC44" s="275"/>
      <c r="EJD44" s="276"/>
      <c r="EJE44" s="276"/>
      <c r="EJF44" s="276"/>
      <c r="EJG44" s="276"/>
      <c r="EJH44" s="276"/>
      <c r="EJI44" s="276"/>
      <c r="EJJ44" s="276"/>
      <c r="EJK44" s="276"/>
      <c r="EJL44" s="276"/>
      <c r="EJM44" s="276"/>
      <c r="EJN44" s="276"/>
      <c r="EJO44" s="276"/>
      <c r="EJP44" s="276"/>
      <c r="EJQ44" s="276"/>
      <c r="EJR44" s="276"/>
      <c r="EJS44" s="275"/>
      <c r="EJT44" s="276"/>
      <c r="EJU44" s="276"/>
      <c r="EJV44" s="276"/>
      <c r="EJW44" s="276"/>
      <c r="EJX44" s="276"/>
      <c r="EJY44" s="276"/>
      <c r="EJZ44" s="276"/>
      <c r="EKA44" s="276"/>
      <c r="EKB44" s="276"/>
      <c r="EKC44" s="276"/>
      <c r="EKD44" s="276"/>
      <c r="EKE44" s="276"/>
      <c r="EKF44" s="276"/>
      <c r="EKG44" s="276"/>
      <c r="EKH44" s="276"/>
      <c r="EKI44" s="275"/>
      <c r="EKJ44" s="276"/>
      <c r="EKK44" s="276"/>
      <c r="EKL44" s="276"/>
      <c r="EKM44" s="276"/>
      <c r="EKN44" s="276"/>
      <c r="EKO44" s="276"/>
      <c r="EKP44" s="276"/>
      <c r="EKQ44" s="276"/>
      <c r="EKR44" s="276"/>
      <c r="EKS44" s="276"/>
      <c r="EKT44" s="276"/>
      <c r="EKU44" s="276"/>
      <c r="EKV44" s="276"/>
      <c r="EKW44" s="276"/>
      <c r="EKX44" s="276"/>
      <c r="EKY44" s="275"/>
      <c r="EKZ44" s="276"/>
      <c r="ELA44" s="276"/>
      <c r="ELB44" s="276"/>
      <c r="ELC44" s="276"/>
      <c r="ELD44" s="276"/>
      <c r="ELE44" s="276"/>
      <c r="ELF44" s="276"/>
      <c r="ELG44" s="276"/>
      <c r="ELH44" s="276"/>
      <c r="ELI44" s="276"/>
      <c r="ELJ44" s="276"/>
      <c r="ELK44" s="276"/>
      <c r="ELL44" s="276"/>
      <c r="ELM44" s="276"/>
      <c r="ELN44" s="276"/>
      <c r="ELO44" s="275"/>
      <c r="ELP44" s="276"/>
      <c r="ELQ44" s="276"/>
      <c r="ELR44" s="276"/>
      <c r="ELS44" s="276"/>
      <c r="ELT44" s="276"/>
      <c r="ELU44" s="276"/>
      <c r="ELV44" s="276"/>
      <c r="ELW44" s="276"/>
      <c r="ELX44" s="276"/>
      <c r="ELY44" s="276"/>
      <c r="ELZ44" s="276"/>
      <c r="EMA44" s="276"/>
      <c r="EMB44" s="276"/>
      <c r="EMC44" s="276"/>
      <c r="EMD44" s="276"/>
      <c r="EME44" s="275"/>
      <c r="EMF44" s="276"/>
      <c r="EMG44" s="276"/>
      <c r="EMH44" s="276"/>
      <c r="EMI44" s="276"/>
      <c r="EMJ44" s="276"/>
      <c r="EMK44" s="276"/>
      <c r="EML44" s="276"/>
      <c r="EMM44" s="276"/>
      <c r="EMN44" s="276"/>
      <c r="EMO44" s="276"/>
      <c r="EMP44" s="276"/>
      <c r="EMQ44" s="276"/>
      <c r="EMR44" s="276"/>
      <c r="EMS44" s="276"/>
      <c r="EMT44" s="276"/>
      <c r="EMU44" s="275"/>
      <c r="EMV44" s="276"/>
      <c r="EMW44" s="276"/>
      <c r="EMX44" s="276"/>
      <c r="EMY44" s="276"/>
      <c r="EMZ44" s="276"/>
      <c r="ENA44" s="276"/>
      <c r="ENB44" s="276"/>
      <c r="ENC44" s="276"/>
      <c r="END44" s="276"/>
      <c r="ENE44" s="276"/>
      <c r="ENF44" s="276"/>
      <c r="ENG44" s="276"/>
      <c r="ENH44" s="276"/>
      <c r="ENI44" s="276"/>
      <c r="ENJ44" s="276"/>
      <c r="ENK44" s="275"/>
      <c r="ENL44" s="276"/>
      <c r="ENM44" s="276"/>
      <c r="ENN44" s="276"/>
      <c r="ENO44" s="276"/>
      <c r="ENP44" s="276"/>
      <c r="ENQ44" s="276"/>
      <c r="ENR44" s="276"/>
      <c r="ENS44" s="276"/>
      <c r="ENT44" s="276"/>
      <c r="ENU44" s="276"/>
      <c r="ENV44" s="276"/>
      <c r="ENW44" s="276"/>
      <c r="ENX44" s="276"/>
      <c r="ENY44" s="276"/>
      <c r="ENZ44" s="276"/>
      <c r="EOA44" s="275"/>
      <c r="EOB44" s="276"/>
      <c r="EOC44" s="276"/>
      <c r="EOD44" s="276"/>
      <c r="EOE44" s="276"/>
      <c r="EOF44" s="276"/>
      <c r="EOG44" s="276"/>
      <c r="EOH44" s="276"/>
      <c r="EOI44" s="276"/>
      <c r="EOJ44" s="276"/>
      <c r="EOK44" s="276"/>
      <c r="EOL44" s="276"/>
      <c r="EOM44" s="276"/>
      <c r="EON44" s="276"/>
      <c r="EOO44" s="276"/>
      <c r="EOP44" s="276"/>
      <c r="EOQ44" s="275"/>
      <c r="EOR44" s="276"/>
      <c r="EOS44" s="276"/>
      <c r="EOT44" s="276"/>
      <c r="EOU44" s="276"/>
      <c r="EOV44" s="276"/>
      <c r="EOW44" s="276"/>
      <c r="EOX44" s="276"/>
      <c r="EOY44" s="276"/>
      <c r="EOZ44" s="276"/>
      <c r="EPA44" s="276"/>
      <c r="EPB44" s="276"/>
      <c r="EPC44" s="276"/>
      <c r="EPD44" s="276"/>
      <c r="EPE44" s="276"/>
      <c r="EPF44" s="276"/>
      <c r="EPG44" s="275"/>
      <c r="EPH44" s="276"/>
      <c r="EPI44" s="276"/>
      <c r="EPJ44" s="276"/>
      <c r="EPK44" s="276"/>
      <c r="EPL44" s="276"/>
      <c r="EPM44" s="276"/>
      <c r="EPN44" s="276"/>
      <c r="EPO44" s="276"/>
      <c r="EPP44" s="276"/>
      <c r="EPQ44" s="276"/>
      <c r="EPR44" s="276"/>
      <c r="EPS44" s="276"/>
      <c r="EPT44" s="276"/>
      <c r="EPU44" s="276"/>
      <c r="EPV44" s="276"/>
      <c r="EPW44" s="275"/>
      <c r="EPX44" s="276"/>
      <c r="EPY44" s="276"/>
      <c r="EPZ44" s="276"/>
      <c r="EQA44" s="276"/>
      <c r="EQB44" s="276"/>
      <c r="EQC44" s="276"/>
      <c r="EQD44" s="276"/>
      <c r="EQE44" s="276"/>
      <c r="EQF44" s="276"/>
      <c r="EQG44" s="276"/>
      <c r="EQH44" s="276"/>
      <c r="EQI44" s="276"/>
      <c r="EQJ44" s="276"/>
      <c r="EQK44" s="276"/>
      <c r="EQL44" s="276"/>
      <c r="EQM44" s="275"/>
      <c r="EQN44" s="276"/>
      <c r="EQO44" s="276"/>
      <c r="EQP44" s="276"/>
      <c r="EQQ44" s="276"/>
      <c r="EQR44" s="276"/>
      <c r="EQS44" s="276"/>
      <c r="EQT44" s="276"/>
      <c r="EQU44" s="276"/>
      <c r="EQV44" s="276"/>
      <c r="EQW44" s="276"/>
      <c r="EQX44" s="276"/>
      <c r="EQY44" s="276"/>
      <c r="EQZ44" s="276"/>
      <c r="ERA44" s="276"/>
      <c r="ERB44" s="276"/>
      <c r="ERC44" s="275"/>
      <c r="ERD44" s="276"/>
      <c r="ERE44" s="276"/>
      <c r="ERF44" s="276"/>
      <c r="ERG44" s="276"/>
      <c r="ERH44" s="276"/>
      <c r="ERI44" s="276"/>
      <c r="ERJ44" s="276"/>
      <c r="ERK44" s="276"/>
      <c r="ERL44" s="276"/>
      <c r="ERM44" s="276"/>
      <c r="ERN44" s="276"/>
      <c r="ERO44" s="276"/>
      <c r="ERP44" s="276"/>
      <c r="ERQ44" s="276"/>
      <c r="ERR44" s="276"/>
      <c r="ERS44" s="275"/>
      <c r="ERT44" s="276"/>
      <c r="ERU44" s="276"/>
      <c r="ERV44" s="276"/>
      <c r="ERW44" s="276"/>
      <c r="ERX44" s="276"/>
      <c r="ERY44" s="276"/>
      <c r="ERZ44" s="276"/>
      <c r="ESA44" s="276"/>
      <c r="ESB44" s="276"/>
      <c r="ESC44" s="276"/>
      <c r="ESD44" s="276"/>
      <c r="ESE44" s="276"/>
      <c r="ESF44" s="276"/>
      <c r="ESG44" s="276"/>
      <c r="ESH44" s="276"/>
      <c r="ESI44" s="275"/>
      <c r="ESJ44" s="276"/>
      <c r="ESK44" s="276"/>
      <c r="ESL44" s="276"/>
      <c r="ESM44" s="276"/>
      <c r="ESN44" s="276"/>
      <c r="ESO44" s="276"/>
      <c r="ESP44" s="276"/>
      <c r="ESQ44" s="276"/>
      <c r="ESR44" s="276"/>
      <c r="ESS44" s="276"/>
      <c r="EST44" s="276"/>
      <c r="ESU44" s="276"/>
      <c r="ESV44" s="276"/>
      <c r="ESW44" s="276"/>
      <c r="ESX44" s="276"/>
      <c r="ESY44" s="275"/>
      <c r="ESZ44" s="276"/>
      <c r="ETA44" s="276"/>
      <c r="ETB44" s="276"/>
      <c r="ETC44" s="276"/>
      <c r="ETD44" s="276"/>
      <c r="ETE44" s="276"/>
      <c r="ETF44" s="276"/>
      <c r="ETG44" s="276"/>
      <c r="ETH44" s="276"/>
      <c r="ETI44" s="276"/>
      <c r="ETJ44" s="276"/>
      <c r="ETK44" s="276"/>
      <c r="ETL44" s="276"/>
      <c r="ETM44" s="276"/>
      <c r="ETN44" s="276"/>
      <c r="ETO44" s="275"/>
      <c r="ETP44" s="276"/>
      <c r="ETQ44" s="276"/>
      <c r="ETR44" s="276"/>
      <c r="ETS44" s="276"/>
      <c r="ETT44" s="276"/>
      <c r="ETU44" s="276"/>
      <c r="ETV44" s="276"/>
      <c r="ETW44" s="276"/>
      <c r="ETX44" s="276"/>
      <c r="ETY44" s="276"/>
      <c r="ETZ44" s="276"/>
      <c r="EUA44" s="276"/>
      <c r="EUB44" s="276"/>
      <c r="EUC44" s="276"/>
      <c r="EUD44" s="276"/>
      <c r="EUE44" s="275"/>
      <c r="EUF44" s="276"/>
      <c r="EUG44" s="276"/>
      <c r="EUH44" s="276"/>
      <c r="EUI44" s="276"/>
      <c r="EUJ44" s="276"/>
      <c r="EUK44" s="276"/>
      <c r="EUL44" s="276"/>
      <c r="EUM44" s="276"/>
      <c r="EUN44" s="276"/>
      <c r="EUO44" s="276"/>
      <c r="EUP44" s="276"/>
      <c r="EUQ44" s="276"/>
      <c r="EUR44" s="276"/>
      <c r="EUS44" s="276"/>
      <c r="EUT44" s="276"/>
      <c r="EUU44" s="275"/>
      <c r="EUV44" s="276"/>
      <c r="EUW44" s="276"/>
      <c r="EUX44" s="276"/>
      <c r="EUY44" s="276"/>
      <c r="EUZ44" s="276"/>
      <c r="EVA44" s="276"/>
      <c r="EVB44" s="276"/>
      <c r="EVC44" s="276"/>
      <c r="EVD44" s="276"/>
      <c r="EVE44" s="276"/>
      <c r="EVF44" s="276"/>
      <c r="EVG44" s="276"/>
      <c r="EVH44" s="276"/>
      <c r="EVI44" s="276"/>
      <c r="EVJ44" s="276"/>
      <c r="EVK44" s="275"/>
      <c r="EVL44" s="276"/>
      <c r="EVM44" s="276"/>
      <c r="EVN44" s="276"/>
      <c r="EVO44" s="276"/>
      <c r="EVP44" s="276"/>
      <c r="EVQ44" s="276"/>
      <c r="EVR44" s="276"/>
      <c r="EVS44" s="276"/>
      <c r="EVT44" s="276"/>
      <c r="EVU44" s="276"/>
      <c r="EVV44" s="276"/>
      <c r="EVW44" s="276"/>
      <c r="EVX44" s="276"/>
      <c r="EVY44" s="276"/>
      <c r="EVZ44" s="276"/>
      <c r="EWA44" s="275"/>
      <c r="EWB44" s="276"/>
      <c r="EWC44" s="276"/>
      <c r="EWD44" s="276"/>
      <c r="EWE44" s="276"/>
      <c r="EWF44" s="276"/>
      <c r="EWG44" s="276"/>
      <c r="EWH44" s="276"/>
      <c r="EWI44" s="276"/>
      <c r="EWJ44" s="276"/>
      <c r="EWK44" s="276"/>
      <c r="EWL44" s="276"/>
      <c r="EWM44" s="276"/>
      <c r="EWN44" s="276"/>
      <c r="EWO44" s="276"/>
      <c r="EWP44" s="276"/>
      <c r="EWQ44" s="275"/>
      <c r="EWR44" s="276"/>
      <c r="EWS44" s="276"/>
      <c r="EWT44" s="276"/>
      <c r="EWU44" s="276"/>
      <c r="EWV44" s="276"/>
      <c r="EWW44" s="276"/>
      <c r="EWX44" s="276"/>
      <c r="EWY44" s="276"/>
      <c r="EWZ44" s="276"/>
      <c r="EXA44" s="276"/>
      <c r="EXB44" s="276"/>
      <c r="EXC44" s="276"/>
      <c r="EXD44" s="276"/>
      <c r="EXE44" s="276"/>
      <c r="EXF44" s="276"/>
      <c r="EXG44" s="275"/>
      <c r="EXH44" s="276"/>
      <c r="EXI44" s="276"/>
      <c r="EXJ44" s="276"/>
      <c r="EXK44" s="276"/>
      <c r="EXL44" s="276"/>
      <c r="EXM44" s="276"/>
      <c r="EXN44" s="276"/>
      <c r="EXO44" s="276"/>
      <c r="EXP44" s="276"/>
      <c r="EXQ44" s="276"/>
      <c r="EXR44" s="276"/>
      <c r="EXS44" s="276"/>
      <c r="EXT44" s="276"/>
      <c r="EXU44" s="276"/>
      <c r="EXV44" s="276"/>
      <c r="EXW44" s="275"/>
      <c r="EXX44" s="276"/>
      <c r="EXY44" s="276"/>
      <c r="EXZ44" s="276"/>
      <c r="EYA44" s="276"/>
      <c r="EYB44" s="276"/>
      <c r="EYC44" s="276"/>
      <c r="EYD44" s="276"/>
      <c r="EYE44" s="276"/>
      <c r="EYF44" s="276"/>
      <c r="EYG44" s="276"/>
      <c r="EYH44" s="276"/>
      <c r="EYI44" s="276"/>
      <c r="EYJ44" s="276"/>
      <c r="EYK44" s="276"/>
      <c r="EYL44" s="276"/>
      <c r="EYM44" s="275"/>
      <c r="EYN44" s="276"/>
      <c r="EYO44" s="276"/>
      <c r="EYP44" s="276"/>
      <c r="EYQ44" s="276"/>
      <c r="EYR44" s="276"/>
      <c r="EYS44" s="276"/>
      <c r="EYT44" s="276"/>
      <c r="EYU44" s="276"/>
      <c r="EYV44" s="276"/>
      <c r="EYW44" s="276"/>
      <c r="EYX44" s="276"/>
      <c r="EYY44" s="276"/>
      <c r="EYZ44" s="276"/>
      <c r="EZA44" s="276"/>
      <c r="EZB44" s="276"/>
      <c r="EZC44" s="275"/>
      <c r="EZD44" s="276"/>
      <c r="EZE44" s="276"/>
      <c r="EZF44" s="276"/>
      <c r="EZG44" s="276"/>
      <c r="EZH44" s="276"/>
      <c r="EZI44" s="276"/>
      <c r="EZJ44" s="276"/>
      <c r="EZK44" s="276"/>
      <c r="EZL44" s="276"/>
      <c r="EZM44" s="276"/>
      <c r="EZN44" s="276"/>
      <c r="EZO44" s="276"/>
      <c r="EZP44" s="276"/>
      <c r="EZQ44" s="276"/>
      <c r="EZR44" s="276"/>
      <c r="EZS44" s="275"/>
      <c r="EZT44" s="276"/>
      <c r="EZU44" s="276"/>
      <c r="EZV44" s="276"/>
      <c r="EZW44" s="276"/>
      <c r="EZX44" s="276"/>
      <c r="EZY44" s="276"/>
      <c r="EZZ44" s="276"/>
      <c r="FAA44" s="276"/>
      <c r="FAB44" s="276"/>
      <c r="FAC44" s="276"/>
      <c r="FAD44" s="276"/>
      <c r="FAE44" s="276"/>
      <c r="FAF44" s="276"/>
      <c r="FAG44" s="276"/>
      <c r="FAH44" s="276"/>
      <c r="FAI44" s="275"/>
      <c r="FAJ44" s="276"/>
      <c r="FAK44" s="276"/>
      <c r="FAL44" s="276"/>
      <c r="FAM44" s="276"/>
      <c r="FAN44" s="276"/>
      <c r="FAO44" s="276"/>
      <c r="FAP44" s="276"/>
      <c r="FAQ44" s="276"/>
      <c r="FAR44" s="276"/>
      <c r="FAS44" s="276"/>
      <c r="FAT44" s="276"/>
      <c r="FAU44" s="276"/>
      <c r="FAV44" s="276"/>
      <c r="FAW44" s="276"/>
      <c r="FAX44" s="276"/>
      <c r="FAY44" s="275"/>
      <c r="FAZ44" s="276"/>
      <c r="FBA44" s="276"/>
      <c r="FBB44" s="276"/>
      <c r="FBC44" s="276"/>
      <c r="FBD44" s="276"/>
      <c r="FBE44" s="276"/>
      <c r="FBF44" s="276"/>
      <c r="FBG44" s="276"/>
      <c r="FBH44" s="276"/>
      <c r="FBI44" s="276"/>
      <c r="FBJ44" s="276"/>
      <c r="FBK44" s="276"/>
      <c r="FBL44" s="276"/>
      <c r="FBM44" s="276"/>
      <c r="FBN44" s="276"/>
      <c r="FBO44" s="275"/>
      <c r="FBP44" s="276"/>
      <c r="FBQ44" s="276"/>
      <c r="FBR44" s="276"/>
      <c r="FBS44" s="276"/>
      <c r="FBT44" s="276"/>
      <c r="FBU44" s="276"/>
      <c r="FBV44" s="276"/>
      <c r="FBW44" s="276"/>
      <c r="FBX44" s="276"/>
      <c r="FBY44" s="276"/>
      <c r="FBZ44" s="276"/>
      <c r="FCA44" s="276"/>
      <c r="FCB44" s="276"/>
      <c r="FCC44" s="276"/>
      <c r="FCD44" s="276"/>
      <c r="FCE44" s="275"/>
      <c r="FCF44" s="276"/>
      <c r="FCG44" s="276"/>
      <c r="FCH44" s="276"/>
      <c r="FCI44" s="276"/>
      <c r="FCJ44" s="276"/>
      <c r="FCK44" s="276"/>
      <c r="FCL44" s="276"/>
      <c r="FCM44" s="276"/>
      <c r="FCN44" s="276"/>
      <c r="FCO44" s="276"/>
      <c r="FCP44" s="276"/>
      <c r="FCQ44" s="276"/>
      <c r="FCR44" s="276"/>
      <c r="FCS44" s="276"/>
      <c r="FCT44" s="276"/>
      <c r="FCU44" s="275"/>
      <c r="FCV44" s="276"/>
      <c r="FCW44" s="276"/>
      <c r="FCX44" s="276"/>
      <c r="FCY44" s="276"/>
      <c r="FCZ44" s="276"/>
      <c r="FDA44" s="276"/>
      <c r="FDB44" s="276"/>
      <c r="FDC44" s="276"/>
      <c r="FDD44" s="276"/>
      <c r="FDE44" s="276"/>
      <c r="FDF44" s="276"/>
      <c r="FDG44" s="276"/>
      <c r="FDH44" s="276"/>
      <c r="FDI44" s="276"/>
      <c r="FDJ44" s="276"/>
      <c r="FDK44" s="275"/>
      <c r="FDL44" s="276"/>
      <c r="FDM44" s="276"/>
      <c r="FDN44" s="276"/>
      <c r="FDO44" s="276"/>
      <c r="FDP44" s="276"/>
      <c r="FDQ44" s="276"/>
      <c r="FDR44" s="276"/>
      <c r="FDS44" s="276"/>
      <c r="FDT44" s="276"/>
      <c r="FDU44" s="276"/>
      <c r="FDV44" s="276"/>
      <c r="FDW44" s="276"/>
      <c r="FDX44" s="276"/>
      <c r="FDY44" s="276"/>
      <c r="FDZ44" s="276"/>
      <c r="FEA44" s="275"/>
      <c r="FEB44" s="276"/>
      <c r="FEC44" s="276"/>
      <c r="FED44" s="276"/>
      <c r="FEE44" s="276"/>
      <c r="FEF44" s="276"/>
      <c r="FEG44" s="276"/>
      <c r="FEH44" s="276"/>
      <c r="FEI44" s="276"/>
      <c r="FEJ44" s="276"/>
      <c r="FEK44" s="276"/>
      <c r="FEL44" s="276"/>
      <c r="FEM44" s="276"/>
      <c r="FEN44" s="276"/>
      <c r="FEO44" s="276"/>
      <c r="FEP44" s="276"/>
      <c r="FEQ44" s="275"/>
      <c r="FER44" s="276"/>
      <c r="FES44" s="276"/>
      <c r="FET44" s="276"/>
      <c r="FEU44" s="276"/>
      <c r="FEV44" s="276"/>
      <c r="FEW44" s="276"/>
      <c r="FEX44" s="276"/>
      <c r="FEY44" s="276"/>
      <c r="FEZ44" s="276"/>
      <c r="FFA44" s="276"/>
      <c r="FFB44" s="276"/>
      <c r="FFC44" s="276"/>
      <c r="FFD44" s="276"/>
      <c r="FFE44" s="276"/>
      <c r="FFF44" s="276"/>
      <c r="FFG44" s="275"/>
      <c r="FFH44" s="276"/>
      <c r="FFI44" s="276"/>
      <c r="FFJ44" s="276"/>
      <c r="FFK44" s="276"/>
      <c r="FFL44" s="276"/>
      <c r="FFM44" s="276"/>
      <c r="FFN44" s="276"/>
      <c r="FFO44" s="276"/>
      <c r="FFP44" s="276"/>
      <c r="FFQ44" s="276"/>
      <c r="FFR44" s="276"/>
      <c r="FFS44" s="276"/>
      <c r="FFT44" s="276"/>
      <c r="FFU44" s="276"/>
      <c r="FFV44" s="276"/>
      <c r="FFW44" s="275"/>
      <c r="FFX44" s="276"/>
      <c r="FFY44" s="276"/>
      <c r="FFZ44" s="276"/>
      <c r="FGA44" s="276"/>
      <c r="FGB44" s="276"/>
      <c r="FGC44" s="276"/>
      <c r="FGD44" s="276"/>
      <c r="FGE44" s="276"/>
      <c r="FGF44" s="276"/>
      <c r="FGG44" s="276"/>
      <c r="FGH44" s="276"/>
      <c r="FGI44" s="276"/>
      <c r="FGJ44" s="276"/>
      <c r="FGK44" s="276"/>
      <c r="FGL44" s="276"/>
      <c r="FGM44" s="275"/>
      <c r="FGN44" s="276"/>
      <c r="FGO44" s="276"/>
      <c r="FGP44" s="276"/>
      <c r="FGQ44" s="276"/>
      <c r="FGR44" s="276"/>
      <c r="FGS44" s="276"/>
      <c r="FGT44" s="276"/>
      <c r="FGU44" s="276"/>
      <c r="FGV44" s="276"/>
      <c r="FGW44" s="276"/>
      <c r="FGX44" s="276"/>
      <c r="FGY44" s="276"/>
      <c r="FGZ44" s="276"/>
      <c r="FHA44" s="276"/>
      <c r="FHB44" s="276"/>
      <c r="FHC44" s="275"/>
      <c r="FHD44" s="276"/>
      <c r="FHE44" s="276"/>
      <c r="FHF44" s="276"/>
      <c r="FHG44" s="276"/>
      <c r="FHH44" s="276"/>
      <c r="FHI44" s="276"/>
      <c r="FHJ44" s="276"/>
      <c r="FHK44" s="276"/>
      <c r="FHL44" s="276"/>
      <c r="FHM44" s="276"/>
      <c r="FHN44" s="276"/>
      <c r="FHO44" s="276"/>
      <c r="FHP44" s="276"/>
      <c r="FHQ44" s="276"/>
      <c r="FHR44" s="276"/>
      <c r="FHS44" s="275"/>
      <c r="FHT44" s="276"/>
      <c r="FHU44" s="276"/>
      <c r="FHV44" s="276"/>
      <c r="FHW44" s="276"/>
      <c r="FHX44" s="276"/>
      <c r="FHY44" s="276"/>
      <c r="FHZ44" s="276"/>
      <c r="FIA44" s="276"/>
      <c r="FIB44" s="276"/>
      <c r="FIC44" s="276"/>
      <c r="FID44" s="276"/>
      <c r="FIE44" s="276"/>
      <c r="FIF44" s="276"/>
      <c r="FIG44" s="276"/>
      <c r="FIH44" s="276"/>
      <c r="FII44" s="275" t="s">
        <v>152</v>
      </c>
      <c r="FIJ44" s="276"/>
      <c r="FIK44" s="276"/>
      <c r="FIL44" s="276"/>
      <c r="FIM44" s="276"/>
      <c r="FIN44" s="276"/>
      <c r="FIO44" s="276"/>
      <c r="FIP44" s="276"/>
      <c r="FIQ44" s="276"/>
      <c r="FIR44" s="276"/>
      <c r="FIS44" s="276"/>
      <c r="FIT44" s="276"/>
      <c r="FIU44" s="276"/>
      <c r="FIV44" s="276"/>
      <c r="FIW44" s="276"/>
      <c r="FIX44" s="276"/>
      <c r="FIY44" s="275" t="s">
        <v>152</v>
      </c>
      <c r="FIZ44" s="276"/>
      <c r="FJA44" s="276"/>
      <c r="FJB44" s="276"/>
      <c r="FJC44" s="276"/>
      <c r="FJD44" s="276"/>
      <c r="FJE44" s="276"/>
      <c r="FJF44" s="276"/>
      <c r="FJG44" s="276"/>
      <c r="FJH44" s="276"/>
      <c r="FJI44" s="276"/>
      <c r="FJJ44" s="276"/>
      <c r="FJK44" s="276"/>
      <c r="FJL44" s="276"/>
      <c r="FJM44" s="276"/>
      <c r="FJN44" s="276"/>
      <c r="FJO44" s="275" t="s">
        <v>152</v>
      </c>
      <c r="FJP44" s="276"/>
      <c r="FJQ44" s="276"/>
      <c r="FJR44" s="276"/>
      <c r="FJS44" s="276"/>
      <c r="FJT44" s="276"/>
      <c r="FJU44" s="276"/>
      <c r="FJV44" s="276"/>
      <c r="FJW44" s="276"/>
      <c r="FJX44" s="276"/>
      <c r="FJY44" s="276"/>
      <c r="FJZ44" s="276"/>
      <c r="FKA44" s="276"/>
      <c r="FKB44" s="276"/>
      <c r="FKC44" s="276"/>
      <c r="FKD44" s="276"/>
      <c r="FKE44" s="275" t="s">
        <v>152</v>
      </c>
      <c r="FKF44" s="276"/>
      <c r="FKG44" s="276"/>
      <c r="FKH44" s="276"/>
      <c r="FKI44" s="276"/>
      <c r="FKJ44" s="276"/>
      <c r="FKK44" s="276"/>
      <c r="FKL44" s="276"/>
      <c r="FKM44" s="276"/>
      <c r="FKN44" s="276"/>
      <c r="FKO44" s="276"/>
      <c r="FKP44" s="276"/>
      <c r="FKQ44" s="276"/>
      <c r="FKR44" s="276"/>
      <c r="FKS44" s="276"/>
      <c r="FKT44" s="276"/>
      <c r="FKU44" s="275" t="s">
        <v>152</v>
      </c>
      <c r="FKV44" s="276"/>
      <c r="FKW44" s="276"/>
      <c r="FKX44" s="276"/>
      <c r="FKY44" s="276"/>
      <c r="FKZ44" s="276"/>
      <c r="FLA44" s="276"/>
      <c r="FLB44" s="276"/>
      <c r="FLC44" s="276"/>
      <c r="FLD44" s="276"/>
      <c r="FLE44" s="276"/>
      <c r="FLF44" s="276"/>
      <c r="FLG44" s="276"/>
      <c r="FLH44" s="276"/>
      <c r="FLI44" s="276"/>
      <c r="FLJ44" s="276"/>
      <c r="FLK44" s="275" t="s">
        <v>152</v>
      </c>
      <c r="FLL44" s="276"/>
      <c r="FLM44" s="276"/>
      <c r="FLN44" s="276"/>
      <c r="FLO44" s="276"/>
      <c r="FLP44" s="276"/>
      <c r="FLQ44" s="276"/>
      <c r="FLR44" s="276"/>
      <c r="FLS44" s="276"/>
      <c r="FLT44" s="276"/>
      <c r="FLU44" s="276"/>
      <c r="FLV44" s="276"/>
      <c r="FLW44" s="276"/>
      <c r="FLX44" s="276"/>
      <c r="FLY44" s="276"/>
      <c r="FLZ44" s="276"/>
      <c r="FMA44" s="275" t="s">
        <v>152</v>
      </c>
      <c r="FMB44" s="276"/>
      <c r="FMC44" s="276"/>
      <c r="FMD44" s="276"/>
      <c r="FME44" s="276"/>
      <c r="FMF44" s="276"/>
      <c r="FMG44" s="276"/>
      <c r="FMH44" s="276"/>
      <c r="FMI44" s="276"/>
      <c r="FMJ44" s="276"/>
      <c r="FMK44" s="276"/>
      <c r="FML44" s="276"/>
      <c r="FMM44" s="276"/>
      <c r="FMN44" s="276"/>
      <c r="FMO44" s="276"/>
      <c r="FMP44" s="276"/>
      <c r="FMQ44" s="275" t="s">
        <v>152</v>
      </c>
      <c r="FMR44" s="276"/>
      <c r="FMS44" s="276"/>
      <c r="FMT44" s="276"/>
      <c r="FMU44" s="276"/>
      <c r="FMV44" s="276"/>
      <c r="FMW44" s="276"/>
      <c r="FMX44" s="276"/>
      <c r="FMY44" s="276"/>
      <c r="FMZ44" s="276"/>
      <c r="FNA44" s="276"/>
      <c r="FNB44" s="276"/>
      <c r="FNC44" s="276"/>
      <c r="FND44" s="276"/>
      <c r="FNE44" s="276"/>
      <c r="FNF44" s="276"/>
      <c r="FNG44" s="275" t="s">
        <v>152</v>
      </c>
      <c r="FNH44" s="276"/>
      <c r="FNI44" s="276"/>
      <c r="FNJ44" s="276"/>
      <c r="FNK44" s="276"/>
      <c r="FNL44" s="276"/>
      <c r="FNM44" s="276"/>
      <c r="FNN44" s="276"/>
      <c r="FNO44" s="276"/>
      <c r="FNP44" s="276"/>
      <c r="FNQ44" s="276"/>
      <c r="FNR44" s="276"/>
      <c r="FNS44" s="276"/>
      <c r="FNT44" s="276"/>
      <c r="FNU44" s="276"/>
      <c r="FNV44" s="276"/>
      <c r="FNW44" s="275" t="s">
        <v>152</v>
      </c>
      <c r="FNX44" s="276"/>
      <c r="FNY44" s="276"/>
      <c r="FNZ44" s="276"/>
      <c r="FOA44" s="276"/>
      <c r="FOB44" s="276"/>
      <c r="FOC44" s="276"/>
      <c r="FOD44" s="276"/>
      <c r="FOE44" s="276"/>
      <c r="FOF44" s="276"/>
      <c r="FOG44" s="276"/>
      <c r="FOH44" s="276"/>
      <c r="FOI44" s="276"/>
      <c r="FOJ44" s="276"/>
      <c r="FOK44" s="276"/>
      <c r="FOL44" s="276"/>
      <c r="FOM44" s="275" t="s">
        <v>152</v>
      </c>
      <c r="FON44" s="276"/>
      <c r="FOO44" s="276"/>
      <c r="FOP44" s="276"/>
      <c r="FOQ44" s="276"/>
      <c r="FOR44" s="276"/>
      <c r="FOS44" s="276"/>
      <c r="FOT44" s="276"/>
      <c r="FOU44" s="276"/>
      <c r="FOV44" s="276"/>
      <c r="FOW44" s="276"/>
      <c r="FOX44" s="276"/>
      <c r="FOY44" s="276"/>
      <c r="FOZ44" s="276"/>
      <c r="FPA44" s="276"/>
      <c r="FPB44" s="276"/>
      <c r="FPC44" s="275" t="s">
        <v>152</v>
      </c>
      <c r="FPD44" s="276"/>
      <c r="FPE44" s="276"/>
      <c r="FPF44" s="276"/>
      <c r="FPG44" s="276"/>
      <c r="FPH44" s="276"/>
      <c r="FPI44" s="276"/>
      <c r="FPJ44" s="276"/>
      <c r="FPK44" s="276"/>
      <c r="FPL44" s="276"/>
      <c r="FPM44" s="276"/>
      <c r="FPN44" s="276"/>
      <c r="FPO44" s="276"/>
      <c r="FPP44" s="276"/>
      <c r="FPQ44" s="276"/>
      <c r="FPR44" s="276"/>
      <c r="FPS44" s="275" t="s">
        <v>152</v>
      </c>
      <c r="FPT44" s="276"/>
      <c r="FPU44" s="276"/>
      <c r="FPV44" s="276"/>
      <c r="FPW44" s="276"/>
      <c r="FPX44" s="276"/>
      <c r="FPY44" s="276"/>
      <c r="FPZ44" s="276"/>
      <c r="FQA44" s="276"/>
      <c r="FQB44" s="276"/>
      <c r="FQC44" s="276"/>
      <c r="FQD44" s="276"/>
      <c r="FQE44" s="276"/>
      <c r="FQF44" s="276"/>
      <c r="FQG44" s="276"/>
      <c r="FQH44" s="276"/>
      <c r="FQI44" s="275" t="s">
        <v>152</v>
      </c>
      <c r="FQJ44" s="276"/>
      <c r="FQK44" s="276"/>
      <c r="FQL44" s="276"/>
      <c r="FQM44" s="276"/>
      <c r="FQN44" s="276"/>
      <c r="FQO44" s="276"/>
      <c r="FQP44" s="276"/>
      <c r="FQQ44" s="276"/>
      <c r="FQR44" s="276"/>
      <c r="FQS44" s="276"/>
      <c r="FQT44" s="276"/>
      <c r="FQU44" s="276"/>
      <c r="FQV44" s="276"/>
      <c r="FQW44" s="276"/>
      <c r="FQX44" s="276"/>
      <c r="FQY44" s="275" t="s">
        <v>152</v>
      </c>
      <c r="FQZ44" s="276"/>
      <c r="FRA44" s="276"/>
      <c r="FRB44" s="276"/>
      <c r="FRC44" s="276"/>
      <c r="FRD44" s="276"/>
      <c r="FRE44" s="276"/>
      <c r="FRF44" s="276"/>
      <c r="FRG44" s="276"/>
      <c r="FRH44" s="276"/>
      <c r="FRI44" s="276"/>
      <c r="FRJ44" s="276"/>
      <c r="FRK44" s="276"/>
      <c r="FRL44" s="276"/>
      <c r="FRM44" s="276"/>
      <c r="FRN44" s="276"/>
      <c r="FRO44" s="275" t="s">
        <v>152</v>
      </c>
      <c r="FRP44" s="276"/>
      <c r="FRQ44" s="276"/>
      <c r="FRR44" s="276"/>
      <c r="FRS44" s="276"/>
      <c r="FRT44" s="276"/>
      <c r="FRU44" s="276"/>
      <c r="FRV44" s="276"/>
      <c r="FRW44" s="276"/>
      <c r="FRX44" s="276"/>
      <c r="FRY44" s="276"/>
      <c r="FRZ44" s="276"/>
      <c r="FSA44" s="276"/>
      <c r="FSB44" s="276"/>
      <c r="FSC44" s="276"/>
      <c r="FSD44" s="276"/>
      <c r="FSE44" s="275" t="s">
        <v>152</v>
      </c>
      <c r="FSF44" s="276"/>
      <c r="FSG44" s="276"/>
      <c r="FSH44" s="276"/>
      <c r="FSI44" s="276"/>
      <c r="FSJ44" s="276"/>
      <c r="FSK44" s="276"/>
      <c r="FSL44" s="276"/>
      <c r="FSM44" s="276"/>
      <c r="FSN44" s="276"/>
      <c r="FSO44" s="276"/>
      <c r="FSP44" s="276"/>
      <c r="FSQ44" s="276"/>
      <c r="FSR44" s="276"/>
      <c r="FSS44" s="276"/>
      <c r="FST44" s="276"/>
      <c r="FSU44" s="275" t="s">
        <v>152</v>
      </c>
      <c r="FSV44" s="276"/>
      <c r="FSW44" s="276"/>
      <c r="FSX44" s="276"/>
      <c r="FSY44" s="276"/>
      <c r="FSZ44" s="276"/>
      <c r="FTA44" s="276"/>
      <c r="FTB44" s="276"/>
      <c r="FTC44" s="276"/>
      <c r="FTD44" s="276"/>
      <c r="FTE44" s="276"/>
      <c r="FTF44" s="276"/>
      <c r="FTG44" s="276"/>
      <c r="FTH44" s="276"/>
      <c r="FTI44" s="276"/>
      <c r="FTJ44" s="276"/>
      <c r="FTK44" s="275" t="s">
        <v>152</v>
      </c>
      <c r="FTL44" s="276"/>
      <c r="FTM44" s="276"/>
      <c r="FTN44" s="276"/>
      <c r="FTO44" s="276"/>
      <c r="FTP44" s="276"/>
      <c r="FTQ44" s="276"/>
      <c r="FTR44" s="276"/>
      <c r="FTS44" s="276"/>
      <c r="FTT44" s="276"/>
      <c r="FTU44" s="276"/>
      <c r="FTV44" s="276"/>
      <c r="FTW44" s="276"/>
      <c r="FTX44" s="276"/>
      <c r="FTY44" s="276"/>
      <c r="FTZ44" s="276"/>
      <c r="FUA44" s="275" t="s">
        <v>152</v>
      </c>
      <c r="FUB44" s="276"/>
      <c r="FUC44" s="276"/>
      <c r="FUD44" s="276"/>
      <c r="FUE44" s="276"/>
      <c r="FUF44" s="276"/>
      <c r="FUG44" s="276"/>
      <c r="FUH44" s="276"/>
      <c r="FUI44" s="276"/>
      <c r="FUJ44" s="276"/>
      <c r="FUK44" s="276"/>
      <c r="FUL44" s="276"/>
      <c r="FUM44" s="276"/>
      <c r="FUN44" s="276"/>
      <c r="FUO44" s="276"/>
      <c r="FUP44" s="276"/>
      <c r="FUQ44" s="275" t="s">
        <v>152</v>
      </c>
      <c r="FUR44" s="276"/>
      <c r="FUS44" s="276"/>
      <c r="FUT44" s="276"/>
      <c r="FUU44" s="276"/>
      <c r="FUV44" s="276"/>
      <c r="FUW44" s="276"/>
      <c r="FUX44" s="276"/>
      <c r="FUY44" s="276"/>
      <c r="FUZ44" s="276"/>
      <c r="FVA44" s="276"/>
      <c r="FVB44" s="276"/>
      <c r="FVC44" s="276"/>
      <c r="FVD44" s="276"/>
      <c r="FVE44" s="276"/>
      <c r="FVF44" s="276"/>
      <c r="FVG44" s="275" t="s">
        <v>152</v>
      </c>
      <c r="FVH44" s="276"/>
      <c r="FVI44" s="276"/>
      <c r="FVJ44" s="276"/>
      <c r="FVK44" s="276"/>
      <c r="FVL44" s="276"/>
      <c r="FVM44" s="276"/>
      <c r="FVN44" s="276"/>
      <c r="FVO44" s="276"/>
      <c r="FVP44" s="276"/>
      <c r="FVQ44" s="276"/>
      <c r="FVR44" s="276"/>
      <c r="FVS44" s="276"/>
      <c r="FVT44" s="276"/>
      <c r="FVU44" s="276"/>
      <c r="FVV44" s="276"/>
      <c r="FVW44" s="275" t="s">
        <v>152</v>
      </c>
      <c r="FVX44" s="276"/>
      <c r="FVY44" s="276"/>
      <c r="FVZ44" s="276"/>
      <c r="FWA44" s="276"/>
      <c r="FWB44" s="276"/>
      <c r="FWC44" s="276"/>
      <c r="FWD44" s="276"/>
      <c r="FWE44" s="276"/>
      <c r="FWF44" s="276"/>
      <c r="FWG44" s="276"/>
      <c r="FWH44" s="276"/>
      <c r="FWI44" s="276"/>
      <c r="FWJ44" s="276"/>
      <c r="FWK44" s="276"/>
      <c r="FWL44" s="276"/>
      <c r="FWM44" s="275" t="s">
        <v>152</v>
      </c>
      <c r="FWN44" s="276"/>
      <c r="FWO44" s="276"/>
      <c r="FWP44" s="276"/>
      <c r="FWQ44" s="276"/>
      <c r="FWR44" s="276"/>
      <c r="FWS44" s="276"/>
      <c r="FWT44" s="276"/>
      <c r="FWU44" s="276"/>
      <c r="FWV44" s="276"/>
      <c r="FWW44" s="276"/>
      <c r="FWX44" s="276"/>
      <c r="FWY44" s="276"/>
      <c r="FWZ44" s="276"/>
      <c r="FXA44" s="276"/>
      <c r="FXB44" s="276"/>
      <c r="FXC44" s="275" t="s">
        <v>152</v>
      </c>
      <c r="FXD44" s="276"/>
      <c r="FXE44" s="276"/>
      <c r="FXF44" s="276"/>
      <c r="FXG44" s="276"/>
      <c r="FXH44" s="276"/>
      <c r="FXI44" s="276"/>
      <c r="FXJ44" s="276"/>
      <c r="FXK44" s="276"/>
      <c r="FXL44" s="276"/>
      <c r="FXM44" s="276"/>
      <c r="FXN44" s="276"/>
      <c r="FXO44" s="276"/>
      <c r="FXP44" s="276"/>
      <c r="FXQ44" s="276"/>
      <c r="FXR44" s="276"/>
      <c r="FXS44" s="275" t="s">
        <v>152</v>
      </c>
      <c r="FXT44" s="276"/>
      <c r="FXU44" s="276"/>
      <c r="FXV44" s="276"/>
      <c r="FXW44" s="276"/>
      <c r="FXX44" s="276"/>
      <c r="FXY44" s="276"/>
      <c r="FXZ44" s="276"/>
      <c r="FYA44" s="276"/>
      <c r="FYB44" s="276"/>
      <c r="FYC44" s="276"/>
      <c r="FYD44" s="276"/>
      <c r="FYE44" s="276"/>
      <c r="FYF44" s="276"/>
      <c r="FYG44" s="276"/>
      <c r="FYH44" s="276"/>
      <c r="FYI44" s="275" t="s">
        <v>152</v>
      </c>
      <c r="FYJ44" s="276"/>
      <c r="FYK44" s="276"/>
      <c r="FYL44" s="276"/>
      <c r="FYM44" s="276"/>
      <c r="FYN44" s="276"/>
      <c r="FYO44" s="276"/>
      <c r="FYP44" s="276"/>
      <c r="FYQ44" s="276"/>
      <c r="FYR44" s="276"/>
      <c r="FYS44" s="276"/>
      <c r="FYT44" s="276"/>
      <c r="FYU44" s="276"/>
      <c r="FYV44" s="276"/>
      <c r="FYW44" s="276"/>
      <c r="FYX44" s="276"/>
      <c r="FYY44" s="275" t="s">
        <v>152</v>
      </c>
      <c r="FYZ44" s="276"/>
      <c r="FZA44" s="276"/>
      <c r="FZB44" s="276"/>
      <c r="FZC44" s="276"/>
      <c r="FZD44" s="276"/>
      <c r="FZE44" s="276"/>
      <c r="FZF44" s="276"/>
      <c r="FZG44" s="276"/>
      <c r="FZH44" s="276"/>
      <c r="FZI44" s="276"/>
      <c r="FZJ44" s="276"/>
      <c r="FZK44" s="276"/>
      <c r="FZL44" s="276"/>
      <c r="FZM44" s="276"/>
      <c r="FZN44" s="276"/>
      <c r="FZO44" s="275" t="s">
        <v>152</v>
      </c>
      <c r="FZP44" s="276"/>
      <c r="FZQ44" s="276"/>
      <c r="FZR44" s="276"/>
      <c r="FZS44" s="276"/>
      <c r="FZT44" s="276"/>
      <c r="FZU44" s="276"/>
      <c r="FZV44" s="276"/>
      <c r="FZW44" s="276"/>
      <c r="FZX44" s="276"/>
      <c r="FZY44" s="276"/>
      <c r="FZZ44" s="276"/>
      <c r="GAA44" s="276"/>
      <c r="GAB44" s="276"/>
      <c r="GAC44" s="276"/>
      <c r="GAD44" s="276"/>
      <c r="GAE44" s="275" t="s">
        <v>152</v>
      </c>
      <c r="GAF44" s="276"/>
      <c r="GAG44" s="276"/>
      <c r="GAH44" s="276"/>
      <c r="GAI44" s="276"/>
      <c r="GAJ44" s="276"/>
      <c r="GAK44" s="276"/>
      <c r="GAL44" s="276"/>
      <c r="GAM44" s="276"/>
      <c r="GAN44" s="276"/>
      <c r="GAO44" s="276"/>
      <c r="GAP44" s="276"/>
      <c r="GAQ44" s="276"/>
      <c r="GAR44" s="276"/>
      <c r="GAS44" s="276"/>
      <c r="GAT44" s="276"/>
      <c r="GAU44" s="275" t="s">
        <v>152</v>
      </c>
      <c r="GAV44" s="276"/>
      <c r="GAW44" s="276"/>
      <c r="GAX44" s="276"/>
      <c r="GAY44" s="276"/>
      <c r="GAZ44" s="276"/>
      <c r="GBA44" s="276"/>
      <c r="GBB44" s="276"/>
      <c r="GBC44" s="276"/>
      <c r="GBD44" s="276"/>
      <c r="GBE44" s="276"/>
      <c r="GBF44" s="276"/>
      <c r="GBG44" s="276"/>
      <c r="GBH44" s="276"/>
      <c r="GBI44" s="276"/>
      <c r="GBJ44" s="276"/>
      <c r="GBK44" s="275" t="s">
        <v>152</v>
      </c>
      <c r="GBL44" s="276"/>
      <c r="GBM44" s="276"/>
      <c r="GBN44" s="276"/>
      <c r="GBO44" s="276"/>
      <c r="GBP44" s="276"/>
      <c r="GBQ44" s="276"/>
      <c r="GBR44" s="276"/>
      <c r="GBS44" s="276"/>
      <c r="GBT44" s="276"/>
      <c r="GBU44" s="276"/>
      <c r="GBV44" s="276"/>
      <c r="GBW44" s="276"/>
      <c r="GBX44" s="276"/>
      <c r="GBY44" s="276"/>
      <c r="GBZ44" s="276"/>
      <c r="GCA44" s="275" t="s">
        <v>152</v>
      </c>
      <c r="GCB44" s="276"/>
      <c r="GCC44" s="276"/>
      <c r="GCD44" s="276"/>
      <c r="GCE44" s="276"/>
      <c r="GCF44" s="276"/>
      <c r="GCG44" s="276"/>
      <c r="GCH44" s="276"/>
      <c r="GCI44" s="276"/>
      <c r="GCJ44" s="276"/>
      <c r="GCK44" s="276"/>
      <c r="GCL44" s="276"/>
      <c r="GCM44" s="276"/>
      <c r="GCN44" s="276"/>
      <c r="GCO44" s="276"/>
      <c r="GCP44" s="276"/>
      <c r="GCQ44" s="275" t="s">
        <v>152</v>
      </c>
      <c r="GCR44" s="276"/>
      <c r="GCS44" s="276"/>
      <c r="GCT44" s="276"/>
      <c r="GCU44" s="276"/>
      <c r="GCV44" s="276"/>
      <c r="GCW44" s="276"/>
      <c r="GCX44" s="276"/>
      <c r="GCY44" s="276"/>
      <c r="GCZ44" s="276"/>
      <c r="GDA44" s="276"/>
      <c r="GDB44" s="276"/>
      <c r="GDC44" s="276"/>
      <c r="GDD44" s="276"/>
      <c r="GDE44" s="276"/>
      <c r="GDF44" s="276"/>
      <c r="GDG44" s="275" t="s">
        <v>152</v>
      </c>
      <c r="GDH44" s="276"/>
      <c r="GDI44" s="276"/>
      <c r="GDJ44" s="276"/>
      <c r="GDK44" s="276"/>
      <c r="GDL44" s="276"/>
      <c r="GDM44" s="276"/>
      <c r="GDN44" s="276"/>
      <c r="GDO44" s="276"/>
      <c r="GDP44" s="276"/>
      <c r="GDQ44" s="276"/>
      <c r="GDR44" s="276"/>
      <c r="GDS44" s="276"/>
      <c r="GDT44" s="276"/>
      <c r="GDU44" s="276"/>
      <c r="GDV44" s="276"/>
      <c r="GDW44" s="275" t="s">
        <v>152</v>
      </c>
      <c r="GDX44" s="276"/>
      <c r="GDY44" s="276"/>
      <c r="GDZ44" s="276"/>
      <c r="GEA44" s="276"/>
      <c r="GEB44" s="276"/>
      <c r="GEC44" s="276"/>
      <c r="GED44" s="276"/>
      <c r="GEE44" s="276"/>
      <c r="GEF44" s="276"/>
      <c r="GEG44" s="276"/>
      <c r="GEH44" s="276"/>
      <c r="GEI44" s="276"/>
      <c r="GEJ44" s="276"/>
      <c r="GEK44" s="276"/>
      <c r="GEL44" s="276"/>
      <c r="GEM44" s="275" t="s">
        <v>152</v>
      </c>
      <c r="GEN44" s="276"/>
      <c r="GEO44" s="276"/>
      <c r="GEP44" s="276"/>
      <c r="GEQ44" s="276"/>
      <c r="GER44" s="276"/>
      <c r="GES44" s="276"/>
      <c r="GET44" s="276"/>
      <c r="GEU44" s="276"/>
      <c r="GEV44" s="276"/>
      <c r="GEW44" s="276"/>
      <c r="GEX44" s="276"/>
      <c r="GEY44" s="276"/>
      <c r="GEZ44" s="276"/>
      <c r="GFA44" s="276"/>
      <c r="GFB44" s="276"/>
      <c r="GFC44" s="275" t="s">
        <v>152</v>
      </c>
      <c r="GFD44" s="276"/>
      <c r="GFE44" s="276"/>
      <c r="GFF44" s="276"/>
      <c r="GFG44" s="276"/>
      <c r="GFH44" s="276"/>
      <c r="GFI44" s="276"/>
      <c r="GFJ44" s="276"/>
      <c r="GFK44" s="276"/>
      <c r="GFL44" s="276"/>
      <c r="GFM44" s="276"/>
      <c r="GFN44" s="276"/>
      <c r="GFO44" s="276"/>
      <c r="GFP44" s="276"/>
      <c r="GFQ44" s="276"/>
      <c r="GFR44" s="276"/>
      <c r="GFS44" s="275" t="s">
        <v>152</v>
      </c>
      <c r="GFT44" s="276"/>
      <c r="GFU44" s="276"/>
      <c r="GFV44" s="276"/>
      <c r="GFW44" s="276"/>
      <c r="GFX44" s="276"/>
      <c r="GFY44" s="276"/>
      <c r="GFZ44" s="276"/>
      <c r="GGA44" s="276"/>
      <c r="GGB44" s="276"/>
      <c r="GGC44" s="276"/>
      <c r="GGD44" s="276"/>
      <c r="GGE44" s="276"/>
      <c r="GGF44" s="276"/>
      <c r="GGG44" s="276"/>
      <c r="GGH44" s="276"/>
      <c r="GGI44" s="275" t="s">
        <v>152</v>
      </c>
      <c r="GGJ44" s="276"/>
      <c r="GGK44" s="276"/>
      <c r="GGL44" s="276"/>
      <c r="GGM44" s="276"/>
      <c r="GGN44" s="276"/>
      <c r="GGO44" s="276"/>
      <c r="GGP44" s="276"/>
      <c r="GGQ44" s="276"/>
      <c r="GGR44" s="276"/>
      <c r="GGS44" s="276"/>
      <c r="GGT44" s="276"/>
      <c r="GGU44" s="276"/>
      <c r="GGV44" s="276"/>
      <c r="GGW44" s="276"/>
      <c r="GGX44" s="276"/>
      <c r="GGY44" s="275" t="s">
        <v>152</v>
      </c>
      <c r="GGZ44" s="276"/>
      <c r="GHA44" s="276"/>
      <c r="GHB44" s="276"/>
      <c r="GHC44" s="276"/>
      <c r="GHD44" s="276"/>
      <c r="GHE44" s="276"/>
      <c r="GHF44" s="276"/>
      <c r="GHG44" s="276"/>
      <c r="GHH44" s="276"/>
      <c r="GHI44" s="276"/>
      <c r="GHJ44" s="276"/>
      <c r="GHK44" s="276"/>
      <c r="GHL44" s="276"/>
      <c r="GHM44" s="276"/>
      <c r="GHN44" s="276"/>
      <c r="GHO44" s="275" t="s">
        <v>152</v>
      </c>
      <c r="GHP44" s="276"/>
      <c r="GHQ44" s="276"/>
      <c r="GHR44" s="276"/>
      <c r="GHS44" s="276"/>
      <c r="GHT44" s="276"/>
      <c r="GHU44" s="276"/>
      <c r="GHV44" s="276"/>
      <c r="GHW44" s="276"/>
      <c r="GHX44" s="276"/>
      <c r="GHY44" s="276"/>
      <c r="GHZ44" s="276"/>
      <c r="GIA44" s="276"/>
      <c r="GIB44" s="276"/>
      <c r="GIC44" s="276"/>
      <c r="GID44" s="276"/>
      <c r="GIE44" s="275" t="s">
        <v>152</v>
      </c>
      <c r="GIF44" s="276"/>
      <c r="GIG44" s="276"/>
      <c r="GIH44" s="276"/>
      <c r="GII44" s="276"/>
      <c r="GIJ44" s="276"/>
      <c r="GIK44" s="276"/>
      <c r="GIL44" s="276"/>
      <c r="GIM44" s="276"/>
      <c r="GIN44" s="276"/>
      <c r="GIO44" s="276"/>
      <c r="GIP44" s="276"/>
      <c r="GIQ44" s="276"/>
      <c r="GIR44" s="276"/>
      <c r="GIS44" s="276"/>
      <c r="GIT44" s="276"/>
      <c r="GIU44" s="275" t="s">
        <v>152</v>
      </c>
      <c r="GIV44" s="276"/>
      <c r="GIW44" s="276"/>
      <c r="GIX44" s="276"/>
      <c r="GIY44" s="276"/>
      <c r="GIZ44" s="276"/>
      <c r="GJA44" s="276"/>
      <c r="GJB44" s="276"/>
      <c r="GJC44" s="276"/>
      <c r="GJD44" s="276"/>
      <c r="GJE44" s="276"/>
      <c r="GJF44" s="276"/>
      <c r="GJG44" s="276"/>
      <c r="GJH44" s="276"/>
      <c r="GJI44" s="276"/>
      <c r="GJJ44" s="276"/>
      <c r="GJK44" s="275" t="s">
        <v>152</v>
      </c>
      <c r="GJL44" s="276"/>
      <c r="GJM44" s="276"/>
      <c r="GJN44" s="276"/>
      <c r="GJO44" s="276"/>
      <c r="GJP44" s="276"/>
      <c r="GJQ44" s="276"/>
      <c r="GJR44" s="276"/>
      <c r="GJS44" s="276"/>
      <c r="GJT44" s="276"/>
      <c r="GJU44" s="276"/>
      <c r="GJV44" s="276"/>
      <c r="GJW44" s="276"/>
      <c r="GJX44" s="276"/>
      <c r="GJY44" s="276"/>
      <c r="GJZ44" s="276"/>
      <c r="GKA44" s="275" t="s">
        <v>152</v>
      </c>
      <c r="GKB44" s="276"/>
      <c r="GKC44" s="276"/>
      <c r="GKD44" s="276"/>
      <c r="GKE44" s="276"/>
      <c r="GKF44" s="276"/>
      <c r="GKG44" s="276"/>
      <c r="GKH44" s="276"/>
      <c r="GKI44" s="276"/>
      <c r="GKJ44" s="276"/>
      <c r="GKK44" s="276"/>
      <c r="GKL44" s="276"/>
      <c r="GKM44" s="276"/>
      <c r="GKN44" s="276"/>
      <c r="GKO44" s="276"/>
      <c r="GKP44" s="276"/>
      <c r="GKQ44" s="275" t="s">
        <v>152</v>
      </c>
      <c r="GKR44" s="276"/>
      <c r="GKS44" s="276"/>
      <c r="GKT44" s="276"/>
      <c r="GKU44" s="276"/>
      <c r="GKV44" s="276"/>
      <c r="GKW44" s="276"/>
      <c r="GKX44" s="276"/>
      <c r="GKY44" s="276"/>
      <c r="GKZ44" s="276"/>
      <c r="GLA44" s="276"/>
      <c r="GLB44" s="276"/>
      <c r="GLC44" s="276"/>
      <c r="GLD44" s="276"/>
      <c r="GLE44" s="276"/>
      <c r="GLF44" s="276"/>
      <c r="GLG44" s="275" t="s">
        <v>152</v>
      </c>
      <c r="GLH44" s="276"/>
      <c r="GLI44" s="276"/>
      <c r="GLJ44" s="276"/>
      <c r="GLK44" s="276"/>
      <c r="GLL44" s="276"/>
      <c r="GLM44" s="276"/>
      <c r="GLN44" s="276"/>
      <c r="GLO44" s="276"/>
      <c r="GLP44" s="276"/>
      <c r="GLQ44" s="276"/>
      <c r="GLR44" s="276"/>
      <c r="GLS44" s="276"/>
      <c r="GLT44" s="276"/>
      <c r="GLU44" s="276"/>
      <c r="GLV44" s="276"/>
      <c r="GLW44" s="275" t="s">
        <v>152</v>
      </c>
      <c r="GLX44" s="276"/>
      <c r="GLY44" s="276"/>
      <c r="GLZ44" s="276"/>
      <c r="GMA44" s="276"/>
      <c r="GMB44" s="276"/>
      <c r="GMC44" s="276"/>
      <c r="GMD44" s="276"/>
      <c r="GME44" s="276"/>
      <c r="GMF44" s="276"/>
      <c r="GMG44" s="276"/>
      <c r="GMH44" s="276"/>
      <c r="GMI44" s="276"/>
      <c r="GMJ44" s="276"/>
      <c r="GMK44" s="276"/>
      <c r="GML44" s="276"/>
      <c r="GMM44" s="275" t="s">
        <v>152</v>
      </c>
      <c r="GMN44" s="276"/>
      <c r="GMO44" s="276"/>
      <c r="GMP44" s="276"/>
      <c r="GMQ44" s="276"/>
      <c r="GMR44" s="276"/>
      <c r="GMS44" s="276"/>
      <c r="GMT44" s="276"/>
      <c r="GMU44" s="276"/>
      <c r="GMV44" s="276"/>
      <c r="GMW44" s="276"/>
      <c r="GMX44" s="276"/>
      <c r="GMY44" s="276"/>
      <c r="GMZ44" s="276"/>
      <c r="GNA44" s="276"/>
      <c r="GNB44" s="276"/>
      <c r="GNC44" s="275" t="s">
        <v>152</v>
      </c>
      <c r="GND44" s="276"/>
      <c r="GNE44" s="276"/>
      <c r="GNF44" s="276"/>
      <c r="GNG44" s="276"/>
      <c r="GNH44" s="276"/>
      <c r="GNI44" s="276"/>
      <c r="GNJ44" s="276"/>
      <c r="GNK44" s="276"/>
      <c r="GNL44" s="276"/>
      <c r="GNM44" s="276"/>
      <c r="GNN44" s="276"/>
      <c r="GNO44" s="276"/>
      <c r="GNP44" s="276"/>
      <c r="GNQ44" s="276"/>
      <c r="GNR44" s="276"/>
      <c r="GNS44" s="275" t="s">
        <v>152</v>
      </c>
      <c r="GNT44" s="276"/>
      <c r="GNU44" s="276"/>
      <c r="GNV44" s="276"/>
      <c r="GNW44" s="276"/>
      <c r="GNX44" s="276"/>
      <c r="GNY44" s="276"/>
      <c r="GNZ44" s="276"/>
      <c r="GOA44" s="276"/>
      <c r="GOB44" s="276"/>
      <c r="GOC44" s="276"/>
      <c r="GOD44" s="276"/>
      <c r="GOE44" s="276"/>
      <c r="GOF44" s="276"/>
      <c r="GOG44" s="276"/>
      <c r="GOH44" s="276"/>
      <c r="GOI44" s="275" t="s">
        <v>152</v>
      </c>
      <c r="GOJ44" s="276"/>
      <c r="GOK44" s="276"/>
      <c r="GOL44" s="276"/>
      <c r="GOM44" s="276"/>
      <c r="GON44" s="276"/>
      <c r="GOO44" s="276"/>
      <c r="GOP44" s="276"/>
      <c r="GOQ44" s="276"/>
      <c r="GOR44" s="276"/>
      <c r="GOS44" s="276"/>
      <c r="GOT44" s="276"/>
      <c r="GOU44" s="276"/>
      <c r="GOV44" s="276"/>
      <c r="GOW44" s="276"/>
      <c r="GOX44" s="276"/>
      <c r="GOY44" s="275" t="s">
        <v>152</v>
      </c>
      <c r="GOZ44" s="276"/>
      <c r="GPA44" s="276"/>
      <c r="GPB44" s="276"/>
      <c r="GPC44" s="276"/>
      <c r="GPD44" s="276"/>
      <c r="GPE44" s="276"/>
      <c r="GPF44" s="276"/>
      <c r="GPG44" s="276"/>
      <c r="GPH44" s="276"/>
      <c r="GPI44" s="276"/>
      <c r="GPJ44" s="276"/>
      <c r="GPK44" s="276"/>
      <c r="GPL44" s="276"/>
      <c r="GPM44" s="276"/>
      <c r="GPN44" s="276"/>
      <c r="GPO44" s="275" t="s">
        <v>152</v>
      </c>
      <c r="GPP44" s="276"/>
      <c r="GPQ44" s="276"/>
      <c r="GPR44" s="276"/>
      <c r="GPS44" s="276"/>
      <c r="GPT44" s="276"/>
      <c r="GPU44" s="276"/>
      <c r="GPV44" s="276"/>
      <c r="GPW44" s="276"/>
      <c r="GPX44" s="276"/>
      <c r="GPY44" s="276"/>
      <c r="GPZ44" s="276"/>
      <c r="GQA44" s="276"/>
      <c r="GQB44" s="276"/>
      <c r="GQC44" s="276"/>
      <c r="GQD44" s="276"/>
      <c r="GQE44" s="275" t="s">
        <v>152</v>
      </c>
      <c r="GQF44" s="276"/>
      <c r="GQG44" s="276"/>
      <c r="GQH44" s="276"/>
      <c r="GQI44" s="276"/>
      <c r="GQJ44" s="276"/>
      <c r="GQK44" s="276"/>
      <c r="GQL44" s="276"/>
      <c r="GQM44" s="276"/>
      <c r="GQN44" s="276"/>
      <c r="GQO44" s="276"/>
      <c r="GQP44" s="276"/>
      <c r="GQQ44" s="276"/>
      <c r="GQR44" s="276"/>
      <c r="GQS44" s="276"/>
      <c r="GQT44" s="276"/>
      <c r="GQU44" s="275" t="s">
        <v>152</v>
      </c>
      <c r="GQV44" s="276"/>
      <c r="GQW44" s="276"/>
      <c r="GQX44" s="276"/>
      <c r="GQY44" s="276"/>
      <c r="GQZ44" s="276"/>
      <c r="GRA44" s="276"/>
      <c r="GRB44" s="276"/>
      <c r="GRC44" s="276"/>
      <c r="GRD44" s="276"/>
      <c r="GRE44" s="276"/>
      <c r="GRF44" s="276"/>
      <c r="GRG44" s="276"/>
      <c r="GRH44" s="276"/>
      <c r="GRI44" s="276"/>
      <c r="GRJ44" s="276"/>
      <c r="GRK44" s="275" t="s">
        <v>152</v>
      </c>
      <c r="GRL44" s="276"/>
      <c r="GRM44" s="276"/>
      <c r="GRN44" s="276"/>
      <c r="GRO44" s="276"/>
      <c r="GRP44" s="276"/>
      <c r="GRQ44" s="276"/>
      <c r="GRR44" s="276"/>
      <c r="GRS44" s="276"/>
      <c r="GRT44" s="276"/>
      <c r="GRU44" s="276"/>
      <c r="GRV44" s="276"/>
      <c r="GRW44" s="276"/>
      <c r="GRX44" s="276"/>
      <c r="GRY44" s="276"/>
      <c r="GRZ44" s="276"/>
      <c r="GSA44" s="275" t="s">
        <v>152</v>
      </c>
      <c r="GSB44" s="276"/>
      <c r="GSC44" s="276"/>
      <c r="GSD44" s="276"/>
      <c r="GSE44" s="276"/>
      <c r="GSF44" s="276"/>
      <c r="GSG44" s="276"/>
      <c r="GSH44" s="276"/>
      <c r="GSI44" s="276"/>
      <c r="GSJ44" s="276"/>
      <c r="GSK44" s="276"/>
      <c r="GSL44" s="276"/>
      <c r="GSM44" s="276"/>
      <c r="GSN44" s="276"/>
      <c r="GSO44" s="276"/>
      <c r="GSP44" s="276"/>
      <c r="GSQ44" s="275" t="s">
        <v>152</v>
      </c>
      <c r="GSR44" s="276"/>
      <c r="GSS44" s="276"/>
      <c r="GST44" s="276"/>
      <c r="GSU44" s="276"/>
      <c r="GSV44" s="276"/>
      <c r="GSW44" s="276"/>
      <c r="GSX44" s="276"/>
      <c r="GSY44" s="276"/>
      <c r="GSZ44" s="276"/>
      <c r="GTA44" s="276"/>
      <c r="GTB44" s="276"/>
      <c r="GTC44" s="276"/>
      <c r="GTD44" s="276"/>
      <c r="GTE44" s="276"/>
      <c r="GTF44" s="276"/>
      <c r="GTG44" s="275" t="s">
        <v>152</v>
      </c>
      <c r="GTH44" s="276"/>
      <c r="GTI44" s="276"/>
      <c r="GTJ44" s="276"/>
      <c r="GTK44" s="276"/>
      <c r="GTL44" s="276"/>
      <c r="GTM44" s="276"/>
      <c r="GTN44" s="276"/>
      <c r="GTO44" s="276"/>
      <c r="GTP44" s="276"/>
      <c r="GTQ44" s="276"/>
      <c r="GTR44" s="276"/>
      <c r="GTS44" s="276"/>
      <c r="GTT44" s="276"/>
      <c r="GTU44" s="276"/>
      <c r="GTV44" s="276"/>
      <c r="GTW44" s="275" t="s">
        <v>152</v>
      </c>
      <c r="GTX44" s="276"/>
      <c r="GTY44" s="276"/>
      <c r="GTZ44" s="276"/>
      <c r="GUA44" s="276"/>
      <c r="GUB44" s="276"/>
      <c r="GUC44" s="276"/>
      <c r="GUD44" s="276"/>
      <c r="GUE44" s="276"/>
      <c r="GUF44" s="276"/>
      <c r="GUG44" s="276"/>
      <c r="GUH44" s="276"/>
      <c r="GUI44" s="276"/>
      <c r="GUJ44" s="276"/>
      <c r="GUK44" s="276"/>
      <c r="GUL44" s="276"/>
      <c r="GUM44" s="275" t="s">
        <v>152</v>
      </c>
      <c r="GUN44" s="276"/>
      <c r="GUO44" s="276"/>
      <c r="GUP44" s="276"/>
      <c r="GUQ44" s="276"/>
      <c r="GUR44" s="276"/>
      <c r="GUS44" s="276"/>
      <c r="GUT44" s="276"/>
      <c r="GUU44" s="276"/>
      <c r="GUV44" s="276"/>
      <c r="GUW44" s="276"/>
      <c r="GUX44" s="276"/>
      <c r="GUY44" s="276"/>
      <c r="GUZ44" s="276"/>
      <c r="GVA44" s="276"/>
      <c r="GVB44" s="276"/>
      <c r="GVC44" s="275" t="s">
        <v>152</v>
      </c>
      <c r="GVD44" s="276"/>
      <c r="GVE44" s="276"/>
      <c r="GVF44" s="276"/>
      <c r="GVG44" s="276"/>
      <c r="GVH44" s="276"/>
      <c r="GVI44" s="276"/>
      <c r="GVJ44" s="276"/>
      <c r="GVK44" s="276"/>
      <c r="GVL44" s="276"/>
      <c r="GVM44" s="276"/>
      <c r="GVN44" s="276"/>
      <c r="GVO44" s="276"/>
      <c r="GVP44" s="276"/>
      <c r="GVQ44" s="276"/>
      <c r="GVR44" s="276"/>
      <c r="GVS44" s="275" t="s">
        <v>152</v>
      </c>
      <c r="GVT44" s="276"/>
      <c r="GVU44" s="276"/>
      <c r="GVV44" s="276"/>
      <c r="GVW44" s="276"/>
      <c r="GVX44" s="276"/>
      <c r="GVY44" s="276"/>
      <c r="GVZ44" s="276"/>
      <c r="GWA44" s="276"/>
      <c r="GWB44" s="276"/>
      <c r="GWC44" s="276"/>
      <c r="GWD44" s="276"/>
      <c r="GWE44" s="276"/>
      <c r="GWF44" s="276"/>
      <c r="GWG44" s="276"/>
      <c r="GWH44" s="276"/>
      <c r="GWI44" s="275" t="s">
        <v>152</v>
      </c>
      <c r="GWJ44" s="276"/>
      <c r="GWK44" s="276"/>
      <c r="GWL44" s="276"/>
      <c r="GWM44" s="276"/>
      <c r="GWN44" s="276"/>
      <c r="GWO44" s="276"/>
      <c r="GWP44" s="276"/>
      <c r="GWQ44" s="276"/>
      <c r="GWR44" s="276"/>
      <c r="GWS44" s="276"/>
      <c r="GWT44" s="276"/>
      <c r="GWU44" s="276"/>
      <c r="GWV44" s="276"/>
      <c r="GWW44" s="276"/>
      <c r="GWX44" s="276"/>
      <c r="GWY44" s="275" t="s">
        <v>152</v>
      </c>
      <c r="GWZ44" s="276"/>
      <c r="GXA44" s="276"/>
      <c r="GXB44" s="276"/>
      <c r="GXC44" s="276"/>
      <c r="GXD44" s="276"/>
      <c r="GXE44" s="276"/>
      <c r="GXF44" s="276"/>
      <c r="GXG44" s="276"/>
      <c r="GXH44" s="276"/>
      <c r="GXI44" s="276"/>
      <c r="GXJ44" s="276"/>
      <c r="GXK44" s="276"/>
      <c r="GXL44" s="276"/>
      <c r="GXM44" s="276"/>
      <c r="GXN44" s="276"/>
      <c r="GXO44" s="275" t="s">
        <v>152</v>
      </c>
      <c r="GXP44" s="276"/>
      <c r="GXQ44" s="276"/>
      <c r="GXR44" s="276"/>
      <c r="GXS44" s="276"/>
      <c r="GXT44" s="276"/>
      <c r="GXU44" s="276"/>
      <c r="GXV44" s="276"/>
      <c r="GXW44" s="276"/>
      <c r="GXX44" s="276"/>
      <c r="GXY44" s="276"/>
      <c r="GXZ44" s="276"/>
      <c r="GYA44" s="276"/>
      <c r="GYB44" s="276"/>
      <c r="GYC44" s="276"/>
      <c r="GYD44" s="276"/>
      <c r="GYE44" s="275" t="s">
        <v>152</v>
      </c>
      <c r="GYF44" s="276"/>
      <c r="GYG44" s="276"/>
      <c r="GYH44" s="276"/>
      <c r="GYI44" s="276"/>
      <c r="GYJ44" s="276"/>
      <c r="GYK44" s="276"/>
      <c r="GYL44" s="276"/>
      <c r="GYM44" s="276"/>
      <c r="GYN44" s="276"/>
      <c r="GYO44" s="276"/>
      <c r="GYP44" s="276"/>
      <c r="GYQ44" s="276"/>
      <c r="GYR44" s="276"/>
      <c r="GYS44" s="276"/>
      <c r="GYT44" s="276"/>
      <c r="GYU44" s="275" t="s">
        <v>152</v>
      </c>
      <c r="GYV44" s="276"/>
      <c r="GYW44" s="276"/>
      <c r="GYX44" s="276"/>
      <c r="GYY44" s="276"/>
      <c r="GYZ44" s="276"/>
      <c r="GZA44" s="276"/>
      <c r="GZB44" s="276"/>
      <c r="GZC44" s="276"/>
      <c r="GZD44" s="276"/>
      <c r="GZE44" s="276"/>
      <c r="GZF44" s="276"/>
      <c r="GZG44" s="276"/>
      <c r="GZH44" s="276"/>
      <c r="GZI44" s="276"/>
      <c r="GZJ44" s="276"/>
      <c r="GZK44" s="275" t="s">
        <v>152</v>
      </c>
      <c r="GZL44" s="276"/>
      <c r="GZM44" s="276"/>
      <c r="GZN44" s="276"/>
      <c r="GZO44" s="276"/>
      <c r="GZP44" s="276"/>
      <c r="GZQ44" s="276"/>
      <c r="GZR44" s="276"/>
      <c r="GZS44" s="276"/>
      <c r="GZT44" s="276"/>
      <c r="GZU44" s="276"/>
      <c r="GZV44" s="276"/>
      <c r="GZW44" s="276"/>
      <c r="GZX44" s="276"/>
      <c r="GZY44" s="276"/>
      <c r="GZZ44" s="276"/>
      <c r="HAA44" s="275" t="s">
        <v>152</v>
      </c>
      <c r="HAB44" s="276"/>
      <c r="HAC44" s="276"/>
      <c r="HAD44" s="276"/>
      <c r="HAE44" s="276"/>
      <c r="HAF44" s="276"/>
      <c r="HAG44" s="276"/>
      <c r="HAH44" s="276"/>
      <c r="HAI44" s="276"/>
      <c r="HAJ44" s="276"/>
      <c r="HAK44" s="276"/>
      <c r="HAL44" s="276"/>
      <c r="HAM44" s="276"/>
      <c r="HAN44" s="276"/>
      <c r="HAO44" s="276"/>
      <c r="HAP44" s="276"/>
      <c r="HAQ44" s="275" t="s">
        <v>152</v>
      </c>
      <c r="HAR44" s="276"/>
      <c r="HAS44" s="276"/>
      <c r="HAT44" s="276"/>
      <c r="HAU44" s="276"/>
      <c r="HAV44" s="276"/>
      <c r="HAW44" s="276"/>
      <c r="HAX44" s="276"/>
      <c r="HAY44" s="276"/>
      <c r="HAZ44" s="276"/>
      <c r="HBA44" s="276"/>
      <c r="HBB44" s="276"/>
      <c r="HBC44" s="276"/>
      <c r="HBD44" s="276"/>
      <c r="HBE44" s="276"/>
      <c r="HBF44" s="276"/>
      <c r="HBG44" s="275" t="s">
        <v>152</v>
      </c>
      <c r="HBH44" s="276"/>
      <c r="HBI44" s="276"/>
      <c r="HBJ44" s="276"/>
      <c r="HBK44" s="276"/>
      <c r="HBL44" s="276"/>
      <c r="HBM44" s="276"/>
      <c r="HBN44" s="276"/>
      <c r="HBO44" s="276"/>
      <c r="HBP44" s="276"/>
      <c r="HBQ44" s="276"/>
      <c r="HBR44" s="276"/>
      <c r="HBS44" s="276"/>
      <c r="HBT44" s="276"/>
      <c r="HBU44" s="276"/>
      <c r="HBV44" s="276"/>
      <c r="HBW44" s="275" t="s">
        <v>152</v>
      </c>
      <c r="HBX44" s="276"/>
      <c r="HBY44" s="276"/>
      <c r="HBZ44" s="276"/>
      <c r="HCA44" s="276"/>
      <c r="HCB44" s="276"/>
      <c r="HCC44" s="276"/>
      <c r="HCD44" s="276"/>
      <c r="HCE44" s="276"/>
      <c r="HCF44" s="276"/>
      <c r="HCG44" s="276"/>
      <c r="HCH44" s="276"/>
      <c r="HCI44" s="276"/>
      <c r="HCJ44" s="276"/>
      <c r="HCK44" s="276"/>
      <c r="HCL44" s="276"/>
      <c r="HCM44" s="275" t="s">
        <v>152</v>
      </c>
      <c r="HCN44" s="276"/>
      <c r="HCO44" s="276"/>
      <c r="HCP44" s="276"/>
      <c r="HCQ44" s="276"/>
      <c r="HCR44" s="276"/>
      <c r="HCS44" s="276"/>
      <c r="HCT44" s="276"/>
      <c r="HCU44" s="276"/>
      <c r="HCV44" s="276"/>
      <c r="HCW44" s="276"/>
      <c r="HCX44" s="276"/>
      <c r="HCY44" s="276"/>
      <c r="HCZ44" s="276"/>
      <c r="HDA44" s="276"/>
      <c r="HDB44" s="276"/>
      <c r="HDC44" s="275" t="s">
        <v>152</v>
      </c>
      <c r="HDD44" s="276"/>
      <c r="HDE44" s="276"/>
      <c r="HDF44" s="276"/>
      <c r="HDG44" s="276"/>
      <c r="HDH44" s="276"/>
      <c r="HDI44" s="276"/>
      <c r="HDJ44" s="276"/>
      <c r="HDK44" s="276"/>
      <c r="HDL44" s="276"/>
      <c r="HDM44" s="276"/>
      <c r="HDN44" s="276"/>
      <c r="HDO44" s="276"/>
      <c r="HDP44" s="276"/>
      <c r="HDQ44" s="276"/>
      <c r="HDR44" s="276"/>
      <c r="HDS44" s="275" t="s">
        <v>152</v>
      </c>
      <c r="HDT44" s="276"/>
      <c r="HDU44" s="276"/>
      <c r="HDV44" s="276"/>
      <c r="HDW44" s="276"/>
      <c r="HDX44" s="276"/>
      <c r="HDY44" s="276"/>
      <c r="HDZ44" s="276"/>
      <c r="HEA44" s="276"/>
      <c r="HEB44" s="276"/>
      <c r="HEC44" s="276"/>
      <c r="HED44" s="276"/>
      <c r="HEE44" s="276"/>
      <c r="HEF44" s="276"/>
      <c r="HEG44" s="276"/>
      <c r="HEH44" s="276"/>
      <c r="HEI44" s="275" t="s">
        <v>152</v>
      </c>
      <c r="HEJ44" s="276"/>
      <c r="HEK44" s="276"/>
      <c r="HEL44" s="276"/>
      <c r="HEM44" s="276"/>
      <c r="HEN44" s="276"/>
      <c r="HEO44" s="276"/>
      <c r="HEP44" s="276"/>
      <c r="HEQ44" s="276"/>
      <c r="HER44" s="276"/>
      <c r="HES44" s="276"/>
      <c r="HET44" s="276"/>
      <c r="HEU44" s="276"/>
      <c r="HEV44" s="276"/>
      <c r="HEW44" s="276"/>
      <c r="HEX44" s="276"/>
      <c r="HEY44" s="275" t="s">
        <v>152</v>
      </c>
      <c r="HEZ44" s="276"/>
      <c r="HFA44" s="276"/>
      <c r="HFB44" s="276"/>
      <c r="HFC44" s="276"/>
      <c r="HFD44" s="276"/>
      <c r="HFE44" s="276"/>
      <c r="HFF44" s="276"/>
      <c r="HFG44" s="276"/>
      <c r="HFH44" s="276"/>
      <c r="HFI44" s="276"/>
      <c r="HFJ44" s="276"/>
      <c r="HFK44" s="276"/>
      <c r="HFL44" s="276"/>
      <c r="HFM44" s="276"/>
      <c r="HFN44" s="276"/>
      <c r="HFO44" s="275" t="s">
        <v>152</v>
      </c>
      <c r="HFP44" s="276"/>
      <c r="HFQ44" s="276"/>
      <c r="HFR44" s="276"/>
      <c r="HFS44" s="276"/>
      <c r="HFT44" s="276"/>
      <c r="HFU44" s="276"/>
      <c r="HFV44" s="276"/>
      <c r="HFW44" s="276"/>
      <c r="HFX44" s="276"/>
      <c r="HFY44" s="276"/>
      <c r="HFZ44" s="276"/>
      <c r="HGA44" s="276"/>
      <c r="HGB44" s="276"/>
      <c r="HGC44" s="276"/>
      <c r="HGD44" s="276"/>
      <c r="HGE44" s="275" t="s">
        <v>152</v>
      </c>
      <c r="HGF44" s="276"/>
      <c r="HGG44" s="276"/>
      <c r="HGH44" s="276"/>
      <c r="HGI44" s="276"/>
      <c r="HGJ44" s="276"/>
      <c r="HGK44" s="276"/>
      <c r="HGL44" s="276"/>
      <c r="HGM44" s="276"/>
      <c r="HGN44" s="276"/>
      <c r="HGO44" s="276"/>
      <c r="HGP44" s="276"/>
      <c r="HGQ44" s="276"/>
      <c r="HGR44" s="276"/>
      <c r="HGS44" s="276"/>
      <c r="HGT44" s="276"/>
      <c r="HGU44" s="275" t="s">
        <v>152</v>
      </c>
      <c r="HGV44" s="276"/>
      <c r="HGW44" s="276"/>
      <c r="HGX44" s="276"/>
      <c r="HGY44" s="276"/>
      <c r="HGZ44" s="276"/>
      <c r="HHA44" s="276"/>
      <c r="HHB44" s="276"/>
      <c r="HHC44" s="276"/>
      <c r="HHD44" s="276"/>
      <c r="HHE44" s="276"/>
      <c r="HHF44" s="276"/>
      <c r="HHG44" s="276"/>
      <c r="HHH44" s="276"/>
      <c r="HHI44" s="276"/>
      <c r="HHJ44" s="276"/>
      <c r="HHK44" s="275" t="s">
        <v>152</v>
      </c>
      <c r="HHL44" s="276"/>
      <c r="HHM44" s="276"/>
      <c r="HHN44" s="276"/>
      <c r="HHO44" s="276"/>
      <c r="HHP44" s="276"/>
      <c r="HHQ44" s="276"/>
      <c r="HHR44" s="276"/>
      <c r="HHS44" s="276"/>
      <c r="HHT44" s="276"/>
      <c r="HHU44" s="276"/>
      <c r="HHV44" s="276"/>
      <c r="HHW44" s="276"/>
      <c r="HHX44" s="276"/>
      <c r="HHY44" s="276"/>
      <c r="HHZ44" s="276"/>
      <c r="HIA44" s="275" t="s">
        <v>152</v>
      </c>
      <c r="HIB44" s="276"/>
      <c r="HIC44" s="276"/>
      <c r="HID44" s="276"/>
      <c r="HIE44" s="276"/>
      <c r="HIF44" s="276"/>
      <c r="HIG44" s="276"/>
      <c r="HIH44" s="276"/>
      <c r="HII44" s="276"/>
      <c r="HIJ44" s="276"/>
      <c r="HIK44" s="276"/>
      <c r="HIL44" s="276"/>
      <c r="HIM44" s="276"/>
      <c r="HIN44" s="276"/>
      <c r="HIO44" s="276"/>
      <c r="HIP44" s="276"/>
      <c r="HIQ44" s="275" t="s">
        <v>152</v>
      </c>
      <c r="HIR44" s="276"/>
      <c r="HIS44" s="276"/>
      <c r="HIT44" s="276"/>
      <c r="HIU44" s="276"/>
      <c r="HIV44" s="276"/>
      <c r="HIW44" s="276"/>
      <c r="HIX44" s="276"/>
      <c r="HIY44" s="276"/>
      <c r="HIZ44" s="276"/>
      <c r="HJA44" s="276"/>
      <c r="HJB44" s="276"/>
      <c r="HJC44" s="276"/>
      <c r="HJD44" s="276"/>
      <c r="HJE44" s="276"/>
      <c r="HJF44" s="276"/>
      <c r="HJG44" s="275" t="s">
        <v>152</v>
      </c>
      <c r="HJH44" s="276"/>
      <c r="HJI44" s="276"/>
      <c r="HJJ44" s="276"/>
      <c r="HJK44" s="276"/>
      <c r="HJL44" s="276"/>
      <c r="HJM44" s="276"/>
      <c r="HJN44" s="276"/>
      <c r="HJO44" s="276"/>
      <c r="HJP44" s="276"/>
      <c r="HJQ44" s="276"/>
      <c r="HJR44" s="276"/>
      <c r="HJS44" s="276"/>
      <c r="HJT44" s="276"/>
      <c r="HJU44" s="276"/>
      <c r="HJV44" s="276"/>
      <c r="HJW44" s="275" t="s">
        <v>152</v>
      </c>
      <c r="HJX44" s="276"/>
      <c r="HJY44" s="276"/>
      <c r="HJZ44" s="276"/>
      <c r="HKA44" s="276"/>
      <c r="HKB44" s="276"/>
      <c r="HKC44" s="276"/>
      <c r="HKD44" s="276"/>
      <c r="HKE44" s="276"/>
      <c r="HKF44" s="276"/>
      <c r="HKG44" s="276"/>
      <c r="HKH44" s="276"/>
      <c r="HKI44" s="276"/>
      <c r="HKJ44" s="276"/>
      <c r="HKK44" s="276"/>
      <c r="HKL44" s="276"/>
      <c r="HKM44" s="275" t="s">
        <v>152</v>
      </c>
      <c r="HKN44" s="276"/>
      <c r="HKO44" s="276"/>
      <c r="HKP44" s="276"/>
      <c r="HKQ44" s="276"/>
      <c r="HKR44" s="276"/>
      <c r="HKS44" s="276"/>
      <c r="HKT44" s="276"/>
      <c r="HKU44" s="276"/>
      <c r="HKV44" s="276"/>
      <c r="HKW44" s="276"/>
      <c r="HKX44" s="276"/>
      <c r="HKY44" s="276"/>
      <c r="HKZ44" s="276"/>
      <c r="HLA44" s="276"/>
      <c r="HLB44" s="276"/>
      <c r="HLC44" s="275" t="s">
        <v>152</v>
      </c>
      <c r="HLD44" s="276"/>
      <c r="HLE44" s="276"/>
      <c r="HLF44" s="276"/>
      <c r="HLG44" s="276"/>
      <c r="HLH44" s="276"/>
      <c r="HLI44" s="276"/>
      <c r="HLJ44" s="276"/>
      <c r="HLK44" s="276"/>
      <c r="HLL44" s="276"/>
      <c r="HLM44" s="276"/>
      <c r="HLN44" s="276"/>
      <c r="HLO44" s="276"/>
      <c r="HLP44" s="276"/>
      <c r="HLQ44" s="276"/>
      <c r="HLR44" s="276"/>
      <c r="HLS44" s="275" t="s">
        <v>152</v>
      </c>
      <c r="HLT44" s="276"/>
      <c r="HLU44" s="276"/>
      <c r="HLV44" s="276"/>
      <c r="HLW44" s="276"/>
      <c r="HLX44" s="276"/>
      <c r="HLY44" s="276"/>
      <c r="HLZ44" s="276"/>
      <c r="HMA44" s="276"/>
      <c r="HMB44" s="276"/>
      <c r="HMC44" s="276"/>
      <c r="HMD44" s="276"/>
      <c r="HME44" s="276"/>
      <c r="HMF44" s="276"/>
      <c r="HMG44" s="276"/>
      <c r="HMH44" s="276"/>
      <c r="HMI44" s="275" t="s">
        <v>152</v>
      </c>
      <c r="HMJ44" s="276"/>
      <c r="HMK44" s="276"/>
      <c r="HML44" s="276"/>
      <c r="HMM44" s="276"/>
      <c r="HMN44" s="276"/>
      <c r="HMO44" s="276"/>
      <c r="HMP44" s="276"/>
      <c r="HMQ44" s="276"/>
      <c r="HMR44" s="276"/>
      <c r="HMS44" s="276"/>
      <c r="HMT44" s="276"/>
      <c r="HMU44" s="276"/>
      <c r="HMV44" s="276"/>
      <c r="HMW44" s="276"/>
      <c r="HMX44" s="276"/>
      <c r="HMY44" s="275" t="s">
        <v>152</v>
      </c>
      <c r="HMZ44" s="276"/>
      <c r="HNA44" s="276"/>
      <c r="HNB44" s="276"/>
      <c r="HNC44" s="276"/>
      <c r="HND44" s="276"/>
      <c r="HNE44" s="276"/>
      <c r="HNF44" s="276"/>
      <c r="HNG44" s="276"/>
      <c r="HNH44" s="276"/>
      <c r="HNI44" s="276"/>
      <c r="HNJ44" s="276"/>
      <c r="HNK44" s="276"/>
      <c r="HNL44" s="276"/>
      <c r="HNM44" s="276"/>
      <c r="HNN44" s="276"/>
      <c r="HNO44" s="275" t="s">
        <v>152</v>
      </c>
      <c r="HNP44" s="276"/>
      <c r="HNQ44" s="276"/>
      <c r="HNR44" s="276"/>
      <c r="HNS44" s="276"/>
      <c r="HNT44" s="276"/>
      <c r="HNU44" s="276"/>
      <c r="HNV44" s="276"/>
      <c r="HNW44" s="276"/>
      <c r="HNX44" s="276"/>
      <c r="HNY44" s="276"/>
      <c r="HNZ44" s="276"/>
      <c r="HOA44" s="276"/>
      <c r="HOB44" s="276"/>
      <c r="HOC44" s="276"/>
      <c r="HOD44" s="276"/>
      <c r="HOE44" s="275" t="s">
        <v>152</v>
      </c>
      <c r="HOF44" s="276"/>
      <c r="HOG44" s="276"/>
      <c r="HOH44" s="276"/>
      <c r="HOI44" s="276"/>
      <c r="HOJ44" s="276"/>
      <c r="HOK44" s="276"/>
      <c r="HOL44" s="276"/>
      <c r="HOM44" s="276"/>
      <c r="HON44" s="276"/>
      <c r="HOO44" s="276"/>
      <c r="HOP44" s="276"/>
      <c r="HOQ44" s="276"/>
      <c r="HOR44" s="276"/>
      <c r="HOS44" s="276"/>
      <c r="HOT44" s="276"/>
      <c r="HOU44" s="275" t="s">
        <v>152</v>
      </c>
      <c r="HOV44" s="276"/>
      <c r="HOW44" s="276"/>
      <c r="HOX44" s="276"/>
      <c r="HOY44" s="276"/>
      <c r="HOZ44" s="276"/>
      <c r="HPA44" s="276"/>
      <c r="HPB44" s="276"/>
      <c r="HPC44" s="276"/>
      <c r="HPD44" s="276"/>
      <c r="HPE44" s="276"/>
      <c r="HPF44" s="276"/>
      <c r="HPG44" s="276"/>
      <c r="HPH44" s="276"/>
      <c r="HPI44" s="276"/>
      <c r="HPJ44" s="276"/>
      <c r="HPK44" s="275" t="s">
        <v>152</v>
      </c>
      <c r="HPL44" s="276"/>
      <c r="HPM44" s="276"/>
      <c r="HPN44" s="276"/>
      <c r="HPO44" s="276"/>
      <c r="HPP44" s="276"/>
      <c r="HPQ44" s="276"/>
      <c r="HPR44" s="276"/>
      <c r="HPS44" s="276"/>
      <c r="HPT44" s="276"/>
      <c r="HPU44" s="276"/>
      <c r="HPV44" s="276"/>
      <c r="HPW44" s="276"/>
      <c r="HPX44" s="276"/>
      <c r="HPY44" s="276"/>
      <c r="HPZ44" s="276"/>
      <c r="HQA44" s="275" t="s">
        <v>152</v>
      </c>
      <c r="HQB44" s="276"/>
      <c r="HQC44" s="276"/>
      <c r="HQD44" s="276"/>
      <c r="HQE44" s="276"/>
      <c r="HQF44" s="276"/>
      <c r="HQG44" s="276"/>
      <c r="HQH44" s="276"/>
      <c r="HQI44" s="276"/>
      <c r="HQJ44" s="276"/>
      <c r="HQK44" s="276"/>
      <c r="HQL44" s="276"/>
      <c r="HQM44" s="276"/>
      <c r="HQN44" s="276"/>
      <c r="HQO44" s="276"/>
      <c r="HQP44" s="276"/>
      <c r="HQQ44" s="275" t="s">
        <v>152</v>
      </c>
      <c r="HQR44" s="276"/>
      <c r="HQS44" s="276"/>
      <c r="HQT44" s="276"/>
      <c r="HQU44" s="276"/>
      <c r="HQV44" s="276"/>
      <c r="HQW44" s="276"/>
      <c r="HQX44" s="276"/>
      <c r="HQY44" s="276"/>
      <c r="HQZ44" s="276"/>
      <c r="HRA44" s="276"/>
      <c r="HRB44" s="276"/>
      <c r="HRC44" s="276"/>
      <c r="HRD44" s="276"/>
      <c r="HRE44" s="276"/>
      <c r="HRF44" s="276"/>
      <c r="HRG44" s="275" t="s">
        <v>152</v>
      </c>
      <c r="HRH44" s="276"/>
      <c r="HRI44" s="276"/>
      <c r="HRJ44" s="276"/>
      <c r="HRK44" s="276"/>
      <c r="HRL44" s="276"/>
      <c r="HRM44" s="276"/>
      <c r="HRN44" s="276"/>
      <c r="HRO44" s="276"/>
      <c r="HRP44" s="276"/>
      <c r="HRQ44" s="276"/>
      <c r="HRR44" s="276"/>
      <c r="HRS44" s="276"/>
      <c r="HRT44" s="276"/>
      <c r="HRU44" s="276"/>
      <c r="HRV44" s="276"/>
      <c r="HRW44" s="275" t="s">
        <v>152</v>
      </c>
      <c r="HRX44" s="276"/>
      <c r="HRY44" s="276"/>
      <c r="HRZ44" s="276"/>
      <c r="HSA44" s="276"/>
      <c r="HSB44" s="276"/>
      <c r="HSC44" s="276"/>
      <c r="HSD44" s="276"/>
      <c r="HSE44" s="276"/>
      <c r="HSF44" s="276"/>
      <c r="HSG44" s="276"/>
      <c r="HSH44" s="276"/>
      <c r="HSI44" s="276"/>
      <c r="HSJ44" s="276"/>
      <c r="HSK44" s="276"/>
      <c r="HSL44" s="276"/>
      <c r="HSM44" s="275" t="s">
        <v>152</v>
      </c>
      <c r="HSN44" s="276"/>
      <c r="HSO44" s="276"/>
      <c r="HSP44" s="276"/>
      <c r="HSQ44" s="276"/>
      <c r="HSR44" s="276"/>
      <c r="HSS44" s="276"/>
      <c r="HST44" s="276"/>
      <c r="HSU44" s="276"/>
      <c r="HSV44" s="276"/>
      <c r="HSW44" s="276"/>
      <c r="HSX44" s="276"/>
      <c r="HSY44" s="276"/>
      <c r="HSZ44" s="276"/>
      <c r="HTA44" s="276"/>
      <c r="HTB44" s="276"/>
      <c r="HTC44" s="275" t="s">
        <v>152</v>
      </c>
      <c r="HTD44" s="276"/>
      <c r="HTE44" s="276"/>
      <c r="HTF44" s="276"/>
      <c r="HTG44" s="276"/>
      <c r="HTH44" s="276"/>
      <c r="HTI44" s="276"/>
      <c r="HTJ44" s="276"/>
      <c r="HTK44" s="276"/>
      <c r="HTL44" s="276"/>
      <c r="HTM44" s="276"/>
      <c r="HTN44" s="276"/>
      <c r="HTO44" s="276"/>
      <c r="HTP44" s="276"/>
      <c r="HTQ44" s="276"/>
      <c r="HTR44" s="276"/>
      <c r="HTS44" s="275" t="s">
        <v>152</v>
      </c>
      <c r="HTT44" s="276"/>
      <c r="HTU44" s="276"/>
      <c r="HTV44" s="276"/>
      <c r="HTW44" s="276"/>
      <c r="HTX44" s="276"/>
      <c r="HTY44" s="276"/>
      <c r="HTZ44" s="276"/>
      <c r="HUA44" s="276"/>
      <c r="HUB44" s="276"/>
      <c r="HUC44" s="276"/>
      <c r="HUD44" s="276"/>
      <c r="HUE44" s="276"/>
      <c r="HUF44" s="276"/>
      <c r="HUG44" s="276"/>
      <c r="HUH44" s="276"/>
      <c r="HUI44" s="275" t="s">
        <v>152</v>
      </c>
      <c r="HUJ44" s="276"/>
      <c r="HUK44" s="276"/>
      <c r="HUL44" s="276"/>
      <c r="HUM44" s="276"/>
      <c r="HUN44" s="276"/>
      <c r="HUO44" s="276"/>
      <c r="HUP44" s="276"/>
      <c r="HUQ44" s="276"/>
      <c r="HUR44" s="276"/>
      <c r="HUS44" s="276"/>
      <c r="HUT44" s="276"/>
      <c r="HUU44" s="276"/>
      <c r="HUV44" s="276"/>
      <c r="HUW44" s="276"/>
      <c r="HUX44" s="276"/>
      <c r="HUY44" s="275" t="s">
        <v>152</v>
      </c>
      <c r="HUZ44" s="276"/>
      <c r="HVA44" s="276"/>
      <c r="HVB44" s="276"/>
      <c r="HVC44" s="276"/>
      <c r="HVD44" s="276"/>
      <c r="HVE44" s="276"/>
      <c r="HVF44" s="276"/>
      <c r="HVG44" s="276"/>
      <c r="HVH44" s="276"/>
      <c r="HVI44" s="276"/>
      <c r="HVJ44" s="276"/>
      <c r="HVK44" s="276"/>
      <c r="HVL44" s="276"/>
      <c r="HVM44" s="276"/>
      <c r="HVN44" s="276"/>
      <c r="HVO44" s="275" t="s">
        <v>152</v>
      </c>
      <c r="HVP44" s="276"/>
      <c r="HVQ44" s="276"/>
      <c r="HVR44" s="276"/>
      <c r="HVS44" s="276"/>
      <c r="HVT44" s="276"/>
      <c r="HVU44" s="276"/>
      <c r="HVV44" s="276"/>
      <c r="HVW44" s="276"/>
      <c r="HVX44" s="276"/>
      <c r="HVY44" s="276"/>
      <c r="HVZ44" s="276"/>
      <c r="HWA44" s="276"/>
      <c r="HWB44" s="276"/>
      <c r="HWC44" s="276"/>
      <c r="HWD44" s="276"/>
      <c r="HWE44" s="275" t="s">
        <v>152</v>
      </c>
      <c r="HWF44" s="276"/>
      <c r="HWG44" s="276"/>
      <c r="HWH44" s="276"/>
      <c r="HWI44" s="276"/>
      <c r="HWJ44" s="276"/>
      <c r="HWK44" s="276"/>
      <c r="HWL44" s="276"/>
      <c r="HWM44" s="276"/>
      <c r="HWN44" s="276"/>
      <c r="HWO44" s="276"/>
      <c r="HWP44" s="276"/>
      <c r="HWQ44" s="276"/>
      <c r="HWR44" s="276"/>
      <c r="HWS44" s="276"/>
      <c r="HWT44" s="276"/>
      <c r="HWU44" s="275" t="s">
        <v>152</v>
      </c>
      <c r="HWV44" s="276"/>
      <c r="HWW44" s="276"/>
      <c r="HWX44" s="276"/>
      <c r="HWY44" s="276"/>
      <c r="HWZ44" s="276"/>
      <c r="HXA44" s="276"/>
      <c r="HXB44" s="276"/>
      <c r="HXC44" s="276"/>
      <c r="HXD44" s="276"/>
      <c r="HXE44" s="276"/>
      <c r="HXF44" s="276"/>
      <c r="HXG44" s="276"/>
      <c r="HXH44" s="276"/>
      <c r="HXI44" s="276"/>
      <c r="HXJ44" s="276"/>
      <c r="HXK44" s="275" t="s">
        <v>152</v>
      </c>
      <c r="HXL44" s="276"/>
      <c r="HXM44" s="276"/>
      <c r="HXN44" s="276"/>
      <c r="HXO44" s="276"/>
      <c r="HXP44" s="276"/>
      <c r="HXQ44" s="276"/>
      <c r="HXR44" s="276"/>
      <c r="HXS44" s="276"/>
      <c r="HXT44" s="276"/>
      <c r="HXU44" s="276"/>
      <c r="HXV44" s="276"/>
      <c r="HXW44" s="276"/>
      <c r="HXX44" s="276"/>
      <c r="HXY44" s="276"/>
      <c r="HXZ44" s="276"/>
      <c r="HYA44" s="275" t="s">
        <v>152</v>
      </c>
      <c r="HYB44" s="276"/>
      <c r="HYC44" s="276"/>
      <c r="HYD44" s="276"/>
      <c r="HYE44" s="276"/>
      <c r="HYF44" s="276"/>
      <c r="HYG44" s="276"/>
      <c r="HYH44" s="276"/>
      <c r="HYI44" s="276"/>
      <c r="HYJ44" s="276"/>
      <c r="HYK44" s="276"/>
      <c r="HYL44" s="276"/>
      <c r="HYM44" s="276"/>
      <c r="HYN44" s="276"/>
      <c r="HYO44" s="276"/>
      <c r="HYP44" s="276"/>
      <c r="HYQ44" s="275" t="s">
        <v>152</v>
      </c>
      <c r="HYR44" s="276"/>
      <c r="HYS44" s="276"/>
      <c r="HYT44" s="276"/>
      <c r="HYU44" s="276"/>
      <c r="HYV44" s="276"/>
      <c r="HYW44" s="276"/>
      <c r="HYX44" s="276"/>
      <c r="HYY44" s="276"/>
      <c r="HYZ44" s="276"/>
      <c r="HZA44" s="276"/>
      <c r="HZB44" s="276"/>
      <c r="HZC44" s="276"/>
      <c r="HZD44" s="276"/>
      <c r="HZE44" s="276"/>
      <c r="HZF44" s="276"/>
      <c r="HZG44" s="275" t="s">
        <v>152</v>
      </c>
      <c r="HZH44" s="276"/>
      <c r="HZI44" s="276"/>
      <c r="HZJ44" s="276"/>
      <c r="HZK44" s="276"/>
      <c r="HZL44" s="276"/>
      <c r="HZM44" s="276"/>
      <c r="HZN44" s="276"/>
      <c r="HZO44" s="276"/>
      <c r="HZP44" s="276"/>
      <c r="HZQ44" s="276"/>
      <c r="HZR44" s="276"/>
      <c r="HZS44" s="276"/>
      <c r="HZT44" s="276"/>
      <c r="HZU44" s="276"/>
      <c r="HZV44" s="276"/>
      <c r="HZW44" s="275" t="s">
        <v>152</v>
      </c>
      <c r="HZX44" s="276"/>
      <c r="HZY44" s="276"/>
      <c r="HZZ44" s="276"/>
      <c r="IAA44" s="276"/>
      <c r="IAB44" s="276"/>
      <c r="IAC44" s="276"/>
      <c r="IAD44" s="276"/>
      <c r="IAE44" s="276"/>
      <c r="IAF44" s="276"/>
      <c r="IAG44" s="276"/>
      <c r="IAH44" s="276"/>
      <c r="IAI44" s="276"/>
      <c r="IAJ44" s="276"/>
      <c r="IAK44" s="276"/>
      <c r="IAL44" s="276"/>
      <c r="IAM44" s="275" t="s">
        <v>152</v>
      </c>
      <c r="IAN44" s="276"/>
      <c r="IAO44" s="276"/>
      <c r="IAP44" s="276"/>
      <c r="IAQ44" s="276"/>
      <c r="IAR44" s="276"/>
      <c r="IAS44" s="276"/>
      <c r="IAT44" s="276"/>
      <c r="IAU44" s="276"/>
      <c r="IAV44" s="276"/>
      <c r="IAW44" s="276"/>
      <c r="IAX44" s="276"/>
      <c r="IAY44" s="276"/>
      <c r="IAZ44" s="276"/>
      <c r="IBA44" s="276"/>
      <c r="IBB44" s="276"/>
      <c r="IBC44" s="275" t="s">
        <v>152</v>
      </c>
      <c r="IBD44" s="276"/>
      <c r="IBE44" s="276"/>
      <c r="IBF44" s="276"/>
      <c r="IBG44" s="276"/>
      <c r="IBH44" s="276"/>
      <c r="IBI44" s="276"/>
      <c r="IBJ44" s="276"/>
      <c r="IBK44" s="276"/>
      <c r="IBL44" s="276"/>
      <c r="IBM44" s="276"/>
      <c r="IBN44" s="276"/>
      <c r="IBO44" s="276"/>
      <c r="IBP44" s="276"/>
      <c r="IBQ44" s="276"/>
      <c r="IBR44" s="276"/>
      <c r="IBS44" s="275" t="s">
        <v>152</v>
      </c>
      <c r="IBT44" s="276"/>
      <c r="IBU44" s="276"/>
      <c r="IBV44" s="276"/>
      <c r="IBW44" s="276"/>
      <c r="IBX44" s="276"/>
      <c r="IBY44" s="276"/>
      <c r="IBZ44" s="276"/>
      <c r="ICA44" s="276"/>
      <c r="ICB44" s="276"/>
      <c r="ICC44" s="276"/>
      <c r="ICD44" s="276"/>
      <c r="ICE44" s="276"/>
      <c r="ICF44" s="276"/>
      <c r="ICG44" s="276"/>
      <c r="ICH44" s="276"/>
      <c r="ICI44" s="275" t="s">
        <v>152</v>
      </c>
      <c r="ICJ44" s="276"/>
      <c r="ICK44" s="276"/>
      <c r="ICL44" s="276"/>
      <c r="ICM44" s="276"/>
      <c r="ICN44" s="276"/>
      <c r="ICO44" s="276"/>
      <c r="ICP44" s="276"/>
      <c r="ICQ44" s="276"/>
      <c r="ICR44" s="276"/>
      <c r="ICS44" s="276"/>
      <c r="ICT44" s="276"/>
      <c r="ICU44" s="276"/>
      <c r="ICV44" s="276"/>
      <c r="ICW44" s="276"/>
      <c r="ICX44" s="276"/>
      <c r="ICY44" s="275" t="s">
        <v>152</v>
      </c>
      <c r="ICZ44" s="276"/>
      <c r="IDA44" s="276"/>
      <c r="IDB44" s="276"/>
      <c r="IDC44" s="276"/>
      <c r="IDD44" s="276"/>
      <c r="IDE44" s="276"/>
      <c r="IDF44" s="276"/>
      <c r="IDG44" s="276"/>
      <c r="IDH44" s="276"/>
      <c r="IDI44" s="276"/>
      <c r="IDJ44" s="276"/>
      <c r="IDK44" s="276"/>
      <c r="IDL44" s="276"/>
      <c r="IDM44" s="276"/>
      <c r="IDN44" s="276"/>
      <c r="IDO44" s="275" t="s">
        <v>152</v>
      </c>
      <c r="IDP44" s="276"/>
      <c r="IDQ44" s="276"/>
      <c r="IDR44" s="276"/>
      <c r="IDS44" s="276"/>
      <c r="IDT44" s="276"/>
      <c r="IDU44" s="276"/>
      <c r="IDV44" s="276"/>
      <c r="IDW44" s="276"/>
      <c r="IDX44" s="276"/>
      <c r="IDY44" s="276"/>
      <c r="IDZ44" s="276"/>
      <c r="IEA44" s="276"/>
      <c r="IEB44" s="276"/>
      <c r="IEC44" s="276"/>
      <c r="IED44" s="276"/>
      <c r="IEE44" s="275" t="s">
        <v>152</v>
      </c>
      <c r="IEF44" s="276"/>
      <c r="IEG44" s="276"/>
      <c r="IEH44" s="276"/>
      <c r="IEI44" s="276"/>
      <c r="IEJ44" s="276"/>
      <c r="IEK44" s="276"/>
      <c r="IEL44" s="276"/>
      <c r="IEM44" s="276"/>
      <c r="IEN44" s="276"/>
      <c r="IEO44" s="276"/>
      <c r="IEP44" s="276"/>
      <c r="IEQ44" s="276"/>
      <c r="IER44" s="276"/>
      <c r="IES44" s="276"/>
      <c r="IET44" s="276"/>
      <c r="IEU44" s="275" t="s">
        <v>152</v>
      </c>
      <c r="IEV44" s="276"/>
      <c r="IEW44" s="276"/>
      <c r="IEX44" s="276"/>
      <c r="IEY44" s="276"/>
      <c r="IEZ44" s="276"/>
      <c r="IFA44" s="276"/>
      <c r="IFB44" s="276"/>
      <c r="IFC44" s="276"/>
      <c r="IFD44" s="276"/>
      <c r="IFE44" s="276"/>
      <c r="IFF44" s="276"/>
      <c r="IFG44" s="276"/>
      <c r="IFH44" s="276"/>
      <c r="IFI44" s="276"/>
      <c r="IFJ44" s="276"/>
      <c r="IFK44" s="275" t="s">
        <v>152</v>
      </c>
      <c r="IFL44" s="276"/>
      <c r="IFM44" s="276"/>
      <c r="IFN44" s="276"/>
      <c r="IFO44" s="276"/>
      <c r="IFP44" s="276"/>
      <c r="IFQ44" s="276"/>
      <c r="IFR44" s="276"/>
      <c r="IFS44" s="276"/>
      <c r="IFT44" s="276"/>
      <c r="IFU44" s="276"/>
      <c r="IFV44" s="276"/>
      <c r="IFW44" s="276"/>
      <c r="IFX44" s="276"/>
      <c r="IFY44" s="276"/>
      <c r="IFZ44" s="276"/>
      <c r="IGA44" s="275" t="s">
        <v>152</v>
      </c>
      <c r="IGB44" s="276"/>
      <c r="IGC44" s="276"/>
      <c r="IGD44" s="276"/>
      <c r="IGE44" s="276"/>
      <c r="IGF44" s="276"/>
      <c r="IGG44" s="276"/>
      <c r="IGH44" s="276"/>
      <c r="IGI44" s="276"/>
      <c r="IGJ44" s="276"/>
      <c r="IGK44" s="276"/>
      <c r="IGL44" s="276"/>
      <c r="IGM44" s="276"/>
      <c r="IGN44" s="276"/>
      <c r="IGO44" s="276"/>
      <c r="IGP44" s="276"/>
      <c r="IGQ44" s="275" t="s">
        <v>152</v>
      </c>
      <c r="IGR44" s="276"/>
      <c r="IGS44" s="276"/>
      <c r="IGT44" s="276"/>
      <c r="IGU44" s="276"/>
      <c r="IGV44" s="276"/>
      <c r="IGW44" s="276"/>
      <c r="IGX44" s="276"/>
      <c r="IGY44" s="276"/>
      <c r="IGZ44" s="276"/>
      <c r="IHA44" s="276"/>
      <c r="IHB44" s="276"/>
      <c r="IHC44" s="276"/>
      <c r="IHD44" s="276"/>
      <c r="IHE44" s="276"/>
      <c r="IHF44" s="276"/>
      <c r="IHG44" s="275" t="s">
        <v>152</v>
      </c>
      <c r="IHH44" s="276"/>
      <c r="IHI44" s="276"/>
      <c r="IHJ44" s="276"/>
      <c r="IHK44" s="276"/>
      <c r="IHL44" s="276"/>
      <c r="IHM44" s="276"/>
      <c r="IHN44" s="276"/>
      <c r="IHO44" s="276"/>
      <c r="IHP44" s="276"/>
      <c r="IHQ44" s="276"/>
      <c r="IHR44" s="276"/>
      <c r="IHS44" s="276"/>
      <c r="IHT44" s="276"/>
      <c r="IHU44" s="276"/>
      <c r="IHV44" s="276"/>
      <c r="IHW44" s="275" t="s">
        <v>152</v>
      </c>
      <c r="IHX44" s="276"/>
      <c r="IHY44" s="276"/>
      <c r="IHZ44" s="276"/>
      <c r="IIA44" s="276"/>
      <c r="IIB44" s="276"/>
      <c r="IIC44" s="276"/>
      <c r="IID44" s="276"/>
      <c r="IIE44" s="276"/>
      <c r="IIF44" s="276"/>
      <c r="IIG44" s="276"/>
      <c r="IIH44" s="276"/>
      <c r="III44" s="276"/>
      <c r="IIJ44" s="276"/>
      <c r="IIK44" s="276"/>
      <c r="IIL44" s="276"/>
      <c r="IIM44" s="275" t="s">
        <v>152</v>
      </c>
      <c r="IIN44" s="276"/>
      <c r="IIO44" s="276"/>
      <c r="IIP44" s="276"/>
      <c r="IIQ44" s="276"/>
      <c r="IIR44" s="276"/>
      <c r="IIS44" s="276"/>
      <c r="IIT44" s="276"/>
      <c r="IIU44" s="276"/>
      <c r="IIV44" s="276"/>
      <c r="IIW44" s="276"/>
      <c r="IIX44" s="276"/>
      <c r="IIY44" s="276"/>
      <c r="IIZ44" s="276"/>
      <c r="IJA44" s="276"/>
      <c r="IJB44" s="276"/>
      <c r="IJC44" s="275" t="s">
        <v>152</v>
      </c>
      <c r="IJD44" s="276"/>
      <c r="IJE44" s="276"/>
      <c r="IJF44" s="276"/>
      <c r="IJG44" s="276"/>
      <c r="IJH44" s="276"/>
      <c r="IJI44" s="276"/>
      <c r="IJJ44" s="276"/>
      <c r="IJK44" s="276"/>
      <c r="IJL44" s="276"/>
      <c r="IJM44" s="276"/>
      <c r="IJN44" s="276"/>
      <c r="IJO44" s="276"/>
      <c r="IJP44" s="276"/>
      <c r="IJQ44" s="276"/>
      <c r="IJR44" s="276"/>
      <c r="IJS44" s="275" t="s">
        <v>152</v>
      </c>
      <c r="IJT44" s="276"/>
      <c r="IJU44" s="276"/>
      <c r="IJV44" s="276"/>
      <c r="IJW44" s="276"/>
      <c r="IJX44" s="276"/>
      <c r="IJY44" s="276"/>
      <c r="IJZ44" s="276"/>
      <c r="IKA44" s="276"/>
      <c r="IKB44" s="276"/>
      <c r="IKC44" s="276"/>
      <c r="IKD44" s="276"/>
      <c r="IKE44" s="276"/>
      <c r="IKF44" s="276"/>
      <c r="IKG44" s="276"/>
      <c r="IKH44" s="276"/>
      <c r="IKI44" s="275" t="s">
        <v>152</v>
      </c>
      <c r="IKJ44" s="276"/>
      <c r="IKK44" s="276"/>
      <c r="IKL44" s="276"/>
      <c r="IKM44" s="276"/>
      <c r="IKN44" s="276"/>
      <c r="IKO44" s="276"/>
      <c r="IKP44" s="276"/>
      <c r="IKQ44" s="276"/>
      <c r="IKR44" s="276"/>
      <c r="IKS44" s="276"/>
      <c r="IKT44" s="276"/>
      <c r="IKU44" s="276"/>
      <c r="IKV44" s="276"/>
      <c r="IKW44" s="276"/>
      <c r="IKX44" s="276"/>
      <c r="IKY44" s="275" t="s">
        <v>152</v>
      </c>
      <c r="IKZ44" s="276"/>
      <c r="ILA44" s="276"/>
      <c r="ILB44" s="276"/>
      <c r="ILC44" s="276"/>
      <c r="ILD44" s="276"/>
      <c r="ILE44" s="276"/>
      <c r="ILF44" s="276"/>
      <c r="ILG44" s="276"/>
      <c r="ILH44" s="276"/>
      <c r="ILI44" s="276"/>
      <c r="ILJ44" s="276"/>
      <c r="ILK44" s="276"/>
      <c r="ILL44" s="276"/>
      <c r="ILM44" s="276"/>
      <c r="ILN44" s="276"/>
      <c r="ILO44" s="275" t="s">
        <v>152</v>
      </c>
      <c r="ILP44" s="276"/>
      <c r="ILQ44" s="276"/>
      <c r="ILR44" s="276"/>
      <c r="ILS44" s="276"/>
      <c r="ILT44" s="276"/>
      <c r="ILU44" s="276"/>
      <c r="ILV44" s="276"/>
      <c r="ILW44" s="276"/>
      <c r="ILX44" s="276"/>
      <c r="ILY44" s="276"/>
      <c r="ILZ44" s="276"/>
      <c r="IMA44" s="276"/>
      <c r="IMB44" s="276"/>
      <c r="IMC44" s="276"/>
      <c r="IMD44" s="276"/>
      <c r="IME44" s="275" t="s">
        <v>152</v>
      </c>
      <c r="IMF44" s="276"/>
      <c r="IMG44" s="276"/>
      <c r="IMH44" s="276"/>
      <c r="IMI44" s="276"/>
      <c r="IMJ44" s="276"/>
      <c r="IMK44" s="276"/>
      <c r="IML44" s="276"/>
      <c r="IMM44" s="276"/>
      <c r="IMN44" s="276"/>
      <c r="IMO44" s="276"/>
      <c r="IMP44" s="276"/>
      <c r="IMQ44" s="276"/>
      <c r="IMR44" s="276"/>
      <c r="IMS44" s="276"/>
      <c r="IMT44" s="276"/>
      <c r="IMU44" s="275" t="s">
        <v>152</v>
      </c>
      <c r="IMV44" s="276"/>
      <c r="IMW44" s="276"/>
      <c r="IMX44" s="276"/>
      <c r="IMY44" s="276"/>
      <c r="IMZ44" s="276"/>
      <c r="INA44" s="276"/>
      <c r="INB44" s="276"/>
      <c r="INC44" s="276"/>
      <c r="IND44" s="276"/>
      <c r="INE44" s="276"/>
      <c r="INF44" s="276"/>
      <c r="ING44" s="276"/>
      <c r="INH44" s="276"/>
      <c r="INI44" s="276"/>
      <c r="INJ44" s="276"/>
      <c r="INK44" s="275" t="s">
        <v>152</v>
      </c>
      <c r="INL44" s="276"/>
      <c r="INM44" s="276"/>
      <c r="INN44" s="276"/>
      <c r="INO44" s="276"/>
      <c r="INP44" s="276"/>
      <c r="INQ44" s="276"/>
      <c r="INR44" s="276"/>
      <c r="INS44" s="276"/>
      <c r="INT44" s="276"/>
      <c r="INU44" s="276"/>
      <c r="INV44" s="276"/>
      <c r="INW44" s="276"/>
      <c r="INX44" s="276"/>
      <c r="INY44" s="276"/>
      <c r="INZ44" s="276"/>
      <c r="IOA44" s="275" t="s">
        <v>152</v>
      </c>
      <c r="IOB44" s="276"/>
      <c r="IOC44" s="276"/>
      <c r="IOD44" s="276"/>
      <c r="IOE44" s="276"/>
      <c r="IOF44" s="276"/>
      <c r="IOG44" s="276"/>
      <c r="IOH44" s="276"/>
      <c r="IOI44" s="276"/>
      <c r="IOJ44" s="276"/>
      <c r="IOK44" s="276"/>
      <c r="IOL44" s="276"/>
      <c r="IOM44" s="276"/>
      <c r="ION44" s="276"/>
      <c r="IOO44" s="276"/>
      <c r="IOP44" s="276"/>
      <c r="IOQ44" s="275" t="s">
        <v>152</v>
      </c>
      <c r="IOR44" s="276"/>
      <c r="IOS44" s="276"/>
      <c r="IOT44" s="276"/>
      <c r="IOU44" s="276"/>
      <c r="IOV44" s="276"/>
      <c r="IOW44" s="276"/>
      <c r="IOX44" s="276"/>
      <c r="IOY44" s="276"/>
      <c r="IOZ44" s="276"/>
      <c r="IPA44" s="276"/>
      <c r="IPB44" s="276"/>
      <c r="IPC44" s="276"/>
      <c r="IPD44" s="276"/>
      <c r="IPE44" s="276"/>
      <c r="IPF44" s="276"/>
      <c r="IPG44" s="275" t="s">
        <v>152</v>
      </c>
      <c r="IPH44" s="276"/>
      <c r="IPI44" s="276"/>
      <c r="IPJ44" s="276"/>
      <c r="IPK44" s="276"/>
      <c r="IPL44" s="276"/>
      <c r="IPM44" s="276"/>
      <c r="IPN44" s="276"/>
      <c r="IPO44" s="276"/>
      <c r="IPP44" s="276"/>
      <c r="IPQ44" s="276"/>
      <c r="IPR44" s="276"/>
      <c r="IPS44" s="276"/>
      <c r="IPT44" s="276"/>
      <c r="IPU44" s="276"/>
      <c r="IPV44" s="276"/>
      <c r="IPW44" s="275" t="s">
        <v>152</v>
      </c>
      <c r="IPX44" s="276"/>
      <c r="IPY44" s="276"/>
      <c r="IPZ44" s="276"/>
      <c r="IQA44" s="276"/>
      <c r="IQB44" s="276"/>
      <c r="IQC44" s="276"/>
      <c r="IQD44" s="276"/>
      <c r="IQE44" s="276"/>
      <c r="IQF44" s="276"/>
      <c r="IQG44" s="276"/>
      <c r="IQH44" s="276"/>
      <c r="IQI44" s="276"/>
      <c r="IQJ44" s="276"/>
      <c r="IQK44" s="276"/>
      <c r="IQL44" s="276"/>
      <c r="IQM44" s="275" t="s">
        <v>152</v>
      </c>
      <c r="IQN44" s="276"/>
      <c r="IQO44" s="276"/>
      <c r="IQP44" s="276"/>
      <c r="IQQ44" s="276"/>
      <c r="IQR44" s="276"/>
      <c r="IQS44" s="276"/>
      <c r="IQT44" s="276"/>
      <c r="IQU44" s="276"/>
      <c r="IQV44" s="276"/>
      <c r="IQW44" s="276"/>
      <c r="IQX44" s="276"/>
      <c r="IQY44" s="276"/>
      <c r="IQZ44" s="276"/>
      <c r="IRA44" s="276"/>
      <c r="IRB44" s="276"/>
      <c r="IRC44" s="275" t="s">
        <v>152</v>
      </c>
      <c r="IRD44" s="276"/>
      <c r="IRE44" s="276"/>
      <c r="IRF44" s="276"/>
      <c r="IRG44" s="276"/>
      <c r="IRH44" s="276"/>
      <c r="IRI44" s="276"/>
      <c r="IRJ44" s="276"/>
      <c r="IRK44" s="276"/>
      <c r="IRL44" s="276"/>
      <c r="IRM44" s="276"/>
      <c r="IRN44" s="276"/>
      <c r="IRO44" s="276"/>
      <c r="IRP44" s="276"/>
      <c r="IRQ44" s="276"/>
      <c r="IRR44" s="276"/>
      <c r="IRS44" s="275" t="s">
        <v>152</v>
      </c>
      <c r="IRT44" s="276"/>
      <c r="IRU44" s="276"/>
      <c r="IRV44" s="276"/>
      <c r="IRW44" s="276"/>
      <c r="IRX44" s="276"/>
      <c r="IRY44" s="276"/>
      <c r="IRZ44" s="276"/>
      <c r="ISA44" s="276"/>
      <c r="ISB44" s="276"/>
      <c r="ISC44" s="276"/>
      <c r="ISD44" s="276"/>
      <c r="ISE44" s="276"/>
      <c r="ISF44" s="276"/>
      <c r="ISG44" s="276"/>
      <c r="ISH44" s="276"/>
      <c r="ISI44" s="275" t="s">
        <v>152</v>
      </c>
      <c r="ISJ44" s="276"/>
      <c r="ISK44" s="276"/>
      <c r="ISL44" s="276"/>
      <c r="ISM44" s="276"/>
      <c r="ISN44" s="276"/>
      <c r="ISO44" s="276"/>
      <c r="ISP44" s="276"/>
      <c r="ISQ44" s="276"/>
      <c r="ISR44" s="276"/>
      <c r="ISS44" s="276"/>
      <c r="IST44" s="276"/>
      <c r="ISU44" s="276"/>
      <c r="ISV44" s="276"/>
      <c r="ISW44" s="276"/>
      <c r="ISX44" s="276"/>
      <c r="ISY44" s="275" t="s">
        <v>152</v>
      </c>
      <c r="ISZ44" s="276"/>
      <c r="ITA44" s="276"/>
      <c r="ITB44" s="276"/>
      <c r="ITC44" s="276"/>
      <c r="ITD44" s="276"/>
      <c r="ITE44" s="276"/>
      <c r="ITF44" s="276"/>
      <c r="ITG44" s="276"/>
      <c r="ITH44" s="276"/>
      <c r="ITI44" s="276"/>
      <c r="ITJ44" s="276"/>
      <c r="ITK44" s="276"/>
      <c r="ITL44" s="276"/>
      <c r="ITM44" s="276"/>
      <c r="ITN44" s="276"/>
      <c r="ITO44" s="275" t="s">
        <v>152</v>
      </c>
      <c r="ITP44" s="276"/>
      <c r="ITQ44" s="276"/>
      <c r="ITR44" s="276"/>
      <c r="ITS44" s="276"/>
      <c r="ITT44" s="276"/>
      <c r="ITU44" s="276"/>
      <c r="ITV44" s="276"/>
      <c r="ITW44" s="276"/>
      <c r="ITX44" s="276"/>
      <c r="ITY44" s="276"/>
      <c r="ITZ44" s="276"/>
      <c r="IUA44" s="276"/>
      <c r="IUB44" s="276"/>
      <c r="IUC44" s="276"/>
      <c r="IUD44" s="276"/>
      <c r="IUE44" s="275" t="s">
        <v>152</v>
      </c>
      <c r="IUF44" s="276"/>
      <c r="IUG44" s="276"/>
      <c r="IUH44" s="276"/>
      <c r="IUI44" s="276"/>
      <c r="IUJ44" s="276"/>
      <c r="IUK44" s="276"/>
      <c r="IUL44" s="276"/>
      <c r="IUM44" s="276"/>
      <c r="IUN44" s="276"/>
      <c r="IUO44" s="276"/>
      <c r="IUP44" s="276"/>
      <c r="IUQ44" s="276"/>
      <c r="IUR44" s="276"/>
      <c r="IUS44" s="276"/>
      <c r="IUT44" s="276"/>
      <c r="IUU44" s="275" t="s">
        <v>152</v>
      </c>
      <c r="IUV44" s="276"/>
      <c r="IUW44" s="276"/>
      <c r="IUX44" s="276"/>
      <c r="IUY44" s="276"/>
      <c r="IUZ44" s="276"/>
      <c r="IVA44" s="276"/>
      <c r="IVB44" s="276"/>
      <c r="IVC44" s="276"/>
      <c r="IVD44" s="276"/>
      <c r="IVE44" s="276"/>
      <c r="IVF44" s="276"/>
      <c r="IVG44" s="276"/>
      <c r="IVH44" s="276"/>
      <c r="IVI44" s="276"/>
      <c r="IVJ44" s="276"/>
      <c r="IVK44" s="275" t="s">
        <v>152</v>
      </c>
      <c r="IVL44" s="276"/>
      <c r="IVM44" s="276"/>
      <c r="IVN44" s="276"/>
      <c r="IVO44" s="276"/>
      <c r="IVP44" s="276"/>
      <c r="IVQ44" s="276"/>
      <c r="IVR44" s="276"/>
      <c r="IVS44" s="276"/>
      <c r="IVT44" s="276"/>
      <c r="IVU44" s="276"/>
      <c r="IVV44" s="276"/>
      <c r="IVW44" s="276"/>
      <c r="IVX44" s="276"/>
      <c r="IVY44" s="276"/>
      <c r="IVZ44" s="276"/>
      <c r="IWA44" s="275" t="s">
        <v>152</v>
      </c>
      <c r="IWB44" s="276"/>
      <c r="IWC44" s="276"/>
      <c r="IWD44" s="276"/>
      <c r="IWE44" s="276"/>
      <c r="IWF44" s="276"/>
      <c r="IWG44" s="276"/>
      <c r="IWH44" s="276"/>
      <c r="IWI44" s="276"/>
      <c r="IWJ44" s="276"/>
      <c r="IWK44" s="276"/>
      <c r="IWL44" s="276"/>
      <c r="IWM44" s="276"/>
      <c r="IWN44" s="276"/>
      <c r="IWO44" s="276"/>
      <c r="IWP44" s="276"/>
      <c r="IWQ44" s="275" t="s">
        <v>152</v>
      </c>
      <c r="IWR44" s="276"/>
      <c r="IWS44" s="276"/>
      <c r="IWT44" s="276"/>
      <c r="IWU44" s="276"/>
      <c r="IWV44" s="276"/>
      <c r="IWW44" s="276"/>
      <c r="IWX44" s="276"/>
      <c r="IWY44" s="276"/>
      <c r="IWZ44" s="276"/>
      <c r="IXA44" s="276"/>
      <c r="IXB44" s="276"/>
      <c r="IXC44" s="276"/>
      <c r="IXD44" s="276"/>
      <c r="IXE44" s="276"/>
      <c r="IXF44" s="276"/>
      <c r="IXG44" s="275" t="s">
        <v>152</v>
      </c>
      <c r="IXH44" s="276"/>
      <c r="IXI44" s="276"/>
      <c r="IXJ44" s="276"/>
      <c r="IXK44" s="276"/>
      <c r="IXL44" s="276"/>
      <c r="IXM44" s="276"/>
      <c r="IXN44" s="276"/>
      <c r="IXO44" s="276"/>
      <c r="IXP44" s="276"/>
      <c r="IXQ44" s="276"/>
      <c r="IXR44" s="276"/>
      <c r="IXS44" s="276"/>
      <c r="IXT44" s="276"/>
      <c r="IXU44" s="276"/>
      <c r="IXV44" s="276"/>
      <c r="IXW44" s="275" t="s">
        <v>152</v>
      </c>
      <c r="IXX44" s="276"/>
      <c r="IXY44" s="276"/>
      <c r="IXZ44" s="276"/>
      <c r="IYA44" s="276"/>
      <c r="IYB44" s="276"/>
      <c r="IYC44" s="276"/>
      <c r="IYD44" s="276"/>
      <c r="IYE44" s="276"/>
      <c r="IYF44" s="276"/>
      <c r="IYG44" s="276"/>
      <c r="IYH44" s="276"/>
      <c r="IYI44" s="276"/>
      <c r="IYJ44" s="276"/>
      <c r="IYK44" s="276"/>
      <c r="IYL44" s="276"/>
      <c r="IYM44" s="275" t="s">
        <v>152</v>
      </c>
      <c r="IYN44" s="276"/>
      <c r="IYO44" s="276"/>
      <c r="IYP44" s="276"/>
      <c r="IYQ44" s="276"/>
      <c r="IYR44" s="276"/>
      <c r="IYS44" s="276"/>
      <c r="IYT44" s="276"/>
      <c r="IYU44" s="276"/>
      <c r="IYV44" s="276"/>
      <c r="IYW44" s="276"/>
      <c r="IYX44" s="276"/>
      <c r="IYY44" s="276"/>
      <c r="IYZ44" s="276"/>
      <c r="IZA44" s="276"/>
      <c r="IZB44" s="276"/>
      <c r="IZC44" s="275" t="s">
        <v>152</v>
      </c>
      <c r="IZD44" s="276"/>
      <c r="IZE44" s="276"/>
      <c r="IZF44" s="276"/>
      <c r="IZG44" s="276"/>
      <c r="IZH44" s="276"/>
      <c r="IZI44" s="276"/>
      <c r="IZJ44" s="276"/>
      <c r="IZK44" s="276"/>
      <c r="IZL44" s="276"/>
      <c r="IZM44" s="276"/>
      <c r="IZN44" s="276"/>
      <c r="IZO44" s="276"/>
      <c r="IZP44" s="276"/>
      <c r="IZQ44" s="276"/>
      <c r="IZR44" s="276"/>
      <c r="IZS44" s="275" t="s">
        <v>152</v>
      </c>
      <c r="IZT44" s="276"/>
      <c r="IZU44" s="276"/>
      <c r="IZV44" s="276"/>
      <c r="IZW44" s="276"/>
      <c r="IZX44" s="276"/>
      <c r="IZY44" s="276"/>
      <c r="IZZ44" s="276"/>
      <c r="JAA44" s="276"/>
      <c r="JAB44" s="276"/>
      <c r="JAC44" s="276"/>
      <c r="JAD44" s="276"/>
      <c r="JAE44" s="276"/>
      <c r="JAF44" s="276"/>
      <c r="JAG44" s="276"/>
      <c r="JAH44" s="276"/>
      <c r="JAI44" s="275" t="s">
        <v>152</v>
      </c>
      <c r="JAJ44" s="276"/>
      <c r="JAK44" s="276"/>
      <c r="JAL44" s="276"/>
      <c r="JAM44" s="276"/>
      <c r="JAN44" s="276"/>
      <c r="JAO44" s="276"/>
      <c r="JAP44" s="276"/>
      <c r="JAQ44" s="276"/>
      <c r="JAR44" s="276"/>
      <c r="JAS44" s="276"/>
      <c r="JAT44" s="276"/>
      <c r="JAU44" s="276"/>
      <c r="JAV44" s="276"/>
      <c r="JAW44" s="276"/>
      <c r="JAX44" s="276"/>
      <c r="JAY44" s="275" t="s">
        <v>152</v>
      </c>
      <c r="JAZ44" s="276"/>
      <c r="JBA44" s="276"/>
      <c r="JBB44" s="276"/>
      <c r="JBC44" s="276"/>
      <c r="JBD44" s="276"/>
      <c r="JBE44" s="276"/>
      <c r="JBF44" s="276"/>
      <c r="JBG44" s="276"/>
      <c r="JBH44" s="276"/>
      <c r="JBI44" s="276"/>
      <c r="JBJ44" s="276"/>
      <c r="JBK44" s="276"/>
      <c r="JBL44" s="276"/>
      <c r="JBM44" s="276"/>
      <c r="JBN44" s="276"/>
      <c r="JBO44" s="275" t="s">
        <v>152</v>
      </c>
      <c r="JBP44" s="276"/>
      <c r="JBQ44" s="276"/>
      <c r="JBR44" s="276"/>
      <c r="JBS44" s="276"/>
      <c r="JBT44" s="276"/>
      <c r="JBU44" s="276"/>
      <c r="JBV44" s="276"/>
      <c r="JBW44" s="276"/>
      <c r="JBX44" s="276"/>
      <c r="JBY44" s="276"/>
      <c r="JBZ44" s="276"/>
      <c r="JCA44" s="276"/>
      <c r="JCB44" s="276"/>
      <c r="JCC44" s="276"/>
      <c r="JCD44" s="276"/>
      <c r="JCE44" s="275" t="s">
        <v>152</v>
      </c>
      <c r="JCF44" s="276"/>
      <c r="JCG44" s="276"/>
      <c r="JCH44" s="276"/>
      <c r="JCI44" s="276"/>
      <c r="JCJ44" s="276"/>
      <c r="JCK44" s="276"/>
      <c r="JCL44" s="276"/>
      <c r="JCM44" s="276"/>
      <c r="JCN44" s="276"/>
      <c r="JCO44" s="276"/>
      <c r="JCP44" s="276"/>
      <c r="JCQ44" s="276"/>
      <c r="JCR44" s="276"/>
      <c r="JCS44" s="276"/>
      <c r="JCT44" s="276"/>
      <c r="JCU44" s="275" t="s">
        <v>152</v>
      </c>
      <c r="JCV44" s="276"/>
      <c r="JCW44" s="276"/>
      <c r="JCX44" s="276"/>
      <c r="JCY44" s="276"/>
      <c r="JCZ44" s="276"/>
      <c r="JDA44" s="276"/>
      <c r="JDB44" s="276"/>
      <c r="JDC44" s="276"/>
      <c r="JDD44" s="276"/>
      <c r="JDE44" s="276"/>
      <c r="JDF44" s="276"/>
      <c r="JDG44" s="276"/>
      <c r="JDH44" s="276"/>
      <c r="JDI44" s="276"/>
      <c r="JDJ44" s="276"/>
      <c r="JDK44" s="275" t="s">
        <v>152</v>
      </c>
      <c r="JDL44" s="276"/>
      <c r="JDM44" s="276"/>
      <c r="JDN44" s="276"/>
      <c r="JDO44" s="276"/>
      <c r="JDP44" s="276"/>
      <c r="JDQ44" s="276"/>
      <c r="JDR44" s="276"/>
      <c r="JDS44" s="276"/>
      <c r="JDT44" s="276"/>
      <c r="JDU44" s="276"/>
      <c r="JDV44" s="276"/>
      <c r="JDW44" s="276"/>
      <c r="JDX44" s="276"/>
      <c r="JDY44" s="276"/>
      <c r="JDZ44" s="276"/>
      <c r="JEA44" s="275" t="s">
        <v>152</v>
      </c>
      <c r="JEB44" s="276"/>
      <c r="JEC44" s="276"/>
      <c r="JED44" s="276"/>
      <c r="JEE44" s="276"/>
      <c r="JEF44" s="276"/>
      <c r="JEG44" s="276"/>
      <c r="JEH44" s="276"/>
      <c r="JEI44" s="276"/>
      <c r="JEJ44" s="276"/>
      <c r="JEK44" s="276"/>
      <c r="JEL44" s="276"/>
      <c r="JEM44" s="276"/>
      <c r="JEN44" s="276"/>
      <c r="JEO44" s="276"/>
      <c r="JEP44" s="276"/>
      <c r="JEQ44" s="275" t="s">
        <v>152</v>
      </c>
      <c r="JER44" s="276"/>
      <c r="JES44" s="276"/>
      <c r="JET44" s="276"/>
      <c r="JEU44" s="276"/>
      <c r="JEV44" s="276"/>
      <c r="JEW44" s="276"/>
      <c r="JEX44" s="276"/>
      <c r="JEY44" s="276"/>
      <c r="JEZ44" s="276"/>
      <c r="JFA44" s="276"/>
      <c r="JFB44" s="276"/>
      <c r="JFC44" s="276"/>
      <c r="JFD44" s="276"/>
      <c r="JFE44" s="276"/>
      <c r="JFF44" s="276"/>
      <c r="JFG44" s="275" t="s">
        <v>152</v>
      </c>
      <c r="JFH44" s="276"/>
      <c r="JFI44" s="276"/>
      <c r="JFJ44" s="276"/>
      <c r="JFK44" s="276"/>
      <c r="JFL44" s="276"/>
      <c r="JFM44" s="276"/>
      <c r="JFN44" s="276"/>
      <c r="JFO44" s="276"/>
      <c r="JFP44" s="276"/>
      <c r="JFQ44" s="276"/>
      <c r="JFR44" s="276"/>
      <c r="JFS44" s="276"/>
      <c r="JFT44" s="276"/>
      <c r="JFU44" s="276"/>
      <c r="JFV44" s="276"/>
      <c r="JFW44" s="275" t="s">
        <v>152</v>
      </c>
      <c r="JFX44" s="276"/>
      <c r="JFY44" s="276"/>
      <c r="JFZ44" s="276"/>
      <c r="JGA44" s="276"/>
      <c r="JGB44" s="276"/>
      <c r="JGC44" s="276"/>
      <c r="JGD44" s="276"/>
      <c r="JGE44" s="276"/>
      <c r="JGF44" s="276"/>
      <c r="JGG44" s="276"/>
      <c r="JGH44" s="276"/>
      <c r="JGI44" s="276"/>
      <c r="JGJ44" s="276"/>
      <c r="JGK44" s="276"/>
      <c r="JGL44" s="276"/>
      <c r="JGM44" s="275" t="s">
        <v>152</v>
      </c>
      <c r="JGN44" s="276"/>
      <c r="JGO44" s="276"/>
      <c r="JGP44" s="276"/>
      <c r="JGQ44" s="276"/>
      <c r="JGR44" s="276"/>
      <c r="JGS44" s="276"/>
      <c r="JGT44" s="276"/>
      <c r="JGU44" s="276"/>
      <c r="JGV44" s="276"/>
      <c r="JGW44" s="276"/>
      <c r="JGX44" s="276"/>
      <c r="JGY44" s="276"/>
      <c r="JGZ44" s="276"/>
      <c r="JHA44" s="276"/>
      <c r="JHB44" s="276"/>
      <c r="JHC44" s="275" t="s">
        <v>152</v>
      </c>
      <c r="JHD44" s="276"/>
      <c r="JHE44" s="276"/>
      <c r="JHF44" s="276"/>
      <c r="JHG44" s="276"/>
      <c r="JHH44" s="276"/>
      <c r="JHI44" s="276"/>
      <c r="JHJ44" s="276"/>
      <c r="JHK44" s="276"/>
      <c r="JHL44" s="276"/>
      <c r="JHM44" s="276"/>
      <c r="JHN44" s="276"/>
      <c r="JHO44" s="276"/>
      <c r="JHP44" s="276"/>
      <c r="JHQ44" s="276"/>
      <c r="JHR44" s="276"/>
      <c r="JHS44" s="275" t="s">
        <v>152</v>
      </c>
      <c r="JHT44" s="276"/>
      <c r="JHU44" s="276"/>
      <c r="JHV44" s="276"/>
      <c r="JHW44" s="276"/>
      <c r="JHX44" s="276"/>
      <c r="JHY44" s="276"/>
      <c r="JHZ44" s="276"/>
      <c r="JIA44" s="276"/>
      <c r="JIB44" s="276"/>
      <c r="JIC44" s="276"/>
      <c r="JID44" s="276"/>
      <c r="JIE44" s="276"/>
      <c r="JIF44" s="276"/>
      <c r="JIG44" s="276"/>
      <c r="JIH44" s="276"/>
      <c r="JII44" s="275" t="s">
        <v>152</v>
      </c>
      <c r="JIJ44" s="276"/>
      <c r="JIK44" s="276"/>
      <c r="JIL44" s="276"/>
      <c r="JIM44" s="276"/>
      <c r="JIN44" s="276"/>
      <c r="JIO44" s="276"/>
      <c r="JIP44" s="276"/>
      <c r="JIQ44" s="276"/>
      <c r="JIR44" s="276"/>
      <c r="JIS44" s="276"/>
      <c r="JIT44" s="276"/>
      <c r="JIU44" s="276"/>
      <c r="JIV44" s="276"/>
      <c r="JIW44" s="276"/>
      <c r="JIX44" s="276"/>
      <c r="JIY44" s="275" t="s">
        <v>152</v>
      </c>
      <c r="JIZ44" s="276"/>
      <c r="JJA44" s="276"/>
      <c r="JJB44" s="276"/>
      <c r="JJC44" s="276"/>
      <c r="JJD44" s="276"/>
      <c r="JJE44" s="276"/>
      <c r="JJF44" s="276"/>
      <c r="JJG44" s="276"/>
      <c r="JJH44" s="276"/>
      <c r="JJI44" s="276"/>
      <c r="JJJ44" s="276"/>
      <c r="JJK44" s="276"/>
      <c r="JJL44" s="276"/>
      <c r="JJM44" s="276"/>
      <c r="JJN44" s="276"/>
      <c r="JJO44" s="275" t="s">
        <v>152</v>
      </c>
      <c r="JJP44" s="276"/>
      <c r="JJQ44" s="276"/>
      <c r="JJR44" s="276"/>
      <c r="JJS44" s="276"/>
      <c r="JJT44" s="276"/>
      <c r="JJU44" s="276"/>
      <c r="JJV44" s="276"/>
      <c r="JJW44" s="276"/>
      <c r="JJX44" s="276"/>
      <c r="JJY44" s="276"/>
      <c r="JJZ44" s="276"/>
      <c r="JKA44" s="276"/>
      <c r="JKB44" s="276"/>
      <c r="JKC44" s="276"/>
      <c r="JKD44" s="276"/>
      <c r="JKE44" s="275" t="s">
        <v>152</v>
      </c>
      <c r="JKF44" s="276"/>
      <c r="JKG44" s="276"/>
      <c r="JKH44" s="276"/>
      <c r="JKI44" s="276"/>
      <c r="JKJ44" s="276"/>
      <c r="JKK44" s="276"/>
      <c r="JKL44" s="276"/>
      <c r="JKM44" s="276"/>
      <c r="JKN44" s="276"/>
      <c r="JKO44" s="276"/>
      <c r="JKP44" s="276"/>
      <c r="JKQ44" s="276"/>
      <c r="JKR44" s="276"/>
      <c r="JKS44" s="276"/>
      <c r="JKT44" s="276"/>
      <c r="JKU44" s="275" t="s">
        <v>152</v>
      </c>
      <c r="JKV44" s="276"/>
      <c r="JKW44" s="276"/>
      <c r="JKX44" s="276"/>
      <c r="JKY44" s="276"/>
      <c r="JKZ44" s="276"/>
      <c r="JLA44" s="276"/>
      <c r="JLB44" s="276"/>
      <c r="JLC44" s="276"/>
      <c r="JLD44" s="276"/>
      <c r="JLE44" s="276"/>
      <c r="JLF44" s="276"/>
      <c r="JLG44" s="276"/>
      <c r="JLH44" s="276"/>
      <c r="JLI44" s="276"/>
      <c r="JLJ44" s="276"/>
      <c r="JLK44" s="275" t="s">
        <v>152</v>
      </c>
      <c r="JLL44" s="276"/>
      <c r="JLM44" s="276"/>
      <c r="JLN44" s="276"/>
      <c r="JLO44" s="276"/>
      <c r="JLP44" s="276"/>
      <c r="JLQ44" s="276"/>
      <c r="JLR44" s="276"/>
      <c r="JLS44" s="276"/>
      <c r="JLT44" s="276"/>
      <c r="JLU44" s="276"/>
      <c r="JLV44" s="276"/>
      <c r="JLW44" s="276"/>
      <c r="JLX44" s="276"/>
      <c r="JLY44" s="276"/>
      <c r="JLZ44" s="276"/>
      <c r="JMA44" s="275" t="s">
        <v>152</v>
      </c>
      <c r="JMB44" s="276"/>
      <c r="JMC44" s="276"/>
      <c r="JMD44" s="276"/>
      <c r="JME44" s="276"/>
      <c r="JMF44" s="276"/>
      <c r="JMG44" s="276"/>
      <c r="JMH44" s="276"/>
      <c r="JMI44" s="276"/>
      <c r="JMJ44" s="276"/>
      <c r="JMK44" s="276"/>
      <c r="JML44" s="276"/>
      <c r="JMM44" s="276"/>
      <c r="JMN44" s="276"/>
      <c r="JMO44" s="276"/>
      <c r="JMP44" s="276"/>
      <c r="JMQ44" s="275" t="s">
        <v>152</v>
      </c>
      <c r="JMR44" s="276"/>
      <c r="JMS44" s="276"/>
      <c r="JMT44" s="276"/>
      <c r="JMU44" s="276"/>
      <c r="JMV44" s="276"/>
      <c r="JMW44" s="276"/>
      <c r="JMX44" s="276"/>
      <c r="JMY44" s="276"/>
      <c r="JMZ44" s="276"/>
      <c r="JNA44" s="276"/>
      <c r="JNB44" s="276"/>
      <c r="JNC44" s="276"/>
      <c r="JND44" s="276"/>
      <c r="JNE44" s="276"/>
      <c r="JNF44" s="276"/>
      <c r="JNG44" s="275" t="s">
        <v>152</v>
      </c>
      <c r="JNH44" s="276"/>
      <c r="JNI44" s="276"/>
      <c r="JNJ44" s="276"/>
      <c r="JNK44" s="276"/>
      <c r="JNL44" s="276"/>
      <c r="JNM44" s="276"/>
      <c r="JNN44" s="276"/>
      <c r="JNO44" s="276"/>
      <c r="JNP44" s="276"/>
      <c r="JNQ44" s="276"/>
      <c r="JNR44" s="276"/>
      <c r="JNS44" s="276"/>
      <c r="JNT44" s="276"/>
      <c r="JNU44" s="276"/>
      <c r="JNV44" s="276"/>
      <c r="JNW44" s="275" t="s">
        <v>152</v>
      </c>
      <c r="JNX44" s="276"/>
      <c r="JNY44" s="276"/>
      <c r="JNZ44" s="276"/>
      <c r="JOA44" s="276"/>
      <c r="JOB44" s="276"/>
      <c r="JOC44" s="276"/>
      <c r="JOD44" s="276"/>
      <c r="JOE44" s="276"/>
      <c r="JOF44" s="276"/>
      <c r="JOG44" s="276"/>
      <c r="JOH44" s="276"/>
      <c r="JOI44" s="276"/>
      <c r="JOJ44" s="276"/>
      <c r="JOK44" s="276"/>
      <c r="JOL44" s="276"/>
      <c r="JOM44" s="275" t="s">
        <v>152</v>
      </c>
      <c r="JON44" s="276"/>
      <c r="JOO44" s="276"/>
      <c r="JOP44" s="276"/>
      <c r="JOQ44" s="276"/>
      <c r="JOR44" s="276"/>
      <c r="JOS44" s="276"/>
      <c r="JOT44" s="276"/>
      <c r="JOU44" s="276"/>
      <c r="JOV44" s="276"/>
      <c r="JOW44" s="276"/>
      <c r="JOX44" s="276"/>
      <c r="JOY44" s="276"/>
      <c r="JOZ44" s="276"/>
      <c r="JPA44" s="276"/>
      <c r="JPB44" s="276"/>
      <c r="JPC44" s="275" t="s">
        <v>152</v>
      </c>
      <c r="JPD44" s="276"/>
      <c r="JPE44" s="276"/>
      <c r="JPF44" s="276"/>
      <c r="JPG44" s="276"/>
      <c r="JPH44" s="276"/>
      <c r="JPI44" s="276"/>
      <c r="JPJ44" s="276"/>
      <c r="JPK44" s="276"/>
      <c r="JPL44" s="276"/>
      <c r="JPM44" s="276"/>
      <c r="JPN44" s="276"/>
      <c r="JPO44" s="276"/>
      <c r="JPP44" s="276"/>
      <c r="JPQ44" s="276"/>
      <c r="JPR44" s="276"/>
      <c r="JPS44" s="275" t="s">
        <v>152</v>
      </c>
      <c r="JPT44" s="276"/>
      <c r="JPU44" s="276"/>
      <c r="JPV44" s="276"/>
      <c r="JPW44" s="276"/>
      <c r="JPX44" s="276"/>
      <c r="JPY44" s="276"/>
      <c r="JPZ44" s="276"/>
      <c r="JQA44" s="276"/>
      <c r="JQB44" s="276"/>
      <c r="JQC44" s="276"/>
      <c r="JQD44" s="276"/>
      <c r="JQE44" s="276"/>
      <c r="JQF44" s="276"/>
      <c r="JQG44" s="276"/>
      <c r="JQH44" s="276"/>
      <c r="JQI44" s="275" t="s">
        <v>152</v>
      </c>
      <c r="JQJ44" s="276"/>
      <c r="JQK44" s="276"/>
      <c r="JQL44" s="276"/>
      <c r="JQM44" s="276"/>
      <c r="JQN44" s="276"/>
      <c r="JQO44" s="276"/>
      <c r="JQP44" s="276"/>
      <c r="JQQ44" s="276"/>
      <c r="JQR44" s="276"/>
      <c r="JQS44" s="276"/>
      <c r="JQT44" s="276"/>
      <c r="JQU44" s="276"/>
      <c r="JQV44" s="276"/>
      <c r="JQW44" s="276"/>
      <c r="JQX44" s="276"/>
      <c r="JQY44" s="275" t="s">
        <v>152</v>
      </c>
      <c r="JQZ44" s="276"/>
      <c r="JRA44" s="276"/>
      <c r="JRB44" s="276"/>
      <c r="JRC44" s="276"/>
      <c r="JRD44" s="276"/>
      <c r="JRE44" s="276"/>
      <c r="JRF44" s="276"/>
      <c r="JRG44" s="276"/>
      <c r="JRH44" s="276"/>
      <c r="JRI44" s="276"/>
      <c r="JRJ44" s="276"/>
      <c r="JRK44" s="276"/>
      <c r="JRL44" s="276"/>
      <c r="JRM44" s="276"/>
      <c r="JRN44" s="276"/>
      <c r="JRO44" s="275" t="s">
        <v>152</v>
      </c>
      <c r="JRP44" s="276"/>
      <c r="JRQ44" s="276"/>
      <c r="JRR44" s="276"/>
      <c r="JRS44" s="276"/>
      <c r="JRT44" s="276"/>
      <c r="JRU44" s="276"/>
      <c r="JRV44" s="276"/>
      <c r="JRW44" s="276"/>
      <c r="JRX44" s="276"/>
      <c r="JRY44" s="276"/>
      <c r="JRZ44" s="276"/>
      <c r="JSA44" s="276"/>
      <c r="JSB44" s="276"/>
      <c r="JSC44" s="276"/>
      <c r="JSD44" s="276"/>
      <c r="JSE44" s="275" t="s">
        <v>152</v>
      </c>
      <c r="JSF44" s="276"/>
      <c r="JSG44" s="276"/>
      <c r="JSH44" s="276"/>
      <c r="JSI44" s="276"/>
      <c r="JSJ44" s="276"/>
      <c r="JSK44" s="276"/>
      <c r="JSL44" s="276"/>
      <c r="JSM44" s="276"/>
      <c r="JSN44" s="276"/>
      <c r="JSO44" s="276"/>
      <c r="JSP44" s="276"/>
      <c r="JSQ44" s="276"/>
      <c r="JSR44" s="276"/>
      <c r="JSS44" s="276"/>
      <c r="JST44" s="276"/>
      <c r="JSU44" s="275" t="s">
        <v>152</v>
      </c>
      <c r="JSV44" s="276"/>
      <c r="JSW44" s="276"/>
      <c r="JSX44" s="276"/>
      <c r="JSY44" s="276"/>
      <c r="JSZ44" s="276"/>
      <c r="JTA44" s="276"/>
      <c r="JTB44" s="276"/>
      <c r="JTC44" s="276"/>
      <c r="JTD44" s="276"/>
      <c r="JTE44" s="276"/>
      <c r="JTF44" s="276"/>
      <c r="JTG44" s="276"/>
      <c r="JTH44" s="276"/>
      <c r="JTI44" s="276"/>
      <c r="JTJ44" s="276"/>
      <c r="JTK44" s="275" t="s">
        <v>152</v>
      </c>
      <c r="JTL44" s="276"/>
      <c r="JTM44" s="276"/>
      <c r="JTN44" s="276"/>
      <c r="JTO44" s="276"/>
      <c r="JTP44" s="276"/>
      <c r="JTQ44" s="276"/>
      <c r="JTR44" s="276"/>
      <c r="JTS44" s="276"/>
      <c r="JTT44" s="276"/>
      <c r="JTU44" s="276"/>
      <c r="JTV44" s="276"/>
      <c r="JTW44" s="276"/>
      <c r="JTX44" s="276"/>
      <c r="JTY44" s="276"/>
      <c r="JTZ44" s="276"/>
      <c r="JUA44" s="275" t="s">
        <v>152</v>
      </c>
      <c r="JUB44" s="276"/>
      <c r="JUC44" s="276"/>
      <c r="JUD44" s="276"/>
      <c r="JUE44" s="276"/>
      <c r="JUF44" s="276"/>
      <c r="JUG44" s="276"/>
      <c r="JUH44" s="276"/>
      <c r="JUI44" s="276"/>
      <c r="JUJ44" s="276"/>
      <c r="JUK44" s="276"/>
      <c r="JUL44" s="276"/>
      <c r="JUM44" s="276"/>
      <c r="JUN44" s="276"/>
      <c r="JUO44" s="276"/>
      <c r="JUP44" s="276"/>
      <c r="JUQ44" s="275" t="s">
        <v>152</v>
      </c>
      <c r="JUR44" s="276"/>
      <c r="JUS44" s="276"/>
      <c r="JUT44" s="276"/>
      <c r="JUU44" s="276"/>
      <c r="JUV44" s="276"/>
      <c r="JUW44" s="276"/>
      <c r="JUX44" s="276"/>
      <c r="JUY44" s="276"/>
      <c r="JUZ44" s="276"/>
      <c r="JVA44" s="276"/>
      <c r="JVB44" s="276"/>
      <c r="JVC44" s="276"/>
      <c r="JVD44" s="276"/>
      <c r="JVE44" s="276"/>
      <c r="JVF44" s="276"/>
      <c r="JVG44" s="275" t="s">
        <v>152</v>
      </c>
      <c r="JVH44" s="276"/>
      <c r="JVI44" s="276"/>
      <c r="JVJ44" s="276"/>
      <c r="JVK44" s="276"/>
      <c r="JVL44" s="276"/>
      <c r="JVM44" s="276"/>
      <c r="JVN44" s="276"/>
      <c r="JVO44" s="276"/>
      <c r="JVP44" s="276"/>
      <c r="JVQ44" s="276"/>
      <c r="JVR44" s="276"/>
      <c r="JVS44" s="276"/>
      <c r="JVT44" s="276"/>
      <c r="JVU44" s="276"/>
      <c r="JVV44" s="276"/>
      <c r="JVW44" s="275" t="s">
        <v>152</v>
      </c>
      <c r="JVX44" s="276"/>
      <c r="JVY44" s="276"/>
      <c r="JVZ44" s="276"/>
      <c r="JWA44" s="276"/>
      <c r="JWB44" s="276"/>
      <c r="JWC44" s="276"/>
      <c r="JWD44" s="276"/>
      <c r="JWE44" s="276"/>
      <c r="JWF44" s="276"/>
      <c r="JWG44" s="276"/>
      <c r="JWH44" s="276"/>
      <c r="JWI44" s="276"/>
      <c r="JWJ44" s="276"/>
      <c r="JWK44" s="276"/>
      <c r="JWL44" s="276"/>
      <c r="JWM44" s="275" t="s">
        <v>152</v>
      </c>
      <c r="JWN44" s="276"/>
      <c r="JWO44" s="276"/>
      <c r="JWP44" s="276"/>
      <c r="JWQ44" s="276"/>
      <c r="JWR44" s="276"/>
      <c r="JWS44" s="276"/>
      <c r="JWT44" s="276"/>
      <c r="JWU44" s="276"/>
      <c r="JWV44" s="276"/>
      <c r="JWW44" s="276"/>
      <c r="JWX44" s="276"/>
      <c r="JWY44" s="276"/>
      <c r="JWZ44" s="276"/>
      <c r="JXA44" s="276"/>
      <c r="JXB44" s="276"/>
      <c r="JXC44" s="275" t="s">
        <v>152</v>
      </c>
      <c r="JXD44" s="276"/>
      <c r="JXE44" s="276"/>
      <c r="JXF44" s="276"/>
      <c r="JXG44" s="276"/>
      <c r="JXH44" s="276"/>
      <c r="JXI44" s="276"/>
      <c r="JXJ44" s="276"/>
      <c r="JXK44" s="276"/>
      <c r="JXL44" s="276"/>
      <c r="JXM44" s="276"/>
      <c r="JXN44" s="276"/>
      <c r="JXO44" s="276"/>
      <c r="JXP44" s="276"/>
      <c r="JXQ44" s="276"/>
      <c r="JXR44" s="276"/>
      <c r="JXS44" s="275" t="s">
        <v>152</v>
      </c>
      <c r="JXT44" s="276"/>
      <c r="JXU44" s="276"/>
      <c r="JXV44" s="276"/>
      <c r="JXW44" s="276"/>
      <c r="JXX44" s="276"/>
      <c r="JXY44" s="276"/>
      <c r="JXZ44" s="276"/>
      <c r="JYA44" s="276"/>
      <c r="JYB44" s="276"/>
      <c r="JYC44" s="276"/>
      <c r="JYD44" s="276"/>
      <c r="JYE44" s="276"/>
      <c r="JYF44" s="276"/>
      <c r="JYG44" s="276"/>
      <c r="JYH44" s="276"/>
      <c r="JYI44" s="275" t="s">
        <v>152</v>
      </c>
      <c r="JYJ44" s="276"/>
      <c r="JYK44" s="276"/>
      <c r="JYL44" s="276"/>
      <c r="JYM44" s="276"/>
      <c r="JYN44" s="276"/>
      <c r="JYO44" s="276"/>
      <c r="JYP44" s="276"/>
      <c r="JYQ44" s="276"/>
      <c r="JYR44" s="276"/>
      <c r="JYS44" s="276"/>
      <c r="JYT44" s="276"/>
      <c r="JYU44" s="276"/>
      <c r="JYV44" s="276"/>
      <c r="JYW44" s="276"/>
      <c r="JYX44" s="276"/>
      <c r="JYY44" s="275" t="s">
        <v>152</v>
      </c>
      <c r="JYZ44" s="276"/>
      <c r="JZA44" s="276"/>
      <c r="JZB44" s="276"/>
      <c r="JZC44" s="276"/>
      <c r="JZD44" s="276"/>
      <c r="JZE44" s="276"/>
      <c r="JZF44" s="276"/>
      <c r="JZG44" s="276"/>
      <c r="JZH44" s="276"/>
      <c r="JZI44" s="276"/>
      <c r="JZJ44" s="276"/>
      <c r="JZK44" s="276"/>
      <c r="JZL44" s="276"/>
      <c r="JZM44" s="276"/>
      <c r="JZN44" s="276"/>
      <c r="JZO44" s="275" t="s">
        <v>152</v>
      </c>
      <c r="JZP44" s="276"/>
      <c r="JZQ44" s="276"/>
      <c r="JZR44" s="276"/>
      <c r="JZS44" s="276"/>
      <c r="JZT44" s="276"/>
      <c r="JZU44" s="276"/>
      <c r="JZV44" s="276"/>
      <c r="JZW44" s="276"/>
      <c r="JZX44" s="276"/>
      <c r="JZY44" s="276"/>
      <c r="JZZ44" s="276"/>
      <c r="KAA44" s="276"/>
      <c r="KAB44" s="276"/>
      <c r="KAC44" s="276"/>
      <c r="KAD44" s="276"/>
      <c r="KAE44" s="275" t="s">
        <v>152</v>
      </c>
      <c r="KAF44" s="276"/>
      <c r="KAG44" s="276"/>
      <c r="KAH44" s="276"/>
      <c r="KAI44" s="276"/>
      <c r="KAJ44" s="276"/>
      <c r="KAK44" s="276"/>
      <c r="KAL44" s="276"/>
      <c r="KAM44" s="276"/>
      <c r="KAN44" s="276"/>
      <c r="KAO44" s="276"/>
      <c r="KAP44" s="276"/>
      <c r="KAQ44" s="276"/>
      <c r="KAR44" s="276"/>
      <c r="KAS44" s="276"/>
      <c r="KAT44" s="276"/>
      <c r="KAU44" s="275" t="s">
        <v>152</v>
      </c>
      <c r="KAV44" s="276"/>
      <c r="KAW44" s="276"/>
      <c r="KAX44" s="276"/>
      <c r="KAY44" s="276"/>
      <c r="KAZ44" s="276"/>
      <c r="KBA44" s="276"/>
      <c r="KBB44" s="276"/>
      <c r="KBC44" s="276"/>
      <c r="KBD44" s="276"/>
      <c r="KBE44" s="276"/>
      <c r="KBF44" s="276"/>
      <c r="KBG44" s="276"/>
      <c r="KBH44" s="276"/>
      <c r="KBI44" s="276"/>
      <c r="KBJ44" s="276"/>
      <c r="KBK44" s="275" t="s">
        <v>152</v>
      </c>
      <c r="KBL44" s="276"/>
      <c r="KBM44" s="276"/>
      <c r="KBN44" s="276"/>
      <c r="KBO44" s="276"/>
      <c r="KBP44" s="276"/>
      <c r="KBQ44" s="276"/>
      <c r="KBR44" s="276"/>
      <c r="KBS44" s="276"/>
      <c r="KBT44" s="276"/>
      <c r="KBU44" s="276"/>
      <c r="KBV44" s="276"/>
      <c r="KBW44" s="276"/>
      <c r="KBX44" s="276"/>
      <c r="KBY44" s="276"/>
      <c r="KBZ44" s="276"/>
      <c r="KCA44" s="275" t="s">
        <v>152</v>
      </c>
      <c r="KCB44" s="276"/>
      <c r="KCC44" s="276"/>
      <c r="KCD44" s="276"/>
      <c r="KCE44" s="276"/>
      <c r="KCF44" s="276"/>
      <c r="KCG44" s="276"/>
      <c r="KCH44" s="276"/>
      <c r="KCI44" s="276"/>
      <c r="KCJ44" s="276"/>
      <c r="KCK44" s="276"/>
      <c r="KCL44" s="276"/>
      <c r="KCM44" s="276"/>
      <c r="KCN44" s="276"/>
      <c r="KCO44" s="276"/>
      <c r="KCP44" s="276"/>
      <c r="KCQ44" s="275" t="s">
        <v>152</v>
      </c>
      <c r="KCR44" s="276"/>
      <c r="KCS44" s="276"/>
      <c r="KCT44" s="276"/>
      <c r="KCU44" s="276"/>
      <c r="KCV44" s="276"/>
      <c r="KCW44" s="276"/>
      <c r="KCX44" s="276"/>
      <c r="KCY44" s="276"/>
      <c r="KCZ44" s="276"/>
      <c r="KDA44" s="276"/>
      <c r="KDB44" s="276"/>
      <c r="KDC44" s="276"/>
      <c r="KDD44" s="276"/>
      <c r="KDE44" s="276"/>
      <c r="KDF44" s="276"/>
      <c r="KDG44" s="275" t="s">
        <v>152</v>
      </c>
      <c r="KDH44" s="276"/>
      <c r="KDI44" s="276"/>
      <c r="KDJ44" s="276"/>
      <c r="KDK44" s="276"/>
      <c r="KDL44" s="276"/>
      <c r="KDM44" s="276"/>
      <c r="KDN44" s="276"/>
      <c r="KDO44" s="276"/>
      <c r="KDP44" s="276"/>
      <c r="KDQ44" s="276"/>
      <c r="KDR44" s="276"/>
      <c r="KDS44" s="276"/>
      <c r="KDT44" s="276"/>
      <c r="KDU44" s="276"/>
      <c r="KDV44" s="276"/>
      <c r="KDW44" s="275" t="s">
        <v>152</v>
      </c>
      <c r="KDX44" s="276"/>
      <c r="KDY44" s="276"/>
      <c r="KDZ44" s="276"/>
      <c r="KEA44" s="276"/>
      <c r="KEB44" s="276"/>
      <c r="KEC44" s="276"/>
      <c r="KED44" s="276"/>
      <c r="KEE44" s="276"/>
      <c r="KEF44" s="276"/>
      <c r="KEG44" s="276"/>
      <c r="KEH44" s="276"/>
      <c r="KEI44" s="276"/>
      <c r="KEJ44" s="276"/>
      <c r="KEK44" s="276"/>
      <c r="KEL44" s="276"/>
      <c r="KEM44" s="275" t="s">
        <v>152</v>
      </c>
      <c r="KEN44" s="276"/>
      <c r="KEO44" s="276"/>
      <c r="KEP44" s="276"/>
      <c r="KEQ44" s="276"/>
      <c r="KER44" s="276"/>
      <c r="KES44" s="276"/>
      <c r="KET44" s="276"/>
      <c r="KEU44" s="276"/>
      <c r="KEV44" s="276"/>
      <c r="KEW44" s="276"/>
      <c r="KEX44" s="276"/>
      <c r="KEY44" s="276"/>
      <c r="KEZ44" s="276"/>
      <c r="KFA44" s="276"/>
      <c r="KFB44" s="276"/>
      <c r="KFC44" s="275" t="s">
        <v>152</v>
      </c>
      <c r="KFD44" s="276"/>
      <c r="KFE44" s="276"/>
      <c r="KFF44" s="276"/>
      <c r="KFG44" s="276"/>
      <c r="KFH44" s="276"/>
      <c r="KFI44" s="276"/>
      <c r="KFJ44" s="276"/>
      <c r="KFK44" s="276"/>
      <c r="KFL44" s="276"/>
      <c r="KFM44" s="276"/>
      <c r="KFN44" s="276"/>
      <c r="KFO44" s="276"/>
      <c r="KFP44" s="276"/>
      <c r="KFQ44" s="276"/>
      <c r="KFR44" s="276"/>
      <c r="KFS44" s="275" t="s">
        <v>152</v>
      </c>
      <c r="KFT44" s="276"/>
      <c r="KFU44" s="276"/>
      <c r="KFV44" s="276"/>
      <c r="KFW44" s="276"/>
      <c r="KFX44" s="276"/>
      <c r="KFY44" s="276"/>
      <c r="KFZ44" s="276"/>
      <c r="KGA44" s="276"/>
      <c r="KGB44" s="276"/>
      <c r="KGC44" s="276"/>
      <c r="KGD44" s="276"/>
      <c r="KGE44" s="276"/>
      <c r="KGF44" s="276"/>
      <c r="KGG44" s="276"/>
      <c r="KGH44" s="276"/>
      <c r="KGI44" s="275" t="s">
        <v>152</v>
      </c>
      <c r="KGJ44" s="276"/>
      <c r="KGK44" s="276"/>
      <c r="KGL44" s="276"/>
      <c r="KGM44" s="276"/>
      <c r="KGN44" s="276"/>
      <c r="KGO44" s="276"/>
      <c r="KGP44" s="276"/>
      <c r="KGQ44" s="276"/>
      <c r="KGR44" s="276"/>
      <c r="KGS44" s="276"/>
      <c r="KGT44" s="276"/>
      <c r="KGU44" s="276"/>
      <c r="KGV44" s="276"/>
      <c r="KGW44" s="276"/>
      <c r="KGX44" s="276"/>
      <c r="KGY44" s="275" t="s">
        <v>152</v>
      </c>
      <c r="KGZ44" s="276"/>
      <c r="KHA44" s="276"/>
      <c r="KHB44" s="276"/>
      <c r="KHC44" s="276"/>
      <c r="KHD44" s="276"/>
      <c r="KHE44" s="276"/>
      <c r="KHF44" s="276"/>
      <c r="KHG44" s="276"/>
      <c r="KHH44" s="276"/>
      <c r="KHI44" s="276"/>
      <c r="KHJ44" s="276"/>
      <c r="KHK44" s="276"/>
      <c r="KHL44" s="276"/>
      <c r="KHM44" s="276"/>
      <c r="KHN44" s="276"/>
      <c r="KHO44" s="275" t="s">
        <v>152</v>
      </c>
      <c r="KHP44" s="276"/>
      <c r="KHQ44" s="276"/>
      <c r="KHR44" s="276"/>
      <c r="KHS44" s="276"/>
      <c r="KHT44" s="276"/>
      <c r="KHU44" s="276"/>
      <c r="KHV44" s="276"/>
      <c r="KHW44" s="276"/>
      <c r="KHX44" s="276"/>
      <c r="KHY44" s="276"/>
      <c r="KHZ44" s="276"/>
      <c r="KIA44" s="276"/>
      <c r="KIB44" s="276"/>
      <c r="KIC44" s="276"/>
      <c r="KID44" s="276"/>
      <c r="KIE44" s="275" t="s">
        <v>152</v>
      </c>
      <c r="KIF44" s="276"/>
      <c r="KIG44" s="276"/>
      <c r="KIH44" s="276"/>
      <c r="KII44" s="276"/>
      <c r="KIJ44" s="276"/>
      <c r="KIK44" s="276"/>
      <c r="KIL44" s="276"/>
      <c r="KIM44" s="276"/>
      <c r="KIN44" s="276"/>
      <c r="KIO44" s="276"/>
      <c r="KIP44" s="276"/>
      <c r="KIQ44" s="276"/>
      <c r="KIR44" s="276"/>
      <c r="KIS44" s="276"/>
      <c r="KIT44" s="276"/>
      <c r="KIU44" s="275" t="s">
        <v>152</v>
      </c>
      <c r="KIV44" s="276"/>
      <c r="KIW44" s="276"/>
      <c r="KIX44" s="276"/>
      <c r="KIY44" s="276"/>
      <c r="KIZ44" s="276"/>
      <c r="KJA44" s="276"/>
      <c r="KJB44" s="276"/>
      <c r="KJC44" s="276"/>
      <c r="KJD44" s="276"/>
      <c r="KJE44" s="276"/>
      <c r="KJF44" s="276"/>
      <c r="KJG44" s="276"/>
      <c r="KJH44" s="276"/>
      <c r="KJI44" s="276"/>
      <c r="KJJ44" s="276"/>
      <c r="KJK44" s="275" t="s">
        <v>152</v>
      </c>
      <c r="KJL44" s="276"/>
      <c r="KJM44" s="276"/>
      <c r="KJN44" s="276"/>
      <c r="KJO44" s="276"/>
      <c r="KJP44" s="276"/>
      <c r="KJQ44" s="276"/>
      <c r="KJR44" s="276"/>
      <c r="KJS44" s="276"/>
      <c r="KJT44" s="276"/>
      <c r="KJU44" s="276"/>
      <c r="KJV44" s="276"/>
      <c r="KJW44" s="276"/>
      <c r="KJX44" s="276"/>
      <c r="KJY44" s="276"/>
      <c r="KJZ44" s="276"/>
      <c r="KKA44" s="275" t="s">
        <v>152</v>
      </c>
      <c r="KKB44" s="276"/>
      <c r="KKC44" s="276"/>
      <c r="KKD44" s="276"/>
      <c r="KKE44" s="276"/>
      <c r="KKF44" s="276"/>
      <c r="KKG44" s="276"/>
      <c r="KKH44" s="276"/>
      <c r="KKI44" s="276"/>
      <c r="KKJ44" s="276"/>
      <c r="KKK44" s="276"/>
      <c r="KKL44" s="276"/>
      <c r="KKM44" s="276"/>
      <c r="KKN44" s="276"/>
      <c r="KKO44" s="276"/>
      <c r="KKP44" s="276"/>
      <c r="KKQ44" s="275" t="s">
        <v>152</v>
      </c>
      <c r="KKR44" s="276"/>
      <c r="KKS44" s="276"/>
      <c r="KKT44" s="276"/>
      <c r="KKU44" s="276"/>
      <c r="KKV44" s="276"/>
      <c r="KKW44" s="276"/>
      <c r="KKX44" s="276"/>
      <c r="KKY44" s="276"/>
      <c r="KKZ44" s="276"/>
      <c r="KLA44" s="276"/>
      <c r="KLB44" s="276"/>
      <c r="KLC44" s="276"/>
      <c r="KLD44" s="276"/>
      <c r="KLE44" s="276"/>
      <c r="KLF44" s="276"/>
      <c r="KLG44" s="275" t="s">
        <v>152</v>
      </c>
      <c r="KLH44" s="276"/>
      <c r="KLI44" s="276"/>
      <c r="KLJ44" s="276"/>
      <c r="KLK44" s="276"/>
      <c r="KLL44" s="276"/>
      <c r="KLM44" s="276"/>
      <c r="KLN44" s="276"/>
      <c r="KLO44" s="276"/>
      <c r="KLP44" s="276"/>
      <c r="KLQ44" s="276"/>
      <c r="KLR44" s="276"/>
      <c r="KLS44" s="276"/>
      <c r="KLT44" s="276"/>
      <c r="KLU44" s="276"/>
      <c r="KLV44" s="276"/>
      <c r="KLW44" s="275" t="s">
        <v>152</v>
      </c>
      <c r="KLX44" s="276"/>
      <c r="KLY44" s="276"/>
      <c r="KLZ44" s="276"/>
      <c r="KMA44" s="276"/>
      <c r="KMB44" s="276"/>
      <c r="KMC44" s="276"/>
      <c r="KMD44" s="276"/>
      <c r="KME44" s="276"/>
      <c r="KMF44" s="276"/>
      <c r="KMG44" s="276"/>
      <c r="KMH44" s="276"/>
      <c r="KMI44" s="276"/>
      <c r="KMJ44" s="276"/>
      <c r="KMK44" s="276"/>
      <c r="KML44" s="276"/>
      <c r="KMM44" s="275" t="s">
        <v>152</v>
      </c>
      <c r="KMN44" s="276"/>
      <c r="KMO44" s="276"/>
      <c r="KMP44" s="276"/>
      <c r="KMQ44" s="276"/>
      <c r="KMR44" s="276"/>
      <c r="KMS44" s="276"/>
      <c r="KMT44" s="276"/>
      <c r="KMU44" s="276"/>
      <c r="KMV44" s="276"/>
      <c r="KMW44" s="276"/>
      <c r="KMX44" s="276"/>
      <c r="KMY44" s="276"/>
      <c r="KMZ44" s="276"/>
      <c r="KNA44" s="276"/>
      <c r="KNB44" s="276"/>
      <c r="KNC44" s="275" t="s">
        <v>152</v>
      </c>
      <c r="KND44" s="276"/>
      <c r="KNE44" s="276"/>
      <c r="KNF44" s="276"/>
      <c r="KNG44" s="276"/>
      <c r="KNH44" s="276"/>
      <c r="KNI44" s="276"/>
      <c r="KNJ44" s="276"/>
      <c r="KNK44" s="276"/>
      <c r="KNL44" s="276"/>
      <c r="KNM44" s="276"/>
      <c r="KNN44" s="276"/>
      <c r="KNO44" s="276"/>
      <c r="KNP44" s="276"/>
      <c r="KNQ44" s="276"/>
      <c r="KNR44" s="276"/>
      <c r="KNS44" s="275" t="s">
        <v>152</v>
      </c>
      <c r="KNT44" s="276"/>
      <c r="KNU44" s="276"/>
      <c r="KNV44" s="276"/>
      <c r="KNW44" s="276"/>
      <c r="KNX44" s="276"/>
      <c r="KNY44" s="276"/>
      <c r="KNZ44" s="276"/>
      <c r="KOA44" s="276"/>
      <c r="KOB44" s="276"/>
      <c r="KOC44" s="276"/>
      <c r="KOD44" s="276"/>
      <c r="KOE44" s="276"/>
      <c r="KOF44" s="276"/>
      <c r="KOG44" s="276"/>
      <c r="KOH44" s="276"/>
      <c r="KOI44" s="275" t="s">
        <v>152</v>
      </c>
      <c r="KOJ44" s="276"/>
      <c r="KOK44" s="276"/>
      <c r="KOL44" s="276"/>
      <c r="KOM44" s="276"/>
      <c r="KON44" s="276"/>
      <c r="KOO44" s="276"/>
      <c r="KOP44" s="276"/>
      <c r="KOQ44" s="276"/>
      <c r="KOR44" s="276"/>
      <c r="KOS44" s="276"/>
      <c r="KOT44" s="276"/>
      <c r="KOU44" s="276"/>
      <c r="KOV44" s="276"/>
      <c r="KOW44" s="276"/>
      <c r="KOX44" s="276"/>
      <c r="KOY44" s="275" t="s">
        <v>152</v>
      </c>
      <c r="KOZ44" s="276"/>
      <c r="KPA44" s="276"/>
      <c r="KPB44" s="276"/>
      <c r="KPC44" s="276"/>
      <c r="KPD44" s="276"/>
      <c r="KPE44" s="276"/>
      <c r="KPF44" s="276"/>
      <c r="KPG44" s="276"/>
      <c r="KPH44" s="276"/>
      <c r="KPI44" s="276"/>
      <c r="KPJ44" s="276"/>
      <c r="KPK44" s="276"/>
      <c r="KPL44" s="276"/>
      <c r="KPM44" s="276"/>
      <c r="KPN44" s="276"/>
      <c r="KPO44" s="275" t="s">
        <v>152</v>
      </c>
      <c r="KPP44" s="276"/>
      <c r="KPQ44" s="276"/>
      <c r="KPR44" s="276"/>
      <c r="KPS44" s="276"/>
      <c r="KPT44" s="276"/>
      <c r="KPU44" s="276"/>
      <c r="KPV44" s="276"/>
      <c r="KPW44" s="276"/>
      <c r="KPX44" s="276"/>
      <c r="KPY44" s="276"/>
      <c r="KPZ44" s="276"/>
      <c r="KQA44" s="276"/>
      <c r="KQB44" s="276"/>
      <c r="KQC44" s="276"/>
      <c r="KQD44" s="276"/>
      <c r="KQE44" s="275" t="s">
        <v>152</v>
      </c>
      <c r="KQF44" s="276"/>
      <c r="KQG44" s="276"/>
      <c r="KQH44" s="276"/>
      <c r="KQI44" s="276"/>
      <c r="KQJ44" s="276"/>
      <c r="KQK44" s="276"/>
      <c r="KQL44" s="276"/>
      <c r="KQM44" s="276"/>
      <c r="KQN44" s="276"/>
      <c r="KQO44" s="276"/>
      <c r="KQP44" s="276"/>
      <c r="KQQ44" s="276"/>
      <c r="KQR44" s="276"/>
      <c r="KQS44" s="276"/>
      <c r="KQT44" s="276"/>
      <c r="KQU44" s="275" t="s">
        <v>152</v>
      </c>
      <c r="KQV44" s="276"/>
      <c r="KQW44" s="276"/>
      <c r="KQX44" s="276"/>
      <c r="KQY44" s="276"/>
      <c r="KQZ44" s="276"/>
      <c r="KRA44" s="276"/>
      <c r="KRB44" s="276"/>
      <c r="KRC44" s="276"/>
      <c r="KRD44" s="276"/>
      <c r="KRE44" s="276"/>
      <c r="KRF44" s="276"/>
      <c r="KRG44" s="276"/>
      <c r="KRH44" s="276"/>
      <c r="KRI44" s="276"/>
      <c r="KRJ44" s="276"/>
      <c r="KRK44" s="275" t="s">
        <v>152</v>
      </c>
      <c r="KRL44" s="276"/>
      <c r="KRM44" s="276"/>
      <c r="KRN44" s="276"/>
      <c r="KRO44" s="276"/>
      <c r="KRP44" s="276"/>
      <c r="KRQ44" s="276"/>
      <c r="KRR44" s="276"/>
      <c r="KRS44" s="276"/>
      <c r="KRT44" s="276"/>
      <c r="KRU44" s="276"/>
      <c r="KRV44" s="276"/>
      <c r="KRW44" s="276"/>
      <c r="KRX44" s="276"/>
      <c r="KRY44" s="276"/>
      <c r="KRZ44" s="276"/>
      <c r="KSA44" s="275" t="s">
        <v>152</v>
      </c>
      <c r="KSB44" s="276"/>
      <c r="KSC44" s="276"/>
      <c r="KSD44" s="276"/>
      <c r="KSE44" s="276"/>
      <c r="KSF44" s="276"/>
      <c r="KSG44" s="276"/>
      <c r="KSH44" s="276"/>
      <c r="KSI44" s="276"/>
      <c r="KSJ44" s="276"/>
      <c r="KSK44" s="276"/>
      <c r="KSL44" s="276"/>
      <c r="KSM44" s="276"/>
      <c r="KSN44" s="276"/>
      <c r="KSO44" s="276"/>
      <c r="KSP44" s="276"/>
      <c r="KSQ44" s="275" t="s">
        <v>152</v>
      </c>
      <c r="KSR44" s="276"/>
      <c r="KSS44" s="276"/>
      <c r="KST44" s="276"/>
      <c r="KSU44" s="276"/>
      <c r="KSV44" s="276"/>
      <c r="KSW44" s="276"/>
      <c r="KSX44" s="276"/>
      <c r="KSY44" s="276"/>
      <c r="KSZ44" s="276"/>
      <c r="KTA44" s="276"/>
      <c r="KTB44" s="276"/>
      <c r="KTC44" s="276"/>
      <c r="KTD44" s="276"/>
      <c r="KTE44" s="276"/>
      <c r="KTF44" s="276"/>
      <c r="KTG44" s="275" t="s">
        <v>152</v>
      </c>
      <c r="KTH44" s="276"/>
      <c r="KTI44" s="276"/>
      <c r="KTJ44" s="276"/>
      <c r="KTK44" s="276"/>
      <c r="KTL44" s="276"/>
      <c r="KTM44" s="276"/>
      <c r="KTN44" s="276"/>
      <c r="KTO44" s="276"/>
      <c r="KTP44" s="276"/>
      <c r="KTQ44" s="276"/>
      <c r="KTR44" s="276"/>
      <c r="KTS44" s="276"/>
      <c r="KTT44" s="276"/>
      <c r="KTU44" s="276"/>
      <c r="KTV44" s="276"/>
      <c r="KTW44" s="275" t="s">
        <v>152</v>
      </c>
      <c r="KTX44" s="276"/>
      <c r="KTY44" s="276"/>
      <c r="KTZ44" s="276"/>
      <c r="KUA44" s="276"/>
      <c r="KUB44" s="276"/>
      <c r="KUC44" s="276"/>
      <c r="KUD44" s="276"/>
      <c r="KUE44" s="276"/>
      <c r="KUF44" s="276"/>
      <c r="KUG44" s="276"/>
      <c r="KUH44" s="276"/>
      <c r="KUI44" s="276"/>
      <c r="KUJ44" s="276"/>
      <c r="KUK44" s="276"/>
      <c r="KUL44" s="276"/>
      <c r="KUM44" s="275" t="s">
        <v>152</v>
      </c>
      <c r="KUN44" s="276"/>
      <c r="KUO44" s="276"/>
      <c r="KUP44" s="276"/>
      <c r="KUQ44" s="276"/>
      <c r="KUR44" s="276"/>
      <c r="KUS44" s="276"/>
      <c r="KUT44" s="276"/>
      <c r="KUU44" s="276"/>
      <c r="KUV44" s="276"/>
      <c r="KUW44" s="276"/>
      <c r="KUX44" s="276"/>
      <c r="KUY44" s="276"/>
      <c r="KUZ44" s="276"/>
      <c r="KVA44" s="276"/>
      <c r="KVB44" s="276"/>
      <c r="KVC44" s="275" t="s">
        <v>152</v>
      </c>
      <c r="KVD44" s="276"/>
      <c r="KVE44" s="276"/>
      <c r="KVF44" s="276"/>
      <c r="KVG44" s="276"/>
      <c r="KVH44" s="276"/>
      <c r="KVI44" s="276"/>
      <c r="KVJ44" s="276"/>
      <c r="KVK44" s="276"/>
      <c r="KVL44" s="276"/>
      <c r="KVM44" s="276"/>
      <c r="KVN44" s="276"/>
      <c r="KVO44" s="276"/>
      <c r="KVP44" s="276"/>
      <c r="KVQ44" s="276"/>
      <c r="KVR44" s="276"/>
      <c r="KVS44" s="275" t="s">
        <v>152</v>
      </c>
      <c r="KVT44" s="276"/>
      <c r="KVU44" s="276"/>
      <c r="KVV44" s="276"/>
      <c r="KVW44" s="276"/>
      <c r="KVX44" s="276"/>
      <c r="KVY44" s="276"/>
      <c r="KVZ44" s="276"/>
      <c r="KWA44" s="276"/>
      <c r="KWB44" s="276"/>
      <c r="KWC44" s="276"/>
      <c r="KWD44" s="276"/>
      <c r="KWE44" s="276"/>
      <c r="KWF44" s="276"/>
      <c r="KWG44" s="276"/>
      <c r="KWH44" s="276"/>
      <c r="KWI44" s="275" t="s">
        <v>152</v>
      </c>
      <c r="KWJ44" s="276"/>
      <c r="KWK44" s="276"/>
      <c r="KWL44" s="276"/>
      <c r="KWM44" s="276"/>
      <c r="KWN44" s="276"/>
      <c r="KWO44" s="276"/>
      <c r="KWP44" s="276"/>
      <c r="KWQ44" s="276"/>
      <c r="KWR44" s="276"/>
      <c r="KWS44" s="276"/>
      <c r="KWT44" s="276"/>
      <c r="KWU44" s="276"/>
      <c r="KWV44" s="276"/>
      <c r="KWW44" s="276"/>
      <c r="KWX44" s="276"/>
      <c r="KWY44" s="275" t="s">
        <v>152</v>
      </c>
      <c r="KWZ44" s="276"/>
      <c r="KXA44" s="276"/>
      <c r="KXB44" s="276"/>
      <c r="KXC44" s="276"/>
      <c r="KXD44" s="276"/>
      <c r="KXE44" s="276"/>
      <c r="KXF44" s="276"/>
      <c r="KXG44" s="276"/>
      <c r="KXH44" s="276"/>
      <c r="KXI44" s="276"/>
      <c r="KXJ44" s="276"/>
      <c r="KXK44" s="276"/>
      <c r="KXL44" s="276"/>
      <c r="KXM44" s="276"/>
      <c r="KXN44" s="276"/>
      <c r="KXO44" s="275" t="s">
        <v>152</v>
      </c>
      <c r="KXP44" s="276"/>
      <c r="KXQ44" s="276"/>
      <c r="KXR44" s="276"/>
      <c r="KXS44" s="276"/>
      <c r="KXT44" s="276"/>
      <c r="KXU44" s="276"/>
      <c r="KXV44" s="276"/>
      <c r="KXW44" s="276"/>
      <c r="KXX44" s="276"/>
      <c r="KXY44" s="276"/>
      <c r="KXZ44" s="276"/>
      <c r="KYA44" s="276"/>
      <c r="KYB44" s="276"/>
      <c r="KYC44" s="276"/>
      <c r="KYD44" s="276"/>
      <c r="KYE44" s="275" t="s">
        <v>152</v>
      </c>
      <c r="KYF44" s="276"/>
      <c r="KYG44" s="276"/>
      <c r="KYH44" s="276"/>
      <c r="KYI44" s="276"/>
      <c r="KYJ44" s="276"/>
      <c r="KYK44" s="276"/>
      <c r="KYL44" s="276"/>
      <c r="KYM44" s="276"/>
      <c r="KYN44" s="276"/>
      <c r="KYO44" s="276"/>
      <c r="KYP44" s="276"/>
      <c r="KYQ44" s="276"/>
      <c r="KYR44" s="276"/>
      <c r="KYS44" s="276"/>
      <c r="KYT44" s="276"/>
      <c r="KYU44" s="275" t="s">
        <v>152</v>
      </c>
      <c r="KYV44" s="276"/>
      <c r="KYW44" s="276"/>
      <c r="KYX44" s="276"/>
      <c r="KYY44" s="276"/>
      <c r="KYZ44" s="276"/>
      <c r="KZA44" s="276"/>
      <c r="KZB44" s="276"/>
      <c r="KZC44" s="276"/>
      <c r="KZD44" s="276"/>
      <c r="KZE44" s="276"/>
      <c r="KZF44" s="276"/>
      <c r="KZG44" s="276"/>
      <c r="KZH44" s="276"/>
      <c r="KZI44" s="276"/>
      <c r="KZJ44" s="276"/>
      <c r="KZK44" s="275" t="s">
        <v>152</v>
      </c>
      <c r="KZL44" s="276"/>
      <c r="KZM44" s="276"/>
      <c r="KZN44" s="276"/>
      <c r="KZO44" s="276"/>
      <c r="KZP44" s="276"/>
      <c r="KZQ44" s="276"/>
      <c r="KZR44" s="276"/>
      <c r="KZS44" s="276"/>
      <c r="KZT44" s="276"/>
      <c r="KZU44" s="276"/>
      <c r="KZV44" s="276"/>
      <c r="KZW44" s="276"/>
      <c r="KZX44" s="276"/>
      <c r="KZY44" s="276"/>
      <c r="KZZ44" s="276"/>
      <c r="LAA44" s="275" t="s">
        <v>152</v>
      </c>
      <c r="LAB44" s="276"/>
      <c r="LAC44" s="276"/>
      <c r="LAD44" s="276"/>
      <c r="LAE44" s="276"/>
      <c r="LAF44" s="276"/>
      <c r="LAG44" s="276"/>
      <c r="LAH44" s="276"/>
      <c r="LAI44" s="276"/>
      <c r="LAJ44" s="276"/>
      <c r="LAK44" s="276"/>
      <c r="LAL44" s="276"/>
      <c r="LAM44" s="276"/>
      <c r="LAN44" s="276"/>
      <c r="LAO44" s="276"/>
      <c r="LAP44" s="276"/>
      <c r="LAQ44" s="275" t="s">
        <v>152</v>
      </c>
      <c r="LAR44" s="276"/>
      <c r="LAS44" s="276"/>
      <c r="LAT44" s="276"/>
      <c r="LAU44" s="276"/>
      <c r="LAV44" s="276"/>
      <c r="LAW44" s="276"/>
      <c r="LAX44" s="276"/>
      <c r="LAY44" s="276"/>
      <c r="LAZ44" s="276"/>
      <c r="LBA44" s="276"/>
      <c r="LBB44" s="276"/>
      <c r="LBC44" s="276"/>
      <c r="LBD44" s="276"/>
      <c r="LBE44" s="276"/>
      <c r="LBF44" s="276"/>
      <c r="LBG44" s="275" t="s">
        <v>152</v>
      </c>
      <c r="LBH44" s="276"/>
      <c r="LBI44" s="276"/>
      <c r="LBJ44" s="276"/>
      <c r="LBK44" s="276"/>
      <c r="LBL44" s="276"/>
      <c r="LBM44" s="276"/>
      <c r="LBN44" s="276"/>
      <c r="LBO44" s="276"/>
      <c r="LBP44" s="276"/>
      <c r="LBQ44" s="276"/>
      <c r="LBR44" s="276"/>
      <c r="LBS44" s="276"/>
      <c r="LBT44" s="276"/>
      <c r="LBU44" s="276"/>
      <c r="LBV44" s="276"/>
      <c r="LBW44" s="275" t="s">
        <v>152</v>
      </c>
      <c r="LBX44" s="276"/>
      <c r="LBY44" s="276"/>
      <c r="LBZ44" s="276"/>
      <c r="LCA44" s="276"/>
      <c r="LCB44" s="276"/>
      <c r="LCC44" s="276"/>
      <c r="LCD44" s="276"/>
      <c r="LCE44" s="276"/>
      <c r="LCF44" s="276"/>
      <c r="LCG44" s="276"/>
      <c r="LCH44" s="276"/>
      <c r="LCI44" s="276"/>
      <c r="LCJ44" s="276"/>
      <c r="LCK44" s="276"/>
      <c r="LCL44" s="276"/>
      <c r="LCM44" s="275" t="s">
        <v>152</v>
      </c>
      <c r="LCN44" s="276"/>
      <c r="LCO44" s="276"/>
      <c r="LCP44" s="276"/>
      <c r="LCQ44" s="276"/>
      <c r="LCR44" s="276"/>
      <c r="LCS44" s="276"/>
      <c r="LCT44" s="276"/>
      <c r="LCU44" s="276"/>
      <c r="LCV44" s="276"/>
      <c r="LCW44" s="276"/>
      <c r="LCX44" s="276"/>
      <c r="LCY44" s="276"/>
      <c r="LCZ44" s="276"/>
      <c r="LDA44" s="276"/>
      <c r="LDB44" s="276"/>
      <c r="LDC44" s="275" t="s">
        <v>152</v>
      </c>
      <c r="LDD44" s="276"/>
      <c r="LDE44" s="276"/>
      <c r="LDF44" s="276"/>
      <c r="LDG44" s="276"/>
      <c r="LDH44" s="276"/>
      <c r="LDI44" s="276"/>
      <c r="LDJ44" s="276"/>
      <c r="LDK44" s="276"/>
      <c r="LDL44" s="276"/>
      <c r="LDM44" s="276"/>
      <c r="LDN44" s="276"/>
      <c r="LDO44" s="276"/>
      <c r="LDP44" s="276"/>
      <c r="LDQ44" s="276"/>
      <c r="LDR44" s="276"/>
      <c r="LDS44" s="275" t="s">
        <v>152</v>
      </c>
      <c r="LDT44" s="276"/>
      <c r="LDU44" s="276"/>
      <c r="LDV44" s="276"/>
      <c r="LDW44" s="276"/>
      <c r="LDX44" s="276"/>
      <c r="LDY44" s="276"/>
      <c r="LDZ44" s="276"/>
      <c r="LEA44" s="276"/>
      <c r="LEB44" s="276"/>
      <c r="LEC44" s="276"/>
      <c r="LED44" s="276"/>
      <c r="LEE44" s="276"/>
      <c r="LEF44" s="276"/>
      <c r="LEG44" s="276"/>
      <c r="LEH44" s="276"/>
      <c r="LEI44" s="275" t="s">
        <v>152</v>
      </c>
      <c r="LEJ44" s="276"/>
      <c r="LEK44" s="276"/>
      <c r="LEL44" s="276"/>
      <c r="LEM44" s="276"/>
      <c r="LEN44" s="276"/>
      <c r="LEO44" s="276"/>
      <c r="LEP44" s="276"/>
      <c r="LEQ44" s="276"/>
      <c r="LER44" s="276"/>
      <c r="LES44" s="276"/>
      <c r="LET44" s="276"/>
      <c r="LEU44" s="276"/>
      <c r="LEV44" s="276"/>
      <c r="LEW44" s="276"/>
      <c r="LEX44" s="276"/>
      <c r="LEY44" s="275" t="s">
        <v>152</v>
      </c>
      <c r="LEZ44" s="276"/>
      <c r="LFA44" s="276"/>
      <c r="LFB44" s="276"/>
      <c r="LFC44" s="276"/>
      <c r="LFD44" s="276"/>
      <c r="LFE44" s="276"/>
      <c r="LFF44" s="276"/>
      <c r="LFG44" s="276"/>
      <c r="LFH44" s="276"/>
      <c r="LFI44" s="276"/>
      <c r="LFJ44" s="276"/>
      <c r="LFK44" s="276"/>
      <c r="LFL44" s="276"/>
      <c r="LFM44" s="276"/>
      <c r="LFN44" s="276"/>
      <c r="LFO44" s="275" t="s">
        <v>152</v>
      </c>
      <c r="LFP44" s="276"/>
      <c r="LFQ44" s="276"/>
      <c r="LFR44" s="276"/>
      <c r="LFS44" s="276"/>
      <c r="LFT44" s="276"/>
      <c r="LFU44" s="276"/>
      <c r="LFV44" s="276"/>
      <c r="LFW44" s="276"/>
      <c r="LFX44" s="276"/>
      <c r="LFY44" s="276"/>
      <c r="LFZ44" s="276"/>
      <c r="LGA44" s="276"/>
      <c r="LGB44" s="276"/>
      <c r="LGC44" s="276"/>
      <c r="LGD44" s="276"/>
      <c r="LGE44" s="275" t="s">
        <v>152</v>
      </c>
      <c r="LGF44" s="276"/>
      <c r="LGG44" s="276"/>
      <c r="LGH44" s="276"/>
      <c r="LGI44" s="276"/>
      <c r="LGJ44" s="276"/>
      <c r="LGK44" s="276"/>
      <c r="LGL44" s="276"/>
      <c r="LGM44" s="276"/>
      <c r="LGN44" s="276"/>
      <c r="LGO44" s="276"/>
      <c r="LGP44" s="276"/>
      <c r="LGQ44" s="276"/>
      <c r="LGR44" s="276"/>
      <c r="LGS44" s="276"/>
      <c r="LGT44" s="276"/>
      <c r="LGU44" s="275" t="s">
        <v>152</v>
      </c>
      <c r="LGV44" s="276"/>
      <c r="LGW44" s="276"/>
      <c r="LGX44" s="276"/>
      <c r="LGY44" s="276"/>
      <c r="LGZ44" s="276"/>
      <c r="LHA44" s="276"/>
      <c r="LHB44" s="276"/>
      <c r="LHC44" s="276"/>
      <c r="LHD44" s="276"/>
      <c r="LHE44" s="276"/>
      <c r="LHF44" s="276"/>
      <c r="LHG44" s="276"/>
      <c r="LHH44" s="276"/>
      <c r="LHI44" s="276"/>
      <c r="LHJ44" s="276"/>
      <c r="LHK44" s="275" t="s">
        <v>152</v>
      </c>
      <c r="LHL44" s="276"/>
      <c r="LHM44" s="276"/>
      <c r="LHN44" s="276"/>
      <c r="LHO44" s="276"/>
      <c r="LHP44" s="276"/>
      <c r="LHQ44" s="276"/>
      <c r="LHR44" s="276"/>
      <c r="LHS44" s="276"/>
      <c r="LHT44" s="276"/>
      <c r="LHU44" s="276"/>
      <c r="LHV44" s="276"/>
      <c r="LHW44" s="276"/>
      <c r="LHX44" s="276"/>
      <c r="LHY44" s="276"/>
      <c r="LHZ44" s="276"/>
      <c r="LIA44" s="275" t="s">
        <v>152</v>
      </c>
      <c r="LIB44" s="276"/>
      <c r="LIC44" s="276"/>
      <c r="LID44" s="276"/>
      <c r="LIE44" s="276"/>
      <c r="LIF44" s="276"/>
      <c r="LIG44" s="276"/>
      <c r="LIH44" s="276"/>
      <c r="LII44" s="276"/>
      <c r="LIJ44" s="276"/>
      <c r="LIK44" s="276"/>
      <c r="LIL44" s="276"/>
      <c r="LIM44" s="276"/>
      <c r="LIN44" s="276"/>
      <c r="LIO44" s="276"/>
      <c r="LIP44" s="276"/>
      <c r="LIQ44" s="275" t="s">
        <v>152</v>
      </c>
      <c r="LIR44" s="276"/>
      <c r="LIS44" s="276"/>
      <c r="LIT44" s="276"/>
      <c r="LIU44" s="276"/>
      <c r="LIV44" s="276"/>
      <c r="LIW44" s="276"/>
      <c r="LIX44" s="276"/>
      <c r="LIY44" s="276"/>
      <c r="LIZ44" s="276"/>
      <c r="LJA44" s="276"/>
      <c r="LJB44" s="276"/>
      <c r="LJC44" s="276"/>
      <c r="LJD44" s="276"/>
      <c r="LJE44" s="276"/>
      <c r="LJF44" s="276"/>
      <c r="LJG44" s="275" t="s">
        <v>152</v>
      </c>
      <c r="LJH44" s="276"/>
      <c r="LJI44" s="276"/>
      <c r="LJJ44" s="276"/>
      <c r="LJK44" s="276"/>
      <c r="LJL44" s="276"/>
      <c r="LJM44" s="276"/>
      <c r="LJN44" s="276"/>
      <c r="LJO44" s="276"/>
      <c r="LJP44" s="276"/>
      <c r="LJQ44" s="276"/>
      <c r="LJR44" s="276"/>
      <c r="LJS44" s="276"/>
      <c r="LJT44" s="276"/>
      <c r="LJU44" s="276"/>
      <c r="LJV44" s="276"/>
      <c r="LJW44" s="275" t="s">
        <v>152</v>
      </c>
      <c r="LJX44" s="276"/>
      <c r="LJY44" s="276"/>
      <c r="LJZ44" s="276"/>
      <c r="LKA44" s="276"/>
      <c r="LKB44" s="276"/>
      <c r="LKC44" s="276"/>
      <c r="LKD44" s="276"/>
      <c r="LKE44" s="276"/>
      <c r="LKF44" s="276"/>
      <c r="LKG44" s="276"/>
      <c r="LKH44" s="276"/>
      <c r="LKI44" s="276"/>
      <c r="LKJ44" s="276"/>
      <c r="LKK44" s="276"/>
      <c r="LKL44" s="276"/>
      <c r="LKM44" s="275" t="s">
        <v>152</v>
      </c>
      <c r="LKN44" s="276"/>
      <c r="LKO44" s="276"/>
      <c r="LKP44" s="276"/>
      <c r="LKQ44" s="276"/>
      <c r="LKR44" s="276"/>
      <c r="LKS44" s="276"/>
      <c r="LKT44" s="276"/>
      <c r="LKU44" s="276"/>
      <c r="LKV44" s="276"/>
      <c r="LKW44" s="276"/>
      <c r="LKX44" s="276"/>
      <c r="LKY44" s="276"/>
      <c r="LKZ44" s="276"/>
      <c r="LLA44" s="276"/>
      <c r="LLB44" s="276"/>
      <c r="LLC44" s="275" t="s">
        <v>152</v>
      </c>
      <c r="LLD44" s="276"/>
      <c r="LLE44" s="276"/>
      <c r="LLF44" s="276"/>
      <c r="LLG44" s="276"/>
      <c r="LLH44" s="276"/>
      <c r="LLI44" s="276"/>
      <c r="LLJ44" s="276"/>
      <c r="LLK44" s="276"/>
      <c r="LLL44" s="276"/>
      <c r="LLM44" s="276"/>
      <c r="LLN44" s="276"/>
      <c r="LLO44" s="276"/>
      <c r="LLP44" s="276"/>
      <c r="LLQ44" s="276"/>
      <c r="LLR44" s="276"/>
      <c r="LLS44" s="275" t="s">
        <v>152</v>
      </c>
      <c r="LLT44" s="276"/>
      <c r="LLU44" s="276"/>
      <c r="LLV44" s="276"/>
      <c r="LLW44" s="276"/>
      <c r="LLX44" s="276"/>
      <c r="LLY44" s="276"/>
      <c r="LLZ44" s="276"/>
      <c r="LMA44" s="276"/>
      <c r="LMB44" s="276"/>
      <c r="LMC44" s="276"/>
      <c r="LMD44" s="276"/>
      <c r="LME44" s="276"/>
      <c r="LMF44" s="276"/>
      <c r="LMG44" s="276"/>
      <c r="LMH44" s="276"/>
      <c r="LMI44" s="275" t="s">
        <v>152</v>
      </c>
      <c r="LMJ44" s="276"/>
      <c r="LMK44" s="276"/>
      <c r="LML44" s="276"/>
      <c r="LMM44" s="276"/>
      <c r="LMN44" s="276"/>
      <c r="LMO44" s="276"/>
      <c r="LMP44" s="276"/>
      <c r="LMQ44" s="276"/>
      <c r="LMR44" s="276"/>
      <c r="LMS44" s="276"/>
      <c r="LMT44" s="276"/>
      <c r="LMU44" s="276"/>
      <c r="LMV44" s="276"/>
      <c r="LMW44" s="276"/>
      <c r="LMX44" s="276"/>
      <c r="LMY44" s="275" t="s">
        <v>152</v>
      </c>
      <c r="LMZ44" s="276"/>
      <c r="LNA44" s="276"/>
      <c r="LNB44" s="276"/>
      <c r="LNC44" s="276"/>
      <c r="LND44" s="276"/>
      <c r="LNE44" s="276"/>
      <c r="LNF44" s="276"/>
      <c r="LNG44" s="276"/>
      <c r="LNH44" s="276"/>
      <c r="LNI44" s="276"/>
      <c r="LNJ44" s="276"/>
      <c r="LNK44" s="276"/>
      <c r="LNL44" s="276"/>
      <c r="LNM44" s="276"/>
      <c r="LNN44" s="276"/>
      <c r="LNO44" s="275" t="s">
        <v>152</v>
      </c>
      <c r="LNP44" s="276"/>
      <c r="LNQ44" s="276"/>
      <c r="LNR44" s="276"/>
      <c r="LNS44" s="276"/>
      <c r="LNT44" s="276"/>
      <c r="LNU44" s="276"/>
      <c r="LNV44" s="276"/>
      <c r="LNW44" s="276"/>
      <c r="LNX44" s="276"/>
      <c r="LNY44" s="276"/>
      <c r="LNZ44" s="276"/>
      <c r="LOA44" s="276"/>
      <c r="LOB44" s="276"/>
      <c r="LOC44" s="276"/>
      <c r="LOD44" s="276"/>
      <c r="LOE44" s="275" t="s">
        <v>152</v>
      </c>
      <c r="LOF44" s="276"/>
      <c r="LOG44" s="276"/>
      <c r="LOH44" s="276"/>
      <c r="LOI44" s="276"/>
      <c r="LOJ44" s="276"/>
      <c r="LOK44" s="276"/>
      <c r="LOL44" s="276"/>
      <c r="LOM44" s="276"/>
      <c r="LON44" s="276"/>
      <c r="LOO44" s="276"/>
      <c r="LOP44" s="276"/>
      <c r="LOQ44" s="276"/>
      <c r="LOR44" s="276"/>
      <c r="LOS44" s="276"/>
      <c r="LOT44" s="276"/>
      <c r="LOU44" s="275" t="s">
        <v>152</v>
      </c>
      <c r="LOV44" s="276"/>
      <c r="LOW44" s="276"/>
      <c r="LOX44" s="276"/>
      <c r="LOY44" s="276"/>
      <c r="LOZ44" s="276"/>
      <c r="LPA44" s="276"/>
      <c r="LPB44" s="276"/>
      <c r="LPC44" s="276"/>
      <c r="LPD44" s="276"/>
      <c r="LPE44" s="276"/>
      <c r="LPF44" s="276"/>
      <c r="LPG44" s="276"/>
      <c r="LPH44" s="276"/>
      <c r="LPI44" s="276"/>
      <c r="LPJ44" s="276"/>
      <c r="LPK44" s="275" t="s">
        <v>152</v>
      </c>
      <c r="LPL44" s="276"/>
      <c r="LPM44" s="276"/>
      <c r="LPN44" s="276"/>
      <c r="LPO44" s="276"/>
      <c r="LPP44" s="276"/>
      <c r="LPQ44" s="276"/>
      <c r="LPR44" s="276"/>
      <c r="LPS44" s="276"/>
      <c r="LPT44" s="276"/>
      <c r="LPU44" s="276"/>
      <c r="LPV44" s="276"/>
      <c r="LPW44" s="276"/>
      <c r="LPX44" s="276"/>
      <c r="LPY44" s="276"/>
      <c r="LPZ44" s="276"/>
      <c r="LQA44" s="275" t="s">
        <v>152</v>
      </c>
      <c r="LQB44" s="276"/>
      <c r="LQC44" s="276"/>
      <c r="LQD44" s="276"/>
      <c r="LQE44" s="276"/>
      <c r="LQF44" s="276"/>
      <c r="LQG44" s="276"/>
      <c r="LQH44" s="276"/>
      <c r="LQI44" s="276"/>
      <c r="LQJ44" s="276"/>
      <c r="LQK44" s="276"/>
      <c r="LQL44" s="276"/>
      <c r="LQM44" s="276"/>
      <c r="LQN44" s="276"/>
      <c r="LQO44" s="276"/>
      <c r="LQP44" s="276"/>
      <c r="LQQ44" s="275" t="s">
        <v>152</v>
      </c>
      <c r="LQR44" s="276"/>
      <c r="LQS44" s="276"/>
      <c r="LQT44" s="276"/>
      <c r="LQU44" s="276"/>
      <c r="LQV44" s="276"/>
      <c r="LQW44" s="276"/>
      <c r="LQX44" s="276"/>
      <c r="LQY44" s="276"/>
      <c r="LQZ44" s="276"/>
      <c r="LRA44" s="276"/>
      <c r="LRB44" s="276"/>
      <c r="LRC44" s="276"/>
      <c r="LRD44" s="276"/>
      <c r="LRE44" s="276"/>
      <c r="LRF44" s="276"/>
      <c r="LRG44" s="275" t="s">
        <v>152</v>
      </c>
      <c r="LRH44" s="276"/>
      <c r="LRI44" s="276"/>
      <c r="LRJ44" s="276"/>
      <c r="LRK44" s="276"/>
      <c r="LRL44" s="276"/>
      <c r="LRM44" s="276"/>
      <c r="LRN44" s="276"/>
      <c r="LRO44" s="276"/>
      <c r="LRP44" s="276"/>
      <c r="LRQ44" s="276"/>
      <c r="LRR44" s="276"/>
      <c r="LRS44" s="276"/>
      <c r="LRT44" s="276"/>
      <c r="LRU44" s="276"/>
      <c r="LRV44" s="276"/>
      <c r="LRW44" s="275" t="s">
        <v>152</v>
      </c>
      <c r="LRX44" s="276"/>
      <c r="LRY44" s="276"/>
      <c r="LRZ44" s="276"/>
      <c r="LSA44" s="276"/>
      <c r="LSB44" s="276"/>
      <c r="LSC44" s="276"/>
      <c r="LSD44" s="276"/>
      <c r="LSE44" s="276"/>
      <c r="LSF44" s="276"/>
      <c r="LSG44" s="276"/>
      <c r="LSH44" s="276"/>
      <c r="LSI44" s="276"/>
      <c r="LSJ44" s="276"/>
      <c r="LSK44" s="276"/>
      <c r="LSL44" s="276"/>
      <c r="LSM44" s="275" t="s">
        <v>152</v>
      </c>
      <c r="LSN44" s="276"/>
      <c r="LSO44" s="276"/>
      <c r="LSP44" s="276"/>
      <c r="LSQ44" s="276"/>
      <c r="LSR44" s="276"/>
      <c r="LSS44" s="276"/>
      <c r="LST44" s="276"/>
      <c r="LSU44" s="276"/>
      <c r="LSV44" s="276"/>
      <c r="LSW44" s="276"/>
      <c r="LSX44" s="276"/>
      <c r="LSY44" s="276"/>
      <c r="LSZ44" s="276"/>
      <c r="LTA44" s="276"/>
      <c r="LTB44" s="276"/>
      <c r="LTC44" s="275" t="s">
        <v>152</v>
      </c>
      <c r="LTD44" s="276"/>
      <c r="LTE44" s="276"/>
      <c r="LTF44" s="276"/>
      <c r="LTG44" s="276"/>
      <c r="LTH44" s="276"/>
      <c r="LTI44" s="276"/>
      <c r="LTJ44" s="276"/>
      <c r="LTK44" s="276"/>
      <c r="LTL44" s="276"/>
      <c r="LTM44" s="276"/>
      <c r="LTN44" s="276"/>
      <c r="LTO44" s="276"/>
      <c r="LTP44" s="276"/>
      <c r="LTQ44" s="276"/>
      <c r="LTR44" s="276"/>
      <c r="LTS44" s="275" t="s">
        <v>152</v>
      </c>
      <c r="LTT44" s="276"/>
      <c r="LTU44" s="276"/>
      <c r="LTV44" s="276"/>
      <c r="LTW44" s="276"/>
      <c r="LTX44" s="276"/>
      <c r="LTY44" s="276"/>
      <c r="LTZ44" s="276"/>
      <c r="LUA44" s="276"/>
      <c r="LUB44" s="276"/>
      <c r="LUC44" s="276"/>
      <c r="LUD44" s="276"/>
      <c r="LUE44" s="276"/>
      <c r="LUF44" s="276"/>
      <c r="LUG44" s="276"/>
      <c r="LUH44" s="276"/>
      <c r="LUI44" s="275" t="s">
        <v>152</v>
      </c>
      <c r="LUJ44" s="276"/>
      <c r="LUK44" s="276"/>
      <c r="LUL44" s="276"/>
      <c r="LUM44" s="276"/>
      <c r="LUN44" s="276"/>
      <c r="LUO44" s="276"/>
      <c r="LUP44" s="276"/>
      <c r="LUQ44" s="276"/>
      <c r="LUR44" s="276"/>
      <c r="LUS44" s="276"/>
      <c r="LUT44" s="276"/>
      <c r="LUU44" s="276"/>
      <c r="LUV44" s="276"/>
      <c r="LUW44" s="276"/>
      <c r="LUX44" s="276"/>
      <c r="LUY44" s="275" t="s">
        <v>152</v>
      </c>
      <c r="LUZ44" s="276"/>
      <c r="LVA44" s="276"/>
      <c r="LVB44" s="276"/>
      <c r="LVC44" s="276"/>
      <c r="LVD44" s="276"/>
      <c r="LVE44" s="276"/>
      <c r="LVF44" s="276"/>
      <c r="LVG44" s="276"/>
      <c r="LVH44" s="276"/>
      <c r="LVI44" s="276"/>
      <c r="LVJ44" s="276"/>
      <c r="LVK44" s="276"/>
      <c r="LVL44" s="276"/>
      <c r="LVM44" s="276"/>
      <c r="LVN44" s="276"/>
      <c r="LVO44" s="275" t="s">
        <v>152</v>
      </c>
      <c r="LVP44" s="276"/>
      <c r="LVQ44" s="276"/>
      <c r="LVR44" s="276"/>
      <c r="LVS44" s="276"/>
      <c r="LVT44" s="276"/>
      <c r="LVU44" s="276"/>
      <c r="LVV44" s="276"/>
      <c r="LVW44" s="276"/>
      <c r="LVX44" s="276"/>
      <c r="LVY44" s="276"/>
      <c r="LVZ44" s="276"/>
      <c r="LWA44" s="276"/>
      <c r="LWB44" s="276"/>
      <c r="LWC44" s="276"/>
      <c r="LWD44" s="276"/>
      <c r="LWE44" s="275" t="s">
        <v>152</v>
      </c>
      <c r="LWF44" s="276"/>
      <c r="LWG44" s="276"/>
      <c r="LWH44" s="276"/>
      <c r="LWI44" s="276"/>
      <c r="LWJ44" s="276"/>
      <c r="LWK44" s="276"/>
      <c r="LWL44" s="276"/>
      <c r="LWM44" s="276"/>
      <c r="LWN44" s="276"/>
      <c r="LWO44" s="276"/>
      <c r="LWP44" s="276"/>
      <c r="LWQ44" s="276"/>
      <c r="LWR44" s="276"/>
      <c r="LWS44" s="276"/>
      <c r="LWT44" s="276"/>
      <c r="LWU44" s="275" t="s">
        <v>152</v>
      </c>
      <c r="LWV44" s="276"/>
      <c r="LWW44" s="276"/>
      <c r="LWX44" s="276"/>
      <c r="LWY44" s="276"/>
      <c r="LWZ44" s="276"/>
      <c r="LXA44" s="276"/>
      <c r="LXB44" s="276"/>
      <c r="LXC44" s="276"/>
      <c r="LXD44" s="276"/>
      <c r="LXE44" s="276"/>
      <c r="LXF44" s="276"/>
      <c r="LXG44" s="276"/>
      <c r="LXH44" s="276"/>
      <c r="LXI44" s="276"/>
      <c r="LXJ44" s="276"/>
      <c r="LXK44" s="275" t="s">
        <v>152</v>
      </c>
      <c r="LXL44" s="276"/>
      <c r="LXM44" s="276"/>
      <c r="LXN44" s="276"/>
      <c r="LXO44" s="276"/>
      <c r="LXP44" s="276"/>
      <c r="LXQ44" s="276"/>
      <c r="LXR44" s="276"/>
      <c r="LXS44" s="276"/>
      <c r="LXT44" s="276"/>
      <c r="LXU44" s="276"/>
      <c r="LXV44" s="276"/>
      <c r="LXW44" s="276"/>
      <c r="LXX44" s="276"/>
      <c r="LXY44" s="276"/>
      <c r="LXZ44" s="276"/>
      <c r="LYA44" s="275" t="s">
        <v>152</v>
      </c>
      <c r="LYB44" s="276"/>
      <c r="LYC44" s="276"/>
      <c r="LYD44" s="276"/>
      <c r="LYE44" s="276"/>
      <c r="LYF44" s="276"/>
      <c r="LYG44" s="276"/>
      <c r="LYH44" s="276"/>
      <c r="LYI44" s="276"/>
      <c r="LYJ44" s="276"/>
      <c r="LYK44" s="276"/>
      <c r="LYL44" s="276"/>
      <c r="LYM44" s="276"/>
      <c r="LYN44" s="276"/>
      <c r="LYO44" s="276"/>
      <c r="LYP44" s="276"/>
      <c r="LYQ44" s="275" t="s">
        <v>152</v>
      </c>
      <c r="LYR44" s="276"/>
      <c r="LYS44" s="276"/>
      <c r="LYT44" s="276"/>
      <c r="LYU44" s="276"/>
      <c r="LYV44" s="276"/>
      <c r="LYW44" s="276"/>
      <c r="LYX44" s="276"/>
      <c r="LYY44" s="276"/>
      <c r="LYZ44" s="276"/>
      <c r="LZA44" s="276"/>
      <c r="LZB44" s="276"/>
      <c r="LZC44" s="276"/>
      <c r="LZD44" s="276"/>
      <c r="LZE44" s="276"/>
      <c r="LZF44" s="276"/>
      <c r="LZG44" s="275" t="s">
        <v>152</v>
      </c>
      <c r="LZH44" s="276"/>
      <c r="LZI44" s="276"/>
      <c r="LZJ44" s="276"/>
      <c r="LZK44" s="276"/>
      <c r="LZL44" s="276"/>
      <c r="LZM44" s="276"/>
      <c r="LZN44" s="276"/>
      <c r="LZO44" s="276"/>
      <c r="LZP44" s="276"/>
      <c r="LZQ44" s="276"/>
      <c r="LZR44" s="276"/>
      <c r="LZS44" s="276"/>
      <c r="LZT44" s="276"/>
      <c r="LZU44" s="276"/>
      <c r="LZV44" s="276"/>
      <c r="LZW44" s="275" t="s">
        <v>152</v>
      </c>
      <c r="LZX44" s="276"/>
      <c r="LZY44" s="276"/>
      <c r="LZZ44" s="276"/>
      <c r="MAA44" s="276"/>
      <c r="MAB44" s="276"/>
      <c r="MAC44" s="276"/>
      <c r="MAD44" s="276"/>
      <c r="MAE44" s="276"/>
      <c r="MAF44" s="276"/>
      <c r="MAG44" s="276"/>
      <c r="MAH44" s="276"/>
      <c r="MAI44" s="276"/>
      <c r="MAJ44" s="276"/>
      <c r="MAK44" s="276"/>
      <c r="MAL44" s="276"/>
      <c r="MAM44" s="275" t="s">
        <v>152</v>
      </c>
      <c r="MAN44" s="276"/>
      <c r="MAO44" s="276"/>
      <c r="MAP44" s="276"/>
      <c r="MAQ44" s="276"/>
      <c r="MAR44" s="276"/>
      <c r="MAS44" s="276"/>
      <c r="MAT44" s="276"/>
      <c r="MAU44" s="276"/>
      <c r="MAV44" s="276"/>
      <c r="MAW44" s="276"/>
      <c r="MAX44" s="276"/>
      <c r="MAY44" s="276"/>
      <c r="MAZ44" s="276"/>
      <c r="MBA44" s="276"/>
      <c r="MBB44" s="276"/>
      <c r="MBC44" s="275" t="s">
        <v>152</v>
      </c>
      <c r="MBD44" s="276"/>
      <c r="MBE44" s="276"/>
      <c r="MBF44" s="276"/>
      <c r="MBG44" s="276"/>
      <c r="MBH44" s="276"/>
      <c r="MBI44" s="276"/>
      <c r="MBJ44" s="276"/>
      <c r="MBK44" s="276"/>
      <c r="MBL44" s="276"/>
      <c r="MBM44" s="276"/>
      <c r="MBN44" s="276"/>
      <c r="MBO44" s="276"/>
      <c r="MBP44" s="276"/>
      <c r="MBQ44" s="276"/>
      <c r="MBR44" s="276"/>
      <c r="MBS44" s="275" t="s">
        <v>152</v>
      </c>
      <c r="MBT44" s="276"/>
      <c r="MBU44" s="276"/>
      <c r="MBV44" s="276"/>
      <c r="MBW44" s="276"/>
      <c r="MBX44" s="276"/>
      <c r="MBY44" s="276"/>
      <c r="MBZ44" s="276"/>
      <c r="MCA44" s="276"/>
      <c r="MCB44" s="276"/>
      <c r="MCC44" s="276"/>
      <c r="MCD44" s="276"/>
      <c r="MCE44" s="276"/>
      <c r="MCF44" s="276"/>
      <c r="MCG44" s="276"/>
      <c r="MCH44" s="276"/>
      <c r="MCI44" s="275" t="s">
        <v>152</v>
      </c>
      <c r="MCJ44" s="276"/>
      <c r="MCK44" s="276"/>
      <c r="MCL44" s="276"/>
      <c r="MCM44" s="276"/>
      <c r="MCN44" s="276"/>
      <c r="MCO44" s="276"/>
      <c r="MCP44" s="276"/>
      <c r="MCQ44" s="276"/>
      <c r="MCR44" s="276"/>
      <c r="MCS44" s="276"/>
      <c r="MCT44" s="276"/>
      <c r="MCU44" s="276"/>
      <c r="MCV44" s="276"/>
      <c r="MCW44" s="276"/>
      <c r="MCX44" s="276"/>
      <c r="MCY44" s="275" t="s">
        <v>152</v>
      </c>
      <c r="MCZ44" s="276"/>
      <c r="MDA44" s="276"/>
      <c r="MDB44" s="276"/>
      <c r="MDC44" s="276"/>
      <c r="MDD44" s="276"/>
      <c r="MDE44" s="276"/>
      <c r="MDF44" s="276"/>
      <c r="MDG44" s="276"/>
      <c r="MDH44" s="276"/>
      <c r="MDI44" s="276"/>
      <c r="MDJ44" s="276"/>
      <c r="MDK44" s="276"/>
      <c r="MDL44" s="276"/>
      <c r="MDM44" s="276"/>
      <c r="MDN44" s="276"/>
      <c r="MDO44" s="275" t="s">
        <v>152</v>
      </c>
      <c r="MDP44" s="276"/>
      <c r="MDQ44" s="276"/>
      <c r="MDR44" s="276"/>
      <c r="MDS44" s="276"/>
      <c r="MDT44" s="276"/>
      <c r="MDU44" s="276"/>
      <c r="MDV44" s="276"/>
      <c r="MDW44" s="276"/>
      <c r="MDX44" s="276"/>
      <c r="MDY44" s="276"/>
      <c r="MDZ44" s="276"/>
      <c r="MEA44" s="276"/>
      <c r="MEB44" s="276"/>
      <c r="MEC44" s="276"/>
      <c r="MED44" s="276"/>
      <c r="MEE44" s="275" t="s">
        <v>152</v>
      </c>
      <c r="MEF44" s="276"/>
      <c r="MEG44" s="276"/>
      <c r="MEH44" s="276"/>
      <c r="MEI44" s="276"/>
      <c r="MEJ44" s="276"/>
      <c r="MEK44" s="276"/>
      <c r="MEL44" s="276"/>
      <c r="MEM44" s="276"/>
      <c r="MEN44" s="276"/>
      <c r="MEO44" s="276"/>
      <c r="MEP44" s="276"/>
      <c r="MEQ44" s="276"/>
      <c r="MER44" s="276"/>
      <c r="MES44" s="276"/>
      <c r="MET44" s="276"/>
      <c r="MEU44" s="275" t="s">
        <v>152</v>
      </c>
      <c r="MEV44" s="276"/>
      <c r="MEW44" s="276"/>
      <c r="MEX44" s="276"/>
      <c r="MEY44" s="276"/>
      <c r="MEZ44" s="276"/>
      <c r="MFA44" s="276"/>
      <c r="MFB44" s="276"/>
      <c r="MFC44" s="276"/>
      <c r="MFD44" s="276"/>
      <c r="MFE44" s="276"/>
      <c r="MFF44" s="276"/>
      <c r="MFG44" s="276"/>
      <c r="MFH44" s="276"/>
      <c r="MFI44" s="276"/>
      <c r="MFJ44" s="276"/>
      <c r="MFK44" s="275" t="s">
        <v>152</v>
      </c>
      <c r="MFL44" s="276"/>
      <c r="MFM44" s="276"/>
      <c r="MFN44" s="276"/>
      <c r="MFO44" s="276"/>
      <c r="MFP44" s="276"/>
      <c r="MFQ44" s="276"/>
      <c r="MFR44" s="276"/>
      <c r="MFS44" s="276"/>
      <c r="MFT44" s="276"/>
      <c r="MFU44" s="276"/>
      <c r="MFV44" s="276"/>
      <c r="MFW44" s="276"/>
      <c r="MFX44" s="276"/>
      <c r="MFY44" s="276"/>
      <c r="MFZ44" s="276"/>
      <c r="MGA44" s="275" t="s">
        <v>152</v>
      </c>
      <c r="MGB44" s="276"/>
      <c r="MGC44" s="276"/>
      <c r="MGD44" s="276"/>
      <c r="MGE44" s="276"/>
      <c r="MGF44" s="276"/>
      <c r="MGG44" s="276"/>
      <c r="MGH44" s="276"/>
      <c r="MGI44" s="276"/>
      <c r="MGJ44" s="276"/>
      <c r="MGK44" s="276"/>
      <c r="MGL44" s="276"/>
      <c r="MGM44" s="276"/>
      <c r="MGN44" s="276"/>
      <c r="MGO44" s="276"/>
      <c r="MGP44" s="276"/>
      <c r="MGQ44" s="275" t="s">
        <v>152</v>
      </c>
      <c r="MGR44" s="276"/>
      <c r="MGS44" s="276"/>
      <c r="MGT44" s="276"/>
      <c r="MGU44" s="276"/>
      <c r="MGV44" s="276"/>
      <c r="MGW44" s="276"/>
      <c r="MGX44" s="276"/>
      <c r="MGY44" s="276"/>
      <c r="MGZ44" s="276"/>
      <c r="MHA44" s="276"/>
      <c r="MHB44" s="276"/>
      <c r="MHC44" s="276"/>
      <c r="MHD44" s="276"/>
      <c r="MHE44" s="276"/>
      <c r="MHF44" s="276"/>
      <c r="MHG44" s="275" t="s">
        <v>152</v>
      </c>
      <c r="MHH44" s="276"/>
      <c r="MHI44" s="276"/>
      <c r="MHJ44" s="276"/>
      <c r="MHK44" s="276"/>
      <c r="MHL44" s="276"/>
      <c r="MHM44" s="276"/>
      <c r="MHN44" s="276"/>
      <c r="MHO44" s="276"/>
      <c r="MHP44" s="276"/>
      <c r="MHQ44" s="276"/>
      <c r="MHR44" s="276"/>
      <c r="MHS44" s="276"/>
      <c r="MHT44" s="276"/>
      <c r="MHU44" s="276"/>
      <c r="MHV44" s="276"/>
      <c r="MHW44" s="275" t="s">
        <v>152</v>
      </c>
      <c r="MHX44" s="276"/>
      <c r="MHY44" s="276"/>
      <c r="MHZ44" s="276"/>
      <c r="MIA44" s="276"/>
      <c r="MIB44" s="276"/>
      <c r="MIC44" s="276"/>
      <c r="MID44" s="276"/>
      <c r="MIE44" s="276"/>
      <c r="MIF44" s="276"/>
      <c r="MIG44" s="276"/>
      <c r="MIH44" s="276"/>
      <c r="MII44" s="276"/>
      <c r="MIJ44" s="276"/>
      <c r="MIK44" s="276"/>
      <c r="MIL44" s="276"/>
      <c r="MIM44" s="275" t="s">
        <v>152</v>
      </c>
      <c r="MIN44" s="276"/>
      <c r="MIO44" s="276"/>
      <c r="MIP44" s="276"/>
      <c r="MIQ44" s="276"/>
      <c r="MIR44" s="276"/>
      <c r="MIS44" s="276"/>
      <c r="MIT44" s="276"/>
      <c r="MIU44" s="276"/>
      <c r="MIV44" s="276"/>
      <c r="MIW44" s="276"/>
      <c r="MIX44" s="276"/>
      <c r="MIY44" s="276"/>
      <c r="MIZ44" s="276"/>
      <c r="MJA44" s="276"/>
      <c r="MJB44" s="276"/>
      <c r="MJC44" s="275" t="s">
        <v>152</v>
      </c>
      <c r="MJD44" s="276"/>
      <c r="MJE44" s="276"/>
      <c r="MJF44" s="276"/>
      <c r="MJG44" s="276"/>
      <c r="MJH44" s="276"/>
      <c r="MJI44" s="276"/>
      <c r="MJJ44" s="276"/>
      <c r="MJK44" s="276"/>
      <c r="MJL44" s="276"/>
      <c r="MJM44" s="276"/>
      <c r="MJN44" s="276"/>
      <c r="MJO44" s="276"/>
      <c r="MJP44" s="276"/>
      <c r="MJQ44" s="276"/>
      <c r="MJR44" s="276"/>
      <c r="MJS44" s="275" t="s">
        <v>152</v>
      </c>
      <c r="MJT44" s="276"/>
      <c r="MJU44" s="276"/>
      <c r="MJV44" s="276"/>
      <c r="MJW44" s="276"/>
      <c r="MJX44" s="276"/>
      <c r="MJY44" s="276"/>
      <c r="MJZ44" s="276"/>
      <c r="MKA44" s="276"/>
      <c r="MKB44" s="276"/>
      <c r="MKC44" s="276"/>
      <c r="MKD44" s="276"/>
      <c r="MKE44" s="276"/>
      <c r="MKF44" s="276"/>
      <c r="MKG44" s="276"/>
      <c r="MKH44" s="276"/>
      <c r="MKI44" s="275" t="s">
        <v>152</v>
      </c>
      <c r="MKJ44" s="276"/>
      <c r="MKK44" s="276"/>
      <c r="MKL44" s="276"/>
      <c r="MKM44" s="276"/>
      <c r="MKN44" s="276"/>
      <c r="MKO44" s="276"/>
      <c r="MKP44" s="276"/>
      <c r="MKQ44" s="276"/>
      <c r="MKR44" s="276"/>
      <c r="MKS44" s="276"/>
      <c r="MKT44" s="276"/>
      <c r="MKU44" s="276"/>
      <c r="MKV44" s="276"/>
      <c r="MKW44" s="276"/>
      <c r="MKX44" s="276"/>
      <c r="MKY44" s="275" t="s">
        <v>152</v>
      </c>
      <c r="MKZ44" s="276"/>
      <c r="MLA44" s="276"/>
      <c r="MLB44" s="276"/>
      <c r="MLC44" s="276"/>
      <c r="MLD44" s="276"/>
      <c r="MLE44" s="276"/>
      <c r="MLF44" s="276"/>
      <c r="MLG44" s="276"/>
      <c r="MLH44" s="276"/>
      <c r="MLI44" s="276"/>
      <c r="MLJ44" s="276"/>
      <c r="MLK44" s="276"/>
      <c r="MLL44" s="276"/>
      <c r="MLM44" s="276"/>
      <c r="MLN44" s="276"/>
      <c r="MLO44" s="275" t="s">
        <v>152</v>
      </c>
      <c r="MLP44" s="276"/>
      <c r="MLQ44" s="276"/>
      <c r="MLR44" s="276"/>
      <c r="MLS44" s="276"/>
      <c r="MLT44" s="276"/>
      <c r="MLU44" s="276"/>
      <c r="MLV44" s="276"/>
      <c r="MLW44" s="276"/>
      <c r="MLX44" s="276"/>
      <c r="MLY44" s="276"/>
      <c r="MLZ44" s="276"/>
      <c r="MMA44" s="276"/>
      <c r="MMB44" s="276"/>
      <c r="MMC44" s="276"/>
      <c r="MMD44" s="276"/>
      <c r="MME44" s="275" t="s">
        <v>152</v>
      </c>
      <c r="MMF44" s="276"/>
      <c r="MMG44" s="276"/>
      <c r="MMH44" s="276"/>
      <c r="MMI44" s="276"/>
      <c r="MMJ44" s="276"/>
      <c r="MMK44" s="276"/>
      <c r="MML44" s="276"/>
      <c r="MMM44" s="276"/>
      <c r="MMN44" s="276"/>
      <c r="MMO44" s="276"/>
      <c r="MMP44" s="276"/>
      <c r="MMQ44" s="276"/>
      <c r="MMR44" s="276"/>
      <c r="MMS44" s="276"/>
      <c r="MMT44" s="276"/>
      <c r="MMU44" s="275" t="s">
        <v>152</v>
      </c>
      <c r="MMV44" s="276"/>
      <c r="MMW44" s="276"/>
      <c r="MMX44" s="276"/>
      <c r="MMY44" s="276"/>
      <c r="MMZ44" s="276"/>
      <c r="MNA44" s="276"/>
      <c r="MNB44" s="276"/>
      <c r="MNC44" s="276"/>
      <c r="MND44" s="276"/>
      <c r="MNE44" s="276"/>
      <c r="MNF44" s="276"/>
      <c r="MNG44" s="276"/>
      <c r="MNH44" s="276"/>
      <c r="MNI44" s="276"/>
      <c r="MNJ44" s="276"/>
      <c r="MNK44" s="275" t="s">
        <v>152</v>
      </c>
      <c r="MNL44" s="276"/>
      <c r="MNM44" s="276"/>
      <c r="MNN44" s="276"/>
      <c r="MNO44" s="276"/>
      <c r="MNP44" s="276"/>
      <c r="MNQ44" s="276"/>
      <c r="MNR44" s="276"/>
      <c r="MNS44" s="276"/>
      <c r="MNT44" s="276"/>
      <c r="MNU44" s="276"/>
      <c r="MNV44" s="276"/>
      <c r="MNW44" s="276"/>
      <c r="MNX44" s="276"/>
      <c r="MNY44" s="276"/>
      <c r="MNZ44" s="276"/>
      <c r="MOA44" s="275" t="s">
        <v>152</v>
      </c>
      <c r="MOB44" s="276"/>
      <c r="MOC44" s="276"/>
      <c r="MOD44" s="276"/>
      <c r="MOE44" s="276"/>
      <c r="MOF44" s="276"/>
      <c r="MOG44" s="276"/>
      <c r="MOH44" s="276"/>
      <c r="MOI44" s="276"/>
      <c r="MOJ44" s="276"/>
      <c r="MOK44" s="276"/>
      <c r="MOL44" s="276"/>
      <c r="MOM44" s="276"/>
      <c r="MON44" s="276"/>
      <c r="MOO44" s="276"/>
      <c r="MOP44" s="276"/>
      <c r="MOQ44" s="275" t="s">
        <v>152</v>
      </c>
      <c r="MOR44" s="276"/>
      <c r="MOS44" s="276"/>
      <c r="MOT44" s="276"/>
      <c r="MOU44" s="276"/>
      <c r="MOV44" s="276"/>
      <c r="MOW44" s="276"/>
      <c r="MOX44" s="276"/>
      <c r="MOY44" s="276"/>
      <c r="MOZ44" s="276"/>
      <c r="MPA44" s="276"/>
      <c r="MPB44" s="276"/>
      <c r="MPC44" s="276"/>
      <c r="MPD44" s="276"/>
      <c r="MPE44" s="276"/>
      <c r="MPF44" s="276"/>
      <c r="MPG44" s="275" t="s">
        <v>152</v>
      </c>
      <c r="MPH44" s="276"/>
      <c r="MPI44" s="276"/>
      <c r="MPJ44" s="276"/>
      <c r="MPK44" s="276"/>
      <c r="MPL44" s="276"/>
      <c r="MPM44" s="276"/>
      <c r="MPN44" s="276"/>
      <c r="MPO44" s="276"/>
      <c r="MPP44" s="276"/>
      <c r="MPQ44" s="276"/>
      <c r="MPR44" s="276"/>
      <c r="MPS44" s="276"/>
      <c r="MPT44" s="276"/>
      <c r="MPU44" s="276"/>
      <c r="MPV44" s="276"/>
      <c r="MPW44" s="275" t="s">
        <v>152</v>
      </c>
      <c r="MPX44" s="276"/>
      <c r="MPY44" s="276"/>
      <c r="MPZ44" s="276"/>
      <c r="MQA44" s="276"/>
      <c r="MQB44" s="276"/>
      <c r="MQC44" s="276"/>
      <c r="MQD44" s="276"/>
      <c r="MQE44" s="276"/>
      <c r="MQF44" s="276"/>
      <c r="MQG44" s="276"/>
      <c r="MQH44" s="276"/>
      <c r="MQI44" s="276"/>
      <c r="MQJ44" s="276"/>
      <c r="MQK44" s="276"/>
      <c r="MQL44" s="276"/>
      <c r="MQM44" s="275" t="s">
        <v>152</v>
      </c>
      <c r="MQN44" s="276"/>
      <c r="MQO44" s="276"/>
      <c r="MQP44" s="276"/>
      <c r="MQQ44" s="276"/>
      <c r="MQR44" s="276"/>
      <c r="MQS44" s="276"/>
      <c r="MQT44" s="276"/>
      <c r="MQU44" s="276"/>
      <c r="MQV44" s="276"/>
      <c r="MQW44" s="276"/>
      <c r="MQX44" s="276"/>
      <c r="MQY44" s="276"/>
      <c r="MQZ44" s="276"/>
      <c r="MRA44" s="276"/>
      <c r="MRB44" s="276"/>
      <c r="MRC44" s="275" t="s">
        <v>152</v>
      </c>
      <c r="MRD44" s="276"/>
      <c r="MRE44" s="276"/>
      <c r="MRF44" s="276"/>
      <c r="MRG44" s="276"/>
      <c r="MRH44" s="276"/>
      <c r="MRI44" s="276"/>
      <c r="MRJ44" s="276"/>
      <c r="MRK44" s="276"/>
      <c r="MRL44" s="276"/>
      <c r="MRM44" s="276"/>
      <c r="MRN44" s="276"/>
      <c r="MRO44" s="276"/>
      <c r="MRP44" s="276"/>
      <c r="MRQ44" s="276"/>
      <c r="MRR44" s="276"/>
      <c r="MRS44" s="275" t="s">
        <v>152</v>
      </c>
      <c r="MRT44" s="276"/>
      <c r="MRU44" s="276"/>
      <c r="MRV44" s="276"/>
      <c r="MRW44" s="276"/>
      <c r="MRX44" s="276"/>
      <c r="MRY44" s="276"/>
      <c r="MRZ44" s="276"/>
      <c r="MSA44" s="276"/>
      <c r="MSB44" s="276"/>
      <c r="MSC44" s="276"/>
      <c r="MSD44" s="276"/>
      <c r="MSE44" s="276"/>
      <c r="MSF44" s="276"/>
      <c r="MSG44" s="276"/>
      <c r="MSH44" s="276"/>
      <c r="MSI44" s="275" t="s">
        <v>152</v>
      </c>
      <c r="MSJ44" s="276"/>
      <c r="MSK44" s="276"/>
      <c r="MSL44" s="276"/>
      <c r="MSM44" s="276"/>
      <c r="MSN44" s="276"/>
      <c r="MSO44" s="276"/>
      <c r="MSP44" s="276"/>
      <c r="MSQ44" s="276"/>
      <c r="MSR44" s="276"/>
      <c r="MSS44" s="276"/>
      <c r="MST44" s="276"/>
      <c r="MSU44" s="276"/>
      <c r="MSV44" s="276"/>
      <c r="MSW44" s="276"/>
      <c r="MSX44" s="276"/>
      <c r="MSY44" s="275" t="s">
        <v>152</v>
      </c>
      <c r="MSZ44" s="276"/>
      <c r="MTA44" s="276"/>
      <c r="MTB44" s="276"/>
      <c r="MTC44" s="276"/>
      <c r="MTD44" s="276"/>
      <c r="MTE44" s="276"/>
      <c r="MTF44" s="276"/>
      <c r="MTG44" s="276"/>
      <c r="MTH44" s="276"/>
      <c r="MTI44" s="276"/>
      <c r="MTJ44" s="276"/>
      <c r="MTK44" s="276"/>
      <c r="MTL44" s="276"/>
      <c r="MTM44" s="276"/>
      <c r="MTN44" s="276"/>
      <c r="MTO44" s="275" t="s">
        <v>152</v>
      </c>
      <c r="MTP44" s="276"/>
      <c r="MTQ44" s="276"/>
      <c r="MTR44" s="276"/>
      <c r="MTS44" s="276"/>
      <c r="MTT44" s="276"/>
      <c r="MTU44" s="276"/>
      <c r="MTV44" s="276"/>
      <c r="MTW44" s="276"/>
      <c r="MTX44" s="276"/>
      <c r="MTY44" s="276"/>
      <c r="MTZ44" s="276"/>
      <c r="MUA44" s="276"/>
      <c r="MUB44" s="276"/>
      <c r="MUC44" s="276"/>
      <c r="MUD44" s="276"/>
      <c r="MUE44" s="275" t="s">
        <v>152</v>
      </c>
      <c r="MUF44" s="276"/>
      <c r="MUG44" s="276"/>
      <c r="MUH44" s="276"/>
      <c r="MUI44" s="276"/>
      <c r="MUJ44" s="276"/>
      <c r="MUK44" s="276"/>
      <c r="MUL44" s="276"/>
      <c r="MUM44" s="276"/>
      <c r="MUN44" s="276"/>
      <c r="MUO44" s="276"/>
      <c r="MUP44" s="276"/>
      <c r="MUQ44" s="276"/>
      <c r="MUR44" s="276"/>
      <c r="MUS44" s="276"/>
      <c r="MUT44" s="276"/>
      <c r="MUU44" s="275" t="s">
        <v>152</v>
      </c>
      <c r="MUV44" s="276"/>
      <c r="MUW44" s="276"/>
      <c r="MUX44" s="276"/>
      <c r="MUY44" s="276"/>
      <c r="MUZ44" s="276"/>
      <c r="MVA44" s="276"/>
      <c r="MVB44" s="276"/>
      <c r="MVC44" s="276"/>
      <c r="MVD44" s="276"/>
      <c r="MVE44" s="276"/>
      <c r="MVF44" s="276"/>
      <c r="MVG44" s="276"/>
      <c r="MVH44" s="276"/>
      <c r="MVI44" s="276"/>
      <c r="MVJ44" s="276"/>
      <c r="MVK44" s="275" t="s">
        <v>152</v>
      </c>
      <c r="MVL44" s="276"/>
      <c r="MVM44" s="276"/>
      <c r="MVN44" s="276"/>
      <c r="MVO44" s="276"/>
      <c r="MVP44" s="276"/>
      <c r="MVQ44" s="276"/>
      <c r="MVR44" s="276"/>
      <c r="MVS44" s="276"/>
      <c r="MVT44" s="276"/>
      <c r="MVU44" s="276"/>
      <c r="MVV44" s="276"/>
      <c r="MVW44" s="276"/>
      <c r="MVX44" s="276"/>
      <c r="MVY44" s="276"/>
      <c r="MVZ44" s="276"/>
      <c r="MWA44" s="275" t="s">
        <v>152</v>
      </c>
      <c r="MWB44" s="276"/>
      <c r="MWC44" s="276"/>
      <c r="MWD44" s="276"/>
      <c r="MWE44" s="276"/>
      <c r="MWF44" s="276"/>
      <c r="MWG44" s="276"/>
      <c r="MWH44" s="276"/>
      <c r="MWI44" s="276"/>
      <c r="MWJ44" s="276"/>
      <c r="MWK44" s="276"/>
      <c r="MWL44" s="276"/>
      <c r="MWM44" s="276"/>
      <c r="MWN44" s="276"/>
      <c r="MWO44" s="276"/>
      <c r="MWP44" s="276"/>
      <c r="MWQ44" s="275" t="s">
        <v>152</v>
      </c>
      <c r="MWR44" s="276"/>
      <c r="MWS44" s="276"/>
      <c r="MWT44" s="276"/>
      <c r="MWU44" s="276"/>
      <c r="MWV44" s="276"/>
      <c r="MWW44" s="276"/>
      <c r="MWX44" s="276"/>
      <c r="MWY44" s="276"/>
      <c r="MWZ44" s="276"/>
      <c r="MXA44" s="276"/>
      <c r="MXB44" s="276"/>
      <c r="MXC44" s="276"/>
      <c r="MXD44" s="276"/>
      <c r="MXE44" s="276"/>
      <c r="MXF44" s="276"/>
      <c r="MXG44" s="275" t="s">
        <v>152</v>
      </c>
      <c r="MXH44" s="276"/>
      <c r="MXI44" s="276"/>
      <c r="MXJ44" s="276"/>
      <c r="MXK44" s="276"/>
      <c r="MXL44" s="276"/>
      <c r="MXM44" s="276"/>
      <c r="MXN44" s="276"/>
      <c r="MXO44" s="276"/>
      <c r="MXP44" s="276"/>
      <c r="MXQ44" s="276"/>
      <c r="MXR44" s="276"/>
      <c r="MXS44" s="276"/>
      <c r="MXT44" s="276"/>
      <c r="MXU44" s="276"/>
      <c r="MXV44" s="276"/>
      <c r="MXW44" s="275" t="s">
        <v>152</v>
      </c>
      <c r="MXX44" s="276"/>
      <c r="MXY44" s="276"/>
      <c r="MXZ44" s="276"/>
      <c r="MYA44" s="276"/>
      <c r="MYB44" s="276"/>
      <c r="MYC44" s="276"/>
      <c r="MYD44" s="276"/>
      <c r="MYE44" s="276"/>
      <c r="MYF44" s="276"/>
      <c r="MYG44" s="276"/>
      <c r="MYH44" s="276"/>
      <c r="MYI44" s="276"/>
      <c r="MYJ44" s="276"/>
      <c r="MYK44" s="276"/>
      <c r="MYL44" s="276"/>
      <c r="MYM44" s="275" t="s">
        <v>152</v>
      </c>
      <c r="MYN44" s="276"/>
      <c r="MYO44" s="276"/>
      <c r="MYP44" s="276"/>
      <c r="MYQ44" s="276"/>
      <c r="MYR44" s="276"/>
      <c r="MYS44" s="276"/>
      <c r="MYT44" s="276"/>
      <c r="MYU44" s="276"/>
      <c r="MYV44" s="276"/>
      <c r="MYW44" s="276"/>
      <c r="MYX44" s="276"/>
      <c r="MYY44" s="276"/>
      <c r="MYZ44" s="276"/>
      <c r="MZA44" s="276"/>
      <c r="MZB44" s="276"/>
      <c r="MZC44" s="275" t="s">
        <v>152</v>
      </c>
      <c r="MZD44" s="276"/>
      <c r="MZE44" s="276"/>
      <c r="MZF44" s="276"/>
      <c r="MZG44" s="276"/>
      <c r="MZH44" s="276"/>
      <c r="MZI44" s="276"/>
      <c r="MZJ44" s="276"/>
      <c r="MZK44" s="276"/>
      <c r="MZL44" s="276"/>
      <c r="MZM44" s="276"/>
      <c r="MZN44" s="276"/>
      <c r="MZO44" s="276"/>
      <c r="MZP44" s="276"/>
      <c r="MZQ44" s="276"/>
      <c r="MZR44" s="276"/>
      <c r="MZS44" s="275" t="s">
        <v>152</v>
      </c>
      <c r="MZT44" s="276"/>
      <c r="MZU44" s="276"/>
      <c r="MZV44" s="276"/>
      <c r="MZW44" s="276"/>
      <c r="MZX44" s="276"/>
      <c r="MZY44" s="276"/>
      <c r="MZZ44" s="276"/>
      <c r="NAA44" s="276"/>
      <c r="NAB44" s="276"/>
      <c r="NAC44" s="276"/>
      <c r="NAD44" s="276"/>
      <c r="NAE44" s="276"/>
      <c r="NAF44" s="276"/>
      <c r="NAG44" s="276"/>
      <c r="NAH44" s="276"/>
      <c r="NAI44" s="275" t="s">
        <v>152</v>
      </c>
      <c r="NAJ44" s="276"/>
      <c r="NAK44" s="276"/>
      <c r="NAL44" s="276"/>
      <c r="NAM44" s="276"/>
      <c r="NAN44" s="276"/>
      <c r="NAO44" s="276"/>
      <c r="NAP44" s="276"/>
      <c r="NAQ44" s="276"/>
      <c r="NAR44" s="276"/>
      <c r="NAS44" s="276"/>
      <c r="NAT44" s="276"/>
      <c r="NAU44" s="276"/>
      <c r="NAV44" s="276"/>
      <c r="NAW44" s="276"/>
      <c r="NAX44" s="276"/>
      <c r="NAY44" s="275" t="s">
        <v>152</v>
      </c>
      <c r="NAZ44" s="276"/>
      <c r="NBA44" s="276"/>
      <c r="NBB44" s="276"/>
      <c r="NBC44" s="276"/>
      <c r="NBD44" s="276"/>
      <c r="NBE44" s="276"/>
      <c r="NBF44" s="276"/>
      <c r="NBG44" s="276"/>
      <c r="NBH44" s="276"/>
      <c r="NBI44" s="276"/>
      <c r="NBJ44" s="276"/>
      <c r="NBK44" s="276"/>
      <c r="NBL44" s="276"/>
      <c r="NBM44" s="276"/>
      <c r="NBN44" s="276"/>
      <c r="NBO44" s="275" t="s">
        <v>152</v>
      </c>
      <c r="NBP44" s="276"/>
      <c r="NBQ44" s="276"/>
      <c r="NBR44" s="276"/>
      <c r="NBS44" s="276"/>
      <c r="NBT44" s="276"/>
      <c r="NBU44" s="276"/>
      <c r="NBV44" s="276"/>
      <c r="NBW44" s="276"/>
      <c r="NBX44" s="276"/>
      <c r="NBY44" s="276"/>
      <c r="NBZ44" s="276"/>
      <c r="NCA44" s="276"/>
      <c r="NCB44" s="276"/>
      <c r="NCC44" s="276"/>
      <c r="NCD44" s="276"/>
      <c r="NCE44" s="275" t="s">
        <v>152</v>
      </c>
      <c r="NCF44" s="276"/>
      <c r="NCG44" s="276"/>
      <c r="NCH44" s="276"/>
      <c r="NCI44" s="276"/>
      <c r="NCJ44" s="276"/>
      <c r="NCK44" s="276"/>
      <c r="NCL44" s="276"/>
      <c r="NCM44" s="276"/>
      <c r="NCN44" s="276"/>
      <c r="NCO44" s="276"/>
      <c r="NCP44" s="276"/>
      <c r="NCQ44" s="276"/>
      <c r="NCR44" s="276"/>
      <c r="NCS44" s="276"/>
      <c r="NCT44" s="276"/>
      <c r="NCU44" s="275" t="s">
        <v>152</v>
      </c>
      <c r="NCV44" s="276"/>
      <c r="NCW44" s="276"/>
      <c r="NCX44" s="276"/>
      <c r="NCY44" s="276"/>
      <c r="NCZ44" s="276"/>
      <c r="NDA44" s="276"/>
      <c r="NDB44" s="276"/>
      <c r="NDC44" s="276"/>
      <c r="NDD44" s="276"/>
      <c r="NDE44" s="276"/>
      <c r="NDF44" s="276"/>
      <c r="NDG44" s="276"/>
      <c r="NDH44" s="276"/>
      <c r="NDI44" s="276"/>
      <c r="NDJ44" s="276"/>
      <c r="NDK44" s="275" t="s">
        <v>152</v>
      </c>
      <c r="NDL44" s="276"/>
      <c r="NDM44" s="276"/>
      <c r="NDN44" s="276"/>
      <c r="NDO44" s="276"/>
      <c r="NDP44" s="276"/>
      <c r="NDQ44" s="276"/>
      <c r="NDR44" s="276"/>
      <c r="NDS44" s="276"/>
      <c r="NDT44" s="276"/>
      <c r="NDU44" s="276"/>
      <c r="NDV44" s="276"/>
      <c r="NDW44" s="276"/>
      <c r="NDX44" s="276"/>
      <c r="NDY44" s="276"/>
      <c r="NDZ44" s="276"/>
      <c r="NEA44" s="275" t="s">
        <v>152</v>
      </c>
      <c r="NEB44" s="276"/>
      <c r="NEC44" s="276"/>
      <c r="NED44" s="276"/>
      <c r="NEE44" s="276"/>
      <c r="NEF44" s="276"/>
      <c r="NEG44" s="276"/>
      <c r="NEH44" s="276"/>
      <c r="NEI44" s="276"/>
      <c r="NEJ44" s="276"/>
      <c r="NEK44" s="276"/>
      <c r="NEL44" s="276"/>
      <c r="NEM44" s="276"/>
      <c r="NEN44" s="276"/>
      <c r="NEO44" s="276"/>
      <c r="NEP44" s="276"/>
      <c r="NEQ44" s="275" t="s">
        <v>152</v>
      </c>
      <c r="NER44" s="276"/>
      <c r="NES44" s="276"/>
      <c r="NET44" s="276"/>
      <c r="NEU44" s="276"/>
      <c r="NEV44" s="276"/>
      <c r="NEW44" s="276"/>
      <c r="NEX44" s="276"/>
      <c r="NEY44" s="276"/>
      <c r="NEZ44" s="276"/>
      <c r="NFA44" s="276"/>
      <c r="NFB44" s="276"/>
      <c r="NFC44" s="276"/>
      <c r="NFD44" s="276"/>
      <c r="NFE44" s="276"/>
      <c r="NFF44" s="276"/>
      <c r="NFG44" s="275" t="s">
        <v>152</v>
      </c>
      <c r="NFH44" s="276"/>
      <c r="NFI44" s="276"/>
      <c r="NFJ44" s="276"/>
      <c r="NFK44" s="276"/>
      <c r="NFL44" s="276"/>
      <c r="NFM44" s="276"/>
      <c r="NFN44" s="276"/>
      <c r="NFO44" s="276"/>
      <c r="NFP44" s="276"/>
      <c r="NFQ44" s="276"/>
      <c r="NFR44" s="276"/>
      <c r="NFS44" s="276"/>
      <c r="NFT44" s="276"/>
      <c r="NFU44" s="276"/>
      <c r="NFV44" s="276"/>
      <c r="NFW44" s="275" t="s">
        <v>152</v>
      </c>
      <c r="NFX44" s="276"/>
      <c r="NFY44" s="276"/>
      <c r="NFZ44" s="276"/>
      <c r="NGA44" s="276"/>
      <c r="NGB44" s="276"/>
      <c r="NGC44" s="276"/>
      <c r="NGD44" s="276"/>
      <c r="NGE44" s="276"/>
      <c r="NGF44" s="276"/>
      <c r="NGG44" s="276"/>
      <c r="NGH44" s="276"/>
      <c r="NGI44" s="276"/>
      <c r="NGJ44" s="276"/>
      <c r="NGK44" s="276"/>
      <c r="NGL44" s="276"/>
      <c r="NGM44" s="275" t="s">
        <v>152</v>
      </c>
      <c r="NGN44" s="276"/>
      <c r="NGO44" s="276"/>
      <c r="NGP44" s="276"/>
      <c r="NGQ44" s="276"/>
      <c r="NGR44" s="276"/>
      <c r="NGS44" s="276"/>
      <c r="NGT44" s="276"/>
      <c r="NGU44" s="276"/>
      <c r="NGV44" s="276"/>
      <c r="NGW44" s="276"/>
      <c r="NGX44" s="276"/>
      <c r="NGY44" s="276"/>
      <c r="NGZ44" s="276"/>
      <c r="NHA44" s="276"/>
      <c r="NHB44" s="276"/>
      <c r="NHC44" s="275" t="s">
        <v>152</v>
      </c>
      <c r="NHD44" s="276"/>
      <c r="NHE44" s="276"/>
      <c r="NHF44" s="276"/>
      <c r="NHG44" s="276"/>
      <c r="NHH44" s="276"/>
      <c r="NHI44" s="276"/>
      <c r="NHJ44" s="276"/>
      <c r="NHK44" s="276"/>
      <c r="NHL44" s="276"/>
      <c r="NHM44" s="276"/>
      <c r="NHN44" s="276"/>
      <c r="NHO44" s="276"/>
      <c r="NHP44" s="276"/>
      <c r="NHQ44" s="276"/>
      <c r="NHR44" s="276"/>
      <c r="NHS44" s="275" t="s">
        <v>152</v>
      </c>
      <c r="NHT44" s="276"/>
      <c r="NHU44" s="276"/>
      <c r="NHV44" s="276"/>
      <c r="NHW44" s="276"/>
      <c r="NHX44" s="276"/>
      <c r="NHY44" s="276"/>
      <c r="NHZ44" s="276"/>
      <c r="NIA44" s="276"/>
      <c r="NIB44" s="276"/>
      <c r="NIC44" s="276"/>
      <c r="NID44" s="276"/>
      <c r="NIE44" s="276"/>
      <c r="NIF44" s="276"/>
      <c r="NIG44" s="276"/>
      <c r="NIH44" s="276"/>
      <c r="NII44" s="275" t="s">
        <v>152</v>
      </c>
      <c r="NIJ44" s="276"/>
      <c r="NIK44" s="276"/>
      <c r="NIL44" s="276"/>
      <c r="NIM44" s="276"/>
      <c r="NIN44" s="276"/>
      <c r="NIO44" s="276"/>
      <c r="NIP44" s="276"/>
      <c r="NIQ44" s="276"/>
      <c r="NIR44" s="276"/>
      <c r="NIS44" s="276"/>
      <c r="NIT44" s="276"/>
      <c r="NIU44" s="276"/>
      <c r="NIV44" s="276"/>
      <c r="NIW44" s="276"/>
      <c r="NIX44" s="276"/>
      <c r="NIY44" s="275" t="s">
        <v>152</v>
      </c>
      <c r="NIZ44" s="276"/>
      <c r="NJA44" s="276"/>
      <c r="NJB44" s="276"/>
      <c r="NJC44" s="276"/>
      <c r="NJD44" s="276"/>
      <c r="NJE44" s="276"/>
      <c r="NJF44" s="276"/>
      <c r="NJG44" s="276"/>
      <c r="NJH44" s="276"/>
      <c r="NJI44" s="276"/>
      <c r="NJJ44" s="276"/>
      <c r="NJK44" s="276"/>
      <c r="NJL44" s="276"/>
      <c r="NJM44" s="276"/>
      <c r="NJN44" s="276"/>
      <c r="NJO44" s="275" t="s">
        <v>152</v>
      </c>
      <c r="NJP44" s="276"/>
      <c r="NJQ44" s="276"/>
      <c r="NJR44" s="276"/>
      <c r="NJS44" s="276"/>
      <c r="NJT44" s="276"/>
      <c r="NJU44" s="276"/>
      <c r="NJV44" s="276"/>
      <c r="NJW44" s="276"/>
      <c r="NJX44" s="276"/>
      <c r="NJY44" s="276"/>
      <c r="NJZ44" s="276"/>
      <c r="NKA44" s="276"/>
      <c r="NKB44" s="276"/>
      <c r="NKC44" s="276"/>
      <c r="NKD44" s="276"/>
      <c r="NKE44" s="275" t="s">
        <v>152</v>
      </c>
      <c r="NKF44" s="276"/>
      <c r="NKG44" s="276"/>
      <c r="NKH44" s="276"/>
      <c r="NKI44" s="276"/>
      <c r="NKJ44" s="276"/>
      <c r="NKK44" s="276"/>
      <c r="NKL44" s="276"/>
      <c r="NKM44" s="276"/>
      <c r="NKN44" s="276"/>
      <c r="NKO44" s="276"/>
      <c r="NKP44" s="276"/>
      <c r="NKQ44" s="276"/>
      <c r="NKR44" s="276"/>
      <c r="NKS44" s="276"/>
      <c r="NKT44" s="276"/>
      <c r="NKU44" s="275" t="s">
        <v>152</v>
      </c>
      <c r="NKV44" s="276"/>
      <c r="NKW44" s="276"/>
      <c r="NKX44" s="276"/>
      <c r="NKY44" s="276"/>
      <c r="NKZ44" s="276"/>
      <c r="NLA44" s="276"/>
      <c r="NLB44" s="276"/>
      <c r="NLC44" s="276"/>
      <c r="NLD44" s="276"/>
      <c r="NLE44" s="276"/>
      <c r="NLF44" s="276"/>
      <c r="NLG44" s="276"/>
      <c r="NLH44" s="276"/>
      <c r="NLI44" s="276"/>
      <c r="NLJ44" s="276"/>
      <c r="NLK44" s="275" t="s">
        <v>152</v>
      </c>
      <c r="NLL44" s="276"/>
      <c r="NLM44" s="276"/>
      <c r="NLN44" s="276"/>
      <c r="NLO44" s="276"/>
      <c r="NLP44" s="276"/>
      <c r="NLQ44" s="276"/>
      <c r="NLR44" s="276"/>
      <c r="NLS44" s="276"/>
      <c r="NLT44" s="276"/>
      <c r="NLU44" s="276"/>
      <c r="NLV44" s="276"/>
      <c r="NLW44" s="276"/>
      <c r="NLX44" s="276"/>
      <c r="NLY44" s="276"/>
      <c r="NLZ44" s="276"/>
      <c r="NMA44" s="275" t="s">
        <v>152</v>
      </c>
      <c r="NMB44" s="276"/>
      <c r="NMC44" s="276"/>
      <c r="NMD44" s="276"/>
      <c r="NME44" s="276"/>
      <c r="NMF44" s="276"/>
      <c r="NMG44" s="276"/>
      <c r="NMH44" s="276"/>
      <c r="NMI44" s="276"/>
      <c r="NMJ44" s="276"/>
      <c r="NMK44" s="276"/>
      <c r="NML44" s="276"/>
      <c r="NMM44" s="276"/>
      <c r="NMN44" s="276"/>
      <c r="NMO44" s="276"/>
      <c r="NMP44" s="276"/>
      <c r="NMQ44" s="275" t="s">
        <v>152</v>
      </c>
      <c r="NMR44" s="276"/>
      <c r="NMS44" s="276"/>
      <c r="NMT44" s="276"/>
      <c r="NMU44" s="276"/>
      <c r="NMV44" s="276"/>
      <c r="NMW44" s="276"/>
      <c r="NMX44" s="276"/>
      <c r="NMY44" s="276"/>
      <c r="NMZ44" s="276"/>
      <c r="NNA44" s="276"/>
      <c r="NNB44" s="276"/>
      <c r="NNC44" s="276"/>
      <c r="NND44" s="276"/>
      <c r="NNE44" s="276"/>
      <c r="NNF44" s="276"/>
      <c r="NNG44" s="275" t="s">
        <v>152</v>
      </c>
      <c r="NNH44" s="276"/>
      <c r="NNI44" s="276"/>
      <c r="NNJ44" s="276"/>
      <c r="NNK44" s="276"/>
      <c r="NNL44" s="276"/>
      <c r="NNM44" s="276"/>
      <c r="NNN44" s="276"/>
      <c r="NNO44" s="276"/>
      <c r="NNP44" s="276"/>
      <c r="NNQ44" s="276"/>
      <c r="NNR44" s="276"/>
      <c r="NNS44" s="276"/>
      <c r="NNT44" s="276"/>
      <c r="NNU44" s="276"/>
      <c r="NNV44" s="276"/>
      <c r="NNW44" s="275" t="s">
        <v>152</v>
      </c>
      <c r="NNX44" s="276"/>
      <c r="NNY44" s="276"/>
      <c r="NNZ44" s="276"/>
      <c r="NOA44" s="276"/>
      <c r="NOB44" s="276"/>
      <c r="NOC44" s="276"/>
      <c r="NOD44" s="276"/>
      <c r="NOE44" s="276"/>
      <c r="NOF44" s="276"/>
      <c r="NOG44" s="276"/>
      <c r="NOH44" s="276"/>
      <c r="NOI44" s="276"/>
      <c r="NOJ44" s="276"/>
      <c r="NOK44" s="276"/>
      <c r="NOL44" s="276"/>
      <c r="NOM44" s="275" t="s">
        <v>152</v>
      </c>
      <c r="NON44" s="276"/>
      <c r="NOO44" s="276"/>
      <c r="NOP44" s="276"/>
      <c r="NOQ44" s="276"/>
      <c r="NOR44" s="276"/>
      <c r="NOS44" s="276"/>
      <c r="NOT44" s="276"/>
      <c r="NOU44" s="276"/>
      <c r="NOV44" s="276"/>
      <c r="NOW44" s="276"/>
      <c r="NOX44" s="276"/>
      <c r="NOY44" s="276"/>
      <c r="NOZ44" s="276"/>
      <c r="NPA44" s="276"/>
      <c r="NPB44" s="276"/>
      <c r="NPC44" s="275" t="s">
        <v>152</v>
      </c>
      <c r="NPD44" s="276"/>
      <c r="NPE44" s="276"/>
      <c r="NPF44" s="276"/>
      <c r="NPG44" s="276"/>
      <c r="NPH44" s="276"/>
      <c r="NPI44" s="276"/>
      <c r="NPJ44" s="276"/>
      <c r="NPK44" s="276"/>
      <c r="NPL44" s="276"/>
      <c r="NPM44" s="276"/>
      <c r="NPN44" s="276"/>
      <c r="NPO44" s="276"/>
      <c r="NPP44" s="276"/>
      <c r="NPQ44" s="276"/>
      <c r="NPR44" s="276"/>
      <c r="NPS44" s="275" t="s">
        <v>152</v>
      </c>
      <c r="NPT44" s="276"/>
      <c r="NPU44" s="276"/>
      <c r="NPV44" s="276"/>
      <c r="NPW44" s="276"/>
      <c r="NPX44" s="276"/>
      <c r="NPY44" s="276"/>
      <c r="NPZ44" s="276"/>
      <c r="NQA44" s="276"/>
      <c r="NQB44" s="276"/>
      <c r="NQC44" s="276"/>
      <c r="NQD44" s="276"/>
      <c r="NQE44" s="276"/>
      <c r="NQF44" s="276"/>
      <c r="NQG44" s="276"/>
      <c r="NQH44" s="276"/>
      <c r="NQI44" s="275" t="s">
        <v>152</v>
      </c>
      <c r="NQJ44" s="276"/>
      <c r="NQK44" s="276"/>
      <c r="NQL44" s="276"/>
      <c r="NQM44" s="276"/>
      <c r="NQN44" s="276"/>
      <c r="NQO44" s="276"/>
      <c r="NQP44" s="276"/>
      <c r="NQQ44" s="276"/>
      <c r="NQR44" s="276"/>
      <c r="NQS44" s="276"/>
      <c r="NQT44" s="276"/>
      <c r="NQU44" s="276"/>
      <c r="NQV44" s="276"/>
      <c r="NQW44" s="276"/>
      <c r="NQX44" s="276"/>
      <c r="NQY44" s="275" t="s">
        <v>152</v>
      </c>
      <c r="NQZ44" s="276"/>
      <c r="NRA44" s="276"/>
      <c r="NRB44" s="276"/>
      <c r="NRC44" s="276"/>
      <c r="NRD44" s="276"/>
      <c r="NRE44" s="276"/>
      <c r="NRF44" s="276"/>
      <c r="NRG44" s="276"/>
      <c r="NRH44" s="276"/>
      <c r="NRI44" s="276"/>
      <c r="NRJ44" s="276"/>
      <c r="NRK44" s="276"/>
      <c r="NRL44" s="276"/>
      <c r="NRM44" s="276"/>
      <c r="NRN44" s="276"/>
      <c r="NRO44" s="275" t="s">
        <v>152</v>
      </c>
      <c r="NRP44" s="276"/>
      <c r="NRQ44" s="276"/>
      <c r="NRR44" s="276"/>
      <c r="NRS44" s="276"/>
      <c r="NRT44" s="276"/>
      <c r="NRU44" s="276"/>
      <c r="NRV44" s="276"/>
      <c r="NRW44" s="276"/>
      <c r="NRX44" s="276"/>
      <c r="NRY44" s="276"/>
      <c r="NRZ44" s="276"/>
      <c r="NSA44" s="276"/>
      <c r="NSB44" s="276"/>
      <c r="NSC44" s="276"/>
      <c r="NSD44" s="276"/>
      <c r="NSE44" s="275" t="s">
        <v>152</v>
      </c>
      <c r="NSF44" s="276"/>
      <c r="NSG44" s="276"/>
      <c r="NSH44" s="276"/>
      <c r="NSI44" s="276"/>
      <c r="NSJ44" s="276"/>
      <c r="NSK44" s="276"/>
      <c r="NSL44" s="276"/>
      <c r="NSM44" s="276"/>
      <c r="NSN44" s="276"/>
      <c r="NSO44" s="276"/>
      <c r="NSP44" s="276"/>
      <c r="NSQ44" s="276"/>
      <c r="NSR44" s="276"/>
      <c r="NSS44" s="276"/>
      <c r="NST44" s="276"/>
      <c r="NSU44" s="275" t="s">
        <v>152</v>
      </c>
      <c r="NSV44" s="276"/>
      <c r="NSW44" s="276"/>
      <c r="NSX44" s="276"/>
      <c r="NSY44" s="276"/>
      <c r="NSZ44" s="276"/>
      <c r="NTA44" s="276"/>
      <c r="NTB44" s="276"/>
      <c r="NTC44" s="276"/>
      <c r="NTD44" s="276"/>
      <c r="NTE44" s="276"/>
      <c r="NTF44" s="276"/>
      <c r="NTG44" s="276"/>
      <c r="NTH44" s="276"/>
      <c r="NTI44" s="276"/>
      <c r="NTJ44" s="276"/>
      <c r="NTK44" s="275" t="s">
        <v>152</v>
      </c>
      <c r="NTL44" s="276"/>
      <c r="NTM44" s="276"/>
      <c r="NTN44" s="276"/>
      <c r="NTO44" s="276"/>
      <c r="NTP44" s="276"/>
      <c r="NTQ44" s="276"/>
      <c r="NTR44" s="276"/>
      <c r="NTS44" s="276"/>
      <c r="NTT44" s="276"/>
      <c r="NTU44" s="276"/>
      <c r="NTV44" s="276"/>
      <c r="NTW44" s="276"/>
      <c r="NTX44" s="276"/>
      <c r="NTY44" s="276"/>
      <c r="NTZ44" s="276"/>
      <c r="NUA44" s="275" t="s">
        <v>152</v>
      </c>
      <c r="NUB44" s="276"/>
      <c r="NUC44" s="276"/>
      <c r="NUD44" s="276"/>
      <c r="NUE44" s="276"/>
      <c r="NUF44" s="276"/>
      <c r="NUG44" s="276"/>
      <c r="NUH44" s="276"/>
      <c r="NUI44" s="276"/>
      <c r="NUJ44" s="276"/>
      <c r="NUK44" s="276"/>
      <c r="NUL44" s="276"/>
      <c r="NUM44" s="276"/>
      <c r="NUN44" s="276"/>
      <c r="NUO44" s="276"/>
      <c r="NUP44" s="276"/>
      <c r="NUQ44" s="275" t="s">
        <v>152</v>
      </c>
      <c r="NUR44" s="276"/>
      <c r="NUS44" s="276"/>
      <c r="NUT44" s="276"/>
      <c r="NUU44" s="276"/>
      <c r="NUV44" s="276"/>
      <c r="NUW44" s="276"/>
      <c r="NUX44" s="276"/>
      <c r="NUY44" s="276"/>
      <c r="NUZ44" s="276"/>
      <c r="NVA44" s="276"/>
      <c r="NVB44" s="276"/>
      <c r="NVC44" s="276"/>
      <c r="NVD44" s="276"/>
      <c r="NVE44" s="276"/>
      <c r="NVF44" s="276"/>
      <c r="NVG44" s="275" t="s">
        <v>152</v>
      </c>
      <c r="NVH44" s="276"/>
      <c r="NVI44" s="276"/>
      <c r="NVJ44" s="276"/>
      <c r="NVK44" s="276"/>
      <c r="NVL44" s="276"/>
      <c r="NVM44" s="276"/>
      <c r="NVN44" s="276"/>
      <c r="NVO44" s="276"/>
      <c r="NVP44" s="276"/>
      <c r="NVQ44" s="276"/>
      <c r="NVR44" s="276"/>
      <c r="NVS44" s="276"/>
      <c r="NVT44" s="276"/>
      <c r="NVU44" s="276"/>
      <c r="NVV44" s="276"/>
      <c r="NVW44" s="275" t="s">
        <v>152</v>
      </c>
      <c r="NVX44" s="276"/>
      <c r="NVY44" s="276"/>
      <c r="NVZ44" s="276"/>
      <c r="NWA44" s="276"/>
      <c r="NWB44" s="276"/>
      <c r="NWC44" s="276"/>
      <c r="NWD44" s="276"/>
      <c r="NWE44" s="276"/>
      <c r="NWF44" s="276"/>
      <c r="NWG44" s="276"/>
      <c r="NWH44" s="276"/>
      <c r="NWI44" s="276"/>
      <c r="NWJ44" s="276"/>
      <c r="NWK44" s="276"/>
      <c r="NWL44" s="276"/>
      <c r="NWM44" s="275" t="s">
        <v>152</v>
      </c>
      <c r="NWN44" s="276"/>
      <c r="NWO44" s="276"/>
      <c r="NWP44" s="276"/>
      <c r="NWQ44" s="276"/>
      <c r="NWR44" s="276"/>
      <c r="NWS44" s="276"/>
      <c r="NWT44" s="276"/>
      <c r="NWU44" s="276"/>
      <c r="NWV44" s="276"/>
      <c r="NWW44" s="276"/>
      <c r="NWX44" s="276"/>
      <c r="NWY44" s="276"/>
      <c r="NWZ44" s="276"/>
      <c r="NXA44" s="276"/>
      <c r="NXB44" s="276"/>
      <c r="NXC44" s="275" t="s">
        <v>152</v>
      </c>
      <c r="NXD44" s="276"/>
      <c r="NXE44" s="276"/>
      <c r="NXF44" s="276"/>
      <c r="NXG44" s="276"/>
      <c r="NXH44" s="276"/>
      <c r="NXI44" s="276"/>
      <c r="NXJ44" s="276"/>
      <c r="NXK44" s="276"/>
      <c r="NXL44" s="276"/>
      <c r="NXM44" s="276"/>
      <c r="NXN44" s="276"/>
      <c r="NXO44" s="276"/>
      <c r="NXP44" s="276"/>
      <c r="NXQ44" s="276"/>
      <c r="NXR44" s="276"/>
      <c r="NXS44" s="275" t="s">
        <v>152</v>
      </c>
      <c r="NXT44" s="276"/>
      <c r="NXU44" s="276"/>
      <c r="NXV44" s="276"/>
      <c r="NXW44" s="276"/>
      <c r="NXX44" s="276"/>
      <c r="NXY44" s="276"/>
      <c r="NXZ44" s="276"/>
      <c r="NYA44" s="276"/>
      <c r="NYB44" s="276"/>
      <c r="NYC44" s="276"/>
      <c r="NYD44" s="276"/>
      <c r="NYE44" s="276"/>
      <c r="NYF44" s="276"/>
      <c r="NYG44" s="276"/>
      <c r="NYH44" s="276"/>
      <c r="NYI44" s="275" t="s">
        <v>152</v>
      </c>
      <c r="NYJ44" s="276"/>
      <c r="NYK44" s="276"/>
      <c r="NYL44" s="276"/>
      <c r="NYM44" s="276"/>
      <c r="NYN44" s="276"/>
      <c r="NYO44" s="276"/>
      <c r="NYP44" s="276"/>
      <c r="NYQ44" s="276"/>
      <c r="NYR44" s="276"/>
      <c r="NYS44" s="276"/>
      <c r="NYT44" s="276"/>
      <c r="NYU44" s="276"/>
      <c r="NYV44" s="276"/>
      <c r="NYW44" s="276"/>
      <c r="NYX44" s="276"/>
      <c r="NYY44" s="275" t="s">
        <v>152</v>
      </c>
      <c r="NYZ44" s="276"/>
      <c r="NZA44" s="276"/>
      <c r="NZB44" s="276"/>
      <c r="NZC44" s="276"/>
      <c r="NZD44" s="276"/>
      <c r="NZE44" s="276"/>
      <c r="NZF44" s="276"/>
      <c r="NZG44" s="276"/>
      <c r="NZH44" s="276"/>
      <c r="NZI44" s="276"/>
      <c r="NZJ44" s="276"/>
      <c r="NZK44" s="276"/>
      <c r="NZL44" s="276"/>
      <c r="NZM44" s="276"/>
      <c r="NZN44" s="276"/>
      <c r="NZO44" s="275" t="s">
        <v>152</v>
      </c>
      <c r="NZP44" s="276"/>
      <c r="NZQ44" s="276"/>
      <c r="NZR44" s="276"/>
      <c r="NZS44" s="276"/>
      <c r="NZT44" s="276"/>
      <c r="NZU44" s="276"/>
      <c r="NZV44" s="276"/>
      <c r="NZW44" s="276"/>
      <c r="NZX44" s="276"/>
      <c r="NZY44" s="276"/>
      <c r="NZZ44" s="276"/>
      <c r="OAA44" s="276"/>
      <c r="OAB44" s="276"/>
      <c r="OAC44" s="276"/>
      <c r="OAD44" s="276"/>
      <c r="OAE44" s="275" t="s">
        <v>152</v>
      </c>
      <c r="OAF44" s="276"/>
      <c r="OAG44" s="276"/>
      <c r="OAH44" s="276"/>
      <c r="OAI44" s="276"/>
      <c r="OAJ44" s="276"/>
      <c r="OAK44" s="276"/>
      <c r="OAL44" s="276"/>
      <c r="OAM44" s="276"/>
      <c r="OAN44" s="276"/>
      <c r="OAO44" s="276"/>
      <c r="OAP44" s="276"/>
      <c r="OAQ44" s="276"/>
      <c r="OAR44" s="276"/>
      <c r="OAS44" s="276"/>
      <c r="OAT44" s="276"/>
      <c r="OAU44" s="275" t="s">
        <v>152</v>
      </c>
      <c r="OAV44" s="276"/>
      <c r="OAW44" s="276"/>
      <c r="OAX44" s="276"/>
      <c r="OAY44" s="276"/>
      <c r="OAZ44" s="276"/>
      <c r="OBA44" s="276"/>
      <c r="OBB44" s="276"/>
      <c r="OBC44" s="276"/>
      <c r="OBD44" s="276"/>
      <c r="OBE44" s="276"/>
      <c r="OBF44" s="276"/>
      <c r="OBG44" s="276"/>
      <c r="OBH44" s="276"/>
      <c r="OBI44" s="276"/>
      <c r="OBJ44" s="276"/>
      <c r="OBK44" s="275" t="s">
        <v>152</v>
      </c>
      <c r="OBL44" s="276"/>
      <c r="OBM44" s="276"/>
      <c r="OBN44" s="276"/>
      <c r="OBO44" s="276"/>
      <c r="OBP44" s="276"/>
      <c r="OBQ44" s="276"/>
      <c r="OBR44" s="276"/>
      <c r="OBS44" s="276"/>
      <c r="OBT44" s="276"/>
      <c r="OBU44" s="276"/>
      <c r="OBV44" s="276"/>
      <c r="OBW44" s="276"/>
      <c r="OBX44" s="276"/>
      <c r="OBY44" s="276"/>
      <c r="OBZ44" s="276"/>
      <c r="OCA44" s="275" t="s">
        <v>152</v>
      </c>
      <c r="OCB44" s="276"/>
      <c r="OCC44" s="276"/>
      <c r="OCD44" s="276"/>
      <c r="OCE44" s="276"/>
      <c r="OCF44" s="276"/>
      <c r="OCG44" s="276"/>
      <c r="OCH44" s="276"/>
      <c r="OCI44" s="276"/>
      <c r="OCJ44" s="276"/>
      <c r="OCK44" s="276"/>
      <c r="OCL44" s="276"/>
      <c r="OCM44" s="276"/>
      <c r="OCN44" s="276"/>
      <c r="OCO44" s="276"/>
      <c r="OCP44" s="276"/>
      <c r="OCQ44" s="275" t="s">
        <v>152</v>
      </c>
      <c r="OCR44" s="276"/>
      <c r="OCS44" s="276"/>
      <c r="OCT44" s="276"/>
      <c r="OCU44" s="276"/>
      <c r="OCV44" s="276"/>
      <c r="OCW44" s="276"/>
      <c r="OCX44" s="276"/>
      <c r="OCY44" s="276"/>
      <c r="OCZ44" s="276"/>
      <c r="ODA44" s="276"/>
      <c r="ODB44" s="276"/>
      <c r="ODC44" s="276"/>
      <c r="ODD44" s="276"/>
      <c r="ODE44" s="276"/>
      <c r="ODF44" s="276"/>
      <c r="ODG44" s="275" t="s">
        <v>152</v>
      </c>
      <c r="ODH44" s="276"/>
      <c r="ODI44" s="276"/>
      <c r="ODJ44" s="276"/>
      <c r="ODK44" s="276"/>
      <c r="ODL44" s="276"/>
      <c r="ODM44" s="276"/>
      <c r="ODN44" s="276"/>
      <c r="ODO44" s="276"/>
      <c r="ODP44" s="276"/>
      <c r="ODQ44" s="276"/>
      <c r="ODR44" s="276"/>
      <c r="ODS44" s="276"/>
      <c r="ODT44" s="276"/>
      <c r="ODU44" s="276"/>
      <c r="ODV44" s="276"/>
      <c r="ODW44" s="275" t="s">
        <v>152</v>
      </c>
      <c r="ODX44" s="276"/>
      <c r="ODY44" s="276"/>
      <c r="ODZ44" s="276"/>
      <c r="OEA44" s="276"/>
      <c r="OEB44" s="276"/>
      <c r="OEC44" s="276"/>
      <c r="OED44" s="276"/>
      <c r="OEE44" s="276"/>
      <c r="OEF44" s="276"/>
      <c r="OEG44" s="276"/>
      <c r="OEH44" s="276"/>
      <c r="OEI44" s="276"/>
      <c r="OEJ44" s="276"/>
      <c r="OEK44" s="276"/>
      <c r="OEL44" s="276"/>
      <c r="OEM44" s="275" t="s">
        <v>152</v>
      </c>
      <c r="OEN44" s="276"/>
      <c r="OEO44" s="276"/>
      <c r="OEP44" s="276"/>
      <c r="OEQ44" s="276"/>
      <c r="OER44" s="276"/>
      <c r="OES44" s="276"/>
      <c r="OET44" s="276"/>
      <c r="OEU44" s="276"/>
      <c r="OEV44" s="276"/>
      <c r="OEW44" s="276"/>
      <c r="OEX44" s="276"/>
      <c r="OEY44" s="276"/>
      <c r="OEZ44" s="276"/>
      <c r="OFA44" s="276"/>
      <c r="OFB44" s="276"/>
      <c r="OFC44" s="275" t="s">
        <v>152</v>
      </c>
      <c r="OFD44" s="276"/>
      <c r="OFE44" s="276"/>
      <c r="OFF44" s="276"/>
      <c r="OFG44" s="276"/>
      <c r="OFH44" s="276"/>
      <c r="OFI44" s="276"/>
      <c r="OFJ44" s="276"/>
      <c r="OFK44" s="276"/>
      <c r="OFL44" s="276"/>
      <c r="OFM44" s="276"/>
      <c r="OFN44" s="276"/>
      <c r="OFO44" s="276"/>
      <c r="OFP44" s="276"/>
      <c r="OFQ44" s="276"/>
      <c r="OFR44" s="276"/>
      <c r="OFS44" s="275" t="s">
        <v>152</v>
      </c>
      <c r="OFT44" s="276"/>
      <c r="OFU44" s="276"/>
      <c r="OFV44" s="276"/>
      <c r="OFW44" s="276"/>
      <c r="OFX44" s="276"/>
      <c r="OFY44" s="276"/>
      <c r="OFZ44" s="276"/>
      <c r="OGA44" s="276"/>
      <c r="OGB44" s="276"/>
      <c r="OGC44" s="276"/>
      <c r="OGD44" s="276"/>
      <c r="OGE44" s="276"/>
      <c r="OGF44" s="276"/>
      <c r="OGG44" s="276"/>
      <c r="OGH44" s="276"/>
      <c r="OGI44" s="275" t="s">
        <v>152</v>
      </c>
      <c r="OGJ44" s="276"/>
      <c r="OGK44" s="276"/>
      <c r="OGL44" s="276"/>
      <c r="OGM44" s="276"/>
      <c r="OGN44" s="276"/>
      <c r="OGO44" s="276"/>
      <c r="OGP44" s="276"/>
      <c r="OGQ44" s="276"/>
      <c r="OGR44" s="276"/>
      <c r="OGS44" s="276"/>
      <c r="OGT44" s="276"/>
      <c r="OGU44" s="276"/>
      <c r="OGV44" s="276"/>
      <c r="OGW44" s="276"/>
      <c r="OGX44" s="276"/>
      <c r="OGY44" s="275" t="s">
        <v>152</v>
      </c>
      <c r="OGZ44" s="276"/>
      <c r="OHA44" s="276"/>
      <c r="OHB44" s="276"/>
      <c r="OHC44" s="276"/>
      <c r="OHD44" s="276"/>
      <c r="OHE44" s="276"/>
      <c r="OHF44" s="276"/>
      <c r="OHG44" s="276"/>
      <c r="OHH44" s="276"/>
      <c r="OHI44" s="276"/>
      <c r="OHJ44" s="276"/>
      <c r="OHK44" s="276"/>
      <c r="OHL44" s="276"/>
      <c r="OHM44" s="276"/>
      <c r="OHN44" s="276"/>
      <c r="OHO44" s="275" t="s">
        <v>152</v>
      </c>
      <c r="OHP44" s="276"/>
      <c r="OHQ44" s="276"/>
      <c r="OHR44" s="276"/>
      <c r="OHS44" s="276"/>
      <c r="OHT44" s="276"/>
      <c r="OHU44" s="276"/>
      <c r="OHV44" s="276"/>
      <c r="OHW44" s="276"/>
      <c r="OHX44" s="276"/>
      <c r="OHY44" s="276"/>
      <c r="OHZ44" s="276"/>
      <c r="OIA44" s="276"/>
      <c r="OIB44" s="276"/>
      <c r="OIC44" s="276"/>
      <c r="OID44" s="276"/>
      <c r="OIE44" s="275" t="s">
        <v>152</v>
      </c>
      <c r="OIF44" s="276"/>
      <c r="OIG44" s="276"/>
      <c r="OIH44" s="276"/>
      <c r="OII44" s="276"/>
      <c r="OIJ44" s="276"/>
      <c r="OIK44" s="276"/>
      <c r="OIL44" s="276"/>
      <c r="OIM44" s="276"/>
      <c r="OIN44" s="276"/>
      <c r="OIO44" s="276"/>
      <c r="OIP44" s="276"/>
      <c r="OIQ44" s="276"/>
      <c r="OIR44" s="276"/>
      <c r="OIS44" s="276"/>
      <c r="OIT44" s="276"/>
      <c r="OIU44" s="275" t="s">
        <v>152</v>
      </c>
      <c r="OIV44" s="276"/>
      <c r="OIW44" s="276"/>
      <c r="OIX44" s="276"/>
      <c r="OIY44" s="276"/>
      <c r="OIZ44" s="276"/>
      <c r="OJA44" s="276"/>
      <c r="OJB44" s="276"/>
      <c r="OJC44" s="276"/>
      <c r="OJD44" s="276"/>
      <c r="OJE44" s="276"/>
      <c r="OJF44" s="276"/>
      <c r="OJG44" s="276"/>
      <c r="OJH44" s="276"/>
      <c r="OJI44" s="276"/>
      <c r="OJJ44" s="276"/>
      <c r="OJK44" s="275" t="s">
        <v>152</v>
      </c>
      <c r="OJL44" s="276"/>
      <c r="OJM44" s="276"/>
      <c r="OJN44" s="276"/>
      <c r="OJO44" s="276"/>
      <c r="OJP44" s="276"/>
      <c r="OJQ44" s="276"/>
      <c r="OJR44" s="276"/>
      <c r="OJS44" s="276"/>
      <c r="OJT44" s="276"/>
      <c r="OJU44" s="276"/>
      <c r="OJV44" s="276"/>
      <c r="OJW44" s="276"/>
      <c r="OJX44" s="276"/>
      <c r="OJY44" s="276"/>
      <c r="OJZ44" s="276"/>
      <c r="OKA44" s="275" t="s">
        <v>152</v>
      </c>
      <c r="OKB44" s="276"/>
      <c r="OKC44" s="276"/>
      <c r="OKD44" s="276"/>
      <c r="OKE44" s="276"/>
      <c r="OKF44" s="276"/>
      <c r="OKG44" s="276"/>
      <c r="OKH44" s="276"/>
      <c r="OKI44" s="276"/>
      <c r="OKJ44" s="276"/>
      <c r="OKK44" s="276"/>
      <c r="OKL44" s="276"/>
      <c r="OKM44" s="276"/>
      <c r="OKN44" s="276"/>
      <c r="OKO44" s="276"/>
      <c r="OKP44" s="276"/>
      <c r="OKQ44" s="275" t="s">
        <v>152</v>
      </c>
      <c r="OKR44" s="276"/>
      <c r="OKS44" s="276"/>
      <c r="OKT44" s="276"/>
      <c r="OKU44" s="276"/>
      <c r="OKV44" s="276"/>
      <c r="OKW44" s="276"/>
      <c r="OKX44" s="276"/>
      <c r="OKY44" s="276"/>
      <c r="OKZ44" s="276"/>
      <c r="OLA44" s="276"/>
      <c r="OLB44" s="276"/>
      <c r="OLC44" s="276"/>
      <c r="OLD44" s="276"/>
      <c r="OLE44" s="276"/>
      <c r="OLF44" s="276"/>
      <c r="OLG44" s="275" t="s">
        <v>152</v>
      </c>
      <c r="OLH44" s="276"/>
      <c r="OLI44" s="276"/>
      <c r="OLJ44" s="276"/>
      <c r="OLK44" s="276"/>
      <c r="OLL44" s="276"/>
      <c r="OLM44" s="276"/>
      <c r="OLN44" s="276"/>
      <c r="OLO44" s="276"/>
      <c r="OLP44" s="276"/>
      <c r="OLQ44" s="276"/>
      <c r="OLR44" s="276"/>
      <c r="OLS44" s="276"/>
      <c r="OLT44" s="276"/>
      <c r="OLU44" s="276"/>
      <c r="OLV44" s="276"/>
      <c r="OLW44" s="275" t="s">
        <v>152</v>
      </c>
      <c r="OLX44" s="276"/>
      <c r="OLY44" s="276"/>
      <c r="OLZ44" s="276"/>
      <c r="OMA44" s="276"/>
      <c r="OMB44" s="276"/>
      <c r="OMC44" s="276"/>
      <c r="OMD44" s="276"/>
      <c r="OME44" s="276"/>
      <c r="OMF44" s="276"/>
      <c r="OMG44" s="276"/>
      <c r="OMH44" s="276"/>
      <c r="OMI44" s="276"/>
      <c r="OMJ44" s="276"/>
      <c r="OMK44" s="276"/>
      <c r="OML44" s="276"/>
      <c r="OMM44" s="275" t="s">
        <v>152</v>
      </c>
      <c r="OMN44" s="276"/>
      <c r="OMO44" s="276"/>
      <c r="OMP44" s="276"/>
      <c r="OMQ44" s="276"/>
      <c r="OMR44" s="276"/>
      <c r="OMS44" s="276"/>
      <c r="OMT44" s="276"/>
      <c r="OMU44" s="276"/>
      <c r="OMV44" s="276"/>
      <c r="OMW44" s="276"/>
      <c r="OMX44" s="276"/>
      <c r="OMY44" s="276"/>
      <c r="OMZ44" s="276"/>
      <c r="ONA44" s="276"/>
      <c r="ONB44" s="276"/>
      <c r="ONC44" s="275" t="s">
        <v>152</v>
      </c>
      <c r="OND44" s="276"/>
      <c r="ONE44" s="276"/>
      <c r="ONF44" s="276"/>
      <c r="ONG44" s="276"/>
      <c r="ONH44" s="276"/>
      <c r="ONI44" s="276"/>
      <c r="ONJ44" s="276"/>
      <c r="ONK44" s="276"/>
      <c r="ONL44" s="276"/>
      <c r="ONM44" s="276"/>
      <c r="ONN44" s="276"/>
      <c r="ONO44" s="276"/>
      <c r="ONP44" s="276"/>
      <c r="ONQ44" s="276"/>
      <c r="ONR44" s="276"/>
      <c r="ONS44" s="275" t="s">
        <v>152</v>
      </c>
      <c r="ONT44" s="276"/>
      <c r="ONU44" s="276"/>
      <c r="ONV44" s="276"/>
      <c r="ONW44" s="276"/>
      <c r="ONX44" s="276"/>
      <c r="ONY44" s="276"/>
      <c r="ONZ44" s="276"/>
      <c r="OOA44" s="276"/>
      <c r="OOB44" s="276"/>
      <c r="OOC44" s="276"/>
      <c r="OOD44" s="276"/>
      <c r="OOE44" s="276"/>
      <c r="OOF44" s="276"/>
      <c r="OOG44" s="276"/>
      <c r="OOH44" s="276"/>
      <c r="OOI44" s="275" t="s">
        <v>152</v>
      </c>
      <c r="OOJ44" s="276"/>
      <c r="OOK44" s="276"/>
      <c r="OOL44" s="276"/>
      <c r="OOM44" s="276"/>
      <c r="OON44" s="276"/>
      <c r="OOO44" s="276"/>
      <c r="OOP44" s="276"/>
      <c r="OOQ44" s="276"/>
      <c r="OOR44" s="276"/>
      <c r="OOS44" s="276"/>
      <c r="OOT44" s="276"/>
      <c r="OOU44" s="276"/>
      <c r="OOV44" s="276"/>
      <c r="OOW44" s="276"/>
      <c r="OOX44" s="276"/>
      <c r="OOY44" s="275" t="s">
        <v>152</v>
      </c>
      <c r="OOZ44" s="276"/>
      <c r="OPA44" s="276"/>
      <c r="OPB44" s="276"/>
      <c r="OPC44" s="276"/>
      <c r="OPD44" s="276"/>
      <c r="OPE44" s="276"/>
      <c r="OPF44" s="276"/>
      <c r="OPG44" s="276"/>
      <c r="OPH44" s="276"/>
      <c r="OPI44" s="276"/>
      <c r="OPJ44" s="276"/>
      <c r="OPK44" s="276"/>
      <c r="OPL44" s="276"/>
      <c r="OPM44" s="276"/>
      <c r="OPN44" s="276"/>
      <c r="OPO44" s="275" t="s">
        <v>152</v>
      </c>
      <c r="OPP44" s="276"/>
      <c r="OPQ44" s="276"/>
      <c r="OPR44" s="276"/>
      <c r="OPS44" s="276"/>
      <c r="OPT44" s="276"/>
      <c r="OPU44" s="276"/>
      <c r="OPV44" s="276"/>
      <c r="OPW44" s="276"/>
      <c r="OPX44" s="276"/>
      <c r="OPY44" s="276"/>
      <c r="OPZ44" s="276"/>
      <c r="OQA44" s="276"/>
      <c r="OQB44" s="276"/>
      <c r="OQC44" s="276"/>
      <c r="OQD44" s="276"/>
      <c r="OQE44" s="275" t="s">
        <v>152</v>
      </c>
      <c r="OQF44" s="276"/>
      <c r="OQG44" s="276"/>
      <c r="OQH44" s="276"/>
      <c r="OQI44" s="276"/>
      <c r="OQJ44" s="276"/>
      <c r="OQK44" s="276"/>
      <c r="OQL44" s="276"/>
      <c r="OQM44" s="276"/>
      <c r="OQN44" s="276"/>
      <c r="OQO44" s="276"/>
      <c r="OQP44" s="276"/>
      <c r="OQQ44" s="276"/>
      <c r="OQR44" s="276"/>
      <c r="OQS44" s="276"/>
      <c r="OQT44" s="276"/>
      <c r="OQU44" s="275" t="s">
        <v>152</v>
      </c>
      <c r="OQV44" s="276"/>
      <c r="OQW44" s="276"/>
      <c r="OQX44" s="276"/>
      <c r="OQY44" s="276"/>
      <c r="OQZ44" s="276"/>
      <c r="ORA44" s="276"/>
      <c r="ORB44" s="276"/>
      <c r="ORC44" s="276"/>
      <c r="ORD44" s="276"/>
      <c r="ORE44" s="276"/>
      <c r="ORF44" s="276"/>
      <c r="ORG44" s="276"/>
      <c r="ORH44" s="276"/>
      <c r="ORI44" s="276"/>
      <c r="ORJ44" s="276"/>
      <c r="ORK44" s="275" t="s">
        <v>152</v>
      </c>
      <c r="ORL44" s="276"/>
      <c r="ORM44" s="276"/>
      <c r="ORN44" s="276"/>
      <c r="ORO44" s="276"/>
      <c r="ORP44" s="276"/>
      <c r="ORQ44" s="276"/>
      <c r="ORR44" s="276"/>
      <c r="ORS44" s="276"/>
      <c r="ORT44" s="276"/>
      <c r="ORU44" s="276"/>
      <c r="ORV44" s="276"/>
      <c r="ORW44" s="276"/>
      <c r="ORX44" s="276"/>
      <c r="ORY44" s="276"/>
      <c r="ORZ44" s="276"/>
      <c r="OSA44" s="275" t="s">
        <v>152</v>
      </c>
      <c r="OSB44" s="276"/>
      <c r="OSC44" s="276"/>
      <c r="OSD44" s="276"/>
      <c r="OSE44" s="276"/>
      <c r="OSF44" s="276"/>
      <c r="OSG44" s="276"/>
      <c r="OSH44" s="276"/>
      <c r="OSI44" s="276"/>
      <c r="OSJ44" s="276"/>
      <c r="OSK44" s="276"/>
      <c r="OSL44" s="276"/>
      <c r="OSM44" s="276"/>
      <c r="OSN44" s="276"/>
      <c r="OSO44" s="276"/>
      <c r="OSP44" s="276"/>
      <c r="OSQ44" s="275" t="s">
        <v>152</v>
      </c>
      <c r="OSR44" s="276"/>
      <c r="OSS44" s="276"/>
      <c r="OST44" s="276"/>
      <c r="OSU44" s="276"/>
      <c r="OSV44" s="276"/>
      <c r="OSW44" s="276"/>
      <c r="OSX44" s="276"/>
      <c r="OSY44" s="276"/>
      <c r="OSZ44" s="276"/>
      <c r="OTA44" s="276"/>
      <c r="OTB44" s="276"/>
      <c r="OTC44" s="276"/>
      <c r="OTD44" s="276"/>
      <c r="OTE44" s="276"/>
      <c r="OTF44" s="276"/>
      <c r="OTG44" s="275" t="s">
        <v>152</v>
      </c>
      <c r="OTH44" s="276"/>
      <c r="OTI44" s="276"/>
      <c r="OTJ44" s="276"/>
      <c r="OTK44" s="276"/>
      <c r="OTL44" s="276"/>
      <c r="OTM44" s="276"/>
      <c r="OTN44" s="276"/>
      <c r="OTO44" s="276"/>
      <c r="OTP44" s="276"/>
      <c r="OTQ44" s="276"/>
      <c r="OTR44" s="276"/>
      <c r="OTS44" s="276"/>
      <c r="OTT44" s="276"/>
      <c r="OTU44" s="276"/>
      <c r="OTV44" s="276"/>
      <c r="OTW44" s="275" t="s">
        <v>152</v>
      </c>
      <c r="OTX44" s="276"/>
      <c r="OTY44" s="276"/>
      <c r="OTZ44" s="276"/>
      <c r="OUA44" s="276"/>
      <c r="OUB44" s="276"/>
      <c r="OUC44" s="276"/>
      <c r="OUD44" s="276"/>
      <c r="OUE44" s="276"/>
      <c r="OUF44" s="276"/>
      <c r="OUG44" s="276"/>
      <c r="OUH44" s="276"/>
      <c r="OUI44" s="276"/>
      <c r="OUJ44" s="276"/>
      <c r="OUK44" s="276"/>
      <c r="OUL44" s="276"/>
      <c r="OUM44" s="275" t="s">
        <v>152</v>
      </c>
      <c r="OUN44" s="276"/>
      <c r="OUO44" s="276"/>
      <c r="OUP44" s="276"/>
      <c r="OUQ44" s="276"/>
      <c r="OUR44" s="276"/>
      <c r="OUS44" s="276"/>
      <c r="OUT44" s="276"/>
      <c r="OUU44" s="276"/>
      <c r="OUV44" s="276"/>
      <c r="OUW44" s="276"/>
      <c r="OUX44" s="276"/>
      <c r="OUY44" s="276"/>
      <c r="OUZ44" s="276"/>
      <c r="OVA44" s="276"/>
      <c r="OVB44" s="276"/>
      <c r="OVC44" s="275" t="s">
        <v>152</v>
      </c>
      <c r="OVD44" s="276"/>
      <c r="OVE44" s="276"/>
      <c r="OVF44" s="276"/>
      <c r="OVG44" s="276"/>
      <c r="OVH44" s="276"/>
      <c r="OVI44" s="276"/>
      <c r="OVJ44" s="276"/>
      <c r="OVK44" s="276"/>
      <c r="OVL44" s="276"/>
      <c r="OVM44" s="276"/>
      <c r="OVN44" s="276"/>
      <c r="OVO44" s="276"/>
      <c r="OVP44" s="276"/>
      <c r="OVQ44" s="276"/>
      <c r="OVR44" s="276"/>
      <c r="OVS44" s="275" t="s">
        <v>152</v>
      </c>
      <c r="OVT44" s="276"/>
      <c r="OVU44" s="276"/>
      <c r="OVV44" s="276"/>
      <c r="OVW44" s="276"/>
      <c r="OVX44" s="276"/>
      <c r="OVY44" s="276"/>
      <c r="OVZ44" s="276"/>
      <c r="OWA44" s="276"/>
      <c r="OWB44" s="276"/>
      <c r="OWC44" s="276"/>
      <c r="OWD44" s="276"/>
      <c r="OWE44" s="276"/>
      <c r="OWF44" s="276"/>
      <c r="OWG44" s="276"/>
      <c r="OWH44" s="276"/>
      <c r="OWI44" s="275" t="s">
        <v>152</v>
      </c>
      <c r="OWJ44" s="276"/>
      <c r="OWK44" s="276"/>
      <c r="OWL44" s="276"/>
      <c r="OWM44" s="276"/>
      <c r="OWN44" s="276"/>
      <c r="OWO44" s="276"/>
      <c r="OWP44" s="276"/>
      <c r="OWQ44" s="276"/>
      <c r="OWR44" s="276"/>
      <c r="OWS44" s="276"/>
      <c r="OWT44" s="276"/>
      <c r="OWU44" s="276"/>
      <c r="OWV44" s="276"/>
      <c r="OWW44" s="276"/>
      <c r="OWX44" s="276"/>
      <c r="OWY44" s="275" t="s">
        <v>152</v>
      </c>
      <c r="OWZ44" s="276"/>
      <c r="OXA44" s="276"/>
      <c r="OXB44" s="276"/>
      <c r="OXC44" s="276"/>
      <c r="OXD44" s="276"/>
      <c r="OXE44" s="276"/>
      <c r="OXF44" s="276"/>
      <c r="OXG44" s="276"/>
      <c r="OXH44" s="276"/>
      <c r="OXI44" s="276"/>
      <c r="OXJ44" s="276"/>
      <c r="OXK44" s="276"/>
      <c r="OXL44" s="276"/>
      <c r="OXM44" s="276"/>
      <c r="OXN44" s="276"/>
      <c r="OXO44" s="275" t="s">
        <v>152</v>
      </c>
      <c r="OXP44" s="276"/>
      <c r="OXQ44" s="276"/>
      <c r="OXR44" s="276"/>
      <c r="OXS44" s="276"/>
      <c r="OXT44" s="276"/>
      <c r="OXU44" s="276"/>
      <c r="OXV44" s="276"/>
      <c r="OXW44" s="276"/>
      <c r="OXX44" s="276"/>
      <c r="OXY44" s="276"/>
      <c r="OXZ44" s="276"/>
      <c r="OYA44" s="276"/>
      <c r="OYB44" s="276"/>
      <c r="OYC44" s="276"/>
      <c r="OYD44" s="276"/>
      <c r="OYE44" s="275" t="s">
        <v>152</v>
      </c>
      <c r="OYF44" s="276"/>
      <c r="OYG44" s="276"/>
      <c r="OYH44" s="276"/>
      <c r="OYI44" s="276"/>
      <c r="OYJ44" s="276"/>
      <c r="OYK44" s="276"/>
      <c r="OYL44" s="276"/>
      <c r="OYM44" s="276"/>
      <c r="OYN44" s="276"/>
      <c r="OYO44" s="276"/>
      <c r="OYP44" s="276"/>
      <c r="OYQ44" s="276"/>
      <c r="OYR44" s="276"/>
      <c r="OYS44" s="276"/>
      <c r="OYT44" s="276"/>
      <c r="OYU44" s="275" t="s">
        <v>152</v>
      </c>
      <c r="OYV44" s="276"/>
      <c r="OYW44" s="276"/>
      <c r="OYX44" s="276"/>
      <c r="OYY44" s="276"/>
      <c r="OYZ44" s="276"/>
      <c r="OZA44" s="276"/>
      <c r="OZB44" s="276"/>
      <c r="OZC44" s="276"/>
      <c r="OZD44" s="276"/>
      <c r="OZE44" s="276"/>
      <c r="OZF44" s="276"/>
      <c r="OZG44" s="276"/>
      <c r="OZH44" s="276"/>
      <c r="OZI44" s="276"/>
      <c r="OZJ44" s="276"/>
      <c r="OZK44" s="275" t="s">
        <v>152</v>
      </c>
      <c r="OZL44" s="276"/>
      <c r="OZM44" s="276"/>
      <c r="OZN44" s="276"/>
      <c r="OZO44" s="276"/>
      <c r="OZP44" s="276"/>
      <c r="OZQ44" s="276"/>
      <c r="OZR44" s="276"/>
      <c r="OZS44" s="276"/>
      <c r="OZT44" s="276"/>
      <c r="OZU44" s="276"/>
      <c r="OZV44" s="276"/>
      <c r="OZW44" s="276"/>
      <c r="OZX44" s="276"/>
      <c r="OZY44" s="276"/>
      <c r="OZZ44" s="276"/>
      <c r="PAA44" s="275" t="s">
        <v>152</v>
      </c>
      <c r="PAB44" s="276"/>
      <c r="PAC44" s="276"/>
      <c r="PAD44" s="276"/>
      <c r="PAE44" s="276"/>
      <c r="PAF44" s="276"/>
      <c r="PAG44" s="276"/>
      <c r="PAH44" s="276"/>
      <c r="PAI44" s="276"/>
      <c r="PAJ44" s="276"/>
      <c r="PAK44" s="276"/>
      <c r="PAL44" s="276"/>
      <c r="PAM44" s="276"/>
      <c r="PAN44" s="276"/>
      <c r="PAO44" s="276"/>
      <c r="PAP44" s="276"/>
      <c r="PAQ44" s="275" t="s">
        <v>152</v>
      </c>
      <c r="PAR44" s="276"/>
      <c r="PAS44" s="276"/>
      <c r="PAT44" s="276"/>
      <c r="PAU44" s="276"/>
      <c r="PAV44" s="276"/>
      <c r="PAW44" s="276"/>
      <c r="PAX44" s="276"/>
      <c r="PAY44" s="276"/>
      <c r="PAZ44" s="276"/>
      <c r="PBA44" s="276"/>
      <c r="PBB44" s="276"/>
      <c r="PBC44" s="276"/>
      <c r="PBD44" s="276"/>
      <c r="PBE44" s="276"/>
      <c r="PBF44" s="276"/>
      <c r="PBG44" s="275" t="s">
        <v>152</v>
      </c>
      <c r="PBH44" s="276"/>
      <c r="PBI44" s="276"/>
      <c r="PBJ44" s="276"/>
      <c r="PBK44" s="276"/>
      <c r="PBL44" s="276"/>
      <c r="PBM44" s="276"/>
      <c r="PBN44" s="276"/>
      <c r="PBO44" s="276"/>
      <c r="PBP44" s="276"/>
      <c r="PBQ44" s="276"/>
      <c r="PBR44" s="276"/>
      <c r="PBS44" s="276"/>
      <c r="PBT44" s="276"/>
      <c r="PBU44" s="276"/>
      <c r="PBV44" s="276"/>
      <c r="PBW44" s="275" t="s">
        <v>152</v>
      </c>
      <c r="PBX44" s="276"/>
      <c r="PBY44" s="276"/>
      <c r="PBZ44" s="276"/>
      <c r="PCA44" s="276"/>
      <c r="PCB44" s="276"/>
      <c r="PCC44" s="276"/>
      <c r="PCD44" s="276"/>
      <c r="PCE44" s="276"/>
      <c r="PCF44" s="276"/>
      <c r="PCG44" s="276"/>
      <c r="PCH44" s="276"/>
      <c r="PCI44" s="276"/>
      <c r="PCJ44" s="276"/>
      <c r="PCK44" s="276"/>
      <c r="PCL44" s="276"/>
      <c r="PCM44" s="275" t="s">
        <v>152</v>
      </c>
      <c r="PCN44" s="276"/>
      <c r="PCO44" s="276"/>
      <c r="PCP44" s="276"/>
      <c r="PCQ44" s="276"/>
      <c r="PCR44" s="276"/>
      <c r="PCS44" s="276"/>
      <c r="PCT44" s="276"/>
      <c r="PCU44" s="276"/>
      <c r="PCV44" s="276"/>
      <c r="PCW44" s="276"/>
      <c r="PCX44" s="276"/>
      <c r="PCY44" s="276"/>
      <c r="PCZ44" s="276"/>
      <c r="PDA44" s="276"/>
      <c r="PDB44" s="276"/>
      <c r="PDC44" s="275" t="s">
        <v>152</v>
      </c>
      <c r="PDD44" s="276"/>
      <c r="PDE44" s="276"/>
      <c r="PDF44" s="276"/>
      <c r="PDG44" s="276"/>
      <c r="PDH44" s="276"/>
      <c r="PDI44" s="276"/>
      <c r="PDJ44" s="276"/>
      <c r="PDK44" s="276"/>
      <c r="PDL44" s="276"/>
      <c r="PDM44" s="276"/>
      <c r="PDN44" s="276"/>
      <c r="PDO44" s="276"/>
      <c r="PDP44" s="276"/>
      <c r="PDQ44" s="276"/>
      <c r="PDR44" s="276"/>
      <c r="PDS44" s="275" t="s">
        <v>152</v>
      </c>
      <c r="PDT44" s="276"/>
      <c r="PDU44" s="276"/>
      <c r="PDV44" s="276"/>
      <c r="PDW44" s="276"/>
      <c r="PDX44" s="276"/>
      <c r="PDY44" s="276"/>
      <c r="PDZ44" s="276"/>
      <c r="PEA44" s="276"/>
      <c r="PEB44" s="276"/>
      <c r="PEC44" s="276"/>
      <c r="PED44" s="276"/>
      <c r="PEE44" s="276"/>
      <c r="PEF44" s="276"/>
      <c r="PEG44" s="276"/>
      <c r="PEH44" s="276"/>
      <c r="PEI44" s="275" t="s">
        <v>152</v>
      </c>
      <c r="PEJ44" s="276"/>
      <c r="PEK44" s="276"/>
      <c r="PEL44" s="276"/>
      <c r="PEM44" s="276"/>
      <c r="PEN44" s="276"/>
      <c r="PEO44" s="276"/>
      <c r="PEP44" s="276"/>
      <c r="PEQ44" s="276"/>
      <c r="PER44" s="276"/>
      <c r="PES44" s="276"/>
      <c r="PET44" s="276"/>
      <c r="PEU44" s="276"/>
      <c r="PEV44" s="276"/>
      <c r="PEW44" s="276"/>
      <c r="PEX44" s="276"/>
      <c r="PEY44" s="275" t="s">
        <v>152</v>
      </c>
      <c r="PEZ44" s="276"/>
      <c r="PFA44" s="276"/>
      <c r="PFB44" s="276"/>
      <c r="PFC44" s="276"/>
      <c r="PFD44" s="276"/>
      <c r="PFE44" s="276"/>
      <c r="PFF44" s="276"/>
      <c r="PFG44" s="276"/>
      <c r="PFH44" s="276"/>
      <c r="PFI44" s="276"/>
      <c r="PFJ44" s="276"/>
      <c r="PFK44" s="276"/>
      <c r="PFL44" s="276"/>
      <c r="PFM44" s="276"/>
      <c r="PFN44" s="276"/>
      <c r="PFO44" s="275" t="s">
        <v>152</v>
      </c>
      <c r="PFP44" s="276"/>
      <c r="PFQ44" s="276"/>
      <c r="PFR44" s="276"/>
      <c r="PFS44" s="276"/>
      <c r="PFT44" s="276"/>
      <c r="PFU44" s="276"/>
      <c r="PFV44" s="276"/>
      <c r="PFW44" s="276"/>
      <c r="PFX44" s="276"/>
      <c r="PFY44" s="276"/>
      <c r="PFZ44" s="276"/>
      <c r="PGA44" s="276"/>
      <c r="PGB44" s="276"/>
      <c r="PGC44" s="276"/>
      <c r="PGD44" s="276"/>
      <c r="PGE44" s="275" t="s">
        <v>152</v>
      </c>
      <c r="PGF44" s="276"/>
      <c r="PGG44" s="276"/>
      <c r="PGH44" s="276"/>
      <c r="PGI44" s="276"/>
      <c r="PGJ44" s="276"/>
      <c r="PGK44" s="276"/>
      <c r="PGL44" s="276"/>
      <c r="PGM44" s="276"/>
      <c r="PGN44" s="276"/>
      <c r="PGO44" s="276"/>
      <c r="PGP44" s="276"/>
      <c r="PGQ44" s="276"/>
      <c r="PGR44" s="276"/>
      <c r="PGS44" s="276"/>
      <c r="PGT44" s="276"/>
      <c r="PGU44" s="275" t="s">
        <v>152</v>
      </c>
      <c r="PGV44" s="276"/>
      <c r="PGW44" s="276"/>
      <c r="PGX44" s="276"/>
      <c r="PGY44" s="276"/>
      <c r="PGZ44" s="276"/>
      <c r="PHA44" s="276"/>
      <c r="PHB44" s="276"/>
      <c r="PHC44" s="276"/>
      <c r="PHD44" s="276"/>
      <c r="PHE44" s="276"/>
      <c r="PHF44" s="276"/>
      <c r="PHG44" s="276"/>
      <c r="PHH44" s="276"/>
      <c r="PHI44" s="276"/>
      <c r="PHJ44" s="276"/>
      <c r="PHK44" s="275" t="s">
        <v>152</v>
      </c>
      <c r="PHL44" s="276"/>
      <c r="PHM44" s="276"/>
      <c r="PHN44" s="276"/>
      <c r="PHO44" s="276"/>
      <c r="PHP44" s="276"/>
      <c r="PHQ44" s="276"/>
      <c r="PHR44" s="276"/>
      <c r="PHS44" s="276"/>
      <c r="PHT44" s="276"/>
      <c r="PHU44" s="276"/>
      <c r="PHV44" s="276"/>
      <c r="PHW44" s="276"/>
      <c r="PHX44" s="276"/>
      <c r="PHY44" s="276"/>
      <c r="PHZ44" s="276"/>
      <c r="PIA44" s="275" t="s">
        <v>152</v>
      </c>
      <c r="PIB44" s="276"/>
      <c r="PIC44" s="276"/>
      <c r="PID44" s="276"/>
      <c r="PIE44" s="276"/>
      <c r="PIF44" s="276"/>
      <c r="PIG44" s="276"/>
      <c r="PIH44" s="276"/>
      <c r="PII44" s="276"/>
      <c r="PIJ44" s="276"/>
      <c r="PIK44" s="276"/>
      <c r="PIL44" s="276"/>
      <c r="PIM44" s="276"/>
      <c r="PIN44" s="276"/>
      <c r="PIO44" s="276"/>
      <c r="PIP44" s="276"/>
      <c r="PIQ44" s="275" t="s">
        <v>152</v>
      </c>
      <c r="PIR44" s="276"/>
      <c r="PIS44" s="276"/>
      <c r="PIT44" s="276"/>
      <c r="PIU44" s="276"/>
      <c r="PIV44" s="276"/>
      <c r="PIW44" s="276"/>
      <c r="PIX44" s="276"/>
      <c r="PIY44" s="276"/>
      <c r="PIZ44" s="276"/>
      <c r="PJA44" s="276"/>
      <c r="PJB44" s="276"/>
      <c r="PJC44" s="276"/>
      <c r="PJD44" s="276"/>
      <c r="PJE44" s="276"/>
      <c r="PJF44" s="276"/>
      <c r="PJG44" s="275" t="s">
        <v>152</v>
      </c>
      <c r="PJH44" s="276"/>
      <c r="PJI44" s="276"/>
      <c r="PJJ44" s="276"/>
      <c r="PJK44" s="276"/>
      <c r="PJL44" s="276"/>
      <c r="PJM44" s="276"/>
      <c r="PJN44" s="276"/>
      <c r="PJO44" s="276"/>
      <c r="PJP44" s="276"/>
      <c r="PJQ44" s="276"/>
      <c r="PJR44" s="276"/>
      <c r="PJS44" s="276"/>
      <c r="PJT44" s="276"/>
      <c r="PJU44" s="276"/>
      <c r="PJV44" s="276"/>
      <c r="PJW44" s="275" t="s">
        <v>152</v>
      </c>
      <c r="PJX44" s="276"/>
      <c r="PJY44" s="276"/>
      <c r="PJZ44" s="276"/>
      <c r="PKA44" s="276"/>
      <c r="PKB44" s="276"/>
      <c r="PKC44" s="276"/>
      <c r="PKD44" s="276"/>
      <c r="PKE44" s="276"/>
      <c r="PKF44" s="276"/>
      <c r="PKG44" s="276"/>
      <c r="PKH44" s="276"/>
      <c r="PKI44" s="276"/>
      <c r="PKJ44" s="276"/>
      <c r="PKK44" s="276"/>
      <c r="PKL44" s="276"/>
      <c r="PKM44" s="275" t="s">
        <v>152</v>
      </c>
      <c r="PKN44" s="276"/>
      <c r="PKO44" s="276"/>
      <c r="PKP44" s="276"/>
      <c r="PKQ44" s="276"/>
      <c r="PKR44" s="276"/>
      <c r="PKS44" s="276"/>
      <c r="PKT44" s="276"/>
      <c r="PKU44" s="276"/>
      <c r="PKV44" s="276"/>
      <c r="PKW44" s="276"/>
      <c r="PKX44" s="276"/>
      <c r="PKY44" s="276"/>
      <c r="PKZ44" s="276"/>
      <c r="PLA44" s="276"/>
      <c r="PLB44" s="276"/>
      <c r="PLC44" s="275" t="s">
        <v>152</v>
      </c>
      <c r="PLD44" s="276"/>
      <c r="PLE44" s="276"/>
      <c r="PLF44" s="276"/>
      <c r="PLG44" s="276"/>
      <c r="PLH44" s="276"/>
      <c r="PLI44" s="276"/>
      <c r="PLJ44" s="276"/>
      <c r="PLK44" s="276"/>
      <c r="PLL44" s="276"/>
      <c r="PLM44" s="276"/>
      <c r="PLN44" s="276"/>
      <c r="PLO44" s="276"/>
      <c r="PLP44" s="276"/>
      <c r="PLQ44" s="276"/>
      <c r="PLR44" s="276"/>
      <c r="PLS44" s="275" t="s">
        <v>152</v>
      </c>
      <c r="PLT44" s="276"/>
      <c r="PLU44" s="276"/>
      <c r="PLV44" s="276"/>
      <c r="PLW44" s="276"/>
      <c r="PLX44" s="276"/>
      <c r="PLY44" s="276"/>
      <c r="PLZ44" s="276"/>
      <c r="PMA44" s="276"/>
      <c r="PMB44" s="276"/>
      <c r="PMC44" s="276"/>
      <c r="PMD44" s="276"/>
      <c r="PME44" s="276"/>
      <c r="PMF44" s="276"/>
      <c r="PMG44" s="276"/>
      <c r="PMH44" s="276"/>
      <c r="PMI44" s="275" t="s">
        <v>152</v>
      </c>
      <c r="PMJ44" s="276"/>
      <c r="PMK44" s="276"/>
      <c r="PML44" s="276"/>
      <c r="PMM44" s="276"/>
      <c r="PMN44" s="276"/>
      <c r="PMO44" s="276"/>
      <c r="PMP44" s="276"/>
      <c r="PMQ44" s="276"/>
      <c r="PMR44" s="276"/>
      <c r="PMS44" s="276"/>
      <c r="PMT44" s="276"/>
      <c r="PMU44" s="276"/>
      <c r="PMV44" s="276"/>
      <c r="PMW44" s="276"/>
      <c r="PMX44" s="276"/>
      <c r="PMY44" s="275" t="s">
        <v>152</v>
      </c>
      <c r="PMZ44" s="276"/>
      <c r="PNA44" s="276"/>
      <c r="PNB44" s="276"/>
      <c r="PNC44" s="276"/>
      <c r="PND44" s="276"/>
      <c r="PNE44" s="276"/>
      <c r="PNF44" s="276"/>
      <c r="PNG44" s="276"/>
      <c r="PNH44" s="276"/>
      <c r="PNI44" s="276"/>
      <c r="PNJ44" s="276"/>
      <c r="PNK44" s="276"/>
      <c r="PNL44" s="276"/>
      <c r="PNM44" s="276"/>
      <c r="PNN44" s="276"/>
      <c r="PNO44" s="275" t="s">
        <v>152</v>
      </c>
      <c r="PNP44" s="276"/>
      <c r="PNQ44" s="276"/>
      <c r="PNR44" s="276"/>
      <c r="PNS44" s="276"/>
      <c r="PNT44" s="276"/>
      <c r="PNU44" s="276"/>
      <c r="PNV44" s="276"/>
      <c r="PNW44" s="276"/>
      <c r="PNX44" s="276"/>
      <c r="PNY44" s="276"/>
      <c r="PNZ44" s="276"/>
      <c r="POA44" s="276"/>
      <c r="POB44" s="276"/>
      <c r="POC44" s="276"/>
      <c r="POD44" s="276"/>
      <c r="POE44" s="275" t="s">
        <v>152</v>
      </c>
      <c r="POF44" s="276"/>
      <c r="POG44" s="276"/>
      <c r="POH44" s="276"/>
      <c r="POI44" s="276"/>
      <c r="POJ44" s="276"/>
      <c r="POK44" s="276"/>
      <c r="POL44" s="276"/>
      <c r="POM44" s="276"/>
      <c r="PON44" s="276"/>
      <c r="POO44" s="276"/>
      <c r="POP44" s="276"/>
      <c r="POQ44" s="276"/>
      <c r="POR44" s="276"/>
      <c r="POS44" s="276"/>
      <c r="POT44" s="276"/>
      <c r="POU44" s="275" t="s">
        <v>152</v>
      </c>
      <c r="POV44" s="276"/>
      <c r="POW44" s="276"/>
      <c r="POX44" s="276"/>
      <c r="POY44" s="276"/>
      <c r="POZ44" s="276"/>
      <c r="PPA44" s="276"/>
      <c r="PPB44" s="276"/>
      <c r="PPC44" s="276"/>
      <c r="PPD44" s="276"/>
      <c r="PPE44" s="276"/>
      <c r="PPF44" s="276"/>
      <c r="PPG44" s="276"/>
      <c r="PPH44" s="276"/>
      <c r="PPI44" s="276"/>
      <c r="PPJ44" s="276"/>
      <c r="PPK44" s="275" t="s">
        <v>152</v>
      </c>
      <c r="PPL44" s="276"/>
      <c r="PPM44" s="276"/>
      <c r="PPN44" s="276"/>
      <c r="PPO44" s="276"/>
      <c r="PPP44" s="276"/>
      <c r="PPQ44" s="276"/>
      <c r="PPR44" s="276"/>
      <c r="PPS44" s="276"/>
      <c r="PPT44" s="276"/>
      <c r="PPU44" s="276"/>
      <c r="PPV44" s="276"/>
      <c r="PPW44" s="276"/>
      <c r="PPX44" s="276"/>
      <c r="PPY44" s="276"/>
      <c r="PPZ44" s="276"/>
      <c r="PQA44" s="275" t="s">
        <v>152</v>
      </c>
      <c r="PQB44" s="276"/>
      <c r="PQC44" s="276"/>
      <c r="PQD44" s="276"/>
      <c r="PQE44" s="276"/>
      <c r="PQF44" s="276"/>
      <c r="PQG44" s="276"/>
      <c r="PQH44" s="276"/>
      <c r="PQI44" s="276"/>
      <c r="PQJ44" s="276"/>
      <c r="PQK44" s="276"/>
      <c r="PQL44" s="276"/>
      <c r="PQM44" s="276"/>
      <c r="PQN44" s="276"/>
      <c r="PQO44" s="276"/>
      <c r="PQP44" s="276"/>
      <c r="PQQ44" s="275" t="s">
        <v>152</v>
      </c>
      <c r="PQR44" s="276"/>
      <c r="PQS44" s="276"/>
      <c r="PQT44" s="276"/>
      <c r="PQU44" s="276"/>
      <c r="PQV44" s="276"/>
      <c r="PQW44" s="276"/>
      <c r="PQX44" s="276"/>
      <c r="PQY44" s="276"/>
      <c r="PQZ44" s="276"/>
      <c r="PRA44" s="276"/>
      <c r="PRB44" s="276"/>
      <c r="PRC44" s="276"/>
      <c r="PRD44" s="276"/>
      <c r="PRE44" s="276"/>
      <c r="PRF44" s="276"/>
      <c r="PRG44" s="275" t="s">
        <v>152</v>
      </c>
      <c r="PRH44" s="276"/>
      <c r="PRI44" s="276"/>
      <c r="PRJ44" s="276"/>
      <c r="PRK44" s="276"/>
      <c r="PRL44" s="276"/>
      <c r="PRM44" s="276"/>
      <c r="PRN44" s="276"/>
      <c r="PRO44" s="276"/>
      <c r="PRP44" s="276"/>
      <c r="PRQ44" s="276"/>
      <c r="PRR44" s="276"/>
      <c r="PRS44" s="276"/>
      <c r="PRT44" s="276"/>
      <c r="PRU44" s="276"/>
      <c r="PRV44" s="276"/>
      <c r="PRW44" s="275" t="s">
        <v>152</v>
      </c>
      <c r="PRX44" s="276"/>
      <c r="PRY44" s="276"/>
      <c r="PRZ44" s="276"/>
      <c r="PSA44" s="276"/>
      <c r="PSB44" s="276"/>
      <c r="PSC44" s="276"/>
      <c r="PSD44" s="276"/>
      <c r="PSE44" s="276"/>
      <c r="PSF44" s="276"/>
      <c r="PSG44" s="276"/>
      <c r="PSH44" s="276"/>
      <c r="PSI44" s="276"/>
      <c r="PSJ44" s="276"/>
      <c r="PSK44" s="276"/>
      <c r="PSL44" s="276"/>
      <c r="PSM44" s="275" t="s">
        <v>152</v>
      </c>
      <c r="PSN44" s="276"/>
      <c r="PSO44" s="276"/>
      <c r="PSP44" s="276"/>
      <c r="PSQ44" s="276"/>
      <c r="PSR44" s="276"/>
      <c r="PSS44" s="276"/>
      <c r="PST44" s="276"/>
      <c r="PSU44" s="276"/>
      <c r="PSV44" s="276"/>
      <c r="PSW44" s="276"/>
      <c r="PSX44" s="276"/>
      <c r="PSY44" s="276"/>
      <c r="PSZ44" s="276"/>
      <c r="PTA44" s="276"/>
      <c r="PTB44" s="276"/>
      <c r="PTC44" s="275" t="s">
        <v>152</v>
      </c>
      <c r="PTD44" s="276"/>
      <c r="PTE44" s="276"/>
      <c r="PTF44" s="276"/>
      <c r="PTG44" s="276"/>
      <c r="PTH44" s="276"/>
      <c r="PTI44" s="276"/>
      <c r="PTJ44" s="276"/>
      <c r="PTK44" s="276"/>
      <c r="PTL44" s="276"/>
      <c r="PTM44" s="276"/>
      <c r="PTN44" s="276"/>
      <c r="PTO44" s="276"/>
      <c r="PTP44" s="276"/>
      <c r="PTQ44" s="276"/>
      <c r="PTR44" s="276"/>
      <c r="PTS44" s="275" t="s">
        <v>152</v>
      </c>
      <c r="PTT44" s="276"/>
      <c r="PTU44" s="276"/>
      <c r="PTV44" s="276"/>
      <c r="PTW44" s="276"/>
      <c r="PTX44" s="276"/>
      <c r="PTY44" s="276"/>
      <c r="PTZ44" s="276"/>
      <c r="PUA44" s="276"/>
      <c r="PUB44" s="276"/>
      <c r="PUC44" s="276"/>
      <c r="PUD44" s="276"/>
      <c r="PUE44" s="276"/>
      <c r="PUF44" s="276"/>
      <c r="PUG44" s="276"/>
      <c r="PUH44" s="276"/>
      <c r="PUI44" s="275" t="s">
        <v>152</v>
      </c>
      <c r="PUJ44" s="276"/>
      <c r="PUK44" s="276"/>
      <c r="PUL44" s="276"/>
      <c r="PUM44" s="276"/>
      <c r="PUN44" s="276"/>
      <c r="PUO44" s="276"/>
      <c r="PUP44" s="276"/>
      <c r="PUQ44" s="276"/>
      <c r="PUR44" s="276"/>
      <c r="PUS44" s="276"/>
      <c r="PUT44" s="276"/>
      <c r="PUU44" s="276"/>
      <c r="PUV44" s="276"/>
      <c r="PUW44" s="276"/>
      <c r="PUX44" s="276"/>
      <c r="PUY44" s="275" t="s">
        <v>152</v>
      </c>
      <c r="PUZ44" s="276"/>
      <c r="PVA44" s="276"/>
      <c r="PVB44" s="276"/>
      <c r="PVC44" s="276"/>
      <c r="PVD44" s="276"/>
      <c r="PVE44" s="276"/>
      <c r="PVF44" s="276"/>
      <c r="PVG44" s="276"/>
      <c r="PVH44" s="276"/>
      <c r="PVI44" s="276"/>
      <c r="PVJ44" s="276"/>
      <c r="PVK44" s="276"/>
      <c r="PVL44" s="276"/>
      <c r="PVM44" s="276"/>
      <c r="PVN44" s="276"/>
      <c r="PVO44" s="275" t="s">
        <v>152</v>
      </c>
      <c r="PVP44" s="276"/>
      <c r="PVQ44" s="276"/>
      <c r="PVR44" s="276"/>
      <c r="PVS44" s="276"/>
      <c r="PVT44" s="276"/>
      <c r="PVU44" s="276"/>
      <c r="PVV44" s="276"/>
      <c r="PVW44" s="276"/>
      <c r="PVX44" s="276"/>
      <c r="PVY44" s="276"/>
      <c r="PVZ44" s="276"/>
      <c r="PWA44" s="276"/>
      <c r="PWB44" s="276"/>
      <c r="PWC44" s="276"/>
      <c r="PWD44" s="276"/>
      <c r="PWE44" s="275" t="s">
        <v>152</v>
      </c>
      <c r="PWF44" s="276"/>
      <c r="PWG44" s="276"/>
      <c r="PWH44" s="276"/>
      <c r="PWI44" s="276"/>
      <c r="PWJ44" s="276"/>
      <c r="PWK44" s="276"/>
      <c r="PWL44" s="276"/>
      <c r="PWM44" s="276"/>
      <c r="PWN44" s="276"/>
      <c r="PWO44" s="276"/>
      <c r="PWP44" s="276"/>
      <c r="PWQ44" s="276"/>
      <c r="PWR44" s="276"/>
      <c r="PWS44" s="276"/>
      <c r="PWT44" s="276"/>
      <c r="PWU44" s="275" t="s">
        <v>152</v>
      </c>
      <c r="PWV44" s="276"/>
      <c r="PWW44" s="276"/>
      <c r="PWX44" s="276"/>
      <c r="PWY44" s="276"/>
      <c r="PWZ44" s="276"/>
      <c r="PXA44" s="276"/>
      <c r="PXB44" s="276"/>
      <c r="PXC44" s="276"/>
      <c r="PXD44" s="276"/>
      <c r="PXE44" s="276"/>
      <c r="PXF44" s="276"/>
      <c r="PXG44" s="276"/>
      <c r="PXH44" s="276"/>
      <c r="PXI44" s="276"/>
      <c r="PXJ44" s="276"/>
      <c r="PXK44" s="275" t="s">
        <v>152</v>
      </c>
      <c r="PXL44" s="276"/>
      <c r="PXM44" s="276"/>
      <c r="PXN44" s="276"/>
      <c r="PXO44" s="276"/>
      <c r="PXP44" s="276"/>
      <c r="PXQ44" s="276"/>
      <c r="PXR44" s="276"/>
      <c r="PXS44" s="276"/>
      <c r="PXT44" s="276"/>
      <c r="PXU44" s="276"/>
      <c r="PXV44" s="276"/>
      <c r="PXW44" s="276"/>
      <c r="PXX44" s="276"/>
      <c r="PXY44" s="276"/>
      <c r="PXZ44" s="276"/>
      <c r="PYA44" s="275" t="s">
        <v>152</v>
      </c>
      <c r="PYB44" s="276"/>
      <c r="PYC44" s="276"/>
      <c r="PYD44" s="276"/>
      <c r="PYE44" s="276"/>
      <c r="PYF44" s="276"/>
      <c r="PYG44" s="276"/>
      <c r="PYH44" s="276"/>
      <c r="PYI44" s="276"/>
      <c r="PYJ44" s="276"/>
      <c r="PYK44" s="276"/>
      <c r="PYL44" s="276"/>
      <c r="PYM44" s="276"/>
      <c r="PYN44" s="276"/>
      <c r="PYO44" s="276"/>
      <c r="PYP44" s="276"/>
      <c r="PYQ44" s="275" t="s">
        <v>152</v>
      </c>
      <c r="PYR44" s="276"/>
      <c r="PYS44" s="276"/>
      <c r="PYT44" s="276"/>
      <c r="PYU44" s="276"/>
      <c r="PYV44" s="276"/>
      <c r="PYW44" s="276"/>
      <c r="PYX44" s="276"/>
      <c r="PYY44" s="276"/>
      <c r="PYZ44" s="276"/>
      <c r="PZA44" s="276"/>
      <c r="PZB44" s="276"/>
      <c r="PZC44" s="276"/>
      <c r="PZD44" s="276"/>
      <c r="PZE44" s="276"/>
      <c r="PZF44" s="276"/>
      <c r="PZG44" s="275" t="s">
        <v>152</v>
      </c>
      <c r="PZH44" s="276"/>
      <c r="PZI44" s="276"/>
      <c r="PZJ44" s="276"/>
      <c r="PZK44" s="276"/>
      <c r="PZL44" s="276"/>
      <c r="PZM44" s="276"/>
      <c r="PZN44" s="276"/>
      <c r="PZO44" s="276"/>
      <c r="PZP44" s="276"/>
      <c r="PZQ44" s="276"/>
      <c r="PZR44" s="276"/>
      <c r="PZS44" s="276"/>
      <c r="PZT44" s="276"/>
      <c r="PZU44" s="276"/>
      <c r="PZV44" s="276"/>
      <c r="PZW44" s="275" t="s">
        <v>152</v>
      </c>
      <c r="PZX44" s="276"/>
      <c r="PZY44" s="276"/>
      <c r="PZZ44" s="276"/>
      <c r="QAA44" s="276"/>
      <c r="QAB44" s="276"/>
      <c r="QAC44" s="276"/>
      <c r="QAD44" s="276"/>
      <c r="QAE44" s="276"/>
      <c r="QAF44" s="276"/>
      <c r="QAG44" s="276"/>
      <c r="QAH44" s="276"/>
      <c r="QAI44" s="276"/>
      <c r="QAJ44" s="276"/>
      <c r="QAK44" s="276"/>
      <c r="QAL44" s="276"/>
      <c r="QAM44" s="275" t="s">
        <v>152</v>
      </c>
      <c r="QAN44" s="276"/>
      <c r="QAO44" s="276"/>
      <c r="QAP44" s="276"/>
      <c r="QAQ44" s="276"/>
      <c r="QAR44" s="276"/>
      <c r="QAS44" s="276"/>
      <c r="QAT44" s="276"/>
      <c r="QAU44" s="276"/>
      <c r="QAV44" s="276"/>
      <c r="QAW44" s="276"/>
      <c r="QAX44" s="276"/>
      <c r="QAY44" s="276"/>
      <c r="QAZ44" s="276"/>
      <c r="QBA44" s="276"/>
      <c r="QBB44" s="276"/>
      <c r="QBC44" s="275" t="s">
        <v>152</v>
      </c>
      <c r="QBD44" s="276"/>
      <c r="QBE44" s="276"/>
      <c r="QBF44" s="276"/>
      <c r="QBG44" s="276"/>
      <c r="QBH44" s="276"/>
      <c r="QBI44" s="276"/>
      <c r="QBJ44" s="276"/>
      <c r="QBK44" s="276"/>
      <c r="QBL44" s="276"/>
      <c r="QBM44" s="276"/>
      <c r="QBN44" s="276"/>
      <c r="QBO44" s="276"/>
      <c r="QBP44" s="276"/>
      <c r="QBQ44" s="276"/>
      <c r="QBR44" s="276"/>
      <c r="QBS44" s="275" t="s">
        <v>152</v>
      </c>
      <c r="QBT44" s="276"/>
      <c r="QBU44" s="276"/>
      <c r="QBV44" s="276"/>
      <c r="QBW44" s="276"/>
      <c r="QBX44" s="276"/>
      <c r="QBY44" s="276"/>
      <c r="QBZ44" s="276"/>
      <c r="QCA44" s="276"/>
      <c r="QCB44" s="276"/>
      <c r="QCC44" s="276"/>
      <c r="QCD44" s="276"/>
      <c r="QCE44" s="276"/>
      <c r="QCF44" s="276"/>
      <c r="QCG44" s="276"/>
      <c r="QCH44" s="276"/>
      <c r="QCI44" s="275" t="s">
        <v>152</v>
      </c>
      <c r="QCJ44" s="276"/>
      <c r="QCK44" s="276"/>
      <c r="QCL44" s="276"/>
      <c r="QCM44" s="276"/>
      <c r="QCN44" s="276"/>
      <c r="QCO44" s="276"/>
      <c r="QCP44" s="276"/>
      <c r="QCQ44" s="276"/>
      <c r="QCR44" s="276"/>
      <c r="QCS44" s="276"/>
      <c r="QCT44" s="276"/>
      <c r="QCU44" s="276"/>
      <c r="QCV44" s="276"/>
      <c r="QCW44" s="276"/>
      <c r="QCX44" s="276"/>
      <c r="QCY44" s="275" t="s">
        <v>152</v>
      </c>
      <c r="QCZ44" s="276"/>
      <c r="QDA44" s="276"/>
      <c r="QDB44" s="276"/>
      <c r="QDC44" s="276"/>
      <c r="QDD44" s="276"/>
      <c r="QDE44" s="276"/>
      <c r="QDF44" s="276"/>
      <c r="QDG44" s="276"/>
      <c r="QDH44" s="276"/>
      <c r="QDI44" s="276"/>
      <c r="QDJ44" s="276"/>
      <c r="QDK44" s="276"/>
      <c r="QDL44" s="276"/>
      <c r="QDM44" s="276"/>
      <c r="QDN44" s="276"/>
      <c r="QDO44" s="275" t="s">
        <v>152</v>
      </c>
      <c r="QDP44" s="276"/>
      <c r="QDQ44" s="276"/>
      <c r="QDR44" s="276"/>
      <c r="QDS44" s="276"/>
      <c r="QDT44" s="276"/>
      <c r="QDU44" s="276"/>
      <c r="QDV44" s="276"/>
      <c r="QDW44" s="276"/>
      <c r="QDX44" s="276"/>
      <c r="QDY44" s="276"/>
      <c r="QDZ44" s="276"/>
      <c r="QEA44" s="276"/>
      <c r="QEB44" s="276"/>
      <c r="QEC44" s="276"/>
      <c r="QED44" s="276"/>
      <c r="QEE44" s="275" t="s">
        <v>152</v>
      </c>
      <c r="QEF44" s="276"/>
      <c r="QEG44" s="276"/>
      <c r="QEH44" s="276"/>
      <c r="QEI44" s="276"/>
      <c r="QEJ44" s="276"/>
      <c r="QEK44" s="276"/>
      <c r="QEL44" s="276"/>
      <c r="QEM44" s="276"/>
      <c r="QEN44" s="276"/>
      <c r="QEO44" s="276"/>
      <c r="QEP44" s="276"/>
      <c r="QEQ44" s="276"/>
      <c r="QER44" s="276"/>
      <c r="QES44" s="276"/>
      <c r="QET44" s="276"/>
      <c r="QEU44" s="275" t="s">
        <v>152</v>
      </c>
      <c r="QEV44" s="276"/>
      <c r="QEW44" s="276"/>
      <c r="QEX44" s="276"/>
      <c r="QEY44" s="276"/>
      <c r="QEZ44" s="276"/>
      <c r="QFA44" s="276"/>
      <c r="QFB44" s="276"/>
      <c r="QFC44" s="276"/>
      <c r="QFD44" s="276"/>
      <c r="QFE44" s="276"/>
      <c r="QFF44" s="276"/>
      <c r="QFG44" s="276"/>
      <c r="QFH44" s="276"/>
      <c r="QFI44" s="276"/>
      <c r="QFJ44" s="276"/>
      <c r="QFK44" s="275" t="s">
        <v>152</v>
      </c>
      <c r="QFL44" s="276"/>
      <c r="QFM44" s="276"/>
      <c r="QFN44" s="276"/>
      <c r="QFO44" s="276"/>
      <c r="QFP44" s="276"/>
      <c r="QFQ44" s="276"/>
      <c r="QFR44" s="276"/>
      <c r="QFS44" s="276"/>
      <c r="QFT44" s="276"/>
      <c r="QFU44" s="276"/>
      <c r="QFV44" s="276"/>
      <c r="QFW44" s="276"/>
      <c r="QFX44" s="276"/>
      <c r="QFY44" s="276"/>
      <c r="QFZ44" s="276"/>
      <c r="QGA44" s="275" t="s">
        <v>152</v>
      </c>
      <c r="QGB44" s="276"/>
      <c r="QGC44" s="276"/>
      <c r="QGD44" s="276"/>
      <c r="QGE44" s="276"/>
      <c r="QGF44" s="276"/>
      <c r="QGG44" s="276"/>
      <c r="QGH44" s="276"/>
      <c r="QGI44" s="276"/>
      <c r="QGJ44" s="276"/>
      <c r="QGK44" s="276"/>
      <c r="QGL44" s="276"/>
      <c r="QGM44" s="276"/>
      <c r="QGN44" s="276"/>
      <c r="QGO44" s="276"/>
      <c r="QGP44" s="276"/>
      <c r="QGQ44" s="275" t="s">
        <v>152</v>
      </c>
      <c r="QGR44" s="276"/>
      <c r="QGS44" s="276"/>
      <c r="QGT44" s="276"/>
      <c r="QGU44" s="276"/>
      <c r="QGV44" s="276"/>
      <c r="QGW44" s="276"/>
      <c r="QGX44" s="276"/>
      <c r="QGY44" s="276"/>
      <c r="QGZ44" s="276"/>
      <c r="QHA44" s="276"/>
      <c r="QHB44" s="276"/>
      <c r="QHC44" s="276"/>
      <c r="QHD44" s="276"/>
      <c r="QHE44" s="276"/>
      <c r="QHF44" s="276"/>
      <c r="QHG44" s="275" t="s">
        <v>152</v>
      </c>
      <c r="QHH44" s="276"/>
      <c r="QHI44" s="276"/>
      <c r="QHJ44" s="276"/>
      <c r="QHK44" s="276"/>
      <c r="QHL44" s="276"/>
      <c r="QHM44" s="276"/>
      <c r="QHN44" s="276"/>
      <c r="QHO44" s="276"/>
      <c r="QHP44" s="276"/>
      <c r="QHQ44" s="276"/>
      <c r="QHR44" s="276"/>
      <c r="QHS44" s="276"/>
      <c r="QHT44" s="276"/>
      <c r="QHU44" s="276"/>
      <c r="QHV44" s="276"/>
      <c r="QHW44" s="275" t="s">
        <v>152</v>
      </c>
      <c r="QHX44" s="276"/>
      <c r="QHY44" s="276"/>
      <c r="QHZ44" s="276"/>
      <c r="QIA44" s="276"/>
      <c r="QIB44" s="276"/>
      <c r="QIC44" s="276"/>
      <c r="QID44" s="276"/>
      <c r="QIE44" s="276"/>
      <c r="QIF44" s="276"/>
      <c r="QIG44" s="276"/>
      <c r="QIH44" s="276"/>
      <c r="QII44" s="276"/>
      <c r="QIJ44" s="276"/>
      <c r="QIK44" s="276"/>
      <c r="QIL44" s="276"/>
      <c r="QIM44" s="275" t="s">
        <v>152</v>
      </c>
      <c r="QIN44" s="276"/>
      <c r="QIO44" s="276"/>
      <c r="QIP44" s="276"/>
      <c r="QIQ44" s="276"/>
      <c r="QIR44" s="276"/>
      <c r="QIS44" s="276"/>
      <c r="QIT44" s="276"/>
      <c r="QIU44" s="276"/>
      <c r="QIV44" s="276"/>
      <c r="QIW44" s="276"/>
      <c r="QIX44" s="276"/>
      <c r="QIY44" s="276"/>
      <c r="QIZ44" s="276"/>
      <c r="QJA44" s="276"/>
      <c r="QJB44" s="276"/>
      <c r="QJC44" s="275" t="s">
        <v>152</v>
      </c>
      <c r="QJD44" s="276"/>
      <c r="QJE44" s="276"/>
      <c r="QJF44" s="276"/>
      <c r="QJG44" s="276"/>
      <c r="QJH44" s="276"/>
      <c r="QJI44" s="276"/>
      <c r="QJJ44" s="276"/>
      <c r="QJK44" s="276"/>
      <c r="QJL44" s="276"/>
      <c r="QJM44" s="276"/>
      <c r="QJN44" s="276"/>
      <c r="QJO44" s="276"/>
      <c r="QJP44" s="276"/>
      <c r="QJQ44" s="276"/>
      <c r="QJR44" s="276"/>
      <c r="QJS44" s="275" t="s">
        <v>152</v>
      </c>
      <c r="QJT44" s="276"/>
      <c r="QJU44" s="276"/>
      <c r="QJV44" s="276"/>
      <c r="QJW44" s="276"/>
      <c r="QJX44" s="276"/>
      <c r="QJY44" s="276"/>
      <c r="QJZ44" s="276"/>
      <c r="QKA44" s="276"/>
      <c r="QKB44" s="276"/>
      <c r="QKC44" s="276"/>
      <c r="QKD44" s="276"/>
      <c r="QKE44" s="276"/>
      <c r="QKF44" s="276"/>
      <c r="QKG44" s="276"/>
      <c r="QKH44" s="276"/>
      <c r="QKI44" s="275" t="s">
        <v>152</v>
      </c>
      <c r="QKJ44" s="276"/>
      <c r="QKK44" s="276"/>
      <c r="QKL44" s="276"/>
      <c r="QKM44" s="276"/>
      <c r="QKN44" s="276"/>
      <c r="QKO44" s="276"/>
      <c r="QKP44" s="276"/>
      <c r="QKQ44" s="276"/>
      <c r="QKR44" s="276"/>
      <c r="QKS44" s="276"/>
      <c r="QKT44" s="276"/>
      <c r="QKU44" s="276"/>
      <c r="QKV44" s="276"/>
      <c r="QKW44" s="276"/>
      <c r="QKX44" s="276"/>
      <c r="QKY44" s="275" t="s">
        <v>152</v>
      </c>
      <c r="QKZ44" s="276"/>
      <c r="QLA44" s="276"/>
      <c r="QLB44" s="276"/>
      <c r="QLC44" s="276"/>
      <c r="QLD44" s="276"/>
      <c r="QLE44" s="276"/>
      <c r="QLF44" s="276"/>
      <c r="QLG44" s="276"/>
      <c r="QLH44" s="276"/>
      <c r="QLI44" s="276"/>
      <c r="QLJ44" s="276"/>
      <c r="QLK44" s="276"/>
      <c r="QLL44" s="276"/>
      <c r="QLM44" s="276"/>
      <c r="QLN44" s="276"/>
      <c r="QLO44" s="275" t="s">
        <v>152</v>
      </c>
      <c r="QLP44" s="276"/>
      <c r="QLQ44" s="276"/>
      <c r="QLR44" s="276"/>
      <c r="QLS44" s="276"/>
      <c r="QLT44" s="276"/>
      <c r="QLU44" s="276"/>
      <c r="QLV44" s="276"/>
      <c r="QLW44" s="276"/>
      <c r="QLX44" s="276"/>
      <c r="QLY44" s="276"/>
      <c r="QLZ44" s="276"/>
      <c r="QMA44" s="276"/>
      <c r="QMB44" s="276"/>
      <c r="QMC44" s="276"/>
      <c r="QMD44" s="276"/>
      <c r="QME44" s="275" t="s">
        <v>152</v>
      </c>
      <c r="QMF44" s="276"/>
      <c r="QMG44" s="276"/>
      <c r="QMH44" s="276"/>
      <c r="QMI44" s="276"/>
      <c r="QMJ44" s="276"/>
      <c r="QMK44" s="276"/>
      <c r="QML44" s="276"/>
      <c r="QMM44" s="276"/>
      <c r="QMN44" s="276"/>
      <c r="QMO44" s="276"/>
      <c r="QMP44" s="276"/>
      <c r="QMQ44" s="276"/>
      <c r="QMR44" s="276"/>
      <c r="QMS44" s="276"/>
      <c r="QMT44" s="276"/>
      <c r="QMU44" s="275" t="s">
        <v>152</v>
      </c>
      <c r="QMV44" s="276"/>
      <c r="QMW44" s="276"/>
      <c r="QMX44" s="276"/>
      <c r="QMY44" s="276"/>
      <c r="QMZ44" s="276"/>
      <c r="QNA44" s="276"/>
      <c r="QNB44" s="276"/>
      <c r="QNC44" s="276"/>
      <c r="QND44" s="276"/>
      <c r="QNE44" s="276"/>
      <c r="QNF44" s="276"/>
      <c r="QNG44" s="276"/>
      <c r="QNH44" s="276"/>
      <c r="QNI44" s="276"/>
      <c r="QNJ44" s="276"/>
      <c r="QNK44" s="275" t="s">
        <v>152</v>
      </c>
      <c r="QNL44" s="276"/>
      <c r="QNM44" s="276"/>
      <c r="QNN44" s="276"/>
      <c r="QNO44" s="276"/>
      <c r="QNP44" s="276"/>
      <c r="QNQ44" s="276"/>
      <c r="QNR44" s="276"/>
      <c r="QNS44" s="276"/>
      <c r="QNT44" s="276"/>
      <c r="QNU44" s="276"/>
      <c r="QNV44" s="276"/>
      <c r="QNW44" s="276"/>
      <c r="QNX44" s="276"/>
      <c r="QNY44" s="276"/>
      <c r="QNZ44" s="276"/>
      <c r="QOA44" s="275" t="s">
        <v>152</v>
      </c>
      <c r="QOB44" s="276"/>
      <c r="QOC44" s="276"/>
      <c r="QOD44" s="276"/>
      <c r="QOE44" s="276"/>
      <c r="QOF44" s="276"/>
      <c r="QOG44" s="276"/>
      <c r="QOH44" s="276"/>
      <c r="QOI44" s="276"/>
      <c r="QOJ44" s="276"/>
      <c r="QOK44" s="276"/>
      <c r="QOL44" s="276"/>
      <c r="QOM44" s="276"/>
      <c r="QON44" s="276"/>
      <c r="QOO44" s="276"/>
      <c r="QOP44" s="276"/>
      <c r="QOQ44" s="275" t="s">
        <v>152</v>
      </c>
      <c r="QOR44" s="276"/>
      <c r="QOS44" s="276"/>
      <c r="QOT44" s="276"/>
      <c r="QOU44" s="276"/>
      <c r="QOV44" s="276"/>
      <c r="QOW44" s="276"/>
      <c r="QOX44" s="276"/>
      <c r="QOY44" s="276"/>
      <c r="QOZ44" s="276"/>
      <c r="QPA44" s="276"/>
      <c r="QPB44" s="276"/>
      <c r="QPC44" s="276"/>
      <c r="QPD44" s="276"/>
      <c r="QPE44" s="276"/>
      <c r="QPF44" s="276"/>
      <c r="QPG44" s="275" t="s">
        <v>152</v>
      </c>
      <c r="QPH44" s="276"/>
      <c r="QPI44" s="276"/>
      <c r="QPJ44" s="276"/>
      <c r="QPK44" s="276"/>
      <c r="QPL44" s="276"/>
      <c r="QPM44" s="276"/>
      <c r="QPN44" s="276"/>
      <c r="QPO44" s="276"/>
      <c r="QPP44" s="276"/>
      <c r="QPQ44" s="276"/>
      <c r="QPR44" s="276"/>
      <c r="QPS44" s="276"/>
      <c r="QPT44" s="276"/>
      <c r="QPU44" s="276"/>
      <c r="QPV44" s="276"/>
      <c r="QPW44" s="275" t="s">
        <v>152</v>
      </c>
      <c r="QPX44" s="276"/>
      <c r="QPY44" s="276"/>
      <c r="QPZ44" s="276"/>
      <c r="QQA44" s="276"/>
      <c r="QQB44" s="276"/>
      <c r="QQC44" s="276"/>
      <c r="QQD44" s="276"/>
      <c r="QQE44" s="276"/>
      <c r="QQF44" s="276"/>
      <c r="QQG44" s="276"/>
      <c r="QQH44" s="276"/>
      <c r="QQI44" s="276"/>
      <c r="QQJ44" s="276"/>
      <c r="QQK44" s="276"/>
      <c r="QQL44" s="276"/>
      <c r="QQM44" s="275" t="s">
        <v>152</v>
      </c>
      <c r="QQN44" s="276"/>
      <c r="QQO44" s="276"/>
      <c r="QQP44" s="276"/>
      <c r="QQQ44" s="276"/>
      <c r="QQR44" s="276"/>
      <c r="QQS44" s="276"/>
      <c r="QQT44" s="276"/>
      <c r="QQU44" s="276"/>
      <c r="QQV44" s="276"/>
      <c r="QQW44" s="276"/>
      <c r="QQX44" s="276"/>
      <c r="QQY44" s="276"/>
      <c r="QQZ44" s="276"/>
      <c r="QRA44" s="276"/>
      <c r="QRB44" s="276"/>
      <c r="QRC44" s="275" t="s">
        <v>152</v>
      </c>
      <c r="QRD44" s="276"/>
      <c r="QRE44" s="276"/>
      <c r="QRF44" s="276"/>
      <c r="QRG44" s="276"/>
      <c r="QRH44" s="276"/>
      <c r="QRI44" s="276"/>
      <c r="QRJ44" s="276"/>
      <c r="QRK44" s="276"/>
      <c r="QRL44" s="276"/>
      <c r="QRM44" s="276"/>
      <c r="QRN44" s="276"/>
      <c r="QRO44" s="276"/>
      <c r="QRP44" s="276"/>
      <c r="QRQ44" s="276"/>
      <c r="QRR44" s="276"/>
      <c r="QRS44" s="275" t="s">
        <v>152</v>
      </c>
      <c r="QRT44" s="276"/>
      <c r="QRU44" s="276"/>
      <c r="QRV44" s="276"/>
      <c r="QRW44" s="276"/>
      <c r="QRX44" s="276"/>
      <c r="QRY44" s="276"/>
      <c r="QRZ44" s="276"/>
      <c r="QSA44" s="276"/>
      <c r="QSB44" s="276"/>
      <c r="QSC44" s="276"/>
      <c r="QSD44" s="276"/>
      <c r="QSE44" s="276"/>
      <c r="QSF44" s="276"/>
      <c r="QSG44" s="276"/>
      <c r="QSH44" s="276"/>
      <c r="QSI44" s="275" t="s">
        <v>152</v>
      </c>
      <c r="QSJ44" s="276"/>
      <c r="QSK44" s="276"/>
      <c r="QSL44" s="276"/>
      <c r="QSM44" s="276"/>
      <c r="QSN44" s="276"/>
      <c r="QSO44" s="276"/>
      <c r="QSP44" s="276"/>
      <c r="QSQ44" s="276"/>
      <c r="QSR44" s="276"/>
      <c r="QSS44" s="276"/>
      <c r="QST44" s="276"/>
      <c r="QSU44" s="276"/>
      <c r="QSV44" s="276"/>
      <c r="QSW44" s="276"/>
      <c r="QSX44" s="276"/>
      <c r="QSY44" s="275" t="s">
        <v>152</v>
      </c>
      <c r="QSZ44" s="276"/>
      <c r="QTA44" s="276"/>
      <c r="QTB44" s="276"/>
      <c r="QTC44" s="276"/>
      <c r="QTD44" s="276"/>
      <c r="QTE44" s="276"/>
      <c r="QTF44" s="276"/>
      <c r="QTG44" s="276"/>
      <c r="QTH44" s="276"/>
      <c r="QTI44" s="276"/>
      <c r="QTJ44" s="276"/>
      <c r="QTK44" s="276"/>
      <c r="QTL44" s="276"/>
      <c r="QTM44" s="276"/>
      <c r="QTN44" s="276"/>
      <c r="QTO44" s="275" t="s">
        <v>152</v>
      </c>
      <c r="QTP44" s="276"/>
      <c r="QTQ44" s="276"/>
      <c r="QTR44" s="276"/>
      <c r="QTS44" s="276"/>
      <c r="QTT44" s="276"/>
      <c r="QTU44" s="276"/>
      <c r="QTV44" s="276"/>
      <c r="QTW44" s="276"/>
      <c r="QTX44" s="276"/>
      <c r="QTY44" s="276"/>
      <c r="QTZ44" s="276"/>
      <c r="QUA44" s="276"/>
      <c r="QUB44" s="276"/>
      <c r="QUC44" s="276"/>
      <c r="QUD44" s="276"/>
      <c r="QUE44" s="275" t="s">
        <v>152</v>
      </c>
      <c r="QUF44" s="276"/>
      <c r="QUG44" s="276"/>
      <c r="QUH44" s="276"/>
      <c r="QUI44" s="276"/>
      <c r="QUJ44" s="276"/>
      <c r="QUK44" s="276"/>
      <c r="QUL44" s="276"/>
      <c r="QUM44" s="276"/>
      <c r="QUN44" s="276"/>
      <c r="QUO44" s="276"/>
      <c r="QUP44" s="276"/>
      <c r="QUQ44" s="276"/>
      <c r="QUR44" s="276"/>
      <c r="QUS44" s="276"/>
      <c r="QUT44" s="276"/>
      <c r="QUU44" s="275" t="s">
        <v>152</v>
      </c>
      <c r="QUV44" s="276"/>
      <c r="QUW44" s="276"/>
      <c r="QUX44" s="276"/>
      <c r="QUY44" s="276"/>
      <c r="QUZ44" s="276"/>
      <c r="QVA44" s="276"/>
      <c r="QVB44" s="276"/>
      <c r="QVC44" s="276"/>
      <c r="QVD44" s="276"/>
      <c r="QVE44" s="276"/>
      <c r="QVF44" s="276"/>
      <c r="QVG44" s="276"/>
      <c r="QVH44" s="276"/>
      <c r="QVI44" s="276"/>
      <c r="QVJ44" s="276"/>
      <c r="QVK44" s="275" t="s">
        <v>152</v>
      </c>
      <c r="QVL44" s="276"/>
      <c r="QVM44" s="276"/>
      <c r="QVN44" s="276"/>
      <c r="QVO44" s="276"/>
      <c r="QVP44" s="276"/>
      <c r="QVQ44" s="276"/>
      <c r="QVR44" s="276"/>
      <c r="QVS44" s="276"/>
      <c r="QVT44" s="276"/>
      <c r="QVU44" s="276"/>
      <c r="QVV44" s="276"/>
      <c r="QVW44" s="276"/>
      <c r="QVX44" s="276"/>
      <c r="QVY44" s="276"/>
      <c r="QVZ44" s="276"/>
      <c r="QWA44" s="275" t="s">
        <v>152</v>
      </c>
      <c r="QWB44" s="276"/>
      <c r="QWC44" s="276"/>
      <c r="QWD44" s="276"/>
      <c r="QWE44" s="276"/>
      <c r="QWF44" s="276"/>
      <c r="QWG44" s="276"/>
      <c r="QWH44" s="276"/>
      <c r="QWI44" s="276"/>
      <c r="QWJ44" s="276"/>
      <c r="QWK44" s="276"/>
      <c r="QWL44" s="276"/>
      <c r="QWM44" s="276"/>
      <c r="QWN44" s="276"/>
      <c r="QWO44" s="276"/>
      <c r="QWP44" s="276"/>
      <c r="QWQ44" s="275" t="s">
        <v>152</v>
      </c>
      <c r="QWR44" s="276"/>
      <c r="QWS44" s="276"/>
      <c r="QWT44" s="276"/>
      <c r="QWU44" s="276"/>
      <c r="QWV44" s="276"/>
      <c r="QWW44" s="276"/>
      <c r="QWX44" s="276"/>
      <c r="QWY44" s="276"/>
      <c r="QWZ44" s="276"/>
      <c r="QXA44" s="276"/>
      <c r="QXB44" s="276"/>
      <c r="QXC44" s="276"/>
      <c r="QXD44" s="276"/>
      <c r="QXE44" s="276"/>
      <c r="QXF44" s="276"/>
      <c r="QXG44" s="275" t="s">
        <v>152</v>
      </c>
      <c r="QXH44" s="276"/>
      <c r="QXI44" s="276"/>
      <c r="QXJ44" s="276"/>
      <c r="QXK44" s="276"/>
      <c r="QXL44" s="276"/>
      <c r="QXM44" s="276"/>
      <c r="QXN44" s="276"/>
      <c r="QXO44" s="276"/>
      <c r="QXP44" s="276"/>
      <c r="QXQ44" s="276"/>
      <c r="QXR44" s="276"/>
      <c r="QXS44" s="276"/>
      <c r="QXT44" s="276"/>
      <c r="QXU44" s="276"/>
      <c r="QXV44" s="276"/>
      <c r="QXW44" s="275" t="s">
        <v>152</v>
      </c>
      <c r="QXX44" s="276"/>
      <c r="QXY44" s="276"/>
      <c r="QXZ44" s="276"/>
      <c r="QYA44" s="276"/>
      <c r="QYB44" s="276"/>
      <c r="QYC44" s="276"/>
      <c r="QYD44" s="276"/>
      <c r="QYE44" s="276"/>
      <c r="QYF44" s="276"/>
      <c r="QYG44" s="276"/>
      <c r="QYH44" s="276"/>
      <c r="QYI44" s="276"/>
      <c r="QYJ44" s="276"/>
      <c r="QYK44" s="276"/>
      <c r="QYL44" s="276"/>
      <c r="QYM44" s="275" t="s">
        <v>152</v>
      </c>
      <c r="QYN44" s="276"/>
      <c r="QYO44" s="276"/>
      <c r="QYP44" s="276"/>
      <c r="QYQ44" s="276"/>
      <c r="QYR44" s="276"/>
      <c r="QYS44" s="276"/>
      <c r="QYT44" s="276"/>
      <c r="QYU44" s="276"/>
      <c r="QYV44" s="276"/>
      <c r="QYW44" s="276"/>
      <c r="QYX44" s="276"/>
      <c r="QYY44" s="276"/>
      <c r="QYZ44" s="276"/>
      <c r="QZA44" s="276"/>
      <c r="QZB44" s="276"/>
      <c r="QZC44" s="275" t="s">
        <v>152</v>
      </c>
      <c r="QZD44" s="276"/>
      <c r="QZE44" s="276"/>
      <c r="QZF44" s="276"/>
      <c r="QZG44" s="276"/>
      <c r="QZH44" s="276"/>
      <c r="QZI44" s="276"/>
      <c r="QZJ44" s="276"/>
      <c r="QZK44" s="276"/>
      <c r="QZL44" s="276"/>
      <c r="QZM44" s="276"/>
      <c r="QZN44" s="276"/>
      <c r="QZO44" s="276"/>
      <c r="QZP44" s="276"/>
      <c r="QZQ44" s="276"/>
      <c r="QZR44" s="276"/>
      <c r="QZS44" s="275" t="s">
        <v>152</v>
      </c>
      <c r="QZT44" s="276"/>
      <c r="QZU44" s="276"/>
      <c r="QZV44" s="276"/>
      <c r="QZW44" s="276"/>
      <c r="QZX44" s="276"/>
      <c r="QZY44" s="276"/>
      <c r="QZZ44" s="276"/>
      <c r="RAA44" s="276"/>
      <c r="RAB44" s="276"/>
      <c r="RAC44" s="276"/>
      <c r="RAD44" s="276"/>
      <c r="RAE44" s="276"/>
      <c r="RAF44" s="276"/>
      <c r="RAG44" s="276"/>
      <c r="RAH44" s="276"/>
      <c r="RAI44" s="275" t="s">
        <v>152</v>
      </c>
      <c r="RAJ44" s="276"/>
      <c r="RAK44" s="276"/>
      <c r="RAL44" s="276"/>
      <c r="RAM44" s="276"/>
      <c r="RAN44" s="276"/>
      <c r="RAO44" s="276"/>
      <c r="RAP44" s="276"/>
      <c r="RAQ44" s="276"/>
      <c r="RAR44" s="276"/>
      <c r="RAS44" s="276"/>
      <c r="RAT44" s="276"/>
      <c r="RAU44" s="276"/>
      <c r="RAV44" s="276"/>
      <c r="RAW44" s="276"/>
      <c r="RAX44" s="276"/>
      <c r="RAY44" s="275" t="s">
        <v>152</v>
      </c>
      <c r="RAZ44" s="276"/>
      <c r="RBA44" s="276"/>
      <c r="RBB44" s="276"/>
      <c r="RBC44" s="276"/>
      <c r="RBD44" s="276"/>
      <c r="RBE44" s="276"/>
      <c r="RBF44" s="276"/>
      <c r="RBG44" s="276"/>
      <c r="RBH44" s="276"/>
      <c r="RBI44" s="276"/>
      <c r="RBJ44" s="276"/>
      <c r="RBK44" s="276"/>
      <c r="RBL44" s="276"/>
      <c r="RBM44" s="276"/>
      <c r="RBN44" s="276"/>
      <c r="RBO44" s="275" t="s">
        <v>152</v>
      </c>
      <c r="RBP44" s="276"/>
      <c r="RBQ44" s="276"/>
      <c r="RBR44" s="276"/>
      <c r="RBS44" s="276"/>
      <c r="RBT44" s="276"/>
      <c r="RBU44" s="276"/>
      <c r="RBV44" s="276"/>
      <c r="RBW44" s="276"/>
      <c r="RBX44" s="276"/>
      <c r="RBY44" s="276"/>
      <c r="RBZ44" s="276"/>
      <c r="RCA44" s="276"/>
      <c r="RCB44" s="276"/>
      <c r="RCC44" s="276"/>
      <c r="RCD44" s="276"/>
      <c r="RCE44" s="275" t="s">
        <v>152</v>
      </c>
      <c r="RCF44" s="276"/>
      <c r="RCG44" s="276"/>
      <c r="RCH44" s="276"/>
      <c r="RCI44" s="276"/>
      <c r="RCJ44" s="276"/>
      <c r="RCK44" s="276"/>
      <c r="RCL44" s="276"/>
      <c r="RCM44" s="276"/>
      <c r="RCN44" s="276"/>
      <c r="RCO44" s="276"/>
      <c r="RCP44" s="276"/>
      <c r="RCQ44" s="276"/>
      <c r="RCR44" s="276"/>
      <c r="RCS44" s="276"/>
      <c r="RCT44" s="276"/>
      <c r="RCU44" s="275" t="s">
        <v>152</v>
      </c>
      <c r="RCV44" s="276"/>
      <c r="RCW44" s="276"/>
      <c r="RCX44" s="276"/>
      <c r="RCY44" s="276"/>
      <c r="RCZ44" s="276"/>
      <c r="RDA44" s="276"/>
      <c r="RDB44" s="276"/>
      <c r="RDC44" s="276"/>
      <c r="RDD44" s="276"/>
      <c r="RDE44" s="276"/>
      <c r="RDF44" s="276"/>
      <c r="RDG44" s="276"/>
      <c r="RDH44" s="276"/>
      <c r="RDI44" s="276"/>
      <c r="RDJ44" s="276"/>
      <c r="RDK44" s="275" t="s">
        <v>152</v>
      </c>
      <c r="RDL44" s="276"/>
      <c r="RDM44" s="276"/>
      <c r="RDN44" s="276"/>
      <c r="RDO44" s="276"/>
      <c r="RDP44" s="276"/>
      <c r="RDQ44" s="276"/>
      <c r="RDR44" s="276"/>
      <c r="RDS44" s="276"/>
      <c r="RDT44" s="276"/>
      <c r="RDU44" s="276"/>
      <c r="RDV44" s="276"/>
      <c r="RDW44" s="276"/>
      <c r="RDX44" s="276"/>
      <c r="RDY44" s="276"/>
      <c r="RDZ44" s="276"/>
      <c r="REA44" s="275" t="s">
        <v>152</v>
      </c>
      <c r="REB44" s="276"/>
      <c r="REC44" s="276"/>
      <c r="RED44" s="276"/>
      <c r="REE44" s="276"/>
      <c r="REF44" s="276"/>
      <c r="REG44" s="276"/>
      <c r="REH44" s="276"/>
      <c r="REI44" s="276"/>
      <c r="REJ44" s="276"/>
      <c r="REK44" s="276"/>
      <c r="REL44" s="276"/>
      <c r="REM44" s="276"/>
      <c r="REN44" s="276"/>
      <c r="REO44" s="276"/>
      <c r="REP44" s="276"/>
      <c r="REQ44" s="275" t="s">
        <v>152</v>
      </c>
      <c r="RER44" s="276"/>
      <c r="RES44" s="276"/>
      <c r="RET44" s="276"/>
      <c r="REU44" s="276"/>
      <c r="REV44" s="276"/>
      <c r="REW44" s="276"/>
      <c r="REX44" s="276"/>
      <c r="REY44" s="276"/>
      <c r="REZ44" s="276"/>
      <c r="RFA44" s="276"/>
      <c r="RFB44" s="276"/>
      <c r="RFC44" s="276"/>
      <c r="RFD44" s="276"/>
      <c r="RFE44" s="276"/>
      <c r="RFF44" s="276"/>
      <c r="RFG44" s="275" t="s">
        <v>152</v>
      </c>
      <c r="RFH44" s="276"/>
      <c r="RFI44" s="276"/>
      <c r="RFJ44" s="276"/>
      <c r="RFK44" s="276"/>
      <c r="RFL44" s="276"/>
      <c r="RFM44" s="276"/>
      <c r="RFN44" s="276"/>
      <c r="RFO44" s="276"/>
      <c r="RFP44" s="276"/>
      <c r="RFQ44" s="276"/>
      <c r="RFR44" s="276"/>
      <c r="RFS44" s="276"/>
      <c r="RFT44" s="276"/>
      <c r="RFU44" s="276"/>
      <c r="RFV44" s="276"/>
      <c r="RFW44" s="275" t="s">
        <v>152</v>
      </c>
      <c r="RFX44" s="276"/>
      <c r="RFY44" s="276"/>
      <c r="RFZ44" s="276"/>
      <c r="RGA44" s="276"/>
      <c r="RGB44" s="276"/>
      <c r="RGC44" s="276"/>
      <c r="RGD44" s="276"/>
      <c r="RGE44" s="276"/>
      <c r="RGF44" s="276"/>
      <c r="RGG44" s="276"/>
      <c r="RGH44" s="276"/>
      <c r="RGI44" s="276"/>
      <c r="RGJ44" s="276"/>
      <c r="RGK44" s="276"/>
      <c r="RGL44" s="276"/>
      <c r="RGM44" s="275" t="s">
        <v>152</v>
      </c>
      <c r="RGN44" s="276"/>
      <c r="RGO44" s="276"/>
      <c r="RGP44" s="276"/>
      <c r="RGQ44" s="276"/>
      <c r="RGR44" s="276"/>
      <c r="RGS44" s="276"/>
      <c r="RGT44" s="276"/>
      <c r="RGU44" s="276"/>
      <c r="RGV44" s="276"/>
      <c r="RGW44" s="276"/>
      <c r="RGX44" s="276"/>
      <c r="RGY44" s="276"/>
      <c r="RGZ44" s="276"/>
      <c r="RHA44" s="276"/>
      <c r="RHB44" s="276"/>
      <c r="RHC44" s="275" t="s">
        <v>152</v>
      </c>
      <c r="RHD44" s="276"/>
      <c r="RHE44" s="276"/>
      <c r="RHF44" s="276"/>
      <c r="RHG44" s="276"/>
      <c r="RHH44" s="276"/>
      <c r="RHI44" s="276"/>
      <c r="RHJ44" s="276"/>
      <c r="RHK44" s="276"/>
      <c r="RHL44" s="276"/>
      <c r="RHM44" s="276"/>
      <c r="RHN44" s="276"/>
      <c r="RHO44" s="276"/>
      <c r="RHP44" s="276"/>
      <c r="RHQ44" s="276"/>
      <c r="RHR44" s="276"/>
      <c r="RHS44" s="275" t="s">
        <v>152</v>
      </c>
      <c r="RHT44" s="276"/>
      <c r="RHU44" s="276"/>
      <c r="RHV44" s="276"/>
      <c r="RHW44" s="276"/>
      <c r="RHX44" s="276"/>
      <c r="RHY44" s="276"/>
      <c r="RHZ44" s="276"/>
      <c r="RIA44" s="276"/>
      <c r="RIB44" s="276"/>
      <c r="RIC44" s="276"/>
      <c r="RID44" s="276"/>
      <c r="RIE44" s="276"/>
      <c r="RIF44" s="276"/>
      <c r="RIG44" s="276"/>
      <c r="RIH44" s="276"/>
      <c r="RII44" s="275" t="s">
        <v>152</v>
      </c>
      <c r="RIJ44" s="276"/>
      <c r="RIK44" s="276"/>
      <c r="RIL44" s="276"/>
      <c r="RIM44" s="276"/>
      <c r="RIN44" s="276"/>
      <c r="RIO44" s="276"/>
      <c r="RIP44" s="276"/>
      <c r="RIQ44" s="276"/>
      <c r="RIR44" s="276"/>
      <c r="RIS44" s="276"/>
      <c r="RIT44" s="276"/>
      <c r="RIU44" s="276"/>
      <c r="RIV44" s="276"/>
      <c r="RIW44" s="276"/>
      <c r="RIX44" s="276"/>
      <c r="RIY44" s="275" t="s">
        <v>152</v>
      </c>
      <c r="RIZ44" s="276"/>
      <c r="RJA44" s="276"/>
      <c r="RJB44" s="276"/>
      <c r="RJC44" s="276"/>
      <c r="RJD44" s="276"/>
      <c r="RJE44" s="276"/>
      <c r="RJF44" s="276"/>
      <c r="RJG44" s="276"/>
      <c r="RJH44" s="276"/>
      <c r="RJI44" s="276"/>
      <c r="RJJ44" s="276"/>
      <c r="RJK44" s="276"/>
      <c r="RJL44" s="276"/>
      <c r="RJM44" s="276"/>
      <c r="RJN44" s="276"/>
      <c r="RJO44" s="275" t="s">
        <v>152</v>
      </c>
      <c r="RJP44" s="276"/>
      <c r="RJQ44" s="276"/>
      <c r="RJR44" s="276"/>
      <c r="RJS44" s="276"/>
      <c r="RJT44" s="276"/>
      <c r="RJU44" s="276"/>
      <c r="RJV44" s="276"/>
      <c r="RJW44" s="276"/>
      <c r="RJX44" s="276"/>
      <c r="RJY44" s="276"/>
      <c r="RJZ44" s="276"/>
      <c r="RKA44" s="276"/>
      <c r="RKB44" s="276"/>
      <c r="RKC44" s="276"/>
      <c r="RKD44" s="276"/>
      <c r="RKE44" s="275" t="s">
        <v>152</v>
      </c>
      <c r="RKF44" s="276"/>
      <c r="RKG44" s="276"/>
      <c r="RKH44" s="276"/>
      <c r="RKI44" s="276"/>
      <c r="RKJ44" s="276"/>
      <c r="RKK44" s="276"/>
      <c r="RKL44" s="276"/>
      <c r="RKM44" s="276"/>
      <c r="RKN44" s="276"/>
      <c r="RKO44" s="276"/>
      <c r="RKP44" s="276"/>
      <c r="RKQ44" s="276"/>
      <c r="RKR44" s="276"/>
      <c r="RKS44" s="276"/>
      <c r="RKT44" s="276"/>
      <c r="RKU44" s="275" t="s">
        <v>152</v>
      </c>
      <c r="RKV44" s="276"/>
      <c r="RKW44" s="276"/>
      <c r="RKX44" s="276"/>
      <c r="RKY44" s="276"/>
      <c r="RKZ44" s="276"/>
      <c r="RLA44" s="276"/>
      <c r="RLB44" s="276"/>
      <c r="RLC44" s="276"/>
      <c r="RLD44" s="276"/>
      <c r="RLE44" s="276"/>
      <c r="RLF44" s="276"/>
      <c r="RLG44" s="276"/>
      <c r="RLH44" s="276"/>
      <c r="RLI44" s="276"/>
      <c r="RLJ44" s="276"/>
      <c r="RLK44" s="275" t="s">
        <v>152</v>
      </c>
      <c r="RLL44" s="276"/>
      <c r="RLM44" s="276"/>
      <c r="RLN44" s="276"/>
      <c r="RLO44" s="276"/>
      <c r="RLP44" s="276"/>
      <c r="RLQ44" s="276"/>
      <c r="RLR44" s="276"/>
      <c r="RLS44" s="276"/>
      <c r="RLT44" s="276"/>
      <c r="RLU44" s="276"/>
      <c r="RLV44" s="276"/>
      <c r="RLW44" s="276"/>
      <c r="RLX44" s="276"/>
      <c r="RLY44" s="276"/>
      <c r="RLZ44" s="276"/>
      <c r="RMA44" s="275" t="s">
        <v>152</v>
      </c>
      <c r="RMB44" s="276"/>
      <c r="RMC44" s="276"/>
      <c r="RMD44" s="276"/>
      <c r="RME44" s="276"/>
      <c r="RMF44" s="276"/>
      <c r="RMG44" s="276"/>
      <c r="RMH44" s="276"/>
      <c r="RMI44" s="276"/>
      <c r="RMJ44" s="276"/>
      <c r="RMK44" s="276"/>
      <c r="RML44" s="276"/>
      <c r="RMM44" s="276"/>
      <c r="RMN44" s="276"/>
      <c r="RMO44" s="276"/>
      <c r="RMP44" s="276"/>
      <c r="RMQ44" s="275" t="s">
        <v>152</v>
      </c>
      <c r="RMR44" s="276"/>
      <c r="RMS44" s="276"/>
      <c r="RMT44" s="276"/>
      <c r="RMU44" s="276"/>
      <c r="RMV44" s="276"/>
      <c r="RMW44" s="276"/>
      <c r="RMX44" s="276"/>
      <c r="RMY44" s="276"/>
      <c r="RMZ44" s="276"/>
      <c r="RNA44" s="276"/>
      <c r="RNB44" s="276"/>
      <c r="RNC44" s="276"/>
      <c r="RND44" s="276"/>
      <c r="RNE44" s="276"/>
      <c r="RNF44" s="276"/>
      <c r="RNG44" s="275" t="s">
        <v>152</v>
      </c>
      <c r="RNH44" s="276"/>
      <c r="RNI44" s="276"/>
      <c r="RNJ44" s="276"/>
      <c r="RNK44" s="276"/>
      <c r="RNL44" s="276"/>
      <c r="RNM44" s="276"/>
      <c r="RNN44" s="276"/>
      <c r="RNO44" s="276"/>
      <c r="RNP44" s="276"/>
      <c r="RNQ44" s="276"/>
      <c r="RNR44" s="276"/>
      <c r="RNS44" s="276"/>
      <c r="RNT44" s="276"/>
      <c r="RNU44" s="276"/>
      <c r="RNV44" s="276"/>
      <c r="RNW44" s="275" t="s">
        <v>152</v>
      </c>
      <c r="RNX44" s="276"/>
      <c r="RNY44" s="276"/>
      <c r="RNZ44" s="276"/>
      <c r="ROA44" s="276"/>
      <c r="ROB44" s="276"/>
      <c r="ROC44" s="276"/>
      <c r="ROD44" s="276"/>
      <c r="ROE44" s="276"/>
      <c r="ROF44" s="276"/>
      <c r="ROG44" s="276"/>
      <c r="ROH44" s="276"/>
      <c r="ROI44" s="276"/>
      <c r="ROJ44" s="276"/>
      <c r="ROK44" s="276"/>
      <c r="ROL44" s="276"/>
      <c r="ROM44" s="275" t="s">
        <v>152</v>
      </c>
      <c r="RON44" s="276"/>
      <c r="ROO44" s="276"/>
      <c r="ROP44" s="276"/>
      <c r="ROQ44" s="276"/>
      <c r="ROR44" s="276"/>
      <c r="ROS44" s="276"/>
      <c r="ROT44" s="276"/>
      <c r="ROU44" s="276"/>
      <c r="ROV44" s="276"/>
      <c r="ROW44" s="276"/>
      <c r="ROX44" s="276"/>
      <c r="ROY44" s="276"/>
      <c r="ROZ44" s="276"/>
      <c r="RPA44" s="276"/>
      <c r="RPB44" s="276"/>
      <c r="RPC44" s="275" t="s">
        <v>152</v>
      </c>
      <c r="RPD44" s="276"/>
      <c r="RPE44" s="276"/>
      <c r="RPF44" s="276"/>
      <c r="RPG44" s="276"/>
      <c r="RPH44" s="276"/>
      <c r="RPI44" s="276"/>
      <c r="RPJ44" s="276"/>
      <c r="RPK44" s="276"/>
      <c r="RPL44" s="276"/>
      <c r="RPM44" s="276"/>
      <c r="RPN44" s="276"/>
      <c r="RPO44" s="276"/>
      <c r="RPP44" s="276"/>
      <c r="RPQ44" s="276"/>
      <c r="RPR44" s="276"/>
      <c r="RPS44" s="275" t="s">
        <v>152</v>
      </c>
      <c r="RPT44" s="276"/>
      <c r="RPU44" s="276"/>
      <c r="RPV44" s="276"/>
      <c r="RPW44" s="276"/>
      <c r="RPX44" s="276"/>
      <c r="RPY44" s="276"/>
      <c r="RPZ44" s="276"/>
      <c r="RQA44" s="276"/>
      <c r="RQB44" s="276"/>
      <c r="RQC44" s="276"/>
      <c r="RQD44" s="276"/>
      <c r="RQE44" s="276"/>
      <c r="RQF44" s="276"/>
      <c r="RQG44" s="276"/>
      <c r="RQH44" s="276"/>
      <c r="RQI44" s="275" t="s">
        <v>152</v>
      </c>
      <c r="RQJ44" s="276"/>
      <c r="RQK44" s="276"/>
      <c r="RQL44" s="276"/>
      <c r="RQM44" s="276"/>
      <c r="RQN44" s="276"/>
      <c r="RQO44" s="276"/>
      <c r="RQP44" s="276"/>
      <c r="RQQ44" s="276"/>
      <c r="RQR44" s="276"/>
      <c r="RQS44" s="276"/>
      <c r="RQT44" s="276"/>
      <c r="RQU44" s="276"/>
      <c r="RQV44" s="276"/>
      <c r="RQW44" s="276"/>
      <c r="RQX44" s="276"/>
      <c r="RQY44" s="275" t="s">
        <v>152</v>
      </c>
      <c r="RQZ44" s="276"/>
      <c r="RRA44" s="276"/>
      <c r="RRB44" s="276"/>
      <c r="RRC44" s="276"/>
      <c r="RRD44" s="276"/>
      <c r="RRE44" s="276"/>
      <c r="RRF44" s="276"/>
      <c r="RRG44" s="276"/>
      <c r="RRH44" s="276"/>
      <c r="RRI44" s="276"/>
      <c r="RRJ44" s="276"/>
      <c r="RRK44" s="276"/>
      <c r="RRL44" s="276"/>
      <c r="RRM44" s="276"/>
      <c r="RRN44" s="276"/>
      <c r="RRO44" s="275" t="s">
        <v>152</v>
      </c>
      <c r="RRP44" s="276"/>
      <c r="RRQ44" s="276"/>
      <c r="RRR44" s="276"/>
      <c r="RRS44" s="276"/>
      <c r="RRT44" s="276"/>
      <c r="RRU44" s="276"/>
      <c r="RRV44" s="276"/>
      <c r="RRW44" s="276"/>
      <c r="RRX44" s="276"/>
      <c r="RRY44" s="276"/>
      <c r="RRZ44" s="276"/>
      <c r="RSA44" s="276"/>
      <c r="RSB44" s="276"/>
      <c r="RSC44" s="276"/>
      <c r="RSD44" s="276"/>
      <c r="RSE44" s="275" t="s">
        <v>152</v>
      </c>
      <c r="RSF44" s="276"/>
      <c r="RSG44" s="276"/>
      <c r="RSH44" s="276"/>
      <c r="RSI44" s="276"/>
      <c r="RSJ44" s="276"/>
      <c r="RSK44" s="276"/>
      <c r="RSL44" s="276"/>
      <c r="RSM44" s="276"/>
      <c r="RSN44" s="276"/>
      <c r="RSO44" s="276"/>
      <c r="RSP44" s="276"/>
      <c r="RSQ44" s="276"/>
      <c r="RSR44" s="276"/>
      <c r="RSS44" s="276"/>
      <c r="RST44" s="276"/>
      <c r="RSU44" s="275" t="s">
        <v>152</v>
      </c>
      <c r="RSV44" s="276"/>
      <c r="RSW44" s="276"/>
      <c r="RSX44" s="276"/>
      <c r="RSY44" s="276"/>
      <c r="RSZ44" s="276"/>
      <c r="RTA44" s="276"/>
      <c r="RTB44" s="276"/>
      <c r="RTC44" s="276"/>
      <c r="RTD44" s="276"/>
      <c r="RTE44" s="276"/>
      <c r="RTF44" s="276"/>
      <c r="RTG44" s="276"/>
      <c r="RTH44" s="276"/>
      <c r="RTI44" s="276"/>
      <c r="RTJ44" s="276"/>
      <c r="RTK44" s="275" t="s">
        <v>152</v>
      </c>
      <c r="RTL44" s="276"/>
      <c r="RTM44" s="276"/>
      <c r="RTN44" s="276"/>
      <c r="RTO44" s="276"/>
      <c r="RTP44" s="276"/>
      <c r="RTQ44" s="276"/>
      <c r="RTR44" s="276"/>
      <c r="RTS44" s="276"/>
      <c r="RTT44" s="276"/>
      <c r="RTU44" s="276"/>
      <c r="RTV44" s="276"/>
      <c r="RTW44" s="276"/>
      <c r="RTX44" s="276"/>
      <c r="RTY44" s="276"/>
      <c r="RTZ44" s="276"/>
      <c r="RUA44" s="275" t="s">
        <v>152</v>
      </c>
      <c r="RUB44" s="276"/>
      <c r="RUC44" s="276"/>
      <c r="RUD44" s="276"/>
      <c r="RUE44" s="276"/>
      <c r="RUF44" s="276"/>
      <c r="RUG44" s="276"/>
      <c r="RUH44" s="276"/>
      <c r="RUI44" s="276"/>
      <c r="RUJ44" s="276"/>
      <c r="RUK44" s="276"/>
      <c r="RUL44" s="276"/>
      <c r="RUM44" s="276"/>
      <c r="RUN44" s="276"/>
      <c r="RUO44" s="276"/>
      <c r="RUP44" s="276"/>
      <c r="RUQ44" s="275" t="s">
        <v>152</v>
      </c>
      <c r="RUR44" s="276"/>
      <c r="RUS44" s="276"/>
      <c r="RUT44" s="276"/>
      <c r="RUU44" s="276"/>
      <c r="RUV44" s="276"/>
      <c r="RUW44" s="276"/>
      <c r="RUX44" s="276"/>
      <c r="RUY44" s="276"/>
      <c r="RUZ44" s="276"/>
      <c r="RVA44" s="276"/>
      <c r="RVB44" s="276"/>
      <c r="RVC44" s="276"/>
      <c r="RVD44" s="276"/>
      <c r="RVE44" s="276"/>
      <c r="RVF44" s="276"/>
      <c r="RVG44" s="275" t="s">
        <v>152</v>
      </c>
      <c r="RVH44" s="276"/>
      <c r="RVI44" s="276"/>
      <c r="RVJ44" s="276"/>
      <c r="RVK44" s="276"/>
      <c r="RVL44" s="276"/>
      <c r="RVM44" s="276"/>
      <c r="RVN44" s="276"/>
      <c r="RVO44" s="276"/>
      <c r="RVP44" s="276"/>
      <c r="RVQ44" s="276"/>
      <c r="RVR44" s="276"/>
      <c r="RVS44" s="276"/>
      <c r="RVT44" s="276"/>
      <c r="RVU44" s="276"/>
      <c r="RVV44" s="276"/>
      <c r="RVW44" s="275" t="s">
        <v>152</v>
      </c>
      <c r="RVX44" s="276"/>
      <c r="RVY44" s="276"/>
      <c r="RVZ44" s="276"/>
      <c r="RWA44" s="276"/>
      <c r="RWB44" s="276"/>
      <c r="RWC44" s="276"/>
      <c r="RWD44" s="276"/>
      <c r="RWE44" s="276"/>
      <c r="RWF44" s="276"/>
      <c r="RWG44" s="276"/>
      <c r="RWH44" s="276"/>
      <c r="RWI44" s="276"/>
      <c r="RWJ44" s="276"/>
      <c r="RWK44" s="276"/>
      <c r="RWL44" s="276"/>
      <c r="RWM44" s="275" t="s">
        <v>152</v>
      </c>
      <c r="RWN44" s="276"/>
      <c r="RWO44" s="276"/>
      <c r="RWP44" s="276"/>
      <c r="RWQ44" s="276"/>
      <c r="RWR44" s="276"/>
      <c r="RWS44" s="276"/>
      <c r="RWT44" s="276"/>
      <c r="RWU44" s="276"/>
      <c r="RWV44" s="276"/>
      <c r="RWW44" s="276"/>
      <c r="RWX44" s="276"/>
      <c r="RWY44" s="276"/>
      <c r="RWZ44" s="276"/>
      <c r="RXA44" s="276"/>
      <c r="RXB44" s="276"/>
      <c r="RXC44" s="275" t="s">
        <v>152</v>
      </c>
      <c r="RXD44" s="276"/>
      <c r="RXE44" s="276"/>
      <c r="RXF44" s="276"/>
      <c r="RXG44" s="276"/>
      <c r="RXH44" s="276"/>
      <c r="RXI44" s="276"/>
      <c r="RXJ44" s="276"/>
      <c r="RXK44" s="276"/>
      <c r="RXL44" s="276"/>
      <c r="RXM44" s="276"/>
      <c r="RXN44" s="276"/>
      <c r="RXO44" s="276"/>
      <c r="RXP44" s="276"/>
      <c r="RXQ44" s="276"/>
      <c r="RXR44" s="276"/>
      <c r="RXS44" s="275" t="s">
        <v>152</v>
      </c>
      <c r="RXT44" s="276"/>
      <c r="RXU44" s="276"/>
      <c r="RXV44" s="276"/>
      <c r="RXW44" s="276"/>
      <c r="RXX44" s="276"/>
      <c r="RXY44" s="276"/>
      <c r="RXZ44" s="276"/>
      <c r="RYA44" s="276"/>
      <c r="RYB44" s="276"/>
      <c r="RYC44" s="276"/>
      <c r="RYD44" s="276"/>
      <c r="RYE44" s="276"/>
      <c r="RYF44" s="276"/>
      <c r="RYG44" s="276"/>
      <c r="RYH44" s="276"/>
      <c r="RYI44" s="275" t="s">
        <v>152</v>
      </c>
      <c r="RYJ44" s="276"/>
      <c r="RYK44" s="276"/>
      <c r="RYL44" s="276"/>
      <c r="RYM44" s="276"/>
      <c r="RYN44" s="276"/>
      <c r="RYO44" s="276"/>
      <c r="RYP44" s="276"/>
      <c r="RYQ44" s="276"/>
      <c r="RYR44" s="276"/>
      <c r="RYS44" s="276"/>
      <c r="RYT44" s="276"/>
      <c r="RYU44" s="276"/>
      <c r="RYV44" s="276"/>
      <c r="RYW44" s="276"/>
      <c r="RYX44" s="276"/>
      <c r="RYY44" s="275" t="s">
        <v>152</v>
      </c>
      <c r="RYZ44" s="276"/>
      <c r="RZA44" s="276"/>
      <c r="RZB44" s="276"/>
      <c r="RZC44" s="276"/>
      <c r="RZD44" s="276"/>
      <c r="RZE44" s="276"/>
      <c r="RZF44" s="276"/>
      <c r="RZG44" s="276"/>
      <c r="RZH44" s="276"/>
      <c r="RZI44" s="276"/>
      <c r="RZJ44" s="276"/>
      <c r="RZK44" s="276"/>
      <c r="RZL44" s="276"/>
      <c r="RZM44" s="276"/>
      <c r="RZN44" s="276"/>
      <c r="RZO44" s="275" t="s">
        <v>152</v>
      </c>
      <c r="RZP44" s="276"/>
      <c r="RZQ44" s="276"/>
      <c r="RZR44" s="276"/>
      <c r="RZS44" s="276"/>
      <c r="RZT44" s="276"/>
      <c r="RZU44" s="276"/>
      <c r="RZV44" s="276"/>
      <c r="RZW44" s="276"/>
      <c r="RZX44" s="276"/>
      <c r="RZY44" s="276"/>
      <c r="RZZ44" s="276"/>
      <c r="SAA44" s="276"/>
      <c r="SAB44" s="276"/>
      <c r="SAC44" s="276"/>
      <c r="SAD44" s="276"/>
      <c r="SAE44" s="275" t="s">
        <v>152</v>
      </c>
      <c r="SAF44" s="276"/>
      <c r="SAG44" s="276"/>
      <c r="SAH44" s="276"/>
      <c r="SAI44" s="276"/>
      <c r="SAJ44" s="276"/>
      <c r="SAK44" s="276"/>
      <c r="SAL44" s="276"/>
      <c r="SAM44" s="276"/>
      <c r="SAN44" s="276"/>
      <c r="SAO44" s="276"/>
      <c r="SAP44" s="276"/>
      <c r="SAQ44" s="276"/>
      <c r="SAR44" s="276"/>
      <c r="SAS44" s="276"/>
      <c r="SAT44" s="276"/>
      <c r="SAU44" s="275" t="s">
        <v>152</v>
      </c>
      <c r="SAV44" s="276"/>
      <c r="SAW44" s="276"/>
      <c r="SAX44" s="276"/>
      <c r="SAY44" s="276"/>
      <c r="SAZ44" s="276"/>
      <c r="SBA44" s="276"/>
      <c r="SBB44" s="276"/>
      <c r="SBC44" s="276"/>
      <c r="SBD44" s="276"/>
      <c r="SBE44" s="276"/>
      <c r="SBF44" s="276"/>
      <c r="SBG44" s="276"/>
      <c r="SBH44" s="276"/>
      <c r="SBI44" s="276"/>
      <c r="SBJ44" s="276"/>
      <c r="SBK44" s="275" t="s">
        <v>152</v>
      </c>
      <c r="SBL44" s="276"/>
      <c r="SBM44" s="276"/>
      <c r="SBN44" s="276"/>
      <c r="SBO44" s="276"/>
      <c r="SBP44" s="276"/>
      <c r="SBQ44" s="276"/>
      <c r="SBR44" s="276"/>
      <c r="SBS44" s="276"/>
      <c r="SBT44" s="276"/>
      <c r="SBU44" s="276"/>
      <c r="SBV44" s="276"/>
      <c r="SBW44" s="276"/>
      <c r="SBX44" s="276"/>
      <c r="SBY44" s="276"/>
      <c r="SBZ44" s="276"/>
      <c r="SCA44" s="275" t="s">
        <v>152</v>
      </c>
      <c r="SCB44" s="276"/>
      <c r="SCC44" s="276"/>
      <c r="SCD44" s="276"/>
      <c r="SCE44" s="276"/>
      <c r="SCF44" s="276"/>
      <c r="SCG44" s="276"/>
      <c r="SCH44" s="276"/>
      <c r="SCI44" s="276"/>
      <c r="SCJ44" s="276"/>
      <c r="SCK44" s="276"/>
      <c r="SCL44" s="276"/>
      <c r="SCM44" s="276"/>
      <c r="SCN44" s="276"/>
      <c r="SCO44" s="276"/>
      <c r="SCP44" s="276"/>
      <c r="SCQ44" s="275" t="s">
        <v>152</v>
      </c>
      <c r="SCR44" s="276"/>
      <c r="SCS44" s="276"/>
      <c r="SCT44" s="276"/>
      <c r="SCU44" s="276"/>
      <c r="SCV44" s="276"/>
      <c r="SCW44" s="276"/>
      <c r="SCX44" s="276"/>
      <c r="SCY44" s="276"/>
      <c r="SCZ44" s="276"/>
      <c r="SDA44" s="276"/>
      <c r="SDB44" s="276"/>
      <c r="SDC44" s="276"/>
      <c r="SDD44" s="276"/>
      <c r="SDE44" s="276"/>
      <c r="SDF44" s="276"/>
      <c r="SDG44" s="275" t="s">
        <v>152</v>
      </c>
      <c r="SDH44" s="276"/>
      <c r="SDI44" s="276"/>
      <c r="SDJ44" s="276"/>
      <c r="SDK44" s="276"/>
      <c r="SDL44" s="276"/>
      <c r="SDM44" s="276"/>
      <c r="SDN44" s="276"/>
      <c r="SDO44" s="276"/>
      <c r="SDP44" s="276"/>
      <c r="SDQ44" s="276"/>
      <c r="SDR44" s="276"/>
      <c r="SDS44" s="276"/>
      <c r="SDT44" s="276"/>
      <c r="SDU44" s="276"/>
      <c r="SDV44" s="276"/>
      <c r="SDW44" s="275" t="s">
        <v>152</v>
      </c>
      <c r="SDX44" s="276"/>
      <c r="SDY44" s="276"/>
      <c r="SDZ44" s="276"/>
      <c r="SEA44" s="276"/>
      <c r="SEB44" s="276"/>
      <c r="SEC44" s="276"/>
      <c r="SED44" s="276"/>
      <c r="SEE44" s="276"/>
      <c r="SEF44" s="276"/>
      <c r="SEG44" s="276"/>
      <c r="SEH44" s="276"/>
      <c r="SEI44" s="276"/>
      <c r="SEJ44" s="276"/>
      <c r="SEK44" s="276"/>
      <c r="SEL44" s="276"/>
      <c r="SEM44" s="275" t="s">
        <v>152</v>
      </c>
      <c r="SEN44" s="276"/>
      <c r="SEO44" s="276"/>
      <c r="SEP44" s="276"/>
      <c r="SEQ44" s="276"/>
      <c r="SER44" s="276"/>
      <c r="SES44" s="276"/>
      <c r="SET44" s="276"/>
      <c r="SEU44" s="276"/>
      <c r="SEV44" s="276"/>
      <c r="SEW44" s="276"/>
      <c r="SEX44" s="276"/>
      <c r="SEY44" s="276"/>
      <c r="SEZ44" s="276"/>
      <c r="SFA44" s="276"/>
      <c r="SFB44" s="276"/>
      <c r="SFC44" s="275" t="s">
        <v>152</v>
      </c>
      <c r="SFD44" s="276"/>
      <c r="SFE44" s="276"/>
      <c r="SFF44" s="276"/>
      <c r="SFG44" s="276"/>
      <c r="SFH44" s="276"/>
      <c r="SFI44" s="276"/>
      <c r="SFJ44" s="276"/>
      <c r="SFK44" s="276"/>
      <c r="SFL44" s="276"/>
      <c r="SFM44" s="276"/>
      <c r="SFN44" s="276"/>
      <c r="SFO44" s="276"/>
      <c r="SFP44" s="276"/>
      <c r="SFQ44" s="276"/>
      <c r="SFR44" s="276"/>
      <c r="SFS44" s="275" t="s">
        <v>152</v>
      </c>
      <c r="SFT44" s="276"/>
      <c r="SFU44" s="276"/>
      <c r="SFV44" s="276"/>
      <c r="SFW44" s="276"/>
      <c r="SFX44" s="276"/>
      <c r="SFY44" s="276"/>
      <c r="SFZ44" s="276"/>
      <c r="SGA44" s="276"/>
      <c r="SGB44" s="276"/>
      <c r="SGC44" s="276"/>
      <c r="SGD44" s="276"/>
      <c r="SGE44" s="276"/>
      <c r="SGF44" s="276"/>
      <c r="SGG44" s="276"/>
      <c r="SGH44" s="276"/>
      <c r="SGI44" s="275" t="s">
        <v>152</v>
      </c>
      <c r="SGJ44" s="276"/>
      <c r="SGK44" s="276"/>
      <c r="SGL44" s="276"/>
      <c r="SGM44" s="276"/>
      <c r="SGN44" s="276"/>
      <c r="SGO44" s="276"/>
      <c r="SGP44" s="276"/>
      <c r="SGQ44" s="276"/>
      <c r="SGR44" s="276"/>
      <c r="SGS44" s="276"/>
      <c r="SGT44" s="276"/>
      <c r="SGU44" s="276"/>
      <c r="SGV44" s="276"/>
      <c r="SGW44" s="276"/>
      <c r="SGX44" s="276"/>
      <c r="SGY44" s="275" t="s">
        <v>152</v>
      </c>
      <c r="SGZ44" s="276"/>
      <c r="SHA44" s="276"/>
      <c r="SHB44" s="276"/>
      <c r="SHC44" s="276"/>
      <c r="SHD44" s="276"/>
      <c r="SHE44" s="276"/>
      <c r="SHF44" s="276"/>
      <c r="SHG44" s="276"/>
      <c r="SHH44" s="276"/>
      <c r="SHI44" s="276"/>
      <c r="SHJ44" s="276"/>
      <c r="SHK44" s="276"/>
      <c r="SHL44" s="276"/>
      <c r="SHM44" s="276"/>
      <c r="SHN44" s="276"/>
      <c r="SHO44" s="275" t="s">
        <v>152</v>
      </c>
      <c r="SHP44" s="276"/>
      <c r="SHQ44" s="276"/>
      <c r="SHR44" s="276"/>
      <c r="SHS44" s="276"/>
      <c r="SHT44" s="276"/>
      <c r="SHU44" s="276"/>
      <c r="SHV44" s="276"/>
      <c r="SHW44" s="276"/>
      <c r="SHX44" s="276"/>
      <c r="SHY44" s="276"/>
      <c r="SHZ44" s="276"/>
      <c r="SIA44" s="276"/>
      <c r="SIB44" s="276"/>
      <c r="SIC44" s="276"/>
      <c r="SID44" s="276"/>
      <c r="SIE44" s="275" t="s">
        <v>152</v>
      </c>
      <c r="SIF44" s="276"/>
      <c r="SIG44" s="276"/>
      <c r="SIH44" s="276"/>
      <c r="SII44" s="276"/>
      <c r="SIJ44" s="276"/>
      <c r="SIK44" s="276"/>
      <c r="SIL44" s="276"/>
      <c r="SIM44" s="276"/>
      <c r="SIN44" s="276"/>
      <c r="SIO44" s="276"/>
      <c r="SIP44" s="276"/>
      <c r="SIQ44" s="276"/>
      <c r="SIR44" s="276"/>
      <c r="SIS44" s="276"/>
      <c r="SIT44" s="276"/>
      <c r="SIU44" s="275" t="s">
        <v>152</v>
      </c>
      <c r="SIV44" s="276"/>
      <c r="SIW44" s="276"/>
      <c r="SIX44" s="276"/>
      <c r="SIY44" s="276"/>
      <c r="SIZ44" s="276"/>
      <c r="SJA44" s="276"/>
      <c r="SJB44" s="276"/>
      <c r="SJC44" s="276"/>
      <c r="SJD44" s="276"/>
      <c r="SJE44" s="276"/>
      <c r="SJF44" s="276"/>
      <c r="SJG44" s="276"/>
      <c r="SJH44" s="276"/>
      <c r="SJI44" s="276"/>
      <c r="SJJ44" s="276"/>
      <c r="SJK44" s="275" t="s">
        <v>152</v>
      </c>
      <c r="SJL44" s="276"/>
      <c r="SJM44" s="276"/>
      <c r="SJN44" s="276"/>
      <c r="SJO44" s="276"/>
      <c r="SJP44" s="276"/>
      <c r="SJQ44" s="276"/>
      <c r="SJR44" s="276"/>
      <c r="SJS44" s="276"/>
      <c r="SJT44" s="276"/>
      <c r="SJU44" s="276"/>
      <c r="SJV44" s="276"/>
      <c r="SJW44" s="276"/>
      <c r="SJX44" s="276"/>
      <c r="SJY44" s="276"/>
      <c r="SJZ44" s="276"/>
      <c r="SKA44" s="275" t="s">
        <v>152</v>
      </c>
      <c r="SKB44" s="276"/>
      <c r="SKC44" s="276"/>
      <c r="SKD44" s="276"/>
      <c r="SKE44" s="276"/>
      <c r="SKF44" s="276"/>
      <c r="SKG44" s="276"/>
      <c r="SKH44" s="276"/>
      <c r="SKI44" s="276"/>
      <c r="SKJ44" s="276"/>
      <c r="SKK44" s="276"/>
      <c r="SKL44" s="276"/>
      <c r="SKM44" s="276"/>
      <c r="SKN44" s="276"/>
      <c r="SKO44" s="276"/>
      <c r="SKP44" s="276"/>
      <c r="SKQ44" s="275" t="s">
        <v>152</v>
      </c>
      <c r="SKR44" s="276"/>
      <c r="SKS44" s="276"/>
      <c r="SKT44" s="276"/>
      <c r="SKU44" s="276"/>
      <c r="SKV44" s="276"/>
      <c r="SKW44" s="276"/>
      <c r="SKX44" s="276"/>
      <c r="SKY44" s="276"/>
      <c r="SKZ44" s="276"/>
      <c r="SLA44" s="276"/>
      <c r="SLB44" s="276"/>
      <c r="SLC44" s="276"/>
      <c r="SLD44" s="276"/>
      <c r="SLE44" s="276"/>
      <c r="SLF44" s="276"/>
      <c r="SLG44" s="275" t="s">
        <v>152</v>
      </c>
      <c r="SLH44" s="276"/>
      <c r="SLI44" s="276"/>
      <c r="SLJ44" s="276"/>
      <c r="SLK44" s="276"/>
      <c r="SLL44" s="276"/>
      <c r="SLM44" s="276"/>
      <c r="SLN44" s="276"/>
      <c r="SLO44" s="276"/>
      <c r="SLP44" s="276"/>
      <c r="SLQ44" s="276"/>
      <c r="SLR44" s="276"/>
      <c r="SLS44" s="276"/>
      <c r="SLT44" s="276"/>
      <c r="SLU44" s="276"/>
      <c r="SLV44" s="276"/>
      <c r="SLW44" s="275" t="s">
        <v>152</v>
      </c>
      <c r="SLX44" s="276"/>
      <c r="SLY44" s="276"/>
      <c r="SLZ44" s="276"/>
      <c r="SMA44" s="276"/>
      <c r="SMB44" s="276"/>
      <c r="SMC44" s="276"/>
      <c r="SMD44" s="276"/>
      <c r="SME44" s="276"/>
      <c r="SMF44" s="276"/>
      <c r="SMG44" s="276"/>
      <c r="SMH44" s="276"/>
      <c r="SMI44" s="276"/>
      <c r="SMJ44" s="276"/>
      <c r="SMK44" s="276"/>
      <c r="SML44" s="276"/>
      <c r="SMM44" s="275" t="s">
        <v>152</v>
      </c>
      <c r="SMN44" s="276"/>
      <c r="SMO44" s="276"/>
      <c r="SMP44" s="276"/>
      <c r="SMQ44" s="276"/>
      <c r="SMR44" s="276"/>
      <c r="SMS44" s="276"/>
      <c r="SMT44" s="276"/>
      <c r="SMU44" s="276"/>
      <c r="SMV44" s="276"/>
      <c r="SMW44" s="276"/>
      <c r="SMX44" s="276"/>
      <c r="SMY44" s="276"/>
      <c r="SMZ44" s="276"/>
      <c r="SNA44" s="276"/>
      <c r="SNB44" s="276"/>
      <c r="SNC44" s="275" t="s">
        <v>152</v>
      </c>
      <c r="SND44" s="276"/>
      <c r="SNE44" s="276"/>
      <c r="SNF44" s="276"/>
      <c r="SNG44" s="276"/>
      <c r="SNH44" s="276"/>
      <c r="SNI44" s="276"/>
      <c r="SNJ44" s="276"/>
      <c r="SNK44" s="276"/>
      <c r="SNL44" s="276"/>
      <c r="SNM44" s="276"/>
      <c r="SNN44" s="276"/>
      <c r="SNO44" s="276"/>
      <c r="SNP44" s="276"/>
      <c r="SNQ44" s="276"/>
      <c r="SNR44" s="276"/>
      <c r="SNS44" s="275" t="s">
        <v>152</v>
      </c>
      <c r="SNT44" s="276"/>
      <c r="SNU44" s="276"/>
      <c r="SNV44" s="276"/>
      <c r="SNW44" s="276"/>
      <c r="SNX44" s="276"/>
      <c r="SNY44" s="276"/>
      <c r="SNZ44" s="276"/>
      <c r="SOA44" s="276"/>
      <c r="SOB44" s="276"/>
      <c r="SOC44" s="276"/>
      <c r="SOD44" s="276"/>
      <c r="SOE44" s="276"/>
      <c r="SOF44" s="276"/>
      <c r="SOG44" s="276"/>
      <c r="SOH44" s="276"/>
      <c r="SOI44" s="275" t="s">
        <v>152</v>
      </c>
      <c r="SOJ44" s="276"/>
      <c r="SOK44" s="276"/>
      <c r="SOL44" s="276"/>
      <c r="SOM44" s="276"/>
      <c r="SON44" s="276"/>
      <c r="SOO44" s="276"/>
      <c r="SOP44" s="276"/>
      <c r="SOQ44" s="276"/>
      <c r="SOR44" s="276"/>
      <c r="SOS44" s="276"/>
      <c r="SOT44" s="276"/>
      <c r="SOU44" s="276"/>
      <c r="SOV44" s="276"/>
      <c r="SOW44" s="276"/>
      <c r="SOX44" s="276"/>
      <c r="SOY44" s="275" t="s">
        <v>152</v>
      </c>
      <c r="SOZ44" s="276"/>
      <c r="SPA44" s="276"/>
      <c r="SPB44" s="276"/>
      <c r="SPC44" s="276"/>
      <c r="SPD44" s="276"/>
      <c r="SPE44" s="276"/>
      <c r="SPF44" s="276"/>
      <c r="SPG44" s="276"/>
      <c r="SPH44" s="276"/>
      <c r="SPI44" s="276"/>
      <c r="SPJ44" s="276"/>
      <c r="SPK44" s="276"/>
      <c r="SPL44" s="276"/>
      <c r="SPM44" s="276"/>
      <c r="SPN44" s="276"/>
      <c r="SPO44" s="275" t="s">
        <v>152</v>
      </c>
      <c r="SPP44" s="276"/>
      <c r="SPQ44" s="276"/>
      <c r="SPR44" s="276"/>
      <c r="SPS44" s="276"/>
      <c r="SPT44" s="276"/>
      <c r="SPU44" s="276"/>
      <c r="SPV44" s="276"/>
      <c r="SPW44" s="276"/>
      <c r="SPX44" s="276"/>
      <c r="SPY44" s="276"/>
      <c r="SPZ44" s="276"/>
      <c r="SQA44" s="276"/>
      <c r="SQB44" s="276"/>
      <c r="SQC44" s="276"/>
      <c r="SQD44" s="276"/>
      <c r="SQE44" s="275" t="s">
        <v>152</v>
      </c>
      <c r="SQF44" s="276"/>
      <c r="SQG44" s="276"/>
      <c r="SQH44" s="276"/>
      <c r="SQI44" s="276"/>
      <c r="SQJ44" s="276"/>
      <c r="SQK44" s="276"/>
      <c r="SQL44" s="276"/>
      <c r="SQM44" s="276"/>
      <c r="SQN44" s="276"/>
      <c r="SQO44" s="276"/>
      <c r="SQP44" s="276"/>
      <c r="SQQ44" s="276"/>
      <c r="SQR44" s="276"/>
      <c r="SQS44" s="276"/>
      <c r="SQT44" s="276"/>
      <c r="SQU44" s="275" t="s">
        <v>152</v>
      </c>
      <c r="SQV44" s="276"/>
      <c r="SQW44" s="276"/>
      <c r="SQX44" s="276"/>
      <c r="SQY44" s="276"/>
      <c r="SQZ44" s="276"/>
      <c r="SRA44" s="276"/>
      <c r="SRB44" s="276"/>
      <c r="SRC44" s="276"/>
      <c r="SRD44" s="276"/>
      <c r="SRE44" s="276"/>
      <c r="SRF44" s="276"/>
      <c r="SRG44" s="276"/>
      <c r="SRH44" s="276"/>
      <c r="SRI44" s="276"/>
      <c r="SRJ44" s="276"/>
      <c r="SRK44" s="275" t="s">
        <v>152</v>
      </c>
      <c r="SRL44" s="276"/>
      <c r="SRM44" s="276"/>
      <c r="SRN44" s="276"/>
      <c r="SRO44" s="276"/>
      <c r="SRP44" s="276"/>
      <c r="SRQ44" s="276"/>
      <c r="SRR44" s="276"/>
      <c r="SRS44" s="276"/>
      <c r="SRT44" s="276"/>
      <c r="SRU44" s="276"/>
      <c r="SRV44" s="276"/>
      <c r="SRW44" s="276"/>
      <c r="SRX44" s="276"/>
      <c r="SRY44" s="276"/>
      <c r="SRZ44" s="276"/>
      <c r="SSA44" s="275" t="s">
        <v>152</v>
      </c>
      <c r="SSB44" s="276"/>
      <c r="SSC44" s="276"/>
      <c r="SSD44" s="276"/>
      <c r="SSE44" s="276"/>
      <c r="SSF44" s="276"/>
      <c r="SSG44" s="276"/>
      <c r="SSH44" s="276"/>
      <c r="SSI44" s="276"/>
      <c r="SSJ44" s="276"/>
      <c r="SSK44" s="276"/>
      <c r="SSL44" s="276"/>
      <c r="SSM44" s="276"/>
      <c r="SSN44" s="276"/>
      <c r="SSO44" s="276"/>
      <c r="SSP44" s="276"/>
      <c r="SSQ44" s="275" t="s">
        <v>152</v>
      </c>
      <c r="SSR44" s="276"/>
      <c r="SSS44" s="276"/>
      <c r="SST44" s="276"/>
      <c r="SSU44" s="276"/>
      <c r="SSV44" s="276"/>
      <c r="SSW44" s="276"/>
      <c r="SSX44" s="276"/>
      <c r="SSY44" s="276"/>
      <c r="SSZ44" s="276"/>
      <c r="STA44" s="276"/>
      <c r="STB44" s="276"/>
      <c r="STC44" s="276"/>
      <c r="STD44" s="276"/>
      <c r="STE44" s="276"/>
      <c r="STF44" s="276"/>
      <c r="STG44" s="275" t="s">
        <v>152</v>
      </c>
      <c r="STH44" s="276"/>
      <c r="STI44" s="276"/>
      <c r="STJ44" s="276"/>
      <c r="STK44" s="276"/>
      <c r="STL44" s="276"/>
      <c r="STM44" s="276"/>
      <c r="STN44" s="276"/>
      <c r="STO44" s="276"/>
      <c r="STP44" s="276"/>
      <c r="STQ44" s="276"/>
      <c r="STR44" s="276"/>
      <c r="STS44" s="276"/>
      <c r="STT44" s="276"/>
      <c r="STU44" s="276"/>
      <c r="STV44" s="276"/>
      <c r="STW44" s="275" t="s">
        <v>152</v>
      </c>
      <c r="STX44" s="276"/>
      <c r="STY44" s="276"/>
      <c r="STZ44" s="276"/>
      <c r="SUA44" s="276"/>
      <c r="SUB44" s="276"/>
      <c r="SUC44" s="276"/>
      <c r="SUD44" s="276"/>
      <c r="SUE44" s="276"/>
      <c r="SUF44" s="276"/>
      <c r="SUG44" s="276"/>
      <c r="SUH44" s="276"/>
      <c r="SUI44" s="276"/>
      <c r="SUJ44" s="276"/>
      <c r="SUK44" s="276"/>
      <c r="SUL44" s="276"/>
      <c r="SUM44" s="275" t="s">
        <v>152</v>
      </c>
      <c r="SUN44" s="276"/>
      <c r="SUO44" s="276"/>
      <c r="SUP44" s="276"/>
      <c r="SUQ44" s="276"/>
      <c r="SUR44" s="276"/>
      <c r="SUS44" s="276"/>
      <c r="SUT44" s="276"/>
      <c r="SUU44" s="276"/>
      <c r="SUV44" s="276"/>
      <c r="SUW44" s="276"/>
      <c r="SUX44" s="276"/>
      <c r="SUY44" s="276"/>
      <c r="SUZ44" s="276"/>
      <c r="SVA44" s="276"/>
      <c r="SVB44" s="276"/>
      <c r="SVC44" s="275" t="s">
        <v>152</v>
      </c>
      <c r="SVD44" s="276"/>
      <c r="SVE44" s="276"/>
      <c r="SVF44" s="276"/>
      <c r="SVG44" s="276"/>
      <c r="SVH44" s="276"/>
      <c r="SVI44" s="276"/>
      <c r="SVJ44" s="276"/>
      <c r="SVK44" s="276"/>
      <c r="SVL44" s="276"/>
      <c r="SVM44" s="276"/>
      <c r="SVN44" s="276"/>
      <c r="SVO44" s="276"/>
      <c r="SVP44" s="276"/>
      <c r="SVQ44" s="276"/>
      <c r="SVR44" s="276"/>
      <c r="SVS44" s="275" t="s">
        <v>152</v>
      </c>
      <c r="SVT44" s="276"/>
      <c r="SVU44" s="276"/>
      <c r="SVV44" s="276"/>
      <c r="SVW44" s="276"/>
      <c r="SVX44" s="276"/>
      <c r="SVY44" s="276"/>
      <c r="SVZ44" s="276"/>
      <c r="SWA44" s="276"/>
      <c r="SWB44" s="276"/>
      <c r="SWC44" s="276"/>
      <c r="SWD44" s="276"/>
      <c r="SWE44" s="276"/>
      <c r="SWF44" s="276"/>
      <c r="SWG44" s="276"/>
      <c r="SWH44" s="276"/>
      <c r="SWI44" s="275" t="s">
        <v>152</v>
      </c>
      <c r="SWJ44" s="276"/>
      <c r="SWK44" s="276"/>
      <c r="SWL44" s="276"/>
      <c r="SWM44" s="276"/>
      <c r="SWN44" s="276"/>
      <c r="SWO44" s="276"/>
      <c r="SWP44" s="276"/>
      <c r="SWQ44" s="276"/>
      <c r="SWR44" s="276"/>
      <c r="SWS44" s="276"/>
      <c r="SWT44" s="276"/>
      <c r="SWU44" s="276"/>
      <c r="SWV44" s="276"/>
      <c r="SWW44" s="276"/>
      <c r="SWX44" s="276"/>
      <c r="SWY44" s="275" t="s">
        <v>152</v>
      </c>
      <c r="SWZ44" s="276"/>
      <c r="SXA44" s="276"/>
      <c r="SXB44" s="276"/>
      <c r="SXC44" s="276"/>
      <c r="SXD44" s="276"/>
      <c r="SXE44" s="276"/>
      <c r="SXF44" s="276"/>
      <c r="SXG44" s="276"/>
      <c r="SXH44" s="276"/>
      <c r="SXI44" s="276"/>
      <c r="SXJ44" s="276"/>
      <c r="SXK44" s="276"/>
      <c r="SXL44" s="276"/>
      <c r="SXM44" s="276"/>
      <c r="SXN44" s="276"/>
      <c r="SXO44" s="275" t="s">
        <v>152</v>
      </c>
      <c r="SXP44" s="276"/>
      <c r="SXQ44" s="276"/>
      <c r="SXR44" s="276"/>
      <c r="SXS44" s="276"/>
      <c r="SXT44" s="276"/>
      <c r="SXU44" s="276"/>
      <c r="SXV44" s="276"/>
      <c r="SXW44" s="276"/>
      <c r="SXX44" s="276"/>
      <c r="SXY44" s="276"/>
      <c r="SXZ44" s="276"/>
      <c r="SYA44" s="276"/>
      <c r="SYB44" s="276"/>
      <c r="SYC44" s="276"/>
      <c r="SYD44" s="276"/>
      <c r="SYE44" s="275" t="s">
        <v>152</v>
      </c>
      <c r="SYF44" s="276"/>
      <c r="SYG44" s="276"/>
      <c r="SYH44" s="276"/>
      <c r="SYI44" s="276"/>
      <c r="SYJ44" s="276"/>
      <c r="SYK44" s="276"/>
      <c r="SYL44" s="276"/>
      <c r="SYM44" s="276"/>
      <c r="SYN44" s="276"/>
      <c r="SYO44" s="276"/>
      <c r="SYP44" s="276"/>
      <c r="SYQ44" s="276"/>
      <c r="SYR44" s="276"/>
      <c r="SYS44" s="276"/>
      <c r="SYT44" s="276"/>
      <c r="SYU44" s="275" t="s">
        <v>152</v>
      </c>
      <c r="SYV44" s="276"/>
      <c r="SYW44" s="276"/>
      <c r="SYX44" s="276"/>
      <c r="SYY44" s="276"/>
      <c r="SYZ44" s="276"/>
      <c r="SZA44" s="276"/>
      <c r="SZB44" s="276"/>
      <c r="SZC44" s="276"/>
      <c r="SZD44" s="276"/>
      <c r="SZE44" s="276"/>
      <c r="SZF44" s="276"/>
      <c r="SZG44" s="276"/>
      <c r="SZH44" s="276"/>
      <c r="SZI44" s="276"/>
      <c r="SZJ44" s="276"/>
      <c r="SZK44" s="275" t="s">
        <v>152</v>
      </c>
      <c r="SZL44" s="276"/>
      <c r="SZM44" s="276"/>
      <c r="SZN44" s="276"/>
      <c r="SZO44" s="276"/>
      <c r="SZP44" s="276"/>
      <c r="SZQ44" s="276"/>
      <c r="SZR44" s="276"/>
      <c r="SZS44" s="276"/>
      <c r="SZT44" s="276"/>
      <c r="SZU44" s="276"/>
      <c r="SZV44" s="276"/>
      <c r="SZW44" s="276"/>
      <c r="SZX44" s="276"/>
      <c r="SZY44" s="276"/>
      <c r="SZZ44" s="276"/>
      <c r="TAA44" s="275" t="s">
        <v>152</v>
      </c>
      <c r="TAB44" s="276"/>
      <c r="TAC44" s="276"/>
      <c r="TAD44" s="276"/>
      <c r="TAE44" s="276"/>
      <c r="TAF44" s="276"/>
      <c r="TAG44" s="276"/>
      <c r="TAH44" s="276"/>
      <c r="TAI44" s="276"/>
      <c r="TAJ44" s="276"/>
      <c r="TAK44" s="276"/>
      <c r="TAL44" s="276"/>
      <c r="TAM44" s="276"/>
      <c r="TAN44" s="276"/>
      <c r="TAO44" s="276"/>
      <c r="TAP44" s="276"/>
      <c r="TAQ44" s="275" t="s">
        <v>152</v>
      </c>
      <c r="TAR44" s="276"/>
      <c r="TAS44" s="276"/>
      <c r="TAT44" s="276"/>
      <c r="TAU44" s="276"/>
      <c r="TAV44" s="276"/>
      <c r="TAW44" s="276"/>
      <c r="TAX44" s="276"/>
      <c r="TAY44" s="276"/>
      <c r="TAZ44" s="276"/>
      <c r="TBA44" s="276"/>
      <c r="TBB44" s="276"/>
      <c r="TBC44" s="276"/>
      <c r="TBD44" s="276"/>
      <c r="TBE44" s="276"/>
      <c r="TBF44" s="276"/>
      <c r="TBG44" s="275" t="s">
        <v>152</v>
      </c>
      <c r="TBH44" s="276"/>
      <c r="TBI44" s="276"/>
      <c r="TBJ44" s="276"/>
      <c r="TBK44" s="276"/>
      <c r="TBL44" s="276"/>
      <c r="TBM44" s="276"/>
      <c r="TBN44" s="276"/>
      <c r="TBO44" s="276"/>
      <c r="TBP44" s="276"/>
      <c r="TBQ44" s="276"/>
      <c r="TBR44" s="276"/>
      <c r="TBS44" s="276"/>
      <c r="TBT44" s="276"/>
      <c r="TBU44" s="276"/>
      <c r="TBV44" s="276"/>
      <c r="TBW44" s="275" t="s">
        <v>152</v>
      </c>
      <c r="TBX44" s="276"/>
      <c r="TBY44" s="276"/>
      <c r="TBZ44" s="276"/>
      <c r="TCA44" s="276"/>
      <c r="TCB44" s="276"/>
      <c r="TCC44" s="276"/>
      <c r="TCD44" s="276"/>
      <c r="TCE44" s="276"/>
      <c r="TCF44" s="276"/>
      <c r="TCG44" s="276"/>
      <c r="TCH44" s="276"/>
      <c r="TCI44" s="276"/>
      <c r="TCJ44" s="276"/>
      <c r="TCK44" s="276"/>
      <c r="TCL44" s="276"/>
      <c r="TCM44" s="275" t="s">
        <v>152</v>
      </c>
      <c r="TCN44" s="276"/>
      <c r="TCO44" s="276"/>
      <c r="TCP44" s="276"/>
      <c r="TCQ44" s="276"/>
      <c r="TCR44" s="276"/>
      <c r="TCS44" s="276"/>
      <c r="TCT44" s="276"/>
      <c r="TCU44" s="276"/>
      <c r="TCV44" s="276"/>
      <c r="TCW44" s="276"/>
      <c r="TCX44" s="276"/>
      <c r="TCY44" s="276"/>
      <c r="TCZ44" s="276"/>
      <c r="TDA44" s="276"/>
      <c r="TDB44" s="276"/>
      <c r="TDC44" s="275" t="s">
        <v>152</v>
      </c>
      <c r="TDD44" s="276"/>
      <c r="TDE44" s="276"/>
      <c r="TDF44" s="276"/>
      <c r="TDG44" s="276"/>
      <c r="TDH44" s="276"/>
      <c r="TDI44" s="276"/>
      <c r="TDJ44" s="276"/>
      <c r="TDK44" s="276"/>
      <c r="TDL44" s="276"/>
      <c r="TDM44" s="276"/>
      <c r="TDN44" s="276"/>
      <c r="TDO44" s="276"/>
      <c r="TDP44" s="276"/>
      <c r="TDQ44" s="276"/>
      <c r="TDR44" s="276"/>
      <c r="TDS44" s="275" t="s">
        <v>152</v>
      </c>
      <c r="TDT44" s="276"/>
      <c r="TDU44" s="276"/>
      <c r="TDV44" s="276"/>
      <c r="TDW44" s="276"/>
      <c r="TDX44" s="276"/>
      <c r="TDY44" s="276"/>
      <c r="TDZ44" s="276"/>
      <c r="TEA44" s="276"/>
      <c r="TEB44" s="276"/>
      <c r="TEC44" s="276"/>
      <c r="TED44" s="276"/>
      <c r="TEE44" s="276"/>
      <c r="TEF44" s="276"/>
      <c r="TEG44" s="276"/>
      <c r="TEH44" s="276"/>
      <c r="TEI44" s="275" t="s">
        <v>152</v>
      </c>
      <c r="TEJ44" s="276"/>
      <c r="TEK44" s="276"/>
      <c r="TEL44" s="276"/>
      <c r="TEM44" s="276"/>
      <c r="TEN44" s="276"/>
      <c r="TEO44" s="276"/>
      <c r="TEP44" s="276"/>
      <c r="TEQ44" s="276"/>
      <c r="TER44" s="276"/>
      <c r="TES44" s="276"/>
      <c r="TET44" s="276"/>
      <c r="TEU44" s="276"/>
      <c r="TEV44" s="276"/>
      <c r="TEW44" s="276"/>
      <c r="TEX44" s="276"/>
      <c r="TEY44" s="275" t="s">
        <v>152</v>
      </c>
      <c r="TEZ44" s="276"/>
      <c r="TFA44" s="276"/>
      <c r="TFB44" s="276"/>
      <c r="TFC44" s="276"/>
      <c r="TFD44" s="276"/>
      <c r="TFE44" s="276"/>
      <c r="TFF44" s="276"/>
      <c r="TFG44" s="276"/>
      <c r="TFH44" s="276"/>
      <c r="TFI44" s="276"/>
      <c r="TFJ44" s="276"/>
      <c r="TFK44" s="276"/>
      <c r="TFL44" s="276"/>
      <c r="TFM44" s="276"/>
      <c r="TFN44" s="276"/>
      <c r="TFO44" s="275" t="s">
        <v>152</v>
      </c>
      <c r="TFP44" s="276"/>
      <c r="TFQ44" s="276"/>
      <c r="TFR44" s="276"/>
      <c r="TFS44" s="276"/>
      <c r="TFT44" s="276"/>
      <c r="TFU44" s="276"/>
      <c r="TFV44" s="276"/>
      <c r="TFW44" s="276"/>
      <c r="TFX44" s="276"/>
      <c r="TFY44" s="276"/>
      <c r="TFZ44" s="276"/>
      <c r="TGA44" s="276"/>
      <c r="TGB44" s="276"/>
      <c r="TGC44" s="276"/>
      <c r="TGD44" s="276"/>
      <c r="TGE44" s="275" t="s">
        <v>152</v>
      </c>
      <c r="TGF44" s="276"/>
      <c r="TGG44" s="276"/>
      <c r="TGH44" s="276"/>
      <c r="TGI44" s="276"/>
      <c r="TGJ44" s="276"/>
      <c r="TGK44" s="276"/>
      <c r="TGL44" s="276"/>
      <c r="TGM44" s="276"/>
      <c r="TGN44" s="276"/>
      <c r="TGO44" s="276"/>
      <c r="TGP44" s="276"/>
      <c r="TGQ44" s="276"/>
      <c r="TGR44" s="276"/>
      <c r="TGS44" s="276"/>
      <c r="TGT44" s="276"/>
      <c r="TGU44" s="275" t="s">
        <v>152</v>
      </c>
      <c r="TGV44" s="276"/>
      <c r="TGW44" s="276"/>
      <c r="TGX44" s="276"/>
      <c r="TGY44" s="276"/>
      <c r="TGZ44" s="276"/>
      <c r="THA44" s="276"/>
      <c r="THB44" s="276"/>
      <c r="THC44" s="276"/>
      <c r="THD44" s="276"/>
      <c r="THE44" s="276"/>
      <c r="THF44" s="276"/>
      <c r="THG44" s="276"/>
      <c r="THH44" s="276"/>
      <c r="THI44" s="276"/>
      <c r="THJ44" s="276"/>
      <c r="THK44" s="275" t="s">
        <v>152</v>
      </c>
      <c r="THL44" s="276"/>
      <c r="THM44" s="276"/>
      <c r="THN44" s="276"/>
      <c r="THO44" s="276"/>
      <c r="THP44" s="276"/>
      <c r="THQ44" s="276"/>
      <c r="THR44" s="276"/>
      <c r="THS44" s="276"/>
      <c r="THT44" s="276"/>
      <c r="THU44" s="276"/>
      <c r="THV44" s="276"/>
      <c r="THW44" s="276"/>
      <c r="THX44" s="276"/>
      <c r="THY44" s="276"/>
      <c r="THZ44" s="276"/>
      <c r="TIA44" s="275" t="s">
        <v>152</v>
      </c>
      <c r="TIB44" s="276"/>
      <c r="TIC44" s="276"/>
      <c r="TID44" s="276"/>
      <c r="TIE44" s="276"/>
      <c r="TIF44" s="276"/>
      <c r="TIG44" s="276"/>
      <c r="TIH44" s="276"/>
      <c r="TII44" s="276"/>
      <c r="TIJ44" s="276"/>
      <c r="TIK44" s="276"/>
      <c r="TIL44" s="276"/>
      <c r="TIM44" s="276"/>
      <c r="TIN44" s="276"/>
      <c r="TIO44" s="276"/>
      <c r="TIP44" s="276"/>
      <c r="TIQ44" s="275" t="s">
        <v>152</v>
      </c>
      <c r="TIR44" s="276"/>
      <c r="TIS44" s="276"/>
      <c r="TIT44" s="276"/>
      <c r="TIU44" s="276"/>
      <c r="TIV44" s="276"/>
      <c r="TIW44" s="276"/>
      <c r="TIX44" s="276"/>
      <c r="TIY44" s="276"/>
      <c r="TIZ44" s="276"/>
      <c r="TJA44" s="276"/>
      <c r="TJB44" s="276"/>
      <c r="TJC44" s="276"/>
      <c r="TJD44" s="276"/>
      <c r="TJE44" s="276"/>
      <c r="TJF44" s="276"/>
      <c r="TJG44" s="275" t="s">
        <v>152</v>
      </c>
      <c r="TJH44" s="276"/>
      <c r="TJI44" s="276"/>
      <c r="TJJ44" s="276"/>
      <c r="TJK44" s="276"/>
      <c r="TJL44" s="276"/>
      <c r="TJM44" s="276"/>
      <c r="TJN44" s="276"/>
      <c r="TJO44" s="276"/>
      <c r="TJP44" s="276"/>
      <c r="TJQ44" s="276"/>
      <c r="TJR44" s="276"/>
      <c r="TJS44" s="276"/>
      <c r="TJT44" s="276"/>
      <c r="TJU44" s="276"/>
      <c r="TJV44" s="276"/>
      <c r="TJW44" s="275" t="s">
        <v>152</v>
      </c>
      <c r="TJX44" s="276"/>
      <c r="TJY44" s="276"/>
      <c r="TJZ44" s="276"/>
      <c r="TKA44" s="276"/>
      <c r="TKB44" s="276"/>
      <c r="TKC44" s="276"/>
      <c r="TKD44" s="276"/>
      <c r="TKE44" s="276"/>
      <c r="TKF44" s="276"/>
      <c r="TKG44" s="276"/>
      <c r="TKH44" s="276"/>
      <c r="TKI44" s="276"/>
      <c r="TKJ44" s="276"/>
      <c r="TKK44" s="276"/>
      <c r="TKL44" s="276"/>
      <c r="TKM44" s="275" t="s">
        <v>152</v>
      </c>
      <c r="TKN44" s="276"/>
      <c r="TKO44" s="276"/>
      <c r="TKP44" s="276"/>
      <c r="TKQ44" s="276"/>
      <c r="TKR44" s="276"/>
      <c r="TKS44" s="276"/>
      <c r="TKT44" s="276"/>
      <c r="TKU44" s="276"/>
      <c r="TKV44" s="276"/>
      <c r="TKW44" s="276"/>
      <c r="TKX44" s="276"/>
      <c r="TKY44" s="276"/>
      <c r="TKZ44" s="276"/>
      <c r="TLA44" s="276"/>
      <c r="TLB44" s="276"/>
      <c r="TLC44" s="275" t="s">
        <v>152</v>
      </c>
      <c r="TLD44" s="276"/>
      <c r="TLE44" s="276"/>
      <c r="TLF44" s="276"/>
      <c r="TLG44" s="276"/>
      <c r="TLH44" s="276"/>
      <c r="TLI44" s="276"/>
      <c r="TLJ44" s="276"/>
      <c r="TLK44" s="276"/>
      <c r="TLL44" s="276"/>
      <c r="TLM44" s="276"/>
      <c r="TLN44" s="276"/>
      <c r="TLO44" s="276"/>
      <c r="TLP44" s="276"/>
      <c r="TLQ44" s="276"/>
      <c r="TLR44" s="276"/>
      <c r="TLS44" s="275" t="s">
        <v>152</v>
      </c>
      <c r="TLT44" s="276"/>
      <c r="TLU44" s="276"/>
      <c r="TLV44" s="276"/>
      <c r="TLW44" s="276"/>
      <c r="TLX44" s="276"/>
      <c r="TLY44" s="276"/>
      <c r="TLZ44" s="276"/>
      <c r="TMA44" s="276"/>
      <c r="TMB44" s="276"/>
      <c r="TMC44" s="276"/>
      <c r="TMD44" s="276"/>
      <c r="TME44" s="276"/>
      <c r="TMF44" s="276"/>
      <c r="TMG44" s="276"/>
      <c r="TMH44" s="276"/>
      <c r="TMI44" s="275" t="s">
        <v>152</v>
      </c>
      <c r="TMJ44" s="276"/>
      <c r="TMK44" s="276"/>
      <c r="TML44" s="276"/>
      <c r="TMM44" s="276"/>
      <c r="TMN44" s="276"/>
      <c r="TMO44" s="276"/>
      <c r="TMP44" s="276"/>
      <c r="TMQ44" s="276"/>
      <c r="TMR44" s="276"/>
      <c r="TMS44" s="276"/>
      <c r="TMT44" s="276"/>
      <c r="TMU44" s="276"/>
      <c r="TMV44" s="276"/>
      <c r="TMW44" s="276"/>
      <c r="TMX44" s="276"/>
      <c r="TMY44" s="275" t="s">
        <v>152</v>
      </c>
      <c r="TMZ44" s="276"/>
      <c r="TNA44" s="276"/>
      <c r="TNB44" s="276"/>
      <c r="TNC44" s="276"/>
      <c r="TND44" s="276"/>
      <c r="TNE44" s="276"/>
      <c r="TNF44" s="276"/>
      <c r="TNG44" s="276"/>
      <c r="TNH44" s="276"/>
      <c r="TNI44" s="276"/>
      <c r="TNJ44" s="276"/>
      <c r="TNK44" s="276"/>
      <c r="TNL44" s="276"/>
      <c r="TNM44" s="276"/>
      <c r="TNN44" s="276"/>
      <c r="TNO44" s="275" t="s">
        <v>152</v>
      </c>
      <c r="TNP44" s="276"/>
      <c r="TNQ44" s="276"/>
      <c r="TNR44" s="276"/>
      <c r="TNS44" s="276"/>
      <c r="TNT44" s="276"/>
      <c r="TNU44" s="276"/>
      <c r="TNV44" s="276"/>
      <c r="TNW44" s="276"/>
      <c r="TNX44" s="276"/>
      <c r="TNY44" s="276"/>
      <c r="TNZ44" s="276"/>
      <c r="TOA44" s="276"/>
      <c r="TOB44" s="276"/>
      <c r="TOC44" s="276"/>
      <c r="TOD44" s="276"/>
      <c r="TOE44" s="275" t="s">
        <v>152</v>
      </c>
      <c r="TOF44" s="276"/>
      <c r="TOG44" s="276"/>
      <c r="TOH44" s="276"/>
      <c r="TOI44" s="276"/>
      <c r="TOJ44" s="276"/>
      <c r="TOK44" s="276"/>
      <c r="TOL44" s="276"/>
      <c r="TOM44" s="276"/>
      <c r="TON44" s="276"/>
      <c r="TOO44" s="276"/>
      <c r="TOP44" s="276"/>
      <c r="TOQ44" s="276"/>
      <c r="TOR44" s="276"/>
      <c r="TOS44" s="276"/>
      <c r="TOT44" s="276"/>
      <c r="TOU44" s="275" t="s">
        <v>152</v>
      </c>
      <c r="TOV44" s="276"/>
      <c r="TOW44" s="276"/>
      <c r="TOX44" s="276"/>
      <c r="TOY44" s="276"/>
      <c r="TOZ44" s="276"/>
      <c r="TPA44" s="276"/>
      <c r="TPB44" s="276"/>
      <c r="TPC44" s="276"/>
      <c r="TPD44" s="276"/>
      <c r="TPE44" s="276"/>
      <c r="TPF44" s="276"/>
      <c r="TPG44" s="276"/>
      <c r="TPH44" s="276"/>
      <c r="TPI44" s="276"/>
      <c r="TPJ44" s="276"/>
      <c r="TPK44" s="275" t="s">
        <v>152</v>
      </c>
      <c r="TPL44" s="276"/>
      <c r="TPM44" s="276"/>
      <c r="TPN44" s="276"/>
      <c r="TPO44" s="276"/>
      <c r="TPP44" s="276"/>
      <c r="TPQ44" s="276"/>
      <c r="TPR44" s="276"/>
      <c r="TPS44" s="276"/>
      <c r="TPT44" s="276"/>
      <c r="TPU44" s="276"/>
      <c r="TPV44" s="276"/>
      <c r="TPW44" s="276"/>
      <c r="TPX44" s="276"/>
      <c r="TPY44" s="276"/>
      <c r="TPZ44" s="276"/>
      <c r="TQA44" s="275" t="s">
        <v>152</v>
      </c>
      <c r="TQB44" s="276"/>
      <c r="TQC44" s="276"/>
      <c r="TQD44" s="276"/>
      <c r="TQE44" s="276"/>
      <c r="TQF44" s="276"/>
      <c r="TQG44" s="276"/>
      <c r="TQH44" s="276"/>
      <c r="TQI44" s="276"/>
      <c r="TQJ44" s="276"/>
      <c r="TQK44" s="276"/>
      <c r="TQL44" s="276"/>
      <c r="TQM44" s="276"/>
      <c r="TQN44" s="276"/>
      <c r="TQO44" s="276"/>
      <c r="TQP44" s="276"/>
      <c r="TQQ44" s="275" t="s">
        <v>152</v>
      </c>
      <c r="TQR44" s="276"/>
      <c r="TQS44" s="276"/>
      <c r="TQT44" s="276"/>
      <c r="TQU44" s="276"/>
      <c r="TQV44" s="276"/>
      <c r="TQW44" s="276"/>
      <c r="TQX44" s="276"/>
      <c r="TQY44" s="276"/>
      <c r="TQZ44" s="276"/>
      <c r="TRA44" s="276"/>
      <c r="TRB44" s="276"/>
      <c r="TRC44" s="276"/>
      <c r="TRD44" s="276"/>
      <c r="TRE44" s="276"/>
      <c r="TRF44" s="276"/>
      <c r="TRG44" s="275" t="s">
        <v>152</v>
      </c>
      <c r="TRH44" s="276"/>
      <c r="TRI44" s="276"/>
      <c r="TRJ44" s="276"/>
      <c r="TRK44" s="276"/>
      <c r="TRL44" s="276"/>
      <c r="TRM44" s="276"/>
      <c r="TRN44" s="276"/>
      <c r="TRO44" s="276"/>
      <c r="TRP44" s="276"/>
      <c r="TRQ44" s="276"/>
      <c r="TRR44" s="276"/>
      <c r="TRS44" s="276"/>
      <c r="TRT44" s="276"/>
      <c r="TRU44" s="276"/>
      <c r="TRV44" s="276"/>
      <c r="TRW44" s="275" t="s">
        <v>152</v>
      </c>
      <c r="TRX44" s="276"/>
      <c r="TRY44" s="276"/>
      <c r="TRZ44" s="276"/>
      <c r="TSA44" s="276"/>
      <c r="TSB44" s="276"/>
      <c r="TSC44" s="276"/>
      <c r="TSD44" s="276"/>
      <c r="TSE44" s="276"/>
      <c r="TSF44" s="276"/>
      <c r="TSG44" s="276"/>
      <c r="TSH44" s="276"/>
      <c r="TSI44" s="276"/>
      <c r="TSJ44" s="276"/>
      <c r="TSK44" s="276"/>
      <c r="TSL44" s="276"/>
      <c r="TSM44" s="275" t="s">
        <v>152</v>
      </c>
      <c r="TSN44" s="276"/>
      <c r="TSO44" s="276"/>
      <c r="TSP44" s="276"/>
      <c r="TSQ44" s="276"/>
      <c r="TSR44" s="276"/>
      <c r="TSS44" s="276"/>
      <c r="TST44" s="276"/>
      <c r="TSU44" s="276"/>
      <c r="TSV44" s="276"/>
      <c r="TSW44" s="276"/>
      <c r="TSX44" s="276"/>
      <c r="TSY44" s="276"/>
      <c r="TSZ44" s="276"/>
      <c r="TTA44" s="276"/>
      <c r="TTB44" s="276"/>
      <c r="TTC44" s="275" t="s">
        <v>152</v>
      </c>
      <c r="TTD44" s="276"/>
      <c r="TTE44" s="276"/>
      <c r="TTF44" s="276"/>
      <c r="TTG44" s="276"/>
      <c r="TTH44" s="276"/>
      <c r="TTI44" s="276"/>
      <c r="TTJ44" s="276"/>
      <c r="TTK44" s="276"/>
      <c r="TTL44" s="276"/>
      <c r="TTM44" s="276"/>
      <c r="TTN44" s="276"/>
      <c r="TTO44" s="276"/>
      <c r="TTP44" s="276"/>
      <c r="TTQ44" s="276"/>
      <c r="TTR44" s="276"/>
      <c r="TTS44" s="275" t="s">
        <v>152</v>
      </c>
      <c r="TTT44" s="276"/>
      <c r="TTU44" s="276"/>
      <c r="TTV44" s="276"/>
      <c r="TTW44" s="276"/>
      <c r="TTX44" s="276"/>
      <c r="TTY44" s="276"/>
      <c r="TTZ44" s="276"/>
      <c r="TUA44" s="276"/>
      <c r="TUB44" s="276"/>
      <c r="TUC44" s="276"/>
      <c r="TUD44" s="276"/>
      <c r="TUE44" s="276"/>
      <c r="TUF44" s="276"/>
      <c r="TUG44" s="276"/>
      <c r="TUH44" s="276"/>
      <c r="TUI44" s="275" t="s">
        <v>152</v>
      </c>
      <c r="TUJ44" s="276"/>
      <c r="TUK44" s="276"/>
      <c r="TUL44" s="276"/>
      <c r="TUM44" s="276"/>
      <c r="TUN44" s="276"/>
      <c r="TUO44" s="276"/>
      <c r="TUP44" s="276"/>
      <c r="TUQ44" s="276"/>
      <c r="TUR44" s="276"/>
      <c r="TUS44" s="276"/>
      <c r="TUT44" s="276"/>
      <c r="TUU44" s="276"/>
      <c r="TUV44" s="276"/>
      <c r="TUW44" s="276"/>
      <c r="TUX44" s="276"/>
      <c r="TUY44" s="275" t="s">
        <v>152</v>
      </c>
      <c r="TUZ44" s="276"/>
      <c r="TVA44" s="276"/>
      <c r="TVB44" s="276"/>
      <c r="TVC44" s="276"/>
      <c r="TVD44" s="276"/>
      <c r="TVE44" s="276"/>
      <c r="TVF44" s="276"/>
      <c r="TVG44" s="276"/>
      <c r="TVH44" s="276"/>
      <c r="TVI44" s="276"/>
      <c r="TVJ44" s="276"/>
      <c r="TVK44" s="276"/>
      <c r="TVL44" s="276"/>
      <c r="TVM44" s="276"/>
      <c r="TVN44" s="276"/>
      <c r="TVO44" s="275" t="s">
        <v>152</v>
      </c>
      <c r="TVP44" s="276"/>
      <c r="TVQ44" s="276"/>
      <c r="TVR44" s="276"/>
      <c r="TVS44" s="276"/>
      <c r="TVT44" s="276"/>
      <c r="TVU44" s="276"/>
      <c r="TVV44" s="276"/>
      <c r="TVW44" s="276"/>
      <c r="TVX44" s="276"/>
      <c r="TVY44" s="276"/>
      <c r="TVZ44" s="276"/>
      <c r="TWA44" s="276"/>
      <c r="TWB44" s="276"/>
      <c r="TWC44" s="276"/>
      <c r="TWD44" s="276"/>
      <c r="TWE44" s="275" t="s">
        <v>152</v>
      </c>
      <c r="TWF44" s="276"/>
      <c r="TWG44" s="276"/>
      <c r="TWH44" s="276"/>
      <c r="TWI44" s="276"/>
      <c r="TWJ44" s="276"/>
      <c r="TWK44" s="276"/>
      <c r="TWL44" s="276"/>
      <c r="TWM44" s="276"/>
      <c r="TWN44" s="276"/>
      <c r="TWO44" s="276"/>
      <c r="TWP44" s="276"/>
      <c r="TWQ44" s="276"/>
      <c r="TWR44" s="276"/>
      <c r="TWS44" s="276"/>
      <c r="TWT44" s="276"/>
      <c r="TWU44" s="275" t="s">
        <v>152</v>
      </c>
      <c r="TWV44" s="276"/>
      <c r="TWW44" s="276"/>
      <c r="TWX44" s="276"/>
      <c r="TWY44" s="276"/>
      <c r="TWZ44" s="276"/>
      <c r="TXA44" s="276"/>
      <c r="TXB44" s="276"/>
      <c r="TXC44" s="276"/>
      <c r="TXD44" s="276"/>
      <c r="TXE44" s="276"/>
      <c r="TXF44" s="276"/>
      <c r="TXG44" s="276"/>
      <c r="TXH44" s="276"/>
      <c r="TXI44" s="276"/>
      <c r="TXJ44" s="276"/>
      <c r="TXK44" s="275" t="s">
        <v>152</v>
      </c>
      <c r="TXL44" s="276"/>
      <c r="TXM44" s="276"/>
      <c r="TXN44" s="276"/>
      <c r="TXO44" s="276"/>
      <c r="TXP44" s="276"/>
      <c r="TXQ44" s="276"/>
      <c r="TXR44" s="276"/>
      <c r="TXS44" s="276"/>
      <c r="TXT44" s="276"/>
      <c r="TXU44" s="276"/>
      <c r="TXV44" s="276"/>
      <c r="TXW44" s="276"/>
      <c r="TXX44" s="276"/>
      <c r="TXY44" s="276"/>
      <c r="TXZ44" s="276"/>
      <c r="TYA44" s="275" t="s">
        <v>152</v>
      </c>
      <c r="TYB44" s="276"/>
      <c r="TYC44" s="276"/>
      <c r="TYD44" s="276"/>
      <c r="TYE44" s="276"/>
      <c r="TYF44" s="276"/>
      <c r="TYG44" s="276"/>
      <c r="TYH44" s="276"/>
      <c r="TYI44" s="276"/>
      <c r="TYJ44" s="276"/>
      <c r="TYK44" s="276"/>
      <c r="TYL44" s="276"/>
      <c r="TYM44" s="276"/>
      <c r="TYN44" s="276"/>
      <c r="TYO44" s="276"/>
      <c r="TYP44" s="276"/>
      <c r="TYQ44" s="275" t="s">
        <v>152</v>
      </c>
      <c r="TYR44" s="276"/>
      <c r="TYS44" s="276"/>
      <c r="TYT44" s="276"/>
      <c r="TYU44" s="276"/>
      <c r="TYV44" s="276"/>
      <c r="TYW44" s="276"/>
      <c r="TYX44" s="276"/>
      <c r="TYY44" s="276"/>
      <c r="TYZ44" s="276"/>
      <c r="TZA44" s="276"/>
      <c r="TZB44" s="276"/>
      <c r="TZC44" s="276"/>
      <c r="TZD44" s="276"/>
      <c r="TZE44" s="276"/>
      <c r="TZF44" s="276"/>
      <c r="TZG44" s="275" t="s">
        <v>152</v>
      </c>
      <c r="TZH44" s="276"/>
      <c r="TZI44" s="276"/>
      <c r="TZJ44" s="276"/>
      <c r="TZK44" s="276"/>
      <c r="TZL44" s="276"/>
      <c r="TZM44" s="276"/>
      <c r="TZN44" s="276"/>
      <c r="TZO44" s="276"/>
      <c r="TZP44" s="276"/>
      <c r="TZQ44" s="276"/>
      <c r="TZR44" s="276"/>
      <c r="TZS44" s="276"/>
      <c r="TZT44" s="276"/>
      <c r="TZU44" s="276"/>
      <c r="TZV44" s="276"/>
      <c r="TZW44" s="275" t="s">
        <v>152</v>
      </c>
      <c r="TZX44" s="276"/>
      <c r="TZY44" s="276"/>
      <c r="TZZ44" s="276"/>
      <c r="UAA44" s="276"/>
      <c r="UAB44" s="276"/>
      <c r="UAC44" s="276"/>
      <c r="UAD44" s="276"/>
      <c r="UAE44" s="276"/>
      <c r="UAF44" s="276"/>
      <c r="UAG44" s="276"/>
      <c r="UAH44" s="276"/>
      <c r="UAI44" s="276"/>
      <c r="UAJ44" s="276"/>
      <c r="UAK44" s="276"/>
      <c r="UAL44" s="276"/>
      <c r="UAM44" s="275" t="s">
        <v>152</v>
      </c>
      <c r="UAN44" s="276"/>
      <c r="UAO44" s="276"/>
      <c r="UAP44" s="276"/>
      <c r="UAQ44" s="276"/>
      <c r="UAR44" s="276"/>
      <c r="UAS44" s="276"/>
      <c r="UAT44" s="276"/>
      <c r="UAU44" s="276"/>
      <c r="UAV44" s="276"/>
      <c r="UAW44" s="276"/>
      <c r="UAX44" s="276"/>
      <c r="UAY44" s="276"/>
      <c r="UAZ44" s="276"/>
      <c r="UBA44" s="276"/>
      <c r="UBB44" s="276"/>
      <c r="UBC44" s="275" t="s">
        <v>152</v>
      </c>
      <c r="UBD44" s="276"/>
      <c r="UBE44" s="276"/>
      <c r="UBF44" s="276"/>
      <c r="UBG44" s="276"/>
      <c r="UBH44" s="276"/>
      <c r="UBI44" s="276"/>
      <c r="UBJ44" s="276"/>
      <c r="UBK44" s="276"/>
      <c r="UBL44" s="276"/>
      <c r="UBM44" s="276"/>
      <c r="UBN44" s="276"/>
      <c r="UBO44" s="276"/>
      <c r="UBP44" s="276"/>
      <c r="UBQ44" s="276"/>
      <c r="UBR44" s="276"/>
      <c r="UBS44" s="275" t="s">
        <v>152</v>
      </c>
      <c r="UBT44" s="276"/>
      <c r="UBU44" s="276"/>
      <c r="UBV44" s="276"/>
      <c r="UBW44" s="276"/>
      <c r="UBX44" s="276"/>
      <c r="UBY44" s="276"/>
      <c r="UBZ44" s="276"/>
      <c r="UCA44" s="276"/>
      <c r="UCB44" s="276"/>
      <c r="UCC44" s="276"/>
      <c r="UCD44" s="276"/>
      <c r="UCE44" s="276"/>
      <c r="UCF44" s="276"/>
      <c r="UCG44" s="276"/>
      <c r="UCH44" s="276"/>
      <c r="UCI44" s="275" t="s">
        <v>152</v>
      </c>
      <c r="UCJ44" s="276"/>
      <c r="UCK44" s="276"/>
      <c r="UCL44" s="276"/>
      <c r="UCM44" s="276"/>
      <c r="UCN44" s="276"/>
      <c r="UCO44" s="276"/>
      <c r="UCP44" s="276"/>
      <c r="UCQ44" s="276"/>
      <c r="UCR44" s="276"/>
      <c r="UCS44" s="276"/>
      <c r="UCT44" s="276"/>
      <c r="UCU44" s="276"/>
      <c r="UCV44" s="276"/>
      <c r="UCW44" s="276"/>
      <c r="UCX44" s="276"/>
      <c r="UCY44" s="275" t="s">
        <v>152</v>
      </c>
      <c r="UCZ44" s="276"/>
      <c r="UDA44" s="276"/>
      <c r="UDB44" s="276"/>
      <c r="UDC44" s="276"/>
      <c r="UDD44" s="276"/>
      <c r="UDE44" s="276"/>
      <c r="UDF44" s="276"/>
      <c r="UDG44" s="276"/>
      <c r="UDH44" s="276"/>
      <c r="UDI44" s="276"/>
      <c r="UDJ44" s="276"/>
      <c r="UDK44" s="276"/>
      <c r="UDL44" s="276"/>
      <c r="UDM44" s="276"/>
      <c r="UDN44" s="276"/>
      <c r="UDO44" s="275" t="s">
        <v>152</v>
      </c>
      <c r="UDP44" s="276"/>
      <c r="UDQ44" s="276"/>
      <c r="UDR44" s="276"/>
      <c r="UDS44" s="276"/>
      <c r="UDT44" s="276"/>
      <c r="UDU44" s="276"/>
      <c r="UDV44" s="276"/>
      <c r="UDW44" s="276"/>
      <c r="UDX44" s="276"/>
      <c r="UDY44" s="276"/>
      <c r="UDZ44" s="276"/>
      <c r="UEA44" s="276"/>
      <c r="UEB44" s="276"/>
      <c r="UEC44" s="276"/>
      <c r="UED44" s="276"/>
      <c r="UEE44" s="275" t="s">
        <v>152</v>
      </c>
      <c r="UEF44" s="276"/>
      <c r="UEG44" s="276"/>
      <c r="UEH44" s="276"/>
      <c r="UEI44" s="276"/>
      <c r="UEJ44" s="276"/>
      <c r="UEK44" s="276"/>
      <c r="UEL44" s="276"/>
      <c r="UEM44" s="276"/>
      <c r="UEN44" s="276"/>
      <c r="UEO44" s="276"/>
      <c r="UEP44" s="276"/>
      <c r="UEQ44" s="276"/>
      <c r="UER44" s="276"/>
      <c r="UES44" s="276"/>
      <c r="UET44" s="276"/>
      <c r="UEU44" s="275" t="s">
        <v>152</v>
      </c>
      <c r="UEV44" s="276"/>
      <c r="UEW44" s="276"/>
      <c r="UEX44" s="276"/>
      <c r="UEY44" s="276"/>
      <c r="UEZ44" s="276"/>
      <c r="UFA44" s="276"/>
      <c r="UFB44" s="276"/>
      <c r="UFC44" s="276"/>
      <c r="UFD44" s="276"/>
      <c r="UFE44" s="276"/>
      <c r="UFF44" s="276"/>
      <c r="UFG44" s="276"/>
      <c r="UFH44" s="276"/>
      <c r="UFI44" s="276"/>
      <c r="UFJ44" s="276"/>
      <c r="UFK44" s="275" t="s">
        <v>152</v>
      </c>
      <c r="UFL44" s="276"/>
      <c r="UFM44" s="276"/>
      <c r="UFN44" s="276"/>
      <c r="UFO44" s="276"/>
      <c r="UFP44" s="276"/>
      <c r="UFQ44" s="276"/>
      <c r="UFR44" s="276"/>
      <c r="UFS44" s="276"/>
      <c r="UFT44" s="276"/>
      <c r="UFU44" s="276"/>
      <c r="UFV44" s="276"/>
      <c r="UFW44" s="276"/>
      <c r="UFX44" s="276"/>
      <c r="UFY44" s="276"/>
      <c r="UFZ44" s="276"/>
      <c r="UGA44" s="275" t="s">
        <v>152</v>
      </c>
      <c r="UGB44" s="276"/>
      <c r="UGC44" s="276"/>
      <c r="UGD44" s="276"/>
      <c r="UGE44" s="276"/>
      <c r="UGF44" s="276"/>
      <c r="UGG44" s="276"/>
      <c r="UGH44" s="276"/>
      <c r="UGI44" s="276"/>
      <c r="UGJ44" s="276"/>
      <c r="UGK44" s="276"/>
      <c r="UGL44" s="276"/>
      <c r="UGM44" s="276"/>
      <c r="UGN44" s="276"/>
      <c r="UGO44" s="276"/>
      <c r="UGP44" s="276"/>
      <c r="UGQ44" s="275" t="s">
        <v>152</v>
      </c>
      <c r="UGR44" s="276"/>
      <c r="UGS44" s="276"/>
      <c r="UGT44" s="276"/>
      <c r="UGU44" s="276"/>
      <c r="UGV44" s="276"/>
      <c r="UGW44" s="276"/>
      <c r="UGX44" s="276"/>
      <c r="UGY44" s="276"/>
      <c r="UGZ44" s="276"/>
      <c r="UHA44" s="276"/>
      <c r="UHB44" s="276"/>
      <c r="UHC44" s="276"/>
      <c r="UHD44" s="276"/>
      <c r="UHE44" s="276"/>
      <c r="UHF44" s="276"/>
      <c r="UHG44" s="275" t="s">
        <v>152</v>
      </c>
      <c r="UHH44" s="276"/>
      <c r="UHI44" s="276"/>
      <c r="UHJ44" s="276"/>
      <c r="UHK44" s="276"/>
      <c r="UHL44" s="276"/>
      <c r="UHM44" s="276"/>
      <c r="UHN44" s="276"/>
      <c r="UHO44" s="276"/>
      <c r="UHP44" s="276"/>
      <c r="UHQ44" s="276"/>
      <c r="UHR44" s="276"/>
      <c r="UHS44" s="276"/>
      <c r="UHT44" s="276"/>
      <c r="UHU44" s="276"/>
      <c r="UHV44" s="276"/>
      <c r="UHW44" s="275" t="s">
        <v>152</v>
      </c>
      <c r="UHX44" s="276"/>
      <c r="UHY44" s="276"/>
      <c r="UHZ44" s="276"/>
      <c r="UIA44" s="276"/>
      <c r="UIB44" s="276"/>
      <c r="UIC44" s="276"/>
      <c r="UID44" s="276"/>
      <c r="UIE44" s="276"/>
      <c r="UIF44" s="276"/>
      <c r="UIG44" s="276"/>
      <c r="UIH44" s="276"/>
      <c r="UII44" s="276"/>
      <c r="UIJ44" s="276"/>
      <c r="UIK44" s="276"/>
      <c r="UIL44" s="276"/>
      <c r="UIM44" s="275" t="s">
        <v>152</v>
      </c>
      <c r="UIN44" s="276"/>
      <c r="UIO44" s="276"/>
      <c r="UIP44" s="276"/>
      <c r="UIQ44" s="276"/>
      <c r="UIR44" s="276"/>
      <c r="UIS44" s="276"/>
      <c r="UIT44" s="276"/>
      <c r="UIU44" s="276"/>
      <c r="UIV44" s="276"/>
      <c r="UIW44" s="276"/>
      <c r="UIX44" s="276"/>
      <c r="UIY44" s="276"/>
      <c r="UIZ44" s="276"/>
      <c r="UJA44" s="276"/>
      <c r="UJB44" s="276"/>
      <c r="UJC44" s="275" t="s">
        <v>152</v>
      </c>
      <c r="UJD44" s="276"/>
      <c r="UJE44" s="276"/>
      <c r="UJF44" s="276"/>
      <c r="UJG44" s="276"/>
      <c r="UJH44" s="276"/>
      <c r="UJI44" s="276"/>
      <c r="UJJ44" s="276"/>
      <c r="UJK44" s="276"/>
      <c r="UJL44" s="276"/>
      <c r="UJM44" s="276"/>
      <c r="UJN44" s="276"/>
      <c r="UJO44" s="276"/>
      <c r="UJP44" s="276"/>
      <c r="UJQ44" s="276"/>
      <c r="UJR44" s="276"/>
      <c r="UJS44" s="275" t="s">
        <v>152</v>
      </c>
      <c r="UJT44" s="276"/>
      <c r="UJU44" s="276"/>
      <c r="UJV44" s="276"/>
      <c r="UJW44" s="276"/>
      <c r="UJX44" s="276"/>
      <c r="UJY44" s="276"/>
      <c r="UJZ44" s="276"/>
      <c r="UKA44" s="276"/>
      <c r="UKB44" s="276"/>
      <c r="UKC44" s="276"/>
      <c r="UKD44" s="276"/>
      <c r="UKE44" s="276"/>
      <c r="UKF44" s="276"/>
      <c r="UKG44" s="276"/>
      <c r="UKH44" s="276"/>
      <c r="UKI44" s="275" t="s">
        <v>152</v>
      </c>
      <c r="UKJ44" s="276"/>
      <c r="UKK44" s="276"/>
      <c r="UKL44" s="276"/>
      <c r="UKM44" s="276"/>
      <c r="UKN44" s="276"/>
      <c r="UKO44" s="276"/>
      <c r="UKP44" s="276"/>
      <c r="UKQ44" s="276"/>
      <c r="UKR44" s="276"/>
      <c r="UKS44" s="276"/>
      <c r="UKT44" s="276"/>
      <c r="UKU44" s="276"/>
      <c r="UKV44" s="276"/>
      <c r="UKW44" s="276"/>
      <c r="UKX44" s="276"/>
      <c r="UKY44" s="275" t="s">
        <v>152</v>
      </c>
      <c r="UKZ44" s="276"/>
      <c r="ULA44" s="276"/>
      <c r="ULB44" s="276"/>
      <c r="ULC44" s="276"/>
      <c r="ULD44" s="276"/>
      <c r="ULE44" s="276"/>
      <c r="ULF44" s="276"/>
      <c r="ULG44" s="276"/>
      <c r="ULH44" s="276"/>
      <c r="ULI44" s="276"/>
      <c r="ULJ44" s="276"/>
      <c r="ULK44" s="276"/>
      <c r="ULL44" s="276"/>
      <c r="ULM44" s="276"/>
      <c r="ULN44" s="276"/>
      <c r="ULO44" s="275" t="s">
        <v>152</v>
      </c>
      <c r="ULP44" s="276"/>
      <c r="ULQ44" s="276"/>
      <c r="ULR44" s="276"/>
      <c r="ULS44" s="276"/>
      <c r="ULT44" s="276"/>
      <c r="ULU44" s="276"/>
      <c r="ULV44" s="276"/>
      <c r="ULW44" s="276"/>
      <c r="ULX44" s="276"/>
      <c r="ULY44" s="276"/>
      <c r="ULZ44" s="276"/>
      <c r="UMA44" s="276"/>
      <c r="UMB44" s="276"/>
      <c r="UMC44" s="276"/>
      <c r="UMD44" s="276"/>
      <c r="UME44" s="275" t="s">
        <v>152</v>
      </c>
      <c r="UMF44" s="276"/>
      <c r="UMG44" s="276"/>
      <c r="UMH44" s="276"/>
      <c r="UMI44" s="276"/>
      <c r="UMJ44" s="276"/>
      <c r="UMK44" s="276"/>
      <c r="UML44" s="276"/>
      <c r="UMM44" s="276"/>
      <c r="UMN44" s="276"/>
      <c r="UMO44" s="276"/>
      <c r="UMP44" s="276"/>
      <c r="UMQ44" s="276"/>
      <c r="UMR44" s="276"/>
      <c r="UMS44" s="276"/>
      <c r="UMT44" s="276"/>
      <c r="UMU44" s="275" t="s">
        <v>152</v>
      </c>
      <c r="UMV44" s="276"/>
      <c r="UMW44" s="276"/>
      <c r="UMX44" s="276"/>
      <c r="UMY44" s="276"/>
      <c r="UMZ44" s="276"/>
      <c r="UNA44" s="276"/>
      <c r="UNB44" s="276"/>
      <c r="UNC44" s="276"/>
      <c r="UND44" s="276"/>
      <c r="UNE44" s="276"/>
      <c r="UNF44" s="276"/>
      <c r="UNG44" s="276"/>
      <c r="UNH44" s="276"/>
      <c r="UNI44" s="276"/>
      <c r="UNJ44" s="276"/>
      <c r="UNK44" s="275" t="s">
        <v>152</v>
      </c>
      <c r="UNL44" s="276"/>
      <c r="UNM44" s="276"/>
      <c r="UNN44" s="276"/>
      <c r="UNO44" s="276"/>
      <c r="UNP44" s="276"/>
      <c r="UNQ44" s="276"/>
      <c r="UNR44" s="276"/>
      <c r="UNS44" s="276"/>
      <c r="UNT44" s="276"/>
      <c r="UNU44" s="276"/>
      <c r="UNV44" s="276"/>
      <c r="UNW44" s="276"/>
      <c r="UNX44" s="276"/>
      <c r="UNY44" s="276"/>
      <c r="UNZ44" s="276"/>
      <c r="UOA44" s="275" t="s">
        <v>152</v>
      </c>
      <c r="UOB44" s="276"/>
      <c r="UOC44" s="276"/>
      <c r="UOD44" s="276"/>
      <c r="UOE44" s="276"/>
      <c r="UOF44" s="276"/>
      <c r="UOG44" s="276"/>
      <c r="UOH44" s="276"/>
      <c r="UOI44" s="276"/>
      <c r="UOJ44" s="276"/>
      <c r="UOK44" s="276"/>
      <c r="UOL44" s="276"/>
      <c r="UOM44" s="276"/>
      <c r="UON44" s="276"/>
      <c r="UOO44" s="276"/>
      <c r="UOP44" s="276"/>
      <c r="UOQ44" s="275" t="s">
        <v>152</v>
      </c>
      <c r="UOR44" s="276"/>
      <c r="UOS44" s="276"/>
      <c r="UOT44" s="276"/>
      <c r="UOU44" s="276"/>
      <c r="UOV44" s="276"/>
      <c r="UOW44" s="276"/>
      <c r="UOX44" s="276"/>
      <c r="UOY44" s="276"/>
      <c r="UOZ44" s="276"/>
      <c r="UPA44" s="276"/>
      <c r="UPB44" s="276"/>
      <c r="UPC44" s="276"/>
      <c r="UPD44" s="276"/>
      <c r="UPE44" s="276"/>
      <c r="UPF44" s="276"/>
      <c r="UPG44" s="275" t="s">
        <v>152</v>
      </c>
      <c r="UPH44" s="276"/>
      <c r="UPI44" s="276"/>
      <c r="UPJ44" s="276"/>
      <c r="UPK44" s="276"/>
      <c r="UPL44" s="276"/>
      <c r="UPM44" s="276"/>
      <c r="UPN44" s="276"/>
      <c r="UPO44" s="276"/>
      <c r="UPP44" s="276"/>
      <c r="UPQ44" s="276"/>
      <c r="UPR44" s="276"/>
      <c r="UPS44" s="276"/>
      <c r="UPT44" s="276"/>
      <c r="UPU44" s="276"/>
      <c r="UPV44" s="276"/>
      <c r="UPW44" s="275" t="s">
        <v>152</v>
      </c>
      <c r="UPX44" s="276"/>
      <c r="UPY44" s="276"/>
      <c r="UPZ44" s="276"/>
      <c r="UQA44" s="276"/>
      <c r="UQB44" s="276"/>
      <c r="UQC44" s="276"/>
      <c r="UQD44" s="276"/>
      <c r="UQE44" s="276"/>
      <c r="UQF44" s="276"/>
      <c r="UQG44" s="276"/>
      <c r="UQH44" s="276"/>
      <c r="UQI44" s="276"/>
      <c r="UQJ44" s="276"/>
      <c r="UQK44" s="276"/>
      <c r="UQL44" s="276"/>
      <c r="UQM44" s="275" t="s">
        <v>152</v>
      </c>
      <c r="UQN44" s="276"/>
      <c r="UQO44" s="276"/>
      <c r="UQP44" s="276"/>
      <c r="UQQ44" s="276"/>
      <c r="UQR44" s="276"/>
      <c r="UQS44" s="276"/>
      <c r="UQT44" s="276"/>
      <c r="UQU44" s="276"/>
      <c r="UQV44" s="276"/>
      <c r="UQW44" s="276"/>
      <c r="UQX44" s="276"/>
      <c r="UQY44" s="276"/>
      <c r="UQZ44" s="276"/>
      <c r="URA44" s="276"/>
      <c r="URB44" s="276"/>
      <c r="URC44" s="275" t="s">
        <v>152</v>
      </c>
      <c r="URD44" s="276"/>
      <c r="URE44" s="276"/>
      <c r="URF44" s="276"/>
      <c r="URG44" s="276"/>
      <c r="URH44" s="276"/>
      <c r="URI44" s="276"/>
      <c r="URJ44" s="276"/>
      <c r="URK44" s="276"/>
      <c r="URL44" s="276"/>
      <c r="URM44" s="276"/>
      <c r="URN44" s="276"/>
      <c r="URO44" s="276"/>
      <c r="URP44" s="276"/>
      <c r="URQ44" s="276"/>
      <c r="URR44" s="276"/>
      <c r="URS44" s="275" t="s">
        <v>152</v>
      </c>
      <c r="URT44" s="276"/>
      <c r="URU44" s="276"/>
      <c r="URV44" s="276"/>
      <c r="URW44" s="276"/>
      <c r="URX44" s="276"/>
      <c r="URY44" s="276"/>
      <c r="URZ44" s="276"/>
      <c r="USA44" s="276"/>
      <c r="USB44" s="276"/>
      <c r="USC44" s="276"/>
      <c r="USD44" s="276"/>
      <c r="USE44" s="276"/>
      <c r="USF44" s="276"/>
      <c r="USG44" s="276"/>
      <c r="USH44" s="276"/>
      <c r="USI44" s="275" t="s">
        <v>152</v>
      </c>
      <c r="USJ44" s="276"/>
      <c r="USK44" s="276"/>
      <c r="USL44" s="276"/>
      <c r="USM44" s="276"/>
      <c r="USN44" s="276"/>
      <c r="USO44" s="276"/>
      <c r="USP44" s="276"/>
      <c r="USQ44" s="276"/>
      <c r="USR44" s="276"/>
      <c r="USS44" s="276"/>
      <c r="UST44" s="276"/>
      <c r="USU44" s="276"/>
      <c r="USV44" s="276"/>
      <c r="USW44" s="276"/>
      <c r="USX44" s="276"/>
      <c r="USY44" s="275" t="s">
        <v>152</v>
      </c>
      <c r="USZ44" s="276"/>
      <c r="UTA44" s="276"/>
      <c r="UTB44" s="276"/>
      <c r="UTC44" s="276"/>
      <c r="UTD44" s="276"/>
      <c r="UTE44" s="276"/>
      <c r="UTF44" s="276"/>
      <c r="UTG44" s="276"/>
      <c r="UTH44" s="276"/>
      <c r="UTI44" s="276"/>
      <c r="UTJ44" s="276"/>
      <c r="UTK44" s="276"/>
      <c r="UTL44" s="276"/>
      <c r="UTM44" s="276"/>
      <c r="UTN44" s="276"/>
      <c r="UTO44" s="275" t="s">
        <v>152</v>
      </c>
      <c r="UTP44" s="276"/>
      <c r="UTQ44" s="276"/>
      <c r="UTR44" s="276"/>
      <c r="UTS44" s="276"/>
      <c r="UTT44" s="276"/>
      <c r="UTU44" s="276"/>
      <c r="UTV44" s="276"/>
      <c r="UTW44" s="276"/>
      <c r="UTX44" s="276"/>
      <c r="UTY44" s="276"/>
      <c r="UTZ44" s="276"/>
      <c r="UUA44" s="276"/>
      <c r="UUB44" s="276"/>
      <c r="UUC44" s="276"/>
      <c r="UUD44" s="276"/>
      <c r="UUE44" s="275" t="s">
        <v>152</v>
      </c>
      <c r="UUF44" s="276"/>
      <c r="UUG44" s="276"/>
      <c r="UUH44" s="276"/>
      <c r="UUI44" s="276"/>
      <c r="UUJ44" s="276"/>
      <c r="UUK44" s="276"/>
      <c r="UUL44" s="276"/>
      <c r="UUM44" s="276"/>
      <c r="UUN44" s="276"/>
      <c r="UUO44" s="276"/>
      <c r="UUP44" s="276"/>
      <c r="UUQ44" s="276"/>
      <c r="UUR44" s="276"/>
      <c r="UUS44" s="276"/>
      <c r="UUT44" s="276"/>
      <c r="UUU44" s="275" t="s">
        <v>152</v>
      </c>
      <c r="UUV44" s="276"/>
      <c r="UUW44" s="276"/>
      <c r="UUX44" s="276"/>
      <c r="UUY44" s="276"/>
      <c r="UUZ44" s="276"/>
      <c r="UVA44" s="276"/>
      <c r="UVB44" s="276"/>
      <c r="UVC44" s="276"/>
      <c r="UVD44" s="276"/>
      <c r="UVE44" s="276"/>
      <c r="UVF44" s="276"/>
      <c r="UVG44" s="276"/>
      <c r="UVH44" s="276"/>
      <c r="UVI44" s="276"/>
      <c r="UVJ44" s="276"/>
      <c r="UVK44" s="275" t="s">
        <v>152</v>
      </c>
      <c r="UVL44" s="276"/>
      <c r="UVM44" s="276"/>
      <c r="UVN44" s="276"/>
      <c r="UVO44" s="276"/>
      <c r="UVP44" s="276"/>
      <c r="UVQ44" s="276"/>
      <c r="UVR44" s="276"/>
      <c r="UVS44" s="276"/>
      <c r="UVT44" s="276"/>
      <c r="UVU44" s="276"/>
      <c r="UVV44" s="276"/>
      <c r="UVW44" s="276"/>
      <c r="UVX44" s="276"/>
      <c r="UVY44" s="276"/>
      <c r="UVZ44" s="276"/>
      <c r="UWA44" s="275" t="s">
        <v>152</v>
      </c>
      <c r="UWB44" s="276"/>
      <c r="UWC44" s="276"/>
      <c r="UWD44" s="276"/>
      <c r="UWE44" s="276"/>
      <c r="UWF44" s="276"/>
      <c r="UWG44" s="276"/>
      <c r="UWH44" s="276"/>
      <c r="UWI44" s="276"/>
      <c r="UWJ44" s="276"/>
      <c r="UWK44" s="276"/>
      <c r="UWL44" s="276"/>
      <c r="UWM44" s="276"/>
      <c r="UWN44" s="276"/>
      <c r="UWO44" s="276"/>
      <c r="UWP44" s="276"/>
      <c r="UWQ44" s="275" t="s">
        <v>152</v>
      </c>
      <c r="UWR44" s="276"/>
      <c r="UWS44" s="276"/>
      <c r="UWT44" s="276"/>
      <c r="UWU44" s="276"/>
      <c r="UWV44" s="276"/>
      <c r="UWW44" s="276"/>
      <c r="UWX44" s="276"/>
      <c r="UWY44" s="276"/>
      <c r="UWZ44" s="276"/>
      <c r="UXA44" s="276"/>
      <c r="UXB44" s="276"/>
      <c r="UXC44" s="276"/>
      <c r="UXD44" s="276"/>
      <c r="UXE44" s="276"/>
      <c r="UXF44" s="276"/>
      <c r="UXG44" s="275" t="s">
        <v>152</v>
      </c>
      <c r="UXH44" s="276"/>
      <c r="UXI44" s="276"/>
      <c r="UXJ44" s="276"/>
      <c r="UXK44" s="276"/>
      <c r="UXL44" s="276"/>
      <c r="UXM44" s="276"/>
      <c r="UXN44" s="276"/>
      <c r="UXO44" s="276"/>
      <c r="UXP44" s="276"/>
      <c r="UXQ44" s="276"/>
      <c r="UXR44" s="276"/>
      <c r="UXS44" s="276"/>
      <c r="UXT44" s="276"/>
      <c r="UXU44" s="276"/>
      <c r="UXV44" s="276"/>
      <c r="UXW44" s="275" t="s">
        <v>152</v>
      </c>
      <c r="UXX44" s="276"/>
      <c r="UXY44" s="276"/>
      <c r="UXZ44" s="276"/>
      <c r="UYA44" s="276"/>
      <c r="UYB44" s="276"/>
      <c r="UYC44" s="276"/>
      <c r="UYD44" s="276"/>
      <c r="UYE44" s="276"/>
      <c r="UYF44" s="276"/>
      <c r="UYG44" s="276"/>
      <c r="UYH44" s="276"/>
      <c r="UYI44" s="276"/>
      <c r="UYJ44" s="276"/>
      <c r="UYK44" s="276"/>
      <c r="UYL44" s="276"/>
      <c r="UYM44" s="275" t="s">
        <v>152</v>
      </c>
      <c r="UYN44" s="276"/>
      <c r="UYO44" s="276"/>
      <c r="UYP44" s="276"/>
      <c r="UYQ44" s="276"/>
      <c r="UYR44" s="276"/>
      <c r="UYS44" s="276"/>
      <c r="UYT44" s="276"/>
      <c r="UYU44" s="276"/>
      <c r="UYV44" s="276"/>
      <c r="UYW44" s="276"/>
      <c r="UYX44" s="276"/>
      <c r="UYY44" s="276"/>
      <c r="UYZ44" s="276"/>
      <c r="UZA44" s="276"/>
      <c r="UZB44" s="276"/>
      <c r="UZC44" s="275" t="s">
        <v>152</v>
      </c>
      <c r="UZD44" s="276"/>
      <c r="UZE44" s="276"/>
      <c r="UZF44" s="276"/>
      <c r="UZG44" s="276"/>
      <c r="UZH44" s="276"/>
      <c r="UZI44" s="276"/>
      <c r="UZJ44" s="276"/>
      <c r="UZK44" s="276"/>
      <c r="UZL44" s="276"/>
      <c r="UZM44" s="276"/>
      <c r="UZN44" s="276"/>
      <c r="UZO44" s="276"/>
      <c r="UZP44" s="276"/>
      <c r="UZQ44" s="276"/>
      <c r="UZR44" s="276"/>
      <c r="UZS44" s="275" t="s">
        <v>152</v>
      </c>
      <c r="UZT44" s="276"/>
      <c r="UZU44" s="276"/>
      <c r="UZV44" s="276"/>
      <c r="UZW44" s="276"/>
      <c r="UZX44" s="276"/>
      <c r="UZY44" s="276"/>
      <c r="UZZ44" s="276"/>
      <c r="VAA44" s="276"/>
      <c r="VAB44" s="276"/>
      <c r="VAC44" s="276"/>
      <c r="VAD44" s="276"/>
      <c r="VAE44" s="276"/>
      <c r="VAF44" s="276"/>
      <c r="VAG44" s="276"/>
      <c r="VAH44" s="276"/>
      <c r="VAI44" s="275" t="s">
        <v>152</v>
      </c>
      <c r="VAJ44" s="276"/>
      <c r="VAK44" s="276"/>
      <c r="VAL44" s="276"/>
      <c r="VAM44" s="276"/>
      <c r="VAN44" s="276"/>
      <c r="VAO44" s="276"/>
      <c r="VAP44" s="276"/>
      <c r="VAQ44" s="276"/>
      <c r="VAR44" s="276"/>
      <c r="VAS44" s="276"/>
      <c r="VAT44" s="276"/>
      <c r="VAU44" s="276"/>
      <c r="VAV44" s="276"/>
      <c r="VAW44" s="276"/>
      <c r="VAX44" s="276"/>
      <c r="VAY44" s="275" t="s">
        <v>152</v>
      </c>
      <c r="VAZ44" s="276"/>
      <c r="VBA44" s="276"/>
      <c r="VBB44" s="276"/>
      <c r="VBC44" s="276"/>
      <c r="VBD44" s="276"/>
      <c r="VBE44" s="276"/>
      <c r="VBF44" s="276"/>
      <c r="VBG44" s="276"/>
      <c r="VBH44" s="276"/>
      <c r="VBI44" s="276"/>
      <c r="VBJ44" s="276"/>
      <c r="VBK44" s="276"/>
      <c r="VBL44" s="276"/>
      <c r="VBM44" s="276"/>
      <c r="VBN44" s="276"/>
      <c r="VBO44" s="275" t="s">
        <v>152</v>
      </c>
      <c r="VBP44" s="276"/>
      <c r="VBQ44" s="276"/>
      <c r="VBR44" s="276"/>
      <c r="VBS44" s="276"/>
      <c r="VBT44" s="276"/>
      <c r="VBU44" s="276"/>
      <c r="VBV44" s="276"/>
      <c r="VBW44" s="276"/>
      <c r="VBX44" s="276"/>
      <c r="VBY44" s="276"/>
      <c r="VBZ44" s="276"/>
      <c r="VCA44" s="276"/>
      <c r="VCB44" s="276"/>
      <c r="VCC44" s="276"/>
      <c r="VCD44" s="276"/>
      <c r="VCE44" s="275" t="s">
        <v>152</v>
      </c>
      <c r="VCF44" s="276"/>
      <c r="VCG44" s="276"/>
      <c r="VCH44" s="276"/>
      <c r="VCI44" s="276"/>
      <c r="VCJ44" s="276"/>
      <c r="VCK44" s="276"/>
      <c r="VCL44" s="276"/>
      <c r="VCM44" s="276"/>
      <c r="VCN44" s="276"/>
      <c r="VCO44" s="276"/>
      <c r="VCP44" s="276"/>
      <c r="VCQ44" s="276"/>
      <c r="VCR44" s="276"/>
      <c r="VCS44" s="276"/>
      <c r="VCT44" s="276"/>
      <c r="VCU44" s="275" t="s">
        <v>152</v>
      </c>
      <c r="VCV44" s="276"/>
      <c r="VCW44" s="276"/>
      <c r="VCX44" s="276"/>
      <c r="VCY44" s="276"/>
      <c r="VCZ44" s="276"/>
      <c r="VDA44" s="276"/>
      <c r="VDB44" s="276"/>
      <c r="VDC44" s="276"/>
      <c r="VDD44" s="276"/>
      <c r="VDE44" s="276"/>
      <c r="VDF44" s="276"/>
      <c r="VDG44" s="276"/>
      <c r="VDH44" s="276"/>
      <c r="VDI44" s="276"/>
      <c r="VDJ44" s="276"/>
      <c r="VDK44" s="275" t="s">
        <v>152</v>
      </c>
      <c r="VDL44" s="276"/>
      <c r="VDM44" s="276"/>
      <c r="VDN44" s="276"/>
      <c r="VDO44" s="276"/>
      <c r="VDP44" s="276"/>
      <c r="VDQ44" s="276"/>
      <c r="VDR44" s="276"/>
      <c r="VDS44" s="276"/>
      <c r="VDT44" s="276"/>
      <c r="VDU44" s="276"/>
      <c r="VDV44" s="276"/>
      <c r="VDW44" s="276"/>
      <c r="VDX44" s="276"/>
      <c r="VDY44" s="276"/>
      <c r="VDZ44" s="276"/>
      <c r="VEA44" s="275" t="s">
        <v>152</v>
      </c>
      <c r="VEB44" s="276"/>
      <c r="VEC44" s="276"/>
      <c r="VED44" s="276"/>
      <c r="VEE44" s="276"/>
      <c r="VEF44" s="276"/>
      <c r="VEG44" s="276"/>
      <c r="VEH44" s="276"/>
      <c r="VEI44" s="276"/>
      <c r="VEJ44" s="276"/>
      <c r="VEK44" s="276"/>
      <c r="VEL44" s="276"/>
      <c r="VEM44" s="276"/>
      <c r="VEN44" s="276"/>
      <c r="VEO44" s="276"/>
      <c r="VEP44" s="276"/>
      <c r="VEQ44" s="275" t="s">
        <v>152</v>
      </c>
      <c r="VER44" s="276"/>
      <c r="VES44" s="276"/>
      <c r="VET44" s="276"/>
      <c r="VEU44" s="276"/>
      <c r="VEV44" s="276"/>
      <c r="VEW44" s="276"/>
      <c r="VEX44" s="276"/>
      <c r="VEY44" s="276"/>
      <c r="VEZ44" s="276"/>
      <c r="VFA44" s="276"/>
      <c r="VFB44" s="276"/>
      <c r="VFC44" s="276"/>
      <c r="VFD44" s="276"/>
      <c r="VFE44" s="276"/>
      <c r="VFF44" s="276"/>
      <c r="VFG44" s="275" t="s">
        <v>152</v>
      </c>
      <c r="VFH44" s="276"/>
      <c r="VFI44" s="276"/>
      <c r="VFJ44" s="276"/>
      <c r="VFK44" s="276"/>
      <c r="VFL44" s="276"/>
      <c r="VFM44" s="276"/>
      <c r="VFN44" s="276"/>
      <c r="VFO44" s="276"/>
      <c r="VFP44" s="276"/>
      <c r="VFQ44" s="276"/>
      <c r="VFR44" s="276"/>
      <c r="VFS44" s="276"/>
      <c r="VFT44" s="276"/>
      <c r="VFU44" s="276"/>
      <c r="VFV44" s="276"/>
      <c r="VFW44" s="275" t="s">
        <v>152</v>
      </c>
      <c r="VFX44" s="276"/>
      <c r="VFY44" s="276"/>
      <c r="VFZ44" s="276"/>
      <c r="VGA44" s="276"/>
      <c r="VGB44" s="276"/>
      <c r="VGC44" s="276"/>
      <c r="VGD44" s="276"/>
      <c r="VGE44" s="276"/>
      <c r="VGF44" s="276"/>
      <c r="VGG44" s="276"/>
      <c r="VGH44" s="276"/>
      <c r="VGI44" s="276"/>
      <c r="VGJ44" s="276"/>
      <c r="VGK44" s="276"/>
      <c r="VGL44" s="276"/>
      <c r="VGM44" s="275" t="s">
        <v>152</v>
      </c>
      <c r="VGN44" s="276"/>
      <c r="VGO44" s="276"/>
      <c r="VGP44" s="276"/>
      <c r="VGQ44" s="276"/>
      <c r="VGR44" s="276"/>
      <c r="VGS44" s="276"/>
      <c r="VGT44" s="276"/>
      <c r="VGU44" s="276"/>
      <c r="VGV44" s="276"/>
      <c r="VGW44" s="276"/>
      <c r="VGX44" s="276"/>
      <c r="VGY44" s="276"/>
      <c r="VGZ44" s="276"/>
      <c r="VHA44" s="276"/>
      <c r="VHB44" s="276"/>
      <c r="VHC44" s="275" t="s">
        <v>152</v>
      </c>
      <c r="VHD44" s="276"/>
      <c r="VHE44" s="276"/>
      <c r="VHF44" s="276"/>
      <c r="VHG44" s="276"/>
      <c r="VHH44" s="276"/>
      <c r="VHI44" s="276"/>
      <c r="VHJ44" s="276"/>
      <c r="VHK44" s="276"/>
      <c r="VHL44" s="276"/>
      <c r="VHM44" s="276"/>
      <c r="VHN44" s="276"/>
      <c r="VHO44" s="276"/>
      <c r="VHP44" s="276"/>
      <c r="VHQ44" s="276"/>
      <c r="VHR44" s="276"/>
      <c r="VHS44" s="275" t="s">
        <v>152</v>
      </c>
      <c r="VHT44" s="276"/>
      <c r="VHU44" s="276"/>
      <c r="VHV44" s="276"/>
      <c r="VHW44" s="276"/>
      <c r="VHX44" s="276"/>
      <c r="VHY44" s="276"/>
      <c r="VHZ44" s="276"/>
      <c r="VIA44" s="276"/>
      <c r="VIB44" s="276"/>
      <c r="VIC44" s="276"/>
      <c r="VID44" s="276"/>
      <c r="VIE44" s="276"/>
      <c r="VIF44" s="276"/>
      <c r="VIG44" s="276"/>
      <c r="VIH44" s="276"/>
      <c r="VII44" s="275" t="s">
        <v>152</v>
      </c>
      <c r="VIJ44" s="276"/>
      <c r="VIK44" s="276"/>
      <c r="VIL44" s="276"/>
      <c r="VIM44" s="276"/>
      <c r="VIN44" s="276"/>
      <c r="VIO44" s="276"/>
      <c r="VIP44" s="276"/>
      <c r="VIQ44" s="276"/>
      <c r="VIR44" s="276"/>
      <c r="VIS44" s="276"/>
      <c r="VIT44" s="276"/>
      <c r="VIU44" s="276"/>
      <c r="VIV44" s="276"/>
      <c r="VIW44" s="276"/>
      <c r="VIX44" s="276"/>
      <c r="VIY44" s="275" t="s">
        <v>152</v>
      </c>
      <c r="VIZ44" s="276"/>
      <c r="VJA44" s="276"/>
      <c r="VJB44" s="276"/>
      <c r="VJC44" s="276"/>
      <c r="VJD44" s="276"/>
      <c r="VJE44" s="276"/>
      <c r="VJF44" s="276"/>
      <c r="VJG44" s="276"/>
      <c r="VJH44" s="276"/>
      <c r="VJI44" s="276"/>
      <c r="VJJ44" s="276"/>
      <c r="VJK44" s="276"/>
      <c r="VJL44" s="276"/>
      <c r="VJM44" s="276"/>
      <c r="VJN44" s="276"/>
      <c r="VJO44" s="275" t="s">
        <v>152</v>
      </c>
      <c r="VJP44" s="276"/>
      <c r="VJQ44" s="276"/>
      <c r="VJR44" s="276"/>
      <c r="VJS44" s="276"/>
      <c r="VJT44" s="276"/>
      <c r="VJU44" s="276"/>
      <c r="VJV44" s="276"/>
      <c r="VJW44" s="276"/>
      <c r="VJX44" s="276"/>
      <c r="VJY44" s="276"/>
      <c r="VJZ44" s="276"/>
      <c r="VKA44" s="276"/>
      <c r="VKB44" s="276"/>
      <c r="VKC44" s="276"/>
      <c r="VKD44" s="276"/>
      <c r="VKE44" s="275" t="s">
        <v>152</v>
      </c>
      <c r="VKF44" s="276"/>
      <c r="VKG44" s="276"/>
      <c r="VKH44" s="276"/>
      <c r="VKI44" s="276"/>
      <c r="VKJ44" s="276"/>
      <c r="VKK44" s="276"/>
      <c r="VKL44" s="276"/>
      <c r="VKM44" s="276"/>
      <c r="VKN44" s="276"/>
      <c r="VKO44" s="276"/>
      <c r="VKP44" s="276"/>
      <c r="VKQ44" s="276"/>
      <c r="VKR44" s="276"/>
      <c r="VKS44" s="276"/>
      <c r="VKT44" s="276"/>
      <c r="VKU44" s="275" t="s">
        <v>152</v>
      </c>
      <c r="VKV44" s="276"/>
      <c r="VKW44" s="276"/>
      <c r="VKX44" s="276"/>
      <c r="VKY44" s="276"/>
      <c r="VKZ44" s="276"/>
      <c r="VLA44" s="276"/>
      <c r="VLB44" s="276"/>
      <c r="VLC44" s="276"/>
      <c r="VLD44" s="276"/>
      <c r="VLE44" s="276"/>
      <c r="VLF44" s="276"/>
      <c r="VLG44" s="276"/>
      <c r="VLH44" s="276"/>
      <c r="VLI44" s="276"/>
      <c r="VLJ44" s="276"/>
      <c r="VLK44" s="275" t="s">
        <v>152</v>
      </c>
      <c r="VLL44" s="276"/>
      <c r="VLM44" s="276"/>
      <c r="VLN44" s="276"/>
      <c r="VLO44" s="276"/>
      <c r="VLP44" s="276"/>
      <c r="VLQ44" s="276"/>
      <c r="VLR44" s="276"/>
      <c r="VLS44" s="276"/>
      <c r="VLT44" s="276"/>
      <c r="VLU44" s="276"/>
      <c r="VLV44" s="276"/>
      <c r="VLW44" s="276"/>
      <c r="VLX44" s="276"/>
      <c r="VLY44" s="276"/>
      <c r="VLZ44" s="276"/>
      <c r="VMA44" s="275" t="s">
        <v>152</v>
      </c>
      <c r="VMB44" s="276"/>
      <c r="VMC44" s="276"/>
      <c r="VMD44" s="276"/>
      <c r="VME44" s="276"/>
      <c r="VMF44" s="276"/>
      <c r="VMG44" s="276"/>
      <c r="VMH44" s="276"/>
      <c r="VMI44" s="276"/>
      <c r="VMJ44" s="276"/>
      <c r="VMK44" s="276"/>
      <c r="VML44" s="276"/>
      <c r="VMM44" s="276"/>
      <c r="VMN44" s="276"/>
      <c r="VMO44" s="276"/>
      <c r="VMP44" s="276"/>
      <c r="VMQ44" s="275" t="s">
        <v>152</v>
      </c>
      <c r="VMR44" s="276"/>
      <c r="VMS44" s="276"/>
      <c r="VMT44" s="276"/>
      <c r="VMU44" s="276"/>
      <c r="VMV44" s="276"/>
      <c r="VMW44" s="276"/>
      <c r="VMX44" s="276"/>
      <c r="VMY44" s="276"/>
      <c r="VMZ44" s="276"/>
      <c r="VNA44" s="276"/>
      <c r="VNB44" s="276"/>
      <c r="VNC44" s="276"/>
      <c r="VND44" s="276"/>
      <c r="VNE44" s="276"/>
      <c r="VNF44" s="276"/>
      <c r="VNG44" s="275" t="s">
        <v>152</v>
      </c>
      <c r="VNH44" s="276"/>
      <c r="VNI44" s="276"/>
      <c r="VNJ44" s="276"/>
      <c r="VNK44" s="276"/>
      <c r="VNL44" s="276"/>
      <c r="VNM44" s="276"/>
      <c r="VNN44" s="276"/>
      <c r="VNO44" s="276"/>
      <c r="VNP44" s="276"/>
      <c r="VNQ44" s="276"/>
      <c r="VNR44" s="276"/>
      <c r="VNS44" s="276"/>
      <c r="VNT44" s="276"/>
      <c r="VNU44" s="276"/>
      <c r="VNV44" s="276"/>
      <c r="VNW44" s="275" t="s">
        <v>152</v>
      </c>
      <c r="VNX44" s="276"/>
      <c r="VNY44" s="276"/>
      <c r="VNZ44" s="276"/>
      <c r="VOA44" s="276"/>
      <c r="VOB44" s="276"/>
      <c r="VOC44" s="276"/>
      <c r="VOD44" s="276"/>
      <c r="VOE44" s="276"/>
      <c r="VOF44" s="276"/>
      <c r="VOG44" s="276"/>
      <c r="VOH44" s="276"/>
      <c r="VOI44" s="276"/>
      <c r="VOJ44" s="276"/>
      <c r="VOK44" s="276"/>
      <c r="VOL44" s="276"/>
      <c r="VOM44" s="275" t="s">
        <v>152</v>
      </c>
      <c r="VON44" s="276"/>
      <c r="VOO44" s="276"/>
      <c r="VOP44" s="276"/>
      <c r="VOQ44" s="276"/>
      <c r="VOR44" s="276"/>
      <c r="VOS44" s="276"/>
      <c r="VOT44" s="276"/>
      <c r="VOU44" s="276"/>
      <c r="VOV44" s="276"/>
      <c r="VOW44" s="276"/>
      <c r="VOX44" s="276"/>
      <c r="VOY44" s="276"/>
      <c r="VOZ44" s="276"/>
      <c r="VPA44" s="276"/>
      <c r="VPB44" s="276"/>
      <c r="VPC44" s="275" t="s">
        <v>152</v>
      </c>
      <c r="VPD44" s="276"/>
      <c r="VPE44" s="276"/>
      <c r="VPF44" s="276"/>
      <c r="VPG44" s="276"/>
      <c r="VPH44" s="276"/>
      <c r="VPI44" s="276"/>
      <c r="VPJ44" s="276"/>
      <c r="VPK44" s="276"/>
      <c r="VPL44" s="276"/>
      <c r="VPM44" s="276"/>
      <c r="VPN44" s="276"/>
      <c r="VPO44" s="276"/>
      <c r="VPP44" s="276"/>
      <c r="VPQ44" s="276"/>
      <c r="VPR44" s="276"/>
      <c r="VPS44" s="275" t="s">
        <v>152</v>
      </c>
      <c r="VPT44" s="276"/>
      <c r="VPU44" s="276"/>
      <c r="VPV44" s="276"/>
      <c r="VPW44" s="276"/>
      <c r="VPX44" s="276"/>
      <c r="VPY44" s="276"/>
      <c r="VPZ44" s="276"/>
      <c r="VQA44" s="276"/>
      <c r="VQB44" s="276"/>
      <c r="VQC44" s="276"/>
      <c r="VQD44" s="276"/>
      <c r="VQE44" s="276"/>
      <c r="VQF44" s="276"/>
      <c r="VQG44" s="276"/>
      <c r="VQH44" s="276"/>
      <c r="VQI44" s="275" t="s">
        <v>152</v>
      </c>
      <c r="VQJ44" s="276"/>
      <c r="VQK44" s="276"/>
      <c r="VQL44" s="276"/>
      <c r="VQM44" s="276"/>
      <c r="VQN44" s="276"/>
      <c r="VQO44" s="276"/>
      <c r="VQP44" s="276"/>
      <c r="VQQ44" s="276"/>
      <c r="VQR44" s="276"/>
      <c r="VQS44" s="276"/>
      <c r="VQT44" s="276"/>
      <c r="VQU44" s="276"/>
      <c r="VQV44" s="276"/>
      <c r="VQW44" s="276"/>
      <c r="VQX44" s="276"/>
      <c r="VQY44" s="275" t="s">
        <v>152</v>
      </c>
      <c r="VQZ44" s="276"/>
      <c r="VRA44" s="276"/>
      <c r="VRB44" s="276"/>
      <c r="VRC44" s="276"/>
      <c r="VRD44" s="276"/>
      <c r="VRE44" s="276"/>
      <c r="VRF44" s="276"/>
      <c r="VRG44" s="276"/>
      <c r="VRH44" s="276"/>
      <c r="VRI44" s="276"/>
      <c r="VRJ44" s="276"/>
      <c r="VRK44" s="276"/>
      <c r="VRL44" s="276"/>
      <c r="VRM44" s="276"/>
      <c r="VRN44" s="276"/>
      <c r="VRO44" s="275" t="s">
        <v>152</v>
      </c>
      <c r="VRP44" s="276"/>
      <c r="VRQ44" s="276"/>
      <c r="VRR44" s="276"/>
      <c r="VRS44" s="276"/>
      <c r="VRT44" s="276"/>
      <c r="VRU44" s="276"/>
      <c r="VRV44" s="276"/>
      <c r="VRW44" s="276"/>
      <c r="VRX44" s="276"/>
      <c r="VRY44" s="276"/>
      <c r="VRZ44" s="276"/>
      <c r="VSA44" s="276"/>
      <c r="VSB44" s="276"/>
      <c r="VSC44" s="276"/>
      <c r="VSD44" s="276"/>
      <c r="VSE44" s="275" t="s">
        <v>152</v>
      </c>
      <c r="VSF44" s="276"/>
      <c r="VSG44" s="276"/>
      <c r="VSH44" s="276"/>
      <c r="VSI44" s="276"/>
      <c r="VSJ44" s="276"/>
      <c r="VSK44" s="276"/>
      <c r="VSL44" s="276"/>
      <c r="VSM44" s="276"/>
      <c r="VSN44" s="276"/>
      <c r="VSO44" s="276"/>
      <c r="VSP44" s="276"/>
      <c r="VSQ44" s="276"/>
      <c r="VSR44" s="276"/>
      <c r="VSS44" s="276"/>
      <c r="VST44" s="276"/>
      <c r="VSU44" s="275" t="s">
        <v>152</v>
      </c>
      <c r="VSV44" s="276"/>
      <c r="VSW44" s="276"/>
      <c r="VSX44" s="276"/>
      <c r="VSY44" s="276"/>
      <c r="VSZ44" s="276"/>
      <c r="VTA44" s="276"/>
      <c r="VTB44" s="276"/>
      <c r="VTC44" s="276"/>
      <c r="VTD44" s="276"/>
      <c r="VTE44" s="276"/>
      <c r="VTF44" s="276"/>
      <c r="VTG44" s="276"/>
      <c r="VTH44" s="276"/>
      <c r="VTI44" s="276"/>
      <c r="VTJ44" s="276"/>
      <c r="VTK44" s="275" t="s">
        <v>152</v>
      </c>
      <c r="VTL44" s="276"/>
      <c r="VTM44" s="276"/>
      <c r="VTN44" s="276"/>
      <c r="VTO44" s="276"/>
      <c r="VTP44" s="276"/>
      <c r="VTQ44" s="276"/>
      <c r="VTR44" s="276"/>
      <c r="VTS44" s="276"/>
      <c r="VTT44" s="276"/>
      <c r="VTU44" s="276"/>
      <c r="VTV44" s="276"/>
      <c r="VTW44" s="276"/>
      <c r="VTX44" s="276"/>
      <c r="VTY44" s="276"/>
      <c r="VTZ44" s="276"/>
      <c r="VUA44" s="275" t="s">
        <v>152</v>
      </c>
      <c r="VUB44" s="276"/>
      <c r="VUC44" s="276"/>
      <c r="VUD44" s="276"/>
      <c r="VUE44" s="276"/>
      <c r="VUF44" s="276"/>
      <c r="VUG44" s="276"/>
      <c r="VUH44" s="276"/>
      <c r="VUI44" s="276"/>
      <c r="VUJ44" s="276"/>
      <c r="VUK44" s="276"/>
      <c r="VUL44" s="276"/>
      <c r="VUM44" s="276"/>
      <c r="VUN44" s="276"/>
      <c r="VUO44" s="276"/>
      <c r="VUP44" s="276"/>
      <c r="VUQ44" s="275" t="s">
        <v>152</v>
      </c>
      <c r="VUR44" s="276"/>
      <c r="VUS44" s="276"/>
      <c r="VUT44" s="276"/>
      <c r="VUU44" s="276"/>
      <c r="VUV44" s="276"/>
      <c r="VUW44" s="276"/>
      <c r="VUX44" s="276"/>
      <c r="VUY44" s="276"/>
      <c r="VUZ44" s="276"/>
      <c r="VVA44" s="276"/>
      <c r="VVB44" s="276"/>
      <c r="VVC44" s="276"/>
      <c r="VVD44" s="276"/>
      <c r="VVE44" s="276"/>
      <c r="VVF44" s="276"/>
      <c r="VVG44" s="275" t="s">
        <v>152</v>
      </c>
      <c r="VVH44" s="276"/>
      <c r="VVI44" s="276"/>
      <c r="VVJ44" s="276"/>
      <c r="VVK44" s="276"/>
      <c r="VVL44" s="276"/>
      <c r="VVM44" s="276"/>
      <c r="VVN44" s="276"/>
      <c r="VVO44" s="276"/>
      <c r="VVP44" s="276"/>
      <c r="VVQ44" s="276"/>
      <c r="VVR44" s="276"/>
      <c r="VVS44" s="276"/>
      <c r="VVT44" s="276"/>
      <c r="VVU44" s="276"/>
      <c r="VVV44" s="276"/>
      <c r="VVW44" s="275" t="s">
        <v>152</v>
      </c>
      <c r="VVX44" s="276"/>
      <c r="VVY44" s="276"/>
      <c r="VVZ44" s="276"/>
      <c r="VWA44" s="276"/>
      <c r="VWB44" s="276"/>
      <c r="VWC44" s="276"/>
      <c r="VWD44" s="276"/>
      <c r="VWE44" s="276"/>
      <c r="VWF44" s="276"/>
      <c r="VWG44" s="276"/>
      <c r="VWH44" s="276"/>
      <c r="VWI44" s="276"/>
      <c r="VWJ44" s="276"/>
      <c r="VWK44" s="276"/>
      <c r="VWL44" s="276"/>
      <c r="VWM44" s="275" t="s">
        <v>152</v>
      </c>
      <c r="VWN44" s="276"/>
      <c r="VWO44" s="276"/>
      <c r="VWP44" s="276"/>
      <c r="VWQ44" s="276"/>
      <c r="VWR44" s="276"/>
      <c r="VWS44" s="276"/>
      <c r="VWT44" s="276"/>
      <c r="VWU44" s="276"/>
      <c r="VWV44" s="276"/>
      <c r="VWW44" s="276"/>
      <c r="VWX44" s="276"/>
      <c r="VWY44" s="276"/>
      <c r="VWZ44" s="276"/>
      <c r="VXA44" s="276"/>
      <c r="VXB44" s="276"/>
      <c r="VXC44" s="275" t="s">
        <v>152</v>
      </c>
      <c r="VXD44" s="276"/>
      <c r="VXE44" s="276"/>
      <c r="VXF44" s="276"/>
      <c r="VXG44" s="276"/>
      <c r="VXH44" s="276"/>
      <c r="VXI44" s="276"/>
      <c r="VXJ44" s="276"/>
      <c r="VXK44" s="276"/>
      <c r="VXL44" s="276"/>
      <c r="VXM44" s="276"/>
      <c r="VXN44" s="276"/>
      <c r="VXO44" s="276"/>
      <c r="VXP44" s="276"/>
      <c r="VXQ44" s="276"/>
      <c r="VXR44" s="276"/>
      <c r="VXS44" s="275" t="s">
        <v>152</v>
      </c>
      <c r="VXT44" s="276"/>
      <c r="VXU44" s="276"/>
      <c r="VXV44" s="276"/>
      <c r="VXW44" s="276"/>
      <c r="VXX44" s="276"/>
      <c r="VXY44" s="276"/>
      <c r="VXZ44" s="276"/>
      <c r="VYA44" s="276"/>
      <c r="VYB44" s="276"/>
      <c r="VYC44" s="276"/>
      <c r="VYD44" s="276"/>
      <c r="VYE44" s="276"/>
      <c r="VYF44" s="276"/>
      <c r="VYG44" s="276"/>
      <c r="VYH44" s="276"/>
      <c r="VYI44" s="275" t="s">
        <v>152</v>
      </c>
      <c r="VYJ44" s="276"/>
      <c r="VYK44" s="276"/>
      <c r="VYL44" s="276"/>
      <c r="VYM44" s="276"/>
      <c r="VYN44" s="276"/>
      <c r="VYO44" s="276"/>
      <c r="VYP44" s="276"/>
      <c r="VYQ44" s="276"/>
      <c r="VYR44" s="276"/>
      <c r="VYS44" s="276"/>
      <c r="VYT44" s="276"/>
      <c r="VYU44" s="276"/>
      <c r="VYV44" s="276"/>
      <c r="VYW44" s="276"/>
      <c r="VYX44" s="276"/>
      <c r="VYY44" s="275" t="s">
        <v>152</v>
      </c>
      <c r="VYZ44" s="276"/>
      <c r="VZA44" s="276"/>
      <c r="VZB44" s="276"/>
      <c r="VZC44" s="276"/>
      <c r="VZD44" s="276"/>
      <c r="VZE44" s="276"/>
      <c r="VZF44" s="276"/>
      <c r="VZG44" s="276"/>
      <c r="VZH44" s="276"/>
      <c r="VZI44" s="276"/>
      <c r="VZJ44" s="276"/>
      <c r="VZK44" s="276"/>
      <c r="VZL44" s="276"/>
      <c r="VZM44" s="276"/>
      <c r="VZN44" s="276"/>
      <c r="VZO44" s="275" t="s">
        <v>152</v>
      </c>
      <c r="VZP44" s="276"/>
      <c r="VZQ44" s="276"/>
      <c r="VZR44" s="276"/>
      <c r="VZS44" s="276"/>
      <c r="VZT44" s="276"/>
      <c r="VZU44" s="276"/>
      <c r="VZV44" s="276"/>
      <c r="VZW44" s="276"/>
      <c r="VZX44" s="276"/>
      <c r="VZY44" s="276"/>
      <c r="VZZ44" s="276"/>
      <c r="WAA44" s="276"/>
      <c r="WAB44" s="276"/>
      <c r="WAC44" s="276"/>
      <c r="WAD44" s="276"/>
      <c r="WAE44" s="275" t="s">
        <v>152</v>
      </c>
      <c r="WAF44" s="276"/>
      <c r="WAG44" s="276"/>
      <c r="WAH44" s="276"/>
      <c r="WAI44" s="276"/>
      <c r="WAJ44" s="276"/>
      <c r="WAK44" s="276"/>
      <c r="WAL44" s="276"/>
      <c r="WAM44" s="276"/>
      <c r="WAN44" s="276"/>
      <c r="WAO44" s="276"/>
      <c r="WAP44" s="276"/>
      <c r="WAQ44" s="276"/>
      <c r="WAR44" s="276"/>
      <c r="WAS44" s="276"/>
      <c r="WAT44" s="276"/>
      <c r="WAU44" s="275" t="s">
        <v>152</v>
      </c>
      <c r="WAV44" s="276"/>
      <c r="WAW44" s="276"/>
      <c r="WAX44" s="276"/>
      <c r="WAY44" s="276"/>
      <c r="WAZ44" s="276"/>
      <c r="WBA44" s="276"/>
      <c r="WBB44" s="276"/>
      <c r="WBC44" s="276"/>
      <c r="WBD44" s="276"/>
      <c r="WBE44" s="276"/>
      <c r="WBF44" s="276"/>
      <c r="WBG44" s="276"/>
      <c r="WBH44" s="276"/>
      <c r="WBI44" s="276"/>
      <c r="WBJ44" s="276"/>
      <c r="WBK44" s="275" t="s">
        <v>152</v>
      </c>
      <c r="WBL44" s="276"/>
      <c r="WBM44" s="276"/>
      <c r="WBN44" s="276"/>
      <c r="WBO44" s="276"/>
      <c r="WBP44" s="276"/>
      <c r="WBQ44" s="276"/>
      <c r="WBR44" s="276"/>
      <c r="WBS44" s="276"/>
      <c r="WBT44" s="276"/>
      <c r="WBU44" s="276"/>
      <c r="WBV44" s="276"/>
      <c r="WBW44" s="276"/>
      <c r="WBX44" s="276"/>
      <c r="WBY44" s="276"/>
      <c r="WBZ44" s="276"/>
      <c r="WCA44" s="275" t="s">
        <v>152</v>
      </c>
      <c r="WCB44" s="276"/>
      <c r="WCC44" s="276"/>
      <c r="WCD44" s="276"/>
      <c r="WCE44" s="276"/>
      <c r="WCF44" s="276"/>
      <c r="WCG44" s="276"/>
      <c r="WCH44" s="276"/>
      <c r="WCI44" s="276"/>
      <c r="WCJ44" s="276"/>
      <c r="WCK44" s="276"/>
      <c r="WCL44" s="276"/>
      <c r="WCM44" s="276"/>
      <c r="WCN44" s="276"/>
      <c r="WCO44" s="276"/>
      <c r="WCP44" s="276"/>
      <c r="WCQ44" s="275" t="s">
        <v>152</v>
      </c>
      <c r="WCR44" s="276"/>
      <c r="WCS44" s="276"/>
      <c r="WCT44" s="276"/>
      <c r="WCU44" s="276"/>
      <c r="WCV44" s="276"/>
      <c r="WCW44" s="276"/>
      <c r="WCX44" s="276"/>
      <c r="WCY44" s="276"/>
      <c r="WCZ44" s="276"/>
      <c r="WDA44" s="276"/>
      <c r="WDB44" s="276"/>
      <c r="WDC44" s="276"/>
      <c r="WDD44" s="276"/>
      <c r="WDE44" s="276"/>
      <c r="WDF44" s="276"/>
      <c r="WDG44" s="275" t="s">
        <v>152</v>
      </c>
      <c r="WDH44" s="276"/>
      <c r="WDI44" s="276"/>
      <c r="WDJ44" s="276"/>
      <c r="WDK44" s="276"/>
      <c r="WDL44" s="276"/>
      <c r="WDM44" s="276"/>
      <c r="WDN44" s="276"/>
      <c r="WDO44" s="276"/>
      <c r="WDP44" s="276"/>
      <c r="WDQ44" s="276"/>
      <c r="WDR44" s="276"/>
      <c r="WDS44" s="276"/>
      <c r="WDT44" s="276"/>
      <c r="WDU44" s="276"/>
      <c r="WDV44" s="276"/>
      <c r="WDW44" s="275" t="s">
        <v>152</v>
      </c>
      <c r="WDX44" s="276"/>
      <c r="WDY44" s="276"/>
      <c r="WDZ44" s="276"/>
      <c r="WEA44" s="276"/>
      <c r="WEB44" s="276"/>
      <c r="WEC44" s="276"/>
      <c r="WED44" s="276"/>
      <c r="WEE44" s="276"/>
      <c r="WEF44" s="276"/>
      <c r="WEG44" s="276"/>
      <c r="WEH44" s="276"/>
      <c r="WEI44" s="276"/>
      <c r="WEJ44" s="276"/>
      <c r="WEK44" s="276"/>
      <c r="WEL44" s="276"/>
      <c r="WEM44" s="275" t="s">
        <v>152</v>
      </c>
      <c r="WEN44" s="276"/>
      <c r="WEO44" s="276"/>
      <c r="WEP44" s="276"/>
      <c r="WEQ44" s="276"/>
      <c r="WER44" s="276"/>
      <c r="WES44" s="276"/>
      <c r="WET44" s="276"/>
      <c r="WEU44" s="276"/>
      <c r="WEV44" s="276"/>
      <c r="WEW44" s="276"/>
      <c r="WEX44" s="276"/>
      <c r="WEY44" s="276"/>
      <c r="WEZ44" s="276"/>
      <c r="WFA44" s="276"/>
      <c r="WFB44" s="276"/>
      <c r="WFC44" s="275" t="s">
        <v>152</v>
      </c>
      <c r="WFD44" s="276"/>
      <c r="WFE44" s="276"/>
      <c r="WFF44" s="276"/>
      <c r="WFG44" s="276"/>
      <c r="WFH44" s="276"/>
      <c r="WFI44" s="276"/>
      <c r="WFJ44" s="276"/>
      <c r="WFK44" s="276"/>
      <c r="WFL44" s="276"/>
      <c r="WFM44" s="276"/>
      <c r="WFN44" s="276"/>
      <c r="WFO44" s="276"/>
      <c r="WFP44" s="276"/>
      <c r="WFQ44" s="276"/>
      <c r="WFR44" s="276"/>
      <c r="WFS44" s="275" t="s">
        <v>152</v>
      </c>
      <c r="WFT44" s="276"/>
      <c r="WFU44" s="276"/>
      <c r="WFV44" s="276"/>
      <c r="WFW44" s="276"/>
      <c r="WFX44" s="276"/>
      <c r="WFY44" s="276"/>
      <c r="WFZ44" s="276"/>
      <c r="WGA44" s="276"/>
      <c r="WGB44" s="276"/>
      <c r="WGC44" s="276"/>
      <c r="WGD44" s="276"/>
      <c r="WGE44" s="276"/>
      <c r="WGF44" s="276"/>
      <c r="WGG44" s="276"/>
      <c r="WGH44" s="276"/>
      <c r="WGI44" s="275" t="s">
        <v>152</v>
      </c>
      <c r="WGJ44" s="276"/>
      <c r="WGK44" s="276"/>
      <c r="WGL44" s="276"/>
      <c r="WGM44" s="276"/>
      <c r="WGN44" s="276"/>
      <c r="WGO44" s="276"/>
      <c r="WGP44" s="276"/>
      <c r="WGQ44" s="276"/>
      <c r="WGR44" s="276"/>
      <c r="WGS44" s="276"/>
      <c r="WGT44" s="276"/>
      <c r="WGU44" s="276"/>
      <c r="WGV44" s="276"/>
      <c r="WGW44" s="276"/>
      <c r="WGX44" s="276"/>
      <c r="WGY44" s="275" t="s">
        <v>152</v>
      </c>
      <c r="WGZ44" s="276"/>
      <c r="WHA44" s="276"/>
      <c r="WHB44" s="276"/>
      <c r="WHC44" s="276"/>
      <c r="WHD44" s="276"/>
      <c r="WHE44" s="276"/>
      <c r="WHF44" s="276"/>
      <c r="WHG44" s="276"/>
      <c r="WHH44" s="276"/>
      <c r="WHI44" s="276"/>
      <c r="WHJ44" s="276"/>
      <c r="WHK44" s="276"/>
      <c r="WHL44" s="276"/>
      <c r="WHM44" s="276"/>
      <c r="WHN44" s="276"/>
      <c r="WHO44" s="275" t="s">
        <v>152</v>
      </c>
      <c r="WHP44" s="276"/>
      <c r="WHQ44" s="276"/>
      <c r="WHR44" s="276"/>
      <c r="WHS44" s="276"/>
      <c r="WHT44" s="276"/>
      <c r="WHU44" s="276"/>
      <c r="WHV44" s="276"/>
      <c r="WHW44" s="276"/>
      <c r="WHX44" s="276"/>
      <c r="WHY44" s="276"/>
      <c r="WHZ44" s="276"/>
      <c r="WIA44" s="276"/>
      <c r="WIB44" s="276"/>
      <c r="WIC44" s="276"/>
      <c r="WID44" s="276"/>
      <c r="WIE44" s="275" t="s">
        <v>152</v>
      </c>
      <c r="WIF44" s="276"/>
      <c r="WIG44" s="276"/>
      <c r="WIH44" s="276"/>
      <c r="WII44" s="276"/>
      <c r="WIJ44" s="276"/>
      <c r="WIK44" s="276"/>
      <c r="WIL44" s="276"/>
      <c r="WIM44" s="276"/>
      <c r="WIN44" s="276"/>
      <c r="WIO44" s="276"/>
      <c r="WIP44" s="276"/>
      <c r="WIQ44" s="276"/>
      <c r="WIR44" s="276"/>
      <c r="WIS44" s="276"/>
      <c r="WIT44" s="276"/>
      <c r="WIU44" s="275" t="s">
        <v>152</v>
      </c>
      <c r="WIV44" s="276"/>
      <c r="WIW44" s="276"/>
      <c r="WIX44" s="276"/>
      <c r="WIY44" s="276"/>
      <c r="WIZ44" s="276"/>
      <c r="WJA44" s="276"/>
      <c r="WJB44" s="276"/>
      <c r="WJC44" s="276"/>
      <c r="WJD44" s="276"/>
      <c r="WJE44" s="276"/>
      <c r="WJF44" s="276"/>
      <c r="WJG44" s="276"/>
      <c r="WJH44" s="276"/>
      <c r="WJI44" s="276"/>
      <c r="WJJ44" s="276"/>
      <c r="WJK44" s="275" t="s">
        <v>152</v>
      </c>
      <c r="WJL44" s="276"/>
      <c r="WJM44" s="276"/>
      <c r="WJN44" s="276"/>
      <c r="WJO44" s="276"/>
      <c r="WJP44" s="276"/>
      <c r="WJQ44" s="276"/>
      <c r="WJR44" s="276"/>
      <c r="WJS44" s="276"/>
      <c r="WJT44" s="276"/>
      <c r="WJU44" s="276"/>
      <c r="WJV44" s="276"/>
      <c r="WJW44" s="276"/>
      <c r="WJX44" s="276"/>
      <c r="WJY44" s="276"/>
      <c r="WJZ44" s="276"/>
      <c r="WKA44" s="275" t="s">
        <v>152</v>
      </c>
      <c r="WKB44" s="276"/>
      <c r="WKC44" s="276"/>
      <c r="WKD44" s="276"/>
      <c r="WKE44" s="276"/>
      <c r="WKF44" s="276"/>
      <c r="WKG44" s="276"/>
      <c r="WKH44" s="276"/>
      <c r="WKI44" s="276"/>
      <c r="WKJ44" s="276"/>
      <c r="WKK44" s="276"/>
      <c r="WKL44" s="276"/>
      <c r="WKM44" s="276"/>
      <c r="WKN44" s="276"/>
      <c r="WKO44" s="276"/>
      <c r="WKP44" s="276"/>
      <c r="WKQ44" s="275" t="s">
        <v>152</v>
      </c>
      <c r="WKR44" s="276"/>
      <c r="WKS44" s="276"/>
      <c r="WKT44" s="276"/>
      <c r="WKU44" s="276"/>
      <c r="WKV44" s="276"/>
      <c r="WKW44" s="276"/>
      <c r="WKX44" s="276"/>
      <c r="WKY44" s="276"/>
      <c r="WKZ44" s="276"/>
      <c r="WLA44" s="276"/>
      <c r="WLB44" s="276"/>
      <c r="WLC44" s="276"/>
      <c r="WLD44" s="276"/>
      <c r="WLE44" s="276"/>
      <c r="WLF44" s="276"/>
      <c r="WLG44" s="275" t="s">
        <v>152</v>
      </c>
      <c r="WLH44" s="276"/>
      <c r="WLI44" s="276"/>
      <c r="WLJ44" s="276"/>
      <c r="WLK44" s="276"/>
      <c r="WLL44" s="276"/>
      <c r="WLM44" s="276"/>
      <c r="WLN44" s="276"/>
      <c r="WLO44" s="276"/>
      <c r="WLP44" s="276"/>
      <c r="WLQ44" s="276"/>
      <c r="WLR44" s="276"/>
      <c r="WLS44" s="276"/>
      <c r="WLT44" s="276"/>
      <c r="WLU44" s="276"/>
      <c r="WLV44" s="276"/>
      <c r="WLW44" s="275" t="s">
        <v>152</v>
      </c>
      <c r="WLX44" s="276"/>
      <c r="WLY44" s="276"/>
      <c r="WLZ44" s="276"/>
      <c r="WMA44" s="276"/>
      <c r="WMB44" s="276"/>
      <c r="WMC44" s="276"/>
      <c r="WMD44" s="276"/>
      <c r="WME44" s="276"/>
      <c r="WMF44" s="276"/>
      <c r="WMG44" s="276"/>
      <c r="WMH44" s="276"/>
      <c r="WMI44" s="276"/>
      <c r="WMJ44" s="276"/>
      <c r="WMK44" s="276"/>
      <c r="WML44" s="276"/>
      <c r="WMM44" s="275" t="s">
        <v>152</v>
      </c>
      <c r="WMN44" s="276"/>
      <c r="WMO44" s="276"/>
      <c r="WMP44" s="276"/>
      <c r="WMQ44" s="276"/>
      <c r="WMR44" s="276"/>
      <c r="WMS44" s="276"/>
      <c r="WMT44" s="276"/>
      <c r="WMU44" s="276"/>
      <c r="WMV44" s="276"/>
      <c r="WMW44" s="276"/>
      <c r="WMX44" s="276"/>
      <c r="WMY44" s="276"/>
      <c r="WMZ44" s="276"/>
      <c r="WNA44" s="276"/>
      <c r="WNB44" s="276"/>
      <c r="WNC44" s="275" t="s">
        <v>152</v>
      </c>
      <c r="WND44" s="276"/>
      <c r="WNE44" s="276"/>
      <c r="WNF44" s="276"/>
      <c r="WNG44" s="276"/>
      <c r="WNH44" s="276"/>
      <c r="WNI44" s="276"/>
      <c r="WNJ44" s="276"/>
      <c r="WNK44" s="276"/>
      <c r="WNL44" s="276"/>
      <c r="WNM44" s="276"/>
      <c r="WNN44" s="276"/>
      <c r="WNO44" s="276"/>
      <c r="WNP44" s="276"/>
      <c r="WNQ44" s="276"/>
      <c r="WNR44" s="276"/>
      <c r="WNS44" s="275" t="s">
        <v>152</v>
      </c>
      <c r="WNT44" s="276"/>
      <c r="WNU44" s="276"/>
      <c r="WNV44" s="276"/>
      <c r="WNW44" s="276"/>
      <c r="WNX44" s="276"/>
      <c r="WNY44" s="276"/>
      <c r="WNZ44" s="276"/>
      <c r="WOA44" s="276"/>
      <c r="WOB44" s="276"/>
      <c r="WOC44" s="276"/>
      <c r="WOD44" s="276"/>
      <c r="WOE44" s="276"/>
      <c r="WOF44" s="276"/>
      <c r="WOG44" s="276"/>
      <c r="WOH44" s="276"/>
      <c r="WOI44" s="275" t="s">
        <v>152</v>
      </c>
      <c r="WOJ44" s="276"/>
      <c r="WOK44" s="276"/>
      <c r="WOL44" s="276"/>
      <c r="WOM44" s="276"/>
      <c r="WON44" s="276"/>
      <c r="WOO44" s="276"/>
      <c r="WOP44" s="276"/>
      <c r="WOQ44" s="276"/>
      <c r="WOR44" s="276"/>
      <c r="WOS44" s="276"/>
      <c r="WOT44" s="276"/>
      <c r="WOU44" s="276"/>
      <c r="WOV44" s="276"/>
      <c r="WOW44" s="276"/>
      <c r="WOX44" s="276"/>
      <c r="WOY44" s="275" t="s">
        <v>152</v>
      </c>
      <c r="WOZ44" s="276"/>
      <c r="WPA44" s="276"/>
      <c r="WPB44" s="276"/>
      <c r="WPC44" s="276"/>
      <c r="WPD44" s="276"/>
      <c r="WPE44" s="276"/>
      <c r="WPF44" s="276"/>
      <c r="WPG44" s="276"/>
      <c r="WPH44" s="276"/>
      <c r="WPI44" s="276"/>
      <c r="WPJ44" s="276"/>
      <c r="WPK44" s="276"/>
      <c r="WPL44" s="276"/>
      <c r="WPM44" s="276"/>
      <c r="WPN44" s="276"/>
      <c r="WPO44" s="275" t="s">
        <v>152</v>
      </c>
      <c r="WPP44" s="276"/>
      <c r="WPQ44" s="276"/>
      <c r="WPR44" s="276"/>
      <c r="WPS44" s="276"/>
      <c r="WPT44" s="276"/>
      <c r="WPU44" s="276"/>
      <c r="WPV44" s="276"/>
      <c r="WPW44" s="276"/>
      <c r="WPX44" s="276"/>
      <c r="WPY44" s="276"/>
      <c r="WPZ44" s="276"/>
      <c r="WQA44" s="276"/>
      <c r="WQB44" s="276"/>
      <c r="WQC44" s="276"/>
      <c r="WQD44" s="276"/>
      <c r="WQE44" s="275" t="s">
        <v>152</v>
      </c>
      <c r="WQF44" s="276"/>
      <c r="WQG44" s="276"/>
      <c r="WQH44" s="276"/>
      <c r="WQI44" s="276"/>
      <c r="WQJ44" s="276"/>
      <c r="WQK44" s="276"/>
      <c r="WQL44" s="276"/>
      <c r="WQM44" s="276"/>
      <c r="WQN44" s="276"/>
      <c r="WQO44" s="276"/>
      <c r="WQP44" s="276"/>
      <c r="WQQ44" s="276"/>
      <c r="WQR44" s="276"/>
      <c r="WQS44" s="276"/>
      <c r="WQT44" s="276"/>
      <c r="WQU44" s="275" t="s">
        <v>152</v>
      </c>
      <c r="WQV44" s="276"/>
      <c r="WQW44" s="276"/>
      <c r="WQX44" s="276"/>
      <c r="WQY44" s="276"/>
      <c r="WQZ44" s="276"/>
      <c r="WRA44" s="276"/>
      <c r="WRB44" s="276"/>
      <c r="WRC44" s="276"/>
      <c r="WRD44" s="276"/>
      <c r="WRE44" s="276"/>
      <c r="WRF44" s="276"/>
      <c r="WRG44" s="276"/>
      <c r="WRH44" s="276"/>
      <c r="WRI44" s="276"/>
      <c r="WRJ44" s="276"/>
      <c r="WRK44" s="275" t="s">
        <v>152</v>
      </c>
      <c r="WRL44" s="276"/>
      <c r="WRM44" s="276"/>
      <c r="WRN44" s="276"/>
      <c r="WRO44" s="276"/>
      <c r="WRP44" s="276"/>
      <c r="WRQ44" s="276"/>
      <c r="WRR44" s="276"/>
      <c r="WRS44" s="276"/>
      <c r="WRT44" s="276"/>
      <c r="WRU44" s="276"/>
      <c r="WRV44" s="276"/>
      <c r="WRW44" s="276"/>
      <c r="WRX44" s="276"/>
      <c r="WRY44" s="276"/>
      <c r="WRZ44" s="276"/>
      <c r="WSA44" s="275" t="s">
        <v>152</v>
      </c>
      <c r="WSB44" s="276"/>
      <c r="WSC44" s="276"/>
      <c r="WSD44" s="276"/>
      <c r="WSE44" s="276"/>
      <c r="WSF44" s="276"/>
      <c r="WSG44" s="276"/>
      <c r="WSH44" s="276"/>
      <c r="WSI44" s="276"/>
      <c r="WSJ44" s="276"/>
      <c r="WSK44" s="276"/>
      <c r="WSL44" s="276"/>
      <c r="WSM44" s="276"/>
      <c r="WSN44" s="276"/>
      <c r="WSO44" s="276"/>
      <c r="WSP44" s="276"/>
      <c r="WSQ44" s="275" t="s">
        <v>152</v>
      </c>
      <c r="WSR44" s="276"/>
      <c r="WSS44" s="276"/>
      <c r="WST44" s="276"/>
      <c r="WSU44" s="276"/>
      <c r="WSV44" s="276"/>
      <c r="WSW44" s="276"/>
      <c r="WSX44" s="276"/>
      <c r="WSY44" s="276"/>
      <c r="WSZ44" s="276"/>
      <c r="WTA44" s="276"/>
      <c r="WTB44" s="276"/>
      <c r="WTC44" s="276"/>
      <c r="WTD44" s="276"/>
      <c r="WTE44" s="276"/>
      <c r="WTF44" s="276"/>
      <c r="WTG44" s="275" t="s">
        <v>152</v>
      </c>
      <c r="WTH44" s="276"/>
      <c r="WTI44" s="276"/>
      <c r="WTJ44" s="276"/>
      <c r="WTK44" s="276"/>
      <c r="WTL44" s="276"/>
      <c r="WTM44" s="276"/>
      <c r="WTN44" s="276"/>
      <c r="WTO44" s="276"/>
      <c r="WTP44" s="276"/>
      <c r="WTQ44" s="276"/>
      <c r="WTR44" s="276"/>
      <c r="WTS44" s="276"/>
      <c r="WTT44" s="276"/>
      <c r="WTU44" s="276"/>
      <c r="WTV44" s="276"/>
      <c r="WTW44" s="275" t="s">
        <v>152</v>
      </c>
      <c r="WTX44" s="276"/>
      <c r="WTY44" s="276"/>
      <c r="WTZ44" s="276"/>
      <c r="WUA44" s="276"/>
      <c r="WUB44" s="276"/>
      <c r="WUC44" s="276"/>
      <c r="WUD44" s="276"/>
      <c r="WUE44" s="276"/>
      <c r="WUF44" s="276"/>
      <c r="WUG44" s="276"/>
      <c r="WUH44" s="276"/>
      <c r="WUI44" s="276"/>
      <c r="WUJ44" s="276"/>
      <c r="WUK44" s="276"/>
      <c r="WUL44" s="276"/>
      <c r="WUM44" s="275" t="s">
        <v>152</v>
      </c>
      <c r="WUN44" s="276"/>
      <c r="WUO44" s="276"/>
      <c r="WUP44" s="276"/>
      <c r="WUQ44" s="276"/>
      <c r="WUR44" s="276"/>
      <c r="WUS44" s="276"/>
      <c r="WUT44" s="276"/>
      <c r="WUU44" s="276"/>
      <c r="WUV44" s="276"/>
      <c r="WUW44" s="276"/>
      <c r="WUX44" s="276"/>
      <c r="WUY44" s="276"/>
      <c r="WUZ44" s="276"/>
      <c r="WVA44" s="276"/>
      <c r="WVB44" s="276"/>
      <c r="WVC44" s="275" t="s">
        <v>152</v>
      </c>
      <c r="WVD44" s="276"/>
      <c r="WVE44" s="276"/>
      <c r="WVF44" s="276"/>
      <c r="WVG44" s="276"/>
      <c r="WVH44" s="276"/>
      <c r="WVI44" s="276"/>
      <c r="WVJ44" s="276"/>
      <c r="WVK44" s="276"/>
      <c r="WVL44" s="276"/>
      <c r="WVM44" s="276"/>
      <c r="WVN44" s="276"/>
      <c r="WVO44" s="276"/>
      <c r="WVP44" s="276"/>
      <c r="WVQ44" s="276"/>
      <c r="WVR44" s="276"/>
      <c r="WVS44" s="275" t="s">
        <v>152</v>
      </c>
      <c r="WVT44" s="276"/>
      <c r="WVU44" s="276"/>
      <c r="WVV44" s="276"/>
      <c r="WVW44" s="276"/>
      <c r="WVX44" s="276"/>
      <c r="WVY44" s="276"/>
      <c r="WVZ44" s="276"/>
      <c r="WWA44" s="276"/>
      <c r="WWB44" s="276"/>
      <c r="WWC44" s="276"/>
      <c r="WWD44" s="276"/>
      <c r="WWE44" s="276"/>
      <c r="WWF44" s="276"/>
      <c r="WWG44" s="276"/>
      <c r="WWH44" s="276"/>
      <c r="WWI44" s="275" t="s">
        <v>152</v>
      </c>
      <c r="WWJ44" s="276"/>
      <c r="WWK44" s="276"/>
      <c r="WWL44" s="276"/>
      <c r="WWM44" s="276"/>
      <c r="WWN44" s="276"/>
      <c r="WWO44" s="276"/>
      <c r="WWP44" s="276"/>
      <c r="WWQ44" s="276"/>
      <c r="WWR44" s="276"/>
      <c r="WWS44" s="276"/>
      <c r="WWT44" s="276"/>
      <c r="WWU44" s="276"/>
      <c r="WWV44" s="276"/>
      <c r="WWW44" s="276"/>
      <c r="WWX44" s="276"/>
      <c r="WWY44" s="275" t="s">
        <v>152</v>
      </c>
      <c r="WWZ44" s="276"/>
      <c r="WXA44" s="276"/>
      <c r="WXB44" s="276"/>
      <c r="WXC44" s="276"/>
      <c r="WXD44" s="276"/>
      <c r="WXE44" s="276"/>
      <c r="WXF44" s="276"/>
      <c r="WXG44" s="276"/>
      <c r="WXH44" s="276"/>
      <c r="WXI44" s="276"/>
      <c r="WXJ44" s="276"/>
      <c r="WXK44" s="276"/>
      <c r="WXL44" s="276"/>
      <c r="WXM44" s="276"/>
      <c r="WXN44" s="276"/>
      <c r="WXO44" s="275" t="s">
        <v>152</v>
      </c>
      <c r="WXP44" s="276"/>
      <c r="WXQ44" s="276"/>
      <c r="WXR44" s="276"/>
      <c r="WXS44" s="276"/>
      <c r="WXT44" s="276"/>
      <c r="WXU44" s="276"/>
      <c r="WXV44" s="276"/>
      <c r="WXW44" s="276"/>
      <c r="WXX44" s="276"/>
      <c r="WXY44" s="276"/>
      <c r="WXZ44" s="276"/>
      <c r="WYA44" s="276"/>
      <c r="WYB44" s="276"/>
      <c r="WYC44" s="276"/>
      <c r="WYD44" s="276"/>
      <c r="WYE44" s="275" t="s">
        <v>152</v>
      </c>
      <c r="WYF44" s="276"/>
      <c r="WYG44" s="276"/>
      <c r="WYH44" s="276"/>
      <c r="WYI44" s="276"/>
      <c r="WYJ44" s="276"/>
      <c r="WYK44" s="276"/>
      <c r="WYL44" s="276"/>
      <c r="WYM44" s="276"/>
      <c r="WYN44" s="276"/>
      <c r="WYO44" s="276"/>
      <c r="WYP44" s="276"/>
      <c r="WYQ44" s="276"/>
      <c r="WYR44" s="276"/>
      <c r="WYS44" s="276"/>
      <c r="WYT44" s="276"/>
      <c r="WYU44" s="275" t="s">
        <v>152</v>
      </c>
      <c r="WYV44" s="276"/>
      <c r="WYW44" s="276"/>
      <c r="WYX44" s="276"/>
      <c r="WYY44" s="276"/>
      <c r="WYZ44" s="276"/>
      <c r="WZA44" s="276"/>
      <c r="WZB44" s="276"/>
      <c r="WZC44" s="276"/>
      <c r="WZD44" s="276"/>
      <c r="WZE44" s="276"/>
      <c r="WZF44" s="276"/>
      <c r="WZG44" s="276"/>
      <c r="WZH44" s="276"/>
      <c r="WZI44" s="276"/>
      <c r="WZJ44" s="276"/>
      <c r="WZK44" s="275" t="s">
        <v>152</v>
      </c>
      <c r="WZL44" s="276"/>
      <c r="WZM44" s="276"/>
      <c r="WZN44" s="276"/>
      <c r="WZO44" s="276"/>
      <c r="WZP44" s="276"/>
      <c r="WZQ44" s="276"/>
      <c r="WZR44" s="276"/>
      <c r="WZS44" s="276"/>
      <c r="WZT44" s="276"/>
      <c r="WZU44" s="276"/>
      <c r="WZV44" s="276"/>
      <c r="WZW44" s="276"/>
      <c r="WZX44" s="276"/>
      <c r="WZY44" s="276"/>
      <c r="WZZ44" s="276"/>
      <c r="XAA44" s="275" t="s">
        <v>152</v>
      </c>
      <c r="XAB44" s="276"/>
      <c r="XAC44" s="276"/>
      <c r="XAD44" s="276"/>
      <c r="XAE44" s="276"/>
      <c r="XAF44" s="276"/>
      <c r="XAG44" s="276"/>
      <c r="XAH44" s="276"/>
      <c r="XAI44" s="276"/>
      <c r="XAJ44" s="276"/>
      <c r="XAK44" s="276"/>
      <c r="XAL44" s="276"/>
      <c r="XAM44" s="276"/>
      <c r="XAN44" s="276"/>
      <c r="XAO44" s="276"/>
      <c r="XAP44" s="276"/>
      <c r="XAQ44" s="275" t="s">
        <v>152</v>
      </c>
      <c r="XAR44" s="276"/>
      <c r="XAS44" s="276"/>
      <c r="XAT44" s="276"/>
      <c r="XAU44" s="276"/>
      <c r="XAV44" s="276"/>
      <c r="XAW44" s="276"/>
      <c r="XAX44" s="276"/>
      <c r="XAY44" s="276"/>
      <c r="XAZ44" s="276"/>
      <c r="XBA44" s="276"/>
      <c r="XBB44" s="276"/>
      <c r="XBC44" s="276"/>
      <c r="XBD44" s="276"/>
      <c r="XBE44" s="276"/>
      <c r="XBF44" s="276"/>
      <c r="XBG44" s="275" t="s">
        <v>152</v>
      </c>
      <c r="XBH44" s="276"/>
      <c r="XBI44" s="276"/>
      <c r="XBJ44" s="276"/>
      <c r="XBK44" s="276"/>
      <c r="XBL44" s="276"/>
      <c r="XBM44" s="276"/>
      <c r="XBN44" s="276"/>
      <c r="XBO44" s="276"/>
      <c r="XBP44" s="276"/>
      <c r="XBQ44" s="276"/>
      <c r="XBR44" s="276"/>
      <c r="XBS44" s="276"/>
      <c r="XBT44" s="276"/>
      <c r="XBU44" s="276"/>
      <c r="XBV44" s="276"/>
      <c r="XBW44" s="275" t="s">
        <v>152</v>
      </c>
      <c r="XBX44" s="276"/>
      <c r="XBY44" s="276"/>
      <c r="XBZ44" s="276"/>
      <c r="XCA44" s="276"/>
      <c r="XCB44" s="276"/>
      <c r="XCC44" s="276"/>
      <c r="XCD44" s="276"/>
      <c r="XCE44" s="276"/>
      <c r="XCF44" s="276"/>
      <c r="XCG44" s="276"/>
      <c r="XCH44" s="276"/>
      <c r="XCI44" s="276"/>
      <c r="XCJ44" s="276"/>
      <c r="XCK44" s="276"/>
      <c r="XCL44" s="276"/>
      <c r="XCM44" s="275" t="s">
        <v>152</v>
      </c>
      <c r="XCN44" s="276"/>
      <c r="XCO44" s="276"/>
      <c r="XCP44" s="276"/>
      <c r="XCQ44" s="276"/>
      <c r="XCR44" s="276"/>
      <c r="XCS44" s="276"/>
      <c r="XCT44" s="276"/>
      <c r="XCU44" s="276"/>
      <c r="XCV44" s="276"/>
      <c r="XCW44" s="276"/>
      <c r="XCX44" s="276"/>
      <c r="XCY44" s="276"/>
      <c r="XCZ44" s="276"/>
      <c r="XDA44" s="276"/>
      <c r="XDB44" s="276"/>
    </row>
    <row r="45" spans="1:16330" ht="20.25" customHeight="1">
      <c r="A45" s="259" t="s">
        <v>17</v>
      </c>
      <c r="B45" s="259"/>
      <c r="C45" s="259"/>
      <c r="D45" s="259"/>
      <c r="E45" s="259"/>
      <c r="F45" s="259"/>
      <c r="G45" s="259"/>
      <c r="H45" s="259"/>
      <c r="I45" s="259"/>
      <c r="J45" s="259"/>
      <c r="K45" s="259"/>
      <c r="L45" s="259"/>
      <c r="M45" s="259"/>
      <c r="N45" s="259"/>
      <c r="O45" s="259"/>
      <c r="P45" s="259"/>
    </row>
    <row r="46" spans="1:16330" ht="85.5">
      <c r="A46" s="25" t="s">
        <v>0</v>
      </c>
      <c r="B46" s="25" t="s">
        <v>105</v>
      </c>
      <c r="C46" s="25" t="s">
        <v>1</v>
      </c>
      <c r="D46" s="25" t="s">
        <v>106</v>
      </c>
      <c r="E46" s="25" t="s">
        <v>3</v>
      </c>
      <c r="F46" s="25" t="s">
        <v>4</v>
      </c>
      <c r="G46" s="25" t="s">
        <v>107</v>
      </c>
      <c r="H46" s="25" t="s">
        <v>108</v>
      </c>
      <c r="I46" s="25" t="s">
        <v>99</v>
      </c>
      <c r="J46" s="25" t="s">
        <v>5</v>
      </c>
      <c r="K46" s="25" t="s">
        <v>6</v>
      </c>
      <c r="L46" s="25" t="s">
        <v>7</v>
      </c>
      <c r="M46" s="26" t="s">
        <v>8</v>
      </c>
      <c r="N46" s="26" t="s">
        <v>9</v>
      </c>
      <c r="O46" s="25" t="s">
        <v>10</v>
      </c>
      <c r="P46" s="24" t="s">
        <v>11</v>
      </c>
    </row>
    <row r="47" spans="1:16330">
      <c r="A47" s="1">
        <v>1</v>
      </c>
      <c r="B47" s="25">
        <v>2</v>
      </c>
      <c r="C47" s="25">
        <v>3</v>
      </c>
      <c r="D47" s="25">
        <v>4</v>
      </c>
      <c r="E47" s="25">
        <v>5</v>
      </c>
      <c r="F47" s="25">
        <v>6</v>
      </c>
      <c r="G47" s="25">
        <v>7</v>
      </c>
      <c r="H47" s="25">
        <v>8</v>
      </c>
      <c r="I47" s="25">
        <v>9</v>
      </c>
      <c r="J47" s="25">
        <v>10</v>
      </c>
      <c r="K47" s="25">
        <v>11</v>
      </c>
      <c r="L47" s="25">
        <v>12</v>
      </c>
      <c r="M47" s="25">
        <v>13</v>
      </c>
      <c r="N47" s="25">
        <v>14</v>
      </c>
      <c r="O47" s="25">
        <v>15</v>
      </c>
      <c r="P47" s="25">
        <v>16</v>
      </c>
    </row>
    <row r="48" spans="1:16330" customFormat="1" ht="30">
      <c r="A48" s="211">
        <v>1</v>
      </c>
      <c r="B48" s="211" t="s">
        <v>144</v>
      </c>
      <c r="C48" s="265" t="s">
        <v>27</v>
      </c>
      <c r="D48" s="265"/>
      <c r="E48" s="265"/>
      <c r="F48" s="265"/>
      <c r="G48" s="265"/>
      <c r="H48" s="265"/>
      <c r="I48" s="265"/>
      <c r="J48" s="265"/>
      <c r="K48" s="265"/>
      <c r="L48" s="265"/>
      <c r="M48" s="265"/>
      <c r="N48" s="265"/>
      <c r="O48" s="265"/>
      <c r="P48" s="265"/>
    </row>
    <row r="49" spans="1:16" customFormat="1">
      <c r="A49" s="211">
        <v>2</v>
      </c>
      <c r="B49" s="211" t="s">
        <v>145</v>
      </c>
      <c r="C49" s="265" t="s">
        <v>27</v>
      </c>
      <c r="D49" s="265"/>
      <c r="E49" s="265"/>
      <c r="F49" s="265"/>
      <c r="G49" s="265"/>
      <c r="H49" s="265"/>
      <c r="I49" s="265"/>
      <c r="J49" s="265"/>
      <c r="K49" s="265"/>
      <c r="L49" s="265"/>
      <c r="M49" s="265"/>
      <c r="N49" s="265"/>
      <c r="O49" s="265"/>
      <c r="P49" s="265"/>
    </row>
    <row r="50" spans="1:16" customFormat="1">
      <c r="A50" s="211">
        <v>3</v>
      </c>
      <c r="B50" s="211" t="s">
        <v>146</v>
      </c>
      <c r="C50" s="265" t="s">
        <v>27</v>
      </c>
      <c r="D50" s="265"/>
      <c r="E50" s="265"/>
      <c r="F50" s="265"/>
      <c r="G50" s="265"/>
      <c r="H50" s="265"/>
      <c r="I50" s="265"/>
      <c r="J50" s="265"/>
      <c r="K50" s="265"/>
      <c r="L50" s="265"/>
      <c r="M50" s="265"/>
      <c r="N50" s="265"/>
      <c r="O50" s="265"/>
      <c r="P50" s="265"/>
    </row>
    <row r="51" spans="1:16" customFormat="1">
      <c r="A51" s="211">
        <v>4</v>
      </c>
      <c r="B51" s="211" t="s">
        <v>147</v>
      </c>
      <c r="C51" s="265" t="s">
        <v>27</v>
      </c>
      <c r="D51" s="265"/>
      <c r="E51" s="265"/>
      <c r="F51" s="265"/>
      <c r="G51" s="265"/>
      <c r="H51" s="265"/>
      <c r="I51" s="265"/>
      <c r="J51" s="265"/>
      <c r="K51" s="265"/>
      <c r="L51" s="265"/>
      <c r="M51" s="265"/>
      <c r="N51" s="265"/>
      <c r="O51" s="265"/>
      <c r="P51" s="265"/>
    </row>
    <row r="52" spans="1:16" customFormat="1">
      <c r="A52" s="211">
        <v>5</v>
      </c>
      <c r="B52" s="211" t="s">
        <v>148</v>
      </c>
      <c r="C52" s="265" t="s">
        <v>27</v>
      </c>
      <c r="D52" s="265"/>
      <c r="E52" s="265"/>
      <c r="F52" s="265"/>
      <c r="G52" s="265"/>
      <c r="H52" s="265"/>
      <c r="I52" s="265"/>
      <c r="J52" s="265"/>
      <c r="K52" s="265"/>
      <c r="L52" s="265"/>
      <c r="M52" s="265"/>
      <c r="N52" s="265"/>
      <c r="O52" s="265"/>
      <c r="P52" s="265"/>
    </row>
    <row r="53" spans="1:16" customFormat="1">
      <c r="A53" s="211">
        <v>6</v>
      </c>
      <c r="B53" s="211" t="s">
        <v>149</v>
      </c>
      <c r="C53" s="265" t="s">
        <v>27</v>
      </c>
      <c r="D53" s="265"/>
      <c r="E53" s="265"/>
      <c r="F53" s="265"/>
      <c r="G53" s="265"/>
      <c r="H53" s="265"/>
      <c r="I53" s="265"/>
      <c r="J53" s="265"/>
      <c r="K53" s="265"/>
      <c r="L53" s="265"/>
      <c r="M53" s="265"/>
      <c r="N53" s="265"/>
      <c r="O53" s="265"/>
      <c r="P53" s="265"/>
    </row>
    <row r="54" spans="1:16" customFormat="1">
      <c r="A54" s="211">
        <v>7</v>
      </c>
      <c r="B54" s="211" t="s">
        <v>150</v>
      </c>
      <c r="C54" s="265" t="s">
        <v>27</v>
      </c>
      <c r="D54" s="265"/>
      <c r="E54" s="265"/>
      <c r="F54" s="265"/>
      <c r="G54" s="265"/>
      <c r="H54" s="265"/>
      <c r="I54" s="265"/>
      <c r="J54" s="265"/>
      <c r="K54" s="265"/>
      <c r="L54" s="265"/>
      <c r="M54" s="265"/>
      <c r="N54" s="265"/>
      <c r="O54" s="265"/>
      <c r="P54" s="265"/>
    </row>
    <row r="55" spans="1:16" customFormat="1">
      <c r="A55" s="211">
        <v>8</v>
      </c>
      <c r="B55" s="211" t="s">
        <v>151</v>
      </c>
      <c r="C55" s="265" t="s">
        <v>27</v>
      </c>
      <c r="D55" s="265"/>
      <c r="E55" s="265"/>
      <c r="F55" s="265"/>
      <c r="G55" s="265"/>
      <c r="H55" s="265"/>
      <c r="I55" s="265"/>
      <c r="J55" s="265"/>
      <c r="K55" s="265"/>
      <c r="L55" s="265"/>
      <c r="M55" s="265"/>
      <c r="N55" s="265"/>
      <c r="O55" s="265"/>
      <c r="P55" s="265"/>
    </row>
    <row r="56" spans="1:16">
      <c r="A56" s="287"/>
      <c r="B56" s="287"/>
      <c r="C56" s="287"/>
      <c r="D56" s="287"/>
      <c r="E56" s="287"/>
      <c r="F56" s="287"/>
      <c r="G56" s="287"/>
      <c r="H56" s="287"/>
      <c r="I56" s="287"/>
      <c r="J56" s="287"/>
      <c r="K56" s="287"/>
      <c r="L56" s="287"/>
      <c r="M56" s="287"/>
      <c r="N56" s="287"/>
      <c r="O56" s="287"/>
      <c r="P56" s="287"/>
    </row>
    <row r="57" spans="1:16" ht="20.25" customHeight="1">
      <c r="A57" s="259" t="s">
        <v>28</v>
      </c>
      <c r="B57" s="259"/>
      <c r="C57" s="259"/>
      <c r="D57" s="259"/>
      <c r="E57" s="259"/>
      <c r="F57" s="259"/>
      <c r="G57" s="259"/>
      <c r="H57" s="259"/>
      <c r="I57" s="259"/>
      <c r="J57" s="259"/>
      <c r="K57" s="259"/>
      <c r="L57" s="259"/>
      <c r="M57" s="259"/>
      <c r="N57" s="259"/>
      <c r="O57" s="259"/>
      <c r="P57" s="293"/>
    </row>
    <row r="58" spans="1:16" ht="85.5" customHeight="1">
      <c r="A58" s="25" t="s">
        <v>0</v>
      </c>
      <c r="B58" s="25" t="s">
        <v>102</v>
      </c>
      <c r="C58" s="25" t="s">
        <v>1</v>
      </c>
      <c r="D58" s="25" t="s">
        <v>109</v>
      </c>
      <c r="E58" s="26" t="s">
        <v>19</v>
      </c>
      <c r="F58" s="26" t="s">
        <v>20</v>
      </c>
      <c r="G58" s="25" t="s">
        <v>100</v>
      </c>
      <c r="H58" s="25" t="s">
        <v>101</v>
      </c>
      <c r="I58" s="25" t="s">
        <v>103</v>
      </c>
      <c r="J58" s="25" t="s">
        <v>5</v>
      </c>
      <c r="K58" s="25" t="s">
        <v>6</v>
      </c>
      <c r="L58" s="25" t="s">
        <v>23</v>
      </c>
      <c r="M58" s="25" t="s">
        <v>24</v>
      </c>
      <c r="N58" s="26" t="s">
        <v>25</v>
      </c>
      <c r="O58" s="24" t="s">
        <v>26</v>
      </c>
      <c r="P58" s="293"/>
    </row>
    <row r="59" spans="1:16" ht="15" customHeight="1">
      <c r="A59" s="224">
        <v>1</v>
      </c>
      <c r="B59" s="224">
        <v>2</v>
      </c>
      <c r="C59" s="224">
        <v>3</v>
      </c>
      <c r="D59" s="224">
        <v>4</v>
      </c>
      <c r="E59" s="224">
        <v>5</v>
      </c>
      <c r="F59" s="224">
        <v>6</v>
      </c>
      <c r="G59" s="224">
        <v>7</v>
      </c>
      <c r="H59" s="224">
        <v>8</v>
      </c>
      <c r="I59" s="224">
        <v>9</v>
      </c>
      <c r="J59" s="224">
        <v>10</v>
      </c>
      <c r="K59" s="224">
        <v>11</v>
      </c>
      <c r="L59" s="224">
        <v>12</v>
      </c>
      <c r="M59" s="224">
        <v>13</v>
      </c>
      <c r="N59" s="224">
        <v>14</v>
      </c>
      <c r="O59" s="224">
        <v>15</v>
      </c>
      <c r="P59" s="293"/>
    </row>
    <row r="60" spans="1:16" customFormat="1" ht="30">
      <c r="A60" s="211">
        <v>1</v>
      </c>
      <c r="B60" s="124" t="s">
        <v>144</v>
      </c>
      <c r="C60" s="265" t="s">
        <v>1265</v>
      </c>
      <c r="D60" s="265"/>
      <c r="E60" s="265"/>
      <c r="F60" s="265"/>
      <c r="G60" s="265"/>
      <c r="H60" s="265"/>
      <c r="I60" s="265"/>
      <c r="J60" s="265"/>
      <c r="K60" s="265"/>
      <c r="L60" s="265"/>
      <c r="M60" s="265"/>
      <c r="N60" s="265"/>
      <c r="O60" s="265"/>
      <c r="P60" s="293"/>
    </row>
    <row r="61" spans="1:16" customFormat="1" ht="15" customHeight="1">
      <c r="A61" s="211">
        <v>2</v>
      </c>
      <c r="B61" s="124" t="s">
        <v>145</v>
      </c>
      <c r="C61" s="265" t="s">
        <v>27</v>
      </c>
      <c r="D61" s="265"/>
      <c r="E61" s="265"/>
      <c r="F61" s="265"/>
      <c r="G61" s="265"/>
      <c r="H61" s="265"/>
      <c r="I61" s="265"/>
      <c r="J61" s="265"/>
      <c r="K61" s="265"/>
      <c r="L61" s="265"/>
      <c r="M61" s="265"/>
      <c r="N61" s="265"/>
      <c r="O61" s="265"/>
      <c r="P61" s="293"/>
    </row>
    <row r="62" spans="1:16" customFormat="1" ht="15" customHeight="1">
      <c r="A62" s="211">
        <v>3</v>
      </c>
      <c r="B62" s="124" t="s">
        <v>146</v>
      </c>
      <c r="C62" s="265" t="s">
        <v>27</v>
      </c>
      <c r="D62" s="265"/>
      <c r="E62" s="265"/>
      <c r="F62" s="265"/>
      <c r="G62" s="265"/>
      <c r="H62" s="265"/>
      <c r="I62" s="265"/>
      <c r="J62" s="265"/>
      <c r="K62" s="265"/>
      <c r="L62" s="265"/>
      <c r="M62" s="265"/>
      <c r="N62" s="265"/>
      <c r="O62" s="265"/>
      <c r="P62" s="293"/>
    </row>
    <row r="63" spans="1:16" customFormat="1" ht="15" customHeight="1">
      <c r="A63" s="211">
        <v>4</v>
      </c>
      <c r="B63" s="124" t="s">
        <v>147</v>
      </c>
      <c r="C63" s="265" t="s">
        <v>27</v>
      </c>
      <c r="D63" s="265"/>
      <c r="E63" s="265"/>
      <c r="F63" s="265"/>
      <c r="G63" s="265"/>
      <c r="H63" s="265"/>
      <c r="I63" s="265"/>
      <c r="J63" s="265"/>
      <c r="K63" s="265"/>
      <c r="L63" s="265"/>
      <c r="M63" s="265"/>
      <c r="N63" s="265"/>
      <c r="O63" s="265"/>
      <c r="P63" s="293"/>
    </row>
    <row r="64" spans="1:16" customFormat="1" ht="15" customHeight="1">
      <c r="A64" s="211">
        <v>5</v>
      </c>
      <c r="B64" s="124" t="s">
        <v>148</v>
      </c>
      <c r="C64" s="265" t="s">
        <v>27</v>
      </c>
      <c r="D64" s="265"/>
      <c r="E64" s="265"/>
      <c r="F64" s="265"/>
      <c r="G64" s="265"/>
      <c r="H64" s="265"/>
      <c r="I64" s="265"/>
      <c r="J64" s="265"/>
      <c r="K64" s="265"/>
      <c r="L64" s="265"/>
      <c r="M64" s="265"/>
      <c r="N64" s="265"/>
      <c r="O64" s="265"/>
      <c r="P64" s="293"/>
    </row>
    <row r="65" spans="1:16" customFormat="1" ht="15" customHeight="1">
      <c r="A65" s="211">
        <v>6</v>
      </c>
      <c r="B65" s="124" t="s">
        <v>149</v>
      </c>
      <c r="C65" s="265" t="s">
        <v>27</v>
      </c>
      <c r="D65" s="265"/>
      <c r="E65" s="265"/>
      <c r="F65" s="265"/>
      <c r="G65" s="265"/>
      <c r="H65" s="265"/>
      <c r="I65" s="265"/>
      <c r="J65" s="265"/>
      <c r="K65" s="265"/>
      <c r="L65" s="265"/>
      <c r="M65" s="265"/>
      <c r="N65" s="265"/>
      <c r="O65" s="265"/>
      <c r="P65" s="293"/>
    </row>
    <row r="66" spans="1:16" customFormat="1" ht="15" customHeight="1">
      <c r="A66" s="211">
        <v>7</v>
      </c>
      <c r="B66" s="124" t="s">
        <v>150</v>
      </c>
      <c r="C66" s="265" t="s">
        <v>27</v>
      </c>
      <c r="D66" s="265"/>
      <c r="E66" s="265"/>
      <c r="F66" s="265"/>
      <c r="G66" s="265"/>
      <c r="H66" s="265"/>
      <c r="I66" s="265"/>
      <c r="J66" s="265"/>
      <c r="K66" s="265"/>
      <c r="L66" s="265"/>
      <c r="M66" s="265"/>
      <c r="N66" s="265"/>
      <c r="O66" s="265"/>
      <c r="P66" s="293"/>
    </row>
    <row r="67" spans="1:16" customFormat="1" ht="15" customHeight="1">
      <c r="A67" s="211">
        <v>8</v>
      </c>
      <c r="B67" s="124" t="s">
        <v>151</v>
      </c>
      <c r="C67" s="265" t="s">
        <v>27</v>
      </c>
      <c r="D67" s="265"/>
      <c r="E67" s="265"/>
      <c r="F67" s="265"/>
      <c r="G67" s="265"/>
      <c r="H67" s="265"/>
      <c r="I67" s="265"/>
      <c r="J67" s="265"/>
      <c r="K67" s="265"/>
      <c r="L67" s="265"/>
      <c r="M67" s="265"/>
      <c r="N67" s="265"/>
      <c r="O67" s="265"/>
      <c r="P67" s="293"/>
    </row>
    <row r="68" spans="1:16" ht="15" customHeight="1">
      <c r="A68" s="295"/>
      <c r="B68" s="295"/>
      <c r="C68" s="295"/>
      <c r="D68" s="295"/>
      <c r="E68" s="295"/>
      <c r="F68" s="295"/>
      <c r="G68" s="295"/>
      <c r="H68" s="295"/>
      <c r="I68" s="295"/>
      <c r="J68" s="295"/>
      <c r="K68" s="295"/>
      <c r="L68" s="295"/>
      <c r="M68" s="295"/>
      <c r="N68" s="295"/>
      <c r="O68" s="295"/>
      <c r="P68" s="295"/>
    </row>
    <row r="69" spans="1:16" ht="20.25" customHeight="1">
      <c r="A69" s="259" t="s">
        <v>34</v>
      </c>
      <c r="B69" s="259"/>
      <c r="C69" s="259"/>
      <c r="D69" s="259"/>
      <c r="E69" s="259"/>
      <c r="F69" s="259"/>
      <c r="G69" s="259"/>
      <c r="H69" s="259"/>
      <c r="I69" s="259"/>
      <c r="J69" s="259"/>
      <c r="K69" s="259"/>
      <c r="L69" s="259"/>
      <c r="M69" s="259"/>
      <c r="N69" s="259"/>
      <c r="O69" s="259"/>
      <c r="P69" s="293"/>
    </row>
    <row r="70" spans="1:16" ht="85.5">
      <c r="A70" s="25" t="s">
        <v>0</v>
      </c>
      <c r="B70" s="25" t="s">
        <v>102</v>
      </c>
      <c r="C70" s="25" t="s">
        <v>1</v>
      </c>
      <c r="D70" s="25" t="s">
        <v>109</v>
      </c>
      <c r="E70" s="25" t="s">
        <v>29</v>
      </c>
      <c r="F70" s="25" t="s">
        <v>20</v>
      </c>
      <c r="G70" s="25" t="s">
        <v>104</v>
      </c>
      <c r="H70" s="25" t="s">
        <v>101</v>
      </c>
      <c r="I70" s="25" t="s">
        <v>98</v>
      </c>
      <c r="J70" s="25" t="s">
        <v>5</v>
      </c>
      <c r="K70" s="25" t="s">
        <v>6</v>
      </c>
      <c r="L70" s="25" t="s">
        <v>31</v>
      </c>
      <c r="M70" s="25" t="s">
        <v>24</v>
      </c>
      <c r="N70" s="26" t="s">
        <v>32</v>
      </c>
      <c r="O70" s="24" t="s">
        <v>11</v>
      </c>
      <c r="P70" s="293"/>
    </row>
    <row r="71" spans="1:16" ht="15" customHeight="1">
      <c r="A71" s="219">
        <v>1</v>
      </c>
      <c r="B71" s="224">
        <v>2</v>
      </c>
      <c r="C71" s="224">
        <v>3</v>
      </c>
      <c r="D71" s="224">
        <v>4</v>
      </c>
      <c r="E71" s="224">
        <v>5</v>
      </c>
      <c r="F71" s="224">
        <v>6</v>
      </c>
      <c r="G71" s="224">
        <v>7</v>
      </c>
      <c r="H71" s="224">
        <v>8</v>
      </c>
      <c r="I71" s="224">
        <v>9</v>
      </c>
      <c r="J71" s="224">
        <v>10</v>
      </c>
      <c r="K71" s="224">
        <v>11</v>
      </c>
      <c r="L71" s="224">
        <v>12</v>
      </c>
      <c r="M71" s="224">
        <v>13</v>
      </c>
      <c r="N71" s="224">
        <v>14</v>
      </c>
      <c r="O71" s="224">
        <v>15</v>
      </c>
      <c r="P71" s="293"/>
    </row>
    <row r="72" spans="1:16" customFormat="1" ht="30">
      <c r="A72" s="211">
        <v>1</v>
      </c>
      <c r="B72" s="124" t="s">
        <v>144</v>
      </c>
      <c r="C72" s="265" t="s">
        <v>27</v>
      </c>
      <c r="D72" s="265"/>
      <c r="E72" s="265"/>
      <c r="F72" s="265"/>
      <c r="G72" s="265"/>
      <c r="H72" s="265"/>
      <c r="I72" s="265"/>
      <c r="J72" s="265"/>
      <c r="K72" s="265"/>
      <c r="L72" s="265"/>
      <c r="M72" s="265"/>
      <c r="N72" s="265"/>
      <c r="O72" s="265"/>
      <c r="P72" s="293"/>
    </row>
    <row r="73" spans="1:16" customFormat="1" ht="15" customHeight="1">
      <c r="A73" s="211">
        <v>2</v>
      </c>
      <c r="B73" s="124" t="s">
        <v>145</v>
      </c>
      <c r="C73" s="265" t="s">
        <v>27</v>
      </c>
      <c r="D73" s="265"/>
      <c r="E73" s="265"/>
      <c r="F73" s="265"/>
      <c r="G73" s="265"/>
      <c r="H73" s="265"/>
      <c r="I73" s="265"/>
      <c r="J73" s="265"/>
      <c r="K73" s="265"/>
      <c r="L73" s="265"/>
      <c r="M73" s="265"/>
      <c r="N73" s="265"/>
      <c r="O73" s="265"/>
      <c r="P73" s="293"/>
    </row>
    <row r="74" spans="1:16" customFormat="1" ht="15" customHeight="1">
      <c r="A74" s="211">
        <v>3</v>
      </c>
      <c r="B74" s="124" t="s">
        <v>146</v>
      </c>
      <c r="C74" s="265" t="s">
        <v>27</v>
      </c>
      <c r="D74" s="265"/>
      <c r="E74" s="265"/>
      <c r="F74" s="265"/>
      <c r="G74" s="265"/>
      <c r="H74" s="265"/>
      <c r="I74" s="265"/>
      <c r="J74" s="265"/>
      <c r="K74" s="265"/>
      <c r="L74" s="265"/>
      <c r="M74" s="265"/>
      <c r="N74" s="265"/>
      <c r="O74" s="265"/>
      <c r="P74" s="293"/>
    </row>
    <row r="75" spans="1:16" customFormat="1" ht="15" customHeight="1">
      <c r="A75" s="211">
        <v>4</v>
      </c>
      <c r="B75" s="124" t="s">
        <v>147</v>
      </c>
      <c r="C75" s="265" t="s">
        <v>27</v>
      </c>
      <c r="D75" s="265"/>
      <c r="E75" s="265"/>
      <c r="F75" s="265"/>
      <c r="G75" s="265"/>
      <c r="H75" s="265"/>
      <c r="I75" s="265"/>
      <c r="J75" s="265"/>
      <c r="K75" s="265"/>
      <c r="L75" s="265"/>
      <c r="M75" s="265"/>
      <c r="N75" s="265"/>
      <c r="O75" s="265"/>
      <c r="P75" s="293"/>
    </row>
    <row r="76" spans="1:16" customFormat="1" ht="15" customHeight="1">
      <c r="A76" s="211">
        <v>5</v>
      </c>
      <c r="B76" s="124" t="s">
        <v>148</v>
      </c>
      <c r="C76" s="265" t="s">
        <v>27</v>
      </c>
      <c r="D76" s="265"/>
      <c r="E76" s="265"/>
      <c r="F76" s="265"/>
      <c r="G76" s="265"/>
      <c r="H76" s="265"/>
      <c r="I76" s="265"/>
      <c r="J76" s="265"/>
      <c r="K76" s="265"/>
      <c r="L76" s="265"/>
      <c r="M76" s="265"/>
      <c r="N76" s="265"/>
      <c r="O76" s="265"/>
      <c r="P76" s="293"/>
    </row>
    <row r="77" spans="1:16" customFormat="1" ht="15" customHeight="1">
      <c r="A77" s="211">
        <v>6</v>
      </c>
      <c r="B77" s="124" t="s">
        <v>149</v>
      </c>
      <c r="C77" s="265" t="s">
        <v>27</v>
      </c>
      <c r="D77" s="265"/>
      <c r="E77" s="265"/>
      <c r="F77" s="265"/>
      <c r="G77" s="265"/>
      <c r="H77" s="265"/>
      <c r="I77" s="265"/>
      <c r="J77" s="265"/>
      <c r="K77" s="265"/>
      <c r="L77" s="265"/>
      <c r="M77" s="265"/>
      <c r="N77" s="265"/>
      <c r="O77" s="265"/>
      <c r="P77" s="293"/>
    </row>
    <row r="78" spans="1:16" customFormat="1" ht="15" customHeight="1">
      <c r="A78" s="211">
        <v>7</v>
      </c>
      <c r="B78" s="124" t="s">
        <v>150</v>
      </c>
      <c r="C78" s="265" t="s">
        <v>27</v>
      </c>
      <c r="D78" s="265"/>
      <c r="E78" s="265"/>
      <c r="F78" s="265"/>
      <c r="G78" s="265"/>
      <c r="H78" s="265"/>
      <c r="I78" s="265"/>
      <c r="J78" s="265"/>
      <c r="K78" s="265"/>
      <c r="L78" s="265"/>
      <c r="M78" s="265"/>
      <c r="N78" s="265"/>
      <c r="O78" s="265"/>
      <c r="P78" s="293"/>
    </row>
    <row r="79" spans="1:16" customFormat="1" ht="15" customHeight="1">
      <c r="A79" s="211">
        <v>8</v>
      </c>
      <c r="B79" s="124" t="s">
        <v>151</v>
      </c>
      <c r="C79" s="265" t="s">
        <v>27</v>
      </c>
      <c r="D79" s="265"/>
      <c r="E79" s="265"/>
      <c r="F79" s="265"/>
      <c r="G79" s="265"/>
      <c r="H79" s="265"/>
      <c r="I79" s="265"/>
      <c r="J79" s="265"/>
      <c r="K79" s="265"/>
      <c r="L79" s="265"/>
      <c r="M79" s="265"/>
      <c r="N79" s="265"/>
      <c r="O79" s="265"/>
      <c r="P79" s="293"/>
    </row>
    <row r="80" spans="1:16" ht="15" customHeight="1">
      <c r="A80" s="267"/>
      <c r="B80" s="267"/>
      <c r="C80" s="267"/>
      <c r="D80" s="267"/>
      <c r="E80" s="267"/>
      <c r="F80" s="267"/>
      <c r="G80" s="267"/>
      <c r="H80" s="267"/>
      <c r="I80" s="267"/>
      <c r="J80" s="267"/>
      <c r="K80" s="267"/>
      <c r="L80" s="267"/>
      <c r="M80" s="267"/>
      <c r="N80" s="267"/>
      <c r="O80" s="267"/>
      <c r="P80" s="267"/>
    </row>
    <row r="81" spans="1:16" ht="20.25" customHeight="1">
      <c r="A81" s="259" t="s">
        <v>35</v>
      </c>
      <c r="B81" s="259"/>
      <c r="C81" s="259"/>
      <c r="D81" s="259"/>
      <c r="E81" s="259"/>
      <c r="F81" s="259"/>
      <c r="G81" s="259"/>
      <c r="H81" s="259"/>
      <c r="I81" s="259"/>
      <c r="J81" s="259"/>
      <c r="K81" s="259"/>
      <c r="L81" s="259"/>
      <c r="M81" s="259"/>
      <c r="N81" s="259"/>
      <c r="O81" s="259"/>
      <c r="P81" s="259"/>
    </row>
    <row r="82" spans="1:16" ht="85.5">
      <c r="A82" s="25" t="s">
        <v>0</v>
      </c>
      <c r="B82" s="25" t="s">
        <v>102</v>
      </c>
      <c r="C82" s="25" t="s">
        <v>1</v>
      </c>
      <c r="D82" s="25" t="s">
        <v>109</v>
      </c>
      <c r="E82" s="25" t="s">
        <v>29</v>
      </c>
      <c r="F82" s="25" t="s">
        <v>20</v>
      </c>
      <c r="G82" s="25" t="s">
        <v>97</v>
      </c>
      <c r="H82" s="25" t="s">
        <v>101</v>
      </c>
      <c r="I82" s="25" t="s">
        <v>98</v>
      </c>
      <c r="J82" s="25" t="s">
        <v>5</v>
      </c>
      <c r="K82" s="25" t="s">
        <v>6</v>
      </c>
      <c r="L82" s="25" t="s">
        <v>31</v>
      </c>
      <c r="M82" s="25" t="s">
        <v>24</v>
      </c>
      <c r="N82" s="26" t="s">
        <v>33</v>
      </c>
      <c r="O82" s="26" t="s">
        <v>32</v>
      </c>
      <c r="P82" s="24" t="s">
        <v>26</v>
      </c>
    </row>
    <row r="83" spans="1:16" hidden="1">
      <c r="A83" s="25"/>
      <c r="B83" s="25"/>
      <c r="C83" s="25"/>
      <c r="D83" s="25"/>
      <c r="E83" s="25"/>
      <c r="F83" s="25"/>
      <c r="G83" s="25"/>
      <c r="H83" s="25"/>
      <c r="I83" s="25"/>
      <c r="J83" s="25"/>
      <c r="K83" s="25"/>
      <c r="L83" s="25"/>
      <c r="M83" s="25"/>
      <c r="N83" s="26"/>
      <c r="O83" s="26"/>
      <c r="P83" s="24"/>
    </row>
    <row r="84" spans="1:16" customFormat="1" ht="30">
      <c r="A84" s="211">
        <v>1</v>
      </c>
      <c r="B84" s="124" t="s">
        <v>144</v>
      </c>
      <c r="C84" s="265" t="s">
        <v>27</v>
      </c>
      <c r="D84" s="265"/>
      <c r="E84" s="265"/>
      <c r="F84" s="265"/>
      <c r="G84" s="265"/>
      <c r="H84" s="265"/>
      <c r="I84" s="265"/>
      <c r="J84" s="265"/>
      <c r="K84" s="265"/>
      <c r="L84" s="265"/>
      <c r="M84" s="265"/>
      <c r="N84" s="265"/>
      <c r="O84" s="265"/>
      <c r="P84" s="265"/>
    </row>
    <row r="85" spans="1:16" customFormat="1">
      <c r="A85" s="211">
        <v>2</v>
      </c>
      <c r="B85" s="211" t="s">
        <v>145</v>
      </c>
      <c r="C85" s="265" t="s">
        <v>27</v>
      </c>
      <c r="D85" s="265"/>
      <c r="E85" s="265"/>
      <c r="F85" s="265"/>
      <c r="G85" s="265"/>
      <c r="H85" s="265"/>
      <c r="I85" s="265"/>
      <c r="J85" s="265"/>
      <c r="K85" s="265"/>
      <c r="L85" s="265"/>
      <c r="M85" s="265"/>
      <c r="N85" s="265"/>
      <c r="O85" s="265"/>
      <c r="P85" s="265"/>
    </row>
    <row r="86" spans="1:16" customFormat="1">
      <c r="A86" s="211">
        <v>3</v>
      </c>
      <c r="B86" s="211" t="s">
        <v>146</v>
      </c>
      <c r="C86" s="265" t="s">
        <v>27</v>
      </c>
      <c r="D86" s="265"/>
      <c r="E86" s="265"/>
      <c r="F86" s="265"/>
      <c r="G86" s="265"/>
      <c r="H86" s="265"/>
      <c r="I86" s="265"/>
      <c r="J86" s="265"/>
      <c r="K86" s="265"/>
      <c r="L86" s="265"/>
      <c r="M86" s="265"/>
      <c r="N86" s="265"/>
      <c r="O86" s="265"/>
      <c r="P86" s="265"/>
    </row>
    <row r="87" spans="1:16" customFormat="1">
      <c r="A87" s="211">
        <v>4</v>
      </c>
      <c r="B87" s="211" t="s">
        <v>147</v>
      </c>
      <c r="C87" s="265" t="s">
        <v>27</v>
      </c>
      <c r="D87" s="265"/>
      <c r="E87" s="265"/>
      <c r="F87" s="265"/>
      <c r="G87" s="265"/>
      <c r="H87" s="265"/>
      <c r="I87" s="265"/>
      <c r="J87" s="265"/>
      <c r="K87" s="265"/>
      <c r="L87" s="265"/>
      <c r="M87" s="265"/>
      <c r="N87" s="265"/>
      <c r="O87" s="265"/>
      <c r="P87" s="265"/>
    </row>
    <row r="88" spans="1:16" customFormat="1">
      <c r="A88" s="211">
        <v>5</v>
      </c>
      <c r="B88" s="211" t="s">
        <v>148</v>
      </c>
      <c r="C88" s="265" t="s">
        <v>27</v>
      </c>
      <c r="D88" s="265"/>
      <c r="E88" s="265"/>
      <c r="F88" s="265"/>
      <c r="G88" s="265"/>
      <c r="H88" s="265"/>
      <c r="I88" s="265"/>
      <c r="J88" s="265"/>
      <c r="K88" s="265"/>
      <c r="L88" s="265"/>
      <c r="M88" s="265"/>
      <c r="N88" s="265"/>
      <c r="O88" s="265"/>
      <c r="P88" s="265"/>
    </row>
    <row r="89" spans="1:16" customFormat="1">
      <c r="A89" s="211">
        <v>6</v>
      </c>
      <c r="B89" s="211" t="s">
        <v>149</v>
      </c>
      <c r="C89" s="265" t="s">
        <v>27</v>
      </c>
      <c r="D89" s="265"/>
      <c r="E89" s="265"/>
      <c r="F89" s="265"/>
      <c r="G89" s="265"/>
      <c r="H89" s="265"/>
      <c r="I89" s="265"/>
      <c r="J89" s="265"/>
      <c r="K89" s="265"/>
      <c r="L89" s="265"/>
      <c r="M89" s="265"/>
      <c r="N89" s="265"/>
      <c r="O89" s="265"/>
      <c r="P89" s="265"/>
    </row>
    <row r="90" spans="1:16" customFormat="1">
      <c r="A90" s="211">
        <v>7</v>
      </c>
      <c r="B90" s="211" t="s">
        <v>150</v>
      </c>
      <c r="C90" s="265" t="s">
        <v>27</v>
      </c>
      <c r="D90" s="265"/>
      <c r="E90" s="265"/>
      <c r="F90" s="265"/>
      <c r="G90" s="265"/>
      <c r="H90" s="265"/>
      <c r="I90" s="265"/>
      <c r="J90" s="265"/>
      <c r="K90" s="265"/>
      <c r="L90" s="265"/>
      <c r="M90" s="265"/>
      <c r="N90" s="265"/>
      <c r="O90" s="265"/>
      <c r="P90" s="265"/>
    </row>
    <row r="91" spans="1:16" customFormat="1">
      <c r="A91" s="211">
        <v>8</v>
      </c>
      <c r="B91" s="211" t="s">
        <v>151</v>
      </c>
      <c r="C91" s="265" t="s">
        <v>27</v>
      </c>
      <c r="D91" s="265"/>
      <c r="E91" s="265"/>
      <c r="F91" s="265"/>
      <c r="G91" s="265"/>
      <c r="H91" s="265"/>
      <c r="I91" s="265"/>
      <c r="J91" s="265"/>
      <c r="K91" s="265"/>
      <c r="L91" s="265"/>
      <c r="M91" s="265"/>
      <c r="N91" s="265"/>
      <c r="O91" s="265"/>
      <c r="P91" s="265"/>
    </row>
    <row r="92" spans="1:16">
      <c r="A92" s="274"/>
      <c r="B92" s="274"/>
      <c r="C92" s="274"/>
      <c r="D92" s="274"/>
      <c r="E92" s="274"/>
      <c r="F92" s="274"/>
      <c r="G92" s="274"/>
      <c r="H92" s="274"/>
      <c r="I92" s="274"/>
      <c r="J92" s="274"/>
      <c r="K92" s="274"/>
      <c r="L92" s="274"/>
      <c r="M92" s="274"/>
      <c r="N92" s="274"/>
      <c r="O92" s="274"/>
      <c r="P92" s="274"/>
    </row>
    <row r="93" spans="1:16" ht="22.5">
      <c r="A93" s="261" t="s">
        <v>1194</v>
      </c>
      <c r="B93" s="261"/>
      <c r="C93" s="261"/>
      <c r="D93" s="261"/>
      <c r="E93" s="261"/>
      <c r="F93" s="261"/>
      <c r="G93" s="261"/>
      <c r="H93" s="261"/>
      <c r="I93" s="261"/>
      <c r="J93" s="261"/>
      <c r="K93" s="261"/>
      <c r="L93" s="261"/>
      <c r="M93" s="261"/>
      <c r="N93" s="261"/>
      <c r="O93" s="261"/>
      <c r="P93" s="261"/>
    </row>
    <row r="94" spans="1:16" ht="20.25">
      <c r="A94" s="259" t="s">
        <v>17</v>
      </c>
      <c r="B94" s="259"/>
      <c r="C94" s="259"/>
      <c r="D94" s="259"/>
      <c r="E94" s="259"/>
      <c r="F94" s="259"/>
      <c r="G94" s="259"/>
      <c r="H94" s="259"/>
      <c r="I94" s="259"/>
      <c r="J94" s="259"/>
      <c r="K94" s="259"/>
      <c r="L94" s="259"/>
      <c r="M94" s="259"/>
      <c r="N94" s="259"/>
      <c r="O94" s="259"/>
      <c r="P94" s="259"/>
    </row>
    <row r="95" spans="1:16" ht="85.5">
      <c r="A95" s="25" t="s">
        <v>0</v>
      </c>
      <c r="B95" s="25" t="s">
        <v>105</v>
      </c>
      <c r="C95" s="25" t="s">
        <v>1</v>
      </c>
      <c r="D95" s="25" t="s">
        <v>106</v>
      </c>
      <c r="E95" s="25" t="s">
        <v>3</v>
      </c>
      <c r="F95" s="25" t="s">
        <v>4</v>
      </c>
      <c r="G95" s="25" t="s">
        <v>107</v>
      </c>
      <c r="H95" s="25" t="s">
        <v>108</v>
      </c>
      <c r="I95" s="25" t="s">
        <v>99</v>
      </c>
      <c r="J95" s="25" t="s">
        <v>5</v>
      </c>
      <c r="K95" s="25" t="s">
        <v>6</v>
      </c>
      <c r="L95" s="25" t="s">
        <v>7</v>
      </c>
      <c r="M95" s="26" t="s">
        <v>8</v>
      </c>
      <c r="N95" s="26" t="s">
        <v>9</v>
      </c>
      <c r="O95" s="25" t="s">
        <v>10</v>
      </c>
      <c r="P95" s="24" t="s">
        <v>11</v>
      </c>
    </row>
    <row r="96" spans="1:16">
      <c r="A96" s="1">
        <v>1</v>
      </c>
      <c r="B96" s="25">
        <v>2</v>
      </c>
      <c r="C96" s="25">
        <v>3</v>
      </c>
      <c r="D96" s="25">
        <v>4</v>
      </c>
      <c r="E96" s="25">
        <v>5</v>
      </c>
      <c r="F96" s="25">
        <v>6</v>
      </c>
      <c r="G96" s="25">
        <v>7</v>
      </c>
      <c r="H96" s="25">
        <v>8</v>
      </c>
      <c r="I96" s="25">
        <v>9</v>
      </c>
      <c r="J96" s="25">
        <v>10</v>
      </c>
      <c r="K96" s="25">
        <v>11</v>
      </c>
      <c r="L96" s="25">
        <v>12</v>
      </c>
      <c r="M96" s="25">
        <v>13</v>
      </c>
      <c r="N96" s="25">
        <v>14</v>
      </c>
      <c r="O96" s="25">
        <v>15</v>
      </c>
      <c r="P96" s="25">
        <v>16</v>
      </c>
    </row>
    <row r="97" spans="1:16">
      <c r="A97" s="274" t="s">
        <v>27</v>
      </c>
      <c r="B97" s="274"/>
      <c r="C97" s="274"/>
      <c r="D97" s="274"/>
      <c r="E97" s="274"/>
      <c r="F97" s="274"/>
      <c r="G97" s="274"/>
      <c r="H97" s="274"/>
      <c r="I97" s="274"/>
      <c r="J97" s="274"/>
      <c r="K97" s="274"/>
      <c r="L97" s="274"/>
      <c r="M97" s="274"/>
      <c r="N97" s="274"/>
      <c r="O97" s="274"/>
      <c r="P97" s="274"/>
    </row>
    <row r="98" spans="1:16">
      <c r="A98" s="274"/>
      <c r="B98" s="274"/>
      <c r="C98" s="274"/>
      <c r="D98" s="274"/>
      <c r="E98" s="274"/>
      <c r="F98" s="274"/>
      <c r="G98" s="274"/>
      <c r="H98" s="274"/>
      <c r="I98" s="274"/>
      <c r="J98" s="274"/>
      <c r="K98" s="274"/>
      <c r="L98" s="274"/>
      <c r="M98" s="274"/>
      <c r="N98" s="274"/>
      <c r="O98" s="274"/>
      <c r="P98" s="274"/>
    </row>
    <row r="99" spans="1:16" ht="20.25" customHeight="1">
      <c r="A99" s="259" t="s">
        <v>28</v>
      </c>
      <c r="B99" s="259"/>
      <c r="C99" s="259"/>
      <c r="D99" s="259"/>
      <c r="E99" s="259"/>
      <c r="F99" s="259"/>
      <c r="G99" s="259"/>
      <c r="H99" s="259"/>
      <c r="I99" s="259"/>
      <c r="J99" s="259"/>
      <c r="K99" s="259"/>
      <c r="L99" s="259"/>
      <c r="M99" s="259"/>
      <c r="N99" s="259"/>
      <c r="O99" s="259"/>
      <c r="P99" s="293"/>
    </row>
    <row r="100" spans="1:16" ht="85.5">
      <c r="A100" s="25" t="s">
        <v>0</v>
      </c>
      <c r="B100" s="25" t="s">
        <v>102</v>
      </c>
      <c r="C100" s="25" t="s">
        <v>1</v>
      </c>
      <c r="D100" s="25" t="s">
        <v>109</v>
      </c>
      <c r="E100" s="26" t="s">
        <v>19</v>
      </c>
      <c r="F100" s="26" t="s">
        <v>20</v>
      </c>
      <c r="G100" s="25" t="s">
        <v>100</v>
      </c>
      <c r="H100" s="25" t="s">
        <v>101</v>
      </c>
      <c r="I100" s="25" t="s">
        <v>114</v>
      </c>
      <c r="J100" s="25" t="s">
        <v>5</v>
      </c>
      <c r="K100" s="25" t="s">
        <v>6</v>
      </c>
      <c r="L100" s="25" t="s">
        <v>23</v>
      </c>
      <c r="M100" s="25" t="s">
        <v>24</v>
      </c>
      <c r="N100" s="26" t="s">
        <v>25</v>
      </c>
      <c r="O100" s="24" t="s">
        <v>26</v>
      </c>
      <c r="P100" s="293"/>
    </row>
    <row r="101" spans="1:16" ht="15" customHeight="1">
      <c r="A101" s="219">
        <v>1</v>
      </c>
      <c r="B101" s="224">
        <v>2</v>
      </c>
      <c r="C101" s="224">
        <v>3</v>
      </c>
      <c r="D101" s="224">
        <v>4</v>
      </c>
      <c r="E101" s="224">
        <v>5</v>
      </c>
      <c r="F101" s="224">
        <v>6</v>
      </c>
      <c r="G101" s="224">
        <v>7</v>
      </c>
      <c r="H101" s="224">
        <v>8</v>
      </c>
      <c r="I101" s="224">
        <v>9</v>
      </c>
      <c r="J101" s="224">
        <v>10</v>
      </c>
      <c r="K101" s="224">
        <v>11</v>
      </c>
      <c r="L101" s="224">
        <v>12</v>
      </c>
      <c r="M101" s="224">
        <v>13</v>
      </c>
      <c r="N101" s="224">
        <v>14</v>
      </c>
      <c r="O101" s="224">
        <v>15</v>
      </c>
      <c r="P101" s="293"/>
    </row>
    <row r="102" spans="1:16" ht="15" customHeight="1">
      <c r="A102" s="272" t="s">
        <v>27</v>
      </c>
      <c r="B102" s="272"/>
      <c r="C102" s="272"/>
      <c r="D102" s="272"/>
      <c r="E102" s="272"/>
      <c r="F102" s="272"/>
      <c r="G102" s="272"/>
      <c r="H102" s="272"/>
      <c r="I102" s="272"/>
      <c r="J102" s="272"/>
      <c r="K102" s="272"/>
      <c r="L102" s="272"/>
      <c r="M102" s="272"/>
      <c r="N102" s="272"/>
      <c r="O102" s="272"/>
      <c r="P102" s="293"/>
    </row>
    <row r="103" spans="1:16" ht="15" customHeight="1">
      <c r="A103" s="296"/>
      <c r="B103" s="296"/>
      <c r="C103" s="296"/>
      <c r="D103" s="296"/>
      <c r="E103" s="296"/>
      <c r="F103" s="296"/>
      <c r="G103" s="296"/>
      <c r="H103" s="296"/>
      <c r="I103" s="296"/>
      <c r="J103" s="296"/>
      <c r="K103" s="296"/>
      <c r="L103" s="296"/>
      <c r="M103" s="296"/>
      <c r="N103" s="296"/>
      <c r="O103" s="296"/>
      <c r="P103" s="296"/>
    </row>
    <row r="104" spans="1:16" ht="20.25" customHeight="1">
      <c r="A104" s="259" t="s">
        <v>34</v>
      </c>
      <c r="B104" s="259"/>
      <c r="C104" s="259"/>
      <c r="D104" s="259"/>
      <c r="E104" s="259"/>
      <c r="F104" s="259"/>
      <c r="G104" s="259"/>
      <c r="H104" s="259"/>
      <c r="I104" s="259"/>
      <c r="J104" s="259"/>
      <c r="K104" s="259"/>
      <c r="L104" s="259"/>
      <c r="M104" s="259"/>
      <c r="N104" s="259"/>
      <c r="O104" s="259"/>
      <c r="P104" s="293"/>
    </row>
    <row r="105" spans="1:16" ht="85.5">
      <c r="A105" s="25" t="s">
        <v>0</v>
      </c>
      <c r="B105" s="25" t="s">
        <v>102</v>
      </c>
      <c r="C105" s="25" t="s">
        <v>1</v>
      </c>
      <c r="D105" s="25" t="s">
        <v>109</v>
      </c>
      <c r="E105" s="25" t="s">
        <v>29</v>
      </c>
      <c r="F105" s="25" t="s">
        <v>20</v>
      </c>
      <c r="G105" s="25" t="s">
        <v>104</v>
      </c>
      <c r="H105" s="25" t="s">
        <v>101</v>
      </c>
      <c r="I105" s="25" t="s">
        <v>98</v>
      </c>
      <c r="J105" s="25" t="s">
        <v>5</v>
      </c>
      <c r="K105" s="25" t="s">
        <v>6</v>
      </c>
      <c r="L105" s="25" t="s">
        <v>31</v>
      </c>
      <c r="M105" s="25" t="s">
        <v>24</v>
      </c>
      <c r="N105" s="26" t="s">
        <v>32</v>
      </c>
      <c r="O105" s="24" t="s">
        <v>11</v>
      </c>
      <c r="P105" s="293"/>
    </row>
    <row r="106" spans="1:16" ht="15" customHeight="1">
      <c r="A106" s="224">
        <v>1</v>
      </c>
      <c r="B106" s="224">
        <v>2</v>
      </c>
      <c r="C106" s="224">
        <v>3</v>
      </c>
      <c r="D106" s="224">
        <v>4</v>
      </c>
      <c r="E106" s="224">
        <v>5</v>
      </c>
      <c r="F106" s="224">
        <v>6</v>
      </c>
      <c r="G106" s="224">
        <v>7</v>
      </c>
      <c r="H106" s="224">
        <v>8</v>
      </c>
      <c r="I106" s="224">
        <v>9</v>
      </c>
      <c r="J106" s="224">
        <v>10</v>
      </c>
      <c r="K106" s="224">
        <v>11</v>
      </c>
      <c r="L106" s="224">
        <v>12</v>
      </c>
      <c r="M106" s="224">
        <v>13</v>
      </c>
      <c r="N106" s="224">
        <v>14</v>
      </c>
      <c r="O106" s="224">
        <v>15</v>
      </c>
      <c r="P106" s="293"/>
    </row>
    <row r="107" spans="1:16" ht="15" customHeight="1">
      <c r="A107" s="282" t="s">
        <v>27</v>
      </c>
      <c r="B107" s="282"/>
      <c r="C107" s="282"/>
      <c r="D107" s="282"/>
      <c r="E107" s="282"/>
      <c r="F107" s="282"/>
      <c r="G107" s="282"/>
      <c r="H107" s="282"/>
      <c r="I107" s="282"/>
      <c r="J107" s="282"/>
      <c r="K107" s="282"/>
      <c r="L107" s="282"/>
      <c r="M107" s="282"/>
      <c r="N107" s="282"/>
      <c r="O107" s="282"/>
      <c r="P107" s="293"/>
    </row>
    <row r="108" spans="1:16" ht="15" customHeight="1">
      <c r="A108" s="297"/>
      <c r="B108" s="297"/>
      <c r="C108" s="297"/>
      <c r="D108" s="297"/>
      <c r="E108" s="297"/>
      <c r="F108" s="297"/>
      <c r="G108" s="297"/>
      <c r="H108" s="297"/>
      <c r="I108" s="297"/>
      <c r="J108" s="297"/>
      <c r="K108" s="297"/>
      <c r="L108" s="297"/>
      <c r="M108" s="297"/>
      <c r="N108" s="297"/>
      <c r="O108" s="297"/>
      <c r="P108" s="297"/>
    </row>
    <row r="109" spans="1:16" ht="20.25">
      <c r="A109" s="259" t="s">
        <v>35</v>
      </c>
      <c r="B109" s="259"/>
      <c r="C109" s="259"/>
      <c r="D109" s="259"/>
      <c r="E109" s="259"/>
      <c r="F109" s="259"/>
      <c r="G109" s="259"/>
      <c r="H109" s="259"/>
      <c r="I109" s="259"/>
      <c r="J109" s="259"/>
      <c r="K109" s="259"/>
      <c r="L109" s="259"/>
      <c r="M109" s="259"/>
      <c r="N109" s="259"/>
      <c r="O109" s="259"/>
      <c r="P109" s="259"/>
    </row>
    <row r="110" spans="1:16" ht="85.5">
      <c r="A110" s="25" t="s">
        <v>0</v>
      </c>
      <c r="B110" s="25" t="s">
        <v>102</v>
      </c>
      <c r="C110" s="25" t="s">
        <v>1</v>
      </c>
      <c r="D110" s="25" t="s">
        <v>109</v>
      </c>
      <c r="E110" s="25" t="s">
        <v>29</v>
      </c>
      <c r="F110" s="25" t="s">
        <v>20</v>
      </c>
      <c r="G110" s="25" t="s">
        <v>97</v>
      </c>
      <c r="H110" s="25" t="s">
        <v>101</v>
      </c>
      <c r="I110" s="25" t="s">
        <v>98</v>
      </c>
      <c r="J110" s="25" t="s">
        <v>5</v>
      </c>
      <c r="K110" s="25" t="s">
        <v>6</v>
      </c>
      <c r="L110" s="25" t="s">
        <v>31</v>
      </c>
      <c r="M110" s="25" t="s">
        <v>24</v>
      </c>
      <c r="N110" s="26" t="s">
        <v>33</v>
      </c>
      <c r="O110" s="26" t="s">
        <v>32</v>
      </c>
      <c r="P110" s="24" t="s">
        <v>26</v>
      </c>
    </row>
    <row r="111" spans="1:16">
      <c r="A111" s="224">
        <v>1</v>
      </c>
      <c r="B111" s="224">
        <v>2</v>
      </c>
      <c r="C111" s="224">
        <v>3</v>
      </c>
      <c r="D111" s="224">
        <v>4</v>
      </c>
      <c r="E111" s="224">
        <v>5</v>
      </c>
      <c r="F111" s="224">
        <v>6</v>
      </c>
      <c r="G111" s="224">
        <v>7</v>
      </c>
      <c r="H111" s="224">
        <v>8</v>
      </c>
      <c r="I111" s="224">
        <v>9</v>
      </c>
      <c r="J111" s="224">
        <v>10</v>
      </c>
      <c r="K111" s="224">
        <v>11</v>
      </c>
      <c r="L111" s="224">
        <v>12</v>
      </c>
      <c r="M111" s="224">
        <v>13</v>
      </c>
      <c r="N111" s="224">
        <v>14</v>
      </c>
      <c r="O111" s="224">
        <v>15</v>
      </c>
      <c r="P111" s="25">
        <v>16</v>
      </c>
    </row>
    <row r="112" spans="1:16">
      <c r="A112" s="274" t="s">
        <v>27</v>
      </c>
      <c r="B112" s="274"/>
      <c r="C112" s="274"/>
      <c r="D112" s="274"/>
      <c r="E112" s="274"/>
      <c r="F112" s="274"/>
      <c r="G112" s="274"/>
      <c r="H112" s="274"/>
      <c r="I112" s="274"/>
      <c r="J112" s="274"/>
      <c r="K112" s="274"/>
      <c r="L112" s="274"/>
      <c r="M112" s="274"/>
      <c r="N112" s="274"/>
      <c r="O112" s="274"/>
      <c r="P112" s="274"/>
    </row>
    <row r="113" spans="1:16">
      <c r="A113" s="282"/>
      <c r="B113" s="282"/>
      <c r="C113" s="282"/>
      <c r="D113" s="282"/>
      <c r="E113" s="282"/>
      <c r="F113" s="282"/>
      <c r="G113" s="282"/>
      <c r="H113" s="282"/>
      <c r="I113" s="282"/>
      <c r="J113" s="282"/>
      <c r="K113" s="282"/>
      <c r="L113" s="282"/>
      <c r="M113" s="282"/>
      <c r="N113" s="282"/>
      <c r="O113" s="282"/>
      <c r="P113" s="282"/>
    </row>
    <row r="114" spans="1:16" ht="22.5">
      <c r="A114" s="261" t="s">
        <v>1195</v>
      </c>
      <c r="B114" s="261"/>
      <c r="C114" s="261"/>
      <c r="D114" s="261"/>
      <c r="E114" s="261"/>
      <c r="F114" s="261"/>
      <c r="G114" s="261"/>
      <c r="H114" s="261"/>
      <c r="I114" s="261"/>
      <c r="J114" s="261"/>
      <c r="K114" s="261"/>
      <c r="L114" s="261"/>
      <c r="M114" s="261"/>
      <c r="N114" s="261"/>
      <c r="O114" s="261"/>
      <c r="P114" s="261"/>
    </row>
    <row r="115" spans="1:16" ht="20.25">
      <c r="A115" s="259" t="s">
        <v>17</v>
      </c>
      <c r="B115" s="259"/>
      <c r="C115" s="259"/>
      <c r="D115" s="259"/>
      <c r="E115" s="259"/>
      <c r="F115" s="259"/>
      <c r="G115" s="259"/>
      <c r="H115" s="259"/>
      <c r="I115" s="259"/>
      <c r="J115" s="259"/>
      <c r="K115" s="259"/>
      <c r="L115" s="259"/>
      <c r="M115" s="259"/>
      <c r="N115" s="259"/>
      <c r="O115" s="259"/>
      <c r="P115" s="259"/>
    </row>
    <row r="116" spans="1:16" ht="85.5">
      <c r="A116" s="25" t="s">
        <v>0</v>
      </c>
      <c r="B116" s="25" t="s">
        <v>105</v>
      </c>
      <c r="C116" s="25" t="s">
        <v>1</v>
      </c>
      <c r="D116" s="25" t="s">
        <v>106</v>
      </c>
      <c r="E116" s="25" t="s">
        <v>3</v>
      </c>
      <c r="F116" s="25" t="s">
        <v>4</v>
      </c>
      <c r="G116" s="25" t="s">
        <v>107</v>
      </c>
      <c r="H116" s="25" t="s">
        <v>108</v>
      </c>
      <c r="I116" s="25" t="s">
        <v>99</v>
      </c>
      <c r="J116" s="25" t="s">
        <v>5</v>
      </c>
      <c r="K116" s="25" t="s">
        <v>6</v>
      </c>
      <c r="L116" s="25" t="s">
        <v>7</v>
      </c>
      <c r="M116" s="26" t="s">
        <v>8</v>
      </c>
      <c r="N116" s="26" t="s">
        <v>9</v>
      </c>
      <c r="O116" s="25" t="s">
        <v>10</v>
      </c>
      <c r="P116" s="24" t="s">
        <v>11</v>
      </c>
    </row>
    <row r="117" spans="1:16">
      <c r="A117" s="1">
        <v>1</v>
      </c>
      <c r="B117" s="25">
        <v>2</v>
      </c>
      <c r="C117" s="25">
        <v>3</v>
      </c>
      <c r="D117" s="25">
        <v>4</v>
      </c>
      <c r="E117" s="25">
        <v>5</v>
      </c>
      <c r="F117" s="25">
        <v>6</v>
      </c>
      <c r="G117" s="25">
        <v>7</v>
      </c>
      <c r="H117" s="25">
        <v>8</v>
      </c>
      <c r="I117" s="25">
        <v>9</v>
      </c>
      <c r="J117" s="25">
        <v>10</v>
      </c>
      <c r="K117" s="25">
        <v>11</v>
      </c>
      <c r="L117" s="25">
        <v>12</v>
      </c>
      <c r="M117" s="25">
        <v>13</v>
      </c>
      <c r="N117" s="25">
        <v>14</v>
      </c>
      <c r="O117" s="25">
        <v>15</v>
      </c>
      <c r="P117" s="25">
        <v>16</v>
      </c>
    </row>
    <row r="118" spans="1:16" ht="30">
      <c r="A118" s="213">
        <v>1</v>
      </c>
      <c r="B118" s="217" t="s">
        <v>154</v>
      </c>
      <c r="C118" s="217" t="s">
        <v>155</v>
      </c>
      <c r="D118" s="274" t="s">
        <v>27</v>
      </c>
      <c r="E118" s="274"/>
      <c r="F118" s="274"/>
      <c r="G118" s="274"/>
      <c r="H118" s="274"/>
      <c r="I118" s="274"/>
      <c r="J118" s="274"/>
      <c r="K118" s="274"/>
      <c r="L118" s="274"/>
      <c r="M118" s="274"/>
      <c r="N118" s="274"/>
      <c r="O118" s="274"/>
      <c r="P118" s="274"/>
    </row>
    <row r="119" spans="1:16">
      <c r="A119" s="213">
        <v>2</v>
      </c>
      <c r="B119" s="161" t="s">
        <v>156</v>
      </c>
      <c r="C119" s="217" t="s">
        <v>157</v>
      </c>
      <c r="D119" s="274" t="s">
        <v>27</v>
      </c>
      <c r="E119" s="274"/>
      <c r="F119" s="274"/>
      <c r="G119" s="274"/>
      <c r="H119" s="274"/>
      <c r="I119" s="274"/>
      <c r="J119" s="274"/>
      <c r="K119" s="274"/>
      <c r="L119" s="274"/>
      <c r="M119" s="274"/>
      <c r="N119" s="274"/>
      <c r="O119" s="274"/>
      <c r="P119" s="274"/>
    </row>
    <row r="120" spans="1:16">
      <c r="A120" s="213">
        <v>3</v>
      </c>
      <c r="B120" s="217" t="s">
        <v>158</v>
      </c>
      <c r="C120" s="217" t="s">
        <v>157</v>
      </c>
      <c r="D120" s="274" t="s">
        <v>27</v>
      </c>
      <c r="E120" s="274"/>
      <c r="F120" s="274"/>
      <c r="G120" s="274"/>
      <c r="H120" s="274"/>
      <c r="I120" s="274"/>
      <c r="J120" s="274"/>
      <c r="K120" s="274"/>
      <c r="L120" s="274"/>
      <c r="M120" s="274"/>
      <c r="N120" s="274"/>
      <c r="O120" s="274"/>
      <c r="P120" s="274"/>
    </row>
    <row r="121" spans="1:16">
      <c r="A121" s="213">
        <v>4</v>
      </c>
      <c r="B121" s="217" t="s">
        <v>159</v>
      </c>
      <c r="C121" s="217" t="s">
        <v>157</v>
      </c>
      <c r="D121" s="274" t="s">
        <v>27</v>
      </c>
      <c r="E121" s="274"/>
      <c r="F121" s="274"/>
      <c r="G121" s="274"/>
      <c r="H121" s="274"/>
      <c r="I121" s="274"/>
      <c r="J121" s="274"/>
      <c r="K121" s="274"/>
      <c r="L121" s="274"/>
      <c r="M121" s="274"/>
      <c r="N121" s="274"/>
      <c r="O121" s="274"/>
      <c r="P121" s="274"/>
    </row>
    <row r="122" spans="1:16">
      <c r="A122" s="213">
        <v>5</v>
      </c>
      <c r="B122" s="161" t="s">
        <v>160</v>
      </c>
      <c r="C122" s="217" t="s">
        <v>157</v>
      </c>
      <c r="D122" s="274" t="s">
        <v>27</v>
      </c>
      <c r="E122" s="274"/>
      <c r="F122" s="274"/>
      <c r="G122" s="274"/>
      <c r="H122" s="274"/>
      <c r="I122" s="274"/>
      <c r="J122" s="274"/>
      <c r="K122" s="274"/>
      <c r="L122" s="274"/>
      <c r="M122" s="274"/>
      <c r="N122" s="274"/>
      <c r="O122" s="274"/>
      <c r="P122" s="274"/>
    </row>
    <row r="123" spans="1:16">
      <c r="A123" s="213">
        <v>6</v>
      </c>
      <c r="B123" s="217" t="s">
        <v>161</v>
      </c>
      <c r="C123" s="217" t="s">
        <v>157</v>
      </c>
      <c r="D123" s="274" t="s">
        <v>27</v>
      </c>
      <c r="E123" s="274"/>
      <c r="F123" s="274"/>
      <c r="G123" s="274"/>
      <c r="H123" s="274"/>
      <c r="I123" s="274"/>
      <c r="J123" s="274"/>
      <c r="K123" s="274"/>
      <c r="L123" s="274"/>
      <c r="M123" s="274"/>
      <c r="N123" s="274"/>
      <c r="O123" s="274"/>
      <c r="P123" s="274"/>
    </row>
    <row r="124" spans="1:16" ht="30">
      <c r="A124" s="213">
        <v>7</v>
      </c>
      <c r="B124" s="217" t="s">
        <v>162</v>
      </c>
      <c r="C124" s="217" t="s">
        <v>157</v>
      </c>
      <c r="D124" s="274" t="s">
        <v>12</v>
      </c>
      <c r="E124" s="274"/>
      <c r="F124" s="274"/>
      <c r="G124" s="274"/>
      <c r="H124" s="274"/>
      <c r="I124" s="274"/>
      <c r="J124" s="274"/>
      <c r="K124" s="274"/>
      <c r="L124" s="274"/>
      <c r="M124" s="274"/>
      <c r="N124" s="274"/>
      <c r="O124" s="274"/>
      <c r="P124" s="207" t="s">
        <v>163</v>
      </c>
    </row>
    <row r="125" spans="1:16" ht="165">
      <c r="A125" s="213">
        <v>8</v>
      </c>
      <c r="B125" s="217" t="s">
        <v>164</v>
      </c>
      <c r="C125" s="217"/>
      <c r="D125" s="217" t="s">
        <v>165</v>
      </c>
      <c r="E125" s="207">
        <v>11521.4</v>
      </c>
      <c r="F125" s="207" t="s">
        <v>166</v>
      </c>
      <c r="G125" s="213">
        <v>62.56</v>
      </c>
      <c r="H125" s="213" t="s">
        <v>167</v>
      </c>
      <c r="I125" s="213" t="s">
        <v>168</v>
      </c>
      <c r="J125" s="207" t="s">
        <v>169</v>
      </c>
      <c r="K125" s="239" t="s">
        <v>170</v>
      </c>
      <c r="L125" s="213" t="s">
        <v>39</v>
      </c>
      <c r="M125" s="207" t="s">
        <v>171</v>
      </c>
      <c r="N125" s="207" t="s">
        <v>171</v>
      </c>
      <c r="O125" s="213"/>
      <c r="P125" s="213"/>
    </row>
    <row r="126" spans="1:16">
      <c r="A126" s="213">
        <v>9</v>
      </c>
      <c r="B126" s="42" t="s">
        <v>172</v>
      </c>
      <c r="C126" s="70" t="s">
        <v>157</v>
      </c>
      <c r="D126" s="274" t="s">
        <v>27</v>
      </c>
      <c r="E126" s="274"/>
      <c r="F126" s="274"/>
      <c r="G126" s="274"/>
      <c r="H126" s="274"/>
      <c r="I126" s="274"/>
      <c r="J126" s="274"/>
      <c r="K126" s="274"/>
      <c r="L126" s="274"/>
      <c r="M126" s="274"/>
      <c r="N126" s="274"/>
      <c r="O126" s="274"/>
      <c r="P126" s="274"/>
    </row>
    <row r="127" spans="1:16">
      <c r="A127" s="213">
        <v>10</v>
      </c>
      <c r="B127" s="70" t="s">
        <v>173</v>
      </c>
      <c r="C127" s="70" t="s">
        <v>157</v>
      </c>
      <c r="D127" s="274" t="s">
        <v>27</v>
      </c>
      <c r="E127" s="274"/>
      <c r="F127" s="274"/>
      <c r="G127" s="274"/>
      <c r="H127" s="274"/>
      <c r="I127" s="274"/>
      <c r="J127" s="274"/>
      <c r="K127" s="274"/>
      <c r="L127" s="274"/>
      <c r="M127" s="274"/>
      <c r="N127" s="274"/>
      <c r="O127" s="274"/>
      <c r="P127" s="274"/>
    </row>
    <row r="128" spans="1:16">
      <c r="A128" s="213">
        <v>11</v>
      </c>
      <c r="B128" s="70" t="s">
        <v>174</v>
      </c>
      <c r="C128" s="70" t="s">
        <v>157</v>
      </c>
      <c r="D128" s="8" t="s">
        <v>46</v>
      </c>
      <c r="E128" s="8" t="s">
        <v>46</v>
      </c>
      <c r="F128" s="8" t="s">
        <v>46</v>
      </c>
      <c r="G128" s="8" t="s">
        <v>46</v>
      </c>
      <c r="H128" s="8" t="s">
        <v>46</v>
      </c>
      <c r="I128" s="8" t="s">
        <v>46</v>
      </c>
      <c r="J128" s="8" t="s">
        <v>46</v>
      </c>
      <c r="K128" s="8" t="s">
        <v>46</v>
      </c>
      <c r="L128" s="8" t="s">
        <v>46</v>
      </c>
      <c r="M128" s="8" t="s">
        <v>46</v>
      </c>
      <c r="N128" s="8" t="s">
        <v>46</v>
      </c>
      <c r="O128" s="8" t="s">
        <v>46</v>
      </c>
      <c r="P128" s="207" t="s">
        <v>175</v>
      </c>
    </row>
    <row r="129" spans="1:16">
      <c r="A129" s="213">
        <v>12</v>
      </c>
      <c r="B129" s="70" t="s">
        <v>176</v>
      </c>
      <c r="C129" s="70" t="s">
        <v>157</v>
      </c>
      <c r="D129" s="274" t="s">
        <v>12</v>
      </c>
      <c r="E129" s="274"/>
      <c r="F129" s="274"/>
      <c r="G129" s="274"/>
      <c r="H129" s="274"/>
      <c r="I129" s="274"/>
      <c r="J129" s="274"/>
      <c r="K129" s="274"/>
      <c r="L129" s="274"/>
      <c r="M129" s="274"/>
      <c r="N129" s="274"/>
      <c r="O129" s="274"/>
      <c r="P129" s="213" t="s">
        <v>27</v>
      </c>
    </row>
    <row r="130" spans="1:16">
      <c r="A130" s="213">
        <v>13</v>
      </c>
      <c r="B130" s="70" t="s">
        <v>177</v>
      </c>
      <c r="C130" s="70" t="s">
        <v>157</v>
      </c>
      <c r="D130" s="274" t="s">
        <v>27</v>
      </c>
      <c r="E130" s="274"/>
      <c r="F130" s="274"/>
      <c r="G130" s="274"/>
      <c r="H130" s="274"/>
      <c r="I130" s="274"/>
      <c r="J130" s="274"/>
      <c r="K130" s="274"/>
      <c r="L130" s="274"/>
      <c r="M130" s="274"/>
      <c r="N130" s="274"/>
      <c r="O130" s="274"/>
      <c r="P130" s="274"/>
    </row>
    <row r="131" spans="1:16">
      <c r="A131" s="213">
        <v>14</v>
      </c>
      <c r="B131" s="70" t="s">
        <v>178</v>
      </c>
      <c r="C131" s="70" t="s">
        <v>157</v>
      </c>
      <c r="D131" s="274" t="s">
        <v>27</v>
      </c>
      <c r="E131" s="274"/>
      <c r="F131" s="274"/>
      <c r="G131" s="274"/>
      <c r="H131" s="274"/>
      <c r="I131" s="274"/>
      <c r="J131" s="274"/>
      <c r="K131" s="274"/>
      <c r="L131" s="274"/>
      <c r="M131" s="274"/>
      <c r="N131" s="274"/>
      <c r="O131" s="274"/>
      <c r="P131" s="274"/>
    </row>
    <row r="132" spans="1:16" ht="105">
      <c r="A132" s="213">
        <v>15</v>
      </c>
      <c r="B132" s="70" t="s">
        <v>179</v>
      </c>
      <c r="C132" s="217" t="s">
        <v>180</v>
      </c>
      <c r="D132" s="207" t="s">
        <v>181</v>
      </c>
      <c r="E132" s="213">
        <v>4370.62</v>
      </c>
      <c r="F132" s="213">
        <v>1983</v>
      </c>
      <c r="G132" s="213">
        <v>0.31</v>
      </c>
      <c r="H132" s="213"/>
      <c r="I132" s="213" t="s">
        <v>136</v>
      </c>
      <c r="J132" s="8" t="s">
        <v>46</v>
      </c>
      <c r="K132" s="8" t="s">
        <v>46</v>
      </c>
      <c r="L132" s="213" t="s">
        <v>134</v>
      </c>
      <c r="M132" s="207" t="s">
        <v>182</v>
      </c>
      <c r="N132" s="8" t="s">
        <v>46</v>
      </c>
      <c r="O132" s="8" t="s">
        <v>46</v>
      </c>
      <c r="P132" s="8" t="s">
        <v>46</v>
      </c>
    </row>
    <row r="133" spans="1:16">
      <c r="A133" s="213">
        <v>16</v>
      </c>
      <c r="B133" s="70" t="s">
        <v>183</v>
      </c>
      <c r="C133" s="70" t="s">
        <v>157</v>
      </c>
      <c r="D133" s="274" t="s">
        <v>27</v>
      </c>
      <c r="E133" s="274"/>
      <c r="F133" s="274"/>
      <c r="G133" s="274"/>
      <c r="H133" s="274"/>
      <c r="I133" s="274"/>
      <c r="J133" s="274"/>
      <c r="K133" s="274"/>
      <c r="L133" s="274"/>
      <c r="M133" s="274"/>
      <c r="N133" s="274"/>
      <c r="O133" s="274"/>
      <c r="P133" s="274"/>
    </row>
    <row r="134" spans="1:16">
      <c r="A134" s="213">
        <v>17</v>
      </c>
      <c r="B134" s="70" t="s">
        <v>184</v>
      </c>
      <c r="C134" s="70" t="s">
        <v>157</v>
      </c>
      <c r="D134" s="274" t="s">
        <v>27</v>
      </c>
      <c r="E134" s="274"/>
      <c r="F134" s="274"/>
      <c r="G134" s="274"/>
      <c r="H134" s="274"/>
      <c r="I134" s="274"/>
      <c r="J134" s="274"/>
      <c r="K134" s="274"/>
      <c r="L134" s="274"/>
      <c r="M134" s="274"/>
      <c r="N134" s="274"/>
      <c r="O134" s="274"/>
      <c r="P134" s="274"/>
    </row>
    <row r="135" spans="1:16">
      <c r="A135" s="213">
        <v>18</v>
      </c>
      <c r="B135" s="70" t="s">
        <v>185</v>
      </c>
      <c r="C135" s="70" t="s">
        <v>157</v>
      </c>
      <c r="D135" s="274" t="s">
        <v>27</v>
      </c>
      <c r="E135" s="274"/>
      <c r="F135" s="274"/>
      <c r="G135" s="274"/>
      <c r="H135" s="274"/>
      <c r="I135" s="274"/>
      <c r="J135" s="274"/>
      <c r="K135" s="274"/>
      <c r="L135" s="274"/>
      <c r="M135" s="274"/>
      <c r="N135" s="274"/>
      <c r="O135" s="274"/>
      <c r="P135" s="274"/>
    </row>
    <row r="136" spans="1:16">
      <c r="A136" s="213">
        <v>19</v>
      </c>
      <c r="B136" s="42" t="s">
        <v>186</v>
      </c>
      <c r="C136" s="70" t="s">
        <v>157</v>
      </c>
      <c r="D136" s="274" t="s">
        <v>27</v>
      </c>
      <c r="E136" s="274"/>
      <c r="F136" s="274"/>
      <c r="G136" s="274"/>
      <c r="H136" s="274"/>
      <c r="I136" s="274"/>
      <c r="J136" s="274"/>
      <c r="K136" s="274"/>
      <c r="L136" s="274"/>
      <c r="M136" s="274"/>
      <c r="N136" s="274"/>
      <c r="O136" s="274"/>
      <c r="P136" s="274"/>
    </row>
    <row r="137" spans="1:16">
      <c r="A137" s="213">
        <v>20</v>
      </c>
      <c r="B137" s="42" t="s">
        <v>187</v>
      </c>
      <c r="C137" s="70" t="s">
        <v>157</v>
      </c>
      <c r="D137" s="274" t="s">
        <v>27</v>
      </c>
      <c r="E137" s="274"/>
      <c r="F137" s="274"/>
      <c r="G137" s="274"/>
      <c r="H137" s="274"/>
      <c r="I137" s="274"/>
      <c r="J137" s="274"/>
      <c r="K137" s="274"/>
      <c r="L137" s="274"/>
      <c r="M137" s="274"/>
      <c r="N137" s="274"/>
      <c r="O137" s="274"/>
      <c r="P137" s="274"/>
    </row>
    <row r="138" spans="1:16">
      <c r="A138" s="213">
        <v>21</v>
      </c>
      <c r="B138" s="70" t="s">
        <v>188</v>
      </c>
      <c r="C138" s="70" t="s">
        <v>157</v>
      </c>
      <c r="D138" s="274" t="s">
        <v>27</v>
      </c>
      <c r="E138" s="274"/>
      <c r="F138" s="274"/>
      <c r="G138" s="274"/>
      <c r="H138" s="274"/>
      <c r="I138" s="274"/>
      <c r="J138" s="274"/>
      <c r="K138" s="274"/>
      <c r="L138" s="274"/>
      <c r="M138" s="274"/>
      <c r="N138" s="274"/>
      <c r="O138" s="274"/>
      <c r="P138" s="274"/>
    </row>
    <row r="139" spans="1:16">
      <c r="A139" s="213">
        <v>22</v>
      </c>
      <c r="B139" s="70" t="s">
        <v>189</v>
      </c>
      <c r="C139" s="70" t="s">
        <v>157</v>
      </c>
      <c r="D139" s="274" t="s">
        <v>27</v>
      </c>
      <c r="E139" s="274"/>
      <c r="F139" s="274"/>
      <c r="G139" s="274"/>
      <c r="H139" s="274"/>
      <c r="I139" s="274"/>
      <c r="J139" s="274"/>
      <c r="K139" s="274"/>
      <c r="L139" s="274"/>
      <c r="M139" s="274"/>
      <c r="N139" s="274"/>
      <c r="O139" s="274"/>
      <c r="P139" s="274"/>
    </row>
    <row r="140" spans="1:16">
      <c r="A140" s="213">
        <v>23</v>
      </c>
      <c r="B140" s="70" t="s">
        <v>190</v>
      </c>
      <c r="C140" s="70" t="s">
        <v>157</v>
      </c>
      <c r="D140" s="274" t="s">
        <v>27</v>
      </c>
      <c r="E140" s="274"/>
      <c r="F140" s="274"/>
      <c r="G140" s="274"/>
      <c r="H140" s="274"/>
      <c r="I140" s="274"/>
      <c r="J140" s="274"/>
      <c r="K140" s="274"/>
      <c r="L140" s="274"/>
      <c r="M140" s="274"/>
      <c r="N140" s="274"/>
      <c r="O140" s="274"/>
      <c r="P140" s="274"/>
    </row>
    <row r="141" spans="1:16">
      <c r="A141" s="213">
        <v>24</v>
      </c>
      <c r="B141" s="70" t="s">
        <v>191</v>
      </c>
      <c r="C141" s="70" t="s">
        <v>157</v>
      </c>
      <c r="D141" s="274" t="s">
        <v>27</v>
      </c>
      <c r="E141" s="274"/>
      <c r="F141" s="274"/>
      <c r="G141" s="274"/>
      <c r="H141" s="274"/>
      <c r="I141" s="274"/>
      <c r="J141" s="274"/>
      <c r="K141" s="274"/>
      <c r="L141" s="274"/>
      <c r="M141" s="274"/>
      <c r="N141" s="274"/>
      <c r="O141" s="274"/>
      <c r="P141" s="274"/>
    </row>
    <row r="142" spans="1:16" ht="45">
      <c r="A142" s="213">
        <v>25</v>
      </c>
      <c r="B142" s="70" t="s">
        <v>192</v>
      </c>
      <c r="C142" s="70" t="s">
        <v>157</v>
      </c>
      <c r="D142" s="274" t="s">
        <v>27</v>
      </c>
      <c r="E142" s="274"/>
      <c r="F142" s="274"/>
      <c r="G142" s="274"/>
      <c r="H142" s="274"/>
      <c r="I142" s="274"/>
      <c r="J142" s="274"/>
      <c r="K142" s="274"/>
      <c r="L142" s="274"/>
      <c r="M142" s="274"/>
      <c r="N142" s="274"/>
      <c r="O142" s="274"/>
      <c r="P142" s="207" t="s">
        <v>193</v>
      </c>
    </row>
    <row r="143" spans="1:16">
      <c r="A143" s="213">
        <v>26</v>
      </c>
      <c r="B143" s="70" t="s">
        <v>194</v>
      </c>
      <c r="C143" s="70" t="s">
        <v>157</v>
      </c>
      <c r="D143" s="274" t="s">
        <v>27</v>
      </c>
      <c r="E143" s="274"/>
      <c r="F143" s="274"/>
      <c r="G143" s="274"/>
      <c r="H143" s="274"/>
      <c r="I143" s="274"/>
      <c r="J143" s="274"/>
      <c r="K143" s="274"/>
      <c r="L143" s="274"/>
      <c r="M143" s="274"/>
      <c r="N143" s="274"/>
      <c r="O143" s="274"/>
      <c r="P143" s="213" t="s">
        <v>27</v>
      </c>
    </row>
    <row r="144" spans="1:16" ht="30">
      <c r="A144" s="213">
        <v>27</v>
      </c>
      <c r="B144" s="217" t="s">
        <v>195</v>
      </c>
      <c r="C144" s="70" t="s">
        <v>157</v>
      </c>
      <c r="D144" s="274" t="s">
        <v>27</v>
      </c>
      <c r="E144" s="274"/>
      <c r="F144" s="274"/>
      <c r="G144" s="274"/>
      <c r="H144" s="274"/>
      <c r="I144" s="274"/>
      <c r="J144" s="274"/>
      <c r="K144" s="274"/>
      <c r="L144" s="274"/>
      <c r="M144" s="274"/>
      <c r="N144" s="274"/>
      <c r="O144" s="274"/>
      <c r="P144" s="213" t="s">
        <v>27</v>
      </c>
    </row>
    <row r="145" spans="1:16">
      <c r="A145" s="213">
        <v>28</v>
      </c>
      <c r="B145" s="70" t="s">
        <v>196</v>
      </c>
      <c r="C145" s="70" t="s">
        <v>157</v>
      </c>
      <c r="D145" s="274" t="s">
        <v>27</v>
      </c>
      <c r="E145" s="274"/>
      <c r="F145" s="274"/>
      <c r="G145" s="274"/>
      <c r="H145" s="274"/>
      <c r="I145" s="274"/>
      <c r="J145" s="274"/>
      <c r="K145" s="274"/>
      <c r="L145" s="274"/>
      <c r="M145" s="274"/>
      <c r="N145" s="274"/>
      <c r="O145" s="274"/>
      <c r="P145" s="213" t="s">
        <v>27</v>
      </c>
    </row>
    <row r="146" spans="1:16">
      <c r="A146" s="213">
        <v>29</v>
      </c>
      <c r="B146" s="70" t="s">
        <v>197</v>
      </c>
      <c r="C146" s="70" t="s">
        <v>157</v>
      </c>
      <c r="D146" s="274" t="s">
        <v>27</v>
      </c>
      <c r="E146" s="274"/>
      <c r="F146" s="274"/>
      <c r="G146" s="274"/>
      <c r="H146" s="274"/>
      <c r="I146" s="274"/>
      <c r="J146" s="274"/>
      <c r="K146" s="274"/>
      <c r="L146" s="274"/>
      <c r="M146" s="274"/>
      <c r="N146" s="274"/>
      <c r="O146" s="274"/>
      <c r="P146" s="213" t="s">
        <v>27</v>
      </c>
    </row>
    <row r="147" spans="1:16">
      <c r="A147" s="213">
        <v>30</v>
      </c>
      <c r="B147" s="70" t="s">
        <v>198</v>
      </c>
      <c r="C147" s="70" t="s">
        <v>157</v>
      </c>
      <c r="D147" s="274" t="s">
        <v>27</v>
      </c>
      <c r="E147" s="274"/>
      <c r="F147" s="274"/>
      <c r="G147" s="274"/>
      <c r="H147" s="274"/>
      <c r="I147" s="274"/>
      <c r="J147" s="274"/>
      <c r="K147" s="274"/>
      <c r="L147" s="274"/>
      <c r="M147" s="274"/>
      <c r="N147" s="274"/>
      <c r="O147" s="274"/>
      <c r="P147" s="213" t="s">
        <v>27</v>
      </c>
    </row>
    <row r="148" spans="1:16">
      <c r="A148" s="216">
        <v>31</v>
      </c>
      <c r="B148" s="42" t="s">
        <v>199</v>
      </c>
      <c r="C148" s="70" t="s">
        <v>157</v>
      </c>
      <c r="D148" s="274" t="s">
        <v>27</v>
      </c>
      <c r="E148" s="274"/>
      <c r="F148" s="274"/>
      <c r="G148" s="274"/>
      <c r="H148" s="274"/>
      <c r="I148" s="274"/>
      <c r="J148" s="274"/>
      <c r="K148" s="274"/>
      <c r="L148" s="274"/>
      <c r="M148" s="274"/>
      <c r="N148" s="274"/>
      <c r="O148" s="274"/>
      <c r="P148" s="213" t="s">
        <v>27</v>
      </c>
    </row>
    <row r="149" spans="1:16">
      <c r="A149" s="292"/>
      <c r="B149" s="292"/>
      <c r="C149" s="292"/>
      <c r="D149" s="292"/>
      <c r="E149" s="292"/>
      <c r="F149" s="292"/>
      <c r="G149" s="292"/>
      <c r="H149" s="292"/>
      <c r="I149" s="292"/>
      <c r="J149" s="292"/>
      <c r="K149" s="292"/>
      <c r="L149" s="292"/>
      <c r="M149" s="292"/>
      <c r="N149" s="292"/>
      <c r="O149" s="292"/>
      <c r="P149" s="292"/>
    </row>
    <row r="150" spans="1:16" ht="20.25" customHeight="1">
      <c r="A150" s="259" t="s">
        <v>28</v>
      </c>
      <c r="B150" s="259"/>
      <c r="C150" s="259"/>
      <c r="D150" s="259"/>
      <c r="E150" s="259"/>
      <c r="F150" s="259"/>
      <c r="G150" s="259"/>
      <c r="H150" s="259"/>
      <c r="I150" s="259"/>
      <c r="J150" s="259"/>
      <c r="K150" s="259"/>
      <c r="L150" s="259"/>
      <c r="M150" s="259"/>
      <c r="N150" s="259"/>
      <c r="O150" s="259"/>
      <c r="P150" s="293"/>
    </row>
    <row r="151" spans="1:16" ht="102.75" customHeight="1">
      <c r="A151" s="25" t="s">
        <v>0</v>
      </c>
      <c r="B151" s="25" t="s">
        <v>102</v>
      </c>
      <c r="C151" s="25" t="s">
        <v>1</v>
      </c>
      <c r="D151" s="25" t="s">
        <v>109</v>
      </c>
      <c r="E151" s="26" t="s">
        <v>19</v>
      </c>
      <c r="F151" s="26" t="s">
        <v>20</v>
      </c>
      <c r="G151" s="25" t="s">
        <v>100</v>
      </c>
      <c r="H151" s="25" t="s">
        <v>101</v>
      </c>
      <c r="I151" s="25" t="s">
        <v>22</v>
      </c>
      <c r="J151" s="25" t="s">
        <v>5</v>
      </c>
      <c r="K151" s="25" t="s">
        <v>6</v>
      </c>
      <c r="L151" s="25" t="s">
        <v>23</v>
      </c>
      <c r="M151" s="25" t="s">
        <v>24</v>
      </c>
      <c r="N151" s="26" t="s">
        <v>25</v>
      </c>
      <c r="O151" s="24" t="s">
        <v>26</v>
      </c>
      <c r="P151" s="293"/>
    </row>
    <row r="152" spans="1:16" ht="15" customHeight="1">
      <c r="A152" s="219">
        <v>1</v>
      </c>
      <c r="B152" s="224">
        <v>2</v>
      </c>
      <c r="C152" s="224">
        <v>3</v>
      </c>
      <c r="D152" s="224">
        <v>4</v>
      </c>
      <c r="E152" s="224">
        <v>5</v>
      </c>
      <c r="F152" s="224">
        <v>6</v>
      </c>
      <c r="G152" s="224">
        <v>7</v>
      </c>
      <c r="H152" s="224">
        <v>8</v>
      </c>
      <c r="I152" s="224">
        <v>9</v>
      </c>
      <c r="J152" s="224">
        <v>10</v>
      </c>
      <c r="K152" s="224">
        <v>11</v>
      </c>
      <c r="L152" s="224">
        <v>12</v>
      </c>
      <c r="M152" s="224">
        <v>13</v>
      </c>
      <c r="N152" s="224">
        <v>14</v>
      </c>
      <c r="O152" s="224">
        <v>15</v>
      </c>
      <c r="P152" s="293"/>
    </row>
    <row r="153" spans="1:16" ht="30">
      <c r="A153" s="207">
        <v>1</v>
      </c>
      <c r="B153" s="217" t="s">
        <v>154</v>
      </c>
      <c r="C153" s="217" t="s">
        <v>155</v>
      </c>
      <c r="D153" s="267" t="s">
        <v>27</v>
      </c>
      <c r="E153" s="267"/>
      <c r="F153" s="267"/>
      <c r="G153" s="267"/>
      <c r="H153" s="267"/>
      <c r="I153" s="267"/>
      <c r="J153" s="267"/>
      <c r="K153" s="267"/>
      <c r="L153" s="267"/>
      <c r="M153" s="267"/>
      <c r="N153" s="267"/>
      <c r="O153" s="267"/>
      <c r="P153" s="293"/>
    </row>
    <row r="154" spans="1:16" ht="15" customHeight="1">
      <c r="A154" s="207">
        <v>2</v>
      </c>
      <c r="B154" s="161" t="s">
        <v>156</v>
      </c>
      <c r="C154" s="217" t="s">
        <v>157</v>
      </c>
      <c r="D154" s="267" t="s">
        <v>27</v>
      </c>
      <c r="E154" s="267"/>
      <c r="F154" s="267"/>
      <c r="G154" s="267"/>
      <c r="H154" s="267"/>
      <c r="I154" s="267"/>
      <c r="J154" s="267"/>
      <c r="K154" s="267"/>
      <c r="L154" s="267"/>
      <c r="M154" s="267"/>
      <c r="N154" s="267"/>
      <c r="O154" s="267"/>
      <c r="P154" s="293"/>
    </row>
    <row r="155" spans="1:16" ht="15" customHeight="1">
      <c r="A155" s="207">
        <v>3</v>
      </c>
      <c r="B155" s="217" t="s">
        <v>158</v>
      </c>
      <c r="C155" s="217" t="s">
        <v>157</v>
      </c>
      <c r="D155" s="267" t="s">
        <v>27</v>
      </c>
      <c r="E155" s="267"/>
      <c r="F155" s="267"/>
      <c r="G155" s="267"/>
      <c r="H155" s="267"/>
      <c r="I155" s="267"/>
      <c r="J155" s="267"/>
      <c r="K155" s="267"/>
      <c r="L155" s="267"/>
      <c r="M155" s="267"/>
      <c r="N155" s="267"/>
      <c r="O155" s="267"/>
      <c r="P155" s="293"/>
    </row>
    <row r="156" spans="1:16" ht="15" customHeight="1">
      <c r="A156" s="207">
        <v>4</v>
      </c>
      <c r="B156" s="217" t="s">
        <v>159</v>
      </c>
      <c r="C156" s="217" t="s">
        <v>157</v>
      </c>
      <c r="D156" s="267" t="s">
        <v>27</v>
      </c>
      <c r="E156" s="267"/>
      <c r="F156" s="267"/>
      <c r="G156" s="267"/>
      <c r="H156" s="267"/>
      <c r="I156" s="267"/>
      <c r="J156" s="267"/>
      <c r="K156" s="267"/>
      <c r="L156" s="267"/>
      <c r="M156" s="267"/>
      <c r="N156" s="267"/>
      <c r="O156" s="267"/>
      <c r="P156" s="293"/>
    </row>
    <row r="157" spans="1:16" ht="15" customHeight="1">
      <c r="A157" s="207">
        <v>5</v>
      </c>
      <c r="B157" s="161" t="s">
        <v>160</v>
      </c>
      <c r="C157" s="217" t="s">
        <v>157</v>
      </c>
      <c r="D157" s="267" t="s">
        <v>27</v>
      </c>
      <c r="E157" s="267"/>
      <c r="F157" s="267"/>
      <c r="G157" s="267"/>
      <c r="H157" s="267"/>
      <c r="I157" s="267"/>
      <c r="J157" s="267"/>
      <c r="K157" s="267"/>
      <c r="L157" s="267"/>
      <c r="M157" s="267"/>
      <c r="N157" s="267"/>
      <c r="O157" s="267"/>
      <c r="P157" s="293"/>
    </row>
    <row r="158" spans="1:16" ht="15" customHeight="1">
      <c r="A158" s="207">
        <v>6</v>
      </c>
      <c r="B158" s="217" t="s">
        <v>161</v>
      </c>
      <c r="C158" s="217" t="s">
        <v>157</v>
      </c>
      <c r="D158" s="267" t="s">
        <v>27</v>
      </c>
      <c r="E158" s="267"/>
      <c r="F158" s="267"/>
      <c r="G158" s="267"/>
      <c r="H158" s="267"/>
      <c r="I158" s="267"/>
      <c r="J158" s="267"/>
      <c r="K158" s="267"/>
      <c r="L158" s="267"/>
      <c r="M158" s="267"/>
      <c r="N158" s="267"/>
      <c r="O158" s="267"/>
      <c r="P158" s="293"/>
    </row>
    <row r="159" spans="1:16" ht="30">
      <c r="A159" s="207">
        <v>7</v>
      </c>
      <c r="B159" s="217" t="s">
        <v>162</v>
      </c>
      <c r="C159" s="217" t="s">
        <v>157</v>
      </c>
      <c r="D159" s="267" t="s">
        <v>27</v>
      </c>
      <c r="E159" s="267"/>
      <c r="F159" s="267"/>
      <c r="G159" s="267"/>
      <c r="H159" s="267"/>
      <c r="I159" s="267"/>
      <c r="J159" s="267"/>
      <c r="K159" s="267"/>
      <c r="L159" s="267"/>
      <c r="M159" s="267"/>
      <c r="N159" s="267"/>
      <c r="O159" s="267"/>
      <c r="P159" s="293"/>
    </row>
    <row r="160" spans="1:16" ht="15" customHeight="1">
      <c r="A160" s="207">
        <v>8</v>
      </c>
      <c r="B160" s="217" t="s">
        <v>164</v>
      </c>
      <c r="C160" s="217" t="s">
        <v>157</v>
      </c>
      <c r="D160" s="267" t="s">
        <v>27</v>
      </c>
      <c r="E160" s="267"/>
      <c r="F160" s="267"/>
      <c r="G160" s="267"/>
      <c r="H160" s="267"/>
      <c r="I160" s="267"/>
      <c r="J160" s="267"/>
      <c r="K160" s="267"/>
      <c r="L160" s="267"/>
      <c r="M160" s="267"/>
      <c r="N160" s="267"/>
      <c r="O160" s="267"/>
      <c r="P160" s="293"/>
    </row>
    <row r="161" spans="1:16" ht="15" customHeight="1">
      <c r="A161" s="207">
        <v>9</v>
      </c>
      <c r="B161" s="161" t="s">
        <v>172</v>
      </c>
      <c r="C161" s="217" t="s">
        <v>157</v>
      </c>
      <c r="D161" s="267" t="s">
        <v>27</v>
      </c>
      <c r="E161" s="267"/>
      <c r="F161" s="267"/>
      <c r="G161" s="267"/>
      <c r="H161" s="267"/>
      <c r="I161" s="267"/>
      <c r="J161" s="267"/>
      <c r="K161" s="267"/>
      <c r="L161" s="267"/>
      <c r="M161" s="267"/>
      <c r="N161" s="267"/>
      <c r="O161" s="267"/>
      <c r="P161" s="293"/>
    </row>
    <row r="162" spans="1:16" ht="15" customHeight="1">
      <c r="A162" s="207">
        <v>10</v>
      </c>
      <c r="B162" s="217" t="s">
        <v>173</v>
      </c>
      <c r="C162" s="217" t="s">
        <v>157</v>
      </c>
      <c r="D162" s="267" t="s">
        <v>27</v>
      </c>
      <c r="E162" s="267"/>
      <c r="F162" s="267"/>
      <c r="G162" s="267"/>
      <c r="H162" s="267"/>
      <c r="I162" s="267"/>
      <c r="J162" s="267"/>
      <c r="K162" s="267"/>
      <c r="L162" s="267"/>
      <c r="M162" s="267"/>
      <c r="N162" s="267"/>
      <c r="O162" s="267"/>
      <c r="P162" s="293"/>
    </row>
    <row r="163" spans="1:16" ht="15" customHeight="1">
      <c r="A163" s="207">
        <v>11</v>
      </c>
      <c r="B163" s="217" t="s">
        <v>174</v>
      </c>
      <c r="C163" s="217" t="s">
        <v>157</v>
      </c>
      <c r="D163" s="267" t="s">
        <v>27</v>
      </c>
      <c r="E163" s="267"/>
      <c r="F163" s="267"/>
      <c r="G163" s="267"/>
      <c r="H163" s="267"/>
      <c r="I163" s="267"/>
      <c r="J163" s="267"/>
      <c r="K163" s="267"/>
      <c r="L163" s="267"/>
      <c r="M163" s="267"/>
      <c r="N163" s="267"/>
      <c r="O163" s="207" t="s">
        <v>200</v>
      </c>
      <c r="P163" s="293"/>
    </row>
    <row r="164" spans="1:16" ht="15" customHeight="1">
      <c r="A164" s="207">
        <v>12</v>
      </c>
      <c r="B164" s="217" t="s">
        <v>176</v>
      </c>
      <c r="C164" s="217" t="s">
        <v>157</v>
      </c>
      <c r="D164" s="267" t="s">
        <v>27</v>
      </c>
      <c r="E164" s="267"/>
      <c r="F164" s="267"/>
      <c r="G164" s="267"/>
      <c r="H164" s="267"/>
      <c r="I164" s="267"/>
      <c r="J164" s="267"/>
      <c r="K164" s="267"/>
      <c r="L164" s="267"/>
      <c r="M164" s="267"/>
      <c r="N164" s="267"/>
      <c r="O164" s="267"/>
      <c r="P164" s="293"/>
    </row>
    <row r="165" spans="1:16" ht="15" customHeight="1">
      <c r="A165" s="207">
        <v>13</v>
      </c>
      <c r="B165" s="217" t="s">
        <v>177</v>
      </c>
      <c r="C165" s="217" t="s">
        <v>157</v>
      </c>
      <c r="D165" s="267" t="s">
        <v>27</v>
      </c>
      <c r="E165" s="267"/>
      <c r="F165" s="267"/>
      <c r="G165" s="267"/>
      <c r="H165" s="267"/>
      <c r="I165" s="267"/>
      <c r="J165" s="267"/>
      <c r="K165" s="267"/>
      <c r="L165" s="267"/>
      <c r="M165" s="267"/>
      <c r="N165" s="267"/>
      <c r="O165" s="267"/>
      <c r="P165" s="293"/>
    </row>
    <row r="166" spans="1:16" ht="15" customHeight="1">
      <c r="A166" s="207">
        <v>14</v>
      </c>
      <c r="B166" s="217" t="s">
        <v>178</v>
      </c>
      <c r="C166" s="217" t="s">
        <v>157</v>
      </c>
      <c r="D166" s="267" t="s">
        <v>27</v>
      </c>
      <c r="E166" s="267"/>
      <c r="F166" s="267"/>
      <c r="G166" s="267"/>
      <c r="H166" s="267"/>
      <c r="I166" s="267"/>
      <c r="J166" s="267"/>
      <c r="K166" s="267"/>
      <c r="L166" s="267"/>
      <c r="M166" s="267"/>
      <c r="N166" s="267"/>
      <c r="O166" s="267"/>
      <c r="P166" s="293"/>
    </row>
    <row r="167" spans="1:16" ht="105">
      <c r="A167" s="207">
        <v>15</v>
      </c>
      <c r="B167" s="217" t="s">
        <v>179</v>
      </c>
      <c r="C167" s="217" t="s">
        <v>201</v>
      </c>
      <c r="D167" s="207" t="s">
        <v>181</v>
      </c>
      <c r="E167" s="207">
        <v>4370.62</v>
      </c>
      <c r="F167" s="207">
        <v>1983</v>
      </c>
      <c r="G167" s="207">
        <v>0.31</v>
      </c>
      <c r="H167" s="207"/>
      <c r="I167" s="207" t="s">
        <v>136</v>
      </c>
      <c r="J167" s="226" t="s">
        <v>46</v>
      </c>
      <c r="K167" s="226" t="s">
        <v>46</v>
      </c>
      <c r="L167" s="207" t="s">
        <v>134</v>
      </c>
      <c r="M167" s="207" t="s">
        <v>182</v>
      </c>
      <c r="N167" s="226" t="s">
        <v>46</v>
      </c>
      <c r="O167" s="226" t="s">
        <v>46</v>
      </c>
      <c r="P167" s="293"/>
    </row>
    <row r="168" spans="1:16" ht="15" customHeight="1">
      <c r="A168" s="207">
        <v>16</v>
      </c>
      <c r="B168" s="217" t="s">
        <v>183</v>
      </c>
      <c r="C168" s="217" t="s">
        <v>157</v>
      </c>
      <c r="D168" s="267" t="s">
        <v>27</v>
      </c>
      <c r="E168" s="267"/>
      <c r="F168" s="267"/>
      <c r="G168" s="267"/>
      <c r="H168" s="267"/>
      <c r="I168" s="267"/>
      <c r="J168" s="267"/>
      <c r="K168" s="267"/>
      <c r="L168" s="267"/>
      <c r="M168" s="267"/>
      <c r="N168" s="267"/>
      <c r="O168" s="267"/>
      <c r="P168" s="293"/>
    </row>
    <row r="169" spans="1:16" ht="15" customHeight="1">
      <c r="A169" s="207">
        <v>17</v>
      </c>
      <c r="B169" s="217" t="s">
        <v>184</v>
      </c>
      <c r="C169" s="217" t="s">
        <v>157</v>
      </c>
      <c r="D169" s="267" t="s">
        <v>27</v>
      </c>
      <c r="E169" s="267"/>
      <c r="F169" s="267"/>
      <c r="G169" s="267"/>
      <c r="H169" s="267"/>
      <c r="I169" s="267"/>
      <c r="J169" s="267"/>
      <c r="K169" s="267"/>
      <c r="L169" s="267"/>
      <c r="M169" s="267"/>
      <c r="N169" s="267"/>
      <c r="O169" s="267"/>
      <c r="P169" s="293"/>
    </row>
    <row r="170" spans="1:16" ht="15" customHeight="1">
      <c r="A170" s="207">
        <v>18</v>
      </c>
      <c r="B170" s="217" t="s">
        <v>185</v>
      </c>
      <c r="C170" s="217" t="s">
        <v>157</v>
      </c>
      <c r="D170" s="267" t="s">
        <v>27</v>
      </c>
      <c r="E170" s="267"/>
      <c r="F170" s="267"/>
      <c r="G170" s="267"/>
      <c r="H170" s="267"/>
      <c r="I170" s="267"/>
      <c r="J170" s="267"/>
      <c r="K170" s="267"/>
      <c r="L170" s="267"/>
      <c r="M170" s="267"/>
      <c r="N170" s="267"/>
      <c r="O170" s="267"/>
      <c r="P170" s="293"/>
    </row>
    <row r="171" spans="1:16" ht="15" customHeight="1">
      <c r="A171" s="207">
        <v>19</v>
      </c>
      <c r="B171" s="161" t="s">
        <v>186</v>
      </c>
      <c r="C171" s="217" t="s">
        <v>157</v>
      </c>
      <c r="D171" s="267" t="s">
        <v>27</v>
      </c>
      <c r="E171" s="267"/>
      <c r="F171" s="267"/>
      <c r="G171" s="267"/>
      <c r="H171" s="267"/>
      <c r="I171" s="267"/>
      <c r="J171" s="267"/>
      <c r="K171" s="267"/>
      <c r="L171" s="267"/>
      <c r="M171" s="267"/>
      <c r="N171" s="267"/>
      <c r="O171" s="267"/>
      <c r="P171" s="293"/>
    </row>
    <row r="172" spans="1:16" ht="15" customHeight="1">
      <c r="A172" s="207">
        <v>20</v>
      </c>
      <c r="B172" s="161" t="s">
        <v>187</v>
      </c>
      <c r="C172" s="217" t="s">
        <v>157</v>
      </c>
      <c r="D172" s="267" t="s">
        <v>27</v>
      </c>
      <c r="E172" s="267"/>
      <c r="F172" s="267"/>
      <c r="G172" s="267"/>
      <c r="H172" s="267"/>
      <c r="I172" s="267"/>
      <c r="J172" s="267"/>
      <c r="K172" s="267"/>
      <c r="L172" s="267"/>
      <c r="M172" s="267"/>
      <c r="N172" s="267"/>
      <c r="O172" s="267"/>
      <c r="P172" s="293"/>
    </row>
    <row r="173" spans="1:16" ht="15" customHeight="1">
      <c r="A173" s="207">
        <v>21</v>
      </c>
      <c r="B173" s="217" t="s">
        <v>188</v>
      </c>
      <c r="C173" s="217" t="s">
        <v>157</v>
      </c>
      <c r="D173" s="267" t="s">
        <v>27</v>
      </c>
      <c r="E173" s="267"/>
      <c r="F173" s="267"/>
      <c r="G173" s="267"/>
      <c r="H173" s="267"/>
      <c r="I173" s="267"/>
      <c r="J173" s="267"/>
      <c r="K173" s="267"/>
      <c r="L173" s="267"/>
      <c r="M173" s="267"/>
      <c r="N173" s="267"/>
      <c r="O173" s="267"/>
      <c r="P173" s="293"/>
    </row>
    <row r="174" spans="1:16" ht="15" customHeight="1">
      <c r="A174" s="207">
        <v>22</v>
      </c>
      <c r="B174" s="217" t="s">
        <v>189</v>
      </c>
      <c r="C174" s="217" t="s">
        <v>157</v>
      </c>
      <c r="D174" s="267" t="s">
        <v>27</v>
      </c>
      <c r="E174" s="267"/>
      <c r="F174" s="267"/>
      <c r="G174" s="267"/>
      <c r="H174" s="267"/>
      <c r="I174" s="267"/>
      <c r="J174" s="267"/>
      <c r="K174" s="267"/>
      <c r="L174" s="267"/>
      <c r="M174" s="267"/>
      <c r="N174" s="267"/>
      <c r="O174" s="267"/>
      <c r="P174" s="293"/>
    </row>
    <row r="175" spans="1:16" ht="15" customHeight="1">
      <c r="A175" s="207">
        <v>23</v>
      </c>
      <c r="B175" s="217" t="s">
        <v>190</v>
      </c>
      <c r="C175" s="217" t="s">
        <v>157</v>
      </c>
      <c r="D175" s="267" t="s">
        <v>27</v>
      </c>
      <c r="E175" s="267"/>
      <c r="F175" s="267"/>
      <c r="G175" s="267"/>
      <c r="H175" s="267"/>
      <c r="I175" s="267"/>
      <c r="J175" s="267"/>
      <c r="K175" s="267"/>
      <c r="L175" s="267"/>
      <c r="M175" s="267"/>
      <c r="N175" s="267"/>
      <c r="O175" s="267"/>
      <c r="P175" s="293"/>
    </row>
    <row r="176" spans="1:16" ht="15" customHeight="1">
      <c r="A176" s="207">
        <v>24</v>
      </c>
      <c r="B176" s="217" t="s">
        <v>191</v>
      </c>
      <c r="C176" s="217" t="s">
        <v>157</v>
      </c>
      <c r="D176" s="267" t="s">
        <v>27</v>
      </c>
      <c r="E176" s="267"/>
      <c r="F176" s="267"/>
      <c r="G176" s="267"/>
      <c r="H176" s="267"/>
      <c r="I176" s="267"/>
      <c r="J176" s="267"/>
      <c r="K176" s="267"/>
      <c r="L176" s="267"/>
      <c r="M176" s="267"/>
      <c r="N176" s="267"/>
      <c r="O176" s="267"/>
      <c r="P176" s="293"/>
    </row>
    <row r="177" spans="1:16" ht="45">
      <c r="A177" s="207">
        <v>25</v>
      </c>
      <c r="B177" s="217" t="s">
        <v>192</v>
      </c>
      <c r="C177" s="267" t="s">
        <v>27</v>
      </c>
      <c r="D177" s="267"/>
      <c r="E177" s="267"/>
      <c r="F177" s="267"/>
      <c r="G177" s="267"/>
      <c r="H177" s="267"/>
      <c r="I177" s="267"/>
      <c r="J177" s="267"/>
      <c r="K177" s="267"/>
      <c r="L177" s="267"/>
      <c r="M177" s="267"/>
      <c r="N177" s="267"/>
      <c r="O177" s="207" t="s">
        <v>193</v>
      </c>
      <c r="P177" s="293"/>
    </row>
    <row r="178" spans="1:16" ht="15" customHeight="1">
      <c r="A178" s="207">
        <v>26</v>
      </c>
      <c r="B178" s="217" t="s">
        <v>194</v>
      </c>
      <c r="C178" s="217" t="s">
        <v>157</v>
      </c>
      <c r="D178" s="267" t="s">
        <v>27</v>
      </c>
      <c r="E178" s="267"/>
      <c r="F178" s="267"/>
      <c r="G178" s="267"/>
      <c r="H178" s="267"/>
      <c r="I178" s="267"/>
      <c r="J178" s="267"/>
      <c r="K178" s="267"/>
      <c r="L178" s="267"/>
      <c r="M178" s="267"/>
      <c r="N178" s="267"/>
      <c r="O178" s="267"/>
      <c r="P178" s="293"/>
    </row>
    <row r="179" spans="1:16" ht="30">
      <c r="A179" s="207">
        <v>27</v>
      </c>
      <c r="B179" s="217" t="s">
        <v>195</v>
      </c>
      <c r="C179" s="217" t="s">
        <v>157</v>
      </c>
      <c r="D179" s="267" t="s">
        <v>27</v>
      </c>
      <c r="E179" s="267"/>
      <c r="F179" s="267"/>
      <c r="G179" s="267"/>
      <c r="H179" s="267"/>
      <c r="I179" s="267"/>
      <c r="J179" s="267"/>
      <c r="K179" s="267"/>
      <c r="L179" s="267"/>
      <c r="M179" s="267"/>
      <c r="N179" s="267"/>
      <c r="O179" s="267"/>
      <c r="P179" s="293"/>
    </row>
    <row r="180" spans="1:16" ht="15" customHeight="1">
      <c r="A180" s="207">
        <v>28</v>
      </c>
      <c r="B180" s="217" t="s">
        <v>196</v>
      </c>
      <c r="C180" s="217" t="s">
        <v>157</v>
      </c>
      <c r="D180" s="267" t="s">
        <v>27</v>
      </c>
      <c r="E180" s="267"/>
      <c r="F180" s="267"/>
      <c r="G180" s="267"/>
      <c r="H180" s="267"/>
      <c r="I180" s="267"/>
      <c r="J180" s="267"/>
      <c r="K180" s="267"/>
      <c r="L180" s="267"/>
      <c r="M180" s="267"/>
      <c r="N180" s="267"/>
      <c r="O180" s="267"/>
      <c r="P180" s="293"/>
    </row>
    <row r="181" spans="1:16" ht="15" customHeight="1">
      <c r="A181" s="207">
        <v>29</v>
      </c>
      <c r="B181" s="217" t="s">
        <v>197</v>
      </c>
      <c r="C181" s="217" t="s">
        <v>157</v>
      </c>
      <c r="D181" s="267" t="s">
        <v>27</v>
      </c>
      <c r="E181" s="267"/>
      <c r="F181" s="267"/>
      <c r="G181" s="267"/>
      <c r="H181" s="267"/>
      <c r="I181" s="267"/>
      <c r="J181" s="267"/>
      <c r="K181" s="267"/>
      <c r="L181" s="267"/>
      <c r="M181" s="267"/>
      <c r="N181" s="267"/>
      <c r="O181" s="267"/>
      <c r="P181" s="293"/>
    </row>
    <row r="182" spans="1:16" ht="15" customHeight="1">
      <c r="A182" s="207">
        <v>30</v>
      </c>
      <c r="B182" s="217" t="s">
        <v>198</v>
      </c>
      <c r="C182" s="217" t="s">
        <v>157</v>
      </c>
      <c r="D182" s="267" t="s">
        <v>27</v>
      </c>
      <c r="E182" s="267"/>
      <c r="F182" s="267"/>
      <c r="G182" s="267"/>
      <c r="H182" s="267"/>
      <c r="I182" s="267"/>
      <c r="J182" s="267"/>
      <c r="K182" s="267"/>
      <c r="L182" s="267"/>
      <c r="M182" s="267"/>
      <c r="N182" s="267"/>
      <c r="O182" s="267"/>
      <c r="P182" s="293"/>
    </row>
    <row r="183" spans="1:16" ht="15" customHeight="1">
      <c r="A183" s="207">
        <v>31</v>
      </c>
      <c r="B183" s="161" t="s">
        <v>199</v>
      </c>
      <c r="C183" s="217" t="s">
        <v>157</v>
      </c>
      <c r="D183" s="267" t="s">
        <v>27</v>
      </c>
      <c r="E183" s="267"/>
      <c r="F183" s="267"/>
      <c r="G183" s="267"/>
      <c r="H183" s="267"/>
      <c r="I183" s="267"/>
      <c r="J183" s="267"/>
      <c r="K183" s="267"/>
      <c r="L183" s="267"/>
      <c r="M183" s="267"/>
      <c r="N183" s="267"/>
      <c r="O183" s="267"/>
      <c r="P183" s="293"/>
    </row>
    <row r="184" spans="1:16" ht="15" customHeight="1">
      <c r="A184" s="258"/>
      <c r="B184" s="258"/>
      <c r="C184" s="258"/>
      <c r="D184" s="258"/>
      <c r="E184" s="258"/>
      <c r="F184" s="258"/>
      <c r="G184" s="258"/>
      <c r="H184" s="258"/>
      <c r="I184" s="258"/>
      <c r="J184" s="258"/>
      <c r="K184" s="258"/>
      <c r="L184" s="258"/>
      <c r="M184" s="258"/>
      <c r="N184" s="258"/>
      <c r="O184" s="258"/>
      <c r="P184" s="258"/>
    </row>
    <row r="185" spans="1:16" ht="20.25" customHeight="1">
      <c r="A185" s="259" t="s">
        <v>34</v>
      </c>
      <c r="B185" s="259"/>
      <c r="C185" s="259"/>
      <c r="D185" s="259"/>
      <c r="E185" s="259"/>
      <c r="F185" s="259"/>
      <c r="G185" s="259"/>
      <c r="H185" s="259"/>
      <c r="I185" s="259"/>
      <c r="J185" s="259"/>
      <c r="K185" s="259"/>
      <c r="L185" s="259"/>
      <c r="M185" s="259"/>
      <c r="N185" s="259"/>
      <c r="O185" s="259"/>
      <c r="P185" s="293"/>
    </row>
    <row r="186" spans="1:16" ht="85.5">
      <c r="A186" s="25" t="s">
        <v>0</v>
      </c>
      <c r="B186" s="25" t="s">
        <v>102</v>
      </c>
      <c r="C186" s="25" t="s">
        <v>1</v>
      </c>
      <c r="D186" s="25" t="s">
        <v>109</v>
      </c>
      <c r="E186" s="25" t="s">
        <v>29</v>
      </c>
      <c r="F186" s="25" t="s">
        <v>20</v>
      </c>
      <c r="G186" s="25" t="s">
        <v>104</v>
      </c>
      <c r="H186" s="25" t="s">
        <v>101</v>
      </c>
      <c r="I186" s="25" t="s">
        <v>98</v>
      </c>
      <c r="J186" s="25" t="s">
        <v>5</v>
      </c>
      <c r="K186" s="25" t="s">
        <v>6</v>
      </c>
      <c r="L186" s="25" t="s">
        <v>31</v>
      </c>
      <c r="M186" s="25" t="s">
        <v>24</v>
      </c>
      <c r="N186" s="26" t="s">
        <v>32</v>
      </c>
      <c r="O186" s="24" t="s">
        <v>11</v>
      </c>
      <c r="P186" s="293"/>
    </row>
    <row r="187" spans="1:16" ht="15" customHeight="1">
      <c r="A187" s="219">
        <v>1</v>
      </c>
      <c r="B187" s="224">
        <v>2</v>
      </c>
      <c r="C187" s="224">
        <v>3</v>
      </c>
      <c r="D187" s="224">
        <v>4</v>
      </c>
      <c r="E187" s="224">
        <v>5</v>
      </c>
      <c r="F187" s="224">
        <v>6</v>
      </c>
      <c r="G187" s="224">
        <v>7</v>
      </c>
      <c r="H187" s="224">
        <v>8</v>
      </c>
      <c r="I187" s="224">
        <v>9</v>
      </c>
      <c r="J187" s="224">
        <v>10</v>
      </c>
      <c r="K187" s="224">
        <v>11</v>
      </c>
      <c r="L187" s="224">
        <v>12</v>
      </c>
      <c r="M187" s="224">
        <v>13</v>
      </c>
      <c r="N187" s="224">
        <v>14</v>
      </c>
      <c r="O187" s="224">
        <v>15</v>
      </c>
      <c r="P187" s="293"/>
    </row>
    <row r="188" spans="1:16" ht="30">
      <c r="A188" s="213">
        <v>1</v>
      </c>
      <c r="B188" s="5" t="s">
        <v>154</v>
      </c>
      <c r="C188" s="5" t="s">
        <v>155</v>
      </c>
      <c r="D188" s="274" t="s">
        <v>27</v>
      </c>
      <c r="E188" s="274"/>
      <c r="F188" s="274"/>
      <c r="G188" s="274"/>
      <c r="H188" s="274"/>
      <c r="I188" s="274"/>
      <c r="J188" s="274"/>
      <c r="K188" s="274"/>
      <c r="L188" s="274"/>
      <c r="M188" s="274"/>
      <c r="N188" s="274"/>
      <c r="O188" s="274"/>
      <c r="P188" s="293"/>
    </row>
    <row r="189" spans="1:16" ht="15" customHeight="1">
      <c r="A189" s="213">
        <v>2</v>
      </c>
      <c r="B189" s="7" t="s">
        <v>156</v>
      </c>
      <c r="C189" s="5" t="s">
        <v>157</v>
      </c>
      <c r="D189" s="274" t="s">
        <v>27</v>
      </c>
      <c r="E189" s="274"/>
      <c r="F189" s="274"/>
      <c r="G189" s="274"/>
      <c r="H189" s="274"/>
      <c r="I189" s="274"/>
      <c r="J189" s="274"/>
      <c r="K189" s="274"/>
      <c r="L189" s="274"/>
      <c r="M189" s="274"/>
      <c r="N189" s="274"/>
      <c r="O189" s="274"/>
      <c r="P189" s="293"/>
    </row>
    <row r="190" spans="1:16" ht="15" customHeight="1">
      <c r="A190" s="213">
        <v>3</v>
      </c>
      <c r="B190" s="5" t="s">
        <v>158</v>
      </c>
      <c r="C190" s="5" t="s">
        <v>157</v>
      </c>
      <c r="D190" s="274" t="s">
        <v>27</v>
      </c>
      <c r="E190" s="274"/>
      <c r="F190" s="274"/>
      <c r="G190" s="274"/>
      <c r="H190" s="274"/>
      <c r="I190" s="274"/>
      <c r="J190" s="274"/>
      <c r="K190" s="274"/>
      <c r="L190" s="274"/>
      <c r="M190" s="274"/>
      <c r="N190" s="274"/>
      <c r="O190" s="274"/>
      <c r="P190" s="293"/>
    </row>
    <row r="191" spans="1:16" ht="15" customHeight="1">
      <c r="A191" s="213">
        <v>4</v>
      </c>
      <c r="B191" s="5" t="s">
        <v>159</v>
      </c>
      <c r="C191" s="5" t="s">
        <v>157</v>
      </c>
      <c r="D191" s="274" t="s">
        <v>27</v>
      </c>
      <c r="E191" s="274"/>
      <c r="F191" s="274"/>
      <c r="G191" s="274"/>
      <c r="H191" s="274"/>
      <c r="I191" s="274"/>
      <c r="J191" s="274"/>
      <c r="K191" s="274"/>
      <c r="L191" s="274"/>
      <c r="M191" s="274"/>
      <c r="N191" s="274"/>
      <c r="O191" s="274"/>
      <c r="P191" s="293"/>
    </row>
    <row r="192" spans="1:16" ht="15" customHeight="1">
      <c r="A192" s="213">
        <v>5</v>
      </c>
      <c r="B192" s="7" t="s">
        <v>160</v>
      </c>
      <c r="C192" s="5" t="s">
        <v>157</v>
      </c>
      <c r="D192" s="274" t="s">
        <v>27</v>
      </c>
      <c r="E192" s="274"/>
      <c r="F192" s="274"/>
      <c r="G192" s="274"/>
      <c r="H192" s="274"/>
      <c r="I192" s="274"/>
      <c r="J192" s="274"/>
      <c r="K192" s="274"/>
      <c r="L192" s="274"/>
      <c r="M192" s="274"/>
      <c r="N192" s="274"/>
      <c r="O192" s="274"/>
      <c r="P192" s="293"/>
    </row>
    <row r="193" spans="1:16" ht="15" customHeight="1">
      <c r="A193" s="213">
        <v>6</v>
      </c>
      <c r="B193" s="5" t="s">
        <v>161</v>
      </c>
      <c r="C193" s="5" t="s">
        <v>157</v>
      </c>
      <c r="D193" s="274" t="s">
        <v>27</v>
      </c>
      <c r="E193" s="274"/>
      <c r="F193" s="274"/>
      <c r="G193" s="274"/>
      <c r="H193" s="274"/>
      <c r="I193" s="274"/>
      <c r="J193" s="274"/>
      <c r="K193" s="274"/>
      <c r="L193" s="274"/>
      <c r="M193" s="274"/>
      <c r="N193" s="274"/>
      <c r="O193" s="274"/>
      <c r="P193" s="293"/>
    </row>
    <row r="194" spans="1:16" ht="30">
      <c r="A194" s="213">
        <v>7</v>
      </c>
      <c r="B194" s="5" t="s">
        <v>162</v>
      </c>
      <c r="C194" s="5" t="s">
        <v>157</v>
      </c>
      <c r="D194" s="274" t="s">
        <v>27</v>
      </c>
      <c r="E194" s="274"/>
      <c r="F194" s="274"/>
      <c r="G194" s="274"/>
      <c r="H194" s="274"/>
      <c r="I194" s="274"/>
      <c r="J194" s="274"/>
      <c r="K194" s="274"/>
      <c r="L194" s="274"/>
      <c r="M194" s="274"/>
      <c r="N194" s="274"/>
      <c r="O194" s="274"/>
      <c r="P194" s="293"/>
    </row>
    <row r="195" spans="1:16" ht="15" customHeight="1">
      <c r="A195" s="213">
        <v>8</v>
      </c>
      <c r="B195" s="5" t="s">
        <v>164</v>
      </c>
      <c r="C195" s="5" t="s">
        <v>157</v>
      </c>
      <c r="D195" s="274" t="s">
        <v>27</v>
      </c>
      <c r="E195" s="274"/>
      <c r="F195" s="274"/>
      <c r="G195" s="274"/>
      <c r="H195" s="274"/>
      <c r="I195" s="274"/>
      <c r="J195" s="274"/>
      <c r="K195" s="274"/>
      <c r="L195" s="274"/>
      <c r="M195" s="274"/>
      <c r="N195" s="274"/>
      <c r="O195" s="274"/>
      <c r="P195" s="293"/>
    </row>
    <row r="196" spans="1:16" ht="15" customHeight="1">
      <c r="A196" s="213">
        <v>9</v>
      </c>
      <c r="B196" s="7" t="s">
        <v>172</v>
      </c>
      <c r="C196" s="5" t="s">
        <v>157</v>
      </c>
      <c r="D196" s="274" t="s">
        <v>27</v>
      </c>
      <c r="E196" s="274"/>
      <c r="F196" s="274"/>
      <c r="G196" s="274"/>
      <c r="H196" s="274"/>
      <c r="I196" s="274"/>
      <c r="J196" s="274"/>
      <c r="K196" s="274"/>
      <c r="L196" s="274"/>
      <c r="M196" s="274"/>
      <c r="N196" s="274"/>
      <c r="O196" s="274"/>
      <c r="P196" s="293"/>
    </row>
    <row r="197" spans="1:16" ht="15" customHeight="1">
      <c r="A197" s="213">
        <v>10</v>
      </c>
      <c r="B197" s="5" t="s">
        <v>173</v>
      </c>
      <c r="C197" s="5" t="s">
        <v>157</v>
      </c>
      <c r="D197" s="274" t="s">
        <v>27</v>
      </c>
      <c r="E197" s="274"/>
      <c r="F197" s="274"/>
      <c r="G197" s="274"/>
      <c r="H197" s="274"/>
      <c r="I197" s="274"/>
      <c r="J197" s="274"/>
      <c r="K197" s="274"/>
      <c r="L197" s="274"/>
      <c r="M197" s="274"/>
      <c r="N197" s="274"/>
      <c r="O197" s="274"/>
      <c r="P197" s="293"/>
    </row>
    <row r="198" spans="1:16" ht="30">
      <c r="A198" s="213">
        <v>11</v>
      </c>
      <c r="B198" s="5" t="s">
        <v>174</v>
      </c>
      <c r="C198" s="5" t="s">
        <v>157</v>
      </c>
      <c r="D198" s="274" t="s">
        <v>27</v>
      </c>
      <c r="E198" s="274"/>
      <c r="F198" s="274"/>
      <c r="G198" s="274"/>
      <c r="H198" s="274"/>
      <c r="I198" s="274"/>
      <c r="J198" s="274"/>
      <c r="K198" s="274"/>
      <c r="L198" s="274"/>
      <c r="M198" s="274"/>
      <c r="N198" s="274"/>
      <c r="O198" s="207" t="s">
        <v>202</v>
      </c>
      <c r="P198" s="293"/>
    </row>
    <row r="199" spans="1:16" ht="15" customHeight="1">
      <c r="A199" s="213">
        <v>12</v>
      </c>
      <c r="B199" s="5" t="s">
        <v>176</v>
      </c>
      <c r="C199" s="5" t="s">
        <v>157</v>
      </c>
      <c r="D199" s="274" t="s">
        <v>27</v>
      </c>
      <c r="E199" s="274"/>
      <c r="F199" s="274"/>
      <c r="G199" s="274"/>
      <c r="H199" s="274"/>
      <c r="I199" s="274"/>
      <c r="J199" s="274"/>
      <c r="K199" s="274"/>
      <c r="L199" s="274"/>
      <c r="M199" s="274"/>
      <c r="N199" s="274"/>
      <c r="O199" s="274"/>
      <c r="P199" s="293"/>
    </row>
    <row r="200" spans="1:16" ht="15" customHeight="1">
      <c r="A200" s="213">
        <v>13</v>
      </c>
      <c r="B200" s="5" t="s">
        <v>177</v>
      </c>
      <c r="C200" s="5" t="s">
        <v>157</v>
      </c>
      <c r="D200" s="274" t="s">
        <v>27</v>
      </c>
      <c r="E200" s="274"/>
      <c r="F200" s="274"/>
      <c r="G200" s="274"/>
      <c r="H200" s="274"/>
      <c r="I200" s="274"/>
      <c r="J200" s="274"/>
      <c r="K200" s="274"/>
      <c r="L200" s="274"/>
      <c r="M200" s="274"/>
      <c r="N200" s="274"/>
      <c r="O200" s="274"/>
      <c r="P200" s="293"/>
    </row>
    <row r="201" spans="1:16" ht="15" customHeight="1">
      <c r="A201" s="213">
        <v>14</v>
      </c>
      <c r="B201" s="5" t="s">
        <v>178</v>
      </c>
      <c r="C201" s="5" t="s">
        <v>157</v>
      </c>
      <c r="D201" s="274" t="s">
        <v>27</v>
      </c>
      <c r="E201" s="274"/>
      <c r="F201" s="274"/>
      <c r="G201" s="274"/>
      <c r="H201" s="274"/>
      <c r="I201" s="274"/>
      <c r="J201" s="274"/>
      <c r="K201" s="274"/>
      <c r="L201" s="274"/>
      <c r="M201" s="274"/>
      <c r="N201" s="274"/>
      <c r="O201" s="274"/>
      <c r="P201" s="293"/>
    </row>
    <row r="202" spans="1:16" ht="15" customHeight="1">
      <c r="A202" s="213">
        <v>15</v>
      </c>
      <c r="B202" s="5" t="s">
        <v>179</v>
      </c>
      <c r="C202" s="5" t="s">
        <v>157</v>
      </c>
      <c r="D202" s="274" t="s">
        <v>27</v>
      </c>
      <c r="E202" s="274"/>
      <c r="F202" s="274"/>
      <c r="G202" s="274"/>
      <c r="H202" s="274"/>
      <c r="I202" s="274"/>
      <c r="J202" s="274"/>
      <c r="K202" s="274"/>
      <c r="L202" s="274"/>
      <c r="M202" s="274"/>
      <c r="N202" s="274"/>
      <c r="O202" s="274"/>
      <c r="P202" s="293"/>
    </row>
    <row r="203" spans="1:16" ht="15" customHeight="1">
      <c r="A203" s="213">
        <v>16</v>
      </c>
      <c r="B203" s="5" t="s">
        <v>183</v>
      </c>
      <c r="C203" s="5" t="s">
        <v>157</v>
      </c>
      <c r="D203" s="274" t="s">
        <v>27</v>
      </c>
      <c r="E203" s="274"/>
      <c r="F203" s="274"/>
      <c r="G203" s="274"/>
      <c r="H203" s="274"/>
      <c r="I203" s="274"/>
      <c r="J203" s="274"/>
      <c r="K203" s="274"/>
      <c r="L203" s="274"/>
      <c r="M203" s="274"/>
      <c r="N203" s="274"/>
      <c r="O203" s="274"/>
      <c r="P203" s="293"/>
    </row>
    <row r="204" spans="1:16" ht="15" customHeight="1">
      <c r="A204" s="213">
        <v>17</v>
      </c>
      <c r="B204" s="5" t="s">
        <v>184</v>
      </c>
      <c r="C204" s="5" t="s">
        <v>157</v>
      </c>
      <c r="D204" s="274" t="s">
        <v>27</v>
      </c>
      <c r="E204" s="274"/>
      <c r="F204" s="274"/>
      <c r="G204" s="274"/>
      <c r="H204" s="274"/>
      <c r="I204" s="274"/>
      <c r="J204" s="274"/>
      <c r="K204" s="274"/>
      <c r="L204" s="274"/>
      <c r="M204" s="274"/>
      <c r="N204" s="274"/>
      <c r="O204" s="274"/>
      <c r="P204" s="293"/>
    </row>
    <row r="205" spans="1:16" ht="15" customHeight="1">
      <c r="A205" s="213">
        <v>18</v>
      </c>
      <c r="B205" s="5" t="s">
        <v>185</v>
      </c>
      <c r="C205" s="5" t="s">
        <v>157</v>
      </c>
      <c r="D205" s="274" t="s">
        <v>27</v>
      </c>
      <c r="E205" s="274"/>
      <c r="F205" s="274"/>
      <c r="G205" s="274"/>
      <c r="H205" s="274"/>
      <c r="I205" s="274"/>
      <c r="J205" s="274"/>
      <c r="K205" s="274"/>
      <c r="L205" s="274"/>
      <c r="M205" s="274"/>
      <c r="N205" s="274"/>
      <c r="O205" s="274"/>
      <c r="P205" s="293"/>
    </row>
    <row r="206" spans="1:16" ht="15" customHeight="1">
      <c r="A206" s="213">
        <v>19</v>
      </c>
      <c r="B206" s="7" t="s">
        <v>186</v>
      </c>
      <c r="C206" s="5" t="s">
        <v>157</v>
      </c>
      <c r="D206" s="274" t="s">
        <v>27</v>
      </c>
      <c r="E206" s="274"/>
      <c r="F206" s="274"/>
      <c r="G206" s="274"/>
      <c r="H206" s="274"/>
      <c r="I206" s="274"/>
      <c r="J206" s="274"/>
      <c r="K206" s="274"/>
      <c r="L206" s="274"/>
      <c r="M206" s="274"/>
      <c r="N206" s="274"/>
      <c r="O206" s="274"/>
      <c r="P206" s="293"/>
    </row>
    <row r="207" spans="1:16" ht="15" customHeight="1">
      <c r="A207" s="213">
        <v>20</v>
      </c>
      <c r="B207" s="7" t="s">
        <v>187</v>
      </c>
      <c r="C207" s="5" t="s">
        <v>157</v>
      </c>
      <c r="D207" s="274" t="s">
        <v>27</v>
      </c>
      <c r="E207" s="274"/>
      <c r="F207" s="274"/>
      <c r="G207" s="274"/>
      <c r="H207" s="274"/>
      <c r="I207" s="274"/>
      <c r="J207" s="274"/>
      <c r="K207" s="274"/>
      <c r="L207" s="274"/>
      <c r="M207" s="274"/>
      <c r="N207" s="274"/>
      <c r="O207" s="274"/>
      <c r="P207" s="293"/>
    </row>
    <row r="208" spans="1:16" ht="15" customHeight="1">
      <c r="A208" s="213">
        <v>21</v>
      </c>
      <c r="B208" s="5" t="s">
        <v>188</v>
      </c>
      <c r="C208" s="5" t="s">
        <v>157</v>
      </c>
      <c r="D208" s="274" t="s">
        <v>27</v>
      </c>
      <c r="E208" s="274"/>
      <c r="F208" s="274"/>
      <c r="G208" s="274"/>
      <c r="H208" s="274"/>
      <c r="I208" s="274"/>
      <c r="J208" s="274"/>
      <c r="K208" s="274"/>
      <c r="L208" s="274"/>
      <c r="M208" s="274"/>
      <c r="N208" s="274"/>
      <c r="O208" s="274"/>
      <c r="P208" s="293"/>
    </row>
    <row r="209" spans="1:16" ht="15" customHeight="1">
      <c r="A209" s="213">
        <v>22</v>
      </c>
      <c r="B209" s="5" t="s">
        <v>189</v>
      </c>
      <c r="C209" s="5" t="s">
        <v>157</v>
      </c>
      <c r="D209" s="274" t="s">
        <v>27</v>
      </c>
      <c r="E209" s="274"/>
      <c r="F209" s="274"/>
      <c r="G209" s="274"/>
      <c r="H209" s="274"/>
      <c r="I209" s="274"/>
      <c r="J209" s="274"/>
      <c r="K209" s="274"/>
      <c r="L209" s="274"/>
      <c r="M209" s="274"/>
      <c r="N209" s="274"/>
      <c r="O209" s="274"/>
      <c r="P209" s="293"/>
    </row>
    <row r="210" spans="1:16" ht="15" customHeight="1">
      <c r="A210" s="213">
        <v>23</v>
      </c>
      <c r="B210" s="5" t="s">
        <v>190</v>
      </c>
      <c r="C210" s="5" t="s">
        <v>157</v>
      </c>
      <c r="D210" s="274" t="s">
        <v>27</v>
      </c>
      <c r="E210" s="274"/>
      <c r="F210" s="274"/>
      <c r="G210" s="274"/>
      <c r="H210" s="274"/>
      <c r="I210" s="274"/>
      <c r="J210" s="274"/>
      <c r="K210" s="274"/>
      <c r="L210" s="274"/>
      <c r="M210" s="274"/>
      <c r="N210" s="274"/>
      <c r="O210" s="274"/>
      <c r="P210" s="293"/>
    </row>
    <row r="211" spans="1:16" ht="15" customHeight="1">
      <c r="A211" s="213">
        <v>24</v>
      </c>
      <c r="B211" s="5" t="s">
        <v>191</v>
      </c>
      <c r="C211" s="5" t="s">
        <v>157</v>
      </c>
      <c r="D211" s="274" t="s">
        <v>27</v>
      </c>
      <c r="E211" s="274"/>
      <c r="F211" s="274"/>
      <c r="G211" s="274"/>
      <c r="H211" s="274"/>
      <c r="I211" s="274"/>
      <c r="J211" s="274"/>
      <c r="K211" s="274"/>
      <c r="L211" s="274"/>
      <c r="M211" s="274"/>
      <c r="N211" s="274"/>
      <c r="O211" s="274"/>
      <c r="P211" s="293"/>
    </row>
    <row r="212" spans="1:16" ht="15" customHeight="1">
      <c r="A212" s="213">
        <v>25</v>
      </c>
      <c r="B212" s="5" t="s">
        <v>192</v>
      </c>
      <c r="C212" s="5" t="s">
        <v>157</v>
      </c>
      <c r="D212" s="274" t="s">
        <v>27</v>
      </c>
      <c r="E212" s="274"/>
      <c r="F212" s="274"/>
      <c r="G212" s="274"/>
      <c r="H212" s="274"/>
      <c r="I212" s="274"/>
      <c r="J212" s="274"/>
      <c r="K212" s="274"/>
      <c r="L212" s="274"/>
      <c r="M212" s="274"/>
      <c r="N212" s="274"/>
      <c r="O212" s="274"/>
      <c r="P212" s="293"/>
    </row>
    <row r="213" spans="1:16" ht="15" customHeight="1">
      <c r="A213" s="213">
        <v>26</v>
      </c>
      <c r="B213" s="5" t="s">
        <v>194</v>
      </c>
      <c r="C213" s="5" t="s">
        <v>157</v>
      </c>
      <c r="D213" s="274" t="s">
        <v>27</v>
      </c>
      <c r="E213" s="274"/>
      <c r="F213" s="274"/>
      <c r="G213" s="274"/>
      <c r="H213" s="274"/>
      <c r="I213" s="274"/>
      <c r="J213" s="274"/>
      <c r="K213" s="274"/>
      <c r="L213" s="274"/>
      <c r="M213" s="274"/>
      <c r="N213" s="274"/>
      <c r="O213" s="274"/>
      <c r="P213" s="293"/>
    </row>
    <row r="214" spans="1:16" ht="30">
      <c r="A214" s="213">
        <v>27</v>
      </c>
      <c r="B214" s="5" t="s">
        <v>195</v>
      </c>
      <c r="C214" s="5" t="s">
        <v>157</v>
      </c>
      <c r="D214" s="274" t="s">
        <v>27</v>
      </c>
      <c r="E214" s="274"/>
      <c r="F214" s="274"/>
      <c r="G214" s="274"/>
      <c r="H214" s="274"/>
      <c r="I214" s="274"/>
      <c r="J214" s="274"/>
      <c r="K214" s="274"/>
      <c r="L214" s="274"/>
      <c r="M214" s="274"/>
      <c r="N214" s="274"/>
      <c r="O214" s="274"/>
      <c r="P214" s="293"/>
    </row>
    <row r="215" spans="1:16" ht="15" customHeight="1">
      <c r="A215" s="213">
        <v>28</v>
      </c>
      <c r="B215" s="5" t="s">
        <v>203</v>
      </c>
      <c r="C215" s="5" t="s">
        <v>157</v>
      </c>
      <c r="D215" s="274" t="s">
        <v>27</v>
      </c>
      <c r="E215" s="274"/>
      <c r="F215" s="274"/>
      <c r="G215" s="274"/>
      <c r="H215" s="274"/>
      <c r="I215" s="274"/>
      <c r="J215" s="274"/>
      <c r="K215" s="274"/>
      <c r="L215" s="274"/>
      <c r="M215" s="274"/>
      <c r="N215" s="274"/>
      <c r="O215" s="274"/>
      <c r="P215" s="293"/>
    </row>
    <row r="216" spans="1:16" ht="15" customHeight="1">
      <c r="A216" s="213">
        <v>29</v>
      </c>
      <c r="B216" s="5" t="s">
        <v>204</v>
      </c>
      <c r="C216" s="5" t="s">
        <v>157</v>
      </c>
      <c r="D216" s="274" t="s">
        <v>27</v>
      </c>
      <c r="E216" s="274"/>
      <c r="F216" s="274"/>
      <c r="G216" s="274"/>
      <c r="H216" s="274"/>
      <c r="I216" s="274"/>
      <c r="J216" s="274"/>
      <c r="K216" s="274"/>
      <c r="L216" s="274"/>
      <c r="M216" s="274"/>
      <c r="N216" s="274"/>
      <c r="O216" s="274"/>
      <c r="P216" s="293"/>
    </row>
    <row r="217" spans="1:16" ht="15" customHeight="1">
      <c r="A217" s="213">
        <v>30</v>
      </c>
      <c r="B217" s="5" t="s">
        <v>205</v>
      </c>
      <c r="C217" s="5" t="s">
        <v>157</v>
      </c>
      <c r="D217" s="274" t="s">
        <v>27</v>
      </c>
      <c r="E217" s="274"/>
      <c r="F217" s="274"/>
      <c r="G217" s="274"/>
      <c r="H217" s="274"/>
      <c r="I217" s="274"/>
      <c r="J217" s="274"/>
      <c r="K217" s="274"/>
      <c r="L217" s="274"/>
      <c r="M217" s="274"/>
      <c r="N217" s="274"/>
      <c r="O217" s="274"/>
      <c r="P217" s="293"/>
    </row>
    <row r="218" spans="1:16" ht="15" customHeight="1">
      <c r="A218" s="213">
        <v>31</v>
      </c>
      <c r="B218" s="7" t="s">
        <v>206</v>
      </c>
      <c r="C218" s="5" t="s">
        <v>157</v>
      </c>
      <c r="D218" s="274" t="s">
        <v>27</v>
      </c>
      <c r="E218" s="274"/>
      <c r="F218" s="274"/>
      <c r="G218" s="274"/>
      <c r="H218" s="274"/>
      <c r="I218" s="274"/>
      <c r="J218" s="274"/>
      <c r="K218" s="274"/>
      <c r="L218" s="274"/>
      <c r="M218" s="274"/>
      <c r="N218" s="274"/>
      <c r="O218" s="274"/>
      <c r="P218" s="293"/>
    </row>
    <row r="219" spans="1:16" ht="15" customHeight="1">
      <c r="A219" s="272"/>
      <c r="B219" s="272"/>
      <c r="C219" s="272"/>
      <c r="D219" s="272"/>
      <c r="E219" s="272"/>
      <c r="F219" s="272"/>
      <c r="G219" s="272"/>
      <c r="H219" s="272"/>
      <c r="I219" s="272"/>
      <c r="J219" s="272"/>
      <c r="K219" s="272"/>
      <c r="L219" s="272"/>
      <c r="M219" s="272"/>
      <c r="N219" s="272"/>
      <c r="O219" s="272"/>
      <c r="P219" s="272"/>
    </row>
    <row r="220" spans="1:16" ht="20.25">
      <c r="A220" s="259" t="s">
        <v>35</v>
      </c>
      <c r="B220" s="259"/>
      <c r="C220" s="259"/>
      <c r="D220" s="259"/>
      <c r="E220" s="259"/>
      <c r="F220" s="259"/>
      <c r="G220" s="259"/>
      <c r="H220" s="259"/>
      <c r="I220" s="259"/>
      <c r="J220" s="259"/>
      <c r="K220" s="259"/>
      <c r="L220" s="259"/>
      <c r="M220" s="259"/>
      <c r="N220" s="259"/>
      <c r="O220" s="259"/>
      <c r="P220" s="259"/>
    </row>
    <row r="221" spans="1:16" ht="85.5">
      <c r="A221" s="25" t="s">
        <v>0</v>
      </c>
      <c r="B221" s="25" t="s">
        <v>102</v>
      </c>
      <c r="C221" s="25" t="s">
        <v>1</v>
      </c>
      <c r="D221" s="25" t="s">
        <v>109</v>
      </c>
      <c r="E221" s="25" t="s">
        <v>29</v>
      </c>
      <c r="F221" s="25" t="s">
        <v>20</v>
      </c>
      <c r="G221" s="25" t="s">
        <v>97</v>
      </c>
      <c r="H221" s="25" t="s">
        <v>101</v>
      </c>
      <c r="I221" s="25" t="s">
        <v>98</v>
      </c>
      <c r="J221" s="25" t="s">
        <v>5</v>
      </c>
      <c r="K221" s="25" t="s">
        <v>6</v>
      </c>
      <c r="L221" s="25" t="s">
        <v>31</v>
      </c>
      <c r="M221" s="25" t="s">
        <v>24</v>
      </c>
      <c r="N221" s="26" t="s">
        <v>33</v>
      </c>
      <c r="O221" s="26" t="s">
        <v>32</v>
      </c>
      <c r="P221" s="24" t="s">
        <v>26</v>
      </c>
    </row>
    <row r="222" spans="1:16">
      <c r="A222" s="219">
        <v>1</v>
      </c>
      <c r="B222" s="224">
        <v>2</v>
      </c>
      <c r="C222" s="224">
        <v>3</v>
      </c>
      <c r="D222" s="224">
        <v>4</v>
      </c>
      <c r="E222" s="224">
        <v>5</v>
      </c>
      <c r="F222" s="224">
        <v>6</v>
      </c>
      <c r="G222" s="224">
        <v>7</v>
      </c>
      <c r="H222" s="224">
        <v>8</v>
      </c>
      <c r="I222" s="224">
        <v>9</v>
      </c>
      <c r="J222" s="224">
        <v>10</v>
      </c>
      <c r="K222" s="224">
        <v>11</v>
      </c>
      <c r="L222" s="224">
        <v>12</v>
      </c>
      <c r="M222" s="224">
        <v>13</v>
      </c>
      <c r="N222" s="224">
        <v>14</v>
      </c>
      <c r="O222" s="224">
        <v>15</v>
      </c>
      <c r="P222" s="25">
        <v>16</v>
      </c>
    </row>
    <row r="223" spans="1:16" ht="30">
      <c r="A223" s="207">
        <v>1</v>
      </c>
      <c r="B223" s="217" t="s">
        <v>154</v>
      </c>
      <c r="C223" s="207" t="s">
        <v>155</v>
      </c>
      <c r="D223" s="267" t="s">
        <v>27</v>
      </c>
      <c r="E223" s="267"/>
      <c r="F223" s="267"/>
      <c r="G223" s="267"/>
      <c r="H223" s="267"/>
      <c r="I223" s="267"/>
      <c r="J223" s="267"/>
      <c r="K223" s="267"/>
      <c r="L223" s="267"/>
      <c r="M223" s="267"/>
      <c r="N223" s="267"/>
      <c r="O223" s="267"/>
      <c r="P223" s="267"/>
    </row>
    <row r="224" spans="1:16">
      <c r="A224" s="207">
        <v>2</v>
      </c>
      <c r="B224" s="161" t="s">
        <v>156</v>
      </c>
      <c r="C224" s="207" t="s">
        <v>157</v>
      </c>
      <c r="D224" s="267" t="s">
        <v>27</v>
      </c>
      <c r="E224" s="267"/>
      <c r="F224" s="267"/>
      <c r="G224" s="267"/>
      <c r="H224" s="267"/>
      <c r="I224" s="267"/>
      <c r="J224" s="267"/>
      <c r="K224" s="267"/>
      <c r="L224" s="267"/>
      <c r="M224" s="267"/>
      <c r="N224" s="267"/>
      <c r="O224" s="267"/>
      <c r="P224" s="267"/>
    </row>
    <row r="225" spans="1:16">
      <c r="A225" s="207">
        <v>3</v>
      </c>
      <c r="B225" s="217" t="s">
        <v>158</v>
      </c>
      <c r="C225" s="207" t="s">
        <v>157</v>
      </c>
      <c r="D225" s="267" t="s">
        <v>27</v>
      </c>
      <c r="E225" s="267"/>
      <c r="F225" s="267"/>
      <c r="G225" s="267"/>
      <c r="H225" s="267"/>
      <c r="I225" s="267"/>
      <c r="J225" s="267"/>
      <c r="K225" s="267"/>
      <c r="L225" s="267"/>
      <c r="M225" s="267"/>
      <c r="N225" s="267"/>
      <c r="O225" s="267"/>
      <c r="P225" s="267"/>
    </row>
    <row r="226" spans="1:16">
      <c r="A226" s="207">
        <v>4</v>
      </c>
      <c r="B226" s="217" t="s">
        <v>159</v>
      </c>
      <c r="C226" s="207" t="s">
        <v>157</v>
      </c>
      <c r="D226" s="267" t="s">
        <v>27</v>
      </c>
      <c r="E226" s="267"/>
      <c r="F226" s="267"/>
      <c r="G226" s="267"/>
      <c r="H226" s="267"/>
      <c r="I226" s="267"/>
      <c r="J226" s="267"/>
      <c r="K226" s="267"/>
      <c r="L226" s="267"/>
      <c r="M226" s="267"/>
      <c r="N226" s="267"/>
      <c r="O226" s="267"/>
      <c r="P226" s="267"/>
    </row>
    <row r="227" spans="1:16">
      <c r="A227" s="207">
        <v>5</v>
      </c>
      <c r="B227" s="161" t="s">
        <v>160</v>
      </c>
      <c r="C227" s="207" t="s">
        <v>157</v>
      </c>
      <c r="D227" s="267" t="s">
        <v>27</v>
      </c>
      <c r="E227" s="267"/>
      <c r="F227" s="267"/>
      <c r="G227" s="267"/>
      <c r="H227" s="267"/>
      <c r="I227" s="267"/>
      <c r="J227" s="267"/>
      <c r="K227" s="267"/>
      <c r="L227" s="267"/>
      <c r="M227" s="267"/>
      <c r="N227" s="267"/>
      <c r="O227" s="267"/>
      <c r="P227" s="267"/>
    </row>
    <row r="228" spans="1:16">
      <c r="A228" s="207">
        <v>6</v>
      </c>
      <c r="B228" s="217" t="s">
        <v>161</v>
      </c>
      <c r="C228" s="207" t="s">
        <v>157</v>
      </c>
      <c r="D228" s="267" t="s">
        <v>27</v>
      </c>
      <c r="E228" s="267"/>
      <c r="F228" s="267"/>
      <c r="G228" s="267"/>
      <c r="H228" s="267"/>
      <c r="I228" s="267"/>
      <c r="J228" s="267"/>
      <c r="K228" s="267"/>
      <c r="L228" s="267"/>
      <c r="M228" s="267"/>
      <c r="N228" s="267"/>
      <c r="O228" s="267"/>
      <c r="P228" s="267"/>
    </row>
    <row r="229" spans="1:16" ht="30">
      <c r="A229" s="207">
        <v>7</v>
      </c>
      <c r="B229" s="217" t="s">
        <v>162</v>
      </c>
      <c r="C229" s="207" t="s">
        <v>157</v>
      </c>
      <c r="D229" s="267" t="s">
        <v>27</v>
      </c>
      <c r="E229" s="267"/>
      <c r="F229" s="267"/>
      <c r="G229" s="267"/>
      <c r="H229" s="267"/>
      <c r="I229" s="267"/>
      <c r="J229" s="267"/>
      <c r="K229" s="267"/>
      <c r="L229" s="267"/>
      <c r="M229" s="267"/>
      <c r="N229" s="267"/>
      <c r="O229" s="267"/>
      <c r="P229" s="267"/>
    </row>
    <row r="230" spans="1:16">
      <c r="A230" s="207">
        <v>8</v>
      </c>
      <c r="B230" s="217" t="s">
        <v>164</v>
      </c>
      <c r="C230" s="207" t="s">
        <v>157</v>
      </c>
      <c r="D230" s="267" t="s">
        <v>27</v>
      </c>
      <c r="E230" s="267"/>
      <c r="F230" s="267"/>
      <c r="G230" s="267"/>
      <c r="H230" s="267"/>
      <c r="I230" s="267"/>
      <c r="J230" s="267"/>
      <c r="K230" s="267"/>
      <c r="L230" s="267"/>
      <c r="M230" s="267"/>
      <c r="N230" s="267"/>
      <c r="O230" s="267"/>
      <c r="P230" s="267"/>
    </row>
    <row r="231" spans="1:16">
      <c r="A231" s="207">
        <v>9</v>
      </c>
      <c r="B231" s="161" t="s">
        <v>172</v>
      </c>
      <c r="C231" s="207" t="s">
        <v>157</v>
      </c>
      <c r="D231" s="267" t="s">
        <v>27</v>
      </c>
      <c r="E231" s="267"/>
      <c r="F231" s="267"/>
      <c r="G231" s="267"/>
      <c r="H231" s="267"/>
      <c r="I231" s="267"/>
      <c r="J231" s="267"/>
      <c r="K231" s="267"/>
      <c r="L231" s="267"/>
      <c r="M231" s="267"/>
      <c r="N231" s="267"/>
      <c r="O231" s="267"/>
      <c r="P231" s="267"/>
    </row>
    <row r="232" spans="1:16">
      <c r="A232" s="207">
        <v>10</v>
      </c>
      <c r="B232" s="217" t="s">
        <v>173</v>
      </c>
      <c r="C232" s="207" t="s">
        <v>157</v>
      </c>
      <c r="D232" s="267" t="s">
        <v>27</v>
      </c>
      <c r="E232" s="267"/>
      <c r="F232" s="267"/>
      <c r="G232" s="267"/>
      <c r="H232" s="267"/>
      <c r="I232" s="267"/>
      <c r="J232" s="267"/>
      <c r="K232" s="267"/>
      <c r="L232" s="267"/>
      <c r="M232" s="267"/>
      <c r="N232" s="267"/>
      <c r="O232" s="267"/>
      <c r="P232" s="267"/>
    </row>
    <row r="233" spans="1:16" ht="30">
      <c r="A233" s="207">
        <v>11</v>
      </c>
      <c r="B233" s="217" t="s">
        <v>174</v>
      </c>
      <c r="C233" s="207" t="s">
        <v>157</v>
      </c>
      <c r="D233" s="267" t="s">
        <v>27</v>
      </c>
      <c r="E233" s="267"/>
      <c r="F233" s="267"/>
      <c r="G233" s="267"/>
      <c r="H233" s="267"/>
      <c r="I233" s="267"/>
      <c r="J233" s="267"/>
      <c r="K233" s="267"/>
      <c r="L233" s="267"/>
      <c r="M233" s="267"/>
      <c r="N233" s="267"/>
      <c r="O233" s="267"/>
      <c r="P233" s="207" t="s">
        <v>207</v>
      </c>
    </row>
    <row r="234" spans="1:16">
      <c r="A234" s="207">
        <v>12</v>
      </c>
      <c r="B234" s="217" t="s">
        <v>176</v>
      </c>
      <c r="C234" s="207" t="s">
        <v>157</v>
      </c>
      <c r="D234" s="267" t="s">
        <v>27</v>
      </c>
      <c r="E234" s="267"/>
      <c r="F234" s="267"/>
      <c r="G234" s="267"/>
      <c r="H234" s="267"/>
      <c r="I234" s="267"/>
      <c r="J234" s="267"/>
      <c r="K234" s="267"/>
      <c r="L234" s="267"/>
      <c r="M234" s="267"/>
      <c r="N234" s="267"/>
      <c r="O234" s="267"/>
      <c r="P234" s="267"/>
    </row>
    <row r="235" spans="1:16">
      <c r="A235" s="207">
        <v>13</v>
      </c>
      <c r="B235" s="217" t="s">
        <v>177</v>
      </c>
      <c r="C235" s="207" t="s">
        <v>157</v>
      </c>
      <c r="D235" s="267" t="s">
        <v>27</v>
      </c>
      <c r="E235" s="267"/>
      <c r="F235" s="267"/>
      <c r="G235" s="267"/>
      <c r="H235" s="267"/>
      <c r="I235" s="267"/>
      <c r="J235" s="267"/>
      <c r="K235" s="267"/>
      <c r="L235" s="267"/>
      <c r="M235" s="267"/>
      <c r="N235" s="267"/>
      <c r="O235" s="267"/>
      <c r="P235" s="267"/>
    </row>
    <row r="236" spans="1:16">
      <c r="A236" s="207">
        <v>14</v>
      </c>
      <c r="B236" s="217" t="s">
        <v>178</v>
      </c>
      <c r="C236" s="207" t="s">
        <v>157</v>
      </c>
      <c r="D236" s="267" t="s">
        <v>27</v>
      </c>
      <c r="E236" s="267"/>
      <c r="F236" s="267"/>
      <c r="G236" s="267"/>
      <c r="H236" s="267"/>
      <c r="I236" s="267"/>
      <c r="J236" s="267"/>
      <c r="K236" s="267"/>
      <c r="L236" s="267"/>
      <c r="M236" s="267"/>
      <c r="N236" s="267"/>
      <c r="O236" s="267"/>
      <c r="P236" s="267"/>
    </row>
    <row r="237" spans="1:16">
      <c r="A237" s="207">
        <v>15</v>
      </c>
      <c r="B237" s="217" t="s">
        <v>179</v>
      </c>
      <c r="C237" s="207" t="s">
        <v>157</v>
      </c>
      <c r="D237" s="267" t="s">
        <v>27</v>
      </c>
      <c r="E237" s="267"/>
      <c r="F237" s="267"/>
      <c r="G237" s="267"/>
      <c r="H237" s="267"/>
      <c r="I237" s="267"/>
      <c r="J237" s="267"/>
      <c r="K237" s="267"/>
      <c r="L237" s="267"/>
      <c r="M237" s="267"/>
      <c r="N237" s="267"/>
      <c r="O237" s="267"/>
      <c r="P237" s="267"/>
    </row>
    <row r="238" spans="1:16">
      <c r="A238" s="207">
        <v>16</v>
      </c>
      <c r="B238" s="217" t="s">
        <v>183</v>
      </c>
      <c r="C238" s="207" t="s">
        <v>157</v>
      </c>
      <c r="D238" s="267" t="s">
        <v>27</v>
      </c>
      <c r="E238" s="267"/>
      <c r="F238" s="267"/>
      <c r="G238" s="267"/>
      <c r="H238" s="267"/>
      <c r="I238" s="267"/>
      <c r="J238" s="267"/>
      <c r="K238" s="267"/>
      <c r="L238" s="267"/>
      <c r="M238" s="267"/>
      <c r="N238" s="267"/>
      <c r="O238" s="267"/>
      <c r="P238" s="267"/>
    </row>
    <row r="239" spans="1:16">
      <c r="A239" s="207">
        <v>17</v>
      </c>
      <c r="B239" s="217" t="s">
        <v>184</v>
      </c>
      <c r="C239" s="207" t="s">
        <v>157</v>
      </c>
      <c r="D239" s="267" t="s">
        <v>27</v>
      </c>
      <c r="E239" s="267"/>
      <c r="F239" s="267"/>
      <c r="G239" s="267"/>
      <c r="H239" s="267"/>
      <c r="I239" s="267"/>
      <c r="J239" s="267"/>
      <c r="K239" s="267"/>
      <c r="L239" s="267"/>
      <c r="M239" s="267"/>
      <c r="N239" s="267"/>
      <c r="O239" s="267"/>
      <c r="P239" s="267"/>
    </row>
    <row r="240" spans="1:16">
      <c r="A240" s="207">
        <v>18</v>
      </c>
      <c r="B240" s="217" t="s">
        <v>185</v>
      </c>
      <c r="C240" s="207" t="s">
        <v>157</v>
      </c>
      <c r="D240" s="267" t="s">
        <v>27</v>
      </c>
      <c r="E240" s="267"/>
      <c r="F240" s="267"/>
      <c r="G240" s="267"/>
      <c r="H240" s="267"/>
      <c r="I240" s="267"/>
      <c r="J240" s="267"/>
      <c r="K240" s="267"/>
      <c r="L240" s="267"/>
      <c r="M240" s="267"/>
      <c r="N240" s="267"/>
      <c r="O240" s="267"/>
      <c r="P240" s="267"/>
    </row>
    <row r="241" spans="1:16">
      <c r="A241" s="207">
        <v>19</v>
      </c>
      <c r="B241" s="161" t="s">
        <v>186</v>
      </c>
      <c r="C241" s="207" t="s">
        <v>157</v>
      </c>
      <c r="D241" s="267" t="s">
        <v>27</v>
      </c>
      <c r="E241" s="267"/>
      <c r="F241" s="267"/>
      <c r="G241" s="267"/>
      <c r="H241" s="267"/>
      <c r="I241" s="267"/>
      <c r="J241" s="267"/>
      <c r="K241" s="267"/>
      <c r="L241" s="267"/>
      <c r="M241" s="267"/>
      <c r="N241" s="267"/>
      <c r="O241" s="267"/>
      <c r="P241" s="267"/>
    </row>
    <row r="242" spans="1:16">
      <c r="A242" s="207">
        <v>20</v>
      </c>
      <c r="B242" s="161" t="s">
        <v>187</v>
      </c>
      <c r="C242" s="207" t="s">
        <v>157</v>
      </c>
      <c r="D242" s="267" t="s">
        <v>27</v>
      </c>
      <c r="E242" s="267"/>
      <c r="F242" s="267"/>
      <c r="G242" s="267"/>
      <c r="H242" s="267"/>
      <c r="I242" s="267"/>
      <c r="J242" s="267"/>
      <c r="K242" s="267"/>
      <c r="L242" s="267"/>
      <c r="M242" s="267"/>
      <c r="N242" s="267"/>
      <c r="O242" s="267"/>
      <c r="P242" s="267"/>
    </row>
    <row r="243" spans="1:16">
      <c r="A243" s="207">
        <v>21</v>
      </c>
      <c r="B243" s="217" t="s">
        <v>188</v>
      </c>
      <c r="C243" s="207" t="s">
        <v>157</v>
      </c>
      <c r="D243" s="267" t="s">
        <v>27</v>
      </c>
      <c r="E243" s="267"/>
      <c r="F243" s="267"/>
      <c r="G243" s="267"/>
      <c r="H243" s="267"/>
      <c r="I243" s="267"/>
      <c r="J243" s="267"/>
      <c r="K243" s="267"/>
      <c r="L243" s="267"/>
      <c r="M243" s="267"/>
      <c r="N243" s="267"/>
      <c r="O243" s="267"/>
      <c r="P243" s="267"/>
    </row>
    <row r="244" spans="1:16">
      <c r="A244" s="207">
        <v>22</v>
      </c>
      <c r="B244" s="217" t="s">
        <v>189</v>
      </c>
      <c r="C244" s="207" t="s">
        <v>157</v>
      </c>
      <c r="D244" s="267" t="s">
        <v>27</v>
      </c>
      <c r="E244" s="267"/>
      <c r="F244" s="267"/>
      <c r="G244" s="267"/>
      <c r="H244" s="267"/>
      <c r="I244" s="267"/>
      <c r="J244" s="267"/>
      <c r="K244" s="267"/>
      <c r="L244" s="267"/>
      <c r="M244" s="267"/>
      <c r="N244" s="267"/>
      <c r="O244" s="267"/>
      <c r="P244" s="267"/>
    </row>
    <row r="245" spans="1:16">
      <c r="A245" s="207">
        <v>23</v>
      </c>
      <c r="B245" s="217" t="s">
        <v>190</v>
      </c>
      <c r="C245" s="207" t="s">
        <v>157</v>
      </c>
      <c r="D245" s="267" t="s">
        <v>27</v>
      </c>
      <c r="E245" s="267"/>
      <c r="F245" s="267"/>
      <c r="G245" s="267"/>
      <c r="H245" s="267"/>
      <c r="I245" s="267"/>
      <c r="J245" s="267"/>
      <c r="K245" s="267"/>
      <c r="L245" s="267"/>
      <c r="M245" s="267"/>
      <c r="N245" s="267"/>
      <c r="O245" s="267"/>
      <c r="P245" s="267"/>
    </row>
    <row r="246" spans="1:16">
      <c r="A246" s="207">
        <v>24</v>
      </c>
      <c r="B246" s="217" t="s">
        <v>191</v>
      </c>
      <c r="C246" s="207" t="s">
        <v>157</v>
      </c>
      <c r="D246" s="267" t="s">
        <v>27</v>
      </c>
      <c r="E246" s="267"/>
      <c r="F246" s="267"/>
      <c r="G246" s="267"/>
      <c r="H246" s="267"/>
      <c r="I246" s="267"/>
      <c r="J246" s="267"/>
      <c r="K246" s="267"/>
      <c r="L246" s="267"/>
      <c r="M246" s="267"/>
      <c r="N246" s="267"/>
      <c r="O246" s="267"/>
      <c r="P246" s="267"/>
    </row>
    <row r="247" spans="1:16">
      <c r="A247" s="207">
        <v>25</v>
      </c>
      <c r="B247" s="217" t="s">
        <v>192</v>
      </c>
      <c r="C247" s="207" t="s">
        <v>157</v>
      </c>
      <c r="D247" s="267" t="s">
        <v>27</v>
      </c>
      <c r="E247" s="267"/>
      <c r="F247" s="267"/>
      <c r="G247" s="267"/>
      <c r="H247" s="267"/>
      <c r="I247" s="267"/>
      <c r="J247" s="267"/>
      <c r="K247" s="267"/>
      <c r="L247" s="267"/>
      <c r="M247" s="267"/>
      <c r="N247" s="267"/>
      <c r="O247" s="267"/>
      <c r="P247" s="267"/>
    </row>
    <row r="248" spans="1:16">
      <c r="A248" s="207">
        <v>26</v>
      </c>
      <c r="B248" s="217" t="s">
        <v>194</v>
      </c>
      <c r="C248" s="207" t="s">
        <v>157</v>
      </c>
      <c r="D248" s="267" t="s">
        <v>27</v>
      </c>
      <c r="E248" s="267"/>
      <c r="F248" s="267"/>
      <c r="G248" s="267"/>
      <c r="H248" s="267"/>
      <c r="I248" s="267"/>
      <c r="J248" s="267"/>
      <c r="K248" s="267"/>
      <c r="L248" s="267"/>
      <c r="M248" s="267"/>
      <c r="N248" s="267"/>
      <c r="O248" s="267"/>
      <c r="P248" s="267"/>
    </row>
    <row r="249" spans="1:16" ht="30">
      <c r="A249" s="207">
        <v>27</v>
      </c>
      <c r="B249" s="217" t="s">
        <v>195</v>
      </c>
      <c r="C249" s="207" t="s">
        <v>157</v>
      </c>
      <c r="D249" s="267" t="s">
        <v>27</v>
      </c>
      <c r="E249" s="267"/>
      <c r="F249" s="267"/>
      <c r="G249" s="267"/>
      <c r="H249" s="267"/>
      <c r="I249" s="267"/>
      <c r="J249" s="267"/>
      <c r="K249" s="267"/>
      <c r="L249" s="267"/>
      <c r="M249" s="267"/>
      <c r="N249" s="267"/>
      <c r="O249" s="267"/>
      <c r="P249" s="267"/>
    </row>
    <row r="250" spans="1:16">
      <c r="A250" s="207">
        <v>28</v>
      </c>
      <c r="B250" s="217" t="s">
        <v>203</v>
      </c>
      <c r="C250" s="207" t="s">
        <v>157</v>
      </c>
      <c r="D250" s="267" t="s">
        <v>27</v>
      </c>
      <c r="E250" s="267"/>
      <c r="F250" s="267"/>
      <c r="G250" s="267"/>
      <c r="H250" s="267"/>
      <c r="I250" s="267"/>
      <c r="J250" s="267"/>
      <c r="K250" s="267"/>
      <c r="L250" s="267"/>
      <c r="M250" s="267"/>
      <c r="N250" s="267"/>
      <c r="O250" s="267"/>
      <c r="P250" s="267"/>
    </row>
    <row r="251" spans="1:16">
      <c r="A251" s="207">
        <v>29</v>
      </c>
      <c r="B251" s="217" t="s">
        <v>204</v>
      </c>
      <c r="C251" s="207" t="s">
        <v>157</v>
      </c>
      <c r="D251" s="267" t="s">
        <v>27</v>
      </c>
      <c r="E251" s="267"/>
      <c r="F251" s="267"/>
      <c r="G251" s="267"/>
      <c r="H251" s="267"/>
      <c r="I251" s="267"/>
      <c r="J251" s="267"/>
      <c r="K251" s="267"/>
      <c r="L251" s="267"/>
      <c r="M251" s="267"/>
      <c r="N251" s="267"/>
      <c r="O251" s="267"/>
      <c r="P251" s="267"/>
    </row>
    <row r="252" spans="1:16">
      <c r="A252" s="207">
        <v>30</v>
      </c>
      <c r="B252" s="217" t="s">
        <v>205</v>
      </c>
      <c r="C252" s="207" t="s">
        <v>157</v>
      </c>
      <c r="D252" s="267" t="s">
        <v>27</v>
      </c>
      <c r="E252" s="267"/>
      <c r="F252" s="267"/>
      <c r="G252" s="267"/>
      <c r="H252" s="267"/>
      <c r="I252" s="267"/>
      <c r="J252" s="267"/>
      <c r="K252" s="267"/>
      <c r="L252" s="267"/>
      <c r="M252" s="267"/>
      <c r="N252" s="267"/>
      <c r="O252" s="267"/>
      <c r="P252" s="267"/>
    </row>
    <row r="253" spans="1:16">
      <c r="A253" s="207">
        <v>31</v>
      </c>
      <c r="B253" s="161" t="s">
        <v>206</v>
      </c>
      <c r="C253" s="207" t="s">
        <v>157</v>
      </c>
      <c r="D253" s="267" t="s">
        <v>27</v>
      </c>
      <c r="E253" s="267"/>
      <c r="F253" s="267"/>
      <c r="G253" s="267"/>
      <c r="H253" s="267"/>
      <c r="I253" s="267"/>
      <c r="J253" s="267"/>
      <c r="K253" s="267"/>
      <c r="L253" s="267"/>
      <c r="M253" s="267"/>
      <c r="N253" s="267"/>
      <c r="O253" s="267"/>
      <c r="P253" s="267"/>
    </row>
    <row r="254" spans="1:16">
      <c r="A254" s="267"/>
      <c r="B254" s="267"/>
      <c r="C254" s="267"/>
      <c r="D254" s="267"/>
      <c r="E254" s="267"/>
      <c r="F254" s="267"/>
      <c r="G254" s="267"/>
      <c r="H254" s="267"/>
      <c r="I254" s="267"/>
      <c r="J254" s="267"/>
      <c r="K254" s="267"/>
      <c r="L254" s="267"/>
      <c r="M254" s="267"/>
      <c r="N254" s="267"/>
      <c r="O254" s="267"/>
      <c r="P254" s="267"/>
    </row>
    <row r="255" spans="1:16" ht="22.5" customHeight="1">
      <c r="A255" s="261" t="s">
        <v>1196</v>
      </c>
      <c r="B255" s="261"/>
      <c r="C255" s="261"/>
      <c r="D255" s="261"/>
      <c r="E255" s="261"/>
      <c r="F255" s="261"/>
      <c r="G255" s="261"/>
      <c r="H255" s="261"/>
      <c r="I255" s="261"/>
      <c r="J255" s="261"/>
      <c r="K255" s="261"/>
      <c r="L255" s="261"/>
      <c r="M255" s="261"/>
      <c r="N255" s="261"/>
      <c r="O255" s="261"/>
      <c r="P255" s="261"/>
    </row>
    <row r="256" spans="1:16" ht="20.25" customHeight="1">
      <c r="A256" s="259" t="s">
        <v>17</v>
      </c>
      <c r="B256" s="259"/>
      <c r="C256" s="259"/>
      <c r="D256" s="259"/>
      <c r="E256" s="259"/>
      <c r="F256" s="259"/>
      <c r="G256" s="259"/>
      <c r="H256" s="259"/>
      <c r="I256" s="259"/>
      <c r="J256" s="259"/>
      <c r="K256" s="259"/>
      <c r="L256" s="259"/>
      <c r="M256" s="259"/>
      <c r="N256" s="259"/>
      <c r="O256" s="259"/>
      <c r="P256" s="259"/>
    </row>
    <row r="257" spans="1:16" ht="85.5">
      <c r="A257" s="25" t="s">
        <v>0</v>
      </c>
      <c r="B257" s="25" t="s">
        <v>105</v>
      </c>
      <c r="C257" s="25" t="s">
        <v>1</v>
      </c>
      <c r="D257" s="25" t="s">
        <v>106</v>
      </c>
      <c r="E257" s="25" t="s">
        <v>3</v>
      </c>
      <c r="F257" s="25" t="s">
        <v>4</v>
      </c>
      <c r="G257" s="25" t="s">
        <v>107</v>
      </c>
      <c r="H257" s="25" t="s">
        <v>108</v>
      </c>
      <c r="I257" s="25" t="s">
        <v>99</v>
      </c>
      <c r="J257" s="25" t="s">
        <v>5</v>
      </c>
      <c r="K257" s="25" t="s">
        <v>6</v>
      </c>
      <c r="L257" s="25" t="s">
        <v>7</v>
      </c>
      <c r="M257" s="26" t="s">
        <v>8</v>
      </c>
      <c r="N257" s="26" t="s">
        <v>9</v>
      </c>
      <c r="O257" s="25" t="s">
        <v>10</v>
      </c>
      <c r="P257" s="24" t="s">
        <v>11</v>
      </c>
    </row>
    <row r="258" spans="1:16">
      <c r="A258" s="1">
        <v>1</v>
      </c>
      <c r="B258" s="25">
        <v>2</v>
      </c>
      <c r="C258" s="25">
        <v>3</v>
      </c>
      <c r="D258" s="25">
        <v>4</v>
      </c>
      <c r="E258" s="25">
        <v>5</v>
      </c>
      <c r="F258" s="25">
        <v>6</v>
      </c>
      <c r="G258" s="25">
        <v>7</v>
      </c>
      <c r="H258" s="25">
        <v>8</v>
      </c>
      <c r="I258" s="25">
        <v>9</v>
      </c>
      <c r="J258" s="25">
        <v>10</v>
      </c>
      <c r="K258" s="25">
        <v>11</v>
      </c>
      <c r="L258" s="25">
        <v>12</v>
      </c>
      <c r="M258" s="25">
        <v>13</v>
      </c>
      <c r="N258" s="25">
        <v>14</v>
      </c>
      <c r="O258" s="25">
        <v>15</v>
      </c>
      <c r="P258" s="25">
        <v>16</v>
      </c>
    </row>
    <row r="259" spans="1:16">
      <c r="A259" s="263" t="s">
        <v>27</v>
      </c>
      <c r="B259" s="263"/>
      <c r="C259" s="263"/>
      <c r="D259" s="263"/>
      <c r="E259" s="263"/>
      <c r="F259" s="263"/>
      <c r="G259" s="263"/>
      <c r="H259" s="263"/>
      <c r="I259" s="263"/>
      <c r="J259" s="263"/>
      <c r="K259" s="263"/>
      <c r="L259" s="263"/>
      <c r="M259" s="263"/>
      <c r="N259" s="263"/>
      <c r="O259" s="263"/>
      <c r="P259" s="263"/>
    </row>
    <row r="260" spans="1:16">
      <c r="A260" s="264"/>
      <c r="B260" s="264"/>
      <c r="C260" s="264"/>
      <c r="D260" s="264"/>
      <c r="E260" s="264"/>
      <c r="F260" s="264"/>
      <c r="G260" s="264"/>
      <c r="H260" s="264"/>
      <c r="I260" s="264"/>
      <c r="J260" s="264"/>
      <c r="K260" s="264"/>
      <c r="L260" s="264"/>
      <c r="M260" s="264"/>
      <c r="N260" s="264"/>
      <c r="O260" s="264"/>
      <c r="P260" s="264"/>
    </row>
    <row r="261" spans="1:16" ht="20.25" customHeight="1">
      <c r="A261" s="259" t="s">
        <v>28</v>
      </c>
      <c r="B261" s="259"/>
      <c r="C261" s="259"/>
      <c r="D261" s="259"/>
      <c r="E261" s="259"/>
      <c r="F261" s="259"/>
      <c r="G261" s="259"/>
      <c r="H261" s="259"/>
      <c r="I261" s="259"/>
      <c r="J261" s="259"/>
      <c r="K261" s="259"/>
      <c r="L261" s="259"/>
      <c r="M261" s="259"/>
      <c r="N261" s="259"/>
      <c r="O261" s="259"/>
      <c r="P261" s="293"/>
    </row>
    <row r="262" spans="1:16" ht="85.5">
      <c r="A262" s="25" t="s">
        <v>0</v>
      </c>
      <c r="B262" s="25" t="s">
        <v>102</v>
      </c>
      <c r="C262" s="25" t="s">
        <v>1</v>
      </c>
      <c r="D262" s="25" t="s">
        <v>109</v>
      </c>
      <c r="E262" s="26" t="s">
        <v>19</v>
      </c>
      <c r="F262" s="26" t="s">
        <v>20</v>
      </c>
      <c r="G262" s="25" t="s">
        <v>100</v>
      </c>
      <c r="H262" s="25" t="s">
        <v>101</v>
      </c>
      <c r="I262" s="25" t="s">
        <v>103</v>
      </c>
      <c r="J262" s="25" t="s">
        <v>5</v>
      </c>
      <c r="K262" s="25" t="s">
        <v>6</v>
      </c>
      <c r="L262" s="25" t="s">
        <v>23</v>
      </c>
      <c r="M262" s="25" t="s">
        <v>24</v>
      </c>
      <c r="N262" s="26" t="s">
        <v>25</v>
      </c>
      <c r="O262" s="24" t="s">
        <v>26</v>
      </c>
      <c r="P262" s="293"/>
    </row>
    <row r="263" spans="1:16" ht="15" customHeight="1">
      <c r="A263" s="219">
        <v>1</v>
      </c>
      <c r="B263" s="224">
        <v>2</v>
      </c>
      <c r="C263" s="224">
        <v>3</v>
      </c>
      <c r="D263" s="224">
        <v>4</v>
      </c>
      <c r="E263" s="224">
        <v>5</v>
      </c>
      <c r="F263" s="224">
        <v>6</v>
      </c>
      <c r="G263" s="224">
        <v>7</v>
      </c>
      <c r="H263" s="224">
        <v>8</v>
      </c>
      <c r="I263" s="224">
        <v>9</v>
      </c>
      <c r="J263" s="224">
        <v>10</v>
      </c>
      <c r="K263" s="224">
        <v>11</v>
      </c>
      <c r="L263" s="224">
        <v>12</v>
      </c>
      <c r="M263" s="224">
        <v>13</v>
      </c>
      <c r="N263" s="224">
        <v>14</v>
      </c>
      <c r="O263" s="224">
        <v>15</v>
      </c>
      <c r="P263" s="293"/>
    </row>
    <row r="264" spans="1:16" ht="15" customHeight="1">
      <c r="A264" s="263" t="s">
        <v>27</v>
      </c>
      <c r="B264" s="263"/>
      <c r="C264" s="263"/>
      <c r="D264" s="263"/>
      <c r="E264" s="263"/>
      <c r="F264" s="263"/>
      <c r="G264" s="263"/>
      <c r="H264" s="263"/>
      <c r="I264" s="263"/>
      <c r="J264" s="263"/>
      <c r="K264" s="263"/>
      <c r="L264" s="263"/>
      <c r="M264" s="263"/>
      <c r="N264" s="263"/>
      <c r="O264" s="263"/>
      <c r="P264" s="293"/>
    </row>
    <row r="265" spans="1:16" ht="15" customHeight="1">
      <c r="A265" s="263"/>
      <c r="B265" s="263"/>
      <c r="C265" s="263"/>
      <c r="D265" s="263"/>
      <c r="E265" s="263"/>
      <c r="F265" s="263"/>
      <c r="G265" s="263"/>
      <c r="H265" s="263"/>
      <c r="I265" s="263"/>
      <c r="J265" s="263"/>
      <c r="K265" s="263"/>
      <c r="L265" s="263"/>
      <c r="M265" s="263"/>
      <c r="N265" s="263"/>
      <c r="O265" s="263"/>
      <c r="P265" s="263"/>
    </row>
    <row r="266" spans="1:16" s="9" customFormat="1" ht="20.25" customHeight="1">
      <c r="A266" s="259" t="s">
        <v>34</v>
      </c>
      <c r="B266" s="259"/>
      <c r="C266" s="259"/>
      <c r="D266" s="259"/>
      <c r="E266" s="259"/>
      <c r="F266" s="259"/>
      <c r="G266" s="259"/>
      <c r="H266" s="259"/>
      <c r="I266" s="259"/>
      <c r="J266" s="259"/>
      <c r="K266" s="259"/>
      <c r="L266" s="259"/>
      <c r="M266" s="259"/>
      <c r="N266" s="259"/>
      <c r="O266" s="259"/>
      <c r="P266" s="293"/>
    </row>
    <row r="267" spans="1:16" s="9" customFormat="1" ht="99" customHeight="1">
      <c r="A267" s="25" t="s">
        <v>0</v>
      </c>
      <c r="B267" s="25" t="s">
        <v>102</v>
      </c>
      <c r="C267" s="25" t="s">
        <v>1</v>
      </c>
      <c r="D267" s="25" t="s">
        <v>109</v>
      </c>
      <c r="E267" s="25" t="s">
        <v>29</v>
      </c>
      <c r="F267" s="25" t="s">
        <v>20</v>
      </c>
      <c r="G267" s="25" t="s">
        <v>104</v>
      </c>
      <c r="H267" s="25" t="s">
        <v>101</v>
      </c>
      <c r="I267" s="25" t="s">
        <v>98</v>
      </c>
      <c r="J267" s="25" t="s">
        <v>5</v>
      </c>
      <c r="K267" s="25" t="s">
        <v>6</v>
      </c>
      <c r="L267" s="25" t="s">
        <v>31</v>
      </c>
      <c r="M267" s="25" t="s">
        <v>24</v>
      </c>
      <c r="N267" s="26" t="s">
        <v>32</v>
      </c>
      <c r="O267" s="24" t="s">
        <v>11</v>
      </c>
      <c r="P267" s="293"/>
    </row>
    <row r="268" spans="1:16" s="9" customFormat="1" ht="15" customHeight="1">
      <c r="A268" s="219">
        <v>1</v>
      </c>
      <c r="B268" s="224">
        <v>2</v>
      </c>
      <c r="C268" s="224">
        <v>3</v>
      </c>
      <c r="D268" s="224">
        <v>4</v>
      </c>
      <c r="E268" s="224">
        <v>5</v>
      </c>
      <c r="F268" s="224">
        <v>6</v>
      </c>
      <c r="G268" s="224">
        <v>7</v>
      </c>
      <c r="H268" s="224">
        <v>8</v>
      </c>
      <c r="I268" s="224">
        <v>9</v>
      </c>
      <c r="J268" s="224">
        <v>10</v>
      </c>
      <c r="K268" s="224">
        <v>11</v>
      </c>
      <c r="L268" s="224">
        <v>12</v>
      </c>
      <c r="M268" s="224">
        <v>13</v>
      </c>
      <c r="N268" s="224">
        <v>14</v>
      </c>
      <c r="O268" s="224">
        <v>15</v>
      </c>
      <c r="P268" s="293"/>
    </row>
    <row r="269" spans="1:16" s="9" customFormat="1" ht="15" customHeight="1">
      <c r="A269" s="263" t="s">
        <v>27</v>
      </c>
      <c r="B269" s="263"/>
      <c r="C269" s="263"/>
      <c r="D269" s="263"/>
      <c r="E269" s="263"/>
      <c r="F269" s="263"/>
      <c r="G269" s="263"/>
      <c r="H269" s="263"/>
      <c r="I269" s="263"/>
      <c r="J269" s="263"/>
      <c r="K269" s="263"/>
      <c r="L269" s="263"/>
      <c r="M269" s="263"/>
      <c r="N269" s="263"/>
      <c r="O269" s="263"/>
      <c r="P269" s="293"/>
    </row>
    <row r="270" spans="1:16" s="9" customFormat="1" ht="15" customHeight="1">
      <c r="A270" s="264"/>
      <c r="B270" s="264"/>
      <c r="C270" s="264"/>
      <c r="D270" s="264"/>
      <c r="E270" s="264"/>
      <c r="F270" s="264"/>
      <c r="G270" s="264"/>
      <c r="H270" s="264"/>
      <c r="I270" s="264"/>
      <c r="J270" s="264"/>
      <c r="K270" s="264"/>
      <c r="L270" s="264"/>
      <c r="M270" s="264"/>
      <c r="N270" s="264"/>
      <c r="O270" s="264"/>
      <c r="P270" s="264"/>
    </row>
    <row r="271" spans="1:16" ht="20.25">
      <c r="A271" s="259" t="s">
        <v>35</v>
      </c>
      <c r="B271" s="259"/>
      <c r="C271" s="259"/>
      <c r="D271" s="259"/>
      <c r="E271" s="259"/>
      <c r="F271" s="259"/>
      <c r="G271" s="259"/>
      <c r="H271" s="259"/>
      <c r="I271" s="259"/>
      <c r="J271" s="259"/>
      <c r="K271" s="259"/>
      <c r="L271" s="259"/>
      <c r="M271" s="259"/>
      <c r="N271" s="259"/>
      <c r="O271" s="259"/>
      <c r="P271" s="259"/>
    </row>
    <row r="272" spans="1:16" ht="85.5">
      <c r="A272" s="25" t="s">
        <v>0</v>
      </c>
      <c r="B272" s="25" t="s">
        <v>102</v>
      </c>
      <c r="C272" s="25" t="s">
        <v>1</v>
      </c>
      <c r="D272" s="25" t="s">
        <v>109</v>
      </c>
      <c r="E272" s="25" t="s">
        <v>29</v>
      </c>
      <c r="F272" s="25" t="s">
        <v>20</v>
      </c>
      <c r="G272" s="25" t="s">
        <v>97</v>
      </c>
      <c r="H272" s="25" t="s">
        <v>101</v>
      </c>
      <c r="I272" s="25" t="s">
        <v>98</v>
      </c>
      <c r="J272" s="25" t="s">
        <v>5</v>
      </c>
      <c r="K272" s="25" t="s">
        <v>6</v>
      </c>
      <c r="L272" s="25" t="s">
        <v>31</v>
      </c>
      <c r="M272" s="25" t="s">
        <v>24</v>
      </c>
      <c r="N272" s="26" t="s">
        <v>33</v>
      </c>
      <c r="O272" s="26" t="s">
        <v>32</v>
      </c>
      <c r="P272" s="24" t="s">
        <v>26</v>
      </c>
    </row>
    <row r="273" spans="1:16">
      <c r="A273" s="219">
        <v>1</v>
      </c>
      <c r="B273" s="224">
        <v>2</v>
      </c>
      <c r="C273" s="224">
        <v>3</v>
      </c>
      <c r="D273" s="224">
        <v>4</v>
      </c>
      <c r="E273" s="224">
        <v>5</v>
      </c>
      <c r="F273" s="224">
        <v>6</v>
      </c>
      <c r="G273" s="224">
        <v>7</v>
      </c>
      <c r="H273" s="224">
        <v>8</v>
      </c>
      <c r="I273" s="224">
        <v>9</v>
      </c>
      <c r="J273" s="224">
        <v>10</v>
      </c>
      <c r="K273" s="224">
        <v>11</v>
      </c>
      <c r="L273" s="224">
        <v>12</v>
      </c>
      <c r="M273" s="224">
        <v>13</v>
      </c>
      <c r="N273" s="224">
        <v>14</v>
      </c>
      <c r="O273" s="224">
        <v>15</v>
      </c>
      <c r="P273" s="25">
        <v>16</v>
      </c>
    </row>
    <row r="274" spans="1:16">
      <c r="A274" s="263" t="s">
        <v>27</v>
      </c>
      <c r="B274" s="263"/>
      <c r="C274" s="263"/>
      <c r="D274" s="263"/>
      <c r="E274" s="263"/>
      <c r="F274" s="263"/>
      <c r="G274" s="263"/>
      <c r="H274" s="263"/>
      <c r="I274" s="263"/>
      <c r="J274" s="263"/>
      <c r="K274" s="263"/>
      <c r="L274" s="263"/>
      <c r="M274" s="263"/>
      <c r="N274" s="263"/>
      <c r="O274" s="263"/>
      <c r="P274" s="263"/>
    </row>
    <row r="275" spans="1:16">
      <c r="A275" s="282"/>
      <c r="B275" s="282"/>
      <c r="C275" s="282"/>
      <c r="D275" s="282"/>
      <c r="E275" s="282"/>
      <c r="F275" s="282"/>
      <c r="G275" s="282"/>
      <c r="H275" s="282"/>
      <c r="I275" s="282"/>
      <c r="J275" s="282"/>
      <c r="K275" s="282"/>
      <c r="L275" s="282"/>
      <c r="M275" s="282"/>
      <c r="N275" s="282"/>
      <c r="O275" s="282"/>
      <c r="P275" s="282"/>
    </row>
    <row r="276" spans="1:16" ht="22.5">
      <c r="A276" s="253" t="s">
        <v>1276</v>
      </c>
      <c r="B276" s="253"/>
      <c r="C276" s="253"/>
      <c r="D276" s="253"/>
      <c r="E276" s="253"/>
      <c r="F276" s="253"/>
      <c r="G276" s="253"/>
      <c r="H276" s="253"/>
      <c r="I276" s="253"/>
      <c r="J276" s="253"/>
      <c r="K276" s="253"/>
      <c r="L276" s="253"/>
      <c r="M276" s="253"/>
      <c r="N276" s="253"/>
      <c r="O276" s="253"/>
      <c r="P276" s="253"/>
    </row>
    <row r="277" spans="1:16" ht="20.25" customHeight="1">
      <c r="A277" s="252" t="s">
        <v>17</v>
      </c>
      <c r="B277" s="252"/>
      <c r="C277" s="252"/>
      <c r="D277" s="252"/>
      <c r="E277" s="252"/>
      <c r="F277" s="252"/>
      <c r="G277" s="252"/>
      <c r="H277" s="252"/>
      <c r="I277" s="252"/>
      <c r="J277" s="252"/>
      <c r="K277" s="252"/>
      <c r="L277" s="252"/>
      <c r="M277" s="252"/>
      <c r="N277" s="252"/>
      <c r="O277" s="252"/>
      <c r="P277" s="252"/>
    </row>
    <row r="278" spans="1:16" ht="85.5">
      <c r="A278" s="25" t="s">
        <v>0</v>
      </c>
      <c r="B278" s="25" t="s">
        <v>105</v>
      </c>
      <c r="C278" s="25" t="s">
        <v>1</v>
      </c>
      <c r="D278" s="25" t="s">
        <v>106</v>
      </c>
      <c r="E278" s="25" t="s">
        <v>3</v>
      </c>
      <c r="F278" s="25" t="s">
        <v>4</v>
      </c>
      <c r="G278" s="25" t="s">
        <v>107</v>
      </c>
      <c r="H278" s="25" t="s">
        <v>108</v>
      </c>
      <c r="I278" s="25" t="s">
        <v>99</v>
      </c>
      <c r="J278" s="25" t="s">
        <v>5</v>
      </c>
      <c r="K278" s="25" t="s">
        <v>6</v>
      </c>
      <c r="L278" s="25" t="s">
        <v>7</v>
      </c>
      <c r="M278" s="26" t="s">
        <v>8</v>
      </c>
      <c r="N278" s="26" t="s">
        <v>9</v>
      </c>
      <c r="O278" s="25" t="s">
        <v>10</v>
      </c>
      <c r="P278" s="24" t="s">
        <v>11</v>
      </c>
    </row>
    <row r="279" spans="1:16">
      <c r="A279" s="1">
        <v>1</v>
      </c>
      <c r="B279" s="25">
        <v>2</v>
      </c>
      <c r="C279" s="25">
        <v>3</v>
      </c>
      <c r="D279" s="25">
        <v>4</v>
      </c>
      <c r="E279" s="25">
        <v>5</v>
      </c>
      <c r="F279" s="25">
        <v>6</v>
      </c>
      <c r="G279" s="25">
        <v>7</v>
      </c>
      <c r="H279" s="25">
        <v>8</v>
      </c>
      <c r="I279" s="25">
        <v>9</v>
      </c>
      <c r="J279" s="25">
        <v>10</v>
      </c>
      <c r="K279" s="25">
        <v>11</v>
      </c>
      <c r="L279" s="25">
        <v>12</v>
      </c>
      <c r="M279" s="25">
        <v>13</v>
      </c>
      <c r="N279" s="25">
        <v>14</v>
      </c>
      <c r="O279" s="25">
        <v>15</v>
      </c>
      <c r="P279" s="25">
        <v>16</v>
      </c>
    </row>
    <row r="280" spans="1:16">
      <c r="A280" s="270" t="s">
        <v>27</v>
      </c>
      <c r="B280" s="270"/>
      <c r="C280" s="270"/>
      <c r="D280" s="270"/>
      <c r="E280" s="270"/>
      <c r="F280" s="270"/>
      <c r="G280" s="270"/>
      <c r="H280" s="270"/>
      <c r="I280" s="270"/>
      <c r="J280" s="270"/>
      <c r="K280" s="270"/>
      <c r="L280" s="270"/>
      <c r="M280" s="270"/>
      <c r="N280" s="270"/>
      <c r="O280" s="270"/>
      <c r="P280" s="270"/>
    </row>
    <row r="281" spans="1:16">
      <c r="A281" s="271"/>
      <c r="B281" s="271"/>
      <c r="C281" s="271"/>
      <c r="D281" s="271"/>
      <c r="E281" s="271"/>
      <c r="F281" s="271"/>
      <c r="G281" s="271"/>
      <c r="H281" s="271"/>
      <c r="I281" s="271"/>
      <c r="J281" s="271"/>
      <c r="K281" s="271"/>
      <c r="L281" s="271"/>
      <c r="M281" s="271"/>
      <c r="N281" s="271"/>
      <c r="O281" s="271"/>
      <c r="P281" s="271"/>
    </row>
    <row r="282" spans="1:16" ht="20.25" customHeight="1">
      <c r="A282" s="252" t="s">
        <v>28</v>
      </c>
      <c r="B282" s="252"/>
      <c r="C282" s="252"/>
      <c r="D282" s="252"/>
      <c r="E282" s="252"/>
      <c r="F282" s="252"/>
      <c r="G282" s="252"/>
      <c r="H282" s="252"/>
      <c r="I282" s="252"/>
      <c r="J282" s="252"/>
      <c r="K282" s="252"/>
      <c r="L282" s="252"/>
      <c r="M282" s="252"/>
      <c r="N282" s="252"/>
      <c r="O282" s="252"/>
      <c r="P282" s="269"/>
    </row>
    <row r="283" spans="1:16" ht="85.5">
      <c r="A283" s="25" t="s">
        <v>0</v>
      </c>
      <c r="B283" s="25" t="s">
        <v>102</v>
      </c>
      <c r="C283" s="25" t="s">
        <v>1</v>
      </c>
      <c r="D283" s="25" t="s">
        <v>109</v>
      </c>
      <c r="E283" s="26" t="s">
        <v>19</v>
      </c>
      <c r="F283" s="26" t="s">
        <v>20</v>
      </c>
      <c r="G283" s="25" t="s">
        <v>100</v>
      </c>
      <c r="H283" s="25" t="s">
        <v>101</v>
      </c>
      <c r="I283" s="25" t="s">
        <v>103</v>
      </c>
      <c r="J283" s="25" t="s">
        <v>5</v>
      </c>
      <c r="K283" s="25" t="s">
        <v>6</v>
      </c>
      <c r="L283" s="25" t="s">
        <v>23</v>
      </c>
      <c r="M283" s="25" t="s">
        <v>24</v>
      </c>
      <c r="N283" s="26" t="s">
        <v>25</v>
      </c>
      <c r="O283" s="24" t="s">
        <v>26</v>
      </c>
      <c r="P283" s="269"/>
    </row>
    <row r="284" spans="1:16" ht="15" customHeight="1">
      <c r="A284" s="219">
        <v>1</v>
      </c>
      <c r="B284" s="224">
        <v>2</v>
      </c>
      <c r="C284" s="224">
        <v>3</v>
      </c>
      <c r="D284" s="224">
        <v>4</v>
      </c>
      <c r="E284" s="224">
        <v>5</v>
      </c>
      <c r="F284" s="224">
        <v>6</v>
      </c>
      <c r="G284" s="224">
        <v>7</v>
      </c>
      <c r="H284" s="224">
        <v>8</v>
      </c>
      <c r="I284" s="224">
        <v>9</v>
      </c>
      <c r="J284" s="224">
        <v>10</v>
      </c>
      <c r="K284" s="224">
        <v>11</v>
      </c>
      <c r="L284" s="224">
        <v>12</v>
      </c>
      <c r="M284" s="224">
        <v>13</v>
      </c>
      <c r="N284" s="224">
        <v>14</v>
      </c>
      <c r="O284" s="224">
        <v>15</v>
      </c>
      <c r="P284" s="269"/>
    </row>
    <row r="285" spans="1:16" ht="15" customHeight="1">
      <c r="A285" s="273" t="s">
        <v>27</v>
      </c>
      <c r="B285" s="273"/>
      <c r="C285" s="273"/>
      <c r="D285" s="273"/>
      <c r="E285" s="273"/>
      <c r="F285" s="273"/>
      <c r="G285" s="273"/>
      <c r="H285" s="273"/>
      <c r="I285" s="273"/>
      <c r="J285" s="273"/>
      <c r="K285" s="273"/>
      <c r="L285" s="273"/>
      <c r="M285" s="273"/>
      <c r="N285" s="273"/>
      <c r="O285" s="273"/>
      <c r="P285" s="269"/>
    </row>
    <row r="286" spans="1:16" ht="15" customHeight="1">
      <c r="A286" s="284"/>
      <c r="B286" s="284"/>
      <c r="C286" s="284"/>
      <c r="D286" s="284"/>
      <c r="E286" s="284"/>
      <c r="F286" s="284"/>
      <c r="G286" s="284"/>
      <c r="H286" s="284"/>
      <c r="I286" s="284"/>
      <c r="J286" s="284"/>
      <c r="K286" s="284"/>
      <c r="L286" s="284"/>
      <c r="M286" s="284"/>
      <c r="N286" s="284"/>
      <c r="O286" s="284"/>
      <c r="P286" s="284"/>
    </row>
    <row r="287" spans="1:16" ht="20.25" customHeight="1">
      <c r="A287" s="252" t="s">
        <v>34</v>
      </c>
      <c r="B287" s="252"/>
      <c r="C287" s="252"/>
      <c r="D287" s="252"/>
      <c r="E287" s="252"/>
      <c r="F287" s="252"/>
      <c r="G287" s="252"/>
      <c r="H287" s="252"/>
      <c r="I287" s="252"/>
      <c r="J287" s="252"/>
      <c r="K287" s="252"/>
      <c r="L287" s="252"/>
      <c r="M287" s="252"/>
      <c r="N287" s="252"/>
      <c r="O287" s="252"/>
      <c r="P287" s="269"/>
    </row>
    <row r="288" spans="1:16" ht="85.5">
      <c r="A288" s="44" t="s">
        <v>0</v>
      </c>
      <c r="B288" s="44" t="s">
        <v>36</v>
      </c>
      <c r="C288" s="44" t="s">
        <v>1</v>
      </c>
      <c r="D288" s="44" t="s">
        <v>2</v>
      </c>
      <c r="E288" s="44" t="s">
        <v>29</v>
      </c>
      <c r="F288" s="44" t="s">
        <v>20</v>
      </c>
      <c r="G288" s="44" t="s">
        <v>30</v>
      </c>
      <c r="H288" s="44" t="s">
        <v>21</v>
      </c>
      <c r="I288" s="44" t="s">
        <v>98</v>
      </c>
      <c r="J288" s="44" t="s">
        <v>5</v>
      </c>
      <c r="K288" s="44" t="s">
        <v>6</v>
      </c>
      <c r="L288" s="44" t="s">
        <v>31</v>
      </c>
      <c r="M288" s="44" t="s">
        <v>24</v>
      </c>
      <c r="N288" s="51" t="s">
        <v>32</v>
      </c>
      <c r="O288" s="240" t="s">
        <v>11</v>
      </c>
      <c r="P288" s="269"/>
    </row>
    <row r="289" spans="1:16" ht="15" customHeight="1">
      <c r="A289" s="45">
        <v>1</v>
      </c>
      <c r="B289" s="45">
        <v>2</v>
      </c>
      <c r="C289" s="45">
        <v>3</v>
      </c>
      <c r="D289" s="45">
        <v>4</v>
      </c>
      <c r="E289" s="45">
        <v>5</v>
      </c>
      <c r="F289" s="45">
        <v>6</v>
      </c>
      <c r="G289" s="45">
        <v>7</v>
      </c>
      <c r="H289" s="45">
        <v>8</v>
      </c>
      <c r="I289" s="45">
        <v>9</v>
      </c>
      <c r="J289" s="45">
        <v>10</v>
      </c>
      <c r="K289" s="45">
        <v>11</v>
      </c>
      <c r="L289" s="45">
        <v>12</v>
      </c>
      <c r="M289" s="45">
        <v>13</v>
      </c>
      <c r="N289" s="45">
        <v>14</v>
      </c>
      <c r="O289" s="45">
        <v>15</v>
      </c>
      <c r="P289" s="269"/>
    </row>
    <row r="290" spans="1:16" ht="15" customHeight="1">
      <c r="A290" s="272" t="s">
        <v>27</v>
      </c>
      <c r="B290" s="272"/>
      <c r="C290" s="272"/>
      <c r="D290" s="272"/>
      <c r="E290" s="272"/>
      <c r="F290" s="272"/>
      <c r="G290" s="272"/>
      <c r="H290" s="272"/>
      <c r="I290" s="272"/>
      <c r="J290" s="272"/>
      <c r="K290" s="272"/>
      <c r="L290" s="272"/>
      <c r="M290" s="272"/>
      <c r="N290" s="272"/>
      <c r="O290" s="272"/>
      <c r="P290" s="269"/>
    </row>
    <row r="291" spans="1:16" ht="15" customHeight="1">
      <c r="A291" s="274"/>
      <c r="B291" s="274"/>
      <c r="C291" s="274"/>
      <c r="D291" s="274"/>
      <c r="E291" s="274"/>
      <c r="F291" s="274"/>
      <c r="G291" s="274"/>
      <c r="H291" s="274"/>
      <c r="I291" s="274"/>
      <c r="J291" s="274"/>
      <c r="K291" s="274"/>
      <c r="L291" s="274"/>
      <c r="M291" s="274"/>
      <c r="N291" s="274"/>
      <c r="O291" s="274"/>
      <c r="P291" s="274"/>
    </row>
    <row r="292" spans="1:16" ht="20.25" customHeight="1">
      <c r="A292" s="252" t="s">
        <v>35</v>
      </c>
      <c r="B292" s="252"/>
      <c r="C292" s="252"/>
      <c r="D292" s="252"/>
      <c r="E292" s="252"/>
      <c r="F292" s="252"/>
      <c r="G292" s="252"/>
      <c r="H292" s="252"/>
      <c r="I292" s="252"/>
      <c r="J292" s="252"/>
      <c r="K292" s="252"/>
      <c r="L292" s="252"/>
      <c r="M292" s="252"/>
      <c r="N292" s="252"/>
      <c r="O292" s="252"/>
      <c r="P292" s="252"/>
    </row>
    <row r="293" spans="1:16" ht="85.5">
      <c r="A293" s="25" t="s">
        <v>0</v>
      </c>
      <c r="B293" s="25" t="s">
        <v>102</v>
      </c>
      <c r="C293" s="25" t="s">
        <v>1</v>
      </c>
      <c r="D293" s="25" t="s">
        <v>109</v>
      </c>
      <c r="E293" s="25" t="s">
        <v>29</v>
      </c>
      <c r="F293" s="25" t="s">
        <v>20</v>
      </c>
      <c r="G293" s="25" t="s">
        <v>97</v>
      </c>
      <c r="H293" s="25" t="s">
        <v>101</v>
      </c>
      <c r="I293" s="25" t="s">
        <v>98</v>
      </c>
      <c r="J293" s="25" t="s">
        <v>5</v>
      </c>
      <c r="K293" s="25" t="s">
        <v>6</v>
      </c>
      <c r="L293" s="25" t="s">
        <v>31</v>
      </c>
      <c r="M293" s="25" t="s">
        <v>24</v>
      </c>
      <c r="N293" s="26" t="s">
        <v>33</v>
      </c>
      <c r="O293" s="26" t="s">
        <v>32</v>
      </c>
      <c r="P293" s="24" t="s">
        <v>26</v>
      </c>
    </row>
    <row r="294" spans="1:16">
      <c r="A294" s="219">
        <v>1</v>
      </c>
      <c r="B294" s="224">
        <v>2</v>
      </c>
      <c r="C294" s="224">
        <v>3</v>
      </c>
      <c r="D294" s="224">
        <v>4</v>
      </c>
      <c r="E294" s="224">
        <v>5</v>
      </c>
      <c r="F294" s="224">
        <v>6</v>
      </c>
      <c r="G294" s="224">
        <v>7</v>
      </c>
      <c r="H294" s="224">
        <v>8</v>
      </c>
      <c r="I294" s="224">
        <v>9</v>
      </c>
      <c r="J294" s="224">
        <v>10</v>
      </c>
      <c r="K294" s="224">
        <v>11</v>
      </c>
      <c r="L294" s="224">
        <v>12</v>
      </c>
      <c r="M294" s="224">
        <v>13</v>
      </c>
      <c r="N294" s="224">
        <v>14</v>
      </c>
      <c r="O294" s="224">
        <v>15</v>
      </c>
      <c r="P294" s="25">
        <v>16</v>
      </c>
    </row>
    <row r="295" spans="1:16">
      <c r="A295" s="274" t="s">
        <v>27</v>
      </c>
      <c r="B295" s="274"/>
      <c r="C295" s="274"/>
      <c r="D295" s="274"/>
      <c r="E295" s="274"/>
      <c r="F295" s="274"/>
      <c r="G295" s="274"/>
      <c r="H295" s="274"/>
      <c r="I295" s="274"/>
      <c r="J295" s="274"/>
      <c r="K295" s="274"/>
      <c r="L295" s="274"/>
      <c r="M295" s="274"/>
      <c r="N295" s="274"/>
      <c r="O295" s="274"/>
      <c r="P295" s="274"/>
    </row>
    <row r="296" spans="1:16">
      <c r="A296" s="266"/>
      <c r="B296" s="266"/>
      <c r="C296" s="266"/>
      <c r="D296" s="266"/>
      <c r="E296" s="266"/>
      <c r="F296" s="266"/>
      <c r="G296" s="266"/>
      <c r="H296" s="266"/>
      <c r="I296" s="266"/>
      <c r="J296" s="266"/>
      <c r="K296" s="266"/>
      <c r="L296" s="266"/>
      <c r="M296" s="266"/>
      <c r="N296" s="266"/>
      <c r="O296" s="266"/>
      <c r="P296" s="266"/>
    </row>
    <row r="297" spans="1:16" ht="22.5" customHeight="1">
      <c r="A297" s="253" t="s">
        <v>1277</v>
      </c>
      <c r="B297" s="253"/>
      <c r="C297" s="253"/>
      <c r="D297" s="253"/>
      <c r="E297" s="253"/>
      <c r="F297" s="253"/>
      <c r="G297" s="253"/>
      <c r="H297" s="253"/>
      <c r="I297" s="253"/>
      <c r="J297" s="253"/>
      <c r="K297" s="253"/>
      <c r="L297" s="253"/>
      <c r="M297" s="253"/>
      <c r="N297" s="253"/>
      <c r="O297" s="253"/>
      <c r="P297" s="253"/>
    </row>
    <row r="298" spans="1:16" ht="20.25" customHeight="1">
      <c r="A298" s="252" t="s">
        <v>17</v>
      </c>
      <c r="B298" s="252"/>
      <c r="C298" s="252"/>
      <c r="D298" s="252"/>
      <c r="E298" s="252"/>
      <c r="F298" s="252"/>
      <c r="G298" s="252"/>
      <c r="H298" s="252"/>
      <c r="I298" s="252"/>
      <c r="J298" s="252"/>
      <c r="K298" s="252"/>
      <c r="L298" s="252"/>
      <c r="M298" s="252"/>
      <c r="N298" s="252"/>
      <c r="O298" s="252"/>
      <c r="P298" s="252"/>
    </row>
    <row r="299" spans="1:16" ht="85.5">
      <c r="A299" s="25" t="s">
        <v>0</v>
      </c>
      <c r="B299" s="25" t="s">
        <v>105</v>
      </c>
      <c r="C299" s="25" t="s">
        <v>1</v>
      </c>
      <c r="D299" s="25" t="s">
        <v>106</v>
      </c>
      <c r="E299" s="25" t="s">
        <v>3</v>
      </c>
      <c r="F299" s="25" t="s">
        <v>4</v>
      </c>
      <c r="G299" s="25" t="s">
        <v>107</v>
      </c>
      <c r="H299" s="25" t="s">
        <v>108</v>
      </c>
      <c r="I299" s="25" t="s">
        <v>99</v>
      </c>
      <c r="J299" s="25" t="s">
        <v>5</v>
      </c>
      <c r="K299" s="25" t="s">
        <v>6</v>
      </c>
      <c r="L299" s="25" t="s">
        <v>7</v>
      </c>
      <c r="M299" s="26" t="s">
        <v>8</v>
      </c>
      <c r="N299" s="26" t="s">
        <v>9</v>
      </c>
      <c r="O299" s="25" t="s">
        <v>10</v>
      </c>
      <c r="P299" s="24" t="s">
        <v>11</v>
      </c>
    </row>
    <row r="300" spans="1:16">
      <c r="A300" s="1">
        <v>1</v>
      </c>
      <c r="B300" s="25">
        <v>2</v>
      </c>
      <c r="C300" s="25">
        <v>3</v>
      </c>
      <c r="D300" s="25">
        <v>4</v>
      </c>
      <c r="E300" s="25">
        <v>5</v>
      </c>
      <c r="F300" s="25">
        <v>6</v>
      </c>
      <c r="G300" s="25">
        <v>7</v>
      </c>
      <c r="H300" s="25">
        <v>8</v>
      </c>
      <c r="I300" s="25">
        <v>9</v>
      </c>
      <c r="J300" s="25">
        <v>10</v>
      </c>
      <c r="K300" s="25">
        <v>11</v>
      </c>
      <c r="L300" s="25">
        <v>12</v>
      </c>
      <c r="M300" s="25">
        <v>13</v>
      </c>
      <c r="N300" s="25">
        <v>14</v>
      </c>
      <c r="O300" s="25">
        <v>15</v>
      </c>
      <c r="P300" s="25">
        <v>16</v>
      </c>
    </row>
    <row r="301" spans="1:16">
      <c r="A301" s="213">
        <v>1</v>
      </c>
      <c r="B301" s="140" t="s">
        <v>208</v>
      </c>
      <c r="C301" s="70" t="s">
        <v>209</v>
      </c>
      <c r="D301" s="268" t="s">
        <v>27</v>
      </c>
      <c r="E301" s="268"/>
      <c r="F301" s="268"/>
      <c r="G301" s="268"/>
      <c r="H301" s="268"/>
      <c r="I301" s="268"/>
      <c r="J301" s="268"/>
      <c r="K301" s="268"/>
      <c r="L301" s="268"/>
      <c r="M301" s="268"/>
      <c r="N301" s="268"/>
      <c r="O301" s="268"/>
      <c r="P301" s="268"/>
    </row>
    <row r="302" spans="1:16" ht="30">
      <c r="A302" s="205">
        <v>2</v>
      </c>
      <c r="B302" s="140" t="s">
        <v>208</v>
      </c>
      <c r="C302" s="228" t="s">
        <v>210</v>
      </c>
      <c r="D302" s="268" t="s">
        <v>27</v>
      </c>
      <c r="E302" s="268"/>
      <c r="F302" s="268"/>
      <c r="G302" s="268"/>
      <c r="H302" s="268"/>
      <c r="I302" s="268"/>
      <c r="J302" s="268"/>
      <c r="K302" s="268"/>
      <c r="L302" s="268"/>
      <c r="M302" s="268"/>
      <c r="N302" s="268"/>
      <c r="O302" s="268"/>
      <c r="P302" s="268"/>
    </row>
    <row r="303" spans="1:16">
      <c r="A303" s="213">
        <v>3</v>
      </c>
      <c r="B303" s="142" t="s">
        <v>208</v>
      </c>
      <c r="C303" s="142" t="s">
        <v>211</v>
      </c>
      <c r="D303" s="268" t="s">
        <v>27</v>
      </c>
      <c r="E303" s="268"/>
      <c r="F303" s="268"/>
      <c r="G303" s="268"/>
      <c r="H303" s="268"/>
      <c r="I303" s="268"/>
      <c r="J303" s="268"/>
      <c r="K303" s="268"/>
      <c r="L303" s="268"/>
      <c r="M303" s="268"/>
      <c r="N303" s="268"/>
      <c r="O303" s="268"/>
      <c r="P303" s="268"/>
    </row>
    <row r="304" spans="1:16">
      <c r="A304" s="205">
        <v>4</v>
      </c>
      <c r="B304" s="142" t="s">
        <v>208</v>
      </c>
      <c r="C304" s="142" t="s">
        <v>212</v>
      </c>
      <c r="D304" s="268" t="s">
        <v>27</v>
      </c>
      <c r="E304" s="268"/>
      <c r="F304" s="268"/>
      <c r="G304" s="268"/>
      <c r="H304" s="268"/>
      <c r="I304" s="268"/>
      <c r="J304" s="268"/>
      <c r="K304" s="268"/>
      <c r="L304" s="268"/>
      <c r="M304" s="268"/>
      <c r="N304" s="268"/>
      <c r="O304" s="268"/>
      <c r="P304" s="268"/>
    </row>
    <row r="305" spans="1:16">
      <c r="A305" s="213">
        <v>5</v>
      </c>
      <c r="B305" s="142" t="s">
        <v>208</v>
      </c>
      <c r="C305" s="142" t="s">
        <v>213</v>
      </c>
      <c r="D305" s="268" t="s">
        <v>27</v>
      </c>
      <c r="E305" s="268"/>
      <c r="F305" s="268"/>
      <c r="G305" s="268"/>
      <c r="H305" s="268"/>
      <c r="I305" s="268"/>
      <c r="J305" s="268"/>
      <c r="K305" s="268"/>
      <c r="L305" s="268"/>
      <c r="M305" s="268"/>
      <c r="N305" s="268"/>
      <c r="O305" s="268"/>
      <c r="P305" s="268"/>
    </row>
    <row r="306" spans="1:16">
      <c r="A306" s="205">
        <v>6</v>
      </c>
      <c r="B306" s="142" t="s">
        <v>208</v>
      </c>
      <c r="C306" s="142" t="s">
        <v>214</v>
      </c>
      <c r="D306" s="268" t="s">
        <v>27</v>
      </c>
      <c r="E306" s="268"/>
      <c r="F306" s="268"/>
      <c r="G306" s="268"/>
      <c r="H306" s="268"/>
      <c r="I306" s="268"/>
      <c r="J306" s="268"/>
      <c r="K306" s="268"/>
      <c r="L306" s="268"/>
      <c r="M306" s="268"/>
      <c r="N306" s="268"/>
      <c r="O306" s="268"/>
      <c r="P306" s="268"/>
    </row>
    <row r="307" spans="1:16" ht="180">
      <c r="A307" s="213">
        <v>7</v>
      </c>
      <c r="B307" s="143" t="s">
        <v>215</v>
      </c>
      <c r="C307" s="143" t="s">
        <v>216</v>
      </c>
      <c r="D307" s="143" t="s">
        <v>217</v>
      </c>
      <c r="E307" s="148" t="s">
        <v>218</v>
      </c>
      <c r="F307" s="139" t="s">
        <v>219</v>
      </c>
      <c r="G307" s="139">
        <v>14.164999999999999</v>
      </c>
      <c r="H307" s="139" t="s">
        <v>37</v>
      </c>
      <c r="I307" s="139" t="s">
        <v>220</v>
      </c>
      <c r="J307" s="139" t="s">
        <v>13</v>
      </c>
      <c r="K307" s="139" t="s">
        <v>41</v>
      </c>
      <c r="L307" s="139" t="s">
        <v>41</v>
      </c>
      <c r="M307" s="148" t="s">
        <v>221</v>
      </c>
      <c r="N307" s="148" t="s">
        <v>222</v>
      </c>
      <c r="O307" s="139" t="s">
        <v>41</v>
      </c>
      <c r="P307" s="119"/>
    </row>
    <row r="308" spans="1:16">
      <c r="A308" s="205">
        <v>8</v>
      </c>
      <c r="B308" s="142" t="s">
        <v>208</v>
      </c>
      <c r="C308" s="142" t="s">
        <v>223</v>
      </c>
      <c r="D308" s="268" t="s">
        <v>27</v>
      </c>
      <c r="E308" s="268"/>
      <c r="F308" s="268"/>
      <c r="G308" s="268"/>
      <c r="H308" s="268"/>
      <c r="I308" s="268"/>
      <c r="J308" s="268"/>
      <c r="K308" s="268"/>
      <c r="L308" s="268"/>
      <c r="M308" s="268"/>
      <c r="N308" s="268"/>
      <c r="O308" s="268"/>
      <c r="P308" s="268"/>
    </row>
    <row r="309" spans="1:16">
      <c r="A309" s="213">
        <v>9</v>
      </c>
      <c r="B309" s="142" t="s">
        <v>208</v>
      </c>
      <c r="C309" s="142" t="s">
        <v>224</v>
      </c>
      <c r="D309" s="268" t="s">
        <v>27</v>
      </c>
      <c r="E309" s="268"/>
      <c r="F309" s="268"/>
      <c r="G309" s="268"/>
      <c r="H309" s="268"/>
      <c r="I309" s="268"/>
      <c r="J309" s="268"/>
      <c r="K309" s="268"/>
      <c r="L309" s="268"/>
      <c r="M309" s="268"/>
      <c r="N309" s="268"/>
      <c r="O309" s="268"/>
      <c r="P309" s="268"/>
    </row>
    <row r="310" spans="1:16" ht="105">
      <c r="A310" s="205">
        <v>10</v>
      </c>
      <c r="B310" s="144" t="s">
        <v>208</v>
      </c>
      <c r="C310" s="144" t="s">
        <v>225</v>
      </c>
      <c r="D310" s="149" t="s">
        <v>226</v>
      </c>
      <c r="E310" s="150">
        <v>13221.08</v>
      </c>
      <c r="F310" s="150" t="s">
        <v>227</v>
      </c>
      <c r="G310" s="150">
        <v>55.11</v>
      </c>
      <c r="H310" s="151" t="s">
        <v>228</v>
      </c>
      <c r="I310" s="150" t="s">
        <v>229</v>
      </c>
      <c r="J310" s="150" t="s">
        <v>12</v>
      </c>
      <c r="K310" s="150" t="s">
        <v>12</v>
      </c>
      <c r="L310" s="150" t="s">
        <v>12</v>
      </c>
      <c r="M310" s="151" t="s">
        <v>230</v>
      </c>
      <c r="N310" s="151" t="s">
        <v>231</v>
      </c>
      <c r="O310" s="150" t="s">
        <v>12</v>
      </c>
      <c r="P310" s="151" t="s">
        <v>232</v>
      </c>
    </row>
    <row r="311" spans="1:16">
      <c r="A311" s="213">
        <v>11</v>
      </c>
      <c r="B311" s="144" t="s">
        <v>208</v>
      </c>
      <c r="C311" s="142" t="s">
        <v>233</v>
      </c>
      <c r="D311" s="268" t="s">
        <v>27</v>
      </c>
      <c r="E311" s="268"/>
      <c r="F311" s="268"/>
      <c r="G311" s="268"/>
      <c r="H311" s="268"/>
      <c r="I311" s="268"/>
      <c r="J311" s="268"/>
      <c r="K311" s="268"/>
      <c r="L311" s="268"/>
      <c r="M311" s="268"/>
      <c r="N311" s="268"/>
      <c r="O311" s="268"/>
      <c r="P311" s="268"/>
    </row>
    <row r="312" spans="1:16">
      <c r="A312" s="205">
        <v>12</v>
      </c>
      <c r="B312" s="144" t="s">
        <v>208</v>
      </c>
      <c r="C312" s="142" t="s">
        <v>234</v>
      </c>
      <c r="D312" s="268" t="s">
        <v>27</v>
      </c>
      <c r="E312" s="268"/>
      <c r="F312" s="268"/>
      <c r="G312" s="268"/>
      <c r="H312" s="268"/>
      <c r="I312" s="268"/>
      <c r="J312" s="268"/>
      <c r="K312" s="268"/>
      <c r="L312" s="268"/>
      <c r="M312" s="268"/>
      <c r="N312" s="268"/>
      <c r="O312" s="268"/>
      <c r="P312" s="268"/>
    </row>
    <row r="313" spans="1:16">
      <c r="A313" s="225">
        <v>13</v>
      </c>
      <c r="B313" s="145" t="s">
        <v>208</v>
      </c>
      <c r="C313" s="142" t="s">
        <v>235</v>
      </c>
      <c r="D313" s="268" t="s">
        <v>27</v>
      </c>
      <c r="E313" s="268"/>
      <c r="F313" s="268"/>
      <c r="G313" s="268"/>
      <c r="H313" s="268"/>
      <c r="I313" s="268"/>
      <c r="J313" s="268"/>
      <c r="K313" s="268"/>
      <c r="L313" s="268"/>
      <c r="M313" s="268"/>
      <c r="N313" s="268"/>
      <c r="O313" s="268"/>
      <c r="P313" s="268"/>
    </row>
    <row r="314" spans="1:16" ht="90">
      <c r="A314" s="205">
        <v>14</v>
      </c>
      <c r="B314" s="145" t="s">
        <v>236</v>
      </c>
      <c r="C314" s="142" t="s">
        <v>237</v>
      </c>
      <c r="D314" s="217" t="s">
        <v>238</v>
      </c>
      <c r="E314" s="213">
        <v>16657</v>
      </c>
      <c r="F314" s="213" t="s">
        <v>239</v>
      </c>
      <c r="G314" s="213">
        <v>0.64949999999999997</v>
      </c>
      <c r="H314" s="213">
        <v>19.921700000000001</v>
      </c>
      <c r="I314" s="207" t="s">
        <v>240</v>
      </c>
      <c r="J314" s="213" t="s">
        <v>12</v>
      </c>
      <c r="K314" s="207" t="s">
        <v>241</v>
      </c>
      <c r="L314" s="225" t="s">
        <v>27</v>
      </c>
      <c r="M314" s="236" t="s">
        <v>242</v>
      </c>
      <c r="N314" s="225" t="s">
        <v>12</v>
      </c>
      <c r="O314" s="236" t="s">
        <v>243</v>
      </c>
      <c r="P314" s="225" t="s">
        <v>44</v>
      </c>
    </row>
    <row r="315" spans="1:16">
      <c r="A315" s="225">
        <v>15</v>
      </c>
      <c r="B315" s="145" t="s">
        <v>208</v>
      </c>
      <c r="C315" s="142" t="s">
        <v>244</v>
      </c>
      <c r="D315" s="289" t="s">
        <v>27</v>
      </c>
      <c r="E315" s="289"/>
      <c r="F315" s="289"/>
      <c r="G315" s="289"/>
      <c r="H315" s="289"/>
      <c r="I315" s="289"/>
      <c r="J315" s="289"/>
      <c r="K315" s="289"/>
      <c r="L315" s="289"/>
      <c r="M315" s="289"/>
      <c r="N315" s="289"/>
      <c r="O315" s="289"/>
      <c r="P315" s="289"/>
    </row>
    <row r="316" spans="1:16">
      <c r="A316" s="205">
        <v>16</v>
      </c>
      <c r="B316" s="145" t="s">
        <v>208</v>
      </c>
      <c r="C316" s="142" t="s">
        <v>245</v>
      </c>
      <c r="D316" s="251" t="s">
        <v>27</v>
      </c>
      <c r="E316" s="251"/>
      <c r="F316" s="251"/>
      <c r="G316" s="251"/>
      <c r="H316" s="251"/>
      <c r="I316" s="251"/>
      <c r="J316" s="251"/>
      <c r="K316" s="251"/>
      <c r="L316" s="251"/>
      <c r="M316" s="251"/>
      <c r="N316" s="251"/>
      <c r="O316" s="251"/>
      <c r="P316" s="251"/>
    </row>
    <row r="317" spans="1:16">
      <c r="A317" s="225">
        <v>17</v>
      </c>
      <c r="B317" s="145" t="s">
        <v>208</v>
      </c>
      <c r="C317" s="142" t="s">
        <v>246</v>
      </c>
      <c r="D317" s="251" t="s">
        <v>27</v>
      </c>
      <c r="E317" s="251"/>
      <c r="F317" s="251"/>
      <c r="G317" s="251"/>
      <c r="H317" s="251"/>
      <c r="I317" s="251"/>
      <c r="J317" s="251"/>
      <c r="K317" s="251"/>
      <c r="L317" s="251"/>
      <c r="M317" s="251"/>
      <c r="N317" s="251"/>
      <c r="O317" s="251"/>
      <c r="P317" s="251"/>
    </row>
    <row r="318" spans="1:16" ht="90">
      <c r="A318" s="207">
        <v>18</v>
      </c>
      <c r="B318" s="127" t="s">
        <v>247</v>
      </c>
      <c r="C318" s="127" t="s">
        <v>247</v>
      </c>
      <c r="D318" s="217" t="s">
        <v>248</v>
      </c>
      <c r="E318" s="96">
        <v>12629.76</v>
      </c>
      <c r="F318" s="207" t="s">
        <v>249</v>
      </c>
      <c r="G318" s="207">
        <v>4.47</v>
      </c>
      <c r="H318" s="207" t="s">
        <v>250</v>
      </c>
      <c r="I318" s="207" t="s">
        <v>251</v>
      </c>
      <c r="J318" s="207" t="s">
        <v>12</v>
      </c>
      <c r="K318" s="207" t="s">
        <v>12</v>
      </c>
      <c r="L318" s="207" t="s">
        <v>12</v>
      </c>
      <c r="M318" s="207" t="s">
        <v>137</v>
      </c>
      <c r="N318" s="207" t="s">
        <v>12</v>
      </c>
      <c r="O318" s="207" t="s">
        <v>12</v>
      </c>
      <c r="P318" s="207"/>
    </row>
    <row r="319" spans="1:16">
      <c r="A319" s="225">
        <v>19</v>
      </c>
      <c r="B319" s="146" t="s">
        <v>208</v>
      </c>
      <c r="C319" s="147" t="s">
        <v>272</v>
      </c>
      <c r="D319" s="268" t="s">
        <v>27</v>
      </c>
      <c r="E319" s="268"/>
      <c r="F319" s="268"/>
      <c r="G319" s="268"/>
      <c r="H319" s="268"/>
      <c r="I319" s="268"/>
      <c r="J319" s="268"/>
      <c r="K319" s="268"/>
      <c r="L319" s="268"/>
      <c r="M319" s="268"/>
      <c r="N319" s="268"/>
      <c r="O319" s="268"/>
      <c r="P319" s="268"/>
    </row>
    <row r="320" spans="1:16">
      <c r="A320" s="267"/>
      <c r="B320" s="267"/>
      <c r="C320" s="267"/>
      <c r="D320" s="267"/>
      <c r="E320" s="267"/>
      <c r="F320" s="267"/>
      <c r="G320" s="267"/>
      <c r="H320" s="267"/>
      <c r="I320" s="267"/>
      <c r="J320" s="267"/>
      <c r="K320" s="267"/>
      <c r="L320" s="267"/>
      <c r="M320" s="267"/>
      <c r="N320" s="267"/>
      <c r="O320" s="267"/>
      <c r="P320" s="267"/>
    </row>
    <row r="321" spans="1:16" ht="20.25" customHeight="1">
      <c r="A321" s="252" t="s">
        <v>28</v>
      </c>
      <c r="B321" s="252"/>
      <c r="C321" s="252"/>
      <c r="D321" s="252"/>
      <c r="E321" s="252"/>
      <c r="F321" s="252"/>
      <c r="G321" s="252"/>
      <c r="H321" s="252"/>
      <c r="I321" s="252"/>
      <c r="J321" s="252"/>
      <c r="K321" s="252"/>
      <c r="L321" s="252"/>
      <c r="M321" s="252"/>
      <c r="N321" s="252"/>
      <c r="O321" s="252"/>
      <c r="P321" s="269"/>
    </row>
    <row r="322" spans="1:16" ht="73.5" customHeight="1">
      <c r="A322" s="25" t="s">
        <v>0</v>
      </c>
      <c r="B322" s="25" t="s">
        <v>102</v>
      </c>
      <c r="C322" s="25" t="s">
        <v>1</v>
      </c>
      <c r="D322" s="25" t="s">
        <v>109</v>
      </c>
      <c r="E322" s="26" t="s">
        <v>19</v>
      </c>
      <c r="F322" s="26" t="s">
        <v>20</v>
      </c>
      <c r="G322" s="25" t="s">
        <v>100</v>
      </c>
      <c r="H322" s="25" t="s">
        <v>101</v>
      </c>
      <c r="I322" s="25" t="s">
        <v>103</v>
      </c>
      <c r="J322" s="25" t="s">
        <v>5</v>
      </c>
      <c r="K322" s="25" t="s">
        <v>6</v>
      </c>
      <c r="L322" s="25" t="s">
        <v>23</v>
      </c>
      <c r="M322" s="25" t="s">
        <v>24</v>
      </c>
      <c r="N322" s="26" t="s">
        <v>25</v>
      </c>
      <c r="O322" s="24" t="s">
        <v>26</v>
      </c>
      <c r="P322" s="269"/>
    </row>
    <row r="323" spans="1:16" ht="15" customHeight="1">
      <c r="A323" s="219">
        <v>1</v>
      </c>
      <c r="B323" s="224">
        <v>2</v>
      </c>
      <c r="C323" s="224">
        <v>3</v>
      </c>
      <c r="D323" s="224">
        <v>4</v>
      </c>
      <c r="E323" s="224">
        <v>5</v>
      </c>
      <c r="F323" s="224">
        <v>6</v>
      </c>
      <c r="G323" s="224">
        <v>7</v>
      </c>
      <c r="H323" s="224">
        <v>8</v>
      </c>
      <c r="I323" s="224">
        <v>9</v>
      </c>
      <c r="J323" s="224">
        <v>10</v>
      </c>
      <c r="K323" s="224">
        <v>11</v>
      </c>
      <c r="L323" s="224">
        <v>12</v>
      </c>
      <c r="M323" s="224">
        <v>13</v>
      </c>
      <c r="N323" s="224">
        <v>14</v>
      </c>
      <c r="O323" s="224">
        <v>15</v>
      </c>
      <c r="P323" s="269"/>
    </row>
    <row r="324" spans="1:16" ht="30">
      <c r="A324" s="216">
        <v>1</v>
      </c>
      <c r="B324" s="214" t="s">
        <v>208</v>
      </c>
      <c r="C324" s="39" t="s">
        <v>209</v>
      </c>
      <c r="D324" s="122" t="s">
        <v>252</v>
      </c>
      <c r="E324" s="291" t="s">
        <v>253</v>
      </c>
      <c r="F324" s="268"/>
      <c r="G324" s="268"/>
      <c r="H324" s="268"/>
      <c r="I324" s="268"/>
      <c r="J324" s="268"/>
      <c r="K324" s="268"/>
      <c r="L324" s="268"/>
      <c r="M324" s="268"/>
      <c r="N324" s="268"/>
      <c r="O324" s="268"/>
      <c r="P324" s="269"/>
    </row>
    <row r="325" spans="1:16" ht="30">
      <c r="A325" s="208">
        <v>2</v>
      </c>
      <c r="B325" s="214" t="s">
        <v>208</v>
      </c>
      <c r="C325" s="141" t="s">
        <v>254</v>
      </c>
      <c r="D325" s="268" t="s">
        <v>27</v>
      </c>
      <c r="E325" s="268"/>
      <c r="F325" s="268"/>
      <c r="G325" s="268"/>
      <c r="H325" s="268"/>
      <c r="I325" s="268"/>
      <c r="J325" s="268"/>
      <c r="K325" s="268"/>
      <c r="L325" s="268"/>
      <c r="M325" s="268"/>
      <c r="N325" s="268"/>
      <c r="O325" s="268"/>
      <c r="P325" s="269"/>
    </row>
    <row r="326" spans="1:16" ht="15" customHeight="1">
      <c r="A326" s="216">
        <v>3</v>
      </c>
      <c r="B326" s="214" t="s">
        <v>208</v>
      </c>
      <c r="C326" s="214" t="s">
        <v>211</v>
      </c>
      <c r="D326" s="268" t="s">
        <v>27</v>
      </c>
      <c r="E326" s="268"/>
      <c r="F326" s="268"/>
      <c r="G326" s="268"/>
      <c r="H326" s="268"/>
      <c r="I326" s="268"/>
      <c r="J326" s="268"/>
      <c r="K326" s="268"/>
      <c r="L326" s="268"/>
      <c r="M326" s="268"/>
      <c r="N326" s="268"/>
      <c r="O326" s="268"/>
      <c r="P326" s="269"/>
    </row>
    <row r="327" spans="1:16" ht="15" customHeight="1">
      <c r="A327" s="208">
        <v>4</v>
      </c>
      <c r="B327" s="214" t="s">
        <v>208</v>
      </c>
      <c r="C327" s="214" t="s">
        <v>212</v>
      </c>
      <c r="D327" s="268" t="s">
        <v>27</v>
      </c>
      <c r="E327" s="268"/>
      <c r="F327" s="268"/>
      <c r="G327" s="268"/>
      <c r="H327" s="268"/>
      <c r="I327" s="268"/>
      <c r="J327" s="268"/>
      <c r="K327" s="268"/>
      <c r="L327" s="268"/>
      <c r="M327" s="268"/>
      <c r="N327" s="268"/>
      <c r="O327" s="268"/>
      <c r="P327" s="269"/>
    </row>
    <row r="328" spans="1:16" ht="78" customHeight="1">
      <c r="A328" s="216">
        <v>5</v>
      </c>
      <c r="B328" s="214" t="s">
        <v>208</v>
      </c>
      <c r="C328" s="214" t="s">
        <v>213</v>
      </c>
      <c r="D328" s="141" t="s">
        <v>255</v>
      </c>
      <c r="E328" s="218" t="s">
        <v>256</v>
      </c>
      <c r="F328" s="208" t="s">
        <v>257</v>
      </c>
      <c r="G328" s="218" t="s">
        <v>258</v>
      </c>
      <c r="H328" s="218" t="s">
        <v>259</v>
      </c>
      <c r="I328" s="218" t="s">
        <v>47</v>
      </c>
      <c r="J328" s="218" t="s">
        <v>12</v>
      </c>
      <c r="K328" s="218" t="s">
        <v>12</v>
      </c>
      <c r="L328" s="218" t="s">
        <v>12</v>
      </c>
      <c r="M328" s="208">
        <v>28759</v>
      </c>
      <c r="N328" s="208">
        <v>1</v>
      </c>
      <c r="O328" s="218" t="s">
        <v>260</v>
      </c>
      <c r="P328" s="269"/>
    </row>
    <row r="329" spans="1:16" ht="15" customHeight="1">
      <c r="A329" s="208">
        <v>6</v>
      </c>
      <c r="B329" s="214" t="s">
        <v>208</v>
      </c>
      <c r="C329" s="214" t="s">
        <v>214</v>
      </c>
      <c r="D329" s="268" t="s">
        <v>27</v>
      </c>
      <c r="E329" s="268"/>
      <c r="F329" s="268"/>
      <c r="G329" s="268"/>
      <c r="H329" s="268"/>
      <c r="I329" s="268"/>
      <c r="J329" s="268"/>
      <c r="K329" s="268"/>
      <c r="L329" s="268"/>
      <c r="M329" s="268"/>
      <c r="N329" s="268"/>
      <c r="O329" s="268"/>
      <c r="P329" s="269"/>
    </row>
    <row r="330" spans="1:16" ht="60">
      <c r="A330" s="216">
        <v>7</v>
      </c>
      <c r="B330" s="141" t="s">
        <v>215</v>
      </c>
      <c r="C330" s="141" t="s">
        <v>216</v>
      </c>
      <c r="D330" s="268" t="s">
        <v>27</v>
      </c>
      <c r="E330" s="268"/>
      <c r="F330" s="268"/>
      <c r="G330" s="268"/>
      <c r="H330" s="268"/>
      <c r="I330" s="268"/>
      <c r="J330" s="268"/>
      <c r="K330" s="268"/>
      <c r="L330" s="268"/>
      <c r="M330" s="268"/>
      <c r="N330" s="268"/>
      <c r="O330" s="268"/>
      <c r="P330" s="269"/>
    </row>
    <row r="331" spans="1:16" ht="15" customHeight="1">
      <c r="A331" s="208">
        <v>8</v>
      </c>
      <c r="B331" s="214" t="s">
        <v>208</v>
      </c>
      <c r="C331" s="214" t="s">
        <v>223</v>
      </c>
      <c r="D331" s="268" t="s">
        <v>27</v>
      </c>
      <c r="E331" s="268"/>
      <c r="F331" s="268"/>
      <c r="G331" s="268"/>
      <c r="H331" s="268"/>
      <c r="I331" s="268"/>
      <c r="J331" s="268"/>
      <c r="K331" s="268"/>
      <c r="L331" s="268"/>
      <c r="M331" s="268"/>
      <c r="N331" s="268"/>
      <c r="O331" s="268"/>
      <c r="P331" s="269"/>
    </row>
    <row r="332" spans="1:16" ht="15" customHeight="1">
      <c r="A332" s="216">
        <v>9</v>
      </c>
      <c r="B332" s="214" t="s">
        <v>208</v>
      </c>
      <c r="C332" s="214" t="s">
        <v>224</v>
      </c>
      <c r="D332" s="268" t="s">
        <v>27</v>
      </c>
      <c r="E332" s="268"/>
      <c r="F332" s="268"/>
      <c r="G332" s="268"/>
      <c r="H332" s="268"/>
      <c r="I332" s="268"/>
      <c r="J332" s="268"/>
      <c r="K332" s="268"/>
      <c r="L332" s="268"/>
      <c r="M332" s="268"/>
      <c r="N332" s="268"/>
      <c r="O332" s="268"/>
      <c r="P332" s="269"/>
    </row>
    <row r="333" spans="1:16" ht="15" customHeight="1">
      <c r="A333" s="208">
        <v>10</v>
      </c>
      <c r="B333" s="214" t="s">
        <v>208</v>
      </c>
      <c r="C333" s="214" t="s">
        <v>225</v>
      </c>
      <c r="D333" s="268" t="s">
        <v>27</v>
      </c>
      <c r="E333" s="268"/>
      <c r="F333" s="268"/>
      <c r="G333" s="268"/>
      <c r="H333" s="268"/>
      <c r="I333" s="268"/>
      <c r="J333" s="268"/>
      <c r="K333" s="268"/>
      <c r="L333" s="268"/>
      <c r="M333" s="268"/>
      <c r="N333" s="268"/>
      <c r="O333" s="268"/>
      <c r="P333" s="269"/>
    </row>
    <row r="334" spans="1:16" ht="15" customHeight="1">
      <c r="A334" s="216">
        <v>11</v>
      </c>
      <c r="B334" s="214" t="s">
        <v>208</v>
      </c>
      <c r="C334" s="214" t="s">
        <v>233</v>
      </c>
      <c r="D334" s="268" t="s">
        <v>27</v>
      </c>
      <c r="E334" s="268"/>
      <c r="F334" s="268"/>
      <c r="G334" s="268"/>
      <c r="H334" s="268"/>
      <c r="I334" s="268"/>
      <c r="J334" s="268"/>
      <c r="K334" s="268"/>
      <c r="L334" s="268"/>
      <c r="M334" s="268"/>
      <c r="N334" s="268"/>
      <c r="O334" s="268"/>
      <c r="P334" s="269"/>
    </row>
    <row r="335" spans="1:16" ht="15" customHeight="1">
      <c r="A335" s="208">
        <v>12</v>
      </c>
      <c r="B335" s="214" t="s">
        <v>208</v>
      </c>
      <c r="C335" s="214" t="s">
        <v>234</v>
      </c>
      <c r="D335" s="268" t="s">
        <v>27</v>
      </c>
      <c r="E335" s="268"/>
      <c r="F335" s="268"/>
      <c r="G335" s="268"/>
      <c r="H335" s="268"/>
      <c r="I335" s="268"/>
      <c r="J335" s="268"/>
      <c r="K335" s="268"/>
      <c r="L335" s="268"/>
      <c r="M335" s="268"/>
      <c r="N335" s="268"/>
      <c r="O335" s="268"/>
      <c r="P335" s="269"/>
    </row>
    <row r="336" spans="1:16" ht="60">
      <c r="A336" s="268">
        <v>13</v>
      </c>
      <c r="B336" s="280" t="s">
        <v>208</v>
      </c>
      <c r="C336" s="280" t="s">
        <v>235</v>
      </c>
      <c r="D336" s="217" t="s">
        <v>261</v>
      </c>
      <c r="E336" s="210" t="s">
        <v>262</v>
      </c>
      <c r="F336" s="216" t="s">
        <v>263</v>
      </c>
      <c r="G336" s="116" t="s">
        <v>727</v>
      </c>
      <c r="H336" s="208"/>
      <c r="I336" s="208"/>
      <c r="J336" s="208"/>
      <c r="K336" s="208"/>
      <c r="L336" s="208"/>
      <c r="M336" s="208"/>
      <c r="N336" s="208"/>
      <c r="O336" s="250" t="s">
        <v>264</v>
      </c>
      <c r="P336" s="269"/>
    </row>
    <row r="337" spans="1:16" ht="75">
      <c r="A337" s="268"/>
      <c r="B337" s="280"/>
      <c r="C337" s="280"/>
      <c r="D337" s="217" t="s">
        <v>265</v>
      </c>
      <c r="E337" s="210" t="s">
        <v>266</v>
      </c>
      <c r="F337" s="210" t="s">
        <v>267</v>
      </c>
      <c r="G337" s="116" t="s">
        <v>728</v>
      </c>
      <c r="H337" s="208"/>
      <c r="I337" s="208"/>
      <c r="J337" s="208"/>
      <c r="K337" s="208"/>
      <c r="L337" s="208"/>
      <c r="M337" s="208"/>
      <c r="N337" s="208"/>
      <c r="O337" s="250"/>
      <c r="P337" s="269"/>
    </row>
    <row r="338" spans="1:16" ht="15" customHeight="1">
      <c r="A338" s="221">
        <v>14</v>
      </c>
      <c r="B338" s="214" t="s">
        <v>208</v>
      </c>
      <c r="C338" s="214" t="s">
        <v>237</v>
      </c>
      <c r="D338" s="268" t="s">
        <v>27</v>
      </c>
      <c r="E338" s="268"/>
      <c r="F338" s="268"/>
      <c r="G338" s="268"/>
      <c r="H338" s="268"/>
      <c r="I338" s="268"/>
      <c r="J338" s="268"/>
      <c r="K338" s="268"/>
      <c r="L338" s="268"/>
      <c r="M338" s="268"/>
      <c r="N338" s="268"/>
      <c r="O338" s="268"/>
      <c r="P338" s="269"/>
    </row>
    <row r="339" spans="1:16" ht="15" customHeight="1">
      <c r="A339" s="208">
        <v>15</v>
      </c>
      <c r="B339" s="214" t="s">
        <v>208</v>
      </c>
      <c r="C339" s="214" t="s">
        <v>244</v>
      </c>
      <c r="D339" s="268" t="s">
        <v>27</v>
      </c>
      <c r="E339" s="268"/>
      <c r="F339" s="268"/>
      <c r="G339" s="268"/>
      <c r="H339" s="268"/>
      <c r="I339" s="268"/>
      <c r="J339" s="268"/>
      <c r="K339" s="268"/>
      <c r="L339" s="268"/>
      <c r="M339" s="268"/>
      <c r="N339" s="268"/>
      <c r="O339" s="268"/>
      <c r="P339" s="269"/>
    </row>
    <row r="340" spans="1:16" ht="15" customHeight="1">
      <c r="A340" s="208">
        <v>16</v>
      </c>
      <c r="B340" s="214" t="s">
        <v>208</v>
      </c>
      <c r="C340" s="214" t="s">
        <v>245</v>
      </c>
      <c r="D340" s="268" t="s">
        <v>27</v>
      </c>
      <c r="E340" s="268"/>
      <c r="F340" s="268"/>
      <c r="G340" s="268"/>
      <c r="H340" s="268"/>
      <c r="I340" s="268"/>
      <c r="J340" s="268"/>
      <c r="K340" s="268"/>
      <c r="L340" s="268"/>
      <c r="M340" s="268"/>
      <c r="N340" s="268"/>
      <c r="O340" s="268"/>
      <c r="P340" s="269"/>
    </row>
    <row r="341" spans="1:16" ht="15" customHeight="1">
      <c r="A341" s="221">
        <v>17</v>
      </c>
      <c r="B341" s="214" t="s">
        <v>208</v>
      </c>
      <c r="C341" s="214" t="s">
        <v>268</v>
      </c>
      <c r="D341" s="268" t="s">
        <v>27</v>
      </c>
      <c r="E341" s="268"/>
      <c r="F341" s="268"/>
      <c r="G341" s="268"/>
      <c r="H341" s="268"/>
      <c r="I341" s="268"/>
      <c r="J341" s="268"/>
      <c r="K341" s="268"/>
      <c r="L341" s="268"/>
      <c r="M341" s="268"/>
      <c r="N341" s="268"/>
      <c r="O341" s="268"/>
      <c r="P341" s="269"/>
    </row>
    <row r="342" spans="1:16" ht="75">
      <c r="A342" s="268">
        <v>18</v>
      </c>
      <c r="B342" s="290" t="s">
        <v>247</v>
      </c>
      <c r="C342" s="290" t="s">
        <v>247</v>
      </c>
      <c r="D342" s="217" t="s">
        <v>723</v>
      </c>
      <c r="E342" s="96">
        <v>866.25</v>
      </c>
      <c r="F342" s="207" t="s">
        <v>249</v>
      </c>
      <c r="G342" s="96" t="e">
        <f>G335/E335*E342</f>
        <v>#DIV/0!</v>
      </c>
      <c r="H342" s="207" t="s">
        <v>269</v>
      </c>
      <c r="I342" s="207" t="s">
        <v>251</v>
      </c>
      <c r="J342" s="207" t="s">
        <v>12</v>
      </c>
      <c r="K342" s="207" t="s">
        <v>12</v>
      </c>
      <c r="L342" s="207" t="s">
        <v>12</v>
      </c>
      <c r="M342" s="207"/>
      <c r="N342" s="207">
        <v>1</v>
      </c>
      <c r="O342" s="207" t="s">
        <v>270</v>
      </c>
      <c r="P342" s="269"/>
    </row>
    <row r="343" spans="1:16" ht="75">
      <c r="A343" s="268"/>
      <c r="B343" s="290"/>
      <c r="C343" s="290"/>
      <c r="D343" s="217" t="s">
        <v>724</v>
      </c>
      <c r="E343" s="96">
        <v>752.9</v>
      </c>
      <c r="F343" s="207" t="s">
        <v>249</v>
      </c>
      <c r="G343" s="96" t="e">
        <f>G335/E335*E343</f>
        <v>#DIV/0!</v>
      </c>
      <c r="H343" s="207" t="s">
        <v>269</v>
      </c>
      <c r="I343" s="207" t="s">
        <v>251</v>
      </c>
      <c r="J343" s="207" t="s">
        <v>12</v>
      </c>
      <c r="K343" s="207" t="s">
        <v>12</v>
      </c>
      <c r="L343" s="207" t="s">
        <v>12</v>
      </c>
      <c r="M343" s="207"/>
      <c r="N343" s="207">
        <v>2</v>
      </c>
      <c r="O343" s="5" t="s">
        <v>726</v>
      </c>
      <c r="P343" s="269"/>
    </row>
    <row r="344" spans="1:16" ht="99" customHeight="1">
      <c r="A344" s="216">
        <v>19</v>
      </c>
      <c r="B344" s="290"/>
      <c r="C344" s="290"/>
      <c r="D344" s="217" t="s">
        <v>725</v>
      </c>
      <c r="E344" s="96">
        <v>814</v>
      </c>
      <c r="F344" s="207" t="s">
        <v>249</v>
      </c>
      <c r="G344" s="96" t="e">
        <f>G335/E335*E344</f>
        <v>#DIV/0!</v>
      </c>
      <c r="H344" s="207" t="s">
        <v>269</v>
      </c>
      <c r="I344" s="207" t="s">
        <v>251</v>
      </c>
      <c r="J344" s="207" t="s">
        <v>12</v>
      </c>
      <c r="K344" s="207" t="s">
        <v>12</v>
      </c>
      <c r="L344" s="207" t="s">
        <v>12</v>
      </c>
      <c r="M344" s="207"/>
      <c r="N344" s="207">
        <v>3</v>
      </c>
      <c r="O344" s="207" t="s">
        <v>271</v>
      </c>
      <c r="P344" s="269"/>
    </row>
    <row r="345" spans="1:16" ht="15" customHeight="1">
      <c r="A345" s="209">
        <v>20</v>
      </c>
      <c r="B345" s="241" t="s">
        <v>208</v>
      </c>
      <c r="C345" s="214" t="s">
        <v>272</v>
      </c>
      <c r="D345" s="268" t="s">
        <v>27</v>
      </c>
      <c r="E345" s="268"/>
      <c r="F345" s="268"/>
      <c r="G345" s="268"/>
      <c r="H345" s="268"/>
      <c r="I345" s="268"/>
      <c r="J345" s="268"/>
      <c r="K345" s="268"/>
      <c r="L345" s="268"/>
      <c r="M345" s="268"/>
      <c r="N345" s="268"/>
      <c r="O345" s="268"/>
      <c r="P345" s="269"/>
    </row>
    <row r="346" spans="1:16" ht="15" customHeight="1">
      <c r="A346" s="255"/>
      <c r="B346" s="255"/>
      <c r="C346" s="255"/>
      <c r="D346" s="255"/>
      <c r="E346" s="255"/>
      <c r="F346" s="255"/>
      <c r="G346" s="255"/>
      <c r="H346" s="255"/>
      <c r="I346" s="255"/>
      <c r="J346" s="255"/>
      <c r="K346" s="255"/>
      <c r="L346" s="255"/>
      <c r="M346" s="255"/>
      <c r="N346" s="255"/>
      <c r="O346" s="255"/>
      <c r="P346" s="255"/>
    </row>
    <row r="347" spans="1:16" ht="20.25" customHeight="1">
      <c r="A347" s="252" t="s">
        <v>34</v>
      </c>
      <c r="B347" s="252"/>
      <c r="C347" s="252"/>
      <c r="D347" s="252"/>
      <c r="E347" s="252"/>
      <c r="F347" s="252"/>
      <c r="G347" s="252"/>
      <c r="H347" s="252"/>
      <c r="I347" s="252"/>
      <c r="J347" s="252"/>
      <c r="K347" s="252"/>
      <c r="L347" s="252"/>
      <c r="M347" s="252"/>
      <c r="N347" s="252"/>
      <c r="O347" s="252"/>
      <c r="P347" s="269"/>
    </row>
    <row r="348" spans="1:16" ht="85.5">
      <c r="A348" s="25" t="s">
        <v>0</v>
      </c>
      <c r="B348" s="25" t="s">
        <v>102</v>
      </c>
      <c r="C348" s="25" t="s">
        <v>1</v>
      </c>
      <c r="D348" s="25" t="s">
        <v>109</v>
      </c>
      <c r="E348" s="25" t="s">
        <v>29</v>
      </c>
      <c r="F348" s="25" t="s">
        <v>20</v>
      </c>
      <c r="G348" s="25" t="s">
        <v>104</v>
      </c>
      <c r="H348" s="25" t="s">
        <v>101</v>
      </c>
      <c r="I348" s="25" t="s">
        <v>98</v>
      </c>
      <c r="J348" s="25" t="s">
        <v>5</v>
      </c>
      <c r="K348" s="25" t="s">
        <v>6</v>
      </c>
      <c r="L348" s="25" t="s">
        <v>31</v>
      </c>
      <c r="M348" s="25" t="s">
        <v>24</v>
      </c>
      <c r="N348" s="26" t="s">
        <v>32</v>
      </c>
      <c r="O348" s="24" t="s">
        <v>11</v>
      </c>
      <c r="P348" s="269"/>
    </row>
    <row r="349" spans="1:16" ht="15" customHeight="1">
      <c r="A349" s="219">
        <v>1</v>
      </c>
      <c r="B349" s="224">
        <v>2</v>
      </c>
      <c r="C349" s="224">
        <v>3</v>
      </c>
      <c r="D349" s="224">
        <v>4</v>
      </c>
      <c r="E349" s="224">
        <v>5</v>
      </c>
      <c r="F349" s="224">
        <v>6</v>
      </c>
      <c r="G349" s="224">
        <v>7</v>
      </c>
      <c r="H349" s="224">
        <v>8</v>
      </c>
      <c r="I349" s="224">
        <v>9</v>
      </c>
      <c r="J349" s="224">
        <v>10</v>
      </c>
      <c r="K349" s="224">
        <v>11</v>
      </c>
      <c r="L349" s="224">
        <v>12</v>
      </c>
      <c r="M349" s="224">
        <v>13</v>
      </c>
      <c r="N349" s="224">
        <v>14</v>
      </c>
      <c r="O349" s="224">
        <v>15</v>
      </c>
      <c r="P349" s="269"/>
    </row>
    <row r="350" spans="1:16" ht="30">
      <c r="A350" s="207">
        <v>1</v>
      </c>
      <c r="B350" s="217" t="s">
        <v>273</v>
      </c>
      <c r="C350" s="217" t="s">
        <v>208</v>
      </c>
      <c r="D350" s="217" t="s">
        <v>252</v>
      </c>
      <c r="E350" s="267" t="s">
        <v>729</v>
      </c>
      <c r="F350" s="267"/>
      <c r="G350" s="267"/>
      <c r="H350" s="267"/>
      <c r="I350" s="267"/>
      <c r="J350" s="267"/>
      <c r="K350" s="267"/>
      <c r="L350" s="267"/>
      <c r="M350" s="267"/>
      <c r="N350" s="267"/>
      <c r="O350" s="267"/>
      <c r="P350" s="269"/>
    </row>
    <row r="351" spans="1:16" ht="30">
      <c r="A351" s="206">
        <v>2</v>
      </c>
      <c r="B351" s="228" t="s">
        <v>208</v>
      </c>
      <c r="C351" s="228" t="s">
        <v>254</v>
      </c>
      <c r="D351" s="257" t="s">
        <v>27</v>
      </c>
      <c r="E351" s="257"/>
      <c r="F351" s="257"/>
      <c r="G351" s="257"/>
      <c r="H351" s="257"/>
      <c r="I351" s="257"/>
      <c r="J351" s="257"/>
      <c r="K351" s="257"/>
      <c r="L351" s="257"/>
      <c r="M351" s="257"/>
      <c r="N351" s="257"/>
      <c r="O351" s="257"/>
      <c r="P351" s="269"/>
    </row>
    <row r="352" spans="1:16" ht="15" customHeight="1">
      <c r="A352" s="207">
        <v>3</v>
      </c>
      <c r="B352" s="228" t="s">
        <v>208</v>
      </c>
      <c r="C352" s="228" t="s">
        <v>211</v>
      </c>
      <c r="D352" s="257" t="s">
        <v>27</v>
      </c>
      <c r="E352" s="257"/>
      <c r="F352" s="257"/>
      <c r="G352" s="257"/>
      <c r="H352" s="257"/>
      <c r="I352" s="257"/>
      <c r="J352" s="257"/>
      <c r="K352" s="257"/>
      <c r="L352" s="257"/>
      <c r="M352" s="257"/>
      <c r="N352" s="257"/>
      <c r="O352" s="257"/>
      <c r="P352" s="269"/>
    </row>
    <row r="353" spans="1:16" ht="15" customHeight="1">
      <c r="A353" s="206">
        <v>4</v>
      </c>
      <c r="B353" s="228" t="s">
        <v>208</v>
      </c>
      <c r="C353" s="228" t="s">
        <v>212</v>
      </c>
      <c r="D353" s="257" t="s">
        <v>27</v>
      </c>
      <c r="E353" s="257"/>
      <c r="F353" s="257"/>
      <c r="G353" s="257"/>
      <c r="H353" s="257"/>
      <c r="I353" s="257"/>
      <c r="J353" s="257"/>
      <c r="K353" s="257"/>
      <c r="L353" s="257"/>
      <c r="M353" s="257"/>
      <c r="N353" s="257"/>
      <c r="O353" s="257"/>
      <c r="P353" s="269"/>
    </row>
    <row r="354" spans="1:16" ht="15" customHeight="1">
      <c r="A354" s="207">
        <v>5</v>
      </c>
      <c r="B354" s="228" t="s">
        <v>208</v>
      </c>
      <c r="C354" s="228" t="s">
        <v>213</v>
      </c>
      <c r="D354" s="257" t="s">
        <v>27</v>
      </c>
      <c r="E354" s="257"/>
      <c r="F354" s="257"/>
      <c r="G354" s="257"/>
      <c r="H354" s="257"/>
      <c r="I354" s="257"/>
      <c r="J354" s="257"/>
      <c r="K354" s="257"/>
      <c r="L354" s="257"/>
      <c r="M354" s="257"/>
      <c r="N354" s="257"/>
      <c r="O354" s="257"/>
      <c r="P354" s="269"/>
    </row>
    <row r="355" spans="1:16" ht="15" customHeight="1">
      <c r="A355" s="206">
        <v>6</v>
      </c>
      <c r="B355" s="228" t="s">
        <v>208</v>
      </c>
      <c r="C355" s="228" t="s">
        <v>214</v>
      </c>
      <c r="D355" s="257" t="s">
        <v>27</v>
      </c>
      <c r="E355" s="257"/>
      <c r="F355" s="257"/>
      <c r="G355" s="257"/>
      <c r="H355" s="257"/>
      <c r="I355" s="257"/>
      <c r="J355" s="257"/>
      <c r="K355" s="257"/>
      <c r="L355" s="257"/>
      <c r="M355" s="257"/>
      <c r="N355" s="257"/>
      <c r="O355" s="257"/>
      <c r="P355" s="269"/>
    </row>
    <row r="356" spans="1:16" ht="30">
      <c r="A356" s="207">
        <v>7</v>
      </c>
      <c r="B356" s="228" t="s">
        <v>274</v>
      </c>
      <c r="C356" s="228" t="s">
        <v>275</v>
      </c>
      <c r="D356" s="257" t="s">
        <v>27</v>
      </c>
      <c r="E356" s="257"/>
      <c r="F356" s="257"/>
      <c r="G356" s="257"/>
      <c r="H356" s="257"/>
      <c r="I356" s="257"/>
      <c r="J356" s="257"/>
      <c r="K356" s="257"/>
      <c r="L356" s="257"/>
      <c r="M356" s="257"/>
      <c r="N356" s="257"/>
      <c r="O356" s="257"/>
      <c r="P356" s="269"/>
    </row>
    <row r="357" spans="1:16" ht="15" customHeight="1">
      <c r="A357" s="206">
        <v>8</v>
      </c>
      <c r="B357" s="228" t="s">
        <v>208</v>
      </c>
      <c r="C357" s="228" t="s">
        <v>223</v>
      </c>
      <c r="D357" s="257" t="s">
        <v>27</v>
      </c>
      <c r="E357" s="257"/>
      <c r="F357" s="257"/>
      <c r="G357" s="257"/>
      <c r="H357" s="257"/>
      <c r="I357" s="257"/>
      <c r="J357" s="257"/>
      <c r="K357" s="257"/>
      <c r="L357" s="257"/>
      <c r="M357" s="257"/>
      <c r="N357" s="257"/>
      <c r="O357" s="257"/>
      <c r="P357" s="269"/>
    </row>
    <row r="358" spans="1:16" ht="15" customHeight="1">
      <c r="A358" s="207">
        <v>9</v>
      </c>
      <c r="B358" s="228" t="s">
        <v>208</v>
      </c>
      <c r="C358" s="228" t="s">
        <v>224</v>
      </c>
      <c r="D358" s="257" t="s">
        <v>27</v>
      </c>
      <c r="E358" s="257"/>
      <c r="F358" s="257"/>
      <c r="G358" s="257"/>
      <c r="H358" s="257"/>
      <c r="I358" s="257"/>
      <c r="J358" s="257"/>
      <c r="K358" s="257"/>
      <c r="L358" s="257"/>
      <c r="M358" s="257"/>
      <c r="N358" s="257"/>
      <c r="O358" s="257"/>
      <c r="P358" s="269"/>
    </row>
    <row r="359" spans="1:16" ht="30">
      <c r="A359" s="206">
        <v>10</v>
      </c>
      <c r="B359" s="228" t="s">
        <v>208</v>
      </c>
      <c r="C359" s="228" t="s">
        <v>276</v>
      </c>
      <c r="D359" s="257" t="s">
        <v>27</v>
      </c>
      <c r="E359" s="257"/>
      <c r="F359" s="257"/>
      <c r="G359" s="257"/>
      <c r="H359" s="257"/>
      <c r="I359" s="257"/>
      <c r="J359" s="257"/>
      <c r="K359" s="257"/>
      <c r="L359" s="257"/>
      <c r="M359" s="257"/>
      <c r="N359" s="257"/>
      <c r="O359" s="257"/>
      <c r="P359" s="269"/>
    </row>
    <row r="360" spans="1:16" ht="15" customHeight="1">
      <c r="A360" s="207">
        <v>11</v>
      </c>
      <c r="B360" s="228" t="s">
        <v>208</v>
      </c>
      <c r="C360" s="228" t="s">
        <v>233</v>
      </c>
      <c r="D360" s="257" t="s">
        <v>27</v>
      </c>
      <c r="E360" s="257"/>
      <c r="F360" s="257"/>
      <c r="G360" s="257"/>
      <c r="H360" s="257"/>
      <c r="I360" s="257"/>
      <c r="J360" s="257"/>
      <c r="K360" s="257"/>
      <c r="L360" s="257"/>
      <c r="M360" s="257"/>
      <c r="N360" s="257"/>
      <c r="O360" s="257"/>
      <c r="P360" s="269"/>
    </row>
    <row r="361" spans="1:16" ht="15" customHeight="1">
      <c r="A361" s="206">
        <v>12</v>
      </c>
      <c r="B361" s="228" t="s">
        <v>208</v>
      </c>
      <c r="C361" s="228" t="s">
        <v>234</v>
      </c>
      <c r="D361" s="257" t="s">
        <v>27</v>
      </c>
      <c r="E361" s="257"/>
      <c r="F361" s="257"/>
      <c r="G361" s="257"/>
      <c r="H361" s="257"/>
      <c r="I361" s="257"/>
      <c r="J361" s="257"/>
      <c r="K361" s="257"/>
      <c r="L361" s="257"/>
      <c r="M361" s="257"/>
      <c r="N361" s="257"/>
      <c r="O361" s="257"/>
      <c r="P361" s="269"/>
    </row>
    <row r="362" spans="1:16" ht="15" customHeight="1">
      <c r="A362" s="236">
        <v>13</v>
      </c>
      <c r="B362" s="228" t="s">
        <v>208</v>
      </c>
      <c r="C362" s="228" t="s">
        <v>237</v>
      </c>
      <c r="D362" s="257" t="s">
        <v>27</v>
      </c>
      <c r="E362" s="257"/>
      <c r="F362" s="257"/>
      <c r="G362" s="257"/>
      <c r="H362" s="257"/>
      <c r="I362" s="257"/>
      <c r="J362" s="257"/>
      <c r="K362" s="257"/>
      <c r="L362" s="257"/>
      <c r="M362" s="257"/>
      <c r="N362" s="257"/>
      <c r="O362" s="257"/>
      <c r="P362" s="269"/>
    </row>
    <row r="363" spans="1:16" ht="15" customHeight="1">
      <c r="A363" s="206">
        <v>14</v>
      </c>
      <c r="B363" s="228" t="s">
        <v>208</v>
      </c>
      <c r="C363" s="228" t="s">
        <v>235</v>
      </c>
      <c r="D363" s="257" t="s">
        <v>27</v>
      </c>
      <c r="E363" s="257"/>
      <c r="F363" s="257"/>
      <c r="G363" s="257"/>
      <c r="H363" s="257"/>
      <c r="I363" s="257"/>
      <c r="J363" s="257"/>
      <c r="K363" s="257"/>
      <c r="L363" s="257"/>
      <c r="M363" s="257"/>
      <c r="N363" s="257"/>
      <c r="O363" s="257"/>
      <c r="P363" s="269"/>
    </row>
    <row r="364" spans="1:16" ht="15" customHeight="1">
      <c r="A364" s="207">
        <v>15</v>
      </c>
      <c r="B364" s="228" t="s">
        <v>208</v>
      </c>
      <c r="C364" s="228" t="s">
        <v>244</v>
      </c>
      <c r="D364" s="257" t="s">
        <v>27</v>
      </c>
      <c r="E364" s="257"/>
      <c r="F364" s="257"/>
      <c r="G364" s="257"/>
      <c r="H364" s="257"/>
      <c r="I364" s="257"/>
      <c r="J364" s="257"/>
      <c r="K364" s="257"/>
      <c r="L364" s="257"/>
      <c r="M364" s="257"/>
      <c r="N364" s="257"/>
      <c r="O364" s="257"/>
      <c r="P364" s="269"/>
    </row>
    <row r="365" spans="1:16" ht="15" customHeight="1">
      <c r="A365" s="207">
        <v>16</v>
      </c>
      <c r="B365" s="228" t="s">
        <v>208</v>
      </c>
      <c r="C365" s="228" t="s">
        <v>245</v>
      </c>
      <c r="D365" s="257" t="s">
        <v>27</v>
      </c>
      <c r="E365" s="257"/>
      <c r="F365" s="257"/>
      <c r="G365" s="257"/>
      <c r="H365" s="257"/>
      <c r="I365" s="257"/>
      <c r="J365" s="257"/>
      <c r="K365" s="257"/>
      <c r="L365" s="257"/>
      <c r="M365" s="257"/>
      <c r="N365" s="257"/>
      <c r="O365" s="257"/>
      <c r="P365" s="269"/>
    </row>
    <row r="366" spans="1:16" ht="15" customHeight="1">
      <c r="A366" s="207">
        <v>17</v>
      </c>
      <c r="B366" s="228" t="s">
        <v>208</v>
      </c>
      <c r="C366" s="228" t="s">
        <v>268</v>
      </c>
      <c r="D366" s="257" t="s">
        <v>27</v>
      </c>
      <c r="E366" s="257"/>
      <c r="F366" s="257"/>
      <c r="G366" s="257"/>
      <c r="H366" s="257"/>
      <c r="I366" s="257"/>
      <c r="J366" s="257"/>
      <c r="K366" s="257"/>
      <c r="L366" s="257"/>
      <c r="M366" s="257"/>
      <c r="N366" s="257"/>
      <c r="O366" s="257"/>
      <c r="P366" s="269"/>
    </row>
    <row r="367" spans="1:16" ht="94.5">
      <c r="A367" s="152">
        <v>18</v>
      </c>
      <c r="B367" s="153" t="s">
        <v>247</v>
      </c>
      <c r="C367" s="153" t="s">
        <v>247</v>
      </c>
      <c r="D367" s="153" t="s">
        <v>248</v>
      </c>
      <c r="E367" s="152">
        <v>139.47</v>
      </c>
      <c r="F367" s="152" t="s">
        <v>249</v>
      </c>
      <c r="G367" s="152">
        <v>0.05</v>
      </c>
      <c r="H367" s="152" t="s">
        <v>269</v>
      </c>
      <c r="I367" s="152" t="s">
        <v>12</v>
      </c>
      <c r="J367" s="152" t="s">
        <v>12</v>
      </c>
      <c r="K367" s="152" t="s">
        <v>12</v>
      </c>
      <c r="L367" s="152" t="s">
        <v>12</v>
      </c>
      <c r="M367" s="152" t="s">
        <v>12</v>
      </c>
      <c r="N367" s="152">
        <v>1</v>
      </c>
      <c r="O367" s="152" t="s">
        <v>271</v>
      </c>
      <c r="P367" s="269"/>
    </row>
    <row r="368" spans="1:16" ht="15" customHeight="1">
      <c r="A368" s="207">
        <v>19</v>
      </c>
      <c r="B368" s="227" t="s">
        <v>208</v>
      </c>
      <c r="C368" s="228" t="s">
        <v>272</v>
      </c>
      <c r="D368" s="257" t="s">
        <v>27</v>
      </c>
      <c r="E368" s="257"/>
      <c r="F368" s="257"/>
      <c r="G368" s="257"/>
      <c r="H368" s="257"/>
      <c r="I368" s="257"/>
      <c r="J368" s="257"/>
      <c r="K368" s="257"/>
      <c r="L368" s="257"/>
      <c r="M368" s="257"/>
      <c r="N368" s="257"/>
      <c r="O368" s="257"/>
      <c r="P368" s="269"/>
    </row>
    <row r="369" spans="1:16" ht="15" customHeight="1">
      <c r="A369" s="267"/>
      <c r="B369" s="267"/>
      <c r="C369" s="267"/>
      <c r="D369" s="267"/>
      <c r="E369" s="267"/>
      <c r="F369" s="267"/>
      <c r="G369" s="267"/>
      <c r="H369" s="267"/>
      <c r="I369" s="267"/>
      <c r="J369" s="267"/>
      <c r="K369" s="267"/>
      <c r="L369" s="267"/>
      <c r="M369" s="267"/>
      <c r="N369" s="267"/>
      <c r="O369" s="267"/>
      <c r="P369" s="267"/>
    </row>
    <row r="370" spans="1:16" ht="20.25" customHeight="1">
      <c r="A370" s="252" t="s">
        <v>35</v>
      </c>
      <c r="B370" s="252"/>
      <c r="C370" s="252"/>
      <c r="D370" s="252"/>
      <c r="E370" s="252"/>
      <c r="F370" s="252"/>
      <c r="G370" s="252"/>
      <c r="H370" s="252"/>
      <c r="I370" s="252"/>
      <c r="J370" s="252"/>
      <c r="K370" s="252"/>
      <c r="L370" s="252"/>
      <c r="M370" s="252"/>
      <c r="N370" s="252"/>
      <c r="O370" s="252"/>
      <c r="P370" s="252"/>
    </row>
    <row r="371" spans="1:16" ht="85.5">
      <c r="A371" s="25" t="s">
        <v>0</v>
      </c>
      <c r="B371" s="25" t="s">
        <v>102</v>
      </c>
      <c r="C371" s="25" t="s">
        <v>1</v>
      </c>
      <c r="D371" s="25" t="s">
        <v>109</v>
      </c>
      <c r="E371" s="25" t="s">
        <v>29</v>
      </c>
      <c r="F371" s="25" t="s">
        <v>20</v>
      </c>
      <c r="G371" s="25" t="s">
        <v>97</v>
      </c>
      <c r="H371" s="25" t="s">
        <v>101</v>
      </c>
      <c r="I371" s="25" t="s">
        <v>98</v>
      </c>
      <c r="J371" s="25" t="s">
        <v>5</v>
      </c>
      <c r="K371" s="25" t="s">
        <v>6</v>
      </c>
      <c r="L371" s="25" t="s">
        <v>31</v>
      </c>
      <c r="M371" s="25" t="s">
        <v>24</v>
      </c>
      <c r="N371" s="26" t="s">
        <v>33</v>
      </c>
      <c r="O371" s="26" t="s">
        <v>32</v>
      </c>
      <c r="P371" s="24" t="s">
        <v>26</v>
      </c>
    </row>
    <row r="372" spans="1:16">
      <c r="A372" s="219">
        <v>1</v>
      </c>
      <c r="B372" s="224">
        <v>2</v>
      </c>
      <c r="C372" s="224">
        <v>3</v>
      </c>
      <c r="D372" s="224">
        <v>4</v>
      </c>
      <c r="E372" s="224">
        <v>5</v>
      </c>
      <c r="F372" s="224">
        <v>6</v>
      </c>
      <c r="G372" s="224">
        <v>7</v>
      </c>
      <c r="H372" s="224">
        <v>8</v>
      </c>
      <c r="I372" s="224">
        <v>9</v>
      </c>
      <c r="J372" s="224">
        <v>10</v>
      </c>
      <c r="K372" s="224">
        <v>11</v>
      </c>
      <c r="L372" s="224">
        <v>12</v>
      </c>
      <c r="M372" s="224">
        <v>13</v>
      </c>
      <c r="N372" s="224">
        <v>14</v>
      </c>
      <c r="O372" s="224">
        <v>15</v>
      </c>
      <c r="P372" s="25">
        <v>16</v>
      </c>
    </row>
    <row r="373" spans="1:16" ht="30">
      <c r="A373" s="222">
        <v>1</v>
      </c>
      <c r="B373" s="161" t="s">
        <v>277</v>
      </c>
      <c r="C373" s="42" t="s">
        <v>208</v>
      </c>
      <c r="D373" s="161" t="s">
        <v>278</v>
      </c>
      <c r="E373" s="222" t="s">
        <v>279</v>
      </c>
      <c r="F373" s="222"/>
      <c r="G373" s="222">
        <v>0.57999999999999996</v>
      </c>
      <c r="H373" s="222" t="s">
        <v>135</v>
      </c>
      <c r="I373" s="222" t="s">
        <v>51</v>
      </c>
      <c r="J373" s="222" t="s">
        <v>12</v>
      </c>
      <c r="K373" s="222" t="s">
        <v>12</v>
      </c>
      <c r="L373" s="222" t="s">
        <v>12</v>
      </c>
      <c r="M373" s="222">
        <v>29445</v>
      </c>
      <c r="N373" s="222"/>
      <c r="O373" s="222"/>
      <c r="P373" s="222"/>
    </row>
    <row r="374" spans="1:16">
      <c r="A374" s="278" t="s">
        <v>16</v>
      </c>
      <c r="B374" s="278"/>
      <c r="C374" s="278"/>
      <c r="D374" s="279" t="s">
        <v>280</v>
      </c>
      <c r="E374" s="274"/>
      <c r="F374" s="274"/>
      <c r="G374" s="274"/>
      <c r="H374" s="274"/>
      <c r="I374" s="274"/>
      <c r="J374" s="274"/>
      <c r="K374" s="274"/>
      <c r="L374" s="274"/>
      <c r="M374" s="274"/>
      <c r="N374" s="274"/>
      <c r="O374" s="274"/>
      <c r="P374" s="274"/>
    </row>
    <row r="375" spans="1:16">
      <c r="A375" s="205">
        <v>2</v>
      </c>
      <c r="B375" s="140" t="s">
        <v>208</v>
      </c>
      <c r="C375" s="228" t="s">
        <v>730</v>
      </c>
      <c r="D375" s="251" t="s">
        <v>27</v>
      </c>
      <c r="E375" s="251"/>
      <c r="F375" s="251"/>
      <c r="G375" s="251"/>
      <c r="H375" s="251"/>
      <c r="I375" s="251"/>
      <c r="J375" s="251"/>
      <c r="K375" s="251"/>
      <c r="L375" s="251"/>
      <c r="M375" s="251"/>
      <c r="N375" s="251"/>
      <c r="O375" s="251"/>
      <c r="P375" s="251"/>
    </row>
    <row r="376" spans="1:16">
      <c r="A376" s="213">
        <v>3</v>
      </c>
      <c r="B376" s="140" t="s">
        <v>208</v>
      </c>
      <c r="C376" s="140" t="s">
        <v>211</v>
      </c>
      <c r="D376" s="251" t="s">
        <v>27</v>
      </c>
      <c r="E376" s="251"/>
      <c r="F376" s="251"/>
      <c r="G376" s="251"/>
      <c r="H376" s="251"/>
      <c r="I376" s="251"/>
      <c r="J376" s="251"/>
      <c r="K376" s="251"/>
      <c r="L376" s="251"/>
      <c r="M376" s="251"/>
      <c r="N376" s="251"/>
      <c r="O376" s="251"/>
      <c r="P376" s="251"/>
    </row>
    <row r="377" spans="1:16">
      <c r="A377" s="205">
        <v>4</v>
      </c>
      <c r="B377" s="140" t="s">
        <v>208</v>
      </c>
      <c r="C377" s="140" t="s">
        <v>212</v>
      </c>
      <c r="D377" s="251" t="s">
        <v>27</v>
      </c>
      <c r="E377" s="251"/>
      <c r="F377" s="251"/>
      <c r="G377" s="251"/>
      <c r="H377" s="251"/>
      <c r="I377" s="251"/>
      <c r="J377" s="251"/>
      <c r="K377" s="251"/>
      <c r="L377" s="251"/>
      <c r="M377" s="251"/>
      <c r="N377" s="251"/>
      <c r="O377" s="251"/>
      <c r="P377" s="251"/>
    </row>
    <row r="378" spans="1:16">
      <c r="A378" s="213">
        <v>5</v>
      </c>
      <c r="B378" s="140" t="s">
        <v>208</v>
      </c>
      <c r="C378" s="140" t="s">
        <v>213</v>
      </c>
      <c r="D378" s="251" t="s">
        <v>27</v>
      </c>
      <c r="E378" s="251"/>
      <c r="F378" s="251"/>
      <c r="G378" s="251"/>
      <c r="H378" s="251"/>
      <c r="I378" s="251"/>
      <c r="J378" s="251"/>
      <c r="K378" s="251"/>
      <c r="L378" s="251"/>
      <c r="M378" s="251"/>
      <c r="N378" s="251"/>
      <c r="O378" s="251"/>
      <c r="P378" s="251"/>
    </row>
    <row r="379" spans="1:16">
      <c r="A379" s="205">
        <v>6</v>
      </c>
      <c r="B379" s="140" t="s">
        <v>208</v>
      </c>
      <c r="C379" s="140" t="s">
        <v>214</v>
      </c>
      <c r="D379" s="251" t="s">
        <v>27</v>
      </c>
      <c r="E379" s="251"/>
      <c r="F379" s="251"/>
      <c r="G379" s="251"/>
      <c r="H379" s="251"/>
      <c r="I379" s="251"/>
      <c r="J379" s="251"/>
      <c r="K379" s="251"/>
      <c r="L379" s="251"/>
      <c r="M379" s="251"/>
      <c r="N379" s="251"/>
      <c r="O379" s="251"/>
      <c r="P379" s="251"/>
    </row>
    <row r="380" spans="1:16">
      <c r="A380" s="213">
        <v>7</v>
      </c>
      <c r="B380" s="228" t="s">
        <v>208</v>
      </c>
      <c r="C380" s="228" t="s">
        <v>275</v>
      </c>
      <c r="D380" s="251" t="s">
        <v>27</v>
      </c>
      <c r="E380" s="251"/>
      <c r="F380" s="251"/>
      <c r="G380" s="251"/>
      <c r="H380" s="251"/>
      <c r="I380" s="251"/>
      <c r="J380" s="251"/>
      <c r="K380" s="251"/>
      <c r="L380" s="251"/>
      <c r="M380" s="251"/>
      <c r="N380" s="251"/>
      <c r="O380" s="251"/>
      <c r="P380" s="251"/>
    </row>
    <row r="381" spans="1:16">
      <c r="A381" s="205">
        <v>8</v>
      </c>
      <c r="B381" s="140" t="s">
        <v>208</v>
      </c>
      <c r="C381" s="140" t="s">
        <v>223</v>
      </c>
      <c r="D381" s="251" t="s">
        <v>27</v>
      </c>
      <c r="E381" s="251"/>
      <c r="F381" s="251"/>
      <c r="G381" s="251"/>
      <c r="H381" s="251"/>
      <c r="I381" s="251"/>
      <c r="J381" s="251"/>
      <c r="K381" s="251"/>
      <c r="L381" s="251"/>
      <c r="M381" s="251"/>
      <c r="N381" s="251"/>
      <c r="O381" s="251"/>
      <c r="P381" s="251"/>
    </row>
    <row r="382" spans="1:16">
      <c r="A382" s="213">
        <v>9</v>
      </c>
      <c r="B382" s="140" t="s">
        <v>208</v>
      </c>
      <c r="C382" s="140" t="s">
        <v>224</v>
      </c>
      <c r="D382" s="251" t="s">
        <v>27</v>
      </c>
      <c r="E382" s="251"/>
      <c r="F382" s="251"/>
      <c r="G382" s="251"/>
      <c r="H382" s="251"/>
      <c r="I382" s="251"/>
      <c r="J382" s="251"/>
      <c r="K382" s="251"/>
      <c r="L382" s="251"/>
      <c r="M382" s="251"/>
      <c r="N382" s="251"/>
      <c r="O382" s="251"/>
      <c r="P382" s="251"/>
    </row>
    <row r="383" spans="1:16">
      <c r="A383" s="205">
        <v>10</v>
      </c>
      <c r="B383" s="140" t="s">
        <v>208</v>
      </c>
      <c r="C383" s="228" t="s">
        <v>225</v>
      </c>
      <c r="D383" s="251" t="s">
        <v>27</v>
      </c>
      <c r="E383" s="251"/>
      <c r="F383" s="251"/>
      <c r="G383" s="251"/>
      <c r="H383" s="251"/>
      <c r="I383" s="251"/>
      <c r="J383" s="251"/>
      <c r="K383" s="251"/>
      <c r="L383" s="251"/>
      <c r="M383" s="251"/>
      <c r="N383" s="251"/>
      <c r="O383" s="251"/>
      <c r="P383" s="251"/>
    </row>
    <row r="384" spans="1:16">
      <c r="A384" s="213">
        <v>11</v>
      </c>
      <c r="B384" s="140" t="s">
        <v>208</v>
      </c>
      <c r="C384" s="140" t="s">
        <v>233</v>
      </c>
      <c r="D384" s="251" t="s">
        <v>27</v>
      </c>
      <c r="E384" s="251"/>
      <c r="F384" s="251"/>
      <c r="G384" s="251"/>
      <c r="H384" s="251"/>
      <c r="I384" s="251"/>
      <c r="J384" s="251"/>
      <c r="K384" s="251"/>
      <c r="L384" s="251"/>
      <c r="M384" s="251"/>
      <c r="N384" s="251"/>
      <c r="O384" s="251"/>
      <c r="P384" s="251"/>
    </row>
    <row r="385" spans="1:16">
      <c r="A385" s="205">
        <v>12</v>
      </c>
      <c r="B385" s="140" t="s">
        <v>208</v>
      </c>
      <c r="C385" s="140" t="s">
        <v>234</v>
      </c>
      <c r="D385" s="251" t="s">
        <v>27</v>
      </c>
      <c r="E385" s="251"/>
      <c r="F385" s="251"/>
      <c r="G385" s="251"/>
      <c r="H385" s="251"/>
      <c r="I385" s="251"/>
      <c r="J385" s="251"/>
      <c r="K385" s="251"/>
      <c r="L385" s="251"/>
      <c r="M385" s="251"/>
      <c r="N385" s="251"/>
      <c r="O385" s="251"/>
      <c r="P385" s="251"/>
    </row>
    <row r="386" spans="1:16">
      <c r="A386" s="225">
        <v>13</v>
      </c>
      <c r="B386" s="140" t="s">
        <v>208</v>
      </c>
      <c r="C386" s="140" t="s">
        <v>235</v>
      </c>
      <c r="D386" s="251" t="s">
        <v>27</v>
      </c>
      <c r="E386" s="251"/>
      <c r="F386" s="251"/>
      <c r="G386" s="251"/>
      <c r="H386" s="251"/>
      <c r="I386" s="251"/>
      <c r="J386" s="251"/>
      <c r="K386" s="251"/>
      <c r="L386" s="251"/>
      <c r="M386" s="251"/>
      <c r="N386" s="251"/>
      <c r="O386" s="251"/>
      <c r="P386" s="251"/>
    </row>
    <row r="387" spans="1:16">
      <c r="A387" s="205">
        <v>14</v>
      </c>
      <c r="B387" s="140" t="s">
        <v>208</v>
      </c>
      <c r="C387" s="140" t="s">
        <v>237</v>
      </c>
      <c r="D387" s="251" t="s">
        <v>27</v>
      </c>
      <c r="E387" s="251"/>
      <c r="F387" s="251"/>
      <c r="G387" s="251"/>
      <c r="H387" s="251"/>
      <c r="I387" s="251"/>
      <c r="J387" s="251"/>
      <c r="K387" s="251"/>
      <c r="L387" s="251"/>
      <c r="M387" s="251"/>
      <c r="N387" s="251"/>
      <c r="O387" s="251"/>
      <c r="P387" s="251"/>
    </row>
    <row r="388" spans="1:16">
      <c r="A388" s="225">
        <v>15</v>
      </c>
      <c r="B388" s="140" t="s">
        <v>208</v>
      </c>
      <c r="C388" s="140" t="s">
        <v>244</v>
      </c>
      <c r="D388" s="251" t="s">
        <v>27</v>
      </c>
      <c r="E388" s="251"/>
      <c r="F388" s="251"/>
      <c r="G388" s="251"/>
      <c r="H388" s="251"/>
      <c r="I388" s="251"/>
      <c r="J388" s="251"/>
      <c r="K388" s="251"/>
      <c r="L388" s="251"/>
      <c r="M388" s="251"/>
      <c r="N388" s="251"/>
      <c r="O388" s="251"/>
      <c r="P388" s="251"/>
    </row>
    <row r="389" spans="1:16">
      <c r="A389" s="205">
        <v>16</v>
      </c>
      <c r="B389" s="140" t="s">
        <v>208</v>
      </c>
      <c r="C389" s="140" t="s">
        <v>245</v>
      </c>
      <c r="D389" s="251" t="s">
        <v>27</v>
      </c>
      <c r="E389" s="251"/>
      <c r="F389" s="251"/>
      <c r="G389" s="251"/>
      <c r="H389" s="251"/>
      <c r="I389" s="251"/>
      <c r="J389" s="251"/>
      <c r="K389" s="251"/>
      <c r="L389" s="251"/>
      <c r="M389" s="251"/>
      <c r="N389" s="251"/>
      <c r="O389" s="251"/>
      <c r="P389" s="251"/>
    </row>
    <row r="390" spans="1:16">
      <c r="A390" s="225">
        <v>17</v>
      </c>
      <c r="B390" s="53" t="s">
        <v>208</v>
      </c>
      <c r="C390" s="140" t="s">
        <v>246</v>
      </c>
      <c r="D390" s="251" t="s">
        <v>27</v>
      </c>
      <c r="E390" s="251"/>
      <c r="F390" s="251"/>
      <c r="G390" s="251"/>
      <c r="H390" s="251"/>
      <c r="I390" s="251"/>
      <c r="J390" s="251"/>
      <c r="K390" s="251"/>
      <c r="L390" s="251"/>
      <c r="M390" s="251"/>
      <c r="N390" s="251"/>
      <c r="O390" s="251"/>
      <c r="P390" s="251"/>
    </row>
    <row r="391" spans="1:16" ht="90">
      <c r="A391" s="207">
        <v>18</v>
      </c>
      <c r="B391" s="217" t="s">
        <v>247</v>
      </c>
      <c r="C391" s="217" t="s">
        <v>247</v>
      </c>
      <c r="D391" s="207" t="s">
        <v>248</v>
      </c>
      <c r="E391" s="96">
        <v>2433.15</v>
      </c>
      <c r="F391" s="207" t="s">
        <v>249</v>
      </c>
      <c r="G391" s="96">
        <v>0.86</v>
      </c>
      <c r="H391" s="207" t="s">
        <v>269</v>
      </c>
      <c r="I391" s="207" t="s">
        <v>251</v>
      </c>
      <c r="J391" s="207" t="s">
        <v>12</v>
      </c>
      <c r="K391" s="207" t="s">
        <v>12</v>
      </c>
      <c r="L391" s="207" t="s">
        <v>12</v>
      </c>
      <c r="M391" s="207"/>
      <c r="N391" s="207">
        <v>1</v>
      </c>
      <c r="O391" s="207" t="s">
        <v>12</v>
      </c>
      <c r="P391" s="207" t="s">
        <v>281</v>
      </c>
    </row>
    <row r="392" spans="1:16">
      <c r="A392" s="225">
        <v>19</v>
      </c>
      <c r="B392" s="53" t="s">
        <v>208</v>
      </c>
      <c r="C392" s="140" t="s">
        <v>272</v>
      </c>
      <c r="D392" s="251" t="s">
        <v>27</v>
      </c>
      <c r="E392" s="251"/>
      <c r="F392" s="251"/>
      <c r="G392" s="251"/>
      <c r="H392" s="251"/>
      <c r="I392" s="251"/>
      <c r="J392" s="251"/>
      <c r="K392" s="251"/>
      <c r="L392" s="251"/>
      <c r="M392" s="251"/>
      <c r="N392" s="251"/>
      <c r="O392" s="251"/>
      <c r="P392" s="251"/>
    </row>
    <row r="393" spans="1:16">
      <c r="A393" s="266"/>
      <c r="B393" s="266"/>
      <c r="C393" s="266"/>
      <c r="D393" s="266"/>
      <c r="E393" s="266"/>
      <c r="F393" s="266"/>
      <c r="G393" s="266"/>
      <c r="H393" s="266"/>
      <c r="I393" s="266"/>
      <c r="J393" s="266"/>
      <c r="K393" s="266"/>
      <c r="L393" s="266"/>
      <c r="M393" s="266"/>
      <c r="N393" s="266"/>
      <c r="O393" s="266"/>
      <c r="P393" s="266"/>
    </row>
    <row r="394" spans="1:16" ht="22.5" customHeight="1">
      <c r="A394" s="253" t="s">
        <v>1278</v>
      </c>
      <c r="B394" s="253"/>
      <c r="C394" s="253"/>
      <c r="D394" s="253"/>
      <c r="E394" s="253"/>
      <c r="F394" s="253"/>
      <c r="G394" s="253"/>
      <c r="H394" s="253"/>
      <c r="I394" s="253"/>
      <c r="J394" s="253"/>
      <c r="K394" s="253"/>
      <c r="L394" s="253"/>
      <c r="M394" s="253"/>
      <c r="N394" s="253"/>
      <c r="O394" s="253"/>
      <c r="P394" s="253"/>
    </row>
    <row r="395" spans="1:16" ht="20.25" customHeight="1">
      <c r="A395" s="252" t="s">
        <v>17</v>
      </c>
      <c r="B395" s="252"/>
      <c r="C395" s="252"/>
      <c r="D395" s="252"/>
      <c r="E395" s="252"/>
      <c r="F395" s="252"/>
      <c r="G395" s="252"/>
      <c r="H395" s="252"/>
      <c r="I395" s="252"/>
      <c r="J395" s="252"/>
      <c r="K395" s="252"/>
      <c r="L395" s="252"/>
      <c r="M395" s="252"/>
      <c r="N395" s="252"/>
      <c r="O395" s="252"/>
      <c r="P395" s="252"/>
    </row>
    <row r="396" spans="1:16" ht="85.5">
      <c r="A396" s="25" t="s">
        <v>0</v>
      </c>
      <c r="B396" s="25" t="s">
        <v>105</v>
      </c>
      <c r="C396" s="25" t="s">
        <v>1</v>
      </c>
      <c r="D396" s="25" t="s">
        <v>106</v>
      </c>
      <c r="E396" s="25" t="s">
        <v>3</v>
      </c>
      <c r="F396" s="25" t="s">
        <v>4</v>
      </c>
      <c r="G396" s="25" t="s">
        <v>107</v>
      </c>
      <c r="H396" s="25" t="s">
        <v>108</v>
      </c>
      <c r="I396" s="25" t="s">
        <v>99</v>
      </c>
      <c r="J396" s="25" t="s">
        <v>5</v>
      </c>
      <c r="K396" s="25" t="s">
        <v>6</v>
      </c>
      <c r="L396" s="25" t="s">
        <v>7</v>
      </c>
      <c r="M396" s="26" t="s">
        <v>8</v>
      </c>
      <c r="N396" s="26" t="s">
        <v>9</v>
      </c>
      <c r="O396" s="25" t="s">
        <v>10</v>
      </c>
      <c r="P396" s="24" t="s">
        <v>11</v>
      </c>
    </row>
    <row r="397" spans="1:16">
      <c r="A397" s="1">
        <v>1</v>
      </c>
      <c r="B397" s="25">
        <v>2</v>
      </c>
      <c r="C397" s="25">
        <v>3</v>
      </c>
      <c r="D397" s="25">
        <v>4</v>
      </c>
      <c r="E397" s="25">
        <v>5</v>
      </c>
      <c r="F397" s="25">
        <v>6</v>
      </c>
      <c r="G397" s="25">
        <v>7</v>
      </c>
      <c r="H397" s="25">
        <v>8</v>
      </c>
      <c r="I397" s="25">
        <v>9</v>
      </c>
      <c r="J397" s="25">
        <v>10</v>
      </c>
      <c r="K397" s="25">
        <v>11</v>
      </c>
      <c r="L397" s="25">
        <v>12</v>
      </c>
      <c r="M397" s="25">
        <v>13</v>
      </c>
      <c r="N397" s="25">
        <v>14</v>
      </c>
      <c r="O397" s="25">
        <v>15</v>
      </c>
      <c r="P397" s="25">
        <v>16</v>
      </c>
    </row>
    <row r="398" spans="1:16">
      <c r="A398" s="250" t="s">
        <v>27</v>
      </c>
      <c r="B398" s="250"/>
      <c r="C398" s="250"/>
      <c r="D398" s="250"/>
      <c r="E398" s="250"/>
      <c r="F398" s="250"/>
      <c r="G398" s="250"/>
      <c r="H398" s="250"/>
      <c r="I398" s="250"/>
      <c r="J398" s="250"/>
      <c r="K398" s="250"/>
      <c r="L398" s="250"/>
      <c r="M398" s="250"/>
      <c r="N398" s="250"/>
      <c r="O398" s="250"/>
      <c r="P398" s="250"/>
    </row>
    <row r="399" spans="1:16">
      <c r="A399" s="250"/>
      <c r="B399" s="250"/>
      <c r="C399" s="250"/>
      <c r="D399" s="250"/>
      <c r="E399" s="250"/>
      <c r="F399" s="250"/>
      <c r="G399" s="250"/>
      <c r="H399" s="250"/>
      <c r="I399" s="250"/>
      <c r="J399" s="250"/>
      <c r="K399" s="250"/>
      <c r="L399" s="250"/>
      <c r="M399" s="250"/>
      <c r="N399" s="250"/>
      <c r="O399" s="250"/>
      <c r="P399" s="250"/>
    </row>
    <row r="400" spans="1:16" ht="20.25" customHeight="1">
      <c r="A400" s="252" t="s">
        <v>28</v>
      </c>
      <c r="B400" s="252"/>
      <c r="C400" s="252"/>
      <c r="D400" s="252"/>
      <c r="E400" s="252"/>
      <c r="F400" s="252"/>
      <c r="G400" s="252"/>
      <c r="H400" s="252"/>
      <c r="I400" s="252"/>
      <c r="J400" s="252"/>
      <c r="K400" s="252"/>
      <c r="L400" s="252"/>
      <c r="M400" s="252"/>
      <c r="N400" s="252"/>
      <c r="O400" s="252"/>
      <c r="P400" s="252"/>
    </row>
    <row r="401" spans="1:16" ht="85.5">
      <c r="A401" s="25" t="s">
        <v>0</v>
      </c>
      <c r="B401" s="25" t="s">
        <v>102</v>
      </c>
      <c r="C401" s="25" t="s">
        <v>1</v>
      </c>
      <c r="D401" s="25" t="s">
        <v>109</v>
      </c>
      <c r="E401" s="26" t="s">
        <v>19</v>
      </c>
      <c r="F401" s="26" t="s">
        <v>20</v>
      </c>
      <c r="G401" s="25" t="s">
        <v>100</v>
      </c>
      <c r="H401" s="25" t="s">
        <v>101</v>
      </c>
      <c r="I401" s="25" t="s">
        <v>22</v>
      </c>
      <c r="J401" s="25" t="s">
        <v>5</v>
      </c>
      <c r="K401" s="25" t="s">
        <v>6</v>
      </c>
      <c r="L401" s="25" t="s">
        <v>23</v>
      </c>
      <c r="M401" s="25" t="s">
        <v>24</v>
      </c>
      <c r="N401" s="26" t="s">
        <v>25</v>
      </c>
      <c r="O401" s="24" t="s">
        <v>26</v>
      </c>
      <c r="P401" s="254"/>
    </row>
    <row r="402" spans="1:16">
      <c r="A402" s="219">
        <v>1</v>
      </c>
      <c r="B402" s="224">
        <v>2</v>
      </c>
      <c r="C402" s="224">
        <v>3</v>
      </c>
      <c r="D402" s="224">
        <v>4</v>
      </c>
      <c r="E402" s="224">
        <v>5</v>
      </c>
      <c r="F402" s="224">
        <v>6</v>
      </c>
      <c r="G402" s="224">
        <v>7</v>
      </c>
      <c r="H402" s="224">
        <v>8</v>
      </c>
      <c r="I402" s="224">
        <v>9</v>
      </c>
      <c r="J402" s="224">
        <v>10</v>
      </c>
      <c r="K402" s="224">
        <v>11</v>
      </c>
      <c r="L402" s="224">
        <v>12</v>
      </c>
      <c r="M402" s="224">
        <v>13</v>
      </c>
      <c r="N402" s="224">
        <v>14</v>
      </c>
      <c r="O402" s="224">
        <v>15</v>
      </c>
      <c r="P402" s="254"/>
    </row>
    <row r="403" spans="1:16">
      <c r="A403" s="250" t="s">
        <v>27</v>
      </c>
      <c r="B403" s="250"/>
      <c r="C403" s="250"/>
      <c r="D403" s="250"/>
      <c r="E403" s="250"/>
      <c r="F403" s="250"/>
      <c r="G403" s="250"/>
      <c r="H403" s="250"/>
      <c r="I403" s="250"/>
      <c r="J403" s="250"/>
      <c r="K403" s="250"/>
      <c r="L403" s="250"/>
      <c r="M403" s="250"/>
      <c r="N403" s="250"/>
      <c r="O403" s="250"/>
      <c r="P403" s="254"/>
    </row>
    <row r="404" spans="1:16">
      <c r="A404" s="250"/>
      <c r="B404" s="250"/>
      <c r="C404" s="250"/>
      <c r="D404" s="250"/>
      <c r="E404" s="250"/>
      <c r="F404" s="250"/>
      <c r="G404" s="250"/>
      <c r="H404" s="250"/>
      <c r="I404" s="250"/>
      <c r="J404" s="250"/>
      <c r="K404" s="250"/>
      <c r="L404" s="250"/>
      <c r="M404" s="250"/>
      <c r="N404" s="250"/>
      <c r="O404" s="250"/>
      <c r="P404" s="250"/>
    </row>
    <row r="405" spans="1:16" ht="20.25" customHeight="1">
      <c r="A405" s="252" t="s">
        <v>34</v>
      </c>
      <c r="B405" s="252"/>
      <c r="C405" s="252"/>
      <c r="D405" s="252"/>
      <c r="E405" s="252"/>
      <c r="F405" s="252"/>
      <c r="G405" s="252"/>
      <c r="H405" s="252"/>
      <c r="I405" s="252"/>
      <c r="J405" s="252"/>
      <c r="K405" s="252"/>
      <c r="L405" s="252"/>
      <c r="M405" s="252"/>
      <c r="N405" s="252"/>
      <c r="O405" s="252"/>
      <c r="P405" s="252"/>
    </row>
    <row r="406" spans="1:16" ht="85.5">
      <c r="A406" s="25" t="s">
        <v>0</v>
      </c>
      <c r="B406" s="25" t="s">
        <v>102</v>
      </c>
      <c r="C406" s="25" t="s">
        <v>1</v>
      </c>
      <c r="D406" s="25" t="s">
        <v>109</v>
      </c>
      <c r="E406" s="25" t="s">
        <v>29</v>
      </c>
      <c r="F406" s="25" t="s">
        <v>20</v>
      </c>
      <c r="G406" s="25" t="s">
        <v>104</v>
      </c>
      <c r="H406" s="25" t="s">
        <v>101</v>
      </c>
      <c r="I406" s="25" t="s">
        <v>98</v>
      </c>
      <c r="J406" s="25" t="s">
        <v>5</v>
      </c>
      <c r="K406" s="25" t="s">
        <v>6</v>
      </c>
      <c r="L406" s="25" t="s">
        <v>31</v>
      </c>
      <c r="M406" s="25" t="s">
        <v>24</v>
      </c>
      <c r="N406" s="26" t="s">
        <v>32</v>
      </c>
      <c r="O406" s="24" t="s">
        <v>11</v>
      </c>
      <c r="P406" s="254"/>
    </row>
    <row r="407" spans="1:16">
      <c r="A407" s="219">
        <v>1</v>
      </c>
      <c r="B407" s="224">
        <v>2</v>
      </c>
      <c r="C407" s="224">
        <v>3</v>
      </c>
      <c r="D407" s="224">
        <v>4</v>
      </c>
      <c r="E407" s="224">
        <v>5</v>
      </c>
      <c r="F407" s="224">
        <v>6</v>
      </c>
      <c r="G407" s="224">
        <v>7</v>
      </c>
      <c r="H407" s="224">
        <v>8</v>
      </c>
      <c r="I407" s="224">
        <v>9</v>
      </c>
      <c r="J407" s="224">
        <v>10</v>
      </c>
      <c r="K407" s="224">
        <v>11</v>
      </c>
      <c r="L407" s="224">
        <v>12</v>
      </c>
      <c r="M407" s="224">
        <v>13</v>
      </c>
      <c r="N407" s="224">
        <v>14</v>
      </c>
      <c r="O407" s="224">
        <v>15</v>
      </c>
      <c r="P407" s="254"/>
    </row>
    <row r="408" spans="1:16">
      <c r="A408" s="250" t="s">
        <v>27</v>
      </c>
      <c r="B408" s="250"/>
      <c r="C408" s="250"/>
      <c r="D408" s="250"/>
      <c r="E408" s="250"/>
      <c r="F408" s="250"/>
      <c r="G408" s="250"/>
      <c r="H408" s="250"/>
      <c r="I408" s="250"/>
      <c r="J408" s="250"/>
      <c r="K408" s="250"/>
      <c r="L408" s="250"/>
      <c r="M408" s="250"/>
      <c r="N408" s="250"/>
      <c r="O408" s="250"/>
      <c r="P408" s="254"/>
    </row>
    <row r="409" spans="1:16">
      <c r="A409" s="250"/>
      <c r="B409" s="250"/>
      <c r="C409" s="250"/>
      <c r="D409" s="250"/>
      <c r="E409" s="250"/>
      <c r="F409" s="250"/>
      <c r="G409" s="250"/>
      <c r="H409" s="250"/>
      <c r="I409" s="250"/>
      <c r="J409" s="250"/>
      <c r="K409" s="250"/>
      <c r="L409" s="250"/>
      <c r="M409" s="250"/>
      <c r="N409" s="250"/>
      <c r="O409" s="250"/>
      <c r="P409" s="250"/>
    </row>
    <row r="410" spans="1:16" ht="20.25" customHeight="1">
      <c r="A410" s="252" t="s">
        <v>35</v>
      </c>
      <c r="B410" s="252"/>
      <c r="C410" s="252"/>
      <c r="D410" s="252"/>
      <c r="E410" s="252"/>
      <c r="F410" s="252"/>
      <c r="G410" s="252"/>
      <c r="H410" s="252"/>
      <c r="I410" s="252"/>
      <c r="J410" s="252"/>
      <c r="K410" s="252"/>
      <c r="L410" s="252"/>
      <c r="M410" s="252"/>
      <c r="N410" s="252"/>
      <c r="O410" s="252"/>
      <c r="P410" s="252"/>
    </row>
    <row r="411" spans="1:16" ht="85.5">
      <c r="A411" s="25" t="s">
        <v>0</v>
      </c>
      <c r="B411" s="25" t="s">
        <v>102</v>
      </c>
      <c r="C411" s="25" t="s">
        <v>1</v>
      </c>
      <c r="D411" s="25" t="s">
        <v>109</v>
      </c>
      <c r="E411" s="25" t="s">
        <v>29</v>
      </c>
      <c r="F411" s="25" t="s">
        <v>20</v>
      </c>
      <c r="G411" s="25" t="s">
        <v>97</v>
      </c>
      <c r="H411" s="25" t="s">
        <v>101</v>
      </c>
      <c r="I411" s="25" t="s">
        <v>98</v>
      </c>
      <c r="J411" s="25" t="s">
        <v>5</v>
      </c>
      <c r="K411" s="25" t="s">
        <v>6</v>
      </c>
      <c r="L411" s="25" t="s">
        <v>31</v>
      </c>
      <c r="M411" s="25" t="s">
        <v>24</v>
      </c>
      <c r="N411" s="26" t="s">
        <v>33</v>
      </c>
      <c r="O411" s="26" t="s">
        <v>32</v>
      </c>
      <c r="P411" s="24" t="s">
        <v>26</v>
      </c>
    </row>
    <row r="412" spans="1:16">
      <c r="A412" s="219">
        <v>1</v>
      </c>
      <c r="B412" s="224">
        <v>2</v>
      </c>
      <c r="C412" s="224">
        <v>3</v>
      </c>
      <c r="D412" s="224">
        <v>4</v>
      </c>
      <c r="E412" s="224">
        <v>5</v>
      </c>
      <c r="F412" s="224">
        <v>6</v>
      </c>
      <c r="G412" s="224">
        <v>7</v>
      </c>
      <c r="H412" s="224">
        <v>8</v>
      </c>
      <c r="I412" s="224">
        <v>9</v>
      </c>
      <c r="J412" s="224">
        <v>10</v>
      </c>
      <c r="K412" s="224">
        <v>11</v>
      </c>
      <c r="L412" s="224">
        <v>12</v>
      </c>
      <c r="M412" s="224">
        <v>13</v>
      </c>
      <c r="N412" s="224">
        <v>14</v>
      </c>
      <c r="O412" s="224">
        <v>15</v>
      </c>
      <c r="P412" s="25">
        <v>16</v>
      </c>
    </row>
    <row r="413" spans="1:16">
      <c r="A413" s="258" t="s">
        <v>27</v>
      </c>
      <c r="B413" s="258"/>
      <c r="C413" s="258"/>
      <c r="D413" s="258"/>
      <c r="E413" s="258"/>
      <c r="F413" s="258"/>
      <c r="G413" s="258"/>
      <c r="H413" s="258"/>
      <c r="I413" s="258"/>
      <c r="J413" s="258"/>
      <c r="K413" s="258"/>
      <c r="L413" s="258"/>
      <c r="M413" s="258"/>
      <c r="N413" s="258"/>
      <c r="O413" s="258"/>
      <c r="P413" s="258"/>
    </row>
    <row r="414" spans="1:16">
      <c r="A414" s="250"/>
      <c r="B414" s="250"/>
      <c r="C414" s="250"/>
      <c r="D414" s="250"/>
      <c r="E414" s="250"/>
      <c r="F414" s="250"/>
      <c r="G414" s="250"/>
      <c r="H414" s="250"/>
      <c r="I414" s="250"/>
      <c r="J414" s="250"/>
      <c r="K414" s="250"/>
      <c r="L414" s="250"/>
      <c r="M414" s="250"/>
      <c r="N414" s="250"/>
      <c r="O414" s="250"/>
      <c r="P414" s="250"/>
    </row>
    <row r="415" spans="1:16" ht="22.5" customHeight="1">
      <c r="A415" s="253" t="s">
        <v>1279</v>
      </c>
      <c r="B415" s="253"/>
      <c r="C415" s="253"/>
      <c r="D415" s="253"/>
      <c r="E415" s="253"/>
      <c r="F415" s="253"/>
      <c r="G415" s="253"/>
      <c r="H415" s="253"/>
      <c r="I415" s="253"/>
      <c r="J415" s="253"/>
      <c r="K415" s="253"/>
      <c r="L415" s="253"/>
      <c r="M415" s="253"/>
      <c r="N415" s="253"/>
      <c r="O415" s="253"/>
      <c r="P415" s="253"/>
    </row>
    <row r="416" spans="1:16" ht="20.25" customHeight="1">
      <c r="A416" s="252" t="s">
        <v>17</v>
      </c>
      <c r="B416" s="252"/>
      <c r="C416" s="252"/>
      <c r="D416" s="252"/>
      <c r="E416" s="252"/>
      <c r="F416" s="252"/>
      <c r="G416" s="252"/>
      <c r="H416" s="252"/>
      <c r="I416" s="252"/>
      <c r="J416" s="252"/>
      <c r="K416" s="252"/>
      <c r="L416" s="252"/>
      <c r="M416" s="252"/>
      <c r="N416" s="252"/>
      <c r="O416" s="252"/>
      <c r="P416" s="252"/>
    </row>
    <row r="417" spans="1:16" ht="85.5">
      <c r="A417" s="25" t="s">
        <v>0</v>
      </c>
      <c r="B417" s="25" t="s">
        <v>105</v>
      </c>
      <c r="C417" s="25" t="s">
        <v>1</v>
      </c>
      <c r="D417" s="25" t="s">
        <v>106</v>
      </c>
      <c r="E417" s="25" t="s">
        <v>3</v>
      </c>
      <c r="F417" s="25" t="s">
        <v>4</v>
      </c>
      <c r="G417" s="25" t="s">
        <v>107</v>
      </c>
      <c r="H417" s="25" t="s">
        <v>108</v>
      </c>
      <c r="I417" s="25" t="s">
        <v>99</v>
      </c>
      <c r="J417" s="25" t="s">
        <v>5</v>
      </c>
      <c r="K417" s="25" t="s">
        <v>6</v>
      </c>
      <c r="L417" s="25" t="s">
        <v>7</v>
      </c>
      <c r="M417" s="26" t="s">
        <v>8</v>
      </c>
      <c r="N417" s="26" t="s">
        <v>9</v>
      </c>
      <c r="O417" s="25" t="s">
        <v>10</v>
      </c>
      <c r="P417" s="24" t="s">
        <v>11</v>
      </c>
    </row>
    <row r="418" spans="1:16">
      <c r="A418" s="1">
        <v>1</v>
      </c>
      <c r="B418" s="25">
        <v>2</v>
      </c>
      <c r="C418" s="25">
        <v>3</v>
      </c>
      <c r="D418" s="25">
        <v>4</v>
      </c>
      <c r="E418" s="25">
        <v>5</v>
      </c>
      <c r="F418" s="25">
        <v>6</v>
      </c>
      <c r="G418" s="25">
        <v>7</v>
      </c>
      <c r="H418" s="25">
        <v>8</v>
      </c>
      <c r="I418" s="25">
        <v>9</v>
      </c>
      <c r="J418" s="25">
        <v>10</v>
      </c>
      <c r="K418" s="25">
        <v>11</v>
      </c>
      <c r="L418" s="25">
        <v>12</v>
      </c>
      <c r="M418" s="25">
        <v>13</v>
      </c>
      <c r="N418" s="25">
        <v>14</v>
      </c>
      <c r="O418" s="25">
        <v>15</v>
      </c>
      <c r="P418" s="25">
        <v>16</v>
      </c>
    </row>
    <row r="419" spans="1:16" ht="30">
      <c r="A419" s="207">
        <v>1</v>
      </c>
      <c r="B419" s="217" t="s">
        <v>812</v>
      </c>
      <c r="C419" s="217" t="s">
        <v>813</v>
      </c>
      <c r="D419" s="217" t="s">
        <v>814</v>
      </c>
      <c r="E419" s="207">
        <v>6200</v>
      </c>
      <c r="F419" s="207"/>
      <c r="G419" s="207" t="s">
        <v>815</v>
      </c>
      <c r="H419" s="207"/>
      <c r="I419" s="207" t="s">
        <v>832</v>
      </c>
      <c r="J419" s="207" t="s">
        <v>48</v>
      </c>
      <c r="K419" s="207" t="s">
        <v>48</v>
      </c>
      <c r="L419" s="207" t="s">
        <v>14</v>
      </c>
      <c r="M419" s="207" t="s">
        <v>49</v>
      </c>
      <c r="N419" s="207" t="s">
        <v>816</v>
      </c>
      <c r="O419" s="207"/>
      <c r="P419" s="207"/>
    </row>
    <row r="420" spans="1:16" ht="45">
      <c r="A420" s="207">
        <v>2</v>
      </c>
      <c r="B420" s="217" t="s">
        <v>817</v>
      </c>
      <c r="C420" s="217" t="s">
        <v>813</v>
      </c>
      <c r="D420" s="217" t="s">
        <v>818</v>
      </c>
      <c r="E420" s="207">
        <v>5729.02</v>
      </c>
      <c r="F420" s="207" t="s">
        <v>819</v>
      </c>
      <c r="G420" s="207">
        <v>23.74</v>
      </c>
      <c r="H420" s="207" t="s">
        <v>48</v>
      </c>
      <c r="I420" s="207" t="s">
        <v>47</v>
      </c>
      <c r="J420" s="207" t="s">
        <v>48</v>
      </c>
      <c r="K420" s="207" t="s">
        <v>48</v>
      </c>
      <c r="L420" s="207" t="s">
        <v>820</v>
      </c>
      <c r="M420" s="207" t="s">
        <v>821</v>
      </c>
      <c r="N420" s="207" t="s">
        <v>816</v>
      </c>
      <c r="O420" s="207" t="s">
        <v>48</v>
      </c>
      <c r="P420" s="207"/>
    </row>
    <row r="421" spans="1:16" ht="60">
      <c r="A421" s="207">
        <v>3</v>
      </c>
      <c r="B421" s="217" t="s">
        <v>822</v>
      </c>
      <c r="C421" s="217" t="s">
        <v>813</v>
      </c>
      <c r="D421" s="217" t="s">
        <v>823</v>
      </c>
      <c r="E421" s="207">
        <v>16216</v>
      </c>
      <c r="F421" s="207" t="s">
        <v>824</v>
      </c>
      <c r="G421" s="207">
        <v>196213600</v>
      </c>
      <c r="H421" s="207" t="s">
        <v>825</v>
      </c>
      <c r="I421" s="207" t="s">
        <v>832</v>
      </c>
      <c r="J421" s="207" t="s">
        <v>48</v>
      </c>
      <c r="K421" s="207" t="s">
        <v>48</v>
      </c>
      <c r="L421" s="207" t="s">
        <v>48</v>
      </c>
      <c r="M421" s="207" t="s">
        <v>826</v>
      </c>
      <c r="N421" s="207" t="s">
        <v>48</v>
      </c>
      <c r="O421" s="207" t="s">
        <v>48</v>
      </c>
      <c r="P421" s="207"/>
    </row>
    <row r="422" spans="1:16" ht="270">
      <c r="A422" s="207">
        <v>4</v>
      </c>
      <c r="B422" s="217" t="s">
        <v>827</v>
      </c>
      <c r="C422" s="217" t="s">
        <v>813</v>
      </c>
      <c r="D422" s="217" t="s">
        <v>828</v>
      </c>
      <c r="E422" s="207">
        <v>1254</v>
      </c>
      <c r="F422" s="207" t="s">
        <v>829</v>
      </c>
      <c r="G422" s="207">
        <v>12</v>
      </c>
      <c r="H422" s="207">
        <v>12</v>
      </c>
      <c r="I422" s="207" t="s">
        <v>220</v>
      </c>
      <c r="J422" s="207" t="s">
        <v>48</v>
      </c>
      <c r="K422" s="207" t="s">
        <v>48</v>
      </c>
      <c r="L422" s="207" t="s">
        <v>48</v>
      </c>
      <c r="M422" s="207" t="s">
        <v>830</v>
      </c>
      <c r="N422" s="207" t="s">
        <v>831</v>
      </c>
      <c r="O422" s="207"/>
      <c r="P422" s="207"/>
    </row>
    <row r="423" spans="1:16">
      <c r="A423" s="250"/>
      <c r="B423" s="250"/>
      <c r="C423" s="250"/>
      <c r="D423" s="250"/>
      <c r="E423" s="250"/>
      <c r="F423" s="250"/>
      <c r="G423" s="250"/>
      <c r="H423" s="250"/>
      <c r="I423" s="250"/>
      <c r="J423" s="250"/>
      <c r="K423" s="250"/>
      <c r="L423" s="250"/>
      <c r="M423" s="250"/>
      <c r="N423" s="250"/>
      <c r="O423" s="250"/>
      <c r="P423" s="250"/>
    </row>
    <row r="424" spans="1:16" ht="20.25" customHeight="1">
      <c r="A424" s="252" t="s">
        <v>28</v>
      </c>
      <c r="B424" s="252"/>
      <c r="C424" s="252"/>
      <c r="D424" s="252"/>
      <c r="E424" s="252"/>
      <c r="F424" s="252"/>
      <c r="G424" s="252"/>
      <c r="H424" s="252"/>
      <c r="I424" s="252"/>
      <c r="J424" s="252"/>
      <c r="K424" s="252"/>
      <c r="L424" s="252"/>
      <c r="M424" s="252"/>
      <c r="N424" s="252"/>
      <c r="O424" s="252"/>
      <c r="P424" s="269"/>
    </row>
    <row r="425" spans="1:16" ht="85.5">
      <c r="A425" s="25" t="s">
        <v>0</v>
      </c>
      <c r="B425" s="25" t="s">
        <v>102</v>
      </c>
      <c r="C425" s="25" t="s">
        <v>1</v>
      </c>
      <c r="D425" s="25" t="s">
        <v>109</v>
      </c>
      <c r="E425" s="26" t="s">
        <v>19</v>
      </c>
      <c r="F425" s="26" t="s">
        <v>20</v>
      </c>
      <c r="G425" s="25" t="s">
        <v>100</v>
      </c>
      <c r="H425" s="25" t="s">
        <v>101</v>
      </c>
      <c r="I425" s="25" t="s">
        <v>22</v>
      </c>
      <c r="J425" s="25" t="s">
        <v>5</v>
      </c>
      <c r="K425" s="25" t="s">
        <v>6</v>
      </c>
      <c r="L425" s="25" t="s">
        <v>23</v>
      </c>
      <c r="M425" s="25" t="s">
        <v>24</v>
      </c>
      <c r="N425" s="26" t="s">
        <v>25</v>
      </c>
      <c r="O425" s="24" t="s">
        <v>26</v>
      </c>
      <c r="P425" s="269"/>
    </row>
    <row r="426" spans="1:16">
      <c r="A426" s="219">
        <v>1</v>
      </c>
      <c r="B426" s="224">
        <v>2</v>
      </c>
      <c r="C426" s="224">
        <v>3</v>
      </c>
      <c r="D426" s="224">
        <v>4</v>
      </c>
      <c r="E426" s="224">
        <v>5</v>
      </c>
      <c r="F426" s="224">
        <v>6</v>
      </c>
      <c r="G426" s="224">
        <v>7</v>
      </c>
      <c r="H426" s="224">
        <v>8</v>
      </c>
      <c r="I426" s="224">
        <v>9</v>
      </c>
      <c r="J426" s="224">
        <v>10</v>
      </c>
      <c r="K426" s="224">
        <v>11</v>
      </c>
      <c r="L426" s="224">
        <v>12</v>
      </c>
      <c r="M426" s="224">
        <v>13</v>
      </c>
      <c r="N426" s="224">
        <v>14</v>
      </c>
      <c r="O426" s="224">
        <v>15</v>
      </c>
      <c r="P426" s="269"/>
    </row>
    <row r="427" spans="1:16" ht="30">
      <c r="A427" s="207">
        <v>1</v>
      </c>
      <c r="B427" s="217" t="s">
        <v>833</v>
      </c>
      <c r="C427" s="217" t="s">
        <v>813</v>
      </c>
      <c r="D427" s="217" t="s">
        <v>834</v>
      </c>
      <c r="E427" s="207">
        <v>4046.8</v>
      </c>
      <c r="F427" s="207">
        <v>2016</v>
      </c>
      <c r="G427" s="207">
        <v>13.04</v>
      </c>
      <c r="H427" s="207" t="s">
        <v>15</v>
      </c>
      <c r="I427" s="207" t="s">
        <v>835</v>
      </c>
      <c r="J427" s="207" t="s">
        <v>836</v>
      </c>
      <c r="K427" s="207" t="s">
        <v>48</v>
      </c>
      <c r="L427" s="207">
        <v>3835000</v>
      </c>
      <c r="M427" s="207" t="s">
        <v>48</v>
      </c>
      <c r="N427" s="207">
        <v>1</v>
      </c>
      <c r="O427" s="207" t="s">
        <v>48</v>
      </c>
      <c r="P427" s="269"/>
    </row>
    <row r="428" spans="1:16" ht="75">
      <c r="A428" s="207">
        <v>2</v>
      </c>
      <c r="B428" s="217" t="s">
        <v>837</v>
      </c>
      <c r="C428" s="217" t="s">
        <v>813</v>
      </c>
      <c r="D428" s="217" t="s">
        <v>838</v>
      </c>
      <c r="E428" s="207">
        <v>1676</v>
      </c>
      <c r="F428" s="207" t="s">
        <v>839</v>
      </c>
      <c r="G428" s="207">
        <v>1</v>
      </c>
      <c r="H428" s="207"/>
      <c r="I428" s="207" t="s">
        <v>835</v>
      </c>
      <c r="J428" s="207" t="s">
        <v>840</v>
      </c>
      <c r="K428" s="207"/>
      <c r="L428" s="207" t="s">
        <v>41</v>
      </c>
      <c r="M428" s="207"/>
      <c r="N428" s="207">
        <v>1</v>
      </c>
      <c r="O428" s="207"/>
      <c r="P428" s="269"/>
    </row>
    <row r="429" spans="1:16">
      <c r="A429" s="250"/>
      <c r="B429" s="250"/>
      <c r="C429" s="250"/>
      <c r="D429" s="250"/>
      <c r="E429" s="250"/>
      <c r="F429" s="250"/>
      <c r="G429" s="250"/>
      <c r="H429" s="250"/>
      <c r="I429" s="250"/>
      <c r="J429" s="250"/>
      <c r="K429" s="250"/>
      <c r="L429" s="250"/>
      <c r="M429" s="250"/>
      <c r="N429" s="250"/>
      <c r="O429" s="250"/>
      <c r="P429" s="250"/>
    </row>
    <row r="430" spans="1:16" ht="20.25" customHeight="1">
      <c r="A430" s="252" t="s">
        <v>34</v>
      </c>
      <c r="B430" s="252"/>
      <c r="C430" s="252"/>
      <c r="D430" s="252"/>
      <c r="E430" s="252"/>
      <c r="F430" s="252"/>
      <c r="G430" s="252"/>
      <c r="H430" s="252"/>
      <c r="I430" s="252"/>
      <c r="J430" s="252"/>
      <c r="K430" s="252"/>
      <c r="L430" s="252"/>
      <c r="M430" s="252"/>
      <c r="N430" s="252"/>
      <c r="O430" s="252"/>
      <c r="P430" s="269"/>
    </row>
    <row r="431" spans="1:16" ht="85.5">
      <c r="A431" s="25" t="s">
        <v>0</v>
      </c>
      <c r="B431" s="25" t="s">
        <v>102</v>
      </c>
      <c r="C431" s="25" t="s">
        <v>1</v>
      </c>
      <c r="D431" s="25" t="s">
        <v>109</v>
      </c>
      <c r="E431" s="25" t="s">
        <v>29</v>
      </c>
      <c r="F431" s="25" t="s">
        <v>20</v>
      </c>
      <c r="G431" s="25" t="s">
        <v>104</v>
      </c>
      <c r="H431" s="25" t="s">
        <v>101</v>
      </c>
      <c r="I431" s="25" t="s">
        <v>98</v>
      </c>
      <c r="J431" s="25" t="s">
        <v>5</v>
      </c>
      <c r="K431" s="25" t="s">
        <v>6</v>
      </c>
      <c r="L431" s="25" t="s">
        <v>31</v>
      </c>
      <c r="M431" s="25" t="s">
        <v>24</v>
      </c>
      <c r="N431" s="26" t="s">
        <v>32</v>
      </c>
      <c r="O431" s="24" t="s">
        <v>11</v>
      </c>
      <c r="P431" s="269"/>
    </row>
    <row r="432" spans="1:16">
      <c r="A432" s="219">
        <v>1</v>
      </c>
      <c r="B432" s="224">
        <v>2</v>
      </c>
      <c r="C432" s="224">
        <v>3</v>
      </c>
      <c r="D432" s="224">
        <v>4</v>
      </c>
      <c r="E432" s="224">
        <v>5</v>
      </c>
      <c r="F432" s="224">
        <v>6</v>
      </c>
      <c r="G432" s="224">
        <v>7</v>
      </c>
      <c r="H432" s="224">
        <v>8</v>
      </c>
      <c r="I432" s="224">
        <v>9</v>
      </c>
      <c r="J432" s="224">
        <v>10</v>
      </c>
      <c r="K432" s="224">
        <v>11</v>
      </c>
      <c r="L432" s="224">
        <v>12</v>
      </c>
      <c r="M432" s="224">
        <v>13</v>
      </c>
      <c r="N432" s="224">
        <v>14</v>
      </c>
      <c r="O432" s="224">
        <v>15</v>
      </c>
      <c r="P432" s="269"/>
    </row>
    <row r="433" spans="1:16">
      <c r="A433" s="250" t="s">
        <v>27</v>
      </c>
      <c r="B433" s="250"/>
      <c r="C433" s="250"/>
      <c r="D433" s="250"/>
      <c r="E433" s="250"/>
      <c r="F433" s="250"/>
      <c r="G433" s="250"/>
      <c r="H433" s="250"/>
      <c r="I433" s="250"/>
      <c r="J433" s="250"/>
      <c r="K433" s="250"/>
      <c r="L433" s="250"/>
      <c r="M433" s="250"/>
      <c r="N433" s="250"/>
      <c r="O433" s="250"/>
      <c r="P433" s="269"/>
    </row>
    <row r="434" spans="1:16">
      <c r="A434" s="250"/>
      <c r="B434" s="250"/>
      <c r="C434" s="250"/>
      <c r="D434" s="250"/>
      <c r="E434" s="250"/>
      <c r="F434" s="250"/>
      <c r="G434" s="250"/>
      <c r="H434" s="250"/>
      <c r="I434" s="250"/>
      <c r="J434" s="250"/>
      <c r="K434" s="250"/>
      <c r="L434" s="250"/>
      <c r="M434" s="250"/>
      <c r="N434" s="250"/>
      <c r="O434" s="250"/>
      <c r="P434" s="250"/>
    </row>
    <row r="435" spans="1:16" ht="20.25">
      <c r="A435" s="252" t="s">
        <v>35</v>
      </c>
      <c r="B435" s="252"/>
      <c r="C435" s="252"/>
      <c r="D435" s="252"/>
      <c r="E435" s="252"/>
      <c r="F435" s="252"/>
      <c r="G435" s="252"/>
      <c r="H435" s="252"/>
      <c r="I435" s="252"/>
      <c r="J435" s="252"/>
      <c r="K435" s="252"/>
      <c r="L435" s="252"/>
      <c r="M435" s="252"/>
      <c r="N435" s="252"/>
      <c r="O435" s="252"/>
      <c r="P435" s="252"/>
    </row>
    <row r="436" spans="1:16" ht="85.5">
      <c r="A436" s="25" t="s">
        <v>0</v>
      </c>
      <c r="B436" s="25" t="s">
        <v>102</v>
      </c>
      <c r="C436" s="25" t="s">
        <v>1</v>
      </c>
      <c r="D436" s="25" t="s">
        <v>109</v>
      </c>
      <c r="E436" s="25" t="s">
        <v>29</v>
      </c>
      <c r="F436" s="25" t="s">
        <v>20</v>
      </c>
      <c r="G436" s="25" t="s">
        <v>97</v>
      </c>
      <c r="H436" s="25" t="s">
        <v>101</v>
      </c>
      <c r="I436" s="25" t="s">
        <v>98</v>
      </c>
      <c r="J436" s="25" t="s">
        <v>5</v>
      </c>
      <c r="K436" s="25" t="s">
        <v>6</v>
      </c>
      <c r="L436" s="25" t="s">
        <v>31</v>
      </c>
      <c r="M436" s="25" t="s">
        <v>24</v>
      </c>
      <c r="N436" s="26" t="s">
        <v>33</v>
      </c>
      <c r="O436" s="26" t="s">
        <v>32</v>
      </c>
      <c r="P436" s="24" t="s">
        <v>26</v>
      </c>
    </row>
    <row r="437" spans="1:16">
      <c r="A437" s="219">
        <v>1</v>
      </c>
      <c r="B437" s="224">
        <v>2</v>
      </c>
      <c r="C437" s="224">
        <v>3</v>
      </c>
      <c r="D437" s="224">
        <v>4</v>
      </c>
      <c r="E437" s="224">
        <v>5</v>
      </c>
      <c r="F437" s="224">
        <v>6</v>
      </c>
      <c r="G437" s="224">
        <v>7</v>
      </c>
      <c r="H437" s="224">
        <v>8</v>
      </c>
      <c r="I437" s="224">
        <v>9</v>
      </c>
      <c r="J437" s="224">
        <v>10</v>
      </c>
      <c r="K437" s="224">
        <v>11</v>
      </c>
      <c r="L437" s="224">
        <v>12</v>
      </c>
      <c r="M437" s="224">
        <v>13</v>
      </c>
      <c r="N437" s="224">
        <v>14</v>
      </c>
      <c r="O437" s="224">
        <v>15</v>
      </c>
      <c r="P437" s="25">
        <v>16</v>
      </c>
    </row>
    <row r="438" spans="1:16">
      <c r="A438" s="258" t="s">
        <v>27</v>
      </c>
      <c r="B438" s="258"/>
      <c r="C438" s="258"/>
      <c r="D438" s="258"/>
      <c r="E438" s="258"/>
      <c r="F438" s="258"/>
      <c r="G438" s="258"/>
      <c r="H438" s="258"/>
      <c r="I438" s="258"/>
      <c r="J438" s="258"/>
      <c r="K438" s="258"/>
      <c r="L438" s="258"/>
      <c r="M438" s="258"/>
      <c r="N438" s="258"/>
      <c r="O438" s="258"/>
      <c r="P438" s="258"/>
    </row>
    <row r="439" spans="1:16">
      <c r="A439" s="250"/>
      <c r="B439" s="250"/>
      <c r="C439" s="250"/>
      <c r="D439" s="250"/>
      <c r="E439" s="250"/>
      <c r="F439" s="250"/>
      <c r="G439" s="250"/>
      <c r="H439" s="250"/>
      <c r="I439" s="250"/>
      <c r="J439" s="250"/>
      <c r="K439" s="250"/>
      <c r="L439" s="250"/>
      <c r="M439" s="250"/>
      <c r="N439" s="250"/>
      <c r="O439" s="250"/>
      <c r="P439" s="250"/>
    </row>
    <row r="440" spans="1:16" ht="22.5">
      <c r="A440" s="277" t="s">
        <v>1280</v>
      </c>
      <c r="B440" s="277"/>
      <c r="C440" s="277"/>
      <c r="D440" s="277"/>
      <c r="E440" s="277"/>
      <c r="F440" s="277"/>
      <c r="G440" s="277"/>
      <c r="H440" s="277"/>
      <c r="I440" s="277"/>
      <c r="J440" s="277"/>
      <c r="K440" s="277"/>
      <c r="L440" s="277"/>
      <c r="M440" s="277"/>
      <c r="N440" s="277"/>
      <c r="O440" s="277"/>
      <c r="P440" s="277"/>
    </row>
    <row r="441" spans="1:16" ht="20.25">
      <c r="A441" s="252" t="s">
        <v>17</v>
      </c>
      <c r="B441" s="252"/>
      <c r="C441" s="252"/>
      <c r="D441" s="252"/>
      <c r="E441" s="252"/>
      <c r="F441" s="252"/>
      <c r="G441" s="252"/>
      <c r="H441" s="252"/>
      <c r="I441" s="252"/>
      <c r="J441" s="252"/>
      <c r="K441" s="252"/>
      <c r="L441" s="252"/>
      <c r="M441" s="252"/>
      <c r="N441" s="252"/>
      <c r="O441" s="252"/>
      <c r="P441" s="252"/>
    </row>
    <row r="442" spans="1:16" ht="85.5">
      <c r="A442" s="25" t="s">
        <v>0</v>
      </c>
      <c r="B442" s="25" t="s">
        <v>105</v>
      </c>
      <c r="C442" s="25" t="s">
        <v>1</v>
      </c>
      <c r="D442" s="25" t="s">
        <v>106</v>
      </c>
      <c r="E442" s="25" t="s">
        <v>3</v>
      </c>
      <c r="F442" s="25" t="s">
        <v>4</v>
      </c>
      <c r="G442" s="25" t="s">
        <v>107</v>
      </c>
      <c r="H442" s="25" t="s">
        <v>108</v>
      </c>
      <c r="I442" s="25" t="s">
        <v>99</v>
      </c>
      <c r="J442" s="25" t="s">
        <v>5</v>
      </c>
      <c r="K442" s="25" t="s">
        <v>6</v>
      </c>
      <c r="L442" s="25" t="s">
        <v>7</v>
      </c>
      <c r="M442" s="26" t="s">
        <v>8</v>
      </c>
      <c r="N442" s="26" t="s">
        <v>9</v>
      </c>
      <c r="O442" s="25" t="s">
        <v>10</v>
      </c>
      <c r="P442" s="24" t="s">
        <v>11</v>
      </c>
    </row>
    <row r="443" spans="1:16">
      <c r="A443" s="1">
        <v>1</v>
      </c>
      <c r="B443" s="25">
        <v>2</v>
      </c>
      <c r="C443" s="25">
        <v>3</v>
      </c>
      <c r="D443" s="25">
        <v>4</v>
      </c>
      <c r="E443" s="25">
        <v>5</v>
      </c>
      <c r="F443" s="25">
        <v>6</v>
      </c>
      <c r="G443" s="25">
        <v>7</v>
      </c>
      <c r="H443" s="25">
        <v>8</v>
      </c>
      <c r="I443" s="25">
        <v>9</v>
      </c>
      <c r="J443" s="25">
        <v>10</v>
      </c>
      <c r="K443" s="25">
        <v>11</v>
      </c>
      <c r="L443" s="25">
        <v>12</v>
      </c>
      <c r="M443" s="25">
        <v>13</v>
      </c>
      <c r="N443" s="25">
        <v>14</v>
      </c>
      <c r="O443" s="25">
        <v>15</v>
      </c>
      <c r="P443" s="25">
        <v>16</v>
      </c>
    </row>
    <row r="444" spans="1:16">
      <c r="A444" s="250" t="s">
        <v>27</v>
      </c>
      <c r="B444" s="250"/>
      <c r="C444" s="250"/>
      <c r="D444" s="250"/>
      <c r="E444" s="250"/>
      <c r="F444" s="250"/>
      <c r="G444" s="250"/>
      <c r="H444" s="250"/>
      <c r="I444" s="250"/>
      <c r="J444" s="250"/>
      <c r="K444" s="250"/>
      <c r="L444" s="250"/>
      <c r="M444" s="250"/>
      <c r="N444" s="250"/>
      <c r="O444" s="250"/>
      <c r="P444" s="250"/>
    </row>
    <row r="445" spans="1:16">
      <c r="A445" s="256"/>
      <c r="B445" s="256"/>
      <c r="C445" s="256"/>
      <c r="D445" s="256"/>
      <c r="E445" s="256"/>
      <c r="F445" s="256"/>
      <c r="G445" s="256"/>
      <c r="H445" s="256"/>
      <c r="I445" s="256"/>
      <c r="J445" s="256"/>
      <c r="K445" s="256"/>
      <c r="L445" s="256"/>
      <c r="M445" s="256"/>
      <c r="N445" s="256"/>
      <c r="O445" s="256"/>
      <c r="P445" s="256"/>
    </row>
    <row r="446" spans="1:16" ht="20.25">
      <c r="A446" s="252" t="s">
        <v>28</v>
      </c>
      <c r="B446" s="252"/>
      <c r="C446" s="252"/>
      <c r="D446" s="252"/>
      <c r="E446" s="252"/>
      <c r="F446" s="252"/>
      <c r="G446" s="252"/>
      <c r="H446" s="252"/>
      <c r="I446" s="252"/>
      <c r="J446" s="252"/>
      <c r="K446" s="252"/>
      <c r="L446" s="252"/>
      <c r="M446" s="252"/>
      <c r="N446" s="252"/>
      <c r="O446" s="252"/>
      <c r="P446" s="252"/>
    </row>
    <row r="447" spans="1:16" ht="85.5">
      <c r="A447" s="25" t="s">
        <v>0</v>
      </c>
      <c r="B447" s="25" t="s">
        <v>102</v>
      </c>
      <c r="C447" s="25" t="s">
        <v>1</v>
      </c>
      <c r="D447" s="25" t="s">
        <v>109</v>
      </c>
      <c r="E447" s="26" t="s">
        <v>19</v>
      </c>
      <c r="F447" s="26" t="s">
        <v>20</v>
      </c>
      <c r="G447" s="25" t="s">
        <v>100</v>
      </c>
      <c r="H447" s="25" t="s">
        <v>101</v>
      </c>
      <c r="I447" s="25" t="s">
        <v>22</v>
      </c>
      <c r="J447" s="25" t="s">
        <v>5</v>
      </c>
      <c r="K447" s="25" t="s">
        <v>6</v>
      </c>
      <c r="L447" s="25" t="s">
        <v>23</v>
      </c>
      <c r="M447" s="25" t="s">
        <v>24</v>
      </c>
      <c r="N447" s="26" t="s">
        <v>25</v>
      </c>
      <c r="O447" s="24" t="s">
        <v>26</v>
      </c>
      <c r="P447" s="254"/>
    </row>
    <row r="448" spans="1:16">
      <c r="A448" s="219">
        <v>1</v>
      </c>
      <c r="B448" s="224">
        <v>2</v>
      </c>
      <c r="C448" s="224">
        <v>3</v>
      </c>
      <c r="D448" s="224">
        <v>4</v>
      </c>
      <c r="E448" s="224">
        <v>5</v>
      </c>
      <c r="F448" s="224">
        <v>6</v>
      </c>
      <c r="G448" s="224">
        <v>7</v>
      </c>
      <c r="H448" s="224">
        <v>8</v>
      </c>
      <c r="I448" s="224">
        <v>9</v>
      </c>
      <c r="J448" s="224">
        <v>10</v>
      </c>
      <c r="K448" s="224">
        <v>11</v>
      </c>
      <c r="L448" s="224">
        <v>12</v>
      </c>
      <c r="M448" s="224">
        <v>13</v>
      </c>
      <c r="N448" s="224">
        <v>14</v>
      </c>
      <c r="O448" s="224">
        <v>15</v>
      </c>
      <c r="P448" s="254"/>
    </row>
    <row r="449" spans="1:16">
      <c r="A449" s="250" t="s">
        <v>27</v>
      </c>
      <c r="B449" s="250"/>
      <c r="C449" s="250"/>
      <c r="D449" s="250"/>
      <c r="E449" s="250"/>
      <c r="F449" s="250"/>
      <c r="G449" s="250"/>
      <c r="H449" s="250"/>
      <c r="I449" s="250"/>
      <c r="J449" s="250"/>
      <c r="K449" s="250"/>
      <c r="L449" s="250"/>
      <c r="M449" s="250"/>
      <c r="N449" s="250"/>
      <c r="O449" s="250"/>
      <c r="P449" s="254"/>
    </row>
    <row r="450" spans="1:16">
      <c r="A450" s="256"/>
      <c r="B450" s="256"/>
      <c r="C450" s="256"/>
      <c r="D450" s="256"/>
      <c r="E450" s="256"/>
      <c r="F450" s="256"/>
      <c r="G450" s="256"/>
      <c r="H450" s="256"/>
      <c r="I450" s="256"/>
      <c r="J450" s="256"/>
      <c r="K450" s="256"/>
      <c r="L450" s="256"/>
      <c r="M450" s="256"/>
      <c r="N450" s="256"/>
      <c r="O450" s="256"/>
      <c r="P450" s="254"/>
    </row>
    <row r="451" spans="1:16" ht="20.25">
      <c r="A451" s="252" t="s">
        <v>34</v>
      </c>
      <c r="B451" s="252"/>
      <c r="C451" s="252"/>
      <c r="D451" s="252"/>
      <c r="E451" s="252"/>
      <c r="F451" s="252"/>
      <c r="G451" s="252"/>
      <c r="H451" s="252"/>
      <c r="I451" s="252"/>
      <c r="J451" s="252"/>
      <c r="K451" s="252"/>
      <c r="L451" s="252"/>
      <c r="M451" s="252"/>
      <c r="N451" s="252"/>
      <c r="O451" s="252"/>
      <c r="P451" s="252"/>
    </row>
    <row r="452" spans="1:16" ht="85.5">
      <c r="A452" s="25" t="s">
        <v>0</v>
      </c>
      <c r="B452" s="25" t="s">
        <v>102</v>
      </c>
      <c r="C452" s="25" t="s">
        <v>1</v>
      </c>
      <c r="D452" s="25" t="s">
        <v>109</v>
      </c>
      <c r="E452" s="25" t="s">
        <v>29</v>
      </c>
      <c r="F452" s="25" t="s">
        <v>20</v>
      </c>
      <c r="G452" s="25" t="s">
        <v>104</v>
      </c>
      <c r="H452" s="25" t="s">
        <v>101</v>
      </c>
      <c r="I452" s="25" t="s">
        <v>98</v>
      </c>
      <c r="J452" s="25" t="s">
        <v>5</v>
      </c>
      <c r="K452" s="25" t="s">
        <v>6</v>
      </c>
      <c r="L452" s="25" t="s">
        <v>31</v>
      </c>
      <c r="M452" s="25" t="s">
        <v>24</v>
      </c>
      <c r="N452" s="26" t="s">
        <v>32</v>
      </c>
      <c r="O452" s="24" t="s">
        <v>11</v>
      </c>
      <c r="P452" s="254"/>
    </row>
    <row r="453" spans="1:16">
      <c r="A453" s="219">
        <v>1</v>
      </c>
      <c r="B453" s="224">
        <v>2</v>
      </c>
      <c r="C453" s="224">
        <v>3</v>
      </c>
      <c r="D453" s="224">
        <v>4</v>
      </c>
      <c r="E453" s="224">
        <v>5</v>
      </c>
      <c r="F453" s="224">
        <v>6</v>
      </c>
      <c r="G453" s="224">
        <v>7</v>
      </c>
      <c r="H453" s="224">
        <v>8</v>
      </c>
      <c r="I453" s="224">
        <v>9</v>
      </c>
      <c r="J453" s="224">
        <v>10</v>
      </c>
      <c r="K453" s="224">
        <v>11</v>
      </c>
      <c r="L453" s="224">
        <v>12</v>
      </c>
      <c r="M453" s="224">
        <v>13</v>
      </c>
      <c r="N453" s="224">
        <v>14</v>
      </c>
      <c r="O453" s="224">
        <v>15</v>
      </c>
      <c r="P453" s="254"/>
    </row>
    <row r="454" spans="1:16">
      <c r="A454" s="250" t="s">
        <v>27</v>
      </c>
      <c r="B454" s="250"/>
      <c r="C454" s="250"/>
      <c r="D454" s="250"/>
      <c r="E454" s="250"/>
      <c r="F454" s="250"/>
      <c r="G454" s="250"/>
      <c r="H454" s="250"/>
      <c r="I454" s="250"/>
      <c r="J454" s="250"/>
      <c r="K454" s="250"/>
      <c r="L454" s="250"/>
      <c r="M454" s="250"/>
      <c r="N454" s="250"/>
      <c r="O454" s="250"/>
      <c r="P454" s="254"/>
    </row>
    <row r="455" spans="1:16">
      <c r="A455" s="256"/>
      <c r="B455" s="256"/>
      <c r="C455" s="256"/>
      <c r="D455" s="256"/>
      <c r="E455" s="256"/>
      <c r="F455" s="256"/>
      <c r="G455" s="256"/>
      <c r="H455" s="256"/>
      <c r="I455" s="256"/>
      <c r="J455" s="256"/>
      <c r="K455" s="256"/>
      <c r="L455" s="256"/>
      <c r="M455" s="256"/>
      <c r="N455" s="256"/>
      <c r="O455" s="256"/>
      <c r="P455" s="254"/>
    </row>
    <row r="456" spans="1:16" ht="20.25">
      <c r="A456" s="252" t="s">
        <v>35</v>
      </c>
      <c r="B456" s="252"/>
      <c r="C456" s="252"/>
      <c r="D456" s="252"/>
      <c r="E456" s="252"/>
      <c r="F456" s="252"/>
      <c r="G456" s="252"/>
      <c r="H456" s="252"/>
      <c r="I456" s="252"/>
      <c r="J456" s="252"/>
      <c r="K456" s="252"/>
      <c r="L456" s="252"/>
      <c r="M456" s="252"/>
      <c r="N456" s="252"/>
      <c r="O456" s="252"/>
      <c r="P456" s="252"/>
    </row>
    <row r="457" spans="1:16" ht="85.5">
      <c r="A457" s="25" t="s">
        <v>0</v>
      </c>
      <c r="B457" s="25" t="s">
        <v>102</v>
      </c>
      <c r="C457" s="25" t="s">
        <v>1</v>
      </c>
      <c r="D457" s="25" t="s">
        <v>109</v>
      </c>
      <c r="E457" s="25" t="s">
        <v>29</v>
      </c>
      <c r="F457" s="25" t="s">
        <v>20</v>
      </c>
      <c r="G457" s="25" t="s">
        <v>97</v>
      </c>
      <c r="H457" s="25" t="s">
        <v>101</v>
      </c>
      <c r="I457" s="25" t="s">
        <v>98</v>
      </c>
      <c r="J457" s="25" t="s">
        <v>5</v>
      </c>
      <c r="K457" s="25" t="s">
        <v>6</v>
      </c>
      <c r="L457" s="25" t="s">
        <v>31</v>
      </c>
      <c r="M457" s="25" t="s">
        <v>24</v>
      </c>
      <c r="N457" s="26" t="s">
        <v>33</v>
      </c>
      <c r="O457" s="26" t="s">
        <v>32</v>
      </c>
      <c r="P457" s="24" t="s">
        <v>26</v>
      </c>
    </row>
    <row r="458" spans="1:16">
      <c r="A458" s="219">
        <v>1</v>
      </c>
      <c r="B458" s="224">
        <v>2</v>
      </c>
      <c r="C458" s="224">
        <v>3</v>
      </c>
      <c r="D458" s="224">
        <v>4</v>
      </c>
      <c r="E458" s="224">
        <v>5</v>
      </c>
      <c r="F458" s="224">
        <v>6</v>
      </c>
      <c r="G458" s="224">
        <v>7</v>
      </c>
      <c r="H458" s="224">
        <v>8</v>
      </c>
      <c r="I458" s="224">
        <v>9</v>
      </c>
      <c r="J458" s="224">
        <v>10</v>
      </c>
      <c r="K458" s="224">
        <v>11</v>
      </c>
      <c r="L458" s="224">
        <v>12</v>
      </c>
      <c r="M458" s="224">
        <v>13</v>
      </c>
      <c r="N458" s="224">
        <v>14</v>
      </c>
      <c r="O458" s="224">
        <v>15</v>
      </c>
      <c r="P458" s="25">
        <v>16</v>
      </c>
    </row>
    <row r="459" spans="1:16">
      <c r="A459" s="250" t="s">
        <v>27</v>
      </c>
      <c r="B459" s="250"/>
      <c r="C459" s="250"/>
      <c r="D459" s="250"/>
      <c r="E459" s="250"/>
      <c r="F459" s="250"/>
      <c r="G459" s="250"/>
      <c r="H459" s="250"/>
      <c r="I459" s="250"/>
      <c r="J459" s="250"/>
      <c r="K459" s="250"/>
      <c r="L459" s="250"/>
      <c r="M459" s="250"/>
      <c r="N459" s="250"/>
      <c r="O459" s="250"/>
      <c r="P459" s="250"/>
    </row>
    <row r="460" spans="1:16">
      <c r="A460" s="250"/>
      <c r="B460" s="250"/>
      <c r="C460" s="250"/>
      <c r="D460" s="250"/>
      <c r="E460" s="250"/>
      <c r="F460" s="250"/>
      <c r="G460" s="250"/>
      <c r="H460" s="250"/>
      <c r="I460" s="250"/>
      <c r="J460" s="250"/>
      <c r="K460" s="250"/>
      <c r="L460" s="250"/>
      <c r="M460" s="250"/>
      <c r="N460" s="250"/>
      <c r="O460" s="250"/>
      <c r="P460" s="250"/>
    </row>
    <row r="461" spans="1:16" ht="22.5">
      <c r="A461" s="277" t="s">
        <v>1281</v>
      </c>
      <c r="B461" s="277"/>
      <c r="C461" s="277"/>
      <c r="D461" s="277"/>
      <c r="E461" s="277"/>
      <c r="F461" s="277"/>
      <c r="G461" s="277"/>
      <c r="H461" s="277"/>
      <c r="I461" s="277"/>
      <c r="J461" s="277"/>
      <c r="K461" s="277"/>
      <c r="L461" s="277"/>
      <c r="M461" s="277"/>
      <c r="N461" s="277"/>
      <c r="O461" s="277"/>
      <c r="P461" s="277"/>
    </row>
    <row r="462" spans="1:16" ht="20.25">
      <c r="A462" s="252" t="s">
        <v>17</v>
      </c>
      <c r="B462" s="252"/>
      <c r="C462" s="252"/>
      <c r="D462" s="252"/>
      <c r="E462" s="252"/>
      <c r="F462" s="252"/>
      <c r="G462" s="252"/>
      <c r="H462" s="252"/>
      <c r="I462" s="252"/>
      <c r="J462" s="252"/>
      <c r="K462" s="252"/>
      <c r="L462" s="252"/>
      <c r="M462" s="252"/>
      <c r="N462" s="252"/>
      <c r="O462" s="252"/>
      <c r="P462" s="252"/>
    </row>
    <row r="463" spans="1:16" ht="85.5">
      <c r="A463" s="25" t="s">
        <v>0</v>
      </c>
      <c r="B463" s="25" t="s">
        <v>105</v>
      </c>
      <c r="C463" s="25" t="s">
        <v>1</v>
      </c>
      <c r="D463" s="25" t="s">
        <v>106</v>
      </c>
      <c r="E463" s="25" t="s">
        <v>3</v>
      </c>
      <c r="F463" s="25" t="s">
        <v>4</v>
      </c>
      <c r="G463" s="25" t="s">
        <v>107</v>
      </c>
      <c r="H463" s="25" t="s">
        <v>108</v>
      </c>
      <c r="I463" s="25" t="s">
        <v>99</v>
      </c>
      <c r="J463" s="25" t="s">
        <v>5</v>
      </c>
      <c r="K463" s="25" t="s">
        <v>6</v>
      </c>
      <c r="L463" s="25" t="s">
        <v>7</v>
      </c>
      <c r="M463" s="26" t="s">
        <v>8</v>
      </c>
      <c r="N463" s="26" t="s">
        <v>9</v>
      </c>
      <c r="O463" s="25" t="s">
        <v>10</v>
      </c>
      <c r="P463" s="24" t="s">
        <v>11</v>
      </c>
    </row>
    <row r="464" spans="1:16">
      <c r="A464" s="1">
        <v>1</v>
      </c>
      <c r="B464" s="25">
        <v>2</v>
      </c>
      <c r="C464" s="25">
        <v>3</v>
      </c>
      <c r="D464" s="25">
        <v>4</v>
      </c>
      <c r="E464" s="25">
        <v>5</v>
      </c>
      <c r="F464" s="25">
        <v>6</v>
      </c>
      <c r="G464" s="25">
        <v>7</v>
      </c>
      <c r="H464" s="25">
        <v>8</v>
      </c>
      <c r="I464" s="25">
        <v>9</v>
      </c>
      <c r="J464" s="25">
        <v>10</v>
      </c>
      <c r="K464" s="25">
        <v>11</v>
      </c>
      <c r="L464" s="25">
        <v>12</v>
      </c>
      <c r="M464" s="25">
        <v>13</v>
      </c>
      <c r="N464" s="25">
        <v>14</v>
      </c>
      <c r="O464" s="25">
        <v>15</v>
      </c>
      <c r="P464" s="25">
        <v>16</v>
      </c>
    </row>
    <row r="465" spans="1:16">
      <c r="A465" s="255" t="s">
        <v>27</v>
      </c>
      <c r="B465" s="255"/>
      <c r="C465" s="255"/>
      <c r="D465" s="255"/>
      <c r="E465" s="255"/>
      <c r="F465" s="255"/>
      <c r="G465" s="255"/>
      <c r="H465" s="255"/>
      <c r="I465" s="255"/>
      <c r="J465" s="255"/>
      <c r="K465" s="255"/>
      <c r="L465" s="255"/>
      <c r="M465" s="255"/>
      <c r="N465" s="255"/>
      <c r="O465" s="255"/>
      <c r="P465" s="255"/>
    </row>
    <row r="466" spans="1:16">
      <c r="A466" s="256"/>
      <c r="B466" s="256"/>
      <c r="C466" s="256"/>
      <c r="D466" s="256"/>
      <c r="E466" s="256"/>
      <c r="F466" s="256"/>
      <c r="G466" s="256"/>
      <c r="H466" s="256"/>
      <c r="I466" s="256"/>
      <c r="J466" s="256"/>
      <c r="K466" s="256"/>
      <c r="L466" s="256"/>
      <c r="M466" s="256"/>
      <c r="N466" s="256"/>
      <c r="O466" s="256"/>
      <c r="P466" s="256"/>
    </row>
    <row r="467" spans="1:16" ht="20.25">
      <c r="A467" s="252" t="s">
        <v>28</v>
      </c>
      <c r="B467" s="252"/>
      <c r="C467" s="252"/>
      <c r="D467" s="252"/>
      <c r="E467" s="252"/>
      <c r="F467" s="252"/>
      <c r="G467" s="252"/>
      <c r="H467" s="252"/>
      <c r="I467" s="252"/>
      <c r="J467" s="252"/>
      <c r="K467" s="252"/>
      <c r="L467" s="252"/>
      <c r="M467" s="252"/>
      <c r="N467" s="252"/>
      <c r="O467" s="252"/>
      <c r="P467" s="252"/>
    </row>
    <row r="468" spans="1:16" ht="85.5">
      <c r="A468" s="25" t="s">
        <v>0</v>
      </c>
      <c r="B468" s="25" t="s">
        <v>102</v>
      </c>
      <c r="C468" s="25" t="s">
        <v>1</v>
      </c>
      <c r="D468" s="25" t="s">
        <v>109</v>
      </c>
      <c r="E468" s="26" t="s">
        <v>19</v>
      </c>
      <c r="F468" s="26" t="s">
        <v>20</v>
      </c>
      <c r="G468" s="25" t="s">
        <v>100</v>
      </c>
      <c r="H468" s="25" t="s">
        <v>101</v>
      </c>
      <c r="I468" s="25" t="s">
        <v>22</v>
      </c>
      <c r="J468" s="25" t="s">
        <v>5</v>
      </c>
      <c r="K468" s="25" t="s">
        <v>6</v>
      </c>
      <c r="L468" s="25" t="s">
        <v>23</v>
      </c>
      <c r="M468" s="25" t="s">
        <v>24</v>
      </c>
      <c r="N468" s="26" t="s">
        <v>25</v>
      </c>
      <c r="O468" s="24" t="s">
        <v>26</v>
      </c>
      <c r="P468" s="254"/>
    </row>
    <row r="469" spans="1:16">
      <c r="A469" s="219">
        <v>1</v>
      </c>
      <c r="B469" s="224">
        <v>2</v>
      </c>
      <c r="C469" s="224">
        <v>3</v>
      </c>
      <c r="D469" s="224">
        <v>4</v>
      </c>
      <c r="E469" s="224">
        <v>5</v>
      </c>
      <c r="F469" s="224">
        <v>6</v>
      </c>
      <c r="G469" s="224">
        <v>7</v>
      </c>
      <c r="H469" s="224">
        <v>8</v>
      </c>
      <c r="I469" s="224">
        <v>9</v>
      </c>
      <c r="J469" s="224">
        <v>10</v>
      </c>
      <c r="K469" s="224">
        <v>11</v>
      </c>
      <c r="L469" s="224">
        <v>12</v>
      </c>
      <c r="M469" s="224">
        <v>13</v>
      </c>
      <c r="N469" s="224">
        <v>14</v>
      </c>
      <c r="O469" s="224">
        <v>15</v>
      </c>
      <c r="P469" s="254"/>
    </row>
    <row r="470" spans="1:16">
      <c r="A470" s="255" t="s">
        <v>27</v>
      </c>
      <c r="B470" s="255"/>
      <c r="C470" s="255"/>
      <c r="D470" s="255"/>
      <c r="E470" s="255"/>
      <c r="F470" s="255"/>
      <c r="G470" s="255"/>
      <c r="H470" s="255"/>
      <c r="I470" s="255"/>
      <c r="J470" s="255"/>
      <c r="K470" s="255"/>
      <c r="L470" s="255"/>
      <c r="M470" s="255"/>
      <c r="N470" s="255"/>
      <c r="O470" s="255"/>
      <c r="P470" s="254"/>
    </row>
    <row r="471" spans="1:16">
      <c r="A471" s="256"/>
      <c r="B471" s="256"/>
      <c r="C471" s="256"/>
      <c r="D471" s="256"/>
      <c r="E471" s="256"/>
      <c r="F471" s="256"/>
      <c r="G471" s="256"/>
      <c r="H471" s="256"/>
      <c r="I471" s="256"/>
      <c r="J471" s="256"/>
      <c r="K471" s="256"/>
      <c r="L471" s="256"/>
      <c r="M471" s="256"/>
      <c r="N471" s="256"/>
      <c r="O471" s="256"/>
      <c r="P471" s="254"/>
    </row>
    <row r="472" spans="1:16" ht="20.25">
      <c r="A472" s="252" t="s">
        <v>34</v>
      </c>
      <c r="B472" s="252"/>
      <c r="C472" s="252"/>
      <c r="D472" s="252"/>
      <c r="E472" s="252"/>
      <c r="F472" s="252"/>
      <c r="G472" s="252"/>
      <c r="H472" s="252"/>
      <c r="I472" s="252"/>
      <c r="J472" s="252"/>
      <c r="K472" s="252"/>
      <c r="L472" s="252"/>
      <c r="M472" s="252"/>
      <c r="N472" s="252"/>
      <c r="O472" s="252"/>
      <c r="P472" s="252"/>
    </row>
    <row r="473" spans="1:16" ht="85.5">
      <c r="A473" s="25" t="s">
        <v>0</v>
      </c>
      <c r="B473" s="25" t="s">
        <v>102</v>
      </c>
      <c r="C473" s="25" t="s">
        <v>1</v>
      </c>
      <c r="D473" s="25" t="s">
        <v>109</v>
      </c>
      <c r="E473" s="25" t="s">
        <v>29</v>
      </c>
      <c r="F473" s="25" t="s">
        <v>20</v>
      </c>
      <c r="G473" s="25" t="s">
        <v>104</v>
      </c>
      <c r="H473" s="25" t="s">
        <v>101</v>
      </c>
      <c r="I473" s="25" t="s">
        <v>98</v>
      </c>
      <c r="J473" s="25" t="s">
        <v>5</v>
      </c>
      <c r="K473" s="25" t="s">
        <v>6</v>
      </c>
      <c r="L473" s="25" t="s">
        <v>31</v>
      </c>
      <c r="M473" s="25" t="s">
        <v>24</v>
      </c>
      <c r="N473" s="26" t="s">
        <v>32</v>
      </c>
      <c r="O473" s="24" t="s">
        <v>11</v>
      </c>
      <c r="P473" s="254"/>
    </row>
    <row r="474" spans="1:16">
      <c r="A474" s="219">
        <v>1</v>
      </c>
      <c r="B474" s="224">
        <v>2</v>
      </c>
      <c r="C474" s="224">
        <v>3</v>
      </c>
      <c r="D474" s="224">
        <v>4</v>
      </c>
      <c r="E474" s="224">
        <v>5</v>
      </c>
      <c r="F474" s="224">
        <v>6</v>
      </c>
      <c r="G474" s="224">
        <v>7</v>
      </c>
      <c r="H474" s="224">
        <v>8</v>
      </c>
      <c r="I474" s="224">
        <v>9</v>
      </c>
      <c r="J474" s="224">
        <v>10</v>
      </c>
      <c r="K474" s="224">
        <v>11</v>
      </c>
      <c r="L474" s="224">
        <v>12</v>
      </c>
      <c r="M474" s="224">
        <v>13</v>
      </c>
      <c r="N474" s="224">
        <v>14</v>
      </c>
      <c r="O474" s="224">
        <v>15</v>
      </c>
      <c r="P474" s="254"/>
    </row>
    <row r="475" spans="1:16">
      <c r="A475" s="255" t="s">
        <v>27</v>
      </c>
      <c r="B475" s="255"/>
      <c r="C475" s="255"/>
      <c r="D475" s="255"/>
      <c r="E475" s="255"/>
      <c r="F475" s="255"/>
      <c r="G475" s="255"/>
      <c r="H475" s="255"/>
      <c r="I475" s="255"/>
      <c r="J475" s="255"/>
      <c r="K475" s="255"/>
      <c r="L475" s="255"/>
      <c r="M475" s="255"/>
      <c r="N475" s="255"/>
      <c r="O475" s="255"/>
      <c r="P475" s="254"/>
    </row>
    <row r="476" spans="1:16">
      <c r="A476" s="256"/>
      <c r="B476" s="256"/>
      <c r="C476" s="256"/>
      <c r="D476" s="256"/>
      <c r="E476" s="256"/>
      <c r="F476" s="256"/>
      <c r="G476" s="256"/>
      <c r="H476" s="256"/>
      <c r="I476" s="256"/>
      <c r="J476" s="256"/>
      <c r="K476" s="256"/>
      <c r="L476" s="256"/>
      <c r="M476" s="256"/>
      <c r="N476" s="256"/>
      <c r="O476" s="256"/>
      <c r="P476" s="254"/>
    </row>
    <row r="477" spans="1:16" ht="20.25">
      <c r="A477" s="252" t="s">
        <v>35</v>
      </c>
      <c r="B477" s="252"/>
      <c r="C477" s="252"/>
      <c r="D477" s="252"/>
      <c r="E477" s="252"/>
      <c r="F477" s="252"/>
      <c r="G477" s="252"/>
      <c r="H477" s="252"/>
      <c r="I477" s="252"/>
      <c r="J477" s="252"/>
      <c r="K477" s="252"/>
      <c r="L477" s="252"/>
      <c r="M477" s="252"/>
      <c r="N477" s="252"/>
      <c r="O477" s="252"/>
      <c r="P477" s="252"/>
    </row>
    <row r="478" spans="1:16" ht="85.5">
      <c r="A478" s="25" t="s">
        <v>0</v>
      </c>
      <c r="B478" s="25" t="s">
        <v>102</v>
      </c>
      <c r="C478" s="25" t="s">
        <v>1</v>
      </c>
      <c r="D478" s="25" t="s">
        <v>109</v>
      </c>
      <c r="E478" s="25" t="s">
        <v>29</v>
      </c>
      <c r="F478" s="25" t="s">
        <v>20</v>
      </c>
      <c r="G478" s="25" t="s">
        <v>97</v>
      </c>
      <c r="H478" s="25" t="s">
        <v>101</v>
      </c>
      <c r="I478" s="25" t="s">
        <v>98</v>
      </c>
      <c r="J478" s="25" t="s">
        <v>5</v>
      </c>
      <c r="K478" s="25" t="s">
        <v>6</v>
      </c>
      <c r="L478" s="25" t="s">
        <v>31</v>
      </c>
      <c r="M478" s="25" t="s">
        <v>24</v>
      </c>
      <c r="N478" s="26" t="s">
        <v>33</v>
      </c>
      <c r="O478" s="26" t="s">
        <v>32</v>
      </c>
      <c r="P478" s="24" t="s">
        <v>26</v>
      </c>
    </row>
    <row r="479" spans="1:16">
      <c r="A479" s="219">
        <v>1</v>
      </c>
      <c r="B479" s="224">
        <v>2</v>
      </c>
      <c r="C479" s="224">
        <v>3</v>
      </c>
      <c r="D479" s="224">
        <v>4</v>
      </c>
      <c r="E479" s="224">
        <v>5</v>
      </c>
      <c r="F479" s="224">
        <v>6</v>
      </c>
      <c r="G479" s="224">
        <v>7</v>
      </c>
      <c r="H479" s="224">
        <v>8</v>
      </c>
      <c r="I479" s="224">
        <v>9</v>
      </c>
      <c r="J479" s="224">
        <v>10</v>
      </c>
      <c r="K479" s="224">
        <v>11</v>
      </c>
      <c r="L479" s="224">
        <v>12</v>
      </c>
      <c r="M479" s="224">
        <v>13</v>
      </c>
      <c r="N479" s="224">
        <v>14</v>
      </c>
      <c r="O479" s="224">
        <v>15</v>
      </c>
      <c r="P479" s="25">
        <v>16</v>
      </c>
    </row>
    <row r="480" spans="1:16">
      <c r="A480" s="255" t="s">
        <v>27</v>
      </c>
      <c r="B480" s="255"/>
      <c r="C480" s="255"/>
      <c r="D480" s="255"/>
      <c r="E480" s="255"/>
      <c r="F480" s="255"/>
      <c r="G480" s="255"/>
      <c r="H480" s="255"/>
      <c r="I480" s="255"/>
      <c r="J480" s="255"/>
      <c r="K480" s="255"/>
      <c r="L480" s="255"/>
      <c r="M480" s="255"/>
      <c r="N480" s="255"/>
      <c r="O480" s="255"/>
      <c r="P480" s="255"/>
    </row>
    <row r="481" spans="1:16">
      <c r="A481" s="250"/>
      <c r="B481" s="250"/>
      <c r="C481" s="250"/>
      <c r="D481" s="250"/>
      <c r="E481" s="250"/>
      <c r="F481" s="250"/>
      <c r="G481" s="250"/>
      <c r="H481" s="250"/>
      <c r="I481" s="250"/>
      <c r="J481" s="250"/>
      <c r="K481" s="250"/>
      <c r="L481" s="250"/>
      <c r="M481" s="250"/>
      <c r="N481" s="250"/>
      <c r="O481" s="250"/>
      <c r="P481" s="250"/>
    </row>
    <row r="482" spans="1:16" ht="22.5">
      <c r="A482" s="253" t="s">
        <v>1282</v>
      </c>
      <c r="B482" s="253"/>
      <c r="C482" s="253"/>
      <c r="D482" s="253"/>
      <c r="E482" s="253"/>
      <c r="F482" s="253"/>
      <c r="G482" s="253"/>
      <c r="H482" s="253"/>
      <c r="I482" s="253"/>
      <c r="J482" s="253"/>
      <c r="K482" s="253"/>
      <c r="L482" s="253"/>
      <c r="M482" s="253"/>
      <c r="N482" s="253"/>
      <c r="O482" s="253"/>
      <c r="P482" s="253"/>
    </row>
    <row r="483" spans="1:16" ht="20.25">
      <c r="A483" s="252" t="s">
        <v>17</v>
      </c>
      <c r="B483" s="252"/>
      <c r="C483" s="252"/>
      <c r="D483" s="252"/>
      <c r="E483" s="252"/>
      <c r="F483" s="252"/>
      <c r="G483" s="252"/>
      <c r="H483" s="252"/>
      <c r="I483" s="252"/>
      <c r="J483" s="252"/>
      <c r="K483" s="252"/>
      <c r="L483" s="252"/>
      <c r="M483" s="252"/>
      <c r="N483" s="252"/>
      <c r="O483" s="252"/>
      <c r="P483" s="252"/>
    </row>
    <row r="484" spans="1:16" ht="85.5">
      <c r="A484" s="25" t="s">
        <v>0</v>
      </c>
      <c r="B484" s="25" t="s">
        <v>105</v>
      </c>
      <c r="C484" s="25" t="s">
        <v>1</v>
      </c>
      <c r="D484" s="25" t="s">
        <v>106</v>
      </c>
      <c r="E484" s="25" t="s">
        <v>3</v>
      </c>
      <c r="F484" s="25" t="s">
        <v>4</v>
      </c>
      <c r="G484" s="25" t="s">
        <v>107</v>
      </c>
      <c r="H484" s="25" t="s">
        <v>108</v>
      </c>
      <c r="I484" s="25" t="s">
        <v>99</v>
      </c>
      <c r="J484" s="25" t="s">
        <v>5</v>
      </c>
      <c r="K484" s="25" t="s">
        <v>6</v>
      </c>
      <c r="L484" s="25" t="s">
        <v>7</v>
      </c>
      <c r="M484" s="26" t="s">
        <v>8</v>
      </c>
      <c r="N484" s="26" t="s">
        <v>9</v>
      </c>
      <c r="O484" s="25" t="s">
        <v>10</v>
      </c>
      <c r="P484" s="24" t="s">
        <v>11</v>
      </c>
    </row>
    <row r="485" spans="1:16">
      <c r="A485" s="1">
        <v>1</v>
      </c>
      <c r="B485" s="25">
        <v>2</v>
      </c>
      <c r="C485" s="25">
        <v>3</v>
      </c>
      <c r="D485" s="25">
        <v>4</v>
      </c>
      <c r="E485" s="25">
        <v>5</v>
      </c>
      <c r="F485" s="25">
        <v>6</v>
      </c>
      <c r="G485" s="25">
        <v>7</v>
      </c>
      <c r="H485" s="25">
        <v>8</v>
      </c>
      <c r="I485" s="25">
        <v>9</v>
      </c>
      <c r="J485" s="25">
        <v>10</v>
      </c>
      <c r="K485" s="25">
        <v>11</v>
      </c>
      <c r="L485" s="25">
        <v>12</v>
      </c>
      <c r="M485" s="25">
        <v>13</v>
      </c>
      <c r="N485" s="25">
        <v>14</v>
      </c>
      <c r="O485" s="25">
        <v>15</v>
      </c>
      <c r="P485" s="25">
        <v>16</v>
      </c>
    </row>
    <row r="486" spans="1:16">
      <c r="A486" s="250" t="s">
        <v>27</v>
      </c>
      <c r="B486" s="250"/>
      <c r="C486" s="250"/>
      <c r="D486" s="250"/>
      <c r="E486" s="250"/>
      <c r="F486" s="250"/>
      <c r="G486" s="250"/>
      <c r="H486" s="250"/>
      <c r="I486" s="250"/>
      <c r="J486" s="250"/>
      <c r="K486" s="250"/>
      <c r="L486" s="250"/>
      <c r="M486" s="250"/>
      <c r="N486" s="250"/>
      <c r="O486" s="250"/>
      <c r="P486" s="250"/>
    </row>
    <row r="487" spans="1:16">
      <c r="A487" s="250"/>
      <c r="B487" s="250"/>
      <c r="C487" s="250"/>
      <c r="D487" s="250"/>
      <c r="E487" s="250"/>
      <c r="F487" s="250"/>
      <c r="G487" s="250"/>
      <c r="H487" s="250"/>
      <c r="I487" s="250"/>
      <c r="J487" s="250"/>
      <c r="K487" s="250"/>
      <c r="L487" s="250"/>
      <c r="M487" s="250"/>
      <c r="N487" s="250"/>
      <c r="O487" s="250"/>
      <c r="P487" s="250"/>
    </row>
    <row r="488" spans="1:16" ht="20.25" customHeight="1">
      <c r="A488" s="252" t="s">
        <v>28</v>
      </c>
      <c r="B488" s="252"/>
      <c r="C488" s="252"/>
      <c r="D488" s="252"/>
      <c r="E488" s="252"/>
      <c r="F488" s="252"/>
      <c r="G488" s="252"/>
      <c r="H488" s="252"/>
      <c r="I488" s="252"/>
      <c r="J488" s="252"/>
      <c r="K488" s="252"/>
      <c r="L488" s="252"/>
      <c r="M488" s="252"/>
      <c r="N488" s="252"/>
      <c r="O488" s="252"/>
      <c r="P488" s="269"/>
    </row>
    <row r="489" spans="1:16" ht="85.5">
      <c r="A489" s="25" t="s">
        <v>0</v>
      </c>
      <c r="B489" s="25" t="s">
        <v>102</v>
      </c>
      <c r="C489" s="25" t="s">
        <v>1</v>
      </c>
      <c r="D489" s="25" t="s">
        <v>109</v>
      </c>
      <c r="E489" s="26" t="s">
        <v>19</v>
      </c>
      <c r="F489" s="26" t="s">
        <v>20</v>
      </c>
      <c r="G489" s="25" t="s">
        <v>100</v>
      </c>
      <c r="H489" s="25" t="s">
        <v>101</v>
      </c>
      <c r="I489" s="25" t="s">
        <v>22</v>
      </c>
      <c r="J489" s="25" t="s">
        <v>5</v>
      </c>
      <c r="K489" s="25" t="s">
        <v>6</v>
      </c>
      <c r="L489" s="25" t="s">
        <v>23</v>
      </c>
      <c r="M489" s="25" t="s">
        <v>24</v>
      </c>
      <c r="N489" s="26" t="s">
        <v>25</v>
      </c>
      <c r="O489" s="24" t="s">
        <v>26</v>
      </c>
      <c r="P489" s="269"/>
    </row>
    <row r="490" spans="1:16">
      <c r="A490" s="219">
        <v>1</v>
      </c>
      <c r="B490" s="224">
        <v>2</v>
      </c>
      <c r="C490" s="224">
        <v>3</v>
      </c>
      <c r="D490" s="224">
        <v>4</v>
      </c>
      <c r="E490" s="224">
        <v>5</v>
      </c>
      <c r="F490" s="224">
        <v>6</v>
      </c>
      <c r="G490" s="224">
        <v>7</v>
      </c>
      <c r="H490" s="224">
        <v>8</v>
      </c>
      <c r="I490" s="224">
        <v>9</v>
      </c>
      <c r="J490" s="224">
        <v>10</v>
      </c>
      <c r="K490" s="224">
        <v>11</v>
      </c>
      <c r="L490" s="224">
        <v>12</v>
      </c>
      <c r="M490" s="224">
        <v>13</v>
      </c>
      <c r="N490" s="224">
        <v>14</v>
      </c>
      <c r="O490" s="224">
        <v>15</v>
      </c>
      <c r="P490" s="269"/>
    </row>
    <row r="491" spans="1:16" ht="45">
      <c r="A491" s="207">
        <v>1</v>
      </c>
      <c r="B491" s="217" t="s">
        <v>283</v>
      </c>
      <c r="C491" s="217" t="s">
        <v>15</v>
      </c>
      <c r="D491" s="217" t="s">
        <v>284</v>
      </c>
      <c r="E491" s="207" t="s">
        <v>15</v>
      </c>
      <c r="F491" s="207" t="s">
        <v>15</v>
      </c>
      <c r="G491" s="207" t="s">
        <v>15</v>
      </c>
      <c r="H491" s="207" t="s">
        <v>15</v>
      </c>
      <c r="I491" s="161" t="s">
        <v>285</v>
      </c>
      <c r="J491" s="212"/>
      <c r="K491" s="207" t="s">
        <v>15</v>
      </c>
      <c r="L491" s="207" t="s">
        <v>15</v>
      </c>
      <c r="M491" s="207" t="s">
        <v>15</v>
      </c>
      <c r="N491" s="207" t="s">
        <v>15</v>
      </c>
      <c r="O491" s="207" t="s">
        <v>15</v>
      </c>
      <c r="P491" s="269"/>
    </row>
    <row r="492" spans="1:16" ht="45">
      <c r="A492" s="207">
        <v>2</v>
      </c>
      <c r="B492" s="217" t="s">
        <v>286</v>
      </c>
      <c r="C492" s="217" t="s">
        <v>15</v>
      </c>
      <c r="D492" s="217" t="s">
        <v>287</v>
      </c>
      <c r="E492" s="207" t="s">
        <v>15</v>
      </c>
      <c r="F492" s="207" t="s">
        <v>15</v>
      </c>
      <c r="G492" s="207" t="s">
        <v>15</v>
      </c>
      <c r="H492" s="207" t="s">
        <v>15</v>
      </c>
      <c r="I492" s="217" t="s">
        <v>288</v>
      </c>
      <c r="J492" s="207" t="s">
        <v>15</v>
      </c>
      <c r="K492" s="207" t="s">
        <v>15</v>
      </c>
      <c r="L492" s="207" t="s">
        <v>15</v>
      </c>
      <c r="M492" s="207" t="s">
        <v>15</v>
      </c>
      <c r="N492" s="207" t="s">
        <v>15</v>
      </c>
      <c r="O492" s="207" t="s">
        <v>15</v>
      </c>
      <c r="P492" s="269"/>
    </row>
    <row r="493" spans="1:16">
      <c r="A493" s="250"/>
      <c r="B493" s="250"/>
      <c r="C493" s="250"/>
      <c r="D493" s="250"/>
      <c r="E493" s="250"/>
      <c r="F493" s="250"/>
      <c r="G493" s="250"/>
      <c r="H493" s="250"/>
      <c r="I493" s="250"/>
      <c r="J493" s="250"/>
      <c r="K493" s="250"/>
      <c r="L493" s="250"/>
      <c r="M493" s="250"/>
      <c r="N493" s="250"/>
      <c r="O493" s="250"/>
      <c r="P493" s="250"/>
    </row>
    <row r="494" spans="1:16" ht="20.25" customHeight="1">
      <c r="A494" s="252" t="s">
        <v>34</v>
      </c>
      <c r="B494" s="252"/>
      <c r="C494" s="252"/>
      <c r="D494" s="252"/>
      <c r="E494" s="252"/>
      <c r="F494" s="252"/>
      <c r="G494" s="252"/>
      <c r="H494" s="252"/>
      <c r="I494" s="252"/>
      <c r="J494" s="252"/>
      <c r="K494" s="252"/>
      <c r="L494" s="252"/>
      <c r="M494" s="252"/>
      <c r="N494" s="252"/>
      <c r="O494" s="252"/>
      <c r="P494" s="269"/>
    </row>
    <row r="495" spans="1:16" ht="85.5">
      <c r="A495" s="25" t="s">
        <v>0</v>
      </c>
      <c r="B495" s="25" t="s">
        <v>102</v>
      </c>
      <c r="C495" s="25" t="s">
        <v>1</v>
      </c>
      <c r="D495" s="25" t="s">
        <v>109</v>
      </c>
      <c r="E495" s="25" t="s">
        <v>29</v>
      </c>
      <c r="F495" s="25" t="s">
        <v>20</v>
      </c>
      <c r="G495" s="25" t="s">
        <v>104</v>
      </c>
      <c r="H495" s="25" t="s">
        <v>101</v>
      </c>
      <c r="I495" s="25" t="s">
        <v>98</v>
      </c>
      <c r="J495" s="25" t="s">
        <v>5</v>
      </c>
      <c r="K495" s="25" t="s">
        <v>6</v>
      </c>
      <c r="L495" s="25" t="s">
        <v>31</v>
      </c>
      <c r="M495" s="25" t="s">
        <v>24</v>
      </c>
      <c r="N495" s="26" t="s">
        <v>32</v>
      </c>
      <c r="O495" s="24" t="s">
        <v>11</v>
      </c>
      <c r="P495" s="269"/>
    </row>
    <row r="496" spans="1:16">
      <c r="A496" s="219">
        <v>1</v>
      </c>
      <c r="B496" s="224">
        <v>2</v>
      </c>
      <c r="C496" s="224">
        <v>3</v>
      </c>
      <c r="D496" s="224">
        <v>4</v>
      </c>
      <c r="E496" s="224">
        <v>5</v>
      </c>
      <c r="F496" s="224">
        <v>6</v>
      </c>
      <c r="G496" s="224">
        <v>7</v>
      </c>
      <c r="H496" s="224">
        <v>8</v>
      </c>
      <c r="I496" s="224">
        <v>9</v>
      </c>
      <c r="J496" s="224">
        <v>10</v>
      </c>
      <c r="K496" s="224">
        <v>11</v>
      </c>
      <c r="L496" s="224">
        <v>12</v>
      </c>
      <c r="M496" s="224">
        <v>13</v>
      </c>
      <c r="N496" s="224">
        <v>14</v>
      </c>
      <c r="O496" s="224">
        <v>15</v>
      </c>
      <c r="P496" s="269"/>
    </row>
    <row r="497" spans="1:16">
      <c r="A497" s="250" t="s">
        <v>27</v>
      </c>
      <c r="B497" s="250"/>
      <c r="C497" s="250"/>
      <c r="D497" s="250"/>
      <c r="E497" s="250"/>
      <c r="F497" s="250"/>
      <c r="G497" s="250"/>
      <c r="H497" s="250"/>
      <c r="I497" s="250"/>
      <c r="J497" s="250"/>
      <c r="K497" s="250"/>
      <c r="L497" s="250"/>
      <c r="M497" s="250"/>
      <c r="N497" s="250"/>
      <c r="O497" s="250"/>
      <c r="P497" s="269"/>
    </row>
    <row r="498" spans="1:16">
      <c r="A498" s="250"/>
      <c r="B498" s="250"/>
      <c r="C498" s="250"/>
      <c r="D498" s="250"/>
      <c r="E498" s="250"/>
      <c r="F498" s="250"/>
      <c r="G498" s="250"/>
      <c r="H498" s="250"/>
      <c r="I498" s="250"/>
      <c r="J498" s="250"/>
      <c r="K498" s="250"/>
      <c r="L498" s="250"/>
      <c r="M498" s="250"/>
      <c r="N498" s="250"/>
      <c r="O498" s="250"/>
      <c r="P498" s="250"/>
    </row>
    <row r="499" spans="1:16" ht="20.25">
      <c r="A499" s="252" t="s">
        <v>35</v>
      </c>
      <c r="B499" s="252"/>
      <c r="C499" s="252"/>
      <c r="D499" s="252"/>
      <c r="E499" s="252"/>
      <c r="F499" s="252"/>
      <c r="G499" s="252"/>
      <c r="H499" s="252"/>
      <c r="I499" s="252"/>
      <c r="J499" s="252"/>
      <c r="K499" s="252"/>
      <c r="L499" s="252"/>
      <c r="M499" s="252"/>
      <c r="N499" s="252"/>
      <c r="O499" s="252"/>
      <c r="P499" s="252"/>
    </row>
    <row r="500" spans="1:16" ht="85.5">
      <c r="A500" s="25" t="s">
        <v>0</v>
      </c>
      <c r="B500" s="25" t="s">
        <v>102</v>
      </c>
      <c r="C500" s="25" t="s">
        <v>1</v>
      </c>
      <c r="D500" s="25" t="s">
        <v>109</v>
      </c>
      <c r="E500" s="25" t="s">
        <v>29</v>
      </c>
      <c r="F500" s="25" t="s">
        <v>20</v>
      </c>
      <c r="G500" s="25" t="s">
        <v>97</v>
      </c>
      <c r="H500" s="25" t="s">
        <v>101</v>
      </c>
      <c r="I500" s="25" t="s">
        <v>98</v>
      </c>
      <c r="J500" s="25" t="s">
        <v>5</v>
      </c>
      <c r="K500" s="25" t="s">
        <v>6</v>
      </c>
      <c r="L500" s="25" t="s">
        <v>31</v>
      </c>
      <c r="M500" s="25" t="s">
        <v>24</v>
      </c>
      <c r="N500" s="26" t="s">
        <v>33</v>
      </c>
      <c r="O500" s="26" t="s">
        <v>32</v>
      </c>
      <c r="P500" s="24" t="s">
        <v>26</v>
      </c>
    </row>
    <row r="501" spans="1:16">
      <c r="A501" s="219">
        <v>1</v>
      </c>
      <c r="B501" s="224">
        <v>2</v>
      </c>
      <c r="C501" s="224">
        <v>3</v>
      </c>
      <c r="D501" s="224">
        <v>4</v>
      </c>
      <c r="E501" s="224">
        <v>5</v>
      </c>
      <c r="F501" s="224">
        <v>6</v>
      </c>
      <c r="G501" s="224">
        <v>7</v>
      </c>
      <c r="H501" s="224">
        <v>8</v>
      </c>
      <c r="I501" s="224">
        <v>9</v>
      </c>
      <c r="J501" s="224">
        <v>10</v>
      </c>
      <c r="K501" s="224">
        <v>11</v>
      </c>
      <c r="L501" s="224">
        <v>12</v>
      </c>
      <c r="M501" s="224">
        <v>13</v>
      </c>
      <c r="N501" s="224">
        <v>14</v>
      </c>
      <c r="O501" s="224">
        <v>15</v>
      </c>
      <c r="P501" s="25">
        <v>16</v>
      </c>
    </row>
    <row r="502" spans="1:16">
      <c r="A502" s="250" t="s">
        <v>27</v>
      </c>
      <c r="B502" s="250"/>
      <c r="C502" s="250"/>
      <c r="D502" s="250"/>
      <c r="E502" s="250"/>
      <c r="F502" s="250"/>
      <c r="G502" s="250"/>
      <c r="H502" s="250"/>
      <c r="I502" s="250"/>
      <c r="J502" s="250"/>
      <c r="K502" s="250"/>
      <c r="L502" s="250"/>
      <c r="M502" s="250"/>
      <c r="N502" s="250"/>
      <c r="O502" s="250"/>
      <c r="P502" s="250"/>
    </row>
    <row r="503" spans="1:16">
      <c r="A503" s="250"/>
      <c r="B503" s="250"/>
      <c r="C503" s="250"/>
      <c r="D503" s="250"/>
      <c r="E503" s="250"/>
      <c r="F503" s="250"/>
      <c r="G503" s="250"/>
      <c r="H503" s="250"/>
      <c r="I503" s="250"/>
      <c r="J503" s="250"/>
      <c r="K503" s="250"/>
      <c r="L503" s="250"/>
      <c r="M503" s="250"/>
      <c r="N503" s="250"/>
      <c r="O503" s="250"/>
      <c r="P503" s="250"/>
    </row>
    <row r="504" spans="1:16" ht="22.5">
      <c r="A504" s="253" t="s">
        <v>1283</v>
      </c>
      <c r="B504" s="253"/>
      <c r="C504" s="253"/>
      <c r="D504" s="253"/>
      <c r="E504" s="253"/>
      <c r="F504" s="253"/>
      <c r="G504" s="253"/>
      <c r="H504" s="253"/>
      <c r="I504" s="253"/>
      <c r="J504" s="253"/>
      <c r="K504" s="253"/>
      <c r="L504" s="253"/>
      <c r="M504" s="253"/>
      <c r="N504" s="253"/>
      <c r="O504" s="253"/>
      <c r="P504" s="253"/>
    </row>
    <row r="505" spans="1:16" ht="20.25">
      <c r="A505" s="252" t="s">
        <v>17</v>
      </c>
      <c r="B505" s="252"/>
      <c r="C505" s="252"/>
      <c r="D505" s="252"/>
      <c r="E505" s="252"/>
      <c r="F505" s="252"/>
      <c r="G505" s="252"/>
      <c r="H505" s="252"/>
      <c r="I505" s="252"/>
      <c r="J505" s="252"/>
      <c r="K505" s="252"/>
      <c r="L505" s="252"/>
      <c r="M505" s="252"/>
      <c r="N505" s="252"/>
      <c r="O505" s="252"/>
      <c r="P505" s="252"/>
    </row>
    <row r="506" spans="1:16" ht="85.5">
      <c r="A506" s="25" t="s">
        <v>0</v>
      </c>
      <c r="B506" s="25" t="s">
        <v>105</v>
      </c>
      <c r="C506" s="25" t="s">
        <v>1</v>
      </c>
      <c r="D506" s="25" t="s">
        <v>106</v>
      </c>
      <c r="E506" s="25" t="s">
        <v>3</v>
      </c>
      <c r="F506" s="25" t="s">
        <v>4</v>
      </c>
      <c r="G506" s="25" t="s">
        <v>107</v>
      </c>
      <c r="H506" s="25" t="s">
        <v>108</v>
      </c>
      <c r="I506" s="25" t="s">
        <v>99</v>
      </c>
      <c r="J506" s="25" t="s">
        <v>5</v>
      </c>
      <c r="K506" s="25" t="s">
        <v>6</v>
      </c>
      <c r="L506" s="25" t="s">
        <v>7</v>
      </c>
      <c r="M506" s="26" t="s">
        <v>8</v>
      </c>
      <c r="N506" s="26" t="s">
        <v>9</v>
      </c>
      <c r="O506" s="25" t="s">
        <v>10</v>
      </c>
      <c r="P506" s="24" t="s">
        <v>11</v>
      </c>
    </row>
    <row r="507" spans="1:16">
      <c r="A507" s="1">
        <v>1</v>
      </c>
      <c r="B507" s="25">
        <v>2</v>
      </c>
      <c r="C507" s="25">
        <v>3</v>
      </c>
      <c r="D507" s="25">
        <v>4</v>
      </c>
      <c r="E507" s="25">
        <v>5</v>
      </c>
      <c r="F507" s="25">
        <v>6</v>
      </c>
      <c r="G507" s="25">
        <v>7</v>
      </c>
      <c r="H507" s="25">
        <v>8</v>
      </c>
      <c r="I507" s="25">
        <v>9</v>
      </c>
      <c r="J507" s="25">
        <v>10</v>
      </c>
      <c r="K507" s="25">
        <v>11</v>
      </c>
      <c r="L507" s="25">
        <v>12</v>
      </c>
      <c r="M507" s="25">
        <v>13</v>
      </c>
      <c r="N507" s="25">
        <v>14</v>
      </c>
      <c r="O507" s="25">
        <v>15</v>
      </c>
      <c r="P507" s="25">
        <v>16</v>
      </c>
    </row>
    <row r="508" spans="1:16">
      <c r="A508" s="250" t="s">
        <v>27</v>
      </c>
      <c r="B508" s="250"/>
      <c r="C508" s="250"/>
      <c r="D508" s="250"/>
      <c r="E508" s="250"/>
      <c r="F508" s="250"/>
      <c r="G508" s="250"/>
      <c r="H508" s="250"/>
      <c r="I508" s="250"/>
      <c r="J508" s="250"/>
      <c r="K508" s="250"/>
      <c r="L508" s="250"/>
      <c r="M508" s="250"/>
      <c r="N508" s="250"/>
      <c r="O508" s="250"/>
      <c r="P508" s="250"/>
    </row>
    <row r="509" spans="1:16">
      <c r="A509" s="250"/>
      <c r="B509" s="250"/>
      <c r="C509" s="250"/>
      <c r="D509" s="250"/>
      <c r="E509" s="250"/>
      <c r="F509" s="250"/>
      <c r="G509" s="250"/>
      <c r="H509" s="250"/>
      <c r="I509" s="250"/>
      <c r="J509" s="250"/>
      <c r="K509" s="250"/>
      <c r="L509" s="250"/>
      <c r="M509" s="250"/>
      <c r="N509" s="250"/>
      <c r="O509" s="250"/>
      <c r="P509" s="250"/>
    </row>
    <row r="510" spans="1:16" ht="20.25" customHeight="1">
      <c r="A510" s="252" t="s">
        <v>28</v>
      </c>
      <c r="B510" s="252"/>
      <c r="C510" s="252"/>
      <c r="D510" s="252"/>
      <c r="E510" s="252"/>
      <c r="F510" s="252"/>
      <c r="G510" s="252"/>
      <c r="H510" s="252"/>
      <c r="I510" s="252"/>
      <c r="J510" s="252"/>
      <c r="K510" s="252"/>
      <c r="L510" s="252"/>
      <c r="M510" s="252"/>
      <c r="N510" s="252"/>
      <c r="O510" s="252"/>
      <c r="P510" s="269"/>
    </row>
    <row r="511" spans="1:16" ht="85.5">
      <c r="A511" s="25" t="s">
        <v>0</v>
      </c>
      <c r="B511" s="25" t="s">
        <v>102</v>
      </c>
      <c r="C511" s="25" t="s">
        <v>1</v>
      </c>
      <c r="D511" s="25" t="s">
        <v>109</v>
      </c>
      <c r="E511" s="26" t="s">
        <v>19</v>
      </c>
      <c r="F511" s="26" t="s">
        <v>20</v>
      </c>
      <c r="G511" s="25" t="s">
        <v>100</v>
      </c>
      <c r="H511" s="25" t="s">
        <v>101</v>
      </c>
      <c r="I511" s="25" t="s">
        <v>22</v>
      </c>
      <c r="J511" s="25" t="s">
        <v>5</v>
      </c>
      <c r="K511" s="25" t="s">
        <v>6</v>
      </c>
      <c r="L511" s="25" t="s">
        <v>23</v>
      </c>
      <c r="M511" s="25" t="s">
        <v>24</v>
      </c>
      <c r="N511" s="26" t="s">
        <v>25</v>
      </c>
      <c r="O511" s="24" t="s">
        <v>26</v>
      </c>
      <c r="P511" s="269"/>
    </row>
    <row r="512" spans="1:16" ht="15" customHeight="1">
      <c r="A512" s="219">
        <v>1</v>
      </c>
      <c r="B512" s="224">
        <v>2</v>
      </c>
      <c r="C512" s="224">
        <v>3</v>
      </c>
      <c r="D512" s="224">
        <v>4</v>
      </c>
      <c r="E512" s="224">
        <v>5</v>
      </c>
      <c r="F512" s="224">
        <v>6</v>
      </c>
      <c r="G512" s="224">
        <v>7</v>
      </c>
      <c r="H512" s="224">
        <v>8</v>
      </c>
      <c r="I512" s="224">
        <v>9</v>
      </c>
      <c r="J512" s="224">
        <v>10</v>
      </c>
      <c r="K512" s="224">
        <v>11</v>
      </c>
      <c r="L512" s="224">
        <v>12</v>
      </c>
      <c r="M512" s="224">
        <v>13</v>
      </c>
      <c r="N512" s="224">
        <v>14</v>
      </c>
      <c r="O512" s="224">
        <v>15</v>
      </c>
      <c r="P512" s="269"/>
    </row>
    <row r="513" spans="1:16">
      <c r="A513" s="250" t="s">
        <v>27</v>
      </c>
      <c r="B513" s="250"/>
      <c r="C513" s="250"/>
      <c r="D513" s="250"/>
      <c r="E513" s="250"/>
      <c r="F513" s="250"/>
      <c r="G513" s="250"/>
      <c r="H513" s="250"/>
      <c r="I513" s="250"/>
      <c r="J513" s="250"/>
      <c r="K513" s="250"/>
      <c r="L513" s="250"/>
      <c r="M513" s="250"/>
      <c r="N513" s="250"/>
      <c r="O513" s="250"/>
      <c r="P513" s="269"/>
    </row>
    <row r="514" spans="1:16">
      <c r="A514" s="250"/>
      <c r="B514" s="250"/>
      <c r="C514" s="250"/>
      <c r="D514" s="250"/>
      <c r="E514" s="250"/>
      <c r="F514" s="250"/>
      <c r="G514" s="250"/>
      <c r="H514" s="250"/>
      <c r="I514" s="250"/>
      <c r="J514" s="250"/>
      <c r="K514" s="250"/>
      <c r="L514" s="250"/>
      <c r="M514" s="250"/>
      <c r="N514" s="250"/>
      <c r="O514" s="250"/>
      <c r="P514" s="250"/>
    </row>
    <row r="515" spans="1:16" ht="20.25" customHeight="1">
      <c r="A515" s="252" t="s">
        <v>34</v>
      </c>
      <c r="B515" s="252"/>
      <c r="C515" s="252"/>
      <c r="D515" s="252"/>
      <c r="E515" s="252"/>
      <c r="F515" s="252"/>
      <c r="G515" s="252"/>
      <c r="H515" s="252"/>
      <c r="I515" s="252"/>
      <c r="J515" s="252"/>
      <c r="K515" s="252"/>
      <c r="L515" s="252"/>
      <c r="M515" s="252"/>
      <c r="N515" s="252"/>
      <c r="O515" s="252"/>
      <c r="P515" s="269"/>
    </row>
    <row r="516" spans="1:16" ht="85.5">
      <c r="A516" s="25" t="s">
        <v>0</v>
      </c>
      <c r="B516" s="25" t="s">
        <v>102</v>
      </c>
      <c r="C516" s="25" t="s">
        <v>1</v>
      </c>
      <c r="D516" s="25" t="s">
        <v>109</v>
      </c>
      <c r="E516" s="25" t="s">
        <v>29</v>
      </c>
      <c r="F516" s="25" t="s">
        <v>20</v>
      </c>
      <c r="G516" s="25" t="s">
        <v>104</v>
      </c>
      <c r="H516" s="25" t="s">
        <v>101</v>
      </c>
      <c r="I516" s="25" t="s">
        <v>98</v>
      </c>
      <c r="J516" s="25" t="s">
        <v>5</v>
      </c>
      <c r="K516" s="25" t="s">
        <v>6</v>
      </c>
      <c r="L516" s="25" t="s">
        <v>31</v>
      </c>
      <c r="M516" s="25" t="s">
        <v>24</v>
      </c>
      <c r="N516" s="26" t="s">
        <v>32</v>
      </c>
      <c r="O516" s="24" t="s">
        <v>11</v>
      </c>
      <c r="P516" s="269"/>
    </row>
    <row r="517" spans="1:16">
      <c r="A517" s="219">
        <v>1</v>
      </c>
      <c r="B517" s="224">
        <v>2</v>
      </c>
      <c r="C517" s="224">
        <v>3</v>
      </c>
      <c r="D517" s="224">
        <v>4</v>
      </c>
      <c r="E517" s="224">
        <v>5</v>
      </c>
      <c r="F517" s="224">
        <v>6</v>
      </c>
      <c r="G517" s="224">
        <v>7</v>
      </c>
      <c r="H517" s="224">
        <v>8</v>
      </c>
      <c r="I517" s="224">
        <v>9</v>
      </c>
      <c r="J517" s="224">
        <v>10</v>
      </c>
      <c r="K517" s="224">
        <v>11</v>
      </c>
      <c r="L517" s="224">
        <v>12</v>
      </c>
      <c r="M517" s="224">
        <v>13</v>
      </c>
      <c r="N517" s="224">
        <v>14</v>
      </c>
      <c r="O517" s="224">
        <v>15</v>
      </c>
      <c r="P517" s="269"/>
    </row>
    <row r="518" spans="1:16">
      <c r="A518" s="250" t="s">
        <v>27</v>
      </c>
      <c r="B518" s="250"/>
      <c r="C518" s="250"/>
      <c r="D518" s="250"/>
      <c r="E518" s="250"/>
      <c r="F518" s="250"/>
      <c r="G518" s="250"/>
      <c r="H518" s="250"/>
      <c r="I518" s="250"/>
      <c r="J518" s="250"/>
      <c r="K518" s="250"/>
      <c r="L518" s="250"/>
      <c r="M518" s="250"/>
      <c r="N518" s="250"/>
      <c r="O518" s="250"/>
      <c r="P518" s="269"/>
    </row>
    <row r="519" spans="1:16">
      <c r="A519" s="250"/>
      <c r="B519" s="250"/>
      <c r="C519" s="250"/>
      <c r="D519" s="250"/>
      <c r="E519" s="250"/>
      <c r="F519" s="250"/>
      <c r="G519" s="250"/>
      <c r="H519" s="250"/>
      <c r="I519" s="250"/>
      <c r="J519" s="250"/>
      <c r="K519" s="250"/>
      <c r="L519" s="250"/>
      <c r="M519" s="250"/>
      <c r="N519" s="250"/>
      <c r="O519" s="250"/>
      <c r="P519" s="250"/>
    </row>
    <row r="520" spans="1:16" ht="20.25">
      <c r="A520" s="252" t="s">
        <v>35</v>
      </c>
      <c r="B520" s="252"/>
      <c r="C520" s="252"/>
      <c r="D520" s="252"/>
      <c r="E520" s="252"/>
      <c r="F520" s="252"/>
      <c r="G520" s="252"/>
      <c r="H520" s="252"/>
      <c r="I520" s="252"/>
      <c r="J520" s="252"/>
      <c r="K520" s="252"/>
      <c r="L520" s="252"/>
      <c r="M520" s="252"/>
      <c r="N520" s="252"/>
      <c r="O520" s="252"/>
      <c r="P520" s="252"/>
    </row>
    <row r="521" spans="1:16" ht="85.5">
      <c r="A521" s="25" t="s">
        <v>0</v>
      </c>
      <c r="B521" s="25" t="s">
        <v>102</v>
      </c>
      <c r="C521" s="25" t="s">
        <v>1</v>
      </c>
      <c r="D521" s="25" t="s">
        <v>109</v>
      </c>
      <c r="E521" s="25" t="s">
        <v>29</v>
      </c>
      <c r="F521" s="25" t="s">
        <v>20</v>
      </c>
      <c r="G521" s="25" t="s">
        <v>97</v>
      </c>
      <c r="H521" s="25" t="s">
        <v>101</v>
      </c>
      <c r="I521" s="25" t="s">
        <v>98</v>
      </c>
      <c r="J521" s="25" t="s">
        <v>5</v>
      </c>
      <c r="K521" s="25" t="s">
        <v>6</v>
      </c>
      <c r="L521" s="25" t="s">
        <v>31</v>
      </c>
      <c r="M521" s="25" t="s">
        <v>24</v>
      </c>
      <c r="N521" s="26" t="s">
        <v>33</v>
      </c>
      <c r="O521" s="26" t="s">
        <v>32</v>
      </c>
      <c r="P521" s="24" t="s">
        <v>26</v>
      </c>
    </row>
    <row r="522" spans="1:16">
      <c r="A522" s="219">
        <v>1</v>
      </c>
      <c r="B522" s="224">
        <v>2</v>
      </c>
      <c r="C522" s="224">
        <v>3</v>
      </c>
      <c r="D522" s="224">
        <v>4</v>
      </c>
      <c r="E522" s="224">
        <v>5</v>
      </c>
      <c r="F522" s="224">
        <v>6</v>
      </c>
      <c r="G522" s="224">
        <v>7</v>
      </c>
      <c r="H522" s="224">
        <v>8</v>
      </c>
      <c r="I522" s="224">
        <v>9</v>
      </c>
      <c r="J522" s="224">
        <v>10</v>
      </c>
      <c r="K522" s="224">
        <v>11</v>
      </c>
      <c r="L522" s="224">
        <v>12</v>
      </c>
      <c r="M522" s="224">
        <v>13</v>
      </c>
      <c r="N522" s="224">
        <v>14</v>
      </c>
      <c r="O522" s="224">
        <v>15</v>
      </c>
      <c r="P522" s="25">
        <v>16</v>
      </c>
    </row>
    <row r="523" spans="1:16">
      <c r="A523" s="250" t="s">
        <v>27</v>
      </c>
      <c r="B523" s="250"/>
      <c r="C523" s="250"/>
      <c r="D523" s="250"/>
      <c r="E523" s="250"/>
      <c r="F523" s="250"/>
      <c r="G523" s="250"/>
      <c r="H523" s="250"/>
      <c r="I523" s="250"/>
      <c r="J523" s="250"/>
      <c r="K523" s="250"/>
      <c r="L523" s="250"/>
      <c r="M523" s="250"/>
      <c r="N523" s="250"/>
      <c r="O523" s="250"/>
      <c r="P523" s="250"/>
    </row>
    <row r="524" spans="1:16">
      <c r="A524" s="266"/>
      <c r="B524" s="266"/>
      <c r="C524" s="266"/>
      <c r="D524" s="266"/>
      <c r="E524" s="266"/>
      <c r="F524" s="266"/>
      <c r="G524" s="266"/>
      <c r="H524" s="266"/>
      <c r="I524" s="266"/>
      <c r="J524" s="266"/>
      <c r="K524" s="266"/>
      <c r="L524" s="266"/>
      <c r="M524" s="266"/>
      <c r="N524" s="266"/>
      <c r="O524" s="266"/>
      <c r="P524" s="266"/>
    </row>
    <row r="525" spans="1:16" ht="22.5">
      <c r="A525" s="253" t="s">
        <v>1284</v>
      </c>
      <c r="B525" s="253"/>
      <c r="C525" s="253"/>
      <c r="D525" s="253"/>
      <c r="E525" s="253"/>
      <c r="F525" s="253"/>
      <c r="G525" s="253"/>
      <c r="H525" s="253"/>
      <c r="I525" s="253"/>
      <c r="J525" s="253"/>
      <c r="K525" s="253"/>
      <c r="L525" s="253"/>
      <c r="M525" s="253"/>
      <c r="N525" s="253"/>
      <c r="O525" s="253"/>
      <c r="P525" s="253"/>
    </row>
    <row r="526" spans="1:16" ht="20.25">
      <c r="A526" s="252" t="s">
        <v>17</v>
      </c>
      <c r="B526" s="252"/>
      <c r="C526" s="252"/>
      <c r="D526" s="252"/>
      <c r="E526" s="252"/>
      <c r="F526" s="252"/>
      <c r="G526" s="252"/>
      <c r="H526" s="252"/>
      <c r="I526" s="252"/>
      <c r="J526" s="252"/>
      <c r="K526" s="252"/>
      <c r="L526" s="252"/>
      <c r="M526" s="252"/>
      <c r="N526" s="252"/>
      <c r="O526" s="252"/>
      <c r="P526" s="252"/>
    </row>
    <row r="527" spans="1:16" ht="85.5">
      <c r="A527" s="25" t="s">
        <v>0</v>
      </c>
      <c r="B527" s="25" t="s">
        <v>105</v>
      </c>
      <c r="C527" s="25" t="s">
        <v>1</v>
      </c>
      <c r="D527" s="25" t="s">
        <v>106</v>
      </c>
      <c r="E527" s="25" t="s">
        <v>3</v>
      </c>
      <c r="F527" s="25" t="s">
        <v>4</v>
      </c>
      <c r="G527" s="25" t="s">
        <v>107</v>
      </c>
      <c r="H527" s="25" t="s">
        <v>108</v>
      </c>
      <c r="I527" s="25" t="s">
        <v>99</v>
      </c>
      <c r="J527" s="25" t="s">
        <v>5</v>
      </c>
      <c r="K527" s="25" t="s">
        <v>6</v>
      </c>
      <c r="L527" s="25" t="s">
        <v>7</v>
      </c>
      <c r="M527" s="26" t="s">
        <v>8</v>
      </c>
      <c r="N527" s="26" t="s">
        <v>9</v>
      </c>
      <c r="O527" s="25" t="s">
        <v>10</v>
      </c>
      <c r="P527" s="24" t="s">
        <v>11</v>
      </c>
    </row>
    <row r="528" spans="1:16" ht="20.25" customHeight="1">
      <c r="A528" s="1">
        <v>1</v>
      </c>
      <c r="B528" s="25">
        <v>2</v>
      </c>
      <c r="C528" s="25">
        <v>3</v>
      </c>
      <c r="D528" s="25">
        <v>4</v>
      </c>
      <c r="E528" s="25">
        <v>5</v>
      </c>
      <c r="F528" s="25">
        <v>6</v>
      </c>
      <c r="G528" s="25">
        <v>7</v>
      </c>
      <c r="H528" s="25">
        <v>8</v>
      </c>
      <c r="I528" s="25">
        <v>9</v>
      </c>
      <c r="J528" s="25">
        <v>10</v>
      </c>
      <c r="K528" s="25">
        <v>11</v>
      </c>
      <c r="L528" s="25">
        <v>12</v>
      </c>
      <c r="M528" s="25">
        <v>13</v>
      </c>
      <c r="N528" s="25">
        <v>14</v>
      </c>
      <c r="O528" s="25">
        <v>15</v>
      </c>
      <c r="P528" s="25">
        <v>16</v>
      </c>
    </row>
    <row r="529" spans="1:16">
      <c r="A529" s="250" t="s">
        <v>27</v>
      </c>
      <c r="B529" s="250"/>
      <c r="C529" s="250"/>
      <c r="D529" s="250"/>
      <c r="E529" s="250"/>
      <c r="F529" s="250"/>
      <c r="G529" s="250"/>
      <c r="H529" s="250"/>
      <c r="I529" s="250"/>
      <c r="J529" s="250"/>
      <c r="K529" s="250"/>
      <c r="L529" s="250"/>
      <c r="M529" s="250"/>
      <c r="N529" s="250"/>
      <c r="O529" s="250"/>
      <c r="P529" s="250"/>
    </row>
    <row r="530" spans="1:16">
      <c r="A530" s="250"/>
      <c r="B530" s="250"/>
      <c r="C530" s="250"/>
      <c r="D530" s="250"/>
      <c r="E530" s="250"/>
      <c r="F530" s="250"/>
      <c r="G530" s="250"/>
      <c r="H530" s="250"/>
      <c r="I530" s="250"/>
      <c r="J530" s="250"/>
      <c r="K530" s="250"/>
      <c r="L530" s="250"/>
      <c r="M530" s="250"/>
      <c r="N530" s="250"/>
      <c r="O530" s="250"/>
      <c r="P530" s="250"/>
    </row>
    <row r="531" spans="1:16" ht="20.25" customHeight="1">
      <c r="A531" s="252" t="s">
        <v>28</v>
      </c>
      <c r="B531" s="252"/>
      <c r="C531" s="252"/>
      <c r="D531" s="252"/>
      <c r="E531" s="252"/>
      <c r="F531" s="252"/>
      <c r="G531" s="252"/>
      <c r="H531" s="252"/>
      <c r="I531" s="252"/>
      <c r="J531" s="252"/>
      <c r="K531" s="252"/>
      <c r="L531" s="252"/>
      <c r="M531" s="252"/>
      <c r="N531" s="252"/>
      <c r="O531" s="252"/>
      <c r="P531" s="269"/>
    </row>
    <row r="532" spans="1:16" ht="85.5">
      <c r="A532" s="25" t="s">
        <v>0</v>
      </c>
      <c r="B532" s="25" t="s">
        <v>102</v>
      </c>
      <c r="C532" s="25" t="s">
        <v>1</v>
      </c>
      <c r="D532" s="25" t="s">
        <v>109</v>
      </c>
      <c r="E532" s="26" t="s">
        <v>19</v>
      </c>
      <c r="F532" s="26" t="s">
        <v>20</v>
      </c>
      <c r="G532" s="25" t="s">
        <v>100</v>
      </c>
      <c r="H532" s="25" t="s">
        <v>101</v>
      </c>
      <c r="I532" s="25" t="s">
        <v>22</v>
      </c>
      <c r="J532" s="25" t="s">
        <v>5</v>
      </c>
      <c r="K532" s="25" t="s">
        <v>6</v>
      </c>
      <c r="L532" s="25" t="s">
        <v>23</v>
      </c>
      <c r="M532" s="25" t="s">
        <v>24</v>
      </c>
      <c r="N532" s="26" t="s">
        <v>25</v>
      </c>
      <c r="O532" s="24" t="s">
        <v>26</v>
      </c>
      <c r="P532" s="269"/>
    </row>
    <row r="533" spans="1:16" ht="15" customHeight="1">
      <c r="A533" s="219">
        <v>1</v>
      </c>
      <c r="B533" s="224">
        <v>2</v>
      </c>
      <c r="C533" s="224">
        <v>3</v>
      </c>
      <c r="D533" s="224">
        <v>4</v>
      </c>
      <c r="E533" s="224">
        <v>5</v>
      </c>
      <c r="F533" s="224">
        <v>6</v>
      </c>
      <c r="G533" s="224">
        <v>7</v>
      </c>
      <c r="H533" s="224">
        <v>8</v>
      </c>
      <c r="I533" s="224">
        <v>9</v>
      </c>
      <c r="J533" s="224">
        <v>10</v>
      </c>
      <c r="K533" s="224">
        <v>11</v>
      </c>
      <c r="L533" s="224">
        <v>12</v>
      </c>
      <c r="M533" s="224">
        <v>13</v>
      </c>
      <c r="N533" s="224">
        <v>14</v>
      </c>
      <c r="O533" s="224">
        <v>15</v>
      </c>
      <c r="P533" s="269"/>
    </row>
    <row r="534" spans="1:16" ht="15" customHeight="1">
      <c r="A534" s="250" t="s">
        <v>27</v>
      </c>
      <c r="B534" s="250"/>
      <c r="C534" s="250"/>
      <c r="D534" s="250"/>
      <c r="E534" s="250"/>
      <c r="F534" s="250"/>
      <c r="G534" s="250"/>
      <c r="H534" s="250"/>
      <c r="I534" s="250"/>
      <c r="J534" s="250"/>
      <c r="K534" s="250"/>
      <c r="L534" s="250"/>
      <c r="M534" s="250"/>
      <c r="N534" s="250"/>
      <c r="O534" s="250"/>
      <c r="P534" s="269"/>
    </row>
    <row r="535" spans="1:16" ht="15" customHeight="1">
      <c r="A535" s="250"/>
      <c r="B535" s="250"/>
      <c r="C535" s="250"/>
      <c r="D535" s="250"/>
      <c r="E535" s="250"/>
      <c r="F535" s="250"/>
      <c r="G535" s="250"/>
      <c r="H535" s="250"/>
      <c r="I535" s="250"/>
      <c r="J535" s="250"/>
      <c r="K535" s="250"/>
      <c r="L535" s="250"/>
      <c r="M535" s="250"/>
      <c r="N535" s="250"/>
      <c r="O535" s="250"/>
      <c r="P535" s="250"/>
    </row>
    <row r="536" spans="1:16" ht="20.25" customHeight="1">
      <c r="A536" s="252" t="s">
        <v>34</v>
      </c>
      <c r="B536" s="252"/>
      <c r="C536" s="252"/>
      <c r="D536" s="252"/>
      <c r="E536" s="252"/>
      <c r="F536" s="252"/>
      <c r="G536" s="252"/>
      <c r="H536" s="252"/>
      <c r="I536" s="252"/>
      <c r="J536" s="252"/>
      <c r="K536" s="252"/>
      <c r="L536" s="252"/>
      <c r="M536" s="252"/>
      <c r="N536" s="252"/>
      <c r="O536" s="252"/>
      <c r="P536" s="269"/>
    </row>
    <row r="537" spans="1:16" ht="85.5">
      <c r="A537" s="25" t="s">
        <v>0</v>
      </c>
      <c r="B537" s="25" t="s">
        <v>102</v>
      </c>
      <c r="C537" s="25" t="s">
        <v>1</v>
      </c>
      <c r="D537" s="25" t="s">
        <v>109</v>
      </c>
      <c r="E537" s="25" t="s">
        <v>29</v>
      </c>
      <c r="F537" s="25" t="s">
        <v>20</v>
      </c>
      <c r="G537" s="25" t="s">
        <v>104</v>
      </c>
      <c r="H537" s="25" t="s">
        <v>101</v>
      </c>
      <c r="I537" s="25" t="s">
        <v>98</v>
      </c>
      <c r="J537" s="25" t="s">
        <v>5</v>
      </c>
      <c r="K537" s="25" t="s">
        <v>6</v>
      </c>
      <c r="L537" s="25" t="s">
        <v>31</v>
      </c>
      <c r="M537" s="25" t="s">
        <v>24</v>
      </c>
      <c r="N537" s="26" t="s">
        <v>32</v>
      </c>
      <c r="O537" s="24" t="s">
        <v>11</v>
      </c>
      <c r="P537" s="269"/>
    </row>
    <row r="538" spans="1:16" ht="15" customHeight="1">
      <c r="A538" s="219">
        <v>1</v>
      </c>
      <c r="B538" s="224">
        <v>2</v>
      </c>
      <c r="C538" s="224">
        <v>3</v>
      </c>
      <c r="D538" s="224">
        <v>4</v>
      </c>
      <c r="E538" s="224">
        <v>5</v>
      </c>
      <c r="F538" s="224">
        <v>6</v>
      </c>
      <c r="G538" s="224">
        <v>7</v>
      </c>
      <c r="H538" s="224">
        <v>8</v>
      </c>
      <c r="I538" s="224">
        <v>9</v>
      </c>
      <c r="J538" s="224">
        <v>10</v>
      </c>
      <c r="K538" s="224">
        <v>11</v>
      </c>
      <c r="L538" s="224">
        <v>12</v>
      </c>
      <c r="M538" s="224">
        <v>13</v>
      </c>
      <c r="N538" s="224">
        <v>14</v>
      </c>
      <c r="O538" s="224">
        <v>15</v>
      </c>
      <c r="P538" s="269"/>
    </row>
    <row r="539" spans="1:16" ht="20.25" customHeight="1">
      <c r="A539" s="250" t="s">
        <v>27</v>
      </c>
      <c r="B539" s="250"/>
      <c r="C539" s="250"/>
      <c r="D539" s="250"/>
      <c r="E539" s="250"/>
      <c r="F539" s="250"/>
      <c r="G539" s="250"/>
      <c r="H539" s="250"/>
      <c r="I539" s="250"/>
      <c r="J539" s="250"/>
      <c r="K539" s="250"/>
      <c r="L539" s="250"/>
      <c r="M539" s="250"/>
      <c r="N539" s="250"/>
      <c r="O539" s="250"/>
      <c r="P539" s="269"/>
    </row>
    <row r="540" spans="1:16" ht="15" customHeight="1">
      <c r="A540" s="250"/>
      <c r="B540" s="250"/>
      <c r="C540" s="250"/>
      <c r="D540" s="250"/>
      <c r="E540" s="250"/>
      <c r="F540" s="250"/>
      <c r="G540" s="250"/>
      <c r="H540" s="250"/>
      <c r="I540" s="250"/>
      <c r="J540" s="250"/>
      <c r="K540" s="250"/>
      <c r="L540" s="250"/>
      <c r="M540" s="250"/>
      <c r="N540" s="250"/>
      <c r="O540" s="250"/>
      <c r="P540" s="250"/>
    </row>
    <row r="541" spans="1:16" ht="20.25">
      <c r="A541" s="252" t="s">
        <v>35</v>
      </c>
      <c r="B541" s="252"/>
      <c r="C541" s="252"/>
      <c r="D541" s="252"/>
      <c r="E541" s="252"/>
      <c r="F541" s="252"/>
      <c r="G541" s="252"/>
      <c r="H541" s="252"/>
      <c r="I541" s="252"/>
      <c r="J541" s="252"/>
      <c r="K541" s="252"/>
      <c r="L541" s="252"/>
      <c r="M541" s="252"/>
      <c r="N541" s="252"/>
      <c r="O541" s="252"/>
      <c r="P541" s="252"/>
    </row>
    <row r="542" spans="1:16" ht="85.5">
      <c r="A542" s="25" t="s">
        <v>0</v>
      </c>
      <c r="B542" s="25" t="s">
        <v>102</v>
      </c>
      <c r="C542" s="25" t="s">
        <v>1</v>
      </c>
      <c r="D542" s="25" t="s">
        <v>109</v>
      </c>
      <c r="E542" s="25" t="s">
        <v>29</v>
      </c>
      <c r="F542" s="25" t="s">
        <v>20</v>
      </c>
      <c r="G542" s="25" t="s">
        <v>97</v>
      </c>
      <c r="H542" s="25" t="s">
        <v>101</v>
      </c>
      <c r="I542" s="25" t="s">
        <v>98</v>
      </c>
      <c r="J542" s="25" t="s">
        <v>5</v>
      </c>
      <c r="K542" s="25" t="s">
        <v>6</v>
      </c>
      <c r="L542" s="25" t="s">
        <v>31</v>
      </c>
      <c r="M542" s="25" t="s">
        <v>24</v>
      </c>
      <c r="N542" s="26" t="s">
        <v>33</v>
      </c>
      <c r="O542" s="26" t="s">
        <v>32</v>
      </c>
      <c r="P542" s="24" t="s">
        <v>26</v>
      </c>
    </row>
    <row r="543" spans="1:16">
      <c r="A543" s="219">
        <v>1</v>
      </c>
      <c r="B543" s="224">
        <v>2</v>
      </c>
      <c r="C543" s="224">
        <v>3</v>
      </c>
      <c r="D543" s="224">
        <v>4</v>
      </c>
      <c r="E543" s="224">
        <v>5</v>
      </c>
      <c r="F543" s="224">
        <v>6</v>
      </c>
      <c r="G543" s="224">
        <v>7</v>
      </c>
      <c r="H543" s="224">
        <v>8</v>
      </c>
      <c r="I543" s="224">
        <v>9</v>
      </c>
      <c r="J543" s="224">
        <v>10</v>
      </c>
      <c r="K543" s="224">
        <v>11</v>
      </c>
      <c r="L543" s="224">
        <v>12</v>
      </c>
      <c r="M543" s="224">
        <v>13</v>
      </c>
      <c r="N543" s="224">
        <v>14</v>
      </c>
      <c r="O543" s="224">
        <v>15</v>
      </c>
      <c r="P543" s="25">
        <v>16</v>
      </c>
    </row>
    <row r="544" spans="1:16">
      <c r="A544" s="250" t="s">
        <v>27</v>
      </c>
      <c r="B544" s="250"/>
      <c r="C544" s="250"/>
      <c r="D544" s="250"/>
      <c r="E544" s="250"/>
      <c r="F544" s="250"/>
      <c r="G544" s="250"/>
      <c r="H544" s="250"/>
      <c r="I544" s="250"/>
      <c r="J544" s="250"/>
      <c r="K544" s="250"/>
      <c r="L544" s="250"/>
      <c r="M544" s="250"/>
      <c r="N544" s="250"/>
      <c r="O544" s="250"/>
      <c r="P544" s="250"/>
    </row>
    <row r="545" spans="1:16">
      <c r="A545" s="250"/>
      <c r="B545" s="250"/>
      <c r="C545" s="250"/>
      <c r="D545" s="250"/>
      <c r="E545" s="250"/>
      <c r="F545" s="250"/>
      <c r="G545" s="250"/>
      <c r="H545" s="250"/>
      <c r="I545" s="250"/>
      <c r="J545" s="250"/>
      <c r="K545" s="250"/>
      <c r="L545" s="250"/>
      <c r="M545" s="250"/>
      <c r="N545" s="250"/>
      <c r="O545" s="250"/>
      <c r="P545" s="250"/>
    </row>
    <row r="546" spans="1:16" ht="22.5" customHeight="1">
      <c r="A546" s="253" t="s">
        <v>1285</v>
      </c>
      <c r="B546" s="253"/>
      <c r="C546" s="253"/>
      <c r="D546" s="253"/>
      <c r="E546" s="253"/>
      <c r="F546" s="253"/>
      <c r="G546" s="253"/>
      <c r="H546" s="253"/>
      <c r="I546" s="253"/>
      <c r="J546" s="253"/>
      <c r="K546" s="253"/>
      <c r="L546" s="253"/>
      <c r="M546" s="253"/>
      <c r="N546" s="253"/>
      <c r="O546" s="253"/>
      <c r="P546" s="253"/>
    </row>
    <row r="547" spans="1:16" ht="20.25">
      <c r="A547" s="252" t="s">
        <v>17</v>
      </c>
      <c r="B547" s="252"/>
      <c r="C547" s="252"/>
      <c r="D547" s="252"/>
      <c r="E547" s="252"/>
      <c r="F547" s="252"/>
      <c r="G547" s="252"/>
      <c r="H547" s="252"/>
      <c r="I547" s="252"/>
      <c r="J547" s="252"/>
      <c r="K547" s="252"/>
      <c r="L547" s="252"/>
      <c r="M547" s="252"/>
      <c r="N547" s="252"/>
      <c r="O547" s="252"/>
      <c r="P547" s="252"/>
    </row>
    <row r="548" spans="1:16" ht="85.5">
      <c r="A548" s="25" t="s">
        <v>0</v>
      </c>
      <c r="B548" s="25" t="s">
        <v>105</v>
      </c>
      <c r="C548" s="25" t="s">
        <v>1</v>
      </c>
      <c r="D548" s="25" t="s">
        <v>106</v>
      </c>
      <c r="E548" s="25" t="s">
        <v>3</v>
      </c>
      <c r="F548" s="25" t="s">
        <v>4</v>
      </c>
      <c r="G548" s="25" t="s">
        <v>107</v>
      </c>
      <c r="H548" s="25" t="s">
        <v>108</v>
      </c>
      <c r="I548" s="25" t="s">
        <v>99</v>
      </c>
      <c r="J548" s="25" t="s">
        <v>5</v>
      </c>
      <c r="K548" s="25" t="s">
        <v>6</v>
      </c>
      <c r="L548" s="25" t="s">
        <v>7</v>
      </c>
      <c r="M548" s="26" t="s">
        <v>8</v>
      </c>
      <c r="N548" s="26" t="s">
        <v>9</v>
      </c>
      <c r="O548" s="25" t="s">
        <v>10</v>
      </c>
      <c r="P548" s="24" t="s">
        <v>11</v>
      </c>
    </row>
    <row r="549" spans="1:16">
      <c r="A549" s="1">
        <v>1</v>
      </c>
      <c r="B549" s="25">
        <v>2</v>
      </c>
      <c r="C549" s="25">
        <v>3</v>
      </c>
      <c r="D549" s="25">
        <v>4</v>
      </c>
      <c r="E549" s="25">
        <v>5</v>
      </c>
      <c r="F549" s="25">
        <v>6</v>
      </c>
      <c r="G549" s="25">
        <v>7</v>
      </c>
      <c r="H549" s="25">
        <v>8</v>
      </c>
      <c r="I549" s="25">
        <v>9</v>
      </c>
      <c r="J549" s="25">
        <v>10</v>
      </c>
      <c r="K549" s="25">
        <v>11</v>
      </c>
      <c r="L549" s="25">
        <v>12</v>
      </c>
      <c r="M549" s="25">
        <v>13</v>
      </c>
      <c r="N549" s="25">
        <v>14</v>
      </c>
      <c r="O549" s="25">
        <v>15</v>
      </c>
      <c r="P549" s="25">
        <v>16</v>
      </c>
    </row>
    <row r="550" spans="1:16">
      <c r="A550" s="250" t="s">
        <v>27</v>
      </c>
      <c r="B550" s="250"/>
      <c r="C550" s="250"/>
      <c r="D550" s="250"/>
      <c r="E550" s="250"/>
      <c r="F550" s="250"/>
      <c r="G550" s="250"/>
      <c r="H550" s="250"/>
      <c r="I550" s="250"/>
      <c r="J550" s="250"/>
      <c r="K550" s="250"/>
      <c r="L550" s="250"/>
      <c r="M550" s="250"/>
      <c r="N550" s="250"/>
      <c r="O550" s="250"/>
      <c r="P550" s="250"/>
    </row>
    <row r="551" spans="1:16">
      <c r="A551" s="250"/>
      <c r="B551" s="250"/>
      <c r="C551" s="250"/>
      <c r="D551" s="250"/>
      <c r="E551" s="250"/>
      <c r="F551" s="250"/>
      <c r="G551" s="250"/>
      <c r="H551" s="250"/>
      <c r="I551" s="250"/>
      <c r="J551" s="250"/>
      <c r="K551" s="250"/>
      <c r="L551" s="250"/>
      <c r="M551" s="250"/>
      <c r="N551" s="250"/>
      <c r="O551" s="250"/>
      <c r="P551" s="250"/>
    </row>
    <row r="552" spans="1:16" ht="20.25" customHeight="1">
      <c r="A552" s="252" t="s">
        <v>28</v>
      </c>
      <c r="B552" s="252"/>
      <c r="C552" s="252"/>
      <c r="D552" s="252"/>
      <c r="E552" s="252"/>
      <c r="F552" s="252"/>
      <c r="G552" s="252"/>
      <c r="H552" s="252"/>
      <c r="I552" s="252"/>
      <c r="J552" s="252"/>
      <c r="K552" s="252"/>
      <c r="L552" s="252"/>
      <c r="M552" s="252"/>
      <c r="N552" s="252"/>
      <c r="O552" s="252"/>
      <c r="P552" s="252"/>
    </row>
    <row r="553" spans="1:16" ht="85.5">
      <c r="A553" s="25" t="s">
        <v>0</v>
      </c>
      <c r="B553" s="25" t="s">
        <v>102</v>
      </c>
      <c r="C553" s="25" t="s">
        <v>1</v>
      </c>
      <c r="D553" s="25" t="s">
        <v>109</v>
      </c>
      <c r="E553" s="26" t="s">
        <v>19</v>
      </c>
      <c r="F553" s="26" t="s">
        <v>20</v>
      </c>
      <c r="G553" s="25" t="s">
        <v>100</v>
      </c>
      <c r="H553" s="25" t="s">
        <v>101</v>
      </c>
      <c r="I553" s="25" t="s">
        <v>22</v>
      </c>
      <c r="J553" s="25" t="s">
        <v>5</v>
      </c>
      <c r="K553" s="25" t="s">
        <v>6</v>
      </c>
      <c r="L553" s="25" t="s">
        <v>23</v>
      </c>
      <c r="M553" s="25" t="s">
        <v>24</v>
      </c>
      <c r="N553" s="26" t="s">
        <v>25</v>
      </c>
      <c r="O553" s="24" t="s">
        <v>26</v>
      </c>
      <c r="P553" s="254"/>
    </row>
    <row r="554" spans="1:16">
      <c r="A554" s="219">
        <v>1</v>
      </c>
      <c r="B554" s="224">
        <v>2</v>
      </c>
      <c r="C554" s="224">
        <v>3</v>
      </c>
      <c r="D554" s="224">
        <v>4</v>
      </c>
      <c r="E554" s="224">
        <v>5</v>
      </c>
      <c r="F554" s="224">
        <v>6</v>
      </c>
      <c r="G554" s="224">
        <v>7</v>
      </c>
      <c r="H554" s="224">
        <v>8</v>
      </c>
      <c r="I554" s="224">
        <v>9</v>
      </c>
      <c r="J554" s="224">
        <v>10</v>
      </c>
      <c r="K554" s="224">
        <v>11</v>
      </c>
      <c r="L554" s="224">
        <v>12</v>
      </c>
      <c r="M554" s="224">
        <v>13</v>
      </c>
      <c r="N554" s="224">
        <v>14</v>
      </c>
      <c r="O554" s="224">
        <v>15</v>
      </c>
      <c r="P554" s="254"/>
    </row>
    <row r="555" spans="1:16">
      <c r="A555" s="250" t="s">
        <v>27</v>
      </c>
      <c r="B555" s="250"/>
      <c r="C555" s="250"/>
      <c r="D555" s="250"/>
      <c r="E555" s="250"/>
      <c r="F555" s="250"/>
      <c r="G555" s="250"/>
      <c r="H555" s="250"/>
      <c r="I555" s="250"/>
      <c r="J555" s="250"/>
      <c r="K555" s="250"/>
      <c r="L555" s="250"/>
      <c r="M555" s="250"/>
      <c r="N555" s="250"/>
      <c r="O555" s="250"/>
      <c r="P555" s="254"/>
    </row>
    <row r="556" spans="1:16">
      <c r="A556" s="250"/>
      <c r="B556" s="250"/>
      <c r="C556" s="250"/>
      <c r="D556" s="250"/>
      <c r="E556" s="250"/>
      <c r="F556" s="250"/>
      <c r="G556" s="250"/>
      <c r="H556" s="250"/>
      <c r="I556" s="250"/>
      <c r="J556" s="250"/>
      <c r="K556" s="250"/>
      <c r="L556" s="250"/>
      <c r="M556" s="250"/>
      <c r="N556" s="250"/>
      <c r="O556" s="250"/>
      <c r="P556" s="250"/>
    </row>
    <row r="557" spans="1:16" ht="20.25" customHeight="1">
      <c r="A557" s="252" t="s">
        <v>34</v>
      </c>
      <c r="B557" s="252"/>
      <c r="C557" s="252"/>
      <c r="D557" s="252"/>
      <c r="E557" s="252"/>
      <c r="F557" s="252"/>
      <c r="G557" s="252"/>
      <c r="H557" s="252"/>
      <c r="I557" s="252"/>
      <c r="J557" s="252"/>
      <c r="K557" s="252"/>
      <c r="L557" s="252"/>
      <c r="M557" s="252"/>
      <c r="N557" s="252"/>
      <c r="O557" s="252"/>
      <c r="P557" s="269"/>
    </row>
    <row r="558" spans="1:16" ht="85.5">
      <c r="A558" s="25" t="s">
        <v>0</v>
      </c>
      <c r="B558" s="25" t="s">
        <v>102</v>
      </c>
      <c r="C558" s="25" t="s">
        <v>1</v>
      </c>
      <c r="D558" s="25" t="s">
        <v>109</v>
      </c>
      <c r="E558" s="25" t="s">
        <v>29</v>
      </c>
      <c r="F558" s="25" t="s">
        <v>20</v>
      </c>
      <c r="G558" s="25" t="s">
        <v>104</v>
      </c>
      <c r="H558" s="25" t="s">
        <v>101</v>
      </c>
      <c r="I558" s="25" t="s">
        <v>98</v>
      </c>
      <c r="J558" s="25" t="s">
        <v>5</v>
      </c>
      <c r="K558" s="25" t="s">
        <v>6</v>
      </c>
      <c r="L558" s="25" t="s">
        <v>31</v>
      </c>
      <c r="M558" s="25" t="s">
        <v>24</v>
      </c>
      <c r="N558" s="26" t="s">
        <v>32</v>
      </c>
      <c r="O558" s="24" t="s">
        <v>11</v>
      </c>
      <c r="P558" s="269"/>
    </row>
    <row r="559" spans="1:16">
      <c r="A559" s="219">
        <v>1</v>
      </c>
      <c r="B559" s="224">
        <v>2</v>
      </c>
      <c r="C559" s="224">
        <v>3</v>
      </c>
      <c r="D559" s="224">
        <v>4</v>
      </c>
      <c r="E559" s="224">
        <v>5</v>
      </c>
      <c r="F559" s="224">
        <v>6</v>
      </c>
      <c r="G559" s="224">
        <v>7</v>
      </c>
      <c r="H559" s="224">
        <v>8</v>
      </c>
      <c r="I559" s="224">
        <v>9</v>
      </c>
      <c r="J559" s="224">
        <v>10</v>
      </c>
      <c r="K559" s="224">
        <v>11</v>
      </c>
      <c r="L559" s="224">
        <v>12</v>
      </c>
      <c r="M559" s="224">
        <v>13</v>
      </c>
      <c r="N559" s="224">
        <v>14</v>
      </c>
      <c r="O559" s="224">
        <v>15</v>
      </c>
      <c r="P559" s="269"/>
    </row>
    <row r="560" spans="1:16">
      <c r="A560" s="250" t="s">
        <v>27</v>
      </c>
      <c r="B560" s="250"/>
      <c r="C560" s="250"/>
      <c r="D560" s="250"/>
      <c r="E560" s="250"/>
      <c r="F560" s="250"/>
      <c r="G560" s="250"/>
      <c r="H560" s="250"/>
      <c r="I560" s="250"/>
      <c r="J560" s="250"/>
      <c r="K560" s="250"/>
      <c r="L560" s="250"/>
      <c r="M560" s="250"/>
      <c r="N560" s="250"/>
      <c r="O560" s="250"/>
      <c r="P560" s="269"/>
    </row>
    <row r="561" spans="1:16">
      <c r="A561" s="250"/>
      <c r="B561" s="250"/>
      <c r="C561" s="250"/>
      <c r="D561" s="250"/>
      <c r="E561" s="250"/>
      <c r="F561" s="250"/>
      <c r="G561" s="250"/>
      <c r="H561" s="250"/>
      <c r="I561" s="250"/>
      <c r="J561" s="250"/>
      <c r="K561" s="250"/>
      <c r="L561" s="250"/>
      <c r="M561" s="250"/>
      <c r="N561" s="250"/>
      <c r="O561" s="250"/>
      <c r="P561" s="250"/>
    </row>
    <row r="562" spans="1:16" ht="20.25" customHeight="1">
      <c r="A562" s="252" t="s">
        <v>35</v>
      </c>
      <c r="B562" s="252"/>
      <c r="C562" s="252"/>
      <c r="D562" s="252"/>
      <c r="E562" s="252"/>
      <c r="F562" s="252"/>
      <c r="G562" s="252"/>
      <c r="H562" s="252"/>
      <c r="I562" s="252"/>
      <c r="J562" s="252"/>
      <c r="K562" s="252"/>
      <c r="L562" s="252"/>
      <c r="M562" s="252"/>
      <c r="N562" s="252"/>
      <c r="O562" s="252"/>
      <c r="P562" s="252"/>
    </row>
    <row r="563" spans="1:16" ht="85.5">
      <c r="A563" s="25" t="s">
        <v>0</v>
      </c>
      <c r="B563" s="25" t="s">
        <v>102</v>
      </c>
      <c r="C563" s="25" t="s">
        <v>1</v>
      </c>
      <c r="D563" s="25" t="s">
        <v>109</v>
      </c>
      <c r="E563" s="25" t="s">
        <v>29</v>
      </c>
      <c r="F563" s="25" t="s">
        <v>20</v>
      </c>
      <c r="G563" s="25" t="s">
        <v>97</v>
      </c>
      <c r="H563" s="25" t="s">
        <v>101</v>
      </c>
      <c r="I563" s="25" t="s">
        <v>98</v>
      </c>
      <c r="J563" s="25" t="s">
        <v>5</v>
      </c>
      <c r="K563" s="25" t="s">
        <v>6</v>
      </c>
      <c r="L563" s="25" t="s">
        <v>31</v>
      </c>
      <c r="M563" s="25" t="s">
        <v>24</v>
      </c>
      <c r="N563" s="26" t="s">
        <v>33</v>
      </c>
      <c r="O563" s="26" t="s">
        <v>32</v>
      </c>
      <c r="P563" s="24" t="s">
        <v>26</v>
      </c>
    </row>
    <row r="564" spans="1:16">
      <c r="A564" s="219">
        <v>1</v>
      </c>
      <c r="B564" s="224">
        <v>2</v>
      </c>
      <c r="C564" s="224">
        <v>3</v>
      </c>
      <c r="D564" s="224">
        <v>4</v>
      </c>
      <c r="E564" s="224">
        <v>5</v>
      </c>
      <c r="F564" s="224">
        <v>6</v>
      </c>
      <c r="G564" s="224">
        <v>7</v>
      </c>
      <c r="H564" s="224">
        <v>8</v>
      </c>
      <c r="I564" s="224">
        <v>9</v>
      </c>
      <c r="J564" s="224">
        <v>10</v>
      </c>
      <c r="K564" s="224">
        <v>11</v>
      </c>
      <c r="L564" s="224">
        <v>12</v>
      </c>
      <c r="M564" s="224">
        <v>13</v>
      </c>
      <c r="N564" s="224">
        <v>14</v>
      </c>
      <c r="O564" s="224">
        <v>15</v>
      </c>
      <c r="P564" s="25">
        <v>16</v>
      </c>
    </row>
    <row r="565" spans="1:16">
      <c r="A565" s="250" t="s">
        <v>27</v>
      </c>
      <c r="B565" s="250"/>
      <c r="C565" s="250"/>
      <c r="D565" s="250"/>
      <c r="E565" s="250"/>
      <c r="F565" s="250"/>
      <c r="G565" s="250"/>
      <c r="H565" s="250"/>
      <c r="I565" s="250"/>
      <c r="J565" s="250"/>
      <c r="K565" s="250"/>
      <c r="L565" s="250"/>
      <c r="M565" s="250"/>
      <c r="N565" s="250"/>
      <c r="O565" s="250"/>
      <c r="P565" s="250"/>
    </row>
    <row r="566" spans="1:16">
      <c r="A566" s="250"/>
      <c r="B566" s="250"/>
      <c r="C566" s="250"/>
      <c r="D566" s="250"/>
      <c r="E566" s="250"/>
      <c r="F566" s="250"/>
      <c r="G566" s="250"/>
      <c r="H566" s="250"/>
      <c r="I566" s="250"/>
      <c r="J566" s="250"/>
      <c r="K566" s="250"/>
      <c r="L566" s="250"/>
      <c r="M566" s="250"/>
      <c r="N566" s="250"/>
      <c r="O566" s="250"/>
      <c r="P566" s="250"/>
    </row>
    <row r="567" spans="1:16" ht="22.5" customHeight="1">
      <c r="A567" s="253" t="s">
        <v>1286</v>
      </c>
      <c r="B567" s="253"/>
      <c r="C567" s="253"/>
      <c r="D567" s="253"/>
      <c r="E567" s="253"/>
      <c r="F567" s="253"/>
      <c r="G567" s="253"/>
      <c r="H567" s="253"/>
      <c r="I567" s="253"/>
      <c r="J567" s="253"/>
      <c r="K567" s="253"/>
      <c r="L567" s="253"/>
      <c r="M567" s="253"/>
      <c r="N567" s="253"/>
      <c r="O567" s="253"/>
      <c r="P567" s="253"/>
    </row>
    <row r="568" spans="1:16" ht="20.25">
      <c r="A568" s="252" t="s">
        <v>17</v>
      </c>
      <c r="B568" s="252"/>
      <c r="C568" s="252"/>
      <c r="D568" s="252"/>
      <c r="E568" s="252"/>
      <c r="F568" s="252"/>
      <c r="G568" s="252"/>
      <c r="H568" s="252"/>
      <c r="I568" s="252"/>
      <c r="J568" s="252"/>
      <c r="K568" s="252"/>
      <c r="L568" s="252"/>
      <c r="M568" s="252"/>
      <c r="N568" s="252"/>
      <c r="O568" s="252"/>
      <c r="P568" s="252"/>
    </row>
    <row r="569" spans="1:16" ht="85.5">
      <c r="A569" s="25" t="s">
        <v>0</v>
      </c>
      <c r="B569" s="25" t="s">
        <v>105</v>
      </c>
      <c r="C569" s="25" t="s">
        <v>1</v>
      </c>
      <c r="D569" s="25" t="s">
        <v>106</v>
      </c>
      <c r="E569" s="25" t="s">
        <v>3</v>
      </c>
      <c r="F569" s="25" t="s">
        <v>4</v>
      </c>
      <c r="G569" s="25" t="s">
        <v>107</v>
      </c>
      <c r="H569" s="25" t="s">
        <v>108</v>
      </c>
      <c r="I569" s="25" t="s">
        <v>99</v>
      </c>
      <c r="J569" s="25" t="s">
        <v>5</v>
      </c>
      <c r="K569" s="25" t="s">
        <v>6</v>
      </c>
      <c r="L569" s="25" t="s">
        <v>7</v>
      </c>
      <c r="M569" s="26" t="s">
        <v>8</v>
      </c>
      <c r="N569" s="26" t="s">
        <v>9</v>
      </c>
      <c r="O569" s="25" t="s">
        <v>10</v>
      </c>
      <c r="P569" s="24" t="s">
        <v>11</v>
      </c>
    </row>
    <row r="570" spans="1:16" ht="20.25" customHeight="1">
      <c r="A570" s="1">
        <v>1</v>
      </c>
      <c r="B570" s="25">
        <v>2</v>
      </c>
      <c r="C570" s="25">
        <v>3</v>
      </c>
      <c r="D570" s="25">
        <v>4</v>
      </c>
      <c r="E570" s="25">
        <v>5</v>
      </c>
      <c r="F570" s="25">
        <v>6</v>
      </c>
      <c r="G570" s="25">
        <v>7</v>
      </c>
      <c r="H570" s="25">
        <v>8</v>
      </c>
      <c r="I570" s="25">
        <v>9</v>
      </c>
      <c r="J570" s="25">
        <v>10</v>
      </c>
      <c r="K570" s="25">
        <v>11</v>
      </c>
      <c r="L570" s="25">
        <v>12</v>
      </c>
      <c r="M570" s="25">
        <v>13</v>
      </c>
      <c r="N570" s="25">
        <v>14</v>
      </c>
      <c r="O570" s="25">
        <v>15</v>
      </c>
      <c r="P570" s="25">
        <v>16</v>
      </c>
    </row>
    <row r="571" spans="1:16">
      <c r="A571" s="250" t="s">
        <v>27</v>
      </c>
      <c r="B571" s="250"/>
      <c r="C571" s="250"/>
      <c r="D571" s="250"/>
      <c r="E571" s="250"/>
      <c r="F571" s="250"/>
      <c r="G571" s="250"/>
      <c r="H571" s="250"/>
      <c r="I571" s="250"/>
      <c r="J571" s="250"/>
      <c r="K571" s="250"/>
      <c r="L571" s="250"/>
      <c r="M571" s="250"/>
      <c r="N571" s="250"/>
      <c r="O571" s="250"/>
      <c r="P571" s="242"/>
    </row>
    <row r="572" spans="1:16">
      <c r="A572" s="250"/>
      <c r="B572" s="250"/>
      <c r="C572" s="250"/>
      <c r="D572" s="250"/>
      <c r="E572" s="250"/>
      <c r="F572" s="250"/>
      <c r="G572" s="250"/>
      <c r="H572" s="250"/>
      <c r="I572" s="250"/>
      <c r="J572" s="250"/>
      <c r="K572" s="250"/>
      <c r="L572" s="250"/>
      <c r="M572" s="250"/>
      <c r="N572" s="250"/>
      <c r="O572" s="250"/>
      <c r="P572" s="250"/>
    </row>
    <row r="573" spans="1:16" ht="20.25" customHeight="1">
      <c r="A573" s="252" t="s">
        <v>28</v>
      </c>
      <c r="B573" s="252"/>
      <c r="C573" s="252"/>
      <c r="D573" s="252"/>
      <c r="E573" s="252"/>
      <c r="F573" s="252"/>
      <c r="G573" s="252"/>
      <c r="H573" s="252"/>
      <c r="I573" s="252"/>
      <c r="J573" s="252"/>
      <c r="K573" s="252"/>
      <c r="L573" s="252"/>
      <c r="M573" s="252"/>
      <c r="N573" s="252"/>
      <c r="O573" s="252"/>
      <c r="P573" s="269"/>
    </row>
    <row r="574" spans="1:16" ht="85.5">
      <c r="A574" s="25" t="s">
        <v>0</v>
      </c>
      <c r="B574" s="25" t="s">
        <v>102</v>
      </c>
      <c r="C574" s="25" t="s">
        <v>1</v>
      </c>
      <c r="D574" s="25" t="s">
        <v>109</v>
      </c>
      <c r="E574" s="26" t="s">
        <v>19</v>
      </c>
      <c r="F574" s="26" t="s">
        <v>20</v>
      </c>
      <c r="G574" s="25" t="s">
        <v>100</v>
      </c>
      <c r="H574" s="25" t="s">
        <v>101</v>
      </c>
      <c r="I574" s="25" t="s">
        <v>22</v>
      </c>
      <c r="J574" s="25" t="s">
        <v>5</v>
      </c>
      <c r="K574" s="25" t="s">
        <v>6</v>
      </c>
      <c r="L574" s="25" t="s">
        <v>23</v>
      </c>
      <c r="M574" s="25" t="s">
        <v>24</v>
      </c>
      <c r="N574" s="26" t="s">
        <v>25</v>
      </c>
      <c r="O574" s="24" t="s">
        <v>26</v>
      </c>
      <c r="P574" s="269"/>
    </row>
    <row r="575" spans="1:16">
      <c r="A575" s="219">
        <v>1</v>
      </c>
      <c r="B575" s="224">
        <v>2</v>
      </c>
      <c r="C575" s="224">
        <v>3</v>
      </c>
      <c r="D575" s="224">
        <v>4</v>
      </c>
      <c r="E575" s="224">
        <v>5</v>
      </c>
      <c r="F575" s="224">
        <v>6</v>
      </c>
      <c r="G575" s="224">
        <v>7</v>
      </c>
      <c r="H575" s="224">
        <v>8</v>
      </c>
      <c r="I575" s="224">
        <v>9</v>
      </c>
      <c r="J575" s="224">
        <v>10</v>
      </c>
      <c r="K575" s="224">
        <v>11</v>
      </c>
      <c r="L575" s="224">
        <v>12</v>
      </c>
      <c r="M575" s="224">
        <v>13</v>
      </c>
      <c r="N575" s="224">
        <v>14</v>
      </c>
      <c r="O575" s="224">
        <v>15</v>
      </c>
      <c r="P575" s="269"/>
    </row>
    <row r="576" spans="1:16">
      <c r="A576" s="250" t="s">
        <v>27</v>
      </c>
      <c r="B576" s="250"/>
      <c r="C576" s="250"/>
      <c r="D576" s="250"/>
      <c r="E576" s="250"/>
      <c r="F576" s="250"/>
      <c r="G576" s="250"/>
      <c r="H576" s="250"/>
      <c r="I576" s="250"/>
      <c r="J576" s="250"/>
      <c r="K576" s="250"/>
      <c r="L576" s="250"/>
      <c r="M576" s="250"/>
      <c r="N576" s="250"/>
      <c r="O576" s="250"/>
      <c r="P576" s="269"/>
    </row>
    <row r="577" spans="1:16">
      <c r="A577" s="250"/>
      <c r="B577" s="250"/>
      <c r="C577" s="250"/>
      <c r="D577" s="250"/>
      <c r="E577" s="250"/>
      <c r="F577" s="250"/>
      <c r="G577" s="250"/>
      <c r="H577" s="250"/>
      <c r="I577" s="250"/>
      <c r="J577" s="250"/>
      <c r="K577" s="250"/>
      <c r="L577" s="250"/>
      <c r="M577" s="250"/>
      <c r="N577" s="250"/>
      <c r="O577" s="250"/>
      <c r="P577" s="250"/>
    </row>
    <row r="578" spans="1:16" ht="20.25" customHeight="1">
      <c r="A578" s="252" t="s">
        <v>34</v>
      </c>
      <c r="B578" s="252"/>
      <c r="C578" s="252"/>
      <c r="D578" s="252"/>
      <c r="E578" s="252"/>
      <c r="F578" s="252"/>
      <c r="G578" s="252"/>
      <c r="H578" s="252"/>
      <c r="I578" s="252"/>
      <c r="J578" s="252"/>
      <c r="K578" s="252"/>
      <c r="L578" s="252"/>
      <c r="M578" s="252"/>
      <c r="N578" s="252"/>
      <c r="O578" s="252"/>
      <c r="P578" s="269"/>
    </row>
    <row r="579" spans="1:16" ht="85.5">
      <c r="A579" s="25" t="s">
        <v>0</v>
      </c>
      <c r="B579" s="25" t="s">
        <v>102</v>
      </c>
      <c r="C579" s="25" t="s">
        <v>1</v>
      </c>
      <c r="D579" s="25" t="s">
        <v>109</v>
      </c>
      <c r="E579" s="25" t="s">
        <v>29</v>
      </c>
      <c r="F579" s="25" t="s">
        <v>20</v>
      </c>
      <c r="G579" s="25" t="s">
        <v>104</v>
      </c>
      <c r="H579" s="25" t="s">
        <v>101</v>
      </c>
      <c r="I579" s="25" t="s">
        <v>98</v>
      </c>
      <c r="J579" s="25" t="s">
        <v>5</v>
      </c>
      <c r="K579" s="25" t="s">
        <v>6</v>
      </c>
      <c r="L579" s="25" t="s">
        <v>31</v>
      </c>
      <c r="M579" s="25" t="s">
        <v>24</v>
      </c>
      <c r="N579" s="26" t="s">
        <v>32</v>
      </c>
      <c r="O579" s="24" t="s">
        <v>11</v>
      </c>
      <c r="P579" s="269"/>
    </row>
    <row r="580" spans="1:16">
      <c r="A580" s="219">
        <v>1</v>
      </c>
      <c r="B580" s="224">
        <v>2</v>
      </c>
      <c r="C580" s="224">
        <v>3</v>
      </c>
      <c r="D580" s="224">
        <v>4</v>
      </c>
      <c r="E580" s="224">
        <v>5</v>
      </c>
      <c r="F580" s="224">
        <v>6</v>
      </c>
      <c r="G580" s="224">
        <v>7</v>
      </c>
      <c r="H580" s="224">
        <v>8</v>
      </c>
      <c r="I580" s="224">
        <v>9</v>
      </c>
      <c r="J580" s="224">
        <v>10</v>
      </c>
      <c r="K580" s="224">
        <v>11</v>
      </c>
      <c r="L580" s="224">
        <v>12</v>
      </c>
      <c r="M580" s="224">
        <v>13</v>
      </c>
      <c r="N580" s="224">
        <v>14</v>
      </c>
      <c r="O580" s="224">
        <v>15</v>
      </c>
      <c r="P580" s="269"/>
    </row>
    <row r="581" spans="1:16">
      <c r="A581" s="250" t="s">
        <v>27</v>
      </c>
      <c r="B581" s="250"/>
      <c r="C581" s="250"/>
      <c r="D581" s="250"/>
      <c r="E581" s="250"/>
      <c r="F581" s="250"/>
      <c r="G581" s="250"/>
      <c r="H581" s="250"/>
      <c r="I581" s="250"/>
      <c r="J581" s="250"/>
      <c r="K581" s="250"/>
      <c r="L581" s="250"/>
      <c r="M581" s="250"/>
      <c r="N581" s="250"/>
      <c r="O581" s="250"/>
      <c r="P581" s="269"/>
    </row>
    <row r="582" spans="1:16">
      <c r="A582" s="250"/>
      <c r="B582" s="250"/>
      <c r="C582" s="250"/>
      <c r="D582" s="250"/>
      <c r="E582" s="250"/>
      <c r="F582" s="250"/>
      <c r="G582" s="250"/>
      <c r="H582" s="250"/>
      <c r="I582" s="250"/>
      <c r="J582" s="250"/>
      <c r="K582" s="250"/>
      <c r="L582" s="250"/>
      <c r="M582" s="250"/>
      <c r="N582" s="250"/>
      <c r="O582" s="250"/>
      <c r="P582" s="250"/>
    </row>
    <row r="583" spans="1:16" ht="20.25" customHeight="1">
      <c r="A583" s="252" t="s">
        <v>35</v>
      </c>
      <c r="B583" s="281"/>
      <c r="C583" s="281"/>
      <c r="D583" s="281"/>
      <c r="E583" s="281"/>
      <c r="F583" s="281"/>
      <c r="G583" s="281"/>
      <c r="H583" s="281"/>
      <c r="I583" s="281"/>
      <c r="J583" s="281"/>
      <c r="K583" s="281"/>
      <c r="L583" s="281"/>
      <c r="M583" s="281"/>
      <c r="N583" s="281"/>
      <c r="O583" s="281"/>
      <c r="P583" s="281"/>
    </row>
    <row r="584" spans="1:16" ht="85.5">
      <c r="A584" s="25" t="s">
        <v>0</v>
      </c>
      <c r="B584" s="25" t="s">
        <v>102</v>
      </c>
      <c r="C584" s="25" t="s">
        <v>1</v>
      </c>
      <c r="D584" s="25" t="s">
        <v>109</v>
      </c>
      <c r="E584" s="25" t="s">
        <v>29</v>
      </c>
      <c r="F584" s="25" t="s">
        <v>20</v>
      </c>
      <c r="G584" s="25" t="s">
        <v>97</v>
      </c>
      <c r="H584" s="25" t="s">
        <v>101</v>
      </c>
      <c r="I584" s="25" t="s">
        <v>98</v>
      </c>
      <c r="J584" s="25" t="s">
        <v>5</v>
      </c>
      <c r="K584" s="25" t="s">
        <v>6</v>
      </c>
      <c r="L584" s="25" t="s">
        <v>31</v>
      </c>
      <c r="M584" s="25" t="s">
        <v>24</v>
      </c>
      <c r="N584" s="26" t="s">
        <v>33</v>
      </c>
      <c r="O584" s="26" t="s">
        <v>32</v>
      </c>
      <c r="P584" s="24" t="s">
        <v>26</v>
      </c>
    </row>
    <row r="585" spans="1:16">
      <c r="A585" s="219">
        <v>1</v>
      </c>
      <c r="B585" s="224">
        <v>2</v>
      </c>
      <c r="C585" s="224">
        <v>3</v>
      </c>
      <c r="D585" s="224">
        <v>4</v>
      </c>
      <c r="E585" s="224">
        <v>5</v>
      </c>
      <c r="F585" s="224">
        <v>6</v>
      </c>
      <c r="G585" s="224">
        <v>7</v>
      </c>
      <c r="H585" s="224">
        <v>8</v>
      </c>
      <c r="I585" s="224">
        <v>9</v>
      </c>
      <c r="J585" s="224">
        <v>10</v>
      </c>
      <c r="K585" s="224">
        <v>11</v>
      </c>
      <c r="L585" s="224">
        <v>12</v>
      </c>
      <c r="M585" s="224">
        <v>13</v>
      </c>
      <c r="N585" s="224">
        <v>14</v>
      </c>
      <c r="O585" s="224">
        <v>15</v>
      </c>
      <c r="P585" s="25">
        <v>16</v>
      </c>
    </row>
    <row r="586" spans="1:16">
      <c r="A586" s="258" t="s">
        <v>27</v>
      </c>
      <c r="B586" s="258"/>
      <c r="C586" s="258"/>
      <c r="D586" s="258"/>
      <c r="E586" s="258"/>
      <c r="F586" s="258"/>
      <c r="G586" s="258"/>
      <c r="H586" s="258"/>
      <c r="I586" s="258"/>
      <c r="J586" s="258"/>
      <c r="K586" s="258"/>
      <c r="L586" s="258"/>
      <c r="M586" s="258"/>
      <c r="N586" s="258"/>
      <c r="O586" s="258"/>
      <c r="P586" s="258"/>
    </row>
    <row r="587" spans="1:16">
      <c r="A587" s="266"/>
      <c r="B587" s="266"/>
      <c r="C587" s="266"/>
      <c r="D587" s="266"/>
      <c r="E587" s="266"/>
      <c r="F587" s="266"/>
      <c r="G587" s="266"/>
      <c r="H587" s="266"/>
      <c r="I587" s="266"/>
      <c r="J587" s="266"/>
      <c r="K587" s="266"/>
      <c r="L587" s="266"/>
      <c r="M587" s="266"/>
      <c r="N587" s="266"/>
      <c r="O587" s="266"/>
      <c r="P587" s="266"/>
    </row>
    <row r="588" spans="1:16" ht="22.5" customHeight="1">
      <c r="A588" s="253" t="s">
        <v>1287</v>
      </c>
      <c r="B588" s="253"/>
      <c r="C588" s="253"/>
      <c r="D588" s="253"/>
      <c r="E588" s="253"/>
      <c r="F588" s="253"/>
      <c r="G588" s="253"/>
      <c r="H588" s="253"/>
      <c r="I588" s="253"/>
      <c r="J588" s="253"/>
      <c r="K588" s="253"/>
      <c r="L588" s="253"/>
      <c r="M588" s="253"/>
      <c r="N588" s="253"/>
      <c r="O588" s="253"/>
      <c r="P588" s="253"/>
    </row>
    <row r="589" spans="1:16" ht="20.25" customHeight="1">
      <c r="A589" s="252" t="s">
        <v>17</v>
      </c>
      <c r="B589" s="252"/>
      <c r="C589" s="252"/>
      <c r="D589" s="252"/>
      <c r="E589" s="252"/>
      <c r="F589" s="252"/>
      <c r="G589" s="252"/>
      <c r="H589" s="252"/>
      <c r="I589" s="252"/>
      <c r="J589" s="252"/>
      <c r="K589" s="252"/>
      <c r="L589" s="252"/>
      <c r="M589" s="252"/>
      <c r="N589" s="252"/>
      <c r="O589" s="252"/>
      <c r="P589" s="252"/>
    </row>
    <row r="590" spans="1:16" ht="85.5">
      <c r="A590" s="25" t="s">
        <v>0</v>
      </c>
      <c r="B590" s="25" t="s">
        <v>105</v>
      </c>
      <c r="C590" s="25" t="s">
        <v>1</v>
      </c>
      <c r="D590" s="25" t="s">
        <v>106</v>
      </c>
      <c r="E590" s="25" t="s">
        <v>3</v>
      </c>
      <c r="F590" s="25" t="s">
        <v>4</v>
      </c>
      <c r="G590" s="25" t="s">
        <v>107</v>
      </c>
      <c r="H590" s="25" t="s">
        <v>108</v>
      </c>
      <c r="I590" s="25" t="s">
        <v>99</v>
      </c>
      <c r="J590" s="25" t="s">
        <v>5</v>
      </c>
      <c r="K590" s="25" t="s">
        <v>6</v>
      </c>
      <c r="L590" s="25" t="s">
        <v>7</v>
      </c>
      <c r="M590" s="26" t="s">
        <v>8</v>
      </c>
      <c r="N590" s="26" t="s">
        <v>9</v>
      </c>
      <c r="O590" s="25" t="s">
        <v>10</v>
      </c>
      <c r="P590" s="24" t="s">
        <v>11</v>
      </c>
    </row>
    <row r="591" spans="1:16">
      <c r="A591" s="1">
        <v>1</v>
      </c>
      <c r="B591" s="25">
        <v>2</v>
      </c>
      <c r="C591" s="25">
        <v>3</v>
      </c>
      <c r="D591" s="25">
        <v>4</v>
      </c>
      <c r="E591" s="25">
        <v>5</v>
      </c>
      <c r="F591" s="25">
        <v>6</v>
      </c>
      <c r="G591" s="25">
        <v>7</v>
      </c>
      <c r="H591" s="25">
        <v>8</v>
      </c>
      <c r="I591" s="25">
        <v>9</v>
      </c>
      <c r="J591" s="25">
        <v>10</v>
      </c>
      <c r="K591" s="25">
        <v>11</v>
      </c>
      <c r="L591" s="25">
        <v>12</v>
      </c>
      <c r="M591" s="25">
        <v>13</v>
      </c>
      <c r="N591" s="25">
        <v>14</v>
      </c>
      <c r="O591" s="25">
        <v>15</v>
      </c>
      <c r="P591" s="25">
        <v>16</v>
      </c>
    </row>
    <row r="592" spans="1:16">
      <c r="A592" s="250" t="s">
        <v>27</v>
      </c>
      <c r="B592" s="250"/>
      <c r="C592" s="250"/>
      <c r="D592" s="250"/>
      <c r="E592" s="250"/>
      <c r="F592" s="250"/>
      <c r="G592" s="250"/>
      <c r="H592" s="250"/>
      <c r="I592" s="250"/>
      <c r="J592" s="250"/>
      <c r="K592" s="250"/>
      <c r="L592" s="250"/>
      <c r="M592" s="250"/>
      <c r="N592" s="250"/>
      <c r="O592" s="250"/>
      <c r="P592" s="250"/>
    </row>
    <row r="593" spans="1:16">
      <c r="A593" s="250"/>
      <c r="B593" s="250"/>
      <c r="C593" s="250"/>
      <c r="D593" s="250"/>
      <c r="E593" s="250"/>
      <c r="F593" s="250"/>
      <c r="G593" s="250"/>
      <c r="H593" s="250"/>
      <c r="I593" s="250"/>
      <c r="J593" s="250"/>
      <c r="K593" s="250"/>
      <c r="L593" s="250"/>
      <c r="M593" s="250"/>
      <c r="N593" s="250"/>
      <c r="O593" s="250"/>
      <c r="P593" s="250"/>
    </row>
    <row r="594" spans="1:16" ht="20.25" customHeight="1">
      <c r="A594" s="252" t="s">
        <v>28</v>
      </c>
      <c r="B594" s="252"/>
      <c r="C594" s="252"/>
      <c r="D594" s="252"/>
      <c r="E594" s="252"/>
      <c r="F594" s="252"/>
      <c r="G594" s="252"/>
      <c r="H594" s="252"/>
      <c r="I594" s="252"/>
      <c r="J594" s="252"/>
      <c r="K594" s="252"/>
      <c r="L594" s="252"/>
      <c r="M594" s="252"/>
      <c r="N594" s="252"/>
      <c r="O594" s="252"/>
      <c r="P594" s="269"/>
    </row>
    <row r="595" spans="1:16" ht="85.5">
      <c r="A595" s="25" t="s">
        <v>0</v>
      </c>
      <c r="B595" s="25" t="s">
        <v>102</v>
      </c>
      <c r="C595" s="25" t="s">
        <v>1</v>
      </c>
      <c r="D595" s="25" t="s">
        <v>109</v>
      </c>
      <c r="E595" s="26" t="s">
        <v>19</v>
      </c>
      <c r="F595" s="26" t="s">
        <v>20</v>
      </c>
      <c r="G595" s="25" t="s">
        <v>100</v>
      </c>
      <c r="H595" s="25" t="s">
        <v>101</v>
      </c>
      <c r="I595" s="25" t="s">
        <v>22</v>
      </c>
      <c r="J595" s="25" t="s">
        <v>5</v>
      </c>
      <c r="K595" s="25" t="s">
        <v>6</v>
      </c>
      <c r="L595" s="25" t="s">
        <v>23</v>
      </c>
      <c r="M595" s="25" t="s">
        <v>24</v>
      </c>
      <c r="N595" s="26" t="s">
        <v>25</v>
      </c>
      <c r="O595" s="24" t="s">
        <v>26</v>
      </c>
      <c r="P595" s="269"/>
    </row>
    <row r="596" spans="1:16">
      <c r="A596" s="219">
        <v>1</v>
      </c>
      <c r="B596" s="224">
        <v>2</v>
      </c>
      <c r="C596" s="224">
        <v>3</v>
      </c>
      <c r="D596" s="224">
        <v>4</v>
      </c>
      <c r="E596" s="224">
        <v>5</v>
      </c>
      <c r="F596" s="224">
        <v>6</v>
      </c>
      <c r="G596" s="224">
        <v>7</v>
      </c>
      <c r="H596" s="224">
        <v>8</v>
      </c>
      <c r="I596" s="224">
        <v>9</v>
      </c>
      <c r="J596" s="224">
        <v>10</v>
      </c>
      <c r="K596" s="224">
        <v>11</v>
      </c>
      <c r="L596" s="224">
        <v>12</v>
      </c>
      <c r="M596" s="224">
        <v>13</v>
      </c>
      <c r="N596" s="224">
        <v>14</v>
      </c>
      <c r="O596" s="224">
        <v>15</v>
      </c>
      <c r="P596" s="269"/>
    </row>
    <row r="597" spans="1:16">
      <c r="A597" s="250" t="s">
        <v>27</v>
      </c>
      <c r="B597" s="250"/>
      <c r="C597" s="250"/>
      <c r="D597" s="250"/>
      <c r="E597" s="250"/>
      <c r="F597" s="250"/>
      <c r="G597" s="250"/>
      <c r="H597" s="250"/>
      <c r="I597" s="250"/>
      <c r="J597" s="250"/>
      <c r="K597" s="250"/>
      <c r="L597" s="250"/>
      <c r="M597" s="250"/>
      <c r="N597" s="250"/>
      <c r="O597" s="250"/>
      <c r="P597" s="269"/>
    </row>
    <row r="598" spans="1:16">
      <c r="A598" s="250"/>
      <c r="B598" s="250"/>
      <c r="C598" s="250"/>
      <c r="D598" s="250"/>
      <c r="E598" s="250"/>
      <c r="F598" s="250"/>
      <c r="G598" s="250"/>
      <c r="H598" s="250"/>
      <c r="I598" s="250"/>
      <c r="J598" s="250"/>
      <c r="K598" s="250"/>
      <c r="L598" s="250"/>
      <c r="M598" s="250"/>
      <c r="N598" s="250"/>
      <c r="O598" s="250"/>
      <c r="P598" s="250"/>
    </row>
    <row r="599" spans="1:16" ht="20.25" customHeight="1">
      <c r="A599" s="252" t="s">
        <v>34</v>
      </c>
      <c r="B599" s="252"/>
      <c r="C599" s="252"/>
      <c r="D599" s="252"/>
      <c r="E599" s="252"/>
      <c r="F599" s="252"/>
      <c r="G599" s="252"/>
      <c r="H599" s="252"/>
      <c r="I599" s="252"/>
      <c r="J599" s="252"/>
      <c r="K599" s="252"/>
      <c r="L599" s="252"/>
      <c r="M599" s="252"/>
      <c r="N599" s="252"/>
      <c r="O599" s="252"/>
      <c r="P599" s="269"/>
    </row>
    <row r="600" spans="1:16" ht="85.5">
      <c r="A600" s="25" t="s">
        <v>0</v>
      </c>
      <c r="B600" s="25" t="s">
        <v>102</v>
      </c>
      <c r="C600" s="25" t="s">
        <v>1</v>
      </c>
      <c r="D600" s="25" t="s">
        <v>109</v>
      </c>
      <c r="E600" s="25" t="s">
        <v>29</v>
      </c>
      <c r="F600" s="25" t="s">
        <v>20</v>
      </c>
      <c r="G600" s="25" t="s">
        <v>104</v>
      </c>
      <c r="H600" s="25" t="s">
        <v>101</v>
      </c>
      <c r="I600" s="25" t="s">
        <v>98</v>
      </c>
      <c r="J600" s="25" t="s">
        <v>5</v>
      </c>
      <c r="K600" s="25" t="s">
        <v>6</v>
      </c>
      <c r="L600" s="25" t="s">
        <v>31</v>
      </c>
      <c r="M600" s="25" t="s">
        <v>24</v>
      </c>
      <c r="N600" s="26" t="s">
        <v>32</v>
      </c>
      <c r="O600" s="24" t="s">
        <v>11</v>
      </c>
      <c r="P600" s="269"/>
    </row>
    <row r="601" spans="1:16">
      <c r="A601" s="219">
        <v>1</v>
      </c>
      <c r="B601" s="224">
        <v>2</v>
      </c>
      <c r="C601" s="224">
        <v>3</v>
      </c>
      <c r="D601" s="224">
        <v>4</v>
      </c>
      <c r="E601" s="224">
        <v>5</v>
      </c>
      <c r="F601" s="224">
        <v>6</v>
      </c>
      <c r="G601" s="224">
        <v>7</v>
      </c>
      <c r="H601" s="224">
        <v>8</v>
      </c>
      <c r="I601" s="224">
        <v>9</v>
      </c>
      <c r="J601" s="224">
        <v>10</v>
      </c>
      <c r="K601" s="224">
        <v>11</v>
      </c>
      <c r="L601" s="224">
        <v>12</v>
      </c>
      <c r="M601" s="224">
        <v>13</v>
      </c>
      <c r="N601" s="224">
        <v>14</v>
      </c>
      <c r="O601" s="224">
        <v>15</v>
      </c>
      <c r="P601" s="269"/>
    </row>
    <row r="602" spans="1:16">
      <c r="A602" s="267" t="s">
        <v>27</v>
      </c>
      <c r="B602" s="267"/>
      <c r="C602" s="267"/>
      <c r="D602" s="267"/>
      <c r="E602" s="267"/>
      <c r="F602" s="267"/>
      <c r="G602" s="267"/>
      <c r="H602" s="267"/>
      <c r="I602" s="267"/>
      <c r="J602" s="267"/>
      <c r="K602" s="267"/>
      <c r="L602" s="267"/>
      <c r="M602" s="267"/>
      <c r="N602" s="267"/>
      <c r="O602" s="267"/>
      <c r="P602" s="269"/>
    </row>
    <row r="603" spans="1:16">
      <c r="A603" s="267"/>
      <c r="B603" s="267"/>
      <c r="C603" s="267"/>
      <c r="D603" s="267"/>
      <c r="E603" s="267"/>
      <c r="F603" s="267"/>
      <c r="G603" s="267"/>
      <c r="H603" s="267"/>
      <c r="I603" s="267"/>
      <c r="J603" s="267"/>
      <c r="K603" s="267"/>
      <c r="L603" s="267"/>
      <c r="M603" s="267"/>
      <c r="N603" s="267"/>
      <c r="O603" s="267"/>
      <c r="P603" s="267"/>
    </row>
    <row r="604" spans="1:16" ht="20.25">
      <c r="A604" s="252" t="s">
        <v>35</v>
      </c>
      <c r="B604" s="252"/>
      <c r="C604" s="252"/>
      <c r="D604" s="252"/>
      <c r="E604" s="252"/>
      <c r="F604" s="252"/>
      <c r="G604" s="252"/>
      <c r="H604" s="252"/>
      <c r="I604" s="252"/>
      <c r="J604" s="252"/>
      <c r="K604" s="252"/>
      <c r="L604" s="252"/>
      <c r="M604" s="252"/>
      <c r="N604" s="252"/>
      <c r="O604" s="252"/>
      <c r="P604" s="252"/>
    </row>
    <row r="605" spans="1:16" ht="85.5">
      <c r="A605" s="25" t="s">
        <v>0</v>
      </c>
      <c r="B605" s="25" t="s">
        <v>102</v>
      </c>
      <c r="C605" s="25" t="s">
        <v>1</v>
      </c>
      <c r="D605" s="25" t="s">
        <v>109</v>
      </c>
      <c r="E605" s="25" t="s">
        <v>29</v>
      </c>
      <c r="F605" s="25" t="s">
        <v>20</v>
      </c>
      <c r="G605" s="25" t="s">
        <v>97</v>
      </c>
      <c r="H605" s="25" t="s">
        <v>101</v>
      </c>
      <c r="I605" s="25" t="s">
        <v>98</v>
      </c>
      <c r="J605" s="25" t="s">
        <v>5</v>
      </c>
      <c r="K605" s="25" t="s">
        <v>6</v>
      </c>
      <c r="L605" s="25" t="s">
        <v>31</v>
      </c>
      <c r="M605" s="25" t="s">
        <v>24</v>
      </c>
      <c r="N605" s="26" t="s">
        <v>33</v>
      </c>
      <c r="O605" s="26" t="s">
        <v>32</v>
      </c>
      <c r="P605" s="24" t="s">
        <v>26</v>
      </c>
    </row>
    <row r="606" spans="1:16" ht="16.5" customHeight="1">
      <c r="A606" s="219">
        <v>1</v>
      </c>
      <c r="B606" s="224">
        <v>2</v>
      </c>
      <c r="C606" s="224">
        <v>3</v>
      </c>
      <c r="D606" s="224">
        <v>4</v>
      </c>
      <c r="E606" s="224">
        <v>5</v>
      </c>
      <c r="F606" s="224">
        <v>6</v>
      </c>
      <c r="G606" s="224">
        <v>7</v>
      </c>
      <c r="H606" s="224">
        <v>8</v>
      </c>
      <c r="I606" s="224">
        <v>9</v>
      </c>
      <c r="J606" s="224">
        <v>10</v>
      </c>
      <c r="K606" s="224">
        <v>11</v>
      </c>
      <c r="L606" s="224">
        <v>12</v>
      </c>
      <c r="M606" s="224">
        <v>13</v>
      </c>
      <c r="N606" s="224">
        <v>14</v>
      </c>
      <c r="O606" s="224">
        <v>15</v>
      </c>
      <c r="P606" s="25">
        <v>16</v>
      </c>
    </row>
    <row r="607" spans="1:16">
      <c r="A607" s="267" t="s">
        <v>27</v>
      </c>
      <c r="B607" s="267"/>
      <c r="C607" s="267"/>
      <c r="D607" s="267"/>
      <c r="E607" s="267"/>
      <c r="F607" s="267"/>
      <c r="G607" s="267"/>
      <c r="H607" s="267"/>
      <c r="I607" s="267"/>
      <c r="J607" s="267"/>
      <c r="K607" s="267"/>
      <c r="L607" s="267"/>
      <c r="M607" s="267"/>
      <c r="N607" s="267"/>
      <c r="O607" s="267"/>
      <c r="P607" s="215"/>
    </row>
    <row r="608" spans="1:16">
      <c r="A608" s="267"/>
      <c r="B608" s="267"/>
      <c r="C608" s="267"/>
      <c r="D608" s="267"/>
      <c r="E608" s="267"/>
      <c r="F608" s="267"/>
      <c r="G608" s="267"/>
      <c r="H608" s="267"/>
      <c r="I608" s="267"/>
      <c r="J608" s="267"/>
      <c r="K608" s="267"/>
      <c r="L608" s="267"/>
      <c r="M608" s="267"/>
      <c r="N608" s="267"/>
      <c r="O608" s="267"/>
      <c r="P608" s="267"/>
    </row>
    <row r="609" spans="1:16" ht="22.5" customHeight="1">
      <c r="A609" s="253" t="s">
        <v>1288</v>
      </c>
      <c r="B609" s="253"/>
      <c r="C609" s="253"/>
      <c r="D609" s="253"/>
      <c r="E609" s="253"/>
      <c r="F609" s="253"/>
      <c r="G609" s="253"/>
      <c r="H609" s="253"/>
      <c r="I609" s="253"/>
      <c r="J609" s="253"/>
      <c r="K609" s="253"/>
      <c r="L609" s="253"/>
      <c r="M609" s="253"/>
      <c r="N609" s="253"/>
      <c r="O609" s="253"/>
      <c r="P609" s="253"/>
    </row>
    <row r="610" spans="1:16" ht="20.25">
      <c r="A610" s="252" t="s">
        <v>17</v>
      </c>
      <c r="B610" s="252"/>
      <c r="C610" s="252"/>
      <c r="D610" s="252"/>
      <c r="E610" s="252"/>
      <c r="F610" s="252"/>
      <c r="G610" s="252"/>
      <c r="H610" s="252"/>
      <c r="I610" s="252"/>
      <c r="J610" s="252"/>
      <c r="K610" s="252"/>
      <c r="L610" s="252"/>
      <c r="M610" s="252"/>
      <c r="N610" s="252"/>
      <c r="O610" s="252"/>
      <c r="P610" s="252"/>
    </row>
    <row r="611" spans="1:16" ht="85.5">
      <c r="A611" s="25" t="s">
        <v>0</v>
      </c>
      <c r="B611" s="25" t="s">
        <v>105</v>
      </c>
      <c r="C611" s="25" t="s">
        <v>1</v>
      </c>
      <c r="D611" s="25" t="s">
        <v>106</v>
      </c>
      <c r="E611" s="25" t="s">
        <v>3</v>
      </c>
      <c r="F611" s="25" t="s">
        <v>4</v>
      </c>
      <c r="G611" s="25" t="s">
        <v>107</v>
      </c>
      <c r="H611" s="25" t="s">
        <v>108</v>
      </c>
      <c r="I611" s="25" t="s">
        <v>99</v>
      </c>
      <c r="J611" s="25" t="s">
        <v>5</v>
      </c>
      <c r="K611" s="25" t="s">
        <v>6</v>
      </c>
      <c r="L611" s="25" t="s">
        <v>7</v>
      </c>
      <c r="M611" s="26" t="s">
        <v>8</v>
      </c>
      <c r="N611" s="26" t="s">
        <v>9</v>
      </c>
      <c r="O611" s="25" t="s">
        <v>10</v>
      </c>
      <c r="P611" s="24" t="s">
        <v>11</v>
      </c>
    </row>
    <row r="612" spans="1:16">
      <c r="A612" s="1">
        <v>1</v>
      </c>
      <c r="B612" s="25">
        <v>2</v>
      </c>
      <c r="C612" s="25">
        <v>3</v>
      </c>
      <c r="D612" s="25">
        <v>4</v>
      </c>
      <c r="E612" s="25">
        <v>5</v>
      </c>
      <c r="F612" s="25">
        <v>6</v>
      </c>
      <c r="G612" s="25">
        <v>7</v>
      </c>
      <c r="H612" s="25">
        <v>8</v>
      </c>
      <c r="I612" s="25">
        <v>9</v>
      </c>
      <c r="J612" s="25">
        <v>10</v>
      </c>
      <c r="K612" s="25">
        <v>11</v>
      </c>
      <c r="L612" s="25">
        <v>12</v>
      </c>
      <c r="M612" s="25">
        <v>13</v>
      </c>
      <c r="N612" s="25">
        <v>14</v>
      </c>
      <c r="O612" s="25">
        <v>15</v>
      </c>
      <c r="P612" s="25">
        <v>16</v>
      </c>
    </row>
    <row r="613" spans="1:16" ht="30">
      <c r="A613" s="207">
        <v>1</v>
      </c>
      <c r="B613" s="217" t="s">
        <v>289</v>
      </c>
      <c r="C613" s="217" t="s">
        <v>290</v>
      </c>
      <c r="D613" s="217" t="s">
        <v>44</v>
      </c>
      <c r="E613" s="217" t="s">
        <v>44</v>
      </c>
      <c r="F613" s="207" t="s">
        <v>44</v>
      </c>
      <c r="G613" s="207" t="s">
        <v>44</v>
      </c>
      <c r="H613" s="207" t="s">
        <v>44</v>
      </c>
      <c r="I613" s="207" t="s">
        <v>44</v>
      </c>
      <c r="J613" s="207" t="s">
        <v>44</v>
      </c>
      <c r="K613" s="207" t="s">
        <v>44</v>
      </c>
      <c r="L613" s="207" t="s">
        <v>44</v>
      </c>
      <c r="M613" s="207" t="s">
        <v>44</v>
      </c>
      <c r="N613" s="207" t="s">
        <v>44</v>
      </c>
      <c r="O613" s="207">
        <v>523026</v>
      </c>
      <c r="P613" s="207" t="s">
        <v>291</v>
      </c>
    </row>
    <row r="614" spans="1:16">
      <c r="A614" s="210"/>
      <c r="B614" s="250"/>
      <c r="C614" s="250"/>
      <c r="D614" s="250"/>
      <c r="E614" s="250"/>
      <c r="F614" s="250"/>
      <c r="G614" s="250"/>
      <c r="H614" s="250"/>
      <c r="I614" s="250"/>
      <c r="J614" s="250"/>
      <c r="K614" s="250"/>
      <c r="L614" s="250"/>
      <c r="M614" s="250"/>
      <c r="N614" s="250"/>
      <c r="O614" s="250"/>
      <c r="P614" s="250"/>
    </row>
    <row r="615" spans="1:16" ht="20.25" customHeight="1">
      <c r="A615" s="252" t="s">
        <v>28</v>
      </c>
      <c r="B615" s="252"/>
      <c r="C615" s="252"/>
      <c r="D615" s="252"/>
      <c r="E615" s="252"/>
      <c r="F615" s="252"/>
      <c r="G615" s="252"/>
      <c r="H615" s="252"/>
      <c r="I615" s="252"/>
      <c r="J615" s="252"/>
      <c r="K615" s="252"/>
      <c r="L615" s="252"/>
      <c r="M615" s="252"/>
      <c r="N615" s="252"/>
      <c r="O615" s="252"/>
      <c r="P615" s="269"/>
    </row>
    <row r="616" spans="1:16" ht="85.5">
      <c r="A616" s="25" t="s">
        <v>0</v>
      </c>
      <c r="B616" s="25" t="s">
        <v>102</v>
      </c>
      <c r="C616" s="25" t="s">
        <v>1</v>
      </c>
      <c r="D616" s="25" t="s">
        <v>109</v>
      </c>
      <c r="E616" s="26" t="s">
        <v>19</v>
      </c>
      <c r="F616" s="26" t="s">
        <v>20</v>
      </c>
      <c r="G616" s="25" t="s">
        <v>100</v>
      </c>
      <c r="H616" s="25" t="s">
        <v>101</v>
      </c>
      <c r="I616" s="25" t="s">
        <v>22</v>
      </c>
      <c r="J616" s="25" t="s">
        <v>5</v>
      </c>
      <c r="K616" s="25" t="s">
        <v>6</v>
      </c>
      <c r="L616" s="25" t="s">
        <v>23</v>
      </c>
      <c r="M616" s="25" t="s">
        <v>24</v>
      </c>
      <c r="N616" s="26" t="s">
        <v>25</v>
      </c>
      <c r="O616" s="24" t="s">
        <v>26</v>
      </c>
      <c r="P616" s="269"/>
    </row>
    <row r="617" spans="1:16">
      <c r="A617" s="219">
        <v>1</v>
      </c>
      <c r="B617" s="224">
        <v>2</v>
      </c>
      <c r="C617" s="224">
        <v>3</v>
      </c>
      <c r="D617" s="224">
        <v>4</v>
      </c>
      <c r="E617" s="224">
        <v>5</v>
      </c>
      <c r="F617" s="224">
        <v>6</v>
      </c>
      <c r="G617" s="224">
        <v>7</v>
      </c>
      <c r="H617" s="224">
        <v>8</v>
      </c>
      <c r="I617" s="224">
        <v>9</v>
      </c>
      <c r="J617" s="224">
        <v>10</v>
      </c>
      <c r="K617" s="224">
        <v>11</v>
      </c>
      <c r="L617" s="224">
        <v>12</v>
      </c>
      <c r="M617" s="224">
        <v>13</v>
      </c>
      <c r="N617" s="224">
        <v>14</v>
      </c>
      <c r="O617" s="224">
        <v>15</v>
      </c>
      <c r="P617" s="269"/>
    </row>
    <row r="618" spans="1:16" ht="30">
      <c r="A618" s="207">
        <v>1</v>
      </c>
      <c r="B618" s="5" t="s">
        <v>289</v>
      </c>
      <c r="C618" s="5" t="s">
        <v>290</v>
      </c>
      <c r="D618" s="5" t="s">
        <v>44</v>
      </c>
      <c r="E618" s="5" t="s">
        <v>292</v>
      </c>
      <c r="F618" s="207" t="s">
        <v>44</v>
      </c>
      <c r="G618" s="207" t="s">
        <v>44</v>
      </c>
      <c r="H618" s="207" t="s">
        <v>44</v>
      </c>
      <c r="I618" s="207" t="s">
        <v>293</v>
      </c>
      <c r="J618" s="207" t="s">
        <v>44</v>
      </c>
      <c r="K618" s="207" t="s">
        <v>44</v>
      </c>
      <c r="L618" s="207" t="s">
        <v>14</v>
      </c>
      <c r="M618" s="207">
        <v>523026</v>
      </c>
      <c r="N618" s="207" t="s">
        <v>44</v>
      </c>
      <c r="O618" s="207" t="s">
        <v>44</v>
      </c>
      <c r="P618" s="269"/>
    </row>
    <row r="619" spans="1:16" s="9" customFormat="1">
      <c r="A619" s="256"/>
      <c r="B619" s="256"/>
      <c r="C619" s="256"/>
      <c r="D619" s="256"/>
      <c r="E619" s="256"/>
      <c r="F619" s="256"/>
      <c r="G619" s="256"/>
      <c r="H619" s="256"/>
      <c r="I619" s="256"/>
      <c r="J619" s="256"/>
      <c r="K619" s="256"/>
      <c r="L619" s="256"/>
      <c r="M619" s="256"/>
      <c r="N619" s="256"/>
      <c r="O619" s="256"/>
      <c r="P619" s="256"/>
    </row>
    <row r="620" spans="1:16" ht="20.25" customHeight="1">
      <c r="A620" s="252" t="s">
        <v>34</v>
      </c>
      <c r="B620" s="252"/>
      <c r="C620" s="252"/>
      <c r="D620" s="252"/>
      <c r="E620" s="252"/>
      <c r="F620" s="252"/>
      <c r="G620" s="252"/>
      <c r="H620" s="252"/>
      <c r="I620" s="252"/>
      <c r="J620" s="252"/>
      <c r="K620" s="252"/>
      <c r="L620" s="252"/>
      <c r="M620" s="252"/>
      <c r="N620" s="252"/>
      <c r="O620" s="252"/>
      <c r="P620" s="269"/>
    </row>
    <row r="621" spans="1:16" ht="85.5">
      <c r="A621" s="25" t="s">
        <v>0</v>
      </c>
      <c r="B621" s="25" t="s">
        <v>102</v>
      </c>
      <c r="C621" s="25" t="s">
        <v>1</v>
      </c>
      <c r="D621" s="25" t="s">
        <v>109</v>
      </c>
      <c r="E621" s="25" t="s">
        <v>29</v>
      </c>
      <c r="F621" s="25" t="s">
        <v>20</v>
      </c>
      <c r="G621" s="25" t="s">
        <v>104</v>
      </c>
      <c r="H621" s="25" t="s">
        <v>101</v>
      </c>
      <c r="I621" s="25" t="s">
        <v>98</v>
      </c>
      <c r="J621" s="25" t="s">
        <v>5</v>
      </c>
      <c r="K621" s="25" t="s">
        <v>6</v>
      </c>
      <c r="L621" s="25" t="s">
        <v>31</v>
      </c>
      <c r="M621" s="25" t="s">
        <v>24</v>
      </c>
      <c r="N621" s="26" t="s">
        <v>32</v>
      </c>
      <c r="O621" s="24" t="s">
        <v>11</v>
      </c>
      <c r="P621" s="269"/>
    </row>
    <row r="622" spans="1:16">
      <c r="A622" s="219">
        <v>1</v>
      </c>
      <c r="B622" s="224">
        <v>2</v>
      </c>
      <c r="C622" s="224">
        <v>3</v>
      </c>
      <c r="D622" s="224">
        <v>4</v>
      </c>
      <c r="E622" s="224">
        <v>5</v>
      </c>
      <c r="F622" s="224">
        <v>6</v>
      </c>
      <c r="G622" s="224">
        <v>7</v>
      </c>
      <c r="H622" s="224">
        <v>8</v>
      </c>
      <c r="I622" s="224">
        <v>9</v>
      </c>
      <c r="J622" s="224">
        <v>10</v>
      </c>
      <c r="K622" s="224">
        <v>11</v>
      </c>
      <c r="L622" s="224">
        <v>12</v>
      </c>
      <c r="M622" s="224">
        <v>13</v>
      </c>
      <c r="N622" s="224">
        <v>14</v>
      </c>
      <c r="O622" s="224">
        <v>15</v>
      </c>
      <c r="P622" s="269"/>
    </row>
    <row r="623" spans="1:16" ht="45">
      <c r="A623" s="207">
        <v>1</v>
      </c>
      <c r="B623" s="217" t="s">
        <v>289</v>
      </c>
      <c r="C623" s="217" t="s">
        <v>290</v>
      </c>
      <c r="D623" s="217" t="s">
        <v>44</v>
      </c>
      <c r="E623" s="217" t="s">
        <v>294</v>
      </c>
      <c r="F623" s="207" t="s">
        <v>44</v>
      </c>
      <c r="G623" s="207" t="s">
        <v>44</v>
      </c>
      <c r="H623" s="207" t="s">
        <v>40</v>
      </c>
      <c r="I623" s="207" t="s">
        <v>293</v>
      </c>
      <c r="J623" s="207" t="s">
        <v>44</v>
      </c>
      <c r="K623" s="207" t="s">
        <v>44</v>
      </c>
      <c r="L623" s="207" t="s">
        <v>14</v>
      </c>
      <c r="M623" s="207">
        <v>523026</v>
      </c>
      <c r="N623" s="207" t="s">
        <v>44</v>
      </c>
      <c r="O623" s="217" t="s">
        <v>295</v>
      </c>
      <c r="P623" s="269"/>
    </row>
    <row r="624" spans="1:16">
      <c r="A624" s="250"/>
      <c r="B624" s="250"/>
      <c r="C624" s="250"/>
      <c r="D624" s="250"/>
      <c r="E624" s="250"/>
      <c r="F624" s="250"/>
      <c r="G624" s="250"/>
      <c r="H624" s="250"/>
      <c r="I624" s="250"/>
      <c r="J624" s="250"/>
      <c r="K624" s="250"/>
      <c r="L624" s="250"/>
      <c r="M624" s="250"/>
      <c r="N624" s="250"/>
      <c r="O624" s="250"/>
      <c r="P624" s="250"/>
    </row>
    <row r="625" spans="1:16" ht="20.25">
      <c r="A625" s="252" t="s">
        <v>35</v>
      </c>
      <c r="B625" s="252"/>
      <c r="C625" s="252"/>
      <c r="D625" s="252"/>
      <c r="E625" s="252"/>
      <c r="F625" s="252"/>
      <c r="G625" s="252"/>
      <c r="H625" s="252"/>
      <c r="I625" s="252"/>
      <c r="J625" s="252"/>
      <c r="K625" s="252"/>
      <c r="L625" s="252"/>
      <c r="M625" s="252"/>
      <c r="N625" s="252"/>
      <c r="O625" s="252"/>
      <c r="P625" s="252"/>
    </row>
    <row r="626" spans="1:16" ht="85.5">
      <c r="A626" s="25" t="s">
        <v>0</v>
      </c>
      <c r="B626" s="25" t="s">
        <v>102</v>
      </c>
      <c r="C626" s="25" t="s">
        <v>1</v>
      </c>
      <c r="D626" s="25" t="s">
        <v>109</v>
      </c>
      <c r="E626" s="25" t="s">
        <v>29</v>
      </c>
      <c r="F626" s="25" t="s">
        <v>20</v>
      </c>
      <c r="G626" s="25" t="s">
        <v>97</v>
      </c>
      <c r="H626" s="25" t="s">
        <v>101</v>
      </c>
      <c r="I626" s="25" t="s">
        <v>98</v>
      </c>
      <c r="J626" s="25" t="s">
        <v>5</v>
      </c>
      <c r="K626" s="25" t="s">
        <v>6</v>
      </c>
      <c r="L626" s="25" t="s">
        <v>31</v>
      </c>
      <c r="M626" s="25" t="s">
        <v>24</v>
      </c>
      <c r="N626" s="26" t="s">
        <v>33</v>
      </c>
      <c r="O626" s="26" t="s">
        <v>32</v>
      </c>
      <c r="P626" s="24" t="s">
        <v>26</v>
      </c>
    </row>
    <row r="627" spans="1:16">
      <c r="A627" s="219">
        <v>1</v>
      </c>
      <c r="B627" s="224">
        <v>2</v>
      </c>
      <c r="C627" s="224">
        <v>3</v>
      </c>
      <c r="D627" s="224">
        <v>4</v>
      </c>
      <c r="E627" s="224">
        <v>5</v>
      </c>
      <c r="F627" s="224">
        <v>6</v>
      </c>
      <c r="G627" s="224">
        <v>7</v>
      </c>
      <c r="H627" s="224">
        <v>8</v>
      </c>
      <c r="I627" s="224">
        <v>9</v>
      </c>
      <c r="J627" s="224">
        <v>10</v>
      </c>
      <c r="K627" s="224">
        <v>11</v>
      </c>
      <c r="L627" s="224">
        <v>12</v>
      </c>
      <c r="M627" s="224">
        <v>13</v>
      </c>
      <c r="N627" s="224">
        <v>14</v>
      </c>
      <c r="O627" s="224">
        <v>15</v>
      </c>
      <c r="P627" s="25">
        <v>16</v>
      </c>
    </row>
    <row r="628" spans="1:16" ht="135">
      <c r="A628" s="207">
        <v>1</v>
      </c>
      <c r="B628" s="207" t="s">
        <v>289</v>
      </c>
      <c r="C628" s="207" t="s">
        <v>290</v>
      </c>
      <c r="D628" s="207" t="s">
        <v>44</v>
      </c>
      <c r="E628" s="207" t="s">
        <v>296</v>
      </c>
      <c r="F628" s="207" t="s">
        <v>44</v>
      </c>
      <c r="G628" s="207" t="s">
        <v>44</v>
      </c>
      <c r="H628" s="207" t="s">
        <v>40</v>
      </c>
      <c r="I628" s="207" t="s">
        <v>293</v>
      </c>
      <c r="J628" s="207" t="s">
        <v>44</v>
      </c>
      <c r="K628" s="207" t="s">
        <v>44</v>
      </c>
      <c r="L628" s="207" t="s">
        <v>14</v>
      </c>
      <c r="M628" s="207">
        <v>523026</v>
      </c>
      <c r="N628" s="207" t="s">
        <v>44</v>
      </c>
      <c r="O628" s="207" t="s">
        <v>295</v>
      </c>
      <c r="P628" s="217" t="s">
        <v>297</v>
      </c>
    </row>
    <row r="629" spans="1:16">
      <c r="A629" s="288"/>
      <c r="B629" s="288"/>
      <c r="C629" s="288"/>
      <c r="D629" s="288"/>
      <c r="E629" s="288"/>
      <c r="F629" s="288"/>
      <c r="G629" s="288"/>
      <c r="H629" s="288"/>
      <c r="I629" s="288"/>
      <c r="J629" s="288"/>
      <c r="K629" s="288"/>
      <c r="L629" s="288"/>
      <c r="M629" s="288"/>
      <c r="N629" s="288"/>
      <c r="O629" s="288"/>
      <c r="P629" s="288"/>
    </row>
  </sheetData>
  <mergeCells count="1514">
    <mergeCell ref="A518:O518"/>
    <mergeCell ref="A523:P523"/>
    <mergeCell ref="A524:P524"/>
    <mergeCell ref="A602:O602"/>
    <mergeCell ref="A530:P530"/>
    <mergeCell ref="A534:O534"/>
    <mergeCell ref="A539:O539"/>
    <mergeCell ref="A541:P541"/>
    <mergeCell ref="A544:P544"/>
    <mergeCell ref="P531:P534"/>
    <mergeCell ref="P620:P623"/>
    <mergeCell ref="A608:P608"/>
    <mergeCell ref="A603:P603"/>
    <mergeCell ref="A615:O615"/>
    <mergeCell ref="P615:P618"/>
    <mergeCell ref="A599:O599"/>
    <mergeCell ref="P599:P602"/>
    <mergeCell ref="A597:O597"/>
    <mergeCell ref="A594:O594"/>
    <mergeCell ref="P594:P597"/>
    <mergeCell ref="A582:P582"/>
    <mergeCell ref="A578:O578"/>
    <mergeCell ref="P578:P581"/>
    <mergeCell ref="A577:P577"/>
    <mergeCell ref="A520:P520"/>
    <mergeCell ref="A525:P525"/>
    <mergeCell ref="A526:P526"/>
    <mergeCell ref="A529:P529"/>
    <mergeCell ref="A519:P519"/>
    <mergeCell ref="A404:P404"/>
    <mergeCell ref="P401:P403"/>
    <mergeCell ref="A409:P409"/>
    <mergeCell ref="P406:P408"/>
    <mergeCell ref="A429:P429"/>
    <mergeCell ref="A424:O424"/>
    <mergeCell ref="P424:P428"/>
    <mergeCell ref="A430:O430"/>
    <mergeCell ref="P430:P433"/>
    <mergeCell ref="A434:P434"/>
    <mergeCell ref="A619:P619"/>
    <mergeCell ref="A620:O620"/>
    <mergeCell ref="A573:O573"/>
    <mergeCell ref="P573:P576"/>
    <mergeCell ref="A572:P572"/>
    <mergeCell ref="A561:P561"/>
    <mergeCell ref="A557:O557"/>
    <mergeCell ref="A556:P556"/>
    <mergeCell ref="P557:P560"/>
    <mergeCell ref="P553:P555"/>
    <mergeCell ref="A531:O531"/>
    <mergeCell ref="A535:P535"/>
    <mergeCell ref="A536:O536"/>
    <mergeCell ref="A540:P540"/>
    <mergeCell ref="P536:P539"/>
    <mergeCell ref="A607:O607"/>
    <mergeCell ref="A547:P547"/>
    <mergeCell ref="A505:P505"/>
    <mergeCell ref="P515:P518"/>
    <mergeCell ref="A514:P514"/>
    <mergeCell ref="A510:O510"/>
    <mergeCell ref="P510:P513"/>
    <mergeCell ref="P29:P32"/>
    <mergeCell ref="P34:P37"/>
    <mergeCell ref="A38:P38"/>
    <mergeCell ref="A68:P68"/>
    <mergeCell ref="P57:P67"/>
    <mergeCell ref="A80:P80"/>
    <mergeCell ref="P69:P79"/>
    <mergeCell ref="A103:P103"/>
    <mergeCell ref="P99:P102"/>
    <mergeCell ref="P104:P107"/>
    <mergeCell ref="A108:P108"/>
    <mergeCell ref="A184:P184"/>
    <mergeCell ref="P150:P183"/>
    <mergeCell ref="A219:P219"/>
    <mergeCell ref="P185:P218"/>
    <mergeCell ref="A99:O99"/>
    <mergeCell ref="A8:O8"/>
    <mergeCell ref="A29:O29"/>
    <mergeCell ref="A57:O57"/>
    <mergeCell ref="A150:O150"/>
    <mergeCell ref="D191:O191"/>
    <mergeCell ref="D192:O192"/>
    <mergeCell ref="D176:O176"/>
    <mergeCell ref="D178:O178"/>
    <mergeCell ref="D182:O182"/>
    <mergeCell ref="D183:O183"/>
    <mergeCell ref="D188:O188"/>
    <mergeCell ref="A185:O185"/>
    <mergeCell ref="D146:O146"/>
    <mergeCell ref="A296:P296"/>
    <mergeCell ref="A292:P292"/>
    <mergeCell ref="D339:O339"/>
    <mergeCell ref="D340:O340"/>
    <mergeCell ref="A297:P297"/>
    <mergeCell ref="A298:P298"/>
    <mergeCell ref="A286:P286"/>
    <mergeCell ref="P282:P285"/>
    <mergeCell ref="P287:P290"/>
    <mergeCell ref="A291:P291"/>
    <mergeCell ref="A12:P12"/>
    <mergeCell ref="A254:P254"/>
    <mergeCell ref="A265:P265"/>
    <mergeCell ref="P261:P264"/>
    <mergeCell ref="A270:P270"/>
    <mergeCell ref="P266:P269"/>
    <mergeCell ref="P321:P345"/>
    <mergeCell ref="D195:O195"/>
    <mergeCell ref="D196:O196"/>
    <mergeCell ref="D197:O197"/>
    <mergeCell ref="D170:O170"/>
    <mergeCell ref="D171:O171"/>
    <mergeCell ref="D172:O172"/>
    <mergeCell ref="D173:O173"/>
    <mergeCell ref="D174:O174"/>
    <mergeCell ref="D175:O175"/>
    <mergeCell ref="D147:O147"/>
    <mergeCell ref="A342:A343"/>
    <mergeCell ref="D148:O148"/>
    <mergeCell ref="A149:P149"/>
    <mergeCell ref="C89:P89"/>
    <mergeCell ref="D233:O233"/>
    <mergeCell ref="D386:P386"/>
    <mergeCell ref="D387:P387"/>
    <mergeCell ref="D388:P388"/>
    <mergeCell ref="D389:P389"/>
    <mergeCell ref="D390:P390"/>
    <mergeCell ref="D392:P392"/>
    <mergeCell ref="D215:O215"/>
    <mergeCell ref="D216:O216"/>
    <mergeCell ref="D217:O217"/>
    <mergeCell ref="D218:O218"/>
    <mergeCell ref="D223:P223"/>
    <mergeCell ref="D224:P224"/>
    <mergeCell ref="D225:P225"/>
    <mergeCell ref="D226:P226"/>
    <mergeCell ref="D227:P227"/>
    <mergeCell ref="B342:B344"/>
    <mergeCell ref="C342:C344"/>
    <mergeCell ref="A370:P370"/>
    <mergeCell ref="E324:O324"/>
    <mergeCell ref="D325:O325"/>
    <mergeCell ref="D326:O326"/>
    <mergeCell ref="D327:O327"/>
    <mergeCell ref="D329:O329"/>
    <mergeCell ref="D330:O330"/>
    <mergeCell ref="D331:O331"/>
    <mergeCell ref="D332:O332"/>
    <mergeCell ref="A336:A337"/>
    <mergeCell ref="D228:P228"/>
    <mergeCell ref="D229:P229"/>
    <mergeCell ref="D230:P230"/>
    <mergeCell ref="D231:P231"/>
    <mergeCell ref="D232:P232"/>
    <mergeCell ref="A629:P629"/>
    <mergeCell ref="D235:P235"/>
    <mergeCell ref="D236:P236"/>
    <mergeCell ref="D237:P237"/>
    <mergeCell ref="D238:P238"/>
    <mergeCell ref="D239:P239"/>
    <mergeCell ref="D240:P240"/>
    <mergeCell ref="A423:P423"/>
    <mergeCell ref="A438:P438"/>
    <mergeCell ref="A439:P439"/>
    <mergeCell ref="A433:O433"/>
    <mergeCell ref="D241:P241"/>
    <mergeCell ref="D242:P242"/>
    <mergeCell ref="D243:P243"/>
    <mergeCell ref="D244:P244"/>
    <mergeCell ref="D315:P315"/>
    <mergeCell ref="A321:O321"/>
    <mergeCell ref="A274:P274"/>
    <mergeCell ref="A275:P275"/>
    <mergeCell ref="A347:O347"/>
    <mergeCell ref="A266:O266"/>
    <mergeCell ref="A261:O261"/>
    <mergeCell ref="D245:P245"/>
    <mergeCell ref="D246:P246"/>
    <mergeCell ref="D247:P247"/>
    <mergeCell ref="D248:P248"/>
    <mergeCell ref="D249:P249"/>
    <mergeCell ref="D250:P250"/>
    <mergeCell ref="D251:P251"/>
    <mergeCell ref="D252:P252"/>
    <mergeCell ref="D253:P253"/>
    <mergeCell ref="D385:P385"/>
    <mergeCell ref="D234:P234"/>
    <mergeCell ref="D198:N198"/>
    <mergeCell ref="D199:O199"/>
    <mergeCell ref="D200:O200"/>
    <mergeCell ref="D201:O201"/>
    <mergeCell ref="D202:O202"/>
    <mergeCell ref="D203:O203"/>
    <mergeCell ref="D204:O204"/>
    <mergeCell ref="D205:O205"/>
    <mergeCell ref="D206:O206"/>
    <mergeCell ref="D207:O207"/>
    <mergeCell ref="D208:O208"/>
    <mergeCell ref="D209:O209"/>
    <mergeCell ref="D210:O210"/>
    <mergeCell ref="D211:O211"/>
    <mergeCell ref="D212:O212"/>
    <mergeCell ref="D213:O213"/>
    <mergeCell ref="D214:O214"/>
    <mergeCell ref="D193:O193"/>
    <mergeCell ref="D194:O194"/>
    <mergeCell ref="D127:P127"/>
    <mergeCell ref="D129:O129"/>
    <mergeCell ref="D130:P130"/>
    <mergeCell ref="D131:P131"/>
    <mergeCell ref="D133:P133"/>
    <mergeCell ref="D134:P134"/>
    <mergeCell ref="D135:P135"/>
    <mergeCell ref="D136:P136"/>
    <mergeCell ref="D137:P137"/>
    <mergeCell ref="D138:P138"/>
    <mergeCell ref="D139:P139"/>
    <mergeCell ref="D140:P140"/>
    <mergeCell ref="D141:P141"/>
    <mergeCell ref="D142:O142"/>
    <mergeCell ref="D143:O143"/>
    <mergeCell ref="D155:O155"/>
    <mergeCell ref="D156:O156"/>
    <mergeCell ref="D157:O157"/>
    <mergeCell ref="D158:O158"/>
    <mergeCell ref="D168:O168"/>
    <mergeCell ref="D169:O169"/>
    <mergeCell ref="A102:O102"/>
    <mergeCell ref="A107:O107"/>
    <mergeCell ref="A69:O69"/>
    <mergeCell ref="A104:O104"/>
    <mergeCell ref="A109:P109"/>
    <mergeCell ref="A112:P112"/>
    <mergeCell ref="A113:P113"/>
    <mergeCell ref="D118:P118"/>
    <mergeCell ref="D119:P119"/>
    <mergeCell ref="A7:P7"/>
    <mergeCell ref="A6:P6"/>
    <mergeCell ref="A11:O11"/>
    <mergeCell ref="A16:O16"/>
    <mergeCell ref="A17:O17"/>
    <mergeCell ref="A22:P22"/>
    <mergeCell ref="A27:P27"/>
    <mergeCell ref="A32:O32"/>
    <mergeCell ref="A37:O37"/>
    <mergeCell ref="A34:O34"/>
    <mergeCell ref="A42:P42"/>
    <mergeCell ref="A43:P43"/>
    <mergeCell ref="A56:P56"/>
    <mergeCell ref="A92:P92"/>
    <mergeCell ref="A21:P21"/>
    <mergeCell ref="C72:O72"/>
    <mergeCell ref="C73:O73"/>
    <mergeCell ref="C74:O74"/>
    <mergeCell ref="C75:O75"/>
    <mergeCell ref="C76:O76"/>
    <mergeCell ref="P8:P11"/>
    <mergeCell ref="P13:P17"/>
    <mergeCell ref="A33:P33"/>
    <mergeCell ref="C60:O60"/>
    <mergeCell ref="C61:O61"/>
    <mergeCell ref="C62:O62"/>
    <mergeCell ref="C63:O63"/>
    <mergeCell ref="C66:O66"/>
    <mergeCell ref="C67:O67"/>
    <mergeCell ref="A13:O13"/>
    <mergeCell ref="C87:P87"/>
    <mergeCell ref="C88:P88"/>
    <mergeCell ref="A462:P462"/>
    <mergeCell ref="A465:P465"/>
    <mergeCell ref="A498:P498"/>
    <mergeCell ref="A494:O494"/>
    <mergeCell ref="P494:P497"/>
    <mergeCell ref="A466:P466"/>
    <mergeCell ref="A467:P467"/>
    <mergeCell ref="P468:P471"/>
    <mergeCell ref="A470:O470"/>
    <mergeCell ref="A471:O471"/>
    <mergeCell ref="A493:P493"/>
    <mergeCell ref="A488:O488"/>
    <mergeCell ref="P488:P492"/>
    <mergeCell ref="A435:P435"/>
    <mergeCell ref="A440:P440"/>
    <mergeCell ref="A441:P441"/>
    <mergeCell ref="A446:P446"/>
    <mergeCell ref="A451:P451"/>
    <mergeCell ref="A456:P456"/>
    <mergeCell ref="A444:P444"/>
    <mergeCell ref="C65:O65"/>
    <mergeCell ref="A97:P97"/>
    <mergeCell ref="A98:P98"/>
    <mergeCell ref="A625:P625"/>
    <mergeCell ref="A588:P588"/>
    <mergeCell ref="A589:P589"/>
    <mergeCell ref="A604:P604"/>
    <mergeCell ref="A609:P609"/>
    <mergeCell ref="A610:P610"/>
    <mergeCell ref="A567:P567"/>
    <mergeCell ref="A568:P568"/>
    <mergeCell ref="A583:P583"/>
    <mergeCell ref="A586:P586"/>
    <mergeCell ref="A587:P587"/>
    <mergeCell ref="B614:P614"/>
    <mergeCell ref="A571:O571"/>
    <mergeCell ref="A576:O576"/>
    <mergeCell ref="A581:O581"/>
    <mergeCell ref="A592:P592"/>
    <mergeCell ref="A593:P593"/>
    <mergeCell ref="A598:P598"/>
    <mergeCell ref="A624:P624"/>
    <mergeCell ref="A445:P445"/>
    <mergeCell ref="A449:O449"/>
    <mergeCell ref="A450:O450"/>
    <mergeCell ref="A454:O454"/>
    <mergeCell ref="A455:O455"/>
    <mergeCell ref="P452:P455"/>
    <mergeCell ref="P447:P450"/>
    <mergeCell ref="A459:P459"/>
    <mergeCell ref="A460:P460"/>
    <mergeCell ref="A461:P461"/>
    <mergeCell ref="A415:P415"/>
    <mergeCell ref="A416:P416"/>
    <mergeCell ref="C177:N177"/>
    <mergeCell ref="D301:P301"/>
    <mergeCell ref="D302:P302"/>
    <mergeCell ref="D303:P303"/>
    <mergeCell ref="D304:P304"/>
    <mergeCell ref="D305:P305"/>
    <mergeCell ref="D306:P306"/>
    <mergeCell ref="D309:P309"/>
    <mergeCell ref="D368:O368"/>
    <mergeCell ref="A374:C374"/>
    <mergeCell ref="D374:P374"/>
    <mergeCell ref="D375:P375"/>
    <mergeCell ref="B336:B337"/>
    <mergeCell ref="C336:C337"/>
    <mergeCell ref="A320:P320"/>
    <mergeCell ref="D313:P313"/>
    <mergeCell ref="D181:O181"/>
    <mergeCell ref="D354:O354"/>
    <mergeCell ref="A410:P410"/>
    <mergeCell ref="A394:P394"/>
    <mergeCell ref="A395:P395"/>
    <mergeCell ref="A400:P400"/>
    <mergeCell ref="D189:O189"/>
    <mergeCell ref="D190:O190"/>
    <mergeCell ref="XBW44:XCL44"/>
    <mergeCell ref="XCM44:XDB44"/>
    <mergeCell ref="C48:P48"/>
    <mergeCell ref="C49:P49"/>
    <mergeCell ref="C50:P50"/>
    <mergeCell ref="C51:P51"/>
    <mergeCell ref="C52:P52"/>
    <mergeCell ref="C53:P53"/>
    <mergeCell ref="C54:P54"/>
    <mergeCell ref="WWI44:WWX44"/>
    <mergeCell ref="WWY44:WXN44"/>
    <mergeCell ref="WXO44:WYD44"/>
    <mergeCell ref="WYE44:WYT44"/>
    <mergeCell ref="WYU44:WZJ44"/>
    <mergeCell ref="WZK44:WZZ44"/>
    <mergeCell ref="XAA44:XAP44"/>
    <mergeCell ref="XAQ44:XBF44"/>
    <mergeCell ref="XBG44:XBV44"/>
    <mergeCell ref="WQU44:WRJ44"/>
    <mergeCell ref="WRK44:WRZ44"/>
    <mergeCell ref="WSA44:WSP44"/>
    <mergeCell ref="WSQ44:WTF44"/>
    <mergeCell ref="WTG44:WTV44"/>
    <mergeCell ref="WTW44:WUL44"/>
    <mergeCell ref="WUM44:WVB44"/>
    <mergeCell ref="WVC44:WVR44"/>
    <mergeCell ref="WVS44:WWH44"/>
    <mergeCell ref="WMM44:WNB44"/>
    <mergeCell ref="WNC44:WNR44"/>
    <mergeCell ref="WNS44:WOH44"/>
    <mergeCell ref="WOI44:WOX44"/>
    <mergeCell ref="WOY44:WPN44"/>
    <mergeCell ref="WPO44:WQD44"/>
    <mergeCell ref="WQE44:WQT44"/>
    <mergeCell ref="WFS44:WGH44"/>
    <mergeCell ref="WGI44:WGX44"/>
    <mergeCell ref="WGY44:WHN44"/>
    <mergeCell ref="WHO44:WID44"/>
    <mergeCell ref="WIE44:WIT44"/>
    <mergeCell ref="WIU44:WJJ44"/>
    <mergeCell ref="WJK44:WJZ44"/>
    <mergeCell ref="WKA44:WKP44"/>
    <mergeCell ref="WKQ44:WLF44"/>
    <mergeCell ref="WAE44:WAT44"/>
    <mergeCell ref="WAU44:WBJ44"/>
    <mergeCell ref="WBK44:WBZ44"/>
    <mergeCell ref="WCA44:WCP44"/>
    <mergeCell ref="WCQ44:WDF44"/>
    <mergeCell ref="WDG44:WDV44"/>
    <mergeCell ref="WDW44:WEL44"/>
    <mergeCell ref="WEM44:WFB44"/>
    <mergeCell ref="WFC44:WFR44"/>
    <mergeCell ref="WLG44:WLV44"/>
    <mergeCell ref="WLW44:WML44"/>
    <mergeCell ref="VVG44:VVV44"/>
    <mergeCell ref="VVW44:VWL44"/>
    <mergeCell ref="VWM44:VXB44"/>
    <mergeCell ref="VXC44:VXR44"/>
    <mergeCell ref="VXS44:VYH44"/>
    <mergeCell ref="VYI44:VYX44"/>
    <mergeCell ref="VYY44:VZN44"/>
    <mergeCell ref="VZO44:WAD44"/>
    <mergeCell ref="VPC44:VPR44"/>
    <mergeCell ref="VPS44:VQH44"/>
    <mergeCell ref="VQI44:VQX44"/>
    <mergeCell ref="VQY44:VRN44"/>
    <mergeCell ref="VRO44:VSD44"/>
    <mergeCell ref="VSE44:VST44"/>
    <mergeCell ref="VSU44:VTJ44"/>
    <mergeCell ref="VTK44:VTZ44"/>
    <mergeCell ref="VUA44:VUP44"/>
    <mergeCell ref="VUQ44:VVF44"/>
    <mergeCell ref="VJO44:VKD44"/>
    <mergeCell ref="VKE44:VKT44"/>
    <mergeCell ref="VKU44:VLJ44"/>
    <mergeCell ref="VLK44:VLZ44"/>
    <mergeCell ref="VMA44:VMP44"/>
    <mergeCell ref="VMQ44:VNF44"/>
    <mergeCell ref="VNG44:VNV44"/>
    <mergeCell ref="VNW44:VOL44"/>
    <mergeCell ref="VOM44:VPB44"/>
    <mergeCell ref="VEA44:VEP44"/>
    <mergeCell ref="VEQ44:VFF44"/>
    <mergeCell ref="VFG44:VFV44"/>
    <mergeCell ref="VFW44:VGL44"/>
    <mergeCell ref="VGM44:VHB44"/>
    <mergeCell ref="VHC44:VHR44"/>
    <mergeCell ref="VHS44:VIH44"/>
    <mergeCell ref="VII44:VIX44"/>
    <mergeCell ref="VIY44:VJN44"/>
    <mergeCell ref="UYM44:UZB44"/>
    <mergeCell ref="UZC44:UZR44"/>
    <mergeCell ref="UZS44:VAH44"/>
    <mergeCell ref="VAI44:VAX44"/>
    <mergeCell ref="VAY44:VBN44"/>
    <mergeCell ref="VBO44:VCD44"/>
    <mergeCell ref="VCE44:VCT44"/>
    <mergeCell ref="VCU44:VDJ44"/>
    <mergeCell ref="VDK44:VDZ44"/>
    <mergeCell ref="USY44:UTN44"/>
    <mergeCell ref="UTO44:UUD44"/>
    <mergeCell ref="UUE44:UUT44"/>
    <mergeCell ref="UUU44:UVJ44"/>
    <mergeCell ref="UVK44:UVZ44"/>
    <mergeCell ref="UWA44:UWP44"/>
    <mergeCell ref="UWQ44:UXF44"/>
    <mergeCell ref="UXG44:UXV44"/>
    <mergeCell ref="UXW44:UYL44"/>
    <mergeCell ref="UNK44:UNZ44"/>
    <mergeCell ref="UOA44:UOP44"/>
    <mergeCell ref="UOQ44:UPF44"/>
    <mergeCell ref="UPG44:UPV44"/>
    <mergeCell ref="UPW44:UQL44"/>
    <mergeCell ref="UQM44:URB44"/>
    <mergeCell ref="URC44:URR44"/>
    <mergeCell ref="URS44:USH44"/>
    <mergeCell ref="USI44:USX44"/>
    <mergeCell ref="UHW44:UIL44"/>
    <mergeCell ref="UIM44:UJB44"/>
    <mergeCell ref="UJC44:UJR44"/>
    <mergeCell ref="UJS44:UKH44"/>
    <mergeCell ref="UKI44:UKX44"/>
    <mergeCell ref="UKY44:ULN44"/>
    <mergeCell ref="ULO44:UMD44"/>
    <mergeCell ref="UME44:UMT44"/>
    <mergeCell ref="UMU44:UNJ44"/>
    <mergeCell ref="UCI44:UCX44"/>
    <mergeCell ref="UCY44:UDN44"/>
    <mergeCell ref="UDO44:UED44"/>
    <mergeCell ref="UEE44:UET44"/>
    <mergeCell ref="UEU44:UFJ44"/>
    <mergeCell ref="UFK44:UFZ44"/>
    <mergeCell ref="UGA44:UGP44"/>
    <mergeCell ref="UGQ44:UHF44"/>
    <mergeCell ref="UHG44:UHV44"/>
    <mergeCell ref="TWU44:TXJ44"/>
    <mergeCell ref="TXK44:TXZ44"/>
    <mergeCell ref="TYA44:TYP44"/>
    <mergeCell ref="TYQ44:TZF44"/>
    <mergeCell ref="TZG44:TZV44"/>
    <mergeCell ref="TZW44:UAL44"/>
    <mergeCell ref="UAM44:UBB44"/>
    <mergeCell ref="UBC44:UBR44"/>
    <mergeCell ref="UBS44:UCH44"/>
    <mergeCell ref="TRG44:TRV44"/>
    <mergeCell ref="TRW44:TSL44"/>
    <mergeCell ref="TSM44:TTB44"/>
    <mergeCell ref="TTC44:TTR44"/>
    <mergeCell ref="TTS44:TUH44"/>
    <mergeCell ref="TUI44:TUX44"/>
    <mergeCell ref="TUY44:TVN44"/>
    <mergeCell ref="TVO44:TWD44"/>
    <mergeCell ref="TWE44:TWT44"/>
    <mergeCell ref="TLS44:TMH44"/>
    <mergeCell ref="TMI44:TMX44"/>
    <mergeCell ref="TMY44:TNN44"/>
    <mergeCell ref="TNO44:TOD44"/>
    <mergeCell ref="TOE44:TOT44"/>
    <mergeCell ref="TOU44:TPJ44"/>
    <mergeCell ref="TPK44:TPZ44"/>
    <mergeCell ref="TQA44:TQP44"/>
    <mergeCell ref="TQQ44:TRF44"/>
    <mergeCell ref="TGE44:TGT44"/>
    <mergeCell ref="TGU44:THJ44"/>
    <mergeCell ref="THK44:THZ44"/>
    <mergeCell ref="TIA44:TIP44"/>
    <mergeCell ref="TIQ44:TJF44"/>
    <mergeCell ref="TJG44:TJV44"/>
    <mergeCell ref="TJW44:TKL44"/>
    <mergeCell ref="TKM44:TLB44"/>
    <mergeCell ref="TLC44:TLR44"/>
    <mergeCell ref="TAQ44:TBF44"/>
    <mergeCell ref="TBG44:TBV44"/>
    <mergeCell ref="TBW44:TCL44"/>
    <mergeCell ref="TCM44:TDB44"/>
    <mergeCell ref="TDC44:TDR44"/>
    <mergeCell ref="TDS44:TEH44"/>
    <mergeCell ref="TEI44:TEX44"/>
    <mergeCell ref="TEY44:TFN44"/>
    <mergeCell ref="TFO44:TGD44"/>
    <mergeCell ref="SVC44:SVR44"/>
    <mergeCell ref="SVS44:SWH44"/>
    <mergeCell ref="SWI44:SWX44"/>
    <mergeCell ref="SWY44:SXN44"/>
    <mergeCell ref="SXO44:SYD44"/>
    <mergeCell ref="SYE44:SYT44"/>
    <mergeCell ref="SYU44:SZJ44"/>
    <mergeCell ref="SZK44:SZZ44"/>
    <mergeCell ref="TAA44:TAP44"/>
    <mergeCell ref="SPO44:SQD44"/>
    <mergeCell ref="SQE44:SQT44"/>
    <mergeCell ref="SQU44:SRJ44"/>
    <mergeCell ref="SRK44:SRZ44"/>
    <mergeCell ref="SSA44:SSP44"/>
    <mergeCell ref="SSQ44:STF44"/>
    <mergeCell ref="STG44:STV44"/>
    <mergeCell ref="STW44:SUL44"/>
    <mergeCell ref="SUM44:SVB44"/>
    <mergeCell ref="SKA44:SKP44"/>
    <mergeCell ref="SKQ44:SLF44"/>
    <mergeCell ref="SLG44:SLV44"/>
    <mergeCell ref="SLW44:SML44"/>
    <mergeCell ref="SMM44:SNB44"/>
    <mergeCell ref="SNC44:SNR44"/>
    <mergeCell ref="SNS44:SOH44"/>
    <mergeCell ref="SOI44:SOX44"/>
    <mergeCell ref="SOY44:SPN44"/>
    <mergeCell ref="SEM44:SFB44"/>
    <mergeCell ref="SFC44:SFR44"/>
    <mergeCell ref="SFS44:SGH44"/>
    <mergeCell ref="SGI44:SGX44"/>
    <mergeCell ref="SGY44:SHN44"/>
    <mergeCell ref="SHO44:SID44"/>
    <mergeCell ref="SIE44:SIT44"/>
    <mergeCell ref="SIU44:SJJ44"/>
    <mergeCell ref="SJK44:SJZ44"/>
    <mergeCell ref="RYY44:RZN44"/>
    <mergeCell ref="RZO44:SAD44"/>
    <mergeCell ref="SAE44:SAT44"/>
    <mergeCell ref="SAU44:SBJ44"/>
    <mergeCell ref="SBK44:SBZ44"/>
    <mergeCell ref="SCA44:SCP44"/>
    <mergeCell ref="SCQ44:SDF44"/>
    <mergeCell ref="SDG44:SDV44"/>
    <mergeCell ref="SDW44:SEL44"/>
    <mergeCell ref="RTK44:RTZ44"/>
    <mergeCell ref="RUA44:RUP44"/>
    <mergeCell ref="RUQ44:RVF44"/>
    <mergeCell ref="RVG44:RVV44"/>
    <mergeCell ref="RVW44:RWL44"/>
    <mergeCell ref="RWM44:RXB44"/>
    <mergeCell ref="RXC44:RXR44"/>
    <mergeCell ref="RXS44:RYH44"/>
    <mergeCell ref="RYI44:RYX44"/>
    <mergeCell ref="RNW44:ROL44"/>
    <mergeCell ref="ROM44:RPB44"/>
    <mergeCell ref="RPC44:RPR44"/>
    <mergeCell ref="RPS44:RQH44"/>
    <mergeCell ref="RQI44:RQX44"/>
    <mergeCell ref="RQY44:RRN44"/>
    <mergeCell ref="RRO44:RSD44"/>
    <mergeCell ref="RSE44:RST44"/>
    <mergeCell ref="RSU44:RTJ44"/>
    <mergeCell ref="RII44:RIX44"/>
    <mergeCell ref="RIY44:RJN44"/>
    <mergeCell ref="RJO44:RKD44"/>
    <mergeCell ref="RKE44:RKT44"/>
    <mergeCell ref="RKU44:RLJ44"/>
    <mergeCell ref="RLK44:RLZ44"/>
    <mergeCell ref="RMA44:RMP44"/>
    <mergeCell ref="RMQ44:RNF44"/>
    <mergeCell ref="RNG44:RNV44"/>
    <mergeCell ref="RCU44:RDJ44"/>
    <mergeCell ref="RDK44:RDZ44"/>
    <mergeCell ref="REA44:REP44"/>
    <mergeCell ref="REQ44:RFF44"/>
    <mergeCell ref="RFG44:RFV44"/>
    <mergeCell ref="RFW44:RGL44"/>
    <mergeCell ref="RGM44:RHB44"/>
    <mergeCell ref="RHC44:RHR44"/>
    <mergeCell ref="RHS44:RIH44"/>
    <mergeCell ref="QXG44:QXV44"/>
    <mergeCell ref="QXW44:QYL44"/>
    <mergeCell ref="QYM44:QZB44"/>
    <mergeCell ref="QZC44:QZR44"/>
    <mergeCell ref="QZS44:RAH44"/>
    <mergeCell ref="RAI44:RAX44"/>
    <mergeCell ref="RAY44:RBN44"/>
    <mergeCell ref="RBO44:RCD44"/>
    <mergeCell ref="RCE44:RCT44"/>
    <mergeCell ref="QRS44:QSH44"/>
    <mergeCell ref="QSI44:QSX44"/>
    <mergeCell ref="QSY44:QTN44"/>
    <mergeCell ref="QTO44:QUD44"/>
    <mergeCell ref="QUE44:QUT44"/>
    <mergeCell ref="QUU44:QVJ44"/>
    <mergeCell ref="QVK44:QVZ44"/>
    <mergeCell ref="QWA44:QWP44"/>
    <mergeCell ref="QWQ44:QXF44"/>
    <mergeCell ref="QME44:QMT44"/>
    <mergeCell ref="QMU44:QNJ44"/>
    <mergeCell ref="QNK44:QNZ44"/>
    <mergeCell ref="QOA44:QOP44"/>
    <mergeCell ref="QOQ44:QPF44"/>
    <mergeCell ref="QPG44:QPV44"/>
    <mergeCell ref="QPW44:QQL44"/>
    <mergeCell ref="QQM44:QRB44"/>
    <mergeCell ref="QRC44:QRR44"/>
    <mergeCell ref="QGQ44:QHF44"/>
    <mergeCell ref="QHG44:QHV44"/>
    <mergeCell ref="QHW44:QIL44"/>
    <mergeCell ref="QIM44:QJB44"/>
    <mergeCell ref="QJC44:QJR44"/>
    <mergeCell ref="QJS44:QKH44"/>
    <mergeCell ref="QKI44:QKX44"/>
    <mergeCell ref="QKY44:QLN44"/>
    <mergeCell ref="QLO44:QMD44"/>
    <mergeCell ref="QBC44:QBR44"/>
    <mergeCell ref="QBS44:QCH44"/>
    <mergeCell ref="QCI44:QCX44"/>
    <mergeCell ref="QCY44:QDN44"/>
    <mergeCell ref="QDO44:QED44"/>
    <mergeCell ref="QEE44:QET44"/>
    <mergeCell ref="QEU44:QFJ44"/>
    <mergeCell ref="QFK44:QFZ44"/>
    <mergeCell ref="QGA44:QGP44"/>
    <mergeCell ref="PVO44:PWD44"/>
    <mergeCell ref="PWE44:PWT44"/>
    <mergeCell ref="PWU44:PXJ44"/>
    <mergeCell ref="PXK44:PXZ44"/>
    <mergeCell ref="PYA44:PYP44"/>
    <mergeCell ref="PYQ44:PZF44"/>
    <mergeCell ref="PZG44:PZV44"/>
    <mergeCell ref="PZW44:QAL44"/>
    <mergeCell ref="QAM44:QBB44"/>
    <mergeCell ref="PQA44:PQP44"/>
    <mergeCell ref="PQQ44:PRF44"/>
    <mergeCell ref="PRG44:PRV44"/>
    <mergeCell ref="PRW44:PSL44"/>
    <mergeCell ref="PSM44:PTB44"/>
    <mergeCell ref="PTC44:PTR44"/>
    <mergeCell ref="PTS44:PUH44"/>
    <mergeCell ref="PUI44:PUX44"/>
    <mergeCell ref="PUY44:PVN44"/>
    <mergeCell ref="PKM44:PLB44"/>
    <mergeCell ref="PLC44:PLR44"/>
    <mergeCell ref="PLS44:PMH44"/>
    <mergeCell ref="PMI44:PMX44"/>
    <mergeCell ref="PMY44:PNN44"/>
    <mergeCell ref="PNO44:POD44"/>
    <mergeCell ref="POE44:POT44"/>
    <mergeCell ref="POU44:PPJ44"/>
    <mergeCell ref="PPK44:PPZ44"/>
    <mergeCell ref="PEY44:PFN44"/>
    <mergeCell ref="PFO44:PGD44"/>
    <mergeCell ref="PGE44:PGT44"/>
    <mergeCell ref="PGU44:PHJ44"/>
    <mergeCell ref="PHK44:PHZ44"/>
    <mergeCell ref="PIA44:PIP44"/>
    <mergeCell ref="PIQ44:PJF44"/>
    <mergeCell ref="PJG44:PJV44"/>
    <mergeCell ref="PJW44:PKL44"/>
    <mergeCell ref="OZK44:OZZ44"/>
    <mergeCell ref="PAA44:PAP44"/>
    <mergeCell ref="PAQ44:PBF44"/>
    <mergeCell ref="PBG44:PBV44"/>
    <mergeCell ref="PBW44:PCL44"/>
    <mergeCell ref="PCM44:PDB44"/>
    <mergeCell ref="PDC44:PDR44"/>
    <mergeCell ref="PDS44:PEH44"/>
    <mergeCell ref="PEI44:PEX44"/>
    <mergeCell ref="OTW44:OUL44"/>
    <mergeCell ref="OUM44:OVB44"/>
    <mergeCell ref="OVC44:OVR44"/>
    <mergeCell ref="OVS44:OWH44"/>
    <mergeCell ref="OWI44:OWX44"/>
    <mergeCell ref="OWY44:OXN44"/>
    <mergeCell ref="OXO44:OYD44"/>
    <mergeCell ref="OYE44:OYT44"/>
    <mergeCell ref="OYU44:OZJ44"/>
    <mergeCell ref="OOI44:OOX44"/>
    <mergeCell ref="OOY44:OPN44"/>
    <mergeCell ref="OPO44:OQD44"/>
    <mergeCell ref="OQE44:OQT44"/>
    <mergeCell ref="OQU44:ORJ44"/>
    <mergeCell ref="ORK44:ORZ44"/>
    <mergeCell ref="OSA44:OSP44"/>
    <mergeCell ref="OSQ44:OTF44"/>
    <mergeCell ref="OTG44:OTV44"/>
    <mergeCell ref="OIU44:OJJ44"/>
    <mergeCell ref="OJK44:OJZ44"/>
    <mergeCell ref="OKA44:OKP44"/>
    <mergeCell ref="OKQ44:OLF44"/>
    <mergeCell ref="OLG44:OLV44"/>
    <mergeCell ref="OLW44:OML44"/>
    <mergeCell ref="OMM44:ONB44"/>
    <mergeCell ref="ONC44:ONR44"/>
    <mergeCell ref="ONS44:OOH44"/>
    <mergeCell ref="ODG44:ODV44"/>
    <mergeCell ref="ODW44:OEL44"/>
    <mergeCell ref="OEM44:OFB44"/>
    <mergeCell ref="OFC44:OFR44"/>
    <mergeCell ref="OFS44:OGH44"/>
    <mergeCell ref="OGI44:OGX44"/>
    <mergeCell ref="OGY44:OHN44"/>
    <mergeCell ref="OHO44:OID44"/>
    <mergeCell ref="OIE44:OIT44"/>
    <mergeCell ref="NXS44:NYH44"/>
    <mergeCell ref="NYI44:NYX44"/>
    <mergeCell ref="NYY44:NZN44"/>
    <mergeCell ref="NZO44:OAD44"/>
    <mergeCell ref="OAE44:OAT44"/>
    <mergeCell ref="OAU44:OBJ44"/>
    <mergeCell ref="OBK44:OBZ44"/>
    <mergeCell ref="OCA44:OCP44"/>
    <mergeCell ref="OCQ44:ODF44"/>
    <mergeCell ref="NSE44:NST44"/>
    <mergeCell ref="NSU44:NTJ44"/>
    <mergeCell ref="NTK44:NTZ44"/>
    <mergeCell ref="NUA44:NUP44"/>
    <mergeCell ref="NUQ44:NVF44"/>
    <mergeCell ref="NVG44:NVV44"/>
    <mergeCell ref="NVW44:NWL44"/>
    <mergeCell ref="NWM44:NXB44"/>
    <mergeCell ref="NXC44:NXR44"/>
    <mergeCell ref="NMQ44:NNF44"/>
    <mergeCell ref="NNG44:NNV44"/>
    <mergeCell ref="NNW44:NOL44"/>
    <mergeCell ref="NOM44:NPB44"/>
    <mergeCell ref="NPC44:NPR44"/>
    <mergeCell ref="NPS44:NQH44"/>
    <mergeCell ref="NQI44:NQX44"/>
    <mergeCell ref="NQY44:NRN44"/>
    <mergeCell ref="NRO44:NSD44"/>
    <mergeCell ref="NHC44:NHR44"/>
    <mergeCell ref="NHS44:NIH44"/>
    <mergeCell ref="NII44:NIX44"/>
    <mergeCell ref="NIY44:NJN44"/>
    <mergeCell ref="NJO44:NKD44"/>
    <mergeCell ref="NKE44:NKT44"/>
    <mergeCell ref="NKU44:NLJ44"/>
    <mergeCell ref="NLK44:NLZ44"/>
    <mergeCell ref="NMA44:NMP44"/>
    <mergeCell ref="NBO44:NCD44"/>
    <mergeCell ref="NCE44:NCT44"/>
    <mergeCell ref="NCU44:NDJ44"/>
    <mergeCell ref="NDK44:NDZ44"/>
    <mergeCell ref="NEA44:NEP44"/>
    <mergeCell ref="NEQ44:NFF44"/>
    <mergeCell ref="NFG44:NFV44"/>
    <mergeCell ref="NFW44:NGL44"/>
    <mergeCell ref="NGM44:NHB44"/>
    <mergeCell ref="MWA44:MWP44"/>
    <mergeCell ref="MWQ44:MXF44"/>
    <mergeCell ref="MXG44:MXV44"/>
    <mergeCell ref="MXW44:MYL44"/>
    <mergeCell ref="MYM44:MZB44"/>
    <mergeCell ref="MZC44:MZR44"/>
    <mergeCell ref="MZS44:NAH44"/>
    <mergeCell ref="NAI44:NAX44"/>
    <mergeCell ref="NAY44:NBN44"/>
    <mergeCell ref="MQM44:MRB44"/>
    <mergeCell ref="MRC44:MRR44"/>
    <mergeCell ref="MRS44:MSH44"/>
    <mergeCell ref="MSI44:MSX44"/>
    <mergeCell ref="MSY44:MTN44"/>
    <mergeCell ref="MTO44:MUD44"/>
    <mergeCell ref="MUE44:MUT44"/>
    <mergeCell ref="MUU44:MVJ44"/>
    <mergeCell ref="MVK44:MVZ44"/>
    <mergeCell ref="MKY44:MLN44"/>
    <mergeCell ref="MLO44:MMD44"/>
    <mergeCell ref="MME44:MMT44"/>
    <mergeCell ref="MMU44:MNJ44"/>
    <mergeCell ref="MNK44:MNZ44"/>
    <mergeCell ref="MOA44:MOP44"/>
    <mergeCell ref="MOQ44:MPF44"/>
    <mergeCell ref="MPG44:MPV44"/>
    <mergeCell ref="MPW44:MQL44"/>
    <mergeCell ref="MFK44:MFZ44"/>
    <mergeCell ref="MGA44:MGP44"/>
    <mergeCell ref="MGQ44:MHF44"/>
    <mergeCell ref="MHG44:MHV44"/>
    <mergeCell ref="MHW44:MIL44"/>
    <mergeCell ref="MIM44:MJB44"/>
    <mergeCell ref="MJC44:MJR44"/>
    <mergeCell ref="MJS44:MKH44"/>
    <mergeCell ref="MKI44:MKX44"/>
    <mergeCell ref="LZW44:MAL44"/>
    <mergeCell ref="MAM44:MBB44"/>
    <mergeCell ref="MBC44:MBR44"/>
    <mergeCell ref="MBS44:MCH44"/>
    <mergeCell ref="MCI44:MCX44"/>
    <mergeCell ref="MCY44:MDN44"/>
    <mergeCell ref="MDO44:MED44"/>
    <mergeCell ref="MEE44:MET44"/>
    <mergeCell ref="MEU44:MFJ44"/>
    <mergeCell ref="LUI44:LUX44"/>
    <mergeCell ref="LUY44:LVN44"/>
    <mergeCell ref="LVO44:LWD44"/>
    <mergeCell ref="LWE44:LWT44"/>
    <mergeCell ref="LWU44:LXJ44"/>
    <mergeCell ref="LXK44:LXZ44"/>
    <mergeCell ref="LYA44:LYP44"/>
    <mergeCell ref="LYQ44:LZF44"/>
    <mergeCell ref="LZG44:LZV44"/>
    <mergeCell ref="LOU44:LPJ44"/>
    <mergeCell ref="LPK44:LPZ44"/>
    <mergeCell ref="LQA44:LQP44"/>
    <mergeCell ref="LQQ44:LRF44"/>
    <mergeCell ref="LRG44:LRV44"/>
    <mergeCell ref="LRW44:LSL44"/>
    <mergeCell ref="LSM44:LTB44"/>
    <mergeCell ref="LTC44:LTR44"/>
    <mergeCell ref="LTS44:LUH44"/>
    <mergeCell ref="LJG44:LJV44"/>
    <mergeCell ref="LJW44:LKL44"/>
    <mergeCell ref="LKM44:LLB44"/>
    <mergeCell ref="LLC44:LLR44"/>
    <mergeCell ref="LLS44:LMH44"/>
    <mergeCell ref="LMI44:LMX44"/>
    <mergeCell ref="LMY44:LNN44"/>
    <mergeCell ref="LNO44:LOD44"/>
    <mergeCell ref="LOE44:LOT44"/>
    <mergeCell ref="LDS44:LEH44"/>
    <mergeCell ref="LEI44:LEX44"/>
    <mergeCell ref="LEY44:LFN44"/>
    <mergeCell ref="LFO44:LGD44"/>
    <mergeCell ref="LGE44:LGT44"/>
    <mergeCell ref="LGU44:LHJ44"/>
    <mergeCell ref="LHK44:LHZ44"/>
    <mergeCell ref="LIA44:LIP44"/>
    <mergeCell ref="LIQ44:LJF44"/>
    <mergeCell ref="KYE44:KYT44"/>
    <mergeCell ref="KYU44:KZJ44"/>
    <mergeCell ref="KZK44:KZZ44"/>
    <mergeCell ref="LAA44:LAP44"/>
    <mergeCell ref="LAQ44:LBF44"/>
    <mergeCell ref="LBG44:LBV44"/>
    <mergeCell ref="LBW44:LCL44"/>
    <mergeCell ref="LCM44:LDB44"/>
    <mergeCell ref="LDC44:LDR44"/>
    <mergeCell ref="KSQ44:KTF44"/>
    <mergeCell ref="KTG44:KTV44"/>
    <mergeCell ref="KTW44:KUL44"/>
    <mergeCell ref="KUM44:KVB44"/>
    <mergeCell ref="KVC44:KVR44"/>
    <mergeCell ref="KVS44:KWH44"/>
    <mergeCell ref="KWI44:KWX44"/>
    <mergeCell ref="KWY44:KXN44"/>
    <mergeCell ref="KXO44:KYD44"/>
    <mergeCell ref="KNC44:KNR44"/>
    <mergeCell ref="KNS44:KOH44"/>
    <mergeCell ref="KOI44:KOX44"/>
    <mergeCell ref="KOY44:KPN44"/>
    <mergeCell ref="KPO44:KQD44"/>
    <mergeCell ref="KQE44:KQT44"/>
    <mergeCell ref="KQU44:KRJ44"/>
    <mergeCell ref="KRK44:KRZ44"/>
    <mergeCell ref="KSA44:KSP44"/>
    <mergeCell ref="KHO44:KID44"/>
    <mergeCell ref="KIE44:KIT44"/>
    <mergeCell ref="KIU44:KJJ44"/>
    <mergeCell ref="KJK44:KJZ44"/>
    <mergeCell ref="KKA44:KKP44"/>
    <mergeCell ref="KKQ44:KLF44"/>
    <mergeCell ref="KLG44:KLV44"/>
    <mergeCell ref="KLW44:KML44"/>
    <mergeCell ref="KMM44:KNB44"/>
    <mergeCell ref="KCA44:KCP44"/>
    <mergeCell ref="KCQ44:KDF44"/>
    <mergeCell ref="KDG44:KDV44"/>
    <mergeCell ref="KDW44:KEL44"/>
    <mergeCell ref="KEM44:KFB44"/>
    <mergeCell ref="KFC44:KFR44"/>
    <mergeCell ref="KFS44:KGH44"/>
    <mergeCell ref="KGI44:KGX44"/>
    <mergeCell ref="KGY44:KHN44"/>
    <mergeCell ref="JWM44:JXB44"/>
    <mergeCell ref="JXC44:JXR44"/>
    <mergeCell ref="JXS44:JYH44"/>
    <mergeCell ref="JYI44:JYX44"/>
    <mergeCell ref="JYY44:JZN44"/>
    <mergeCell ref="JZO44:KAD44"/>
    <mergeCell ref="KAE44:KAT44"/>
    <mergeCell ref="KAU44:KBJ44"/>
    <mergeCell ref="KBK44:KBZ44"/>
    <mergeCell ref="JQY44:JRN44"/>
    <mergeCell ref="JRO44:JSD44"/>
    <mergeCell ref="JSE44:JST44"/>
    <mergeCell ref="JSU44:JTJ44"/>
    <mergeCell ref="JTK44:JTZ44"/>
    <mergeCell ref="JUA44:JUP44"/>
    <mergeCell ref="JUQ44:JVF44"/>
    <mergeCell ref="JVG44:JVV44"/>
    <mergeCell ref="JVW44:JWL44"/>
    <mergeCell ref="JLK44:JLZ44"/>
    <mergeCell ref="JMA44:JMP44"/>
    <mergeCell ref="JMQ44:JNF44"/>
    <mergeCell ref="JNG44:JNV44"/>
    <mergeCell ref="JNW44:JOL44"/>
    <mergeCell ref="JOM44:JPB44"/>
    <mergeCell ref="JPC44:JPR44"/>
    <mergeCell ref="JPS44:JQH44"/>
    <mergeCell ref="JQI44:JQX44"/>
    <mergeCell ref="JFW44:JGL44"/>
    <mergeCell ref="JGM44:JHB44"/>
    <mergeCell ref="JHC44:JHR44"/>
    <mergeCell ref="JHS44:JIH44"/>
    <mergeCell ref="JII44:JIX44"/>
    <mergeCell ref="JIY44:JJN44"/>
    <mergeCell ref="JJO44:JKD44"/>
    <mergeCell ref="JKE44:JKT44"/>
    <mergeCell ref="JKU44:JLJ44"/>
    <mergeCell ref="JAI44:JAX44"/>
    <mergeCell ref="JAY44:JBN44"/>
    <mergeCell ref="JBO44:JCD44"/>
    <mergeCell ref="JCE44:JCT44"/>
    <mergeCell ref="JCU44:JDJ44"/>
    <mergeCell ref="JDK44:JDZ44"/>
    <mergeCell ref="JEA44:JEP44"/>
    <mergeCell ref="JEQ44:JFF44"/>
    <mergeCell ref="JFG44:JFV44"/>
    <mergeCell ref="IUU44:IVJ44"/>
    <mergeCell ref="IVK44:IVZ44"/>
    <mergeCell ref="IWA44:IWP44"/>
    <mergeCell ref="IWQ44:IXF44"/>
    <mergeCell ref="IXG44:IXV44"/>
    <mergeCell ref="IXW44:IYL44"/>
    <mergeCell ref="IYM44:IZB44"/>
    <mergeCell ref="IZC44:IZR44"/>
    <mergeCell ref="IZS44:JAH44"/>
    <mergeCell ref="IPG44:IPV44"/>
    <mergeCell ref="IPW44:IQL44"/>
    <mergeCell ref="IQM44:IRB44"/>
    <mergeCell ref="IRC44:IRR44"/>
    <mergeCell ref="IRS44:ISH44"/>
    <mergeCell ref="ISI44:ISX44"/>
    <mergeCell ref="ISY44:ITN44"/>
    <mergeCell ref="ITO44:IUD44"/>
    <mergeCell ref="IUE44:IUT44"/>
    <mergeCell ref="IJS44:IKH44"/>
    <mergeCell ref="IKI44:IKX44"/>
    <mergeCell ref="IKY44:ILN44"/>
    <mergeCell ref="ILO44:IMD44"/>
    <mergeCell ref="IME44:IMT44"/>
    <mergeCell ref="IMU44:INJ44"/>
    <mergeCell ref="INK44:INZ44"/>
    <mergeCell ref="IOA44:IOP44"/>
    <mergeCell ref="IOQ44:IPF44"/>
    <mergeCell ref="IEE44:IET44"/>
    <mergeCell ref="IEU44:IFJ44"/>
    <mergeCell ref="IFK44:IFZ44"/>
    <mergeCell ref="IGA44:IGP44"/>
    <mergeCell ref="IGQ44:IHF44"/>
    <mergeCell ref="IHG44:IHV44"/>
    <mergeCell ref="IHW44:IIL44"/>
    <mergeCell ref="IIM44:IJB44"/>
    <mergeCell ref="IJC44:IJR44"/>
    <mergeCell ref="HYQ44:HZF44"/>
    <mergeCell ref="HZG44:HZV44"/>
    <mergeCell ref="HZW44:IAL44"/>
    <mergeCell ref="IAM44:IBB44"/>
    <mergeCell ref="IBC44:IBR44"/>
    <mergeCell ref="IBS44:ICH44"/>
    <mergeCell ref="ICI44:ICX44"/>
    <mergeCell ref="ICY44:IDN44"/>
    <mergeCell ref="IDO44:IED44"/>
    <mergeCell ref="HTC44:HTR44"/>
    <mergeCell ref="HTS44:HUH44"/>
    <mergeCell ref="HUI44:HUX44"/>
    <mergeCell ref="HUY44:HVN44"/>
    <mergeCell ref="HVO44:HWD44"/>
    <mergeCell ref="HWE44:HWT44"/>
    <mergeCell ref="HWU44:HXJ44"/>
    <mergeCell ref="HXK44:HXZ44"/>
    <mergeCell ref="HYA44:HYP44"/>
    <mergeCell ref="HNO44:HOD44"/>
    <mergeCell ref="HOE44:HOT44"/>
    <mergeCell ref="HOU44:HPJ44"/>
    <mergeCell ref="HPK44:HPZ44"/>
    <mergeCell ref="HQA44:HQP44"/>
    <mergeCell ref="HQQ44:HRF44"/>
    <mergeCell ref="HRG44:HRV44"/>
    <mergeCell ref="HRW44:HSL44"/>
    <mergeCell ref="HSM44:HTB44"/>
    <mergeCell ref="HIA44:HIP44"/>
    <mergeCell ref="HIQ44:HJF44"/>
    <mergeCell ref="HJG44:HJV44"/>
    <mergeCell ref="HJW44:HKL44"/>
    <mergeCell ref="HKM44:HLB44"/>
    <mergeCell ref="HLC44:HLR44"/>
    <mergeCell ref="HLS44:HMH44"/>
    <mergeCell ref="HMI44:HMX44"/>
    <mergeCell ref="HMY44:HNN44"/>
    <mergeCell ref="HCM44:HDB44"/>
    <mergeCell ref="HDC44:HDR44"/>
    <mergeCell ref="HDS44:HEH44"/>
    <mergeCell ref="HEI44:HEX44"/>
    <mergeCell ref="HEY44:HFN44"/>
    <mergeCell ref="HFO44:HGD44"/>
    <mergeCell ref="HGE44:HGT44"/>
    <mergeCell ref="HGU44:HHJ44"/>
    <mergeCell ref="HHK44:HHZ44"/>
    <mergeCell ref="GWY44:GXN44"/>
    <mergeCell ref="GXO44:GYD44"/>
    <mergeCell ref="GYE44:GYT44"/>
    <mergeCell ref="GYU44:GZJ44"/>
    <mergeCell ref="GZK44:GZZ44"/>
    <mergeCell ref="HAA44:HAP44"/>
    <mergeCell ref="HAQ44:HBF44"/>
    <mergeCell ref="HBG44:HBV44"/>
    <mergeCell ref="HBW44:HCL44"/>
    <mergeCell ref="GRK44:GRZ44"/>
    <mergeCell ref="GSA44:GSP44"/>
    <mergeCell ref="GSQ44:GTF44"/>
    <mergeCell ref="GTG44:GTV44"/>
    <mergeCell ref="GTW44:GUL44"/>
    <mergeCell ref="GUM44:GVB44"/>
    <mergeCell ref="GVC44:GVR44"/>
    <mergeCell ref="GVS44:GWH44"/>
    <mergeCell ref="GWI44:GWX44"/>
    <mergeCell ref="GLW44:GML44"/>
    <mergeCell ref="GMM44:GNB44"/>
    <mergeCell ref="GNC44:GNR44"/>
    <mergeCell ref="GNS44:GOH44"/>
    <mergeCell ref="GOI44:GOX44"/>
    <mergeCell ref="GOY44:GPN44"/>
    <mergeCell ref="GPO44:GQD44"/>
    <mergeCell ref="GQE44:GQT44"/>
    <mergeCell ref="GQU44:GRJ44"/>
    <mergeCell ref="GGI44:GGX44"/>
    <mergeCell ref="GGY44:GHN44"/>
    <mergeCell ref="GHO44:GID44"/>
    <mergeCell ref="GIE44:GIT44"/>
    <mergeCell ref="GIU44:GJJ44"/>
    <mergeCell ref="GJK44:GJZ44"/>
    <mergeCell ref="GKA44:GKP44"/>
    <mergeCell ref="GKQ44:GLF44"/>
    <mergeCell ref="GLG44:GLV44"/>
    <mergeCell ref="GAU44:GBJ44"/>
    <mergeCell ref="GBK44:GBZ44"/>
    <mergeCell ref="GCA44:GCP44"/>
    <mergeCell ref="GCQ44:GDF44"/>
    <mergeCell ref="GDG44:GDV44"/>
    <mergeCell ref="GDW44:GEL44"/>
    <mergeCell ref="GEM44:GFB44"/>
    <mergeCell ref="GFC44:GFR44"/>
    <mergeCell ref="GFS44:GGH44"/>
    <mergeCell ref="FVG44:FVV44"/>
    <mergeCell ref="FVW44:FWL44"/>
    <mergeCell ref="FWM44:FXB44"/>
    <mergeCell ref="FXC44:FXR44"/>
    <mergeCell ref="FXS44:FYH44"/>
    <mergeCell ref="FYI44:FYX44"/>
    <mergeCell ref="FYY44:FZN44"/>
    <mergeCell ref="FZO44:GAD44"/>
    <mergeCell ref="GAE44:GAT44"/>
    <mergeCell ref="FPS44:FQH44"/>
    <mergeCell ref="FQI44:FQX44"/>
    <mergeCell ref="FQY44:FRN44"/>
    <mergeCell ref="FRO44:FSD44"/>
    <mergeCell ref="FSE44:FST44"/>
    <mergeCell ref="FSU44:FTJ44"/>
    <mergeCell ref="FTK44:FTZ44"/>
    <mergeCell ref="FUA44:FUP44"/>
    <mergeCell ref="FUQ44:FVF44"/>
    <mergeCell ref="FKE44:FKT44"/>
    <mergeCell ref="FKU44:FLJ44"/>
    <mergeCell ref="FLK44:FLZ44"/>
    <mergeCell ref="FMA44:FMP44"/>
    <mergeCell ref="FMQ44:FNF44"/>
    <mergeCell ref="FNG44:FNV44"/>
    <mergeCell ref="FNW44:FOL44"/>
    <mergeCell ref="FOM44:FPB44"/>
    <mergeCell ref="FPC44:FPR44"/>
    <mergeCell ref="FEQ44:FFF44"/>
    <mergeCell ref="FFG44:FFV44"/>
    <mergeCell ref="FFW44:FGL44"/>
    <mergeCell ref="FGM44:FHB44"/>
    <mergeCell ref="FHC44:FHR44"/>
    <mergeCell ref="FHS44:FIH44"/>
    <mergeCell ref="FII44:FIX44"/>
    <mergeCell ref="FIY44:FJN44"/>
    <mergeCell ref="FJO44:FKD44"/>
    <mergeCell ref="EZC44:EZR44"/>
    <mergeCell ref="EZS44:FAH44"/>
    <mergeCell ref="FAI44:FAX44"/>
    <mergeCell ref="FAY44:FBN44"/>
    <mergeCell ref="FBO44:FCD44"/>
    <mergeCell ref="FCE44:FCT44"/>
    <mergeCell ref="FCU44:FDJ44"/>
    <mergeCell ref="FDK44:FDZ44"/>
    <mergeCell ref="FEA44:FEP44"/>
    <mergeCell ref="ETO44:EUD44"/>
    <mergeCell ref="EUE44:EUT44"/>
    <mergeCell ref="EUU44:EVJ44"/>
    <mergeCell ref="EVK44:EVZ44"/>
    <mergeCell ref="EWA44:EWP44"/>
    <mergeCell ref="EWQ44:EXF44"/>
    <mergeCell ref="EXG44:EXV44"/>
    <mergeCell ref="EXW44:EYL44"/>
    <mergeCell ref="EYM44:EZB44"/>
    <mergeCell ref="EOA44:EOP44"/>
    <mergeCell ref="EOQ44:EPF44"/>
    <mergeCell ref="EPG44:EPV44"/>
    <mergeCell ref="EPW44:EQL44"/>
    <mergeCell ref="EQM44:ERB44"/>
    <mergeCell ref="ERC44:ERR44"/>
    <mergeCell ref="ERS44:ESH44"/>
    <mergeCell ref="ESI44:ESX44"/>
    <mergeCell ref="ESY44:ETN44"/>
    <mergeCell ref="EIM44:EJB44"/>
    <mergeCell ref="EJC44:EJR44"/>
    <mergeCell ref="EJS44:EKH44"/>
    <mergeCell ref="EKI44:EKX44"/>
    <mergeCell ref="EKY44:ELN44"/>
    <mergeCell ref="ELO44:EMD44"/>
    <mergeCell ref="EME44:EMT44"/>
    <mergeCell ref="EMU44:ENJ44"/>
    <mergeCell ref="ENK44:ENZ44"/>
    <mergeCell ref="ECY44:EDN44"/>
    <mergeCell ref="EDO44:EED44"/>
    <mergeCell ref="EEE44:EET44"/>
    <mergeCell ref="EEU44:EFJ44"/>
    <mergeCell ref="EFK44:EFZ44"/>
    <mergeCell ref="EGA44:EGP44"/>
    <mergeCell ref="EGQ44:EHF44"/>
    <mergeCell ref="EHG44:EHV44"/>
    <mergeCell ref="EHW44:EIL44"/>
    <mergeCell ref="DXK44:DXZ44"/>
    <mergeCell ref="DYA44:DYP44"/>
    <mergeCell ref="DYQ44:DZF44"/>
    <mergeCell ref="DZG44:DZV44"/>
    <mergeCell ref="DZW44:EAL44"/>
    <mergeCell ref="EAM44:EBB44"/>
    <mergeCell ref="EBC44:EBR44"/>
    <mergeCell ref="EBS44:ECH44"/>
    <mergeCell ref="ECI44:ECX44"/>
    <mergeCell ref="DRW44:DSL44"/>
    <mergeCell ref="DSM44:DTB44"/>
    <mergeCell ref="DTC44:DTR44"/>
    <mergeCell ref="DTS44:DUH44"/>
    <mergeCell ref="DUI44:DUX44"/>
    <mergeCell ref="DUY44:DVN44"/>
    <mergeCell ref="DVO44:DWD44"/>
    <mergeCell ref="DWE44:DWT44"/>
    <mergeCell ref="DWU44:DXJ44"/>
    <mergeCell ref="DMI44:DMX44"/>
    <mergeCell ref="DMY44:DNN44"/>
    <mergeCell ref="DNO44:DOD44"/>
    <mergeCell ref="DOE44:DOT44"/>
    <mergeCell ref="DOU44:DPJ44"/>
    <mergeCell ref="DPK44:DPZ44"/>
    <mergeCell ref="DQA44:DQP44"/>
    <mergeCell ref="DQQ44:DRF44"/>
    <mergeCell ref="DRG44:DRV44"/>
    <mergeCell ref="DGU44:DHJ44"/>
    <mergeCell ref="DHK44:DHZ44"/>
    <mergeCell ref="DIA44:DIP44"/>
    <mergeCell ref="DIQ44:DJF44"/>
    <mergeCell ref="DJG44:DJV44"/>
    <mergeCell ref="DJW44:DKL44"/>
    <mergeCell ref="DKM44:DLB44"/>
    <mergeCell ref="DLC44:DLR44"/>
    <mergeCell ref="DLS44:DMH44"/>
    <mergeCell ref="DBG44:DBV44"/>
    <mergeCell ref="DBW44:DCL44"/>
    <mergeCell ref="DCM44:DDB44"/>
    <mergeCell ref="DDC44:DDR44"/>
    <mergeCell ref="DDS44:DEH44"/>
    <mergeCell ref="DEI44:DEX44"/>
    <mergeCell ref="DEY44:DFN44"/>
    <mergeCell ref="DFO44:DGD44"/>
    <mergeCell ref="DGE44:DGT44"/>
    <mergeCell ref="CVS44:CWH44"/>
    <mergeCell ref="CWI44:CWX44"/>
    <mergeCell ref="CWY44:CXN44"/>
    <mergeCell ref="CXO44:CYD44"/>
    <mergeCell ref="CYE44:CYT44"/>
    <mergeCell ref="CYU44:CZJ44"/>
    <mergeCell ref="CZK44:CZZ44"/>
    <mergeCell ref="DAA44:DAP44"/>
    <mergeCell ref="DAQ44:DBF44"/>
    <mergeCell ref="CQE44:CQT44"/>
    <mergeCell ref="CQU44:CRJ44"/>
    <mergeCell ref="CRK44:CRZ44"/>
    <mergeCell ref="CSA44:CSP44"/>
    <mergeCell ref="CSQ44:CTF44"/>
    <mergeCell ref="CTG44:CTV44"/>
    <mergeCell ref="CTW44:CUL44"/>
    <mergeCell ref="CUM44:CVB44"/>
    <mergeCell ref="CVC44:CVR44"/>
    <mergeCell ref="CKQ44:CLF44"/>
    <mergeCell ref="CLG44:CLV44"/>
    <mergeCell ref="CLW44:CML44"/>
    <mergeCell ref="CMM44:CNB44"/>
    <mergeCell ref="CNC44:CNR44"/>
    <mergeCell ref="CNS44:COH44"/>
    <mergeCell ref="COI44:COX44"/>
    <mergeCell ref="COY44:CPN44"/>
    <mergeCell ref="CPO44:CQD44"/>
    <mergeCell ref="CFC44:CFR44"/>
    <mergeCell ref="CFS44:CGH44"/>
    <mergeCell ref="CGI44:CGX44"/>
    <mergeCell ref="CGY44:CHN44"/>
    <mergeCell ref="CHO44:CID44"/>
    <mergeCell ref="CIE44:CIT44"/>
    <mergeCell ref="CIU44:CJJ44"/>
    <mergeCell ref="CJK44:CJZ44"/>
    <mergeCell ref="CKA44:CKP44"/>
    <mergeCell ref="BZO44:CAD44"/>
    <mergeCell ref="CAE44:CAT44"/>
    <mergeCell ref="CAU44:CBJ44"/>
    <mergeCell ref="CBK44:CBZ44"/>
    <mergeCell ref="CCA44:CCP44"/>
    <mergeCell ref="CCQ44:CDF44"/>
    <mergeCell ref="CDG44:CDV44"/>
    <mergeCell ref="CDW44:CEL44"/>
    <mergeCell ref="CEM44:CFB44"/>
    <mergeCell ref="BUA44:BUP44"/>
    <mergeCell ref="BUQ44:BVF44"/>
    <mergeCell ref="BVG44:BVV44"/>
    <mergeCell ref="BVW44:BWL44"/>
    <mergeCell ref="BWM44:BXB44"/>
    <mergeCell ref="BXC44:BXR44"/>
    <mergeCell ref="BXS44:BYH44"/>
    <mergeCell ref="BYI44:BYX44"/>
    <mergeCell ref="BYY44:BZN44"/>
    <mergeCell ref="BOM44:BPB44"/>
    <mergeCell ref="BPC44:BPR44"/>
    <mergeCell ref="BPS44:BQH44"/>
    <mergeCell ref="BQI44:BQX44"/>
    <mergeCell ref="BQY44:BRN44"/>
    <mergeCell ref="BRO44:BSD44"/>
    <mergeCell ref="BSE44:BST44"/>
    <mergeCell ref="BSU44:BTJ44"/>
    <mergeCell ref="BTK44:BTZ44"/>
    <mergeCell ref="BIY44:BJN44"/>
    <mergeCell ref="BJO44:BKD44"/>
    <mergeCell ref="BKE44:BKT44"/>
    <mergeCell ref="BKU44:BLJ44"/>
    <mergeCell ref="BLK44:BLZ44"/>
    <mergeCell ref="BMA44:BMP44"/>
    <mergeCell ref="BMQ44:BNF44"/>
    <mergeCell ref="BNG44:BNV44"/>
    <mergeCell ref="BNW44:BOL44"/>
    <mergeCell ref="BDK44:BDZ44"/>
    <mergeCell ref="BEA44:BEP44"/>
    <mergeCell ref="BEQ44:BFF44"/>
    <mergeCell ref="BFG44:BFV44"/>
    <mergeCell ref="BFW44:BGL44"/>
    <mergeCell ref="BGM44:BHB44"/>
    <mergeCell ref="BHC44:BHR44"/>
    <mergeCell ref="BHS44:BIH44"/>
    <mergeCell ref="BII44:BIX44"/>
    <mergeCell ref="AXW44:AYL44"/>
    <mergeCell ref="AYM44:AZB44"/>
    <mergeCell ref="AZC44:AZR44"/>
    <mergeCell ref="AZS44:BAH44"/>
    <mergeCell ref="BAI44:BAX44"/>
    <mergeCell ref="BAY44:BBN44"/>
    <mergeCell ref="BBO44:BCD44"/>
    <mergeCell ref="BCE44:BCT44"/>
    <mergeCell ref="BCU44:BDJ44"/>
    <mergeCell ref="ASI44:ASX44"/>
    <mergeCell ref="ASY44:ATN44"/>
    <mergeCell ref="ATO44:AUD44"/>
    <mergeCell ref="AUE44:AUT44"/>
    <mergeCell ref="AUU44:AVJ44"/>
    <mergeCell ref="AVK44:AVZ44"/>
    <mergeCell ref="AWA44:AWP44"/>
    <mergeCell ref="AWQ44:AXF44"/>
    <mergeCell ref="AXG44:AXV44"/>
    <mergeCell ref="AMU44:ANJ44"/>
    <mergeCell ref="ANK44:ANZ44"/>
    <mergeCell ref="AOA44:AOP44"/>
    <mergeCell ref="AOQ44:APF44"/>
    <mergeCell ref="APG44:APV44"/>
    <mergeCell ref="APW44:AQL44"/>
    <mergeCell ref="AQM44:ARB44"/>
    <mergeCell ref="ARC44:ARR44"/>
    <mergeCell ref="ARS44:ASH44"/>
    <mergeCell ref="AHG44:AHV44"/>
    <mergeCell ref="AHW44:AIL44"/>
    <mergeCell ref="AIM44:AJB44"/>
    <mergeCell ref="AJC44:AJR44"/>
    <mergeCell ref="AJS44:AKH44"/>
    <mergeCell ref="AKI44:AKX44"/>
    <mergeCell ref="AKY44:ALN44"/>
    <mergeCell ref="ALO44:AMD44"/>
    <mergeCell ref="AME44:AMT44"/>
    <mergeCell ref="ABS44:ACH44"/>
    <mergeCell ref="ACI44:ACX44"/>
    <mergeCell ref="ACY44:ADN44"/>
    <mergeCell ref="ADO44:AED44"/>
    <mergeCell ref="AEE44:AET44"/>
    <mergeCell ref="AEU44:AFJ44"/>
    <mergeCell ref="AFK44:AFZ44"/>
    <mergeCell ref="AGA44:AGP44"/>
    <mergeCell ref="AGQ44:AHF44"/>
    <mergeCell ref="WE44:WT44"/>
    <mergeCell ref="WU44:XJ44"/>
    <mergeCell ref="XK44:XZ44"/>
    <mergeCell ref="YA44:YP44"/>
    <mergeCell ref="YQ44:ZF44"/>
    <mergeCell ref="ZG44:ZV44"/>
    <mergeCell ref="ZW44:AAL44"/>
    <mergeCell ref="AAM44:ABB44"/>
    <mergeCell ref="ABC44:ABR44"/>
    <mergeCell ref="QQ44:RF44"/>
    <mergeCell ref="RG44:RV44"/>
    <mergeCell ref="RW44:SL44"/>
    <mergeCell ref="SM44:TB44"/>
    <mergeCell ref="TC44:TR44"/>
    <mergeCell ref="TS44:UH44"/>
    <mergeCell ref="UI44:UX44"/>
    <mergeCell ref="UY44:VN44"/>
    <mergeCell ref="VO44:WD44"/>
    <mergeCell ref="LC44:LR44"/>
    <mergeCell ref="LS44:MH44"/>
    <mergeCell ref="MI44:MX44"/>
    <mergeCell ref="MY44:NN44"/>
    <mergeCell ref="NO44:OD44"/>
    <mergeCell ref="OE44:OT44"/>
    <mergeCell ref="OU44:PJ44"/>
    <mergeCell ref="PK44:PZ44"/>
    <mergeCell ref="QA44:QP44"/>
    <mergeCell ref="IQ44:JF44"/>
    <mergeCell ref="JG44:JV44"/>
    <mergeCell ref="JW44:KL44"/>
    <mergeCell ref="KM44:LB44"/>
    <mergeCell ref="A255:P255"/>
    <mergeCell ref="A256:P256"/>
    <mergeCell ref="A271:P271"/>
    <mergeCell ref="AA44:AP44"/>
    <mergeCell ref="AQ44:BF44"/>
    <mergeCell ref="BG44:BV44"/>
    <mergeCell ref="BW44:CL44"/>
    <mergeCell ref="CM44:DB44"/>
    <mergeCell ref="DC44:DR44"/>
    <mergeCell ref="DS44:EH44"/>
    <mergeCell ref="EI44:EX44"/>
    <mergeCell ref="EY44:FN44"/>
    <mergeCell ref="Q44:Z44"/>
    <mergeCell ref="A114:P114"/>
    <mergeCell ref="A115:P115"/>
    <mergeCell ref="A220:P220"/>
    <mergeCell ref="A44:P44"/>
    <mergeCell ref="A81:P81"/>
    <mergeCell ref="A93:P93"/>
    <mergeCell ref="A94:P94"/>
    <mergeCell ref="C55:P55"/>
    <mergeCell ref="FO44:GD44"/>
    <mergeCell ref="GE44:GT44"/>
    <mergeCell ref="C90:P90"/>
    <mergeCell ref="C91:P91"/>
    <mergeCell ref="C64:O64"/>
    <mergeCell ref="C77:O77"/>
    <mergeCell ref="C78:O78"/>
    <mergeCell ref="D360:O360"/>
    <mergeCell ref="A280:P280"/>
    <mergeCell ref="A281:P281"/>
    <mergeCell ref="A287:O287"/>
    <mergeCell ref="A282:O282"/>
    <mergeCell ref="A290:O290"/>
    <mergeCell ref="A285:O285"/>
    <mergeCell ref="A295:P295"/>
    <mergeCell ref="GU44:HJ44"/>
    <mergeCell ref="HK44:HZ44"/>
    <mergeCell ref="IA44:IP44"/>
    <mergeCell ref="D120:P120"/>
    <mergeCell ref="D121:P121"/>
    <mergeCell ref="D122:P122"/>
    <mergeCell ref="D123:P123"/>
    <mergeCell ref="D159:O159"/>
    <mergeCell ref="D160:O160"/>
    <mergeCell ref="D161:O161"/>
    <mergeCell ref="D162:O162"/>
    <mergeCell ref="D163:N163"/>
    <mergeCell ref="D164:O164"/>
    <mergeCell ref="D165:O165"/>
    <mergeCell ref="D166:O166"/>
    <mergeCell ref="D179:O179"/>
    <mergeCell ref="D180:O180"/>
    <mergeCell ref="D124:O124"/>
    <mergeCell ref="D144:O144"/>
    <mergeCell ref="D145:O145"/>
    <mergeCell ref="D153:O153"/>
    <mergeCell ref="D154:O154"/>
    <mergeCell ref="D126:P126"/>
    <mergeCell ref="C79:O79"/>
    <mergeCell ref="A504:P504"/>
    <mergeCell ref="E350:O350"/>
    <mergeCell ref="D351:O351"/>
    <mergeCell ref="D352:O352"/>
    <mergeCell ref="D381:P381"/>
    <mergeCell ref="D341:O341"/>
    <mergeCell ref="A346:P346"/>
    <mergeCell ref="P347:P368"/>
    <mergeCell ref="A369:P369"/>
    <mergeCell ref="D376:P376"/>
    <mergeCell ref="D377:P377"/>
    <mergeCell ref="D378:P378"/>
    <mergeCell ref="D345:O345"/>
    <mergeCell ref="D316:P316"/>
    <mergeCell ref="D317:P317"/>
    <mergeCell ref="D319:P319"/>
    <mergeCell ref="D308:P308"/>
    <mergeCell ref="D311:P311"/>
    <mergeCell ref="D333:O333"/>
    <mergeCell ref="D334:O334"/>
    <mergeCell ref="D335:O335"/>
    <mergeCell ref="D312:P312"/>
    <mergeCell ref="D362:O362"/>
    <mergeCell ref="D363:O363"/>
    <mergeCell ref="D364:O364"/>
    <mergeCell ref="D365:O365"/>
    <mergeCell ref="D366:O366"/>
    <mergeCell ref="O336:O337"/>
    <mergeCell ref="D338:O338"/>
    <mergeCell ref="D353:O353"/>
    <mergeCell ref="D355:O355"/>
    <mergeCell ref="D356:O356"/>
    <mergeCell ref="D361:O361"/>
    <mergeCell ref="D379:P379"/>
    <mergeCell ref="D380:P380"/>
    <mergeCell ref="A408:O408"/>
    <mergeCell ref="A413:P413"/>
    <mergeCell ref="A414:P414"/>
    <mergeCell ref="A3:P3"/>
    <mergeCell ref="A1:P1"/>
    <mergeCell ref="A23:P23"/>
    <mergeCell ref="A18:P18"/>
    <mergeCell ref="A2:P2"/>
    <mergeCell ref="A24:P24"/>
    <mergeCell ref="A28:P28"/>
    <mergeCell ref="A259:P259"/>
    <mergeCell ref="A260:P260"/>
    <mergeCell ref="A264:O264"/>
    <mergeCell ref="A269:O269"/>
    <mergeCell ref="C84:P84"/>
    <mergeCell ref="C85:P85"/>
    <mergeCell ref="C86:P86"/>
    <mergeCell ref="A45:P45"/>
    <mergeCell ref="A39:P39"/>
    <mergeCell ref="A276:P276"/>
    <mergeCell ref="A277:P277"/>
    <mergeCell ref="A405:P405"/>
    <mergeCell ref="A403:O403"/>
    <mergeCell ref="A393:P393"/>
    <mergeCell ref="A398:P398"/>
    <mergeCell ref="A399:P399"/>
    <mergeCell ref="D357:O357"/>
    <mergeCell ref="D358:O358"/>
    <mergeCell ref="D359:O359"/>
    <mergeCell ref="A513:O513"/>
    <mergeCell ref="D382:P382"/>
    <mergeCell ref="D383:P383"/>
    <mergeCell ref="D384:P384"/>
    <mergeCell ref="A551:P551"/>
    <mergeCell ref="A552:P552"/>
    <mergeCell ref="A555:O555"/>
    <mergeCell ref="A560:O560"/>
    <mergeCell ref="A562:P562"/>
    <mergeCell ref="A565:P565"/>
    <mergeCell ref="A566:P566"/>
    <mergeCell ref="A546:P546"/>
    <mergeCell ref="A472:P472"/>
    <mergeCell ref="P473:P476"/>
    <mergeCell ref="A475:O475"/>
    <mergeCell ref="A476:O476"/>
    <mergeCell ref="A477:P477"/>
    <mergeCell ref="A481:P481"/>
    <mergeCell ref="A480:P480"/>
    <mergeCell ref="A486:P486"/>
    <mergeCell ref="A487:P487"/>
    <mergeCell ref="A497:O497"/>
    <mergeCell ref="A502:P502"/>
    <mergeCell ref="A503:P503"/>
    <mergeCell ref="A508:P508"/>
    <mergeCell ref="A509:P509"/>
    <mergeCell ref="A482:P482"/>
    <mergeCell ref="A483:P483"/>
    <mergeCell ref="A550:P550"/>
    <mergeCell ref="A545:P545"/>
    <mergeCell ref="A515:O515"/>
    <mergeCell ref="A499:P499"/>
  </mergeCells>
  <pageMargins left="1.5" right="0.7" top="0.75" bottom="0.75" header="0.3" footer="0.3"/>
  <pageSetup paperSize="5" scale="49" orientation="landscape" r:id="rId1"/>
</worksheet>
</file>

<file path=xl/worksheets/sheet2.xml><?xml version="1.0" encoding="utf-8"?>
<worksheet xmlns="http://schemas.openxmlformats.org/spreadsheetml/2006/main" xmlns:r="http://schemas.openxmlformats.org/officeDocument/2006/relationships">
  <dimension ref="A1:Q148"/>
  <sheetViews>
    <sheetView view="pageBreakPreview" zoomScale="60" zoomScaleNormal="60" workbookViewId="0">
      <selection activeCell="G146" sqref="G146"/>
    </sheetView>
  </sheetViews>
  <sheetFormatPr defaultRowHeight="14.25"/>
  <cols>
    <col min="1" max="1" width="7.7109375" style="14" customWidth="1"/>
    <col min="2" max="2" width="15.7109375" style="36" customWidth="1"/>
    <col min="3" max="3" width="22.7109375" style="14" customWidth="1"/>
    <col min="4" max="4" width="24.7109375" style="14" customWidth="1"/>
    <col min="5" max="5" width="30.7109375" style="14" customWidth="1"/>
    <col min="6" max="6" width="13.7109375" style="32" customWidth="1"/>
    <col min="7" max="7" width="21.7109375" style="14" customWidth="1"/>
    <col min="8" max="8" width="18.7109375" style="14" customWidth="1"/>
    <col min="9" max="9" width="18.7109375" style="18" customWidth="1"/>
    <col min="10" max="10" width="14.7109375" style="14" customWidth="1"/>
    <col min="11" max="11" width="18.7109375" style="14" customWidth="1"/>
    <col min="12" max="13" width="10.7109375" style="14" customWidth="1"/>
    <col min="14" max="14" width="20.7109375" style="14" customWidth="1"/>
    <col min="15" max="15" width="15.7109375" style="14" customWidth="1"/>
    <col min="16" max="16" width="12.28515625" style="14" customWidth="1"/>
    <col min="17" max="16384" width="9.140625" style="14"/>
  </cols>
  <sheetData>
    <row r="1" spans="1:16" s="12" customFormat="1" ht="20.25" customHeight="1">
      <c r="A1" s="303" t="s">
        <v>52</v>
      </c>
      <c r="B1" s="303"/>
      <c r="C1" s="303"/>
      <c r="D1" s="303"/>
      <c r="E1" s="303"/>
      <c r="F1" s="303"/>
      <c r="G1" s="303"/>
      <c r="H1" s="303"/>
      <c r="I1" s="303"/>
      <c r="J1" s="303"/>
      <c r="K1" s="303"/>
      <c r="L1" s="303"/>
      <c r="M1" s="303"/>
      <c r="N1" s="303"/>
      <c r="O1" s="303"/>
    </row>
    <row r="2" spans="1:16" ht="22.5" customHeight="1">
      <c r="A2" s="261" t="s">
        <v>1199</v>
      </c>
      <c r="B2" s="261"/>
      <c r="C2" s="261"/>
      <c r="D2" s="261"/>
      <c r="E2" s="261"/>
      <c r="F2" s="261"/>
      <c r="G2" s="261"/>
      <c r="H2" s="261"/>
      <c r="I2" s="261"/>
      <c r="J2" s="261"/>
      <c r="K2" s="261"/>
      <c r="L2" s="261"/>
      <c r="M2" s="261"/>
      <c r="N2" s="261"/>
      <c r="O2" s="261"/>
    </row>
    <row r="3" spans="1:16" ht="99.75">
      <c r="A3" s="24" t="s">
        <v>0</v>
      </c>
      <c r="B3" s="24" t="s">
        <v>115</v>
      </c>
      <c r="C3" s="24" t="s">
        <v>116</v>
      </c>
      <c r="D3" s="24" t="s">
        <v>54</v>
      </c>
      <c r="E3" s="24" t="s">
        <v>55</v>
      </c>
      <c r="F3" s="24" t="s">
        <v>111</v>
      </c>
      <c r="G3" s="24" t="s">
        <v>56</v>
      </c>
      <c r="H3" s="25" t="s">
        <v>112</v>
      </c>
      <c r="I3" s="24" t="s">
        <v>113</v>
      </c>
      <c r="J3" s="24" t="s">
        <v>57</v>
      </c>
      <c r="K3" s="25" t="s">
        <v>117</v>
      </c>
      <c r="L3" s="26" t="s">
        <v>58</v>
      </c>
      <c r="M3" s="26" t="s">
        <v>59</v>
      </c>
      <c r="N3" s="25" t="s">
        <v>118</v>
      </c>
      <c r="O3" s="24" t="s">
        <v>60</v>
      </c>
    </row>
    <row r="4" spans="1:16">
      <c r="A4" s="224">
        <v>1</v>
      </c>
      <c r="B4" s="224">
        <v>2</v>
      </c>
      <c r="C4" s="224">
        <v>3</v>
      </c>
      <c r="D4" s="224">
        <v>4</v>
      </c>
      <c r="E4" s="224">
        <v>5</v>
      </c>
      <c r="F4" s="224">
        <v>6</v>
      </c>
      <c r="G4" s="224">
        <v>7</v>
      </c>
      <c r="H4" s="224">
        <v>8</v>
      </c>
      <c r="I4" s="25">
        <v>9</v>
      </c>
      <c r="J4" s="224">
        <v>10</v>
      </c>
      <c r="K4" s="224">
        <v>11</v>
      </c>
      <c r="L4" s="224">
        <v>12</v>
      </c>
      <c r="M4" s="224">
        <v>13</v>
      </c>
      <c r="N4" s="224">
        <v>14</v>
      </c>
      <c r="O4" s="224">
        <v>15</v>
      </c>
      <c r="P4" s="13"/>
    </row>
    <row r="5" spans="1:16" ht="15">
      <c r="A5" s="282" t="s">
        <v>27</v>
      </c>
      <c r="B5" s="282"/>
      <c r="C5" s="282"/>
      <c r="D5" s="282"/>
      <c r="E5" s="282"/>
      <c r="F5" s="282"/>
      <c r="G5" s="282"/>
      <c r="H5" s="282"/>
      <c r="I5" s="282"/>
      <c r="J5" s="282"/>
      <c r="K5" s="282"/>
      <c r="L5" s="282"/>
      <c r="M5" s="282"/>
      <c r="N5" s="282"/>
      <c r="O5" s="282"/>
      <c r="P5" s="13"/>
    </row>
    <row r="6" spans="1:16">
      <c r="A6" s="301"/>
      <c r="B6" s="301"/>
      <c r="C6" s="301"/>
      <c r="D6" s="301"/>
      <c r="E6" s="301"/>
      <c r="F6" s="301"/>
      <c r="G6" s="301"/>
      <c r="H6" s="301"/>
      <c r="I6" s="301"/>
      <c r="J6" s="301"/>
      <c r="K6" s="301"/>
      <c r="L6" s="301"/>
      <c r="M6" s="301"/>
      <c r="N6" s="301"/>
      <c r="O6" s="301"/>
    </row>
    <row r="7" spans="1:16" ht="22.5" customHeight="1">
      <c r="A7" s="261" t="s">
        <v>1200</v>
      </c>
      <c r="B7" s="261"/>
      <c r="C7" s="261"/>
      <c r="D7" s="261"/>
      <c r="E7" s="261"/>
      <c r="F7" s="261"/>
      <c r="G7" s="261"/>
      <c r="H7" s="261"/>
      <c r="I7" s="261"/>
      <c r="J7" s="261"/>
      <c r="K7" s="261"/>
      <c r="L7" s="261"/>
      <c r="M7" s="261"/>
      <c r="N7" s="261"/>
      <c r="O7" s="261"/>
    </row>
    <row r="8" spans="1:16" ht="99.75">
      <c r="A8" s="24" t="s">
        <v>0</v>
      </c>
      <c r="B8" s="24" t="s">
        <v>115</v>
      </c>
      <c r="C8" s="24" t="s">
        <v>116</v>
      </c>
      <c r="D8" s="24" t="s">
        <v>54</v>
      </c>
      <c r="E8" s="24" t="s">
        <v>55</v>
      </c>
      <c r="F8" s="24" t="s">
        <v>111</v>
      </c>
      <c r="G8" s="24" t="s">
        <v>56</v>
      </c>
      <c r="H8" s="25" t="s">
        <v>112</v>
      </c>
      <c r="I8" s="24" t="s">
        <v>113</v>
      </c>
      <c r="J8" s="24" t="s">
        <v>57</v>
      </c>
      <c r="K8" s="25" t="s">
        <v>117</v>
      </c>
      <c r="L8" s="26" t="s">
        <v>58</v>
      </c>
      <c r="M8" s="26" t="s">
        <v>59</v>
      </c>
      <c r="N8" s="25" t="s">
        <v>118</v>
      </c>
      <c r="O8" s="24" t="s">
        <v>60</v>
      </c>
    </row>
    <row r="9" spans="1:16" ht="15" customHeight="1">
      <c r="A9" s="274" t="s">
        <v>27</v>
      </c>
      <c r="B9" s="274"/>
      <c r="C9" s="274"/>
      <c r="D9" s="274"/>
      <c r="E9" s="274"/>
      <c r="F9" s="274"/>
      <c r="G9" s="274"/>
      <c r="H9" s="274"/>
      <c r="I9" s="274"/>
      <c r="J9" s="274"/>
      <c r="K9" s="274"/>
      <c r="L9" s="274"/>
      <c r="M9" s="274"/>
      <c r="N9" s="274"/>
      <c r="O9" s="274"/>
    </row>
    <row r="10" spans="1:16">
      <c r="A10" s="298"/>
      <c r="B10" s="299"/>
      <c r="C10" s="299"/>
      <c r="D10" s="299"/>
      <c r="E10" s="299"/>
      <c r="F10" s="299"/>
      <c r="G10" s="299"/>
      <c r="H10" s="299"/>
      <c r="I10" s="299"/>
      <c r="J10" s="299"/>
      <c r="K10" s="299"/>
      <c r="L10" s="299"/>
      <c r="M10" s="299"/>
      <c r="N10" s="299"/>
      <c r="O10" s="300"/>
    </row>
    <row r="11" spans="1:16" ht="22.5" customHeight="1">
      <c r="A11" s="261" t="s">
        <v>1197</v>
      </c>
      <c r="B11" s="261"/>
      <c r="C11" s="261"/>
      <c r="D11" s="261"/>
      <c r="E11" s="261"/>
      <c r="F11" s="261"/>
      <c r="G11" s="261"/>
      <c r="H11" s="261"/>
      <c r="I11" s="261"/>
      <c r="J11" s="261"/>
      <c r="K11" s="261"/>
      <c r="L11" s="261"/>
      <c r="M11" s="261"/>
      <c r="N11" s="261"/>
      <c r="O11" s="261"/>
    </row>
    <row r="12" spans="1:16" ht="99.75">
      <c r="A12" s="24" t="s">
        <v>0</v>
      </c>
      <c r="B12" s="24" t="s">
        <v>115</v>
      </c>
      <c r="C12" s="24" t="s">
        <v>116</v>
      </c>
      <c r="D12" s="24" t="s">
        <v>54</v>
      </c>
      <c r="E12" s="24" t="s">
        <v>55</v>
      </c>
      <c r="F12" s="24" t="s">
        <v>111</v>
      </c>
      <c r="G12" s="24" t="s">
        <v>56</v>
      </c>
      <c r="H12" s="25" t="s">
        <v>112</v>
      </c>
      <c r="I12" s="24" t="s">
        <v>113</v>
      </c>
      <c r="J12" s="24" t="s">
        <v>57</v>
      </c>
      <c r="K12" s="25" t="s">
        <v>117</v>
      </c>
      <c r="L12" s="26" t="s">
        <v>58</v>
      </c>
      <c r="M12" s="26" t="s">
        <v>59</v>
      </c>
      <c r="N12" s="25" t="s">
        <v>118</v>
      </c>
      <c r="O12" s="24" t="s">
        <v>60</v>
      </c>
    </row>
    <row r="13" spans="1:16">
      <c r="A13" s="224">
        <v>1</v>
      </c>
      <c r="B13" s="224">
        <v>2</v>
      </c>
      <c r="C13" s="224">
        <v>3</v>
      </c>
      <c r="D13" s="224">
        <v>4</v>
      </c>
      <c r="E13" s="224">
        <v>5</v>
      </c>
      <c r="F13" s="224">
        <v>6</v>
      </c>
      <c r="G13" s="224">
        <v>7</v>
      </c>
      <c r="H13" s="224">
        <v>8</v>
      </c>
      <c r="I13" s="25">
        <v>9</v>
      </c>
      <c r="J13" s="224">
        <v>10</v>
      </c>
      <c r="K13" s="224">
        <v>11</v>
      </c>
      <c r="L13" s="224">
        <v>12</v>
      </c>
      <c r="M13" s="224">
        <v>13</v>
      </c>
      <c r="N13" s="224">
        <v>14</v>
      </c>
      <c r="O13" s="224">
        <v>15</v>
      </c>
    </row>
    <row r="14" spans="1:16" ht="15">
      <c r="A14" s="250" t="s">
        <v>27</v>
      </c>
      <c r="B14" s="250"/>
      <c r="C14" s="250"/>
      <c r="D14" s="250"/>
      <c r="E14" s="250"/>
      <c r="F14" s="250"/>
      <c r="G14" s="250"/>
      <c r="H14" s="250"/>
      <c r="I14" s="250"/>
      <c r="J14" s="250"/>
      <c r="K14" s="250"/>
      <c r="L14" s="250"/>
      <c r="M14" s="250"/>
      <c r="N14" s="250"/>
      <c r="O14" s="250"/>
    </row>
    <row r="15" spans="1:16" ht="15">
      <c r="A15" s="267"/>
      <c r="B15" s="267"/>
      <c r="C15" s="267"/>
      <c r="D15" s="267"/>
      <c r="E15" s="267"/>
      <c r="F15" s="267"/>
      <c r="G15" s="267"/>
      <c r="H15" s="267"/>
      <c r="I15" s="267"/>
      <c r="J15" s="267"/>
      <c r="K15" s="267"/>
      <c r="L15" s="267"/>
      <c r="M15" s="267"/>
      <c r="N15" s="267"/>
      <c r="O15" s="267"/>
    </row>
    <row r="16" spans="1:16" ht="22.5" customHeight="1">
      <c r="A16" s="261" t="s">
        <v>1194</v>
      </c>
      <c r="B16" s="261"/>
      <c r="C16" s="261"/>
      <c r="D16" s="261"/>
      <c r="E16" s="261"/>
      <c r="F16" s="261"/>
      <c r="G16" s="261"/>
      <c r="H16" s="261"/>
      <c r="I16" s="261"/>
      <c r="J16" s="261"/>
      <c r="K16" s="261"/>
      <c r="L16" s="261"/>
      <c r="M16" s="261"/>
      <c r="N16" s="261"/>
      <c r="O16" s="261"/>
    </row>
    <row r="17" spans="1:15" ht="99.75">
      <c r="A17" s="24" t="s">
        <v>0</v>
      </c>
      <c r="B17" s="24" t="s">
        <v>115</v>
      </c>
      <c r="C17" s="24" t="s">
        <v>116</v>
      </c>
      <c r="D17" s="24" t="s">
        <v>54</v>
      </c>
      <c r="E17" s="24" t="s">
        <v>55</v>
      </c>
      <c r="F17" s="24" t="s">
        <v>111</v>
      </c>
      <c r="G17" s="24" t="s">
        <v>56</v>
      </c>
      <c r="H17" s="25" t="s">
        <v>112</v>
      </c>
      <c r="I17" s="24" t="s">
        <v>113</v>
      </c>
      <c r="J17" s="24" t="s">
        <v>57</v>
      </c>
      <c r="K17" s="25" t="s">
        <v>117</v>
      </c>
      <c r="L17" s="26" t="s">
        <v>58</v>
      </c>
      <c r="M17" s="26" t="s">
        <v>59</v>
      </c>
      <c r="N17" s="25" t="s">
        <v>118</v>
      </c>
      <c r="O17" s="24" t="s">
        <v>60</v>
      </c>
    </row>
    <row r="18" spans="1:15" ht="15">
      <c r="A18" s="267" t="s">
        <v>27</v>
      </c>
      <c r="B18" s="267"/>
      <c r="C18" s="267"/>
      <c r="D18" s="267"/>
      <c r="E18" s="267"/>
      <c r="F18" s="267"/>
      <c r="G18" s="267"/>
      <c r="H18" s="267"/>
      <c r="I18" s="267"/>
      <c r="J18" s="267"/>
      <c r="K18" s="267"/>
      <c r="L18" s="267"/>
      <c r="M18" s="267"/>
      <c r="N18" s="267"/>
      <c r="O18" s="267"/>
    </row>
    <row r="19" spans="1:15">
      <c r="A19" s="298"/>
      <c r="B19" s="299"/>
      <c r="C19" s="299"/>
      <c r="D19" s="299"/>
      <c r="E19" s="299"/>
      <c r="F19" s="299"/>
      <c r="G19" s="299"/>
      <c r="H19" s="299"/>
      <c r="I19" s="299"/>
      <c r="J19" s="299"/>
      <c r="K19" s="299"/>
      <c r="L19" s="299"/>
      <c r="M19" s="299"/>
      <c r="N19" s="299"/>
      <c r="O19" s="300"/>
    </row>
    <row r="20" spans="1:15" ht="22.5">
      <c r="A20" s="261" t="s">
        <v>1198</v>
      </c>
      <c r="B20" s="261"/>
      <c r="C20" s="261"/>
      <c r="D20" s="261"/>
      <c r="E20" s="261"/>
      <c r="F20" s="261"/>
      <c r="G20" s="261"/>
      <c r="H20" s="261"/>
      <c r="I20" s="261"/>
      <c r="J20" s="261"/>
      <c r="K20" s="261"/>
      <c r="L20" s="261"/>
      <c r="M20" s="261"/>
      <c r="N20" s="261"/>
      <c r="O20" s="261"/>
    </row>
    <row r="21" spans="1:15" ht="99.75">
      <c r="A21" s="24" t="s">
        <v>0</v>
      </c>
      <c r="B21" s="24" t="s">
        <v>115</v>
      </c>
      <c r="C21" s="24" t="s">
        <v>116</v>
      </c>
      <c r="D21" s="24" t="s">
        <v>54</v>
      </c>
      <c r="E21" s="24" t="s">
        <v>55</v>
      </c>
      <c r="F21" s="24" t="s">
        <v>111</v>
      </c>
      <c r="G21" s="24" t="s">
        <v>56</v>
      </c>
      <c r="H21" s="25" t="s">
        <v>112</v>
      </c>
      <c r="I21" s="24" t="s">
        <v>113</v>
      </c>
      <c r="J21" s="24" t="s">
        <v>57</v>
      </c>
      <c r="K21" s="25" t="s">
        <v>117</v>
      </c>
      <c r="L21" s="26" t="s">
        <v>58</v>
      </c>
      <c r="M21" s="26" t="s">
        <v>59</v>
      </c>
      <c r="N21" s="25" t="s">
        <v>118</v>
      </c>
      <c r="O21" s="24" t="s">
        <v>60</v>
      </c>
    </row>
    <row r="22" spans="1:15">
      <c r="A22" s="224">
        <v>1</v>
      </c>
      <c r="B22" s="224">
        <v>2</v>
      </c>
      <c r="C22" s="224">
        <v>3</v>
      </c>
      <c r="D22" s="224">
        <v>4</v>
      </c>
      <c r="E22" s="224">
        <v>5</v>
      </c>
      <c r="F22" s="224">
        <v>6</v>
      </c>
      <c r="G22" s="224">
        <v>7</v>
      </c>
      <c r="H22" s="224">
        <v>8</v>
      </c>
      <c r="I22" s="25">
        <v>9</v>
      </c>
      <c r="J22" s="224">
        <v>10</v>
      </c>
      <c r="K22" s="224">
        <v>11</v>
      </c>
      <c r="L22" s="224">
        <v>12</v>
      </c>
      <c r="M22" s="224">
        <v>13</v>
      </c>
      <c r="N22" s="224">
        <v>14</v>
      </c>
      <c r="O22" s="224">
        <v>15</v>
      </c>
    </row>
    <row r="23" spans="1:15" ht="105">
      <c r="A23" s="207">
        <v>1</v>
      </c>
      <c r="B23" s="217" t="s">
        <v>154</v>
      </c>
      <c r="C23" s="207" t="s">
        <v>155</v>
      </c>
      <c r="D23" s="207" t="s">
        <v>337</v>
      </c>
      <c r="E23" s="207" t="s">
        <v>12</v>
      </c>
      <c r="F23" s="207" t="s">
        <v>338</v>
      </c>
      <c r="G23" s="207" t="s">
        <v>12</v>
      </c>
      <c r="H23" s="207" t="s">
        <v>12</v>
      </c>
      <c r="I23" s="207" t="s">
        <v>12</v>
      </c>
      <c r="J23" s="207" t="s">
        <v>12</v>
      </c>
      <c r="K23" s="207" t="s">
        <v>12</v>
      </c>
      <c r="L23" s="207" t="s">
        <v>12</v>
      </c>
      <c r="M23" s="207" t="s">
        <v>12</v>
      </c>
      <c r="N23" s="207" t="s">
        <v>12</v>
      </c>
      <c r="O23" s="207" t="s">
        <v>339</v>
      </c>
    </row>
    <row r="24" spans="1:15" ht="105">
      <c r="A24" s="267">
        <v>2</v>
      </c>
      <c r="B24" s="304" t="s">
        <v>156</v>
      </c>
      <c r="C24" s="267" t="s">
        <v>340</v>
      </c>
      <c r="D24" s="207" t="s">
        <v>341</v>
      </c>
      <c r="E24" s="207" t="s">
        <v>12</v>
      </c>
      <c r="F24" s="207" t="s">
        <v>342</v>
      </c>
      <c r="G24" s="207" t="s">
        <v>38</v>
      </c>
      <c r="H24" s="207" t="s">
        <v>343</v>
      </c>
      <c r="I24" s="207" t="s">
        <v>38</v>
      </c>
      <c r="J24" s="207" t="s">
        <v>38</v>
      </c>
      <c r="K24" s="207" t="s">
        <v>12</v>
      </c>
      <c r="L24" s="207" t="s">
        <v>12</v>
      </c>
      <c r="M24" s="207" t="s">
        <v>12</v>
      </c>
      <c r="N24" s="207" t="s">
        <v>12</v>
      </c>
      <c r="O24" s="207" t="s">
        <v>339</v>
      </c>
    </row>
    <row r="25" spans="1:15" ht="60">
      <c r="A25" s="267"/>
      <c r="B25" s="304"/>
      <c r="C25" s="267"/>
      <c r="D25" s="207" t="s">
        <v>344</v>
      </c>
      <c r="E25" s="207" t="s">
        <v>12</v>
      </c>
      <c r="F25" s="207" t="s">
        <v>345</v>
      </c>
      <c r="G25" s="207" t="s">
        <v>12</v>
      </c>
      <c r="H25" s="207" t="s">
        <v>12</v>
      </c>
      <c r="I25" s="207" t="s">
        <v>12</v>
      </c>
      <c r="J25" s="207" t="s">
        <v>12</v>
      </c>
      <c r="K25" s="207" t="s">
        <v>12</v>
      </c>
      <c r="L25" s="207" t="s">
        <v>12</v>
      </c>
      <c r="M25" s="207" t="s">
        <v>12</v>
      </c>
      <c r="N25" s="207" t="s">
        <v>12</v>
      </c>
      <c r="O25" s="207" t="s">
        <v>12</v>
      </c>
    </row>
    <row r="26" spans="1:15" ht="15">
      <c r="A26" s="207">
        <v>3</v>
      </c>
      <c r="B26" s="217" t="s">
        <v>158</v>
      </c>
      <c r="C26" s="207" t="s">
        <v>157</v>
      </c>
      <c r="D26" s="207" t="s">
        <v>12</v>
      </c>
      <c r="E26" s="207" t="s">
        <v>12</v>
      </c>
      <c r="F26" s="207" t="s">
        <v>12</v>
      </c>
      <c r="G26" s="207" t="s">
        <v>12</v>
      </c>
      <c r="H26" s="207" t="s">
        <v>12</v>
      </c>
      <c r="I26" s="207" t="s">
        <v>12</v>
      </c>
      <c r="J26" s="207" t="s">
        <v>12</v>
      </c>
      <c r="K26" s="207" t="s">
        <v>12</v>
      </c>
      <c r="L26" s="207" t="s">
        <v>12</v>
      </c>
      <c r="M26" s="207" t="s">
        <v>12</v>
      </c>
      <c r="N26" s="207" t="s">
        <v>12</v>
      </c>
      <c r="O26" s="207" t="s">
        <v>12</v>
      </c>
    </row>
    <row r="27" spans="1:15" ht="15">
      <c r="A27" s="207">
        <v>4</v>
      </c>
      <c r="B27" s="217" t="s">
        <v>159</v>
      </c>
      <c r="C27" s="207" t="s">
        <v>157</v>
      </c>
      <c r="D27" s="207" t="s">
        <v>27</v>
      </c>
      <c r="E27" s="207" t="s">
        <v>27</v>
      </c>
      <c r="F27" s="207" t="s">
        <v>27</v>
      </c>
      <c r="G27" s="207" t="s">
        <v>27</v>
      </c>
      <c r="H27" s="207" t="s">
        <v>27</v>
      </c>
      <c r="I27" s="207" t="s">
        <v>27</v>
      </c>
      <c r="J27" s="207" t="s">
        <v>27</v>
      </c>
      <c r="K27" s="207" t="s">
        <v>27</v>
      </c>
      <c r="L27" s="207" t="s">
        <v>27</v>
      </c>
      <c r="M27" s="207" t="s">
        <v>27</v>
      </c>
      <c r="N27" s="207" t="s">
        <v>27</v>
      </c>
      <c r="O27" s="207" t="s">
        <v>27</v>
      </c>
    </row>
    <row r="28" spans="1:15" ht="15">
      <c r="A28" s="207">
        <v>5</v>
      </c>
      <c r="B28" s="161" t="s">
        <v>160</v>
      </c>
      <c r="C28" s="207" t="s">
        <v>157</v>
      </c>
      <c r="D28" s="207" t="s">
        <v>27</v>
      </c>
      <c r="E28" s="207" t="s">
        <v>27</v>
      </c>
      <c r="F28" s="207" t="s">
        <v>27</v>
      </c>
      <c r="G28" s="207" t="s">
        <v>27</v>
      </c>
      <c r="H28" s="207" t="s">
        <v>27</v>
      </c>
      <c r="I28" s="207" t="s">
        <v>27</v>
      </c>
      <c r="J28" s="207" t="s">
        <v>27</v>
      </c>
      <c r="K28" s="207" t="s">
        <v>27</v>
      </c>
      <c r="L28" s="207" t="s">
        <v>27</v>
      </c>
      <c r="M28" s="207" t="s">
        <v>27</v>
      </c>
      <c r="N28" s="207" t="s">
        <v>27</v>
      </c>
      <c r="O28" s="207" t="s">
        <v>27</v>
      </c>
    </row>
    <row r="29" spans="1:15" ht="15">
      <c r="A29" s="207">
        <v>6</v>
      </c>
      <c r="B29" s="217" t="s">
        <v>161</v>
      </c>
      <c r="C29" s="207" t="s">
        <v>157</v>
      </c>
      <c r="D29" s="207" t="s">
        <v>27</v>
      </c>
      <c r="E29" s="207" t="s">
        <v>27</v>
      </c>
      <c r="F29" s="207" t="s">
        <v>27</v>
      </c>
      <c r="G29" s="207" t="s">
        <v>27</v>
      </c>
      <c r="H29" s="207" t="s">
        <v>27</v>
      </c>
      <c r="I29" s="207" t="s">
        <v>27</v>
      </c>
      <c r="J29" s="207" t="s">
        <v>27</v>
      </c>
      <c r="K29" s="207" t="s">
        <v>27</v>
      </c>
      <c r="L29" s="207" t="s">
        <v>27</v>
      </c>
      <c r="M29" s="207" t="s">
        <v>27</v>
      </c>
      <c r="N29" s="207" t="s">
        <v>27</v>
      </c>
      <c r="O29" s="207" t="s">
        <v>27</v>
      </c>
    </row>
    <row r="30" spans="1:15" ht="30">
      <c r="A30" s="207">
        <v>7</v>
      </c>
      <c r="B30" s="217" t="s">
        <v>162</v>
      </c>
      <c r="C30" s="207" t="s">
        <v>157</v>
      </c>
      <c r="D30" s="207" t="s">
        <v>12</v>
      </c>
      <c r="E30" s="207" t="s">
        <v>12</v>
      </c>
      <c r="F30" s="207" t="s">
        <v>12</v>
      </c>
      <c r="G30" s="207" t="s">
        <v>12</v>
      </c>
      <c r="H30" s="207" t="s">
        <v>12</v>
      </c>
      <c r="I30" s="207" t="s">
        <v>12</v>
      </c>
      <c r="J30" s="207" t="s">
        <v>12</v>
      </c>
      <c r="K30" s="207" t="s">
        <v>12</v>
      </c>
      <c r="L30" s="207" t="s">
        <v>12</v>
      </c>
      <c r="M30" s="207" t="s">
        <v>12</v>
      </c>
      <c r="N30" s="207" t="s">
        <v>12</v>
      </c>
      <c r="O30" s="207" t="s">
        <v>12</v>
      </c>
    </row>
    <row r="31" spans="1:15" ht="15">
      <c r="A31" s="207">
        <v>8</v>
      </c>
      <c r="B31" s="217" t="s">
        <v>164</v>
      </c>
      <c r="C31" s="207" t="s">
        <v>157</v>
      </c>
      <c r="D31" s="207" t="s">
        <v>12</v>
      </c>
      <c r="E31" s="207" t="s">
        <v>12</v>
      </c>
      <c r="F31" s="207" t="s">
        <v>12</v>
      </c>
      <c r="G31" s="207" t="s">
        <v>12</v>
      </c>
      <c r="H31" s="207" t="s">
        <v>12</v>
      </c>
      <c r="I31" s="207" t="s">
        <v>12</v>
      </c>
      <c r="J31" s="207" t="s">
        <v>12</v>
      </c>
      <c r="K31" s="207" t="s">
        <v>12</v>
      </c>
      <c r="L31" s="207" t="s">
        <v>12</v>
      </c>
      <c r="M31" s="207" t="s">
        <v>12</v>
      </c>
      <c r="N31" s="207" t="s">
        <v>12</v>
      </c>
      <c r="O31" s="207" t="s">
        <v>12</v>
      </c>
    </row>
    <row r="32" spans="1:15" ht="22.5" customHeight="1">
      <c r="A32" s="207">
        <v>9</v>
      </c>
      <c r="B32" s="161" t="s">
        <v>172</v>
      </c>
      <c r="C32" s="207" t="s">
        <v>157</v>
      </c>
      <c r="D32" s="207" t="s">
        <v>27</v>
      </c>
      <c r="E32" s="207" t="s">
        <v>27</v>
      </c>
      <c r="F32" s="207" t="s">
        <v>27</v>
      </c>
      <c r="G32" s="207" t="s">
        <v>27</v>
      </c>
      <c r="H32" s="207" t="s">
        <v>27</v>
      </c>
      <c r="I32" s="207" t="s">
        <v>27</v>
      </c>
      <c r="J32" s="207" t="s">
        <v>27</v>
      </c>
      <c r="K32" s="207" t="s">
        <v>27</v>
      </c>
      <c r="L32" s="207" t="s">
        <v>27</v>
      </c>
      <c r="M32" s="207" t="s">
        <v>27</v>
      </c>
      <c r="N32" s="207" t="s">
        <v>27</v>
      </c>
      <c r="O32" s="207" t="s">
        <v>27</v>
      </c>
    </row>
    <row r="33" spans="1:17" ht="15">
      <c r="A33" s="207">
        <v>10</v>
      </c>
      <c r="B33" s="217" t="s">
        <v>173</v>
      </c>
      <c r="C33" s="207" t="s">
        <v>157</v>
      </c>
      <c r="D33" s="207" t="s">
        <v>27</v>
      </c>
      <c r="E33" s="207" t="s">
        <v>27</v>
      </c>
      <c r="F33" s="207" t="s">
        <v>27</v>
      </c>
      <c r="G33" s="207" t="s">
        <v>27</v>
      </c>
      <c r="H33" s="207" t="s">
        <v>27</v>
      </c>
      <c r="I33" s="207" t="s">
        <v>27</v>
      </c>
      <c r="J33" s="207" t="s">
        <v>27</v>
      </c>
      <c r="K33" s="207" t="s">
        <v>27</v>
      </c>
      <c r="L33" s="207" t="s">
        <v>27</v>
      </c>
      <c r="M33" s="207" t="s">
        <v>27</v>
      </c>
      <c r="N33" s="207" t="s">
        <v>27</v>
      </c>
      <c r="O33" s="207" t="s">
        <v>27</v>
      </c>
    </row>
    <row r="34" spans="1:17" ht="75">
      <c r="A34" s="267">
        <v>11</v>
      </c>
      <c r="B34" s="290" t="s">
        <v>174</v>
      </c>
      <c r="C34" s="226" t="s">
        <v>46</v>
      </c>
      <c r="D34" s="226" t="s">
        <v>346</v>
      </c>
      <c r="E34" s="207" t="s">
        <v>347</v>
      </c>
      <c r="F34" s="226" t="s">
        <v>46</v>
      </c>
      <c r="G34" s="226" t="s">
        <v>46</v>
      </c>
      <c r="H34" s="226" t="s">
        <v>46</v>
      </c>
      <c r="I34" s="226" t="s">
        <v>46</v>
      </c>
      <c r="J34" s="226" t="s">
        <v>46</v>
      </c>
      <c r="K34" s="226" t="s">
        <v>46</v>
      </c>
      <c r="L34" s="226" t="s">
        <v>46</v>
      </c>
      <c r="M34" s="226" t="s">
        <v>46</v>
      </c>
      <c r="N34" s="226" t="s">
        <v>46</v>
      </c>
      <c r="O34" s="207" t="s">
        <v>348</v>
      </c>
    </row>
    <row r="35" spans="1:17" ht="45">
      <c r="A35" s="267"/>
      <c r="B35" s="290"/>
      <c r="C35" s="226" t="s">
        <v>46</v>
      </c>
      <c r="D35" s="207" t="s">
        <v>349</v>
      </c>
      <c r="E35" s="207" t="s">
        <v>350</v>
      </c>
      <c r="F35" s="207">
        <v>209.03</v>
      </c>
      <c r="G35" s="226" t="s">
        <v>46</v>
      </c>
      <c r="H35" s="226" t="s">
        <v>46</v>
      </c>
      <c r="I35" s="226" t="s">
        <v>46</v>
      </c>
      <c r="J35" s="226" t="s">
        <v>46</v>
      </c>
      <c r="K35" s="207" t="s">
        <v>351</v>
      </c>
      <c r="L35" s="226" t="s">
        <v>46</v>
      </c>
      <c r="M35" s="226" t="s">
        <v>46</v>
      </c>
      <c r="N35" s="226" t="s">
        <v>46</v>
      </c>
      <c r="O35" s="207" t="s">
        <v>352</v>
      </c>
      <c r="P35" s="66"/>
      <c r="Q35" s="102"/>
    </row>
    <row r="36" spans="1:17" ht="15">
      <c r="A36" s="207">
        <v>12</v>
      </c>
      <c r="B36" s="217" t="s">
        <v>176</v>
      </c>
      <c r="C36" s="207" t="s">
        <v>157</v>
      </c>
      <c r="D36" s="207" t="s">
        <v>12</v>
      </c>
      <c r="E36" s="207" t="s">
        <v>12</v>
      </c>
      <c r="F36" s="207" t="s">
        <v>12</v>
      </c>
      <c r="G36" s="207" t="s">
        <v>12</v>
      </c>
      <c r="H36" s="207" t="s">
        <v>12</v>
      </c>
      <c r="I36" s="207" t="s">
        <v>12</v>
      </c>
      <c r="J36" s="207" t="s">
        <v>12</v>
      </c>
      <c r="K36" s="207" t="s">
        <v>12</v>
      </c>
      <c r="L36" s="207" t="s">
        <v>12</v>
      </c>
      <c r="M36" s="207" t="s">
        <v>12</v>
      </c>
      <c r="N36" s="207" t="s">
        <v>12</v>
      </c>
      <c r="O36" s="207" t="s">
        <v>12</v>
      </c>
      <c r="P36" s="66"/>
      <c r="Q36" s="102"/>
    </row>
    <row r="37" spans="1:17" ht="15">
      <c r="A37" s="207">
        <v>13</v>
      </c>
      <c r="B37" s="217" t="s">
        <v>177</v>
      </c>
      <c r="C37" s="207" t="s">
        <v>157</v>
      </c>
      <c r="D37" s="207" t="s">
        <v>27</v>
      </c>
      <c r="E37" s="207" t="s">
        <v>27</v>
      </c>
      <c r="F37" s="207" t="s">
        <v>27</v>
      </c>
      <c r="G37" s="207" t="s">
        <v>27</v>
      </c>
      <c r="H37" s="207" t="s">
        <v>27</v>
      </c>
      <c r="I37" s="207" t="s">
        <v>27</v>
      </c>
      <c r="J37" s="207" t="s">
        <v>27</v>
      </c>
      <c r="K37" s="207" t="s">
        <v>27</v>
      </c>
      <c r="L37" s="207" t="s">
        <v>27</v>
      </c>
      <c r="M37" s="207" t="s">
        <v>27</v>
      </c>
      <c r="N37" s="207" t="s">
        <v>27</v>
      </c>
      <c r="O37" s="207" t="s">
        <v>27</v>
      </c>
      <c r="P37" s="66"/>
      <c r="Q37" s="102"/>
    </row>
    <row r="38" spans="1:17" ht="15">
      <c r="A38" s="207">
        <v>14</v>
      </c>
      <c r="B38" s="217" t="s">
        <v>178</v>
      </c>
      <c r="C38" s="207" t="s">
        <v>157</v>
      </c>
      <c r="D38" s="207" t="s">
        <v>27</v>
      </c>
      <c r="E38" s="207" t="s">
        <v>27</v>
      </c>
      <c r="F38" s="207" t="s">
        <v>27</v>
      </c>
      <c r="G38" s="207" t="s">
        <v>27</v>
      </c>
      <c r="H38" s="207" t="s">
        <v>27</v>
      </c>
      <c r="I38" s="207" t="s">
        <v>27</v>
      </c>
      <c r="J38" s="207" t="s">
        <v>27</v>
      </c>
      <c r="K38" s="207" t="s">
        <v>27</v>
      </c>
      <c r="L38" s="207" t="s">
        <v>27</v>
      </c>
      <c r="M38" s="207" t="s">
        <v>27</v>
      </c>
      <c r="N38" s="207" t="s">
        <v>27</v>
      </c>
      <c r="O38" s="207" t="s">
        <v>27</v>
      </c>
      <c r="P38" s="99"/>
      <c r="Q38" s="100"/>
    </row>
    <row r="39" spans="1:17" ht="135">
      <c r="A39" s="207">
        <v>15</v>
      </c>
      <c r="B39" s="217" t="s">
        <v>179</v>
      </c>
      <c r="C39" s="207" t="s">
        <v>353</v>
      </c>
      <c r="D39" s="207" t="s">
        <v>27</v>
      </c>
      <c r="E39" s="207" t="s">
        <v>27</v>
      </c>
      <c r="F39" s="207" t="s">
        <v>27</v>
      </c>
      <c r="G39" s="207" t="s">
        <v>27</v>
      </c>
      <c r="H39" s="207" t="s">
        <v>27</v>
      </c>
      <c r="I39" s="207" t="s">
        <v>27</v>
      </c>
      <c r="J39" s="207" t="s">
        <v>27</v>
      </c>
      <c r="K39" s="207" t="s">
        <v>27</v>
      </c>
      <c r="L39" s="207" t="s">
        <v>27</v>
      </c>
      <c r="M39" s="207" t="s">
        <v>27</v>
      </c>
      <c r="N39" s="207" t="s">
        <v>27</v>
      </c>
      <c r="O39" s="207" t="s">
        <v>354</v>
      </c>
      <c r="P39" s="103"/>
      <c r="Q39" s="100"/>
    </row>
    <row r="40" spans="1:17" ht="15">
      <c r="A40" s="207">
        <v>16</v>
      </c>
      <c r="B40" s="217" t="s">
        <v>183</v>
      </c>
      <c r="C40" s="207" t="s">
        <v>157</v>
      </c>
      <c r="D40" s="207" t="s">
        <v>27</v>
      </c>
      <c r="E40" s="207" t="s">
        <v>27</v>
      </c>
      <c r="F40" s="207" t="s">
        <v>27</v>
      </c>
      <c r="G40" s="207" t="s">
        <v>27</v>
      </c>
      <c r="H40" s="207" t="s">
        <v>27</v>
      </c>
      <c r="I40" s="207" t="s">
        <v>27</v>
      </c>
      <c r="J40" s="207" t="s">
        <v>27</v>
      </c>
      <c r="K40" s="207" t="s">
        <v>27</v>
      </c>
      <c r="L40" s="207" t="s">
        <v>27</v>
      </c>
      <c r="M40" s="207" t="s">
        <v>27</v>
      </c>
      <c r="N40" s="207" t="s">
        <v>27</v>
      </c>
      <c r="O40" s="207" t="s">
        <v>27</v>
      </c>
      <c r="P40" s="103"/>
      <c r="Q40" s="100"/>
    </row>
    <row r="41" spans="1:17" ht="15">
      <c r="A41" s="207">
        <v>17</v>
      </c>
      <c r="B41" s="217" t="s">
        <v>184</v>
      </c>
      <c r="C41" s="207" t="s">
        <v>157</v>
      </c>
      <c r="D41" s="207" t="s">
        <v>27</v>
      </c>
      <c r="E41" s="207" t="s">
        <v>27</v>
      </c>
      <c r="F41" s="207" t="s">
        <v>27</v>
      </c>
      <c r="G41" s="207" t="s">
        <v>27</v>
      </c>
      <c r="H41" s="207" t="s">
        <v>27</v>
      </c>
      <c r="I41" s="207" t="s">
        <v>27</v>
      </c>
      <c r="J41" s="207" t="s">
        <v>27</v>
      </c>
      <c r="K41" s="207" t="s">
        <v>27</v>
      </c>
      <c r="L41" s="207" t="s">
        <v>27</v>
      </c>
      <c r="M41" s="207" t="s">
        <v>27</v>
      </c>
      <c r="N41" s="207" t="s">
        <v>27</v>
      </c>
      <c r="O41" s="207" t="s">
        <v>27</v>
      </c>
      <c r="P41" s="103"/>
      <c r="Q41" s="100"/>
    </row>
    <row r="42" spans="1:17" ht="15">
      <c r="A42" s="207">
        <v>18</v>
      </c>
      <c r="B42" s="217" t="s">
        <v>185</v>
      </c>
      <c r="C42" s="207" t="s">
        <v>157</v>
      </c>
      <c r="D42" s="207" t="s">
        <v>27</v>
      </c>
      <c r="E42" s="207" t="s">
        <v>27</v>
      </c>
      <c r="F42" s="207" t="s">
        <v>27</v>
      </c>
      <c r="G42" s="207" t="s">
        <v>27</v>
      </c>
      <c r="H42" s="207" t="s">
        <v>27</v>
      </c>
      <c r="I42" s="207" t="s">
        <v>27</v>
      </c>
      <c r="J42" s="207" t="s">
        <v>27</v>
      </c>
      <c r="K42" s="207" t="s">
        <v>27</v>
      </c>
      <c r="L42" s="207" t="s">
        <v>27</v>
      </c>
      <c r="M42" s="207" t="s">
        <v>27</v>
      </c>
      <c r="N42" s="207" t="s">
        <v>27</v>
      </c>
      <c r="O42" s="207" t="s">
        <v>27</v>
      </c>
      <c r="P42" s="103"/>
      <c r="Q42" s="100"/>
    </row>
    <row r="43" spans="1:17" ht="15">
      <c r="A43" s="207">
        <v>19</v>
      </c>
      <c r="B43" s="161" t="s">
        <v>186</v>
      </c>
      <c r="C43" s="207" t="s">
        <v>157</v>
      </c>
      <c r="D43" s="207" t="s">
        <v>12</v>
      </c>
      <c r="E43" s="207" t="s">
        <v>12</v>
      </c>
      <c r="F43" s="207" t="s">
        <v>12</v>
      </c>
      <c r="G43" s="207" t="s">
        <v>12</v>
      </c>
      <c r="H43" s="207" t="s">
        <v>12</v>
      </c>
      <c r="I43" s="207" t="s">
        <v>12</v>
      </c>
      <c r="J43" s="207" t="s">
        <v>12</v>
      </c>
      <c r="K43" s="207" t="s">
        <v>12</v>
      </c>
      <c r="L43" s="207" t="s">
        <v>12</v>
      </c>
      <c r="M43" s="207" t="s">
        <v>12</v>
      </c>
      <c r="N43" s="207" t="s">
        <v>12</v>
      </c>
      <c r="O43" s="207" t="s">
        <v>12</v>
      </c>
      <c r="P43" s="103"/>
      <c r="Q43" s="100"/>
    </row>
    <row r="44" spans="1:17" ht="15">
      <c r="A44" s="207">
        <v>20</v>
      </c>
      <c r="B44" s="161" t="s">
        <v>187</v>
      </c>
      <c r="C44" s="207" t="s">
        <v>157</v>
      </c>
      <c r="D44" s="207" t="s">
        <v>27</v>
      </c>
      <c r="E44" s="207" t="s">
        <v>27</v>
      </c>
      <c r="F44" s="207" t="s">
        <v>27</v>
      </c>
      <c r="G44" s="207" t="s">
        <v>27</v>
      </c>
      <c r="H44" s="207" t="s">
        <v>27</v>
      </c>
      <c r="I44" s="207" t="s">
        <v>27</v>
      </c>
      <c r="J44" s="207" t="s">
        <v>27</v>
      </c>
      <c r="K44" s="207" t="s">
        <v>27</v>
      </c>
      <c r="L44" s="207" t="s">
        <v>27</v>
      </c>
      <c r="M44" s="207" t="s">
        <v>27</v>
      </c>
      <c r="N44" s="207" t="s">
        <v>27</v>
      </c>
      <c r="O44" s="207" t="s">
        <v>27</v>
      </c>
      <c r="P44" s="103"/>
      <c r="Q44" s="100"/>
    </row>
    <row r="45" spans="1:17" ht="15">
      <c r="A45" s="207">
        <v>21</v>
      </c>
      <c r="B45" s="217" t="s">
        <v>188</v>
      </c>
      <c r="C45" s="207" t="s">
        <v>157</v>
      </c>
      <c r="D45" s="207" t="s">
        <v>27</v>
      </c>
      <c r="E45" s="207" t="s">
        <v>27</v>
      </c>
      <c r="F45" s="207" t="s">
        <v>27</v>
      </c>
      <c r="G45" s="207" t="s">
        <v>27</v>
      </c>
      <c r="H45" s="207" t="s">
        <v>27</v>
      </c>
      <c r="I45" s="207" t="s">
        <v>27</v>
      </c>
      <c r="J45" s="207" t="s">
        <v>27</v>
      </c>
      <c r="K45" s="207" t="s">
        <v>27</v>
      </c>
      <c r="L45" s="207" t="s">
        <v>27</v>
      </c>
      <c r="M45" s="207" t="s">
        <v>27</v>
      </c>
      <c r="N45" s="207" t="s">
        <v>27</v>
      </c>
      <c r="O45" s="207" t="s">
        <v>27</v>
      </c>
      <c r="P45" s="103"/>
      <c r="Q45" s="100"/>
    </row>
    <row r="46" spans="1:17" ht="15">
      <c r="A46" s="207">
        <v>22</v>
      </c>
      <c r="B46" s="217" t="s">
        <v>189</v>
      </c>
      <c r="C46" s="207" t="s">
        <v>157</v>
      </c>
      <c r="D46" s="207" t="s">
        <v>27</v>
      </c>
      <c r="E46" s="207" t="s">
        <v>27</v>
      </c>
      <c r="F46" s="207" t="s">
        <v>27</v>
      </c>
      <c r="G46" s="207" t="s">
        <v>27</v>
      </c>
      <c r="H46" s="207" t="s">
        <v>27</v>
      </c>
      <c r="I46" s="207" t="s">
        <v>27</v>
      </c>
      <c r="J46" s="207" t="s">
        <v>27</v>
      </c>
      <c r="K46" s="207" t="s">
        <v>27</v>
      </c>
      <c r="L46" s="207" t="s">
        <v>27</v>
      </c>
      <c r="M46" s="207" t="s">
        <v>27</v>
      </c>
      <c r="N46" s="207" t="s">
        <v>27</v>
      </c>
      <c r="O46" s="207" t="s">
        <v>27</v>
      </c>
    </row>
    <row r="47" spans="1:17" ht="15">
      <c r="A47" s="207">
        <v>23</v>
      </c>
      <c r="B47" s="217" t="s">
        <v>190</v>
      </c>
      <c r="C47" s="207" t="s">
        <v>157</v>
      </c>
      <c r="D47" s="207" t="s">
        <v>12</v>
      </c>
      <c r="E47" s="207" t="s">
        <v>12</v>
      </c>
      <c r="F47" s="207" t="s">
        <v>12</v>
      </c>
      <c r="G47" s="207" t="s">
        <v>12</v>
      </c>
      <c r="H47" s="207" t="s">
        <v>12</v>
      </c>
      <c r="I47" s="207" t="s">
        <v>12</v>
      </c>
      <c r="J47" s="207" t="s">
        <v>12</v>
      </c>
      <c r="K47" s="207" t="s">
        <v>12</v>
      </c>
      <c r="L47" s="207" t="s">
        <v>12</v>
      </c>
      <c r="M47" s="207" t="s">
        <v>12</v>
      </c>
      <c r="N47" s="207" t="s">
        <v>12</v>
      </c>
      <c r="O47" s="207" t="s">
        <v>12</v>
      </c>
    </row>
    <row r="48" spans="1:17" ht="15">
      <c r="A48" s="207">
        <v>24</v>
      </c>
      <c r="B48" s="217" t="s">
        <v>191</v>
      </c>
      <c r="C48" s="207" t="s">
        <v>157</v>
      </c>
      <c r="D48" s="207" t="s">
        <v>27</v>
      </c>
      <c r="E48" s="207" t="s">
        <v>27</v>
      </c>
      <c r="F48" s="207" t="s">
        <v>27</v>
      </c>
      <c r="G48" s="207" t="s">
        <v>27</v>
      </c>
      <c r="H48" s="207" t="s">
        <v>27</v>
      </c>
      <c r="I48" s="207" t="s">
        <v>27</v>
      </c>
      <c r="J48" s="207" t="s">
        <v>27</v>
      </c>
      <c r="K48" s="207" t="s">
        <v>27</v>
      </c>
      <c r="L48" s="207" t="s">
        <v>27</v>
      </c>
      <c r="M48" s="207" t="s">
        <v>27</v>
      </c>
      <c r="N48" s="207" t="s">
        <v>27</v>
      </c>
      <c r="O48" s="207" t="s">
        <v>27</v>
      </c>
    </row>
    <row r="49" spans="1:16" ht="75">
      <c r="A49" s="207">
        <v>25</v>
      </c>
      <c r="B49" s="217" t="s">
        <v>192</v>
      </c>
      <c r="C49" s="5"/>
      <c r="D49" s="207" t="s">
        <v>27</v>
      </c>
      <c r="E49" s="207" t="s">
        <v>27</v>
      </c>
      <c r="F49" s="207" t="s">
        <v>27</v>
      </c>
      <c r="G49" s="207" t="s">
        <v>27</v>
      </c>
      <c r="H49" s="207" t="s">
        <v>27</v>
      </c>
      <c r="I49" s="207" t="s">
        <v>27</v>
      </c>
      <c r="J49" s="207" t="s">
        <v>27</v>
      </c>
      <c r="K49" s="207" t="s">
        <v>27</v>
      </c>
      <c r="L49" s="207" t="s">
        <v>27</v>
      </c>
      <c r="M49" s="207" t="s">
        <v>27</v>
      </c>
      <c r="N49" s="207" t="s">
        <v>27</v>
      </c>
      <c r="O49" s="207" t="s">
        <v>193</v>
      </c>
    </row>
    <row r="50" spans="1:16" ht="15">
      <c r="A50" s="207">
        <v>26</v>
      </c>
      <c r="B50" s="217" t="s">
        <v>194</v>
      </c>
      <c r="C50" s="207" t="s">
        <v>157</v>
      </c>
      <c r="D50" s="207" t="s">
        <v>27</v>
      </c>
      <c r="E50" s="207" t="s">
        <v>27</v>
      </c>
      <c r="F50" s="207" t="s">
        <v>27</v>
      </c>
      <c r="G50" s="207" t="s">
        <v>27</v>
      </c>
      <c r="H50" s="207" t="s">
        <v>27</v>
      </c>
      <c r="I50" s="207" t="s">
        <v>27</v>
      </c>
      <c r="J50" s="207" t="s">
        <v>27</v>
      </c>
      <c r="K50" s="207" t="s">
        <v>27</v>
      </c>
      <c r="L50" s="207" t="s">
        <v>27</v>
      </c>
      <c r="M50" s="207" t="s">
        <v>27</v>
      </c>
      <c r="N50" s="207" t="s">
        <v>27</v>
      </c>
      <c r="O50" s="207" t="s">
        <v>27</v>
      </c>
    </row>
    <row r="51" spans="1:16" ht="30">
      <c r="A51" s="207">
        <v>27</v>
      </c>
      <c r="B51" s="217" t="s">
        <v>195</v>
      </c>
      <c r="C51" s="207" t="s">
        <v>157</v>
      </c>
      <c r="D51" s="207" t="s">
        <v>27</v>
      </c>
      <c r="E51" s="207" t="s">
        <v>27</v>
      </c>
      <c r="F51" s="207" t="s">
        <v>27</v>
      </c>
      <c r="G51" s="207" t="s">
        <v>27</v>
      </c>
      <c r="H51" s="207" t="s">
        <v>27</v>
      </c>
      <c r="I51" s="207" t="s">
        <v>27</v>
      </c>
      <c r="J51" s="207" t="s">
        <v>27</v>
      </c>
      <c r="K51" s="207" t="s">
        <v>27</v>
      </c>
      <c r="L51" s="207" t="s">
        <v>27</v>
      </c>
      <c r="M51" s="207" t="s">
        <v>27</v>
      </c>
      <c r="N51" s="207" t="s">
        <v>27</v>
      </c>
      <c r="O51" s="207" t="s">
        <v>27</v>
      </c>
    </row>
    <row r="52" spans="1:16" ht="15" hidden="1">
      <c r="A52" s="207">
        <v>28</v>
      </c>
      <c r="B52" s="217" t="s">
        <v>203</v>
      </c>
      <c r="C52" s="207" t="s">
        <v>157</v>
      </c>
      <c r="D52" s="207" t="s">
        <v>27</v>
      </c>
      <c r="E52" s="207" t="s">
        <v>27</v>
      </c>
      <c r="F52" s="207" t="s">
        <v>27</v>
      </c>
      <c r="G52" s="207" t="s">
        <v>27</v>
      </c>
      <c r="H52" s="207" t="s">
        <v>27</v>
      </c>
      <c r="I52" s="207" t="s">
        <v>27</v>
      </c>
      <c r="J52" s="207" t="s">
        <v>27</v>
      </c>
      <c r="K52" s="207" t="s">
        <v>27</v>
      </c>
      <c r="L52" s="207" t="s">
        <v>27</v>
      </c>
      <c r="M52" s="207" t="s">
        <v>27</v>
      </c>
      <c r="N52" s="207" t="s">
        <v>27</v>
      </c>
      <c r="O52" s="207" t="s">
        <v>27</v>
      </c>
    </row>
    <row r="53" spans="1:16" ht="15">
      <c r="A53" s="207">
        <v>29</v>
      </c>
      <c r="B53" s="217" t="s">
        <v>204</v>
      </c>
      <c r="C53" s="207" t="s">
        <v>157</v>
      </c>
      <c r="D53" s="207" t="s">
        <v>27</v>
      </c>
      <c r="E53" s="207" t="s">
        <v>27</v>
      </c>
      <c r="F53" s="207" t="s">
        <v>27</v>
      </c>
      <c r="G53" s="207" t="s">
        <v>27</v>
      </c>
      <c r="H53" s="207" t="s">
        <v>27</v>
      </c>
      <c r="I53" s="207" t="s">
        <v>27</v>
      </c>
      <c r="J53" s="207" t="s">
        <v>27</v>
      </c>
      <c r="K53" s="207" t="s">
        <v>27</v>
      </c>
      <c r="L53" s="207" t="s">
        <v>27</v>
      </c>
      <c r="M53" s="207" t="s">
        <v>27</v>
      </c>
      <c r="N53" s="207" t="s">
        <v>27</v>
      </c>
      <c r="O53" s="207" t="s">
        <v>27</v>
      </c>
    </row>
    <row r="54" spans="1:16" ht="15">
      <c r="A54" s="207">
        <v>30</v>
      </c>
      <c r="B54" s="217" t="s">
        <v>205</v>
      </c>
      <c r="C54" s="207" t="s">
        <v>157</v>
      </c>
      <c r="D54" s="207" t="s">
        <v>27</v>
      </c>
      <c r="E54" s="207" t="s">
        <v>27</v>
      </c>
      <c r="F54" s="207" t="s">
        <v>27</v>
      </c>
      <c r="G54" s="207" t="s">
        <v>27</v>
      </c>
      <c r="H54" s="207" t="s">
        <v>27</v>
      </c>
      <c r="I54" s="207" t="s">
        <v>27</v>
      </c>
      <c r="J54" s="207" t="s">
        <v>27</v>
      </c>
      <c r="K54" s="207" t="s">
        <v>27</v>
      </c>
      <c r="L54" s="207" t="s">
        <v>27</v>
      </c>
      <c r="M54" s="207" t="s">
        <v>27</v>
      </c>
      <c r="N54" s="207" t="s">
        <v>27</v>
      </c>
      <c r="O54" s="207" t="s">
        <v>27</v>
      </c>
    </row>
    <row r="55" spans="1:16" ht="15">
      <c r="A55" s="207">
        <v>31</v>
      </c>
      <c r="B55" s="161" t="s">
        <v>206</v>
      </c>
      <c r="C55" s="207" t="s">
        <v>157</v>
      </c>
      <c r="D55" s="207" t="s">
        <v>27</v>
      </c>
      <c r="E55" s="207" t="s">
        <v>27</v>
      </c>
      <c r="F55" s="207" t="s">
        <v>27</v>
      </c>
      <c r="G55" s="207" t="s">
        <v>27</v>
      </c>
      <c r="H55" s="207" t="s">
        <v>27</v>
      </c>
      <c r="I55" s="207" t="s">
        <v>27</v>
      </c>
      <c r="J55" s="207" t="s">
        <v>27</v>
      </c>
      <c r="K55" s="207" t="s">
        <v>27</v>
      </c>
      <c r="L55" s="207" t="s">
        <v>27</v>
      </c>
      <c r="M55" s="207" t="s">
        <v>27</v>
      </c>
      <c r="N55" s="207" t="s">
        <v>27</v>
      </c>
      <c r="O55" s="207" t="s">
        <v>27</v>
      </c>
    </row>
    <row r="56" spans="1:16">
      <c r="A56" s="301"/>
      <c r="B56" s="301"/>
      <c r="C56" s="301"/>
      <c r="D56" s="301"/>
      <c r="E56" s="301"/>
      <c r="F56" s="301"/>
      <c r="G56" s="301"/>
      <c r="H56" s="301"/>
      <c r="I56" s="301"/>
      <c r="J56" s="301"/>
      <c r="K56" s="301"/>
      <c r="L56" s="301"/>
      <c r="M56" s="301"/>
      <c r="N56" s="301"/>
      <c r="O56" s="301"/>
    </row>
    <row r="57" spans="1:16" ht="22.5">
      <c r="A57" s="261" t="s">
        <v>1196</v>
      </c>
      <c r="B57" s="261"/>
      <c r="C57" s="261"/>
      <c r="D57" s="261"/>
      <c r="E57" s="261"/>
      <c r="F57" s="261"/>
      <c r="G57" s="261"/>
      <c r="H57" s="261"/>
      <c r="I57" s="261"/>
      <c r="J57" s="261"/>
      <c r="K57" s="261"/>
      <c r="L57" s="261"/>
      <c r="M57" s="261"/>
      <c r="N57" s="261"/>
      <c r="O57" s="261"/>
    </row>
    <row r="58" spans="1:16" ht="99.75">
      <c r="A58" s="24" t="s">
        <v>0</v>
      </c>
      <c r="B58" s="24" t="s">
        <v>115</v>
      </c>
      <c r="C58" s="24" t="s">
        <v>116</v>
      </c>
      <c r="D58" s="24" t="s">
        <v>54</v>
      </c>
      <c r="E58" s="24" t="s">
        <v>55</v>
      </c>
      <c r="F58" s="24" t="s">
        <v>111</v>
      </c>
      <c r="G58" s="24" t="s">
        <v>56</v>
      </c>
      <c r="H58" s="25" t="s">
        <v>112</v>
      </c>
      <c r="I58" s="24" t="s">
        <v>113</v>
      </c>
      <c r="J58" s="24" t="s">
        <v>57</v>
      </c>
      <c r="K58" s="25" t="s">
        <v>117</v>
      </c>
      <c r="L58" s="26" t="s">
        <v>58</v>
      </c>
      <c r="M58" s="26" t="s">
        <v>59</v>
      </c>
      <c r="N58" s="25" t="s">
        <v>118</v>
      </c>
      <c r="O58" s="24" t="s">
        <v>60</v>
      </c>
    </row>
    <row r="59" spans="1:16">
      <c r="A59" s="224">
        <v>1</v>
      </c>
      <c r="B59" s="224">
        <v>2</v>
      </c>
      <c r="C59" s="224">
        <v>3</v>
      </c>
      <c r="D59" s="224">
        <v>4</v>
      </c>
      <c r="E59" s="224">
        <v>5</v>
      </c>
      <c r="F59" s="224">
        <v>6</v>
      </c>
      <c r="G59" s="224">
        <v>7</v>
      </c>
      <c r="H59" s="224">
        <v>8</v>
      </c>
      <c r="I59" s="25">
        <v>9</v>
      </c>
      <c r="J59" s="224">
        <v>10</v>
      </c>
      <c r="K59" s="224">
        <v>11</v>
      </c>
      <c r="L59" s="224">
        <v>12</v>
      </c>
      <c r="M59" s="224">
        <v>13</v>
      </c>
      <c r="N59" s="224">
        <v>14</v>
      </c>
      <c r="O59" s="224">
        <v>15</v>
      </c>
    </row>
    <row r="60" spans="1:16" ht="15">
      <c r="A60" s="267" t="s">
        <v>27</v>
      </c>
      <c r="B60" s="267"/>
      <c r="C60" s="267"/>
      <c r="D60" s="267"/>
      <c r="E60" s="267"/>
      <c r="F60" s="267"/>
      <c r="G60" s="267"/>
      <c r="H60" s="267"/>
      <c r="I60" s="267"/>
      <c r="J60" s="267"/>
      <c r="K60" s="267"/>
      <c r="L60" s="267"/>
      <c r="M60" s="267"/>
      <c r="N60" s="267"/>
      <c r="O60" s="267"/>
    </row>
    <row r="61" spans="1:16" s="105" customFormat="1" ht="15">
      <c r="A61" s="272"/>
      <c r="B61" s="272"/>
      <c r="C61" s="272"/>
      <c r="D61" s="272"/>
      <c r="E61" s="272"/>
      <c r="F61" s="272"/>
      <c r="G61" s="272"/>
      <c r="H61" s="272"/>
      <c r="I61" s="272"/>
      <c r="J61" s="272"/>
      <c r="K61" s="272"/>
      <c r="L61" s="272"/>
      <c r="M61" s="272"/>
      <c r="N61" s="272"/>
      <c r="O61" s="272"/>
      <c r="P61" s="104"/>
    </row>
    <row r="62" spans="1:16" s="105" customFormat="1" ht="22.5">
      <c r="A62" s="261" t="s">
        <v>1276</v>
      </c>
      <c r="B62" s="261"/>
      <c r="C62" s="261"/>
      <c r="D62" s="261"/>
      <c r="E62" s="261"/>
      <c r="F62" s="261"/>
      <c r="G62" s="261"/>
      <c r="H62" s="261"/>
      <c r="I62" s="261"/>
      <c r="J62" s="261"/>
      <c r="K62" s="261"/>
      <c r="L62" s="261"/>
      <c r="M62" s="261"/>
      <c r="N62" s="261"/>
      <c r="O62" s="261"/>
      <c r="P62" s="104"/>
    </row>
    <row r="63" spans="1:16" s="105" customFormat="1" ht="99.75">
      <c r="A63" s="24" t="s">
        <v>0</v>
      </c>
      <c r="B63" s="24" t="s">
        <v>115</v>
      </c>
      <c r="C63" s="24" t="s">
        <v>116</v>
      </c>
      <c r="D63" s="24" t="s">
        <v>54</v>
      </c>
      <c r="E63" s="24" t="s">
        <v>55</v>
      </c>
      <c r="F63" s="24" t="s">
        <v>111</v>
      </c>
      <c r="G63" s="24" t="s">
        <v>56</v>
      </c>
      <c r="H63" s="25" t="s">
        <v>112</v>
      </c>
      <c r="I63" s="24" t="s">
        <v>113</v>
      </c>
      <c r="J63" s="24" t="s">
        <v>57</v>
      </c>
      <c r="K63" s="25" t="s">
        <v>117</v>
      </c>
      <c r="L63" s="26" t="s">
        <v>58</v>
      </c>
      <c r="M63" s="26" t="s">
        <v>59</v>
      </c>
      <c r="N63" s="25" t="s">
        <v>118</v>
      </c>
      <c r="O63" s="24" t="s">
        <v>60</v>
      </c>
      <c r="P63" s="104"/>
    </row>
    <row r="64" spans="1:16" s="105" customFormat="1">
      <c r="A64" s="224">
        <v>1</v>
      </c>
      <c r="B64" s="224">
        <v>2</v>
      </c>
      <c r="C64" s="224">
        <v>3</v>
      </c>
      <c r="D64" s="224">
        <v>4</v>
      </c>
      <c r="E64" s="224">
        <v>5</v>
      </c>
      <c r="F64" s="224">
        <v>6</v>
      </c>
      <c r="G64" s="224">
        <v>7</v>
      </c>
      <c r="H64" s="224">
        <v>8</v>
      </c>
      <c r="I64" s="25">
        <v>9</v>
      </c>
      <c r="J64" s="224">
        <v>10</v>
      </c>
      <c r="K64" s="224">
        <v>11</v>
      </c>
      <c r="L64" s="224">
        <v>12</v>
      </c>
      <c r="M64" s="224">
        <v>13</v>
      </c>
      <c r="N64" s="224">
        <v>14</v>
      </c>
      <c r="O64" s="224">
        <v>15</v>
      </c>
      <c r="P64" s="104"/>
    </row>
    <row r="65" spans="1:17" s="107" customFormat="1" ht="15">
      <c r="A65" s="258" t="s">
        <v>27</v>
      </c>
      <c r="B65" s="258"/>
      <c r="C65" s="258"/>
      <c r="D65" s="258"/>
      <c r="E65" s="258"/>
      <c r="F65" s="258"/>
      <c r="G65" s="258"/>
      <c r="H65" s="258"/>
      <c r="I65" s="258"/>
      <c r="J65" s="258"/>
      <c r="K65" s="258"/>
      <c r="L65" s="258"/>
      <c r="M65" s="258"/>
      <c r="N65" s="258"/>
      <c r="O65" s="258"/>
      <c r="P65" s="106"/>
      <c r="Q65" s="106"/>
    </row>
    <row r="66" spans="1:17">
      <c r="A66" s="298"/>
      <c r="B66" s="299"/>
      <c r="C66" s="299"/>
      <c r="D66" s="299"/>
      <c r="E66" s="299"/>
      <c r="F66" s="299"/>
      <c r="G66" s="299"/>
      <c r="H66" s="299"/>
      <c r="I66" s="299"/>
      <c r="J66" s="299"/>
      <c r="K66" s="299"/>
      <c r="L66" s="299"/>
      <c r="M66" s="299"/>
      <c r="N66" s="299"/>
      <c r="O66" s="300"/>
    </row>
    <row r="67" spans="1:17" ht="22.5">
      <c r="A67" s="253" t="s">
        <v>1277</v>
      </c>
      <c r="B67" s="253"/>
      <c r="C67" s="253"/>
      <c r="D67" s="253"/>
      <c r="E67" s="253"/>
      <c r="F67" s="253"/>
      <c r="G67" s="253"/>
      <c r="H67" s="253"/>
      <c r="I67" s="253"/>
      <c r="J67" s="253"/>
      <c r="K67" s="253"/>
      <c r="L67" s="253"/>
      <c r="M67" s="253"/>
      <c r="N67" s="253"/>
      <c r="O67" s="253"/>
    </row>
    <row r="68" spans="1:17" ht="99.75">
      <c r="A68" s="24" t="s">
        <v>0</v>
      </c>
      <c r="B68" s="24" t="s">
        <v>115</v>
      </c>
      <c r="C68" s="24" t="s">
        <v>116</v>
      </c>
      <c r="D68" s="24" t="s">
        <v>54</v>
      </c>
      <c r="E68" s="24" t="s">
        <v>55</v>
      </c>
      <c r="F68" s="24" t="s">
        <v>111</v>
      </c>
      <c r="G68" s="24" t="s">
        <v>56</v>
      </c>
      <c r="H68" s="25" t="s">
        <v>112</v>
      </c>
      <c r="I68" s="24" t="s">
        <v>113</v>
      </c>
      <c r="J68" s="24" t="s">
        <v>57</v>
      </c>
      <c r="K68" s="25" t="s">
        <v>117</v>
      </c>
      <c r="L68" s="26" t="s">
        <v>58</v>
      </c>
      <c r="M68" s="26" t="s">
        <v>59</v>
      </c>
      <c r="N68" s="25" t="s">
        <v>118</v>
      </c>
      <c r="O68" s="24" t="s">
        <v>60</v>
      </c>
    </row>
    <row r="69" spans="1:17" ht="30">
      <c r="A69" s="207">
        <v>1</v>
      </c>
      <c r="B69" s="217" t="s">
        <v>273</v>
      </c>
      <c r="C69" s="217" t="s">
        <v>208</v>
      </c>
      <c r="D69" s="217" t="s">
        <v>731</v>
      </c>
      <c r="E69" s="217" t="s">
        <v>273</v>
      </c>
      <c r="F69" s="207">
        <v>9294</v>
      </c>
      <c r="G69" s="207"/>
      <c r="H69" s="207"/>
      <c r="I69" s="207">
        <v>19.260000000000002</v>
      </c>
      <c r="J69" s="207"/>
      <c r="K69" s="207"/>
      <c r="L69" s="207" t="s">
        <v>12</v>
      </c>
      <c r="M69" s="207" t="s">
        <v>12</v>
      </c>
      <c r="N69" s="207" t="s">
        <v>12</v>
      </c>
      <c r="O69" s="207"/>
    </row>
    <row r="70" spans="1:17" ht="30">
      <c r="A70" s="206">
        <v>2</v>
      </c>
      <c r="B70" s="228" t="s">
        <v>208</v>
      </c>
      <c r="C70" s="228" t="s">
        <v>210</v>
      </c>
      <c r="D70" s="257" t="s">
        <v>27</v>
      </c>
      <c r="E70" s="257"/>
      <c r="F70" s="257"/>
      <c r="G70" s="257"/>
      <c r="H70" s="257"/>
      <c r="I70" s="257"/>
      <c r="J70" s="257"/>
      <c r="K70" s="257"/>
      <c r="L70" s="257"/>
      <c r="M70" s="257"/>
      <c r="N70" s="257"/>
      <c r="O70" s="257"/>
    </row>
    <row r="71" spans="1:17" ht="15">
      <c r="A71" s="207">
        <v>3</v>
      </c>
      <c r="B71" s="228" t="s">
        <v>208</v>
      </c>
      <c r="C71" s="228" t="s">
        <v>211</v>
      </c>
      <c r="D71" s="257" t="s">
        <v>27</v>
      </c>
      <c r="E71" s="257"/>
      <c r="F71" s="257"/>
      <c r="G71" s="257"/>
      <c r="H71" s="257"/>
      <c r="I71" s="257"/>
      <c r="J71" s="257"/>
      <c r="K71" s="257"/>
      <c r="L71" s="257"/>
      <c r="M71" s="257"/>
      <c r="N71" s="257"/>
      <c r="O71" s="257"/>
    </row>
    <row r="72" spans="1:17" ht="15">
      <c r="A72" s="206">
        <v>4</v>
      </c>
      <c r="B72" s="228" t="s">
        <v>208</v>
      </c>
      <c r="C72" s="228" t="s">
        <v>212</v>
      </c>
      <c r="D72" s="257" t="s">
        <v>27</v>
      </c>
      <c r="E72" s="257"/>
      <c r="F72" s="257"/>
      <c r="G72" s="257"/>
      <c r="H72" s="257"/>
      <c r="I72" s="257"/>
      <c r="J72" s="257"/>
      <c r="K72" s="257"/>
      <c r="L72" s="257"/>
      <c r="M72" s="257"/>
      <c r="N72" s="257"/>
      <c r="O72" s="257"/>
    </row>
    <row r="73" spans="1:17" ht="90">
      <c r="A73" s="207">
        <v>5</v>
      </c>
      <c r="B73" s="228" t="s">
        <v>856</v>
      </c>
      <c r="C73" s="228" t="s">
        <v>213</v>
      </c>
      <c r="D73" s="228" t="s">
        <v>255</v>
      </c>
      <c r="E73" s="228" t="s">
        <v>857</v>
      </c>
      <c r="F73" s="206" t="s">
        <v>858</v>
      </c>
      <c r="G73" s="206" t="s">
        <v>859</v>
      </c>
      <c r="H73" s="206" t="s">
        <v>12</v>
      </c>
      <c r="I73" s="206">
        <v>0.86419999999999997</v>
      </c>
      <c r="J73" s="206" t="s">
        <v>860</v>
      </c>
      <c r="K73" s="206" t="s">
        <v>12</v>
      </c>
      <c r="L73" s="206">
        <v>1</v>
      </c>
      <c r="M73" s="206" t="s">
        <v>44</v>
      </c>
      <c r="N73" s="206" t="s">
        <v>12</v>
      </c>
      <c r="O73" s="206"/>
    </row>
    <row r="74" spans="1:17" ht="15">
      <c r="A74" s="206">
        <v>6</v>
      </c>
      <c r="B74" s="228" t="s">
        <v>208</v>
      </c>
      <c r="C74" s="228" t="s">
        <v>214</v>
      </c>
      <c r="D74" s="257" t="s">
        <v>27</v>
      </c>
      <c r="E74" s="257"/>
      <c r="F74" s="257"/>
      <c r="G74" s="257"/>
      <c r="H74" s="257"/>
      <c r="I74" s="257"/>
      <c r="J74" s="257"/>
      <c r="K74" s="257"/>
      <c r="L74" s="257"/>
      <c r="M74" s="257"/>
      <c r="N74" s="257"/>
      <c r="O74" s="257"/>
    </row>
    <row r="75" spans="1:17" ht="30">
      <c r="A75" s="207">
        <v>7</v>
      </c>
      <c r="B75" s="228" t="s">
        <v>274</v>
      </c>
      <c r="C75" s="228" t="s">
        <v>861</v>
      </c>
      <c r="D75" s="257" t="s">
        <v>27</v>
      </c>
      <c r="E75" s="257"/>
      <c r="F75" s="257"/>
      <c r="G75" s="257"/>
      <c r="H75" s="257"/>
      <c r="I75" s="257"/>
      <c r="J75" s="257"/>
      <c r="K75" s="257"/>
      <c r="L75" s="257"/>
      <c r="M75" s="257"/>
      <c r="N75" s="257"/>
      <c r="O75" s="257"/>
    </row>
    <row r="76" spans="1:17" ht="15">
      <c r="A76" s="206">
        <v>8</v>
      </c>
      <c r="B76" s="228" t="s">
        <v>208</v>
      </c>
      <c r="C76" s="228" t="s">
        <v>223</v>
      </c>
      <c r="D76" s="257" t="s">
        <v>27</v>
      </c>
      <c r="E76" s="257"/>
      <c r="F76" s="257"/>
      <c r="G76" s="257"/>
      <c r="H76" s="257"/>
      <c r="I76" s="257"/>
      <c r="J76" s="257"/>
      <c r="K76" s="257"/>
      <c r="L76" s="257"/>
      <c r="M76" s="257"/>
      <c r="N76" s="257"/>
      <c r="O76" s="257"/>
    </row>
    <row r="77" spans="1:17" ht="15">
      <c r="A77" s="207">
        <v>9</v>
      </c>
      <c r="B77" s="228" t="s">
        <v>208</v>
      </c>
      <c r="C77" s="228" t="s">
        <v>224</v>
      </c>
      <c r="D77" s="257" t="s">
        <v>27</v>
      </c>
      <c r="E77" s="257"/>
      <c r="F77" s="257"/>
      <c r="G77" s="257"/>
      <c r="H77" s="257"/>
      <c r="I77" s="257"/>
      <c r="J77" s="257"/>
      <c r="K77" s="257"/>
      <c r="L77" s="257"/>
      <c r="M77" s="257"/>
      <c r="N77" s="257"/>
      <c r="O77" s="257"/>
    </row>
    <row r="78" spans="1:17" ht="15">
      <c r="A78" s="206">
        <v>10</v>
      </c>
      <c r="B78" s="228" t="s">
        <v>208</v>
      </c>
      <c r="C78" s="228" t="s">
        <v>862</v>
      </c>
      <c r="D78" s="257" t="s">
        <v>27</v>
      </c>
      <c r="E78" s="257"/>
      <c r="F78" s="257"/>
      <c r="G78" s="257"/>
      <c r="H78" s="257"/>
      <c r="I78" s="257"/>
      <c r="J78" s="257"/>
      <c r="K78" s="257"/>
      <c r="L78" s="257"/>
      <c r="M78" s="257"/>
      <c r="N78" s="257"/>
      <c r="O78" s="257"/>
    </row>
    <row r="79" spans="1:17" ht="15">
      <c r="A79" s="207">
        <v>11</v>
      </c>
      <c r="B79" s="228" t="s">
        <v>208</v>
      </c>
      <c r="C79" s="228" t="s">
        <v>233</v>
      </c>
      <c r="D79" s="257" t="s">
        <v>27</v>
      </c>
      <c r="E79" s="257"/>
      <c r="F79" s="257"/>
      <c r="G79" s="257"/>
      <c r="H79" s="257"/>
      <c r="I79" s="257"/>
      <c r="J79" s="257"/>
      <c r="K79" s="257"/>
      <c r="L79" s="257"/>
      <c r="M79" s="257"/>
      <c r="N79" s="257"/>
      <c r="O79" s="257"/>
    </row>
    <row r="80" spans="1:17" ht="15">
      <c r="A80" s="207">
        <v>12</v>
      </c>
      <c r="B80" s="228" t="s">
        <v>208</v>
      </c>
      <c r="C80" s="228" t="s">
        <v>234</v>
      </c>
      <c r="D80" s="257" t="s">
        <v>27</v>
      </c>
      <c r="E80" s="257"/>
      <c r="F80" s="257"/>
      <c r="G80" s="257"/>
      <c r="H80" s="257"/>
      <c r="I80" s="257"/>
      <c r="J80" s="257"/>
      <c r="K80" s="257"/>
      <c r="L80" s="257"/>
      <c r="M80" s="257"/>
      <c r="N80" s="257"/>
      <c r="O80" s="257"/>
    </row>
    <row r="81" spans="1:15" ht="60">
      <c r="A81" s="236">
        <v>13</v>
      </c>
      <c r="B81" s="228" t="s">
        <v>208</v>
      </c>
      <c r="C81" s="217" t="s">
        <v>863</v>
      </c>
      <c r="D81" s="217" t="s">
        <v>864</v>
      </c>
      <c r="E81" s="207"/>
      <c r="F81" s="207" t="s">
        <v>865</v>
      </c>
      <c r="G81" s="207"/>
      <c r="H81" s="207" t="s">
        <v>866</v>
      </c>
      <c r="I81" s="207" t="s">
        <v>867</v>
      </c>
      <c r="J81" s="207"/>
      <c r="K81" s="207"/>
      <c r="L81" s="207"/>
      <c r="M81" s="207"/>
      <c r="N81" s="207"/>
      <c r="O81" s="207"/>
    </row>
    <row r="82" spans="1:15" ht="15">
      <c r="A82" s="206">
        <v>14</v>
      </c>
      <c r="B82" s="227" t="s">
        <v>236</v>
      </c>
      <c r="C82" s="217" t="s">
        <v>237</v>
      </c>
      <c r="D82" s="257" t="s">
        <v>27</v>
      </c>
      <c r="E82" s="257"/>
      <c r="F82" s="257"/>
      <c r="G82" s="257"/>
      <c r="H82" s="257"/>
      <c r="I82" s="257"/>
      <c r="J82" s="257"/>
      <c r="K82" s="257"/>
      <c r="L82" s="257"/>
      <c r="M82" s="257"/>
      <c r="N82" s="257"/>
      <c r="O82" s="257"/>
    </row>
    <row r="83" spans="1:15" ht="15">
      <c r="A83" s="236">
        <v>15</v>
      </c>
      <c r="B83" s="227" t="s">
        <v>208</v>
      </c>
      <c r="C83" s="228" t="s">
        <v>244</v>
      </c>
      <c r="D83" s="257" t="s">
        <v>27</v>
      </c>
      <c r="E83" s="257"/>
      <c r="F83" s="257"/>
      <c r="G83" s="257"/>
      <c r="H83" s="257"/>
      <c r="I83" s="257"/>
      <c r="J83" s="257"/>
      <c r="K83" s="257"/>
      <c r="L83" s="257"/>
      <c r="M83" s="257"/>
      <c r="N83" s="257"/>
      <c r="O83" s="257"/>
    </row>
    <row r="84" spans="1:15" ht="15">
      <c r="A84" s="206">
        <v>16</v>
      </c>
      <c r="B84" s="227" t="s">
        <v>208</v>
      </c>
      <c r="C84" s="228" t="s">
        <v>245</v>
      </c>
      <c r="D84" s="257" t="s">
        <v>27</v>
      </c>
      <c r="E84" s="257"/>
      <c r="F84" s="257"/>
      <c r="G84" s="257"/>
      <c r="H84" s="257"/>
      <c r="I84" s="257"/>
      <c r="J84" s="257"/>
      <c r="K84" s="257"/>
      <c r="L84" s="257"/>
      <c r="M84" s="257"/>
      <c r="N84" s="257"/>
      <c r="O84" s="257"/>
    </row>
    <row r="85" spans="1:15" ht="15">
      <c r="A85" s="236">
        <v>17</v>
      </c>
      <c r="B85" s="227" t="s">
        <v>208</v>
      </c>
      <c r="C85" s="228" t="s">
        <v>868</v>
      </c>
      <c r="D85" s="257" t="s">
        <v>27</v>
      </c>
      <c r="E85" s="257"/>
      <c r="F85" s="257"/>
      <c r="G85" s="257"/>
      <c r="H85" s="257"/>
      <c r="I85" s="257"/>
      <c r="J85" s="257"/>
      <c r="K85" s="257"/>
      <c r="L85" s="257"/>
      <c r="M85" s="257"/>
      <c r="N85" s="257"/>
      <c r="O85" s="257"/>
    </row>
    <row r="86" spans="1:15" ht="60">
      <c r="A86" s="267">
        <v>18</v>
      </c>
      <c r="B86" s="290" t="s">
        <v>247</v>
      </c>
      <c r="C86" s="290" t="s">
        <v>247</v>
      </c>
      <c r="D86" s="290" t="s">
        <v>247</v>
      </c>
      <c r="E86" s="217" t="s">
        <v>723</v>
      </c>
      <c r="F86" s="96">
        <v>4328.96</v>
      </c>
      <c r="G86" s="207" t="s">
        <v>869</v>
      </c>
      <c r="H86" s="96" t="s">
        <v>12</v>
      </c>
      <c r="I86" s="267" t="s">
        <v>870</v>
      </c>
      <c r="J86" s="207" t="s">
        <v>269</v>
      </c>
      <c r="K86" s="207" t="s">
        <v>12</v>
      </c>
      <c r="L86" s="207">
        <v>1</v>
      </c>
      <c r="M86" s="207">
        <v>1</v>
      </c>
      <c r="N86" s="207"/>
      <c r="O86" s="207"/>
    </row>
    <row r="87" spans="1:15" ht="120">
      <c r="A87" s="267"/>
      <c r="B87" s="290"/>
      <c r="C87" s="290"/>
      <c r="D87" s="290"/>
      <c r="E87" s="217" t="s">
        <v>724</v>
      </c>
      <c r="F87" s="96">
        <f>3122.99-139.47</f>
        <v>2983.52</v>
      </c>
      <c r="G87" s="207" t="s">
        <v>871</v>
      </c>
      <c r="H87" s="96" t="s">
        <v>12</v>
      </c>
      <c r="I87" s="267"/>
      <c r="J87" s="207" t="s">
        <v>269</v>
      </c>
      <c r="K87" s="207" t="s">
        <v>12</v>
      </c>
      <c r="L87" s="207">
        <v>2</v>
      </c>
      <c r="M87" s="207">
        <v>1</v>
      </c>
      <c r="N87" s="207"/>
      <c r="O87" s="207" t="s">
        <v>872</v>
      </c>
    </row>
    <row r="88" spans="1:15" ht="60">
      <c r="A88" s="267"/>
      <c r="B88" s="290"/>
      <c r="C88" s="290"/>
      <c r="D88" s="290"/>
      <c r="E88" s="217" t="s">
        <v>725</v>
      </c>
      <c r="F88" s="96">
        <v>1869</v>
      </c>
      <c r="G88" s="207" t="s">
        <v>871</v>
      </c>
      <c r="H88" s="96" t="s">
        <v>12</v>
      </c>
      <c r="I88" s="267"/>
      <c r="J88" s="207" t="s">
        <v>269</v>
      </c>
      <c r="K88" s="207" t="s">
        <v>12</v>
      </c>
      <c r="L88" s="207">
        <v>3</v>
      </c>
      <c r="M88" s="207">
        <v>1</v>
      </c>
      <c r="N88" s="207"/>
      <c r="O88" s="207"/>
    </row>
    <row r="89" spans="1:15" ht="15">
      <c r="A89" s="207">
        <v>19</v>
      </c>
      <c r="B89" s="217" t="s">
        <v>208</v>
      </c>
      <c r="C89" s="217" t="s">
        <v>272</v>
      </c>
      <c r="D89" s="267" t="s">
        <v>27</v>
      </c>
      <c r="E89" s="267"/>
      <c r="F89" s="267"/>
      <c r="G89" s="267"/>
      <c r="H89" s="267"/>
      <c r="I89" s="267"/>
      <c r="J89" s="267"/>
      <c r="K89" s="267"/>
      <c r="L89" s="267"/>
      <c r="M89" s="267"/>
      <c r="N89" s="267"/>
      <c r="O89" s="267"/>
    </row>
    <row r="90" spans="1:15">
      <c r="A90" s="298"/>
      <c r="B90" s="299"/>
      <c r="C90" s="299"/>
      <c r="D90" s="299"/>
      <c r="E90" s="299"/>
      <c r="F90" s="299"/>
      <c r="G90" s="299"/>
      <c r="H90" s="299"/>
      <c r="I90" s="299"/>
      <c r="J90" s="299"/>
      <c r="K90" s="299"/>
      <c r="L90" s="299"/>
      <c r="M90" s="299"/>
      <c r="N90" s="299"/>
      <c r="O90" s="300"/>
    </row>
    <row r="91" spans="1:15" ht="22.5">
      <c r="A91" s="253" t="s">
        <v>1278</v>
      </c>
      <c r="B91" s="253"/>
      <c r="C91" s="253"/>
      <c r="D91" s="253"/>
      <c r="E91" s="253"/>
      <c r="F91" s="253"/>
      <c r="G91" s="253"/>
      <c r="H91" s="253"/>
      <c r="I91" s="253"/>
      <c r="J91" s="253"/>
      <c r="K91" s="253"/>
      <c r="L91" s="253"/>
      <c r="M91" s="253"/>
      <c r="N91" s="253"/>
      <c r="O91" s="253"/>
    </row>
    <row r="92" spans="1:15" ht="99.75">
      <c r="A92" s="24" t="s">
        <v>0</v>
      </c>
      <c r="B92" s="24" t="s">
        <v>115</v>
      </c>
      <c r="C92" s="24" t="s">
        <v>116</v>
      </c>
      <c r="D92" s="24" t="s">
        <v>54</v>
      </c>
      <c r="E92" s="24" t="s">
        <v>55</v>
      </c>
      <c r="F92" s="24" t="s">
        <v>111</v>
      </c>
      <c r="G92" s="24" t="s">
        <v>56</v>
      </c>
      <c r="H92" s="25" t="s">
        <v>112</v>
      </c>
      <c r="I92" s="24" t="s">
        <v>113</v>
      </c>
      <c r="J92" s="24" t="s">
        <v>57</v>
      </c>
      <c r="K92" s="25" t="s">
        <v>117</v>
      </c>
      <c r="L92" s="26" t="s">
        <v>58</v>
      </c>
      <c r="M92" s="26" t="s">
        <v>59</v>
      </c>
      <c r="N92" s="25" t="s">
        <v>118</v>
      </c>
      <c r="O92" s="24" t="s">
        <v>60</v>
      </c>
    </row>
    <row r="93" spans="1:15">
      <c r="A93" s="224">
        <v>1</v>
      </c>
      <c r="B93" s="224">
        <v>2</v>
      </c>
      <c r="C93" s="224">
        <v>3</v>
      </c>
      <c r="D93" s="224">
        <v>4</v>
      </c>
      <c r="E93" s="224">
        <v>5</v>
      </c>
      <c r="F93" s="224">
        <v>6</v>
      </c>
      <c r="G93" s="224">
        <v>7</v>
      </c>
      <c r="H93" s="224">
        <v>8</v>
      </c>
      <c r="I93" s="25">
        <v>9</v>
      </c>
      <c r="J93" s="224">
        <v>10</v>
      </c>
      <c r="K93" s="224">
        <v>11</v>
      </c>
      <c r="L93" s="224">
        <v>12</v>
      </c>
      <c r="M93" s="224">
        <v>13</v>
      </c>
      <c r="N93" s="224">
        <v>14</v>
      </c>
      <c r="O93" s="224">
        <v>15</v>
      </c>
    </row>
    <row r="94" spans="1:15">
      <c r="A94" s="301" t="s">
        <v>27</v>
      </c>
      <c r="B94" s="301"/>
      <c r="C94" s="301"/>
      <c r="D94" s="301"/>
      <c r="E94" s="301"/>
      <c r="F94" s="301"/>
      <c r="G94" s="301"/>
      <c r="H94" s="301"/>
      <c r="I94" s="301"/>
      <c r="J94" s="301"/>
      <c r="K94" s="301"/>
      <c r="L94" s="301"/>
      <c r="M94" s="301"/>
      <c r="N94" s="301"/>
      <c r="O94" s="301"/>
    </row>
    <row r="95" spans="1:15">
      <c r="A95" s="301"/>
      <c r="B95" s="301"/>
      <c r="C95" s="301"/>
      <c r="D95" s="301"/>
      <c r="E95" s="301"/>
      <c r="F95" s="301"/>
      <c r="G95" s="301"/>
      <c r="H95" s="301"/>
      <c r="I95" s="301"/>
      <c r="J95" s="301"/>
      <c r="K95" s="301"/>
      <c r="L95" s="301"/>
      <c r="M95" s="301"/>
      <c r="N95" s="301"/>
      <c r="O95" s="301"/>
    </row>
    <row r="96" spans="1:15" ht="22.5">
      <c r="A96" s="253" t="s">
        <v>1289</v>
      </c>
      <c r="B96" s="253"/>
      <c r="C96" s="253"/>
      <c r="D96" s="253"/>
      <c r="E96" s="253"/>
      <c r="F96" s="253"/>
      <c r="G96" s="253"/>
      <c r="H96" s="253"/>
      <c r="I96" s="253"/>
      <c r="J96" s="253"/>
      <c r="K96" s="253"/>
      <c r="L96" s="253"/>
      <c r="M96" s="253"/>
      <c r="N96" s="253"/>
      <c r="O96" s="253"/>
    </row>
    <row r="97" spans="1:15" ht="99.75">
      <c r="A97" s="24" t="s">
        <v>0</v>
      </c>
      <c r="B97" s="24" t="s">
        <v>115</v>
      </c>
      <c r="C97" s="24" t="s">
        <v>116</v>
      </c>
      <c r="D97" s="24" t="s">
        <v>54</v>
      </c>
      <c r="E97" s="24" t="s">
        <v>55</v>
      </c>
      <c r="F97" s="24" t="s">
        <v>111</v>
      </c>
      <c r="G97" s="24" t="s">
        <v>56</v>
      </c>
      <c r="H97" s="25" t="s">
        <v>112</v>
      </c>
      <c r="I97" s="24" t="s">
        <v>113</v>
      </c>
      <c r="J97" s="24" t="s">
        <v>57</v>
      </c>
      <c r="K97" s="25" t="s">
        <v>117</v>
      </c>
      <c r="L97" s="26" t="s">
        <v>58</v>
      </c>
      <c r="M97" s="26" t="s">
        <v>59</v>
      </c>
      <c r="N97" s="25" t="s">
        <v>118</v>
      </c>
      <c r="O97" s="24" t="s">
        <v>60</v>
      </c>
    </row>
    <row r="98" spans="1:15">
      <c r="A98" s="224">
        <v>1</v>
      </c>
      <c r="B98" s="224">
        <v>2</v>
      </c>
      <c r="C98" s="224">
        <v>3</v>
      </c>
      <c r="D98" s="224">
        <v>4</v>
      </c>
      <c r="E98" s="224">
        <v>5</v>
      </c>
      <c r="F98" s="224">
        <v>6</v>
      </c>
      <c r="G98" s="224">
        <v>7</v>
      </c>
      <c r="H98" s="224">
        <v>8</v>
      </c>
      <c r="I98" s="25">
        <v>9</v>
      </c>
      <c r="J98" s="224">
        <v>10</v>
      </c>
      <c r="K98" s="224">
        <v>11</v>
      </c>
      <c r="L98" s="224">
        <v>12</v>
      </c>
      <c r="M98" s="224">
        <v>13</v>
      </c>
      <c r="N98" s="224">
        <v>14</v>
      </c>
      <c r="O98" s="224">
        <v>15</v>
      </c>
    </row>
    <row r="99" spans="1:15" ht="60">
      <c r="A99" s="207">
        <v>1</v>
      </c>
      <c r="B99" s="217" t="s">
        <v>841</v>
      </c>
      <c r="C99" s="217" t="s">
        <v>813</v>
      </c>
      <c r="D99" s="217" t="s">
        <v>842</v>
      </c>
      <c r="E99" s="217" t="s">
        <v>855</v>
      </c>
      <c r="F99" s="207">
        <v>32.26</v>
      </c>
      <c r="G99" s="207" t="s">
        <v>48</v>
      </c>
      <c r="H99" s="207" t="s">
        <v>843</v>
      </c>
      <c r="I99" s="207">
        <v>32</v>
      </c>
      <c r="J99" s="207" t="s">
        <v>844</v>
      </c>
      <c r="K99" s="207" t="s">
        <v>845</v>
      </c>
      <c r="L99" s="207" t="s">
        <v>48</v>
      </c>
      <c r="M99" s="207" t="s">
        <v>48</v>
      </c>
      <c r="N99" s="207" t="s">
        <v>48</v>
      </c>
      <c r="O99" s="207" t="s">
        <v>48</v>
      </c>
    </row>
    <row r="100" spans="1:15" ht="60">
      <c r="A100" s="207">
        <v>2</v>
      </c>
      <c r="B100" s="217" t="s">
        <v>817</v>
      </c>
      <c r="C100" s="217" t="s">
        <v>813</v>
      </c>
      <c r="D100" s="217" t="s">
        <v>846</v>
      </c>
      <c r="E100" s="217" t="s">
        <v>847</v>
      </c>
      <c r="F100" s="207" t="s">
        <v>848</v>
      </c>
      <c r="G100" s="207" t="s">
        <v>48</v>
      </c>
      <c r="H100" s="207" t="s">
        <v>48</v>
      </c>
      <c r="I100" s="207">
        <v>23.74</v>
      </c>
      <c r="J100" s="207" t="s">
        <v>48</v>
      </c>
      <c r="K100" s="207" t="s">
        <v>48</v>
      </c>
      <c r="L100" s="207" t="s">
        <v>48</v>
      </c>
      <c r="M100" s="207" t="s">
        <v>48</v>
      </c>
      <c r="N100" s="207" t="s">
        <v>849</v>
      </c>
      <c r="O100" s="207"/>
    </row>
    <row r="101" spans="1:15" ht="30">
      <c r="A101" s="207">
        <v>3</v>
      </c>
      <c r="B101" s="217" t="s">
        <v>850</v>
      </c>
      <c r="C101" s="217" t="s">
        <v>813</v>
      </c>
      <c r="D101" s="217" t="s">
        <v>834</v>
      </c>
      <c r="E101" s="217"/>
      <c r="F101" s="207">
        <v>6962.59</v>
      </c>
      <c r="G101" s="207" t="s">
        <v>48</v>
      </c>
      <c r="H101" s="207"/>
      <c r="I101" s="207" t="s">
        <v>851</v>
      </c>
      <c r="J101" s="207"/>
      <c r="K101" s="207"/>
      <c r="L101" s="207">
        <v>1</v>
      </c>
      <c r="M101" s="207" t="s">
        <v>48</v>
      </c>
      <c r="N101" s="207" t="s">
        <v>48</v>
      </c>
      <c r="O101" s="207"/>
    </row>
    <row r="102" spans="1:15" ht="60">
      <c r="A102" s="207">
        <v>4</v>
      </c>
      <c r="B102" s="217" t="s">
        <v>837</v>
      </c>
      <c r="C102" s="217" t="s">
        <v>813</v>
      </c>
      <c r="D102" s="217" t="s">
        <v>852</v>
      </c>
      <c r="E102" s="217" t="s">
        <v>853</v>
      </c>
      <c r="F102" s="207">
        <v>2346</v>
      </c>
      <c r="G102" s="207" t="s">
        <v>854</v>
      </c>
      <c r="H102" s="207"/>
      <c r="I102" s="207"/>
      <c r="J102" s="207"/>
      <c r="K102" s="207"/>
      <c r="L102" s="207">
        <v>1</v>
      </c>
      <c r="M102" s="207"/>
      <c r="N102" s="207"/>
      <c r="O102" s="207"/>
    </row>
    <row r="103" spans="1:15">
      <c r="A103" s="298"/>
      <c r="B103" s="299"/>
      <c r="C103" s="299"/>
      <c r="D103" s="299"/>
      <c r="E103" s="299"/>
      <c r="F103" s="299"/>
      <c r="G103" s="299"/>
      <c r="H103" s="299"/>
      <c r="I103" s="299"/>
      <c r="J103" s="299"/>
      <c r="K103" s="299"/>
      <c r="L103" s="299"/>
      <c r="M103" s="299"/>
      <c r="N103" s="299"/>
      <c r="O103" s="300"/>
    </row>
    <row r="104" spans="1:15" ht="22.5">
      <c r="A104" s="253" t="s">
        <v>1290</v>
      </c>
      <c r="B104" s="253"/>
      <c r="C104" s="253"/>
      <c r="D104" s="253"/>
      <c r="E104" s="253"/>
      <c r="F104" s="253"/>
      <c r="G104" s="253"/>
      <c r="H104" s="253"/>
      <c r="I104" s="253"/>
      <c r="J104" s="253"/>
      <c r="K104" s="253"/>
      <c r="L104" s="253"/>
      <c r="M104" s="253"/>
      <c r="N104" s="253"/>
      <c r="O104" s="253"/>
    </row>
    <row r="105" spans="1:15" ht="99.75">
      <c r="A105" s="24" t="s">
        <v>0</v>
      </c>
      <c r="B105" s="24" t="s">
        <v>115</v>
      </c>
      <c r="C105" s="24" t="s">
        <v>116</v>
      </c>
      <c r="D105" s="24" t="s">
        <v>54</v>
      </c>
      <c r="E105" s="24" t="s">
        <v>55</v>
      </c>
      <c r="F105" s="24" t="s">
        <v>111</v>
      </c>
      <c r="G105" s="24" t="s">
        <v>56</v>
      </c>
      <c r="H105" s="25" t="s">
        <v>112</v>
      </c>
      <c r="I105" s="24" t="s">
        <v>113</v>
      </c>
      <c r="J105" s="24" t="s">
        <v>57</v>
      </c>
      <c r="K105" s="25" t="s">
        <v>117</v>
      </c>
      <c r="L105" s="26" t="s">
        <v>58</v>
      </c>
      <c r="M105" s="26" t="s">
        <v>59</v>
      </c>
      <c r="N105" s="25" t="s">
        <v>118</v>
      </c>
      <c r="O105" s="24" t="s">
        <v>60</v>
      </c>
    </row>
    <row r="106" spans="1:15">
      <c r="A106" s="224">
        <v>1</v>
      </c>
      <c r="B106" s="224">
        <v>2</v>
      </c>
      <c r="C106" s="224">
        <v>3</v>
      </c>
      <c r="D106" s="224">
        <v>4</v>
      </c>
      <c r="E106" s="224">
        <v>5</v>
      </c>
      <c r="F106" s="224">
        <v>6</v>
      </c>
      <c r="G106" s="224">
        <v>7</v>
      </c>
      <c r="H106" s="224">
        <v>8</v>
      </c>
      <c r="I106" s="25">
        <v>9</v>
      </c>
      <c r="J106" s="224">
        <v>10</v>
      </c>
      <c r="K106" s="224">
        <v>11</v>
      </c>
      <c r="L106" s="224">
        <v>12</v>
      </c>
      <c r="M106" s="224">
        <v>13</v>
      </c>
      <c r="N106" s="224">
        <v>14</v>
      </c>
      <c r="O106" s="224">
        <v>15</v>
      </c>
    </row>
    <row r="107" spans="1:15" ht="71.25">
      <c r="A107" s="243">
        <v>1</v>
      </c>
      <c r="B107" s="244" t="s">
        <v>282</v>
      </c>
      <c r="C107" s="244" t="s">
        <v>15</v>
      </c>
      <c r="D107" s="244" t="s">
        <v>1117</v>
      </c>
      <c r="E107" s="244" t="s">
        <v>1118</v>
      </c>
      <c r="F107" s="243" t="s">
        <v>1119</v>
      </c>
      <c r="G107" s="243" t="s">
        <v>1120</v>
      </c>
      <c r="H107" s="243"/>
      <c r="I107" s="243" t="s">
        <v>1121</v>
      </c>
      <c r="J107" s="245"/>
      <c r="K107" s="245"/>
      <c r="L107" s="245"/>
      <c r="M107" s="245"/>
      <c r="N107" s="245"/>
      <c r="O107" s="245"/>
    </row>
    <row r="108" spans="1:15">
      <c r="A108" s="301"/>
      <c r="B108" s="301"/>
      <c r="C108" s="301"/>
      <c r="D108" s="301"/>
      <c r="E108" s="301"/>
      <c r="F108" s="301"/>
      <c r="G108" s="301"/>
      <c r="H108" s="301"/>
      <c r="I108" s="301"/>
      <c r="J108" s="301"/>
      <c r="K108" s="301"/>
      <c r="L108" s="301"/>
      <c r="M108" s="301"/>
      <c r="N108" s="301"/>
      <c r="O108" s="301"/>
    </row>
    <row r="109" spans="1:15" ht="22.5">
      <c r="A109" s="253" t="s">
        <v>1291</v>
      </c>
      <c r="B109" s="253"/>
      <c r="C109" s="253"/>
      <c r="D109" s="253"/>
      <c r="E109" s="253"/>
      <c r="F109" s="253"/>
      <c r="G109" s="253"/>
      <c r="H109" s="253"/>
      <c r="I109" s="253"/>
      <c r="J109" s="253"/>
      <c r="K109" s="253"/>
      <c r="L109" s="253"/>
      <c r="M109" s="253"/>
      <c r="N109" s="253"/>
      <c r="O109" s="253"/>
    </row>
    <row r="110" spans="1:15" ht="99.75">
      <c r="A110" s="24" t="s">
        <v>0</v>
      </c>
      <c r="B110" s="24" t="s">
        <v>115</v>
      </c>
      <c r="C110" s="24" t="s">
        <v>116</v>
      </c>
      <c r="D110" s="24" t="s">
        <v>54</v>
      </c>
      <c r="E110" s="24" t="s">
        <v>55</v>
      </c>
      <c r="F110" s="24" t="s">
        <v>111</v>
      </c>
      <c r="G110" s="24" t="s">
        <v>56</v>
      </c>
      <c r="H110" s="25" t="s">
        <v>112</v>
      </c>
      <c r="I110" s="24" t="s">
        <v>113</v>
      </c>
      <c r="J110" s="24" t="s">
        <v>57</v>
      </c>
      <c r="K110" s="25" t="s">
        <v>117</v>
      </c>
      <c r="L110" s="26" t="s">
        <v>58</v>
      </c>
      <c r="M110" s="26" t="s">
        <v>59</v>
      </c>
      <c r="N110" s="25" t="s">
        <v>118</v>
      </c>
      <c r="O110" s="24" t="s">
        <v>60</v>
      </c>
    </row>
    <row r="111" spans="1:15">
      <c r="A111" s="224">
        <v>1</v>
      </c>
      <c r="B111" s="224">
        <v>2</v>
      </c>
      <c r="C111" s="224">
        <v>3</v>
      </c>
      <c r="D111" s="224">
        <v>4</v>
      </c>
      <c r="E111" s="224">
        <v>5</v>
      </c>
      <c r="F111" s="224">
        <v>6</v>
      </c>
      <c r="G111" s="224">
        <v>7</v>
      </c>
      <c r="H111" s="224">
        <v>8</v>
      </c>
      <c r="I111" s="25">
        <v>9</v>
      </c>
      <c r="J111" s="224">
        <v>10</v>
      </c>
      <c r="K111" s="224">
        <v>11</v>
      </c>
      <c r="L111" s="224">
        <v>12</v>
      </c>
      <c r="M111" s="224">
        <v>13</v>
      </c>
      <c r="N111" s="224">
        <v>14</v>
      </c>
      <c r="O111" s="224">
        <v>15</v>
      </c>
    </row>
    <row r="112" spans="1:15" ht="15">
      <c r="A112" s="289" t="s">
        <v>27</v>
      </c>
      <c r="B112" s="289"/>
      <c r="C112" s="289"/>
      <c r="D112" s="289"/>
      <c r="E112" s="289"/>
      <c r="F112" s="289"/>
      <c r="G112" s="289"/>
      <c r="H112" s="289"/>
      <c r="I112" s="289"/>
      <c r="J112" s="289"/>
      <c r="K112" s="289"/>
      <c r="L112" s="289"/>
      <c r="M112" s="289"/>
      <c r="N112" s="289"/>
      <c r="O112" s="289"/>
    </row>
    <row r="113" spans="1:15">
      <c r="A113" s="302"/>
      <c r="B113" s="302"/>
      <c r="C113" s="302"/>
      <c r="D113" s="302"/>
      <c r="E113" s="302"/>
      <c r="F113" s="302"/>
      <c r="G113" s="302"/>
      <c r="H113" s="302"/>
      <c r="I113" s="302"/>
      <c r="J113" s="302"/>
      <c r="K113" s="302"/>
      <c r="L113" s="302"/>
      <c r="M113" s="302"/>
      <c r="N113" s="302"/>
      <c r="O113" s="302"/>
    </row>
    <row r="114" spans="1:15" ht="22.5">
      <c r="A114" s="253" t="s">
        <v>1282</v>
      </c>
      <c r="B114" s="253"/>
      <c r="C114" s="253"/>
      <c r="D114" s="253"/>
      <c r="E114" s="253"/>
      <c r="F114" s="253"/>
      <c r="G114" s="253"/>
      <c r="H114" s="253"/>
      <c r="I114" s="253"/>
      <c r="J114" s="253"/>
      <c r="K114" s="253"/>
      <c r="L114" s="253"/>
      <c r="M114" s="253"/>
      <c r="N114" s="253"/>
      <c r="O114" s="253"/>
    </row>
    <row r="115" spans="1:15" ht="99.75">
      <c r="A115" s="24" t="s">
        <v>0</v>
      </c>
      <c r="B115" s="24" t="s">
        <v>115</v>
      </c>
      <c r="C115" s="24" t="s">
        <v>116</v>
      </c>
      <c r="D115" s="24" t="s">
        <v>54</v>
      </c>
      <c r="E115" s="24" t="s">
        <v>55</v>
      </c>
      <c r="F115" s="24" t="s">
        <v>111</v>
      </c>
      <c r="G115" s="24" t="s">
        <v>56</v>
      </c>
      <c r="H115" s="25" t="s">
        <v>112</v>
      </c>
      <c r="I115" s="24" t="s">
        <v>113</v>
      </c>
      <c r="J115" s="24" t="s">
        <v>57</v>
      </c>
      <c r="K115" s="25" t="s">
        <v>117</v>
      </c>
      <c r="L115" s="26" t="s">
        <v>58</v>
      </c>
      <c r="M115" s="26" t="s">
        <v>59</v>
      </c>
      <c r="N115" s="25" t="s">
        <v>118</v>
      </c>
      <c r="O115" s="24" t="s">
        <v>60</v>
      </c>
    </row>
    <row r="116" spans="1:15">
      <c r="A116" s="224">
        <v>1</v>
      </c>
      <c r="B116" s="224">
        <v>2</v>
      </c>
      <c r="C116" s="224">
        <v>3</v>
      </c>
      <c r="D116" s="224">
        <v>4</v>
      </c>
      <c r="E116" s="224">
        <v>5</v>
      </c>
      <c r="F116" s="224">
        <v>6</v>
      </c>
      <c r="G116" s="224">
        <v>7</v>
      </c>
      <c r="H116" s="224">
        <v>8</v>
      </c>
      <c r="I116" s="25">
        <v>9</v>
      </c>
      <c r="J116" s="224">
        <v>10</v>
      </c>
      <c r="K116" s="224">
        <v>11</v>
      </c>
      <c r="L116" s="224">
        <v>12</v>
      </c>
      <c r="M116" s="224">
        <v>13</v>
      </c>
      <c r="N116" s="224">
        <v>14</v>
      </c>
      <c r="O116" s="224">
        <v>15</v>
      </c>
    </row>
    <row r="117" spans="1:15">
      <c r="A117" s="301" t="s">
        <v>27</v>
      </c>
      <c r="B117" s="301"/>
      <c r="C117" s="301"/>
      <c r="D117" s="301"/>
      <c r="E117" s="301"/>
      <c r="F117" s="301"/>
      <c r="G117" s="301"/>
      <c r="H117" s="301"/>
      <c r="I117" s="301"/>
      <c r="J117" s="301"/>
      <c r="K117" s="301"/>
      <c r="L117" s="301"/>
      <c r="M117" s="301"/>
      <c r="N117" s="301"/>
      <c r="O117" s="301"/>
    </row>
    <row r="118" spans="1:15">
      <c r="A118" s="301"/>
      <c r="B118" s="301"/>
      <c r="C118" s="301"/>
      <c r="D118" s="301"/>
      <c r="E118" s="301"/>
      <c r="F118" s="301"/>
      <c r="G118" s="301"/>
      <c r="H118" s="301"/>
      <c r="I118" s="301"/>
      <c r="J118" s="301"/>
      <c r="K118" s="301"/>
      <c r="L118" s="301"/>
      <c r="M118" s="301"/>
      <c r="N118" s="301"/>
      <c r="O118" s="301"/>
    </row>
    <row r="119" spans="1:15" ht="22.5">
      <c r="A119" s="253" t="s">
        <v>1283</v>
      </c>
      <c r="B119" s="253"/>
      <c r="C119" s="253"/>
      <c r="D119" s="253"/>
      <c r="E119" s="253"/>
      <c r="F119" s="253"/>
      <c r="G119" s="253"/>
      <c r="H119" s="253"/>
      <c r="I119" s="253"/>
      <c r="J119" s="253"/>
      <c r="K119" s="253"/>
      <c r="L119" s="253"/>
      <c r="M119" s="253"/>
      <c r="N119" s="253"/>
      <c r="O119" s="253"/>
    </row>
    <row r="120" spans="1:15" ht="99.75">
      <c r="A120" s="24" t="s">
        <v>0</v>
      </c>
      <c r="B120" s="24" t="s">
        <v>115</v>
      </c>
      <c r="C120" s="24" t="s">
        <v>116</v>
      </c>
      <c r="D120" s="24" t="s">
        <v>54</v>
      </c>
      <c r="E120" s="24" t="s">
        <v>55</v>
      </c>
      <c r="F120" s="24" t="s">
        <v>111</v>
      </c>
      <c r="G120" s="24" t="s">
        <v>56</v>
      </c>
      <c r="H120" s="25" t="s">
        <v>112</v>
      </c>
      <c r="I120" s="24" t="s">
        <v>113</v>
      </c>
      <c r="J120" s="24" t="s">
        <v>57</v>
      </c>
      <c r="K120" s="25" t="s">
        <v>117</v>
      </c>
      <c r="L120" s="26" t="s">
        <v>58</v>
      </c>
      <c r="M120" s="26" t="s">
        <v>59</v>
      </c>
      <c r="N120" s="25" t="s">
        <v>118</v>
      </c>
      <c r="O120" s="24" t="s">
        <v>60</v>
      </c>
    </row>
    <row r="121" spans="1:15">
      <c r="A121" s="224">
        <v>1</v>
      </c>
      <c r="B121" s="224">
        <v>2</v>
      </c>
      <c r="C121" s="224">
        <v>3</v>
      </c>
      <c r="D121" s="224">
        <v>4</v>
      </c>
      <c r="E121" s="224">
        <v>5</v>
      </c>
      <c r="F121" s="224">
        <v>6</v>
      </c>
      <c r="G121" s="224">
        <v>7</v>
      </c>
      <c r="H121" s="224">
        <v>8</v>
      </c>
      <c r="I121" s="25">
        <v>9</v>
      </c>
      <c r="J121" s="224">
        <v>10</v>
      </c>
      <c r="K121" s="224">
        <v>11</v>
      </c>
      <c r="L121" s="224">
        <v>12</v>
      </c>
      <c r="M121" s="224">
        <v>13</v>
      </c>
      <c r="N121" s="224">
        <v>14</v>
      </c>
      <c r="O121" s="224">
        <v>15</v>
      </c>
    </row>
    <row r="122" spans="1:15">
      <c r="A122" s="301" t="s">
        <v>27</v>
      </c>
      <c r="B122" s="301"/>
      <c r="C122" s="301"/>
      <c r="D122" s="301"/>
      <c r="E122" s="301"/>
      <c r="F122" s="301"/>
      <c r="G122" s="301"/>
      <c r="H122" s="301"/>
      <c r="I122" s="301"/>
      <c r="J122" s="301"/>
      <c r="K122" s="301"/>
      <c r="L122" s="301"/>
      <c r="M122" s="301"/>
      <c r="N122" s="301"/>
      <c r="O122" s="301"/>
    </row>
    <row r="123" spans="1:15">
      <c r="A123" s="301"/>
      <c r="B123" s="301"/>
      <c r="C123" s="301"/>
      <c r="D123" s="301"/>
      <c r="E123" s="301"/>
      <c r="F123" s="301"/>
      <c r="G123" s="301"/>
      <c r="H123" s="301"/>
      <c r="I123" s="301"/>
      <c r="J123" s="301"/>
      <c r="K123" s="301"/>
      <c r="L123" s="301"/>
      <c r="M123" s="301"/>
      <c r="N123" s="301"/>
      <c r="O123" s="301"/>
    </row>
    <row r="124" spans="1:15" ht="22.5">
      <c r="A124" s="253" t="s">
        <v>1284</v>
      </c>
      <c r="B124" s="253"/>
      <c r="C124" s="253"/>
      <c r="D124" s="253"/>
      <c r="E124" s="253"/>
      <c r="F124" s="253"/>
      <c r="G124" s="253"/>
      <c r="H124" s="253"/>
      <c r="I124" s="253"/>
      <c r="J124" s="253"/>
      <c r="K124" s="253"/>
      <c r="L124" s="253"/>
      <c r="M124" s="253"/>
      <c r="N124" s="253"/>
      <c r="O124" s="253"/>
    </row>
    <row r="125" spans="1:15" ht="99.75">
      <c r="A125" s="24" t="s">
        <v>0</v>
      </c>
      <c r="B125" s="24" t="s">
        <v>115</v>
      </c>
      <c r="C125" s="24" t="s">
        <v>116</v>
      </c>
      <c r="D125" s="24" t="s">
        <v>54</v>
      </c>
      <c r="E125" s="24" t="s">
        <v>55</v>
      </c>
      <c r="F125" s="24" t="s">
        <v>111</v>
      </c>
      <c r="G125" s="24" t="s">
        <v>56</v>
      </c>
      <c r="H125" s="25" t="s">
        <v>112</v>
      </c>
      <c r="I125" s="24" t="s">
        <v>113</v>
      </c>
      <c r="J125" s="24" t="s">
        <v>57</v>
      </c>
      <c r="K125" s="25" t="s">
        <v>117</v>
      </c>
      <c r="L125" s="26" t="s">
        <v>58</v>
      </c>
      <c r="M125" s="26" t="s">
        <v>59</v>
      </c>
      <c r="N125" s="25" t="s">
        <v>118</v>
      </c>
      <c r="O125" s="24" t="s">
        <v>60</v>
      </c>
    </row>
    <row r="126" spans="1:15">
      <c r="A126" s="224">
        <v>1</v>
      </c>
      <c r="B126" s="224">
        <v>2</v>
      </c>
      <c r="C126" s="224">
        <v>3</v>
      </c>
      <c r="D126" s="224">
        <v>4</v>
      </c>
      <c r="E126" s="224">
        <v>5</v>
      </c>
      <c r="F126" s="224">
        <v>6</v>
      </c>
      <c r="G126" s="224">
        <v>7</v>
      </c>
      <c r="H126" s="224">
        <v>8</v>
      </c>
      <c r="I126" s="25">
        <v>9</v>
      </c>
      <c r="J126" s="224">
        <v>10</v>
      </c>
      <c r="K126" s="224">
        <v>11</v>
      </c>
      <c r="L126" s="224">
        <v>12</v>
      </c>
      <c r="M126" s="224">
        <v>13</v>
      </c>
      <c r="N126" s="224">
        <v>14</v>
      </c>
      <c r="O126" s="224">
        <v>15</v>
      </c>
    </row>
    <row r="127" spans="1:15">
      <c r="A127" s="301" t="s">
        <v>27</v>
      </c>
      <c r="B127" s="301"/>
      <c r="C127" s="301"/>
      <c r="D127" s="301"/>
      <c r="E127" s="301"/>
      <c r="F127" s="301"/>
      <c r="G127" s="301"/>
      <c r="H127" s="301"/>
      <c r="I127" s="301"/>
      <c r="J127" s="301"/>
      <c r="K127" s="301"/>
      <c r="L127" s="301"/>
      <c r="M127" s="301"/>
      <c r="N127" s="301"/>
      <c r="O127" s="301"/>
    </row>
    <row r="128" spans="1:15">
      <c r="A128" s="301"/>
      <c r="B128" s="301"/>
      <c r="C128" s="301"/>
      <c r="D128" s="301"/>
      <c r="E128" s="301"/>
      <c r="F128" s="301"/>
      <c r="G128" s="301"/>
      <c r="H128" s="301"/>
      <c r="I128" s="301"/>
      <c r="J128" s="301"/>
      <c r="K128" s="301"/>
      <c r="L128" s="301"/>
      <c r="M128" s="301"/>
      <c r="N128" s="301"/>
      <c r="O128" s="301"/>
    </row>
    <row r="129" spans="1:15" ht="22.5">
      <c r="A129" s="253" t="s">
        <v>1285</v>
      </c>
      <c r="B129" s="253"/>
      <c r="C129" s="253"/>
      <c r="D129" s="253"/>
      <c r="E129" s="253"/>
      <c r="F129" s="253"/>
      <c r="G129" s="253"/>
      <c r="H129" s="253"/>
      <c r="I129" s="253"/>
      <c r="J129" s="253"/>
      <c r="K129" s="253"/>
      <c r="L129" s="253"/>
      <c r="M129" s="253"/>
      <c r="N129" s="253"/>
      <c r="O129" s="253"/>
    </row>
    <row r="130" spans="1:15" ht="99.75">
      <c r="A130" s="24" t="s">
        <v>0</v>
      </c>
      <c r="B130" s="24" t="s">
        <v>115</v>
      </c>
      <c r="C130" s="24" t="s">
        <v>116</v>
      </c>
      <c r="D130" s="24" t="s">
        <v>54</v>
      </c>
      <c r="E130" s="24" t="s">
        <v>55</v>
      </c>
      <c r="F130" s="24" t="s">
        <v>111</v>
      </c>
      <c r="G130" s="24" t="s">
        <v>56</v>
      </c>
      <c r="H130" s="25" t="s">
        <v>112</v>
      </c>
      <c r="I130" s="24" t="s">
        <v>113</v>
      </c>
      <c r="J130" s="24" t="s">
        <v>57</v>
      </c>
      <c r="K130" s="25" t="s">
        <v>117</v>
      </c>
      <c r="L130" s="26" t="s">
        <v>58</v>
      </c>
      <c r="M130" s="26" t="s">
        <v>59</v>
      </c>
      <c r="N130" s="25" t="s">
        <v>118</v>
      </c>
      <c r="O130" s="24" t="s">
        <v>60</v>
      </c>
    </row>
    <row r="131" spans="1:15">
      <c r="A131" s="224">
        <v>1</v>
      </c>
      <c r="B131" s="224">
        <v>2</v>
      </c>
      <c r="C131" s="224">
        <v>3</v>
      </c>
      <c r="D131" s="224">
        <v>4</v>
      </c>
      <c r="E131" s="224">
        <v>5</v>
      </c>
      <c r="F131" s="224">
        <v>6</v>
      </c>
      <c r="G131" s="224">
        <v>7</v>
      </c>
      <c r="H131" s="224">
        <v>8</v>
      </c>
      <c r="I131" s="25">
        <v>9</v>
      </c>
      <c r="J131" s="224">
        <v>10</v>
      </c>
      <c r="K131" s="224">
        <v>11</v>
      </c>
      <c r="L131" s="224">
        <v>12</v>
      </c>
      <c r="M131" s="224">
        <v>13</v>
      </c>
      <c r="N131" s="224">
        <v>14</v>
      </c>
      <c r="O131" s="224">
        <v>15</v>
      </c>
    </row>
    <row r="132" spans="1:15">
      <c r="A132" s="301" t="s">
        <v>27</v>
      </c>
      <c r="B132" s="301"/>
      <c r="C132" s="301"/>
      <c r="D132" s="301"/>
      <c r="E132" s="301"/>
      <c r="F132" s="301"/>
      <c r="G132" s="301"/>
      <c r="H132" s="301"/>
      <c r="I132" s="301"/>
      <c r="J132" s="301"/>
      <c r="K132" s="301"/>
      <c r="L132" s="301"/>
      <c r="M132" s="301"/>
      <c r="N132" s="301"/>
      <c r="O132" s="301"/>
    </row>
    <row r="133" spans="1:15">
      <c r="A133" s="301"/>
      <c r="B133" s="301"/>
      <c r="C133" s="301"/>
      <c r="D133" s="301"/>
      <c r="E133" s="301"/>
      <c r="F133" s="301"/>
      <c r="G133" s="301"/>
      <c r="H133" s="301"/>
      <c r="I133" s="301"/>
      <c r="J133" s="301"/>
      <c r="K133" s="301"/>
      <c r="L133" s="301"/>
      <c r="M133" s="301"/>
      <c r="N133" s="301"/>
      <c r="O133" s="301"/>
    </row>
    <row r="134" spans="1:15" ht="22.5">
      <c r="A134" s="253" t="s">
        <v>1286</v>
      </c>
      <c r="B134" s="253"/>
      <c r="C134" s="253"/>
      <c r="D134" s="253"/>
      <c r="E134" s="253"/>
      <c r="F134" s="253"/>
      <c r="G134" s="253"/>
      <c r="H134" s="253"/>
      <c r="I134" s="253"/>
      <c r="J134" s="253"/>
      <c r="K134" s="253"/>
      <c r="L134" s="253"/>
      <c r="M134" s="253"/>
      <c r="N134" s="253"/>
      <c r="O134" s="253"/>
    </row>
    <row r="135" spans="1:15" ht="99.75">
      <c r="A135" s="24" t="s">
        <v>0</v>
      </c>
      <c r="B135" s="24" t="s">
        <v>115</v>
      </c>
      <c r="C135" s="24" t="s">
        <v>116</v>
      </c>
      <c r="D135" s="24" t="s">
        <v>54</v>
      </c>
      <c r="E135" s="24" t="s">
        <v>55</v>
      </c>
      <c r="F135" s="24" t="s">
        <v>111</v>
      </c>
      <c r="G135" s="24" t="s">
        <v>56</v>
      </c>
      <c r="H135" s="25" t="s">
        <v>112</v>
      </c>
      <c r="I135" s="24" t="s">
        <v>113</v>
      </c>
      <c r="J135" s="24" t="s">
        <v>57</v>
      </c>
      <c r="K135" s="25" t="s">
        <v>117</v>
      </c>
      <c r="L135" s="26" t="s">
        <v>58</v>
      </c>
      <c r="M135" s="26" t="s">
        <v>59</v>
      </c>
      <c r="N135" s="25" t="s">
        <v>118</v>
      </c>
      <c r="O135" s="24" t="s">
        <v>60</v>
      </c>
    </row>
    <row r="136" spans="1:15">
      <c r="A136" s="224">
        <v>1</v>
      </c>
      <c r="B136" s="224">
        <v>2</v>
      </c>
      <c r="C136" s="224">
        <v>3</v>
      </c>
      <c r="D136" s="224">
        <v>4</v>
      </c>
      <c r="E136" s="224">
        <v>5</v>
      </c>
      <c r="F136" s="224">
        <v>6</v>
      </c>
      <c r="G136" s="224">
        <v>7</v>
      </c>
      <c r="H136" s="224">
        <v>8</v>
      </c>
      <c r="I136" s="25">
        <v>9</v>
      </c>
      <c r="J136" s="224">
        <v>10</v>
      </c>
      <c r="K136" s="224">
        <v>11</v>
      </c>
      <c r="L136" s="224">
        <v>12</v>
      </c>
      <c r="M136" s="224">
        <v>13</v>
      </c>
      <c r="N136" s="224">
        <v>14</v>
      </c>
      <c r="O136" s="224">
        <v>15</v>
      </c>
    </row>
    <row r="137" spans="1:15">
      <c r="A137" s="301" t="s">
        <v>27</v>
      </c>
      <c r="B137" s="301"/>
      <c r="C137" s="301"/>
      <c r="D137" s="301"/>
      <c r="E137" s="301"/>
      <c r="F137" s="301"/>
      <c r="G137" s="301"/>
      <c r="H137" s="301"/>
      <c r="I137" s="301"/>
      <c r="J137" s="301"/>
      <c r="K137" s="301"/>
      <c r="L137" s="301"/>
      <c r="M137" s="301"/>
      <c r="N137" s="301"/>
      <c r="O137" s="301"/>
    </row>
    <row r="138" spans="1:15">
      <c r="A138" s="298"/>
      <c r="B138" s="299"/>
      <c r="C138" s="299"/>
      <c r="D138" s="299"/>
      <c r="E138" s="299"/>
      <c r="F138" s="299"/>
      <c r="G138" s="299"/>
      <c r="H138" s="299"/>
      <c r="I138" s="299"/>
      <c r="J138" s="299"/>
      <c r="K138" s="299"/>
      <c r="L138" s="299"/>
      <c r="M138" s="299"/>
      <c r="N138" s="299"/>
      <c r="O138" s="300"/>
    </row>
    <row r="139" spans="1:15" ht="22.5">
      <c r="A139" s="253" t="s">
        <v>1287</v>
      </c>
      <c r="B139" s="253"/>
      <c r="C139" s="253"/>
      <c r="D139" s="253"/>
      <c r="E139" s="253"/>
      <c r="F139" s="253"/>
      <c r="G139" s="253"/>
      <c r="H139" s="253"/>
      <c r="I139" s="253"/>
      <c r="J139" s="253"/>
      <c r="K139" s="253"/>
      <c r="L139" s="253"/>
      <c r="M139" s="253"/>
      <c r="N139" s="253"/>
      <c r="O139" s="253"/>
    </row>
    <row r="140" spans="1:15" ht="99.75">
      <c r="A140" s="24" t="s">
        <v>0</v>
      </c>
      <c r="B140" s="24" t="s">
        <v>115</v>
      </c>
      <c r="C140" s="24" t="s">
        <v>116</v>
      </c>
      <c r="D140" s="24" t="s">
        <v>54</v>
      </c>
      <c r="E140" s="24" t="s">
        <v>55</v>
      </c>
      <c r="F140" s="24" t="s">
        <v>111</v>
      </c>
      <c r="G140" s="24" t="s">
        <v>56</v>
      </c>
      <c r="H140" s="25" t="s">
        <v>112</v>
      </c>
      <c r="I140" s="24" t="s">
        <v>113</v>
      </c>
      <c r="J140" s="24" t="s">
        <v>57</v>
      </c>
      <c r="K140" s="25" t="s">
        <v>117</v>
      </c>
      <c r="L140" s="26" t="s">
        <v>58</v>
      </c>
      <c r="M140" s="26" t="s">
        <v>59</v>
      </c>
      <c r="N140" s="25" t="s">
        <v>118</v>
      </c>
      <c r="O140" s="24" t="s">
        <v>60</v>
      </c>
    </row>
    <row r="141" spans="1:15">
      <c r="A141" s="224">
        <v>1</v>
      </c>
      <c r="B141" s="224">
        <v>2</v>
      </c>
      <c r="C141" s="224">
        <v>3</v>
      </c>
      <c r="D141" s="224">
        <v>4</v>
      </c>
      <c r="E141" s="224">
        <v>5</v>
      </c>
      <c r="F141" s="224">
        <v>6</v>
      </c>
      <c r="G141" s="224">
        <v>7</v>
      </c>
      <c r="H141" s="224">
        <v>8</v>
      </c>
      <c r="I141" s="25">
        <v>9</v>
      </c>
      <c r="J141" s="224">
        <v>10</v>
      </c>
      <c r="K141" s="224">
        <v>11</v>
      </c>
      <c r="L141" s="224">
        <v>12</v>
      </c>
      <c r="M141" s="224">
        <v>13</v>
      </c>
      <c r="N141" s="224">
        <v>14</v>
      </c>
      <c r="O141" s="224">
        <v>15</v>
      </c>
    </row>
    <row r="142" spans="1:15" ht="60" customHeight="1">
      <c r="A142" s="258">
        <v>1</v>
      </c>
      <c r="B142" s="292" t="s">
        <v>1263</v>
      </c>
      <c r="C142" s="258" t="s">
        <v>1238</v>
      </c>
      <c r="D142" s="220" t="s">
        <v>1266</v>
      </c>
      <c r="E142" s="125" t="s">
        <v>1267</v>
      </c>
      <c r="F142" s="215">
        <v>391.34</v>
      </c>
      <c r="G142" s="215" t="s">
        <v>1268</v>
      </c>
      <c r="H142" s="215" t="s">
        <v>15</v>
      </c>
      <c r="I142" s="220">
        <v>0.91</v>
      </c>
      <c r="J142" s="215" t="s">
        <v>15</v>
      </c>
      <c r="K142" s="215" t="s">
        <v>15</v>
      </c>
      <c r="L142" s="215" t="s">
        <v>15</v>
      </c>
      <c r="M142" s="215"/>
      <c r="N142" s="215"/>
      <c r="O142" s="215"/>
    </row>
    <row r="143" spans="1:15" ht="42.75">
      <c r="A143" s="258"/>
      <c r="B143" s="292"/>
      <c r="C143" s="258"/>
      <c r="D143" s="15" t="s">
        <v>1269</v>
      </c>
      <c r="E143" s="15" t="s">
        <v>1270</v>
      </c>
      <c r="F143" s="223">
        <v>1600</v>
      </c>
      <c r="G143" s="223" t="s">
        <v>1271</v>
      </c>
      <c r="H143" s="16"/>
      <c r="I143" s="23">
        <v>0.1204012</v>
      </c>
      <c r="J143" s="223" t="s">
        <v>15</v>
      </c>
      <c r="K143" s="223" t="s">
        <v>15</v>
      </c>
      <c r="L143" s="223" t="s">
        <v>15</v>
      </c>
      <c r="M143" s="16"/>
      <c r="N143" s="16"/>
      <c r="O143" s="16"/>
    </row>
    <row r="144" spans="1:15">
      <c r="A144" s="298"/>
      <c r="B144" s="299"/>
      <c r="C144" s="299"/>
      <c r="D144" s="299"/>
      <c r="E144" s="299"/>
      <c r="F144" s="299"/>
      <c r="G144" s="299"/>
      <c r="H144" s="299"/>
      <c r="I144" s="299"/>
      <c r="J144" s="299"/>
      <c r="K144" s="299"/>
      <c r="L144" s="299"/>
      <c r="M144" s="299"/>
      <c r="N144" s="299"/>
      <c r="O144" s="300"/>
    </row>
    <row r="145" spans="1:15" ht="22.5">
      <c r="A145" s="253" t="s">
        <v>1292</v>
      </c>
      <c r="B145" s="253"/>
      <c r="C145" s="253"/>
      <c r="D145" s="253"/>
      <c r="E145" s="253"/>
      <c r="F145" s="253"/>
      <c r="G145" s="253"/>
      <c r="H145" s="253"/>
      <c r="I145" s="253"/>
      <c r="J145" s="253"/>
      <c r="K145" s="253"/>
      <c r="L145" s="253"/>
      <c r="M145" s="253"/>
      <c r="N145" s="253"/>
      <c r="O145" s="253"/>
    </row>
    <row r="146" spans="1:15" ht="99.75">
      <c r="A146" s="24" t="s">
        <v>0</v>
      </c>
      <c r="B146" s="24" t="s">
        <v>115</v>
      </c>
      <c r="C146" s="24" t="s">
        <v>116</v>
      </c>
      <c r="D146" s="24" t="s">
        <v>54</v>
      </c>
      <c r="E146" s="24" t="s">
        <v>55</v>
      </c>
      <c r="F146" s="24" t="s">
        <v>111</v>
      </c>
      <c r="G146" s="24" t="s">
        <v>56</v>
      </c>
      <c r="H146" s="25" t="s">
        <v>112</v>
      </c>
      <c r="I146" s="24" t="s">
        <v>113</v>
      </c>
      <c r="J146" s="24" t="s">
        <v>57</v>
      </c>
      <c r="K146" s="25" t="s">
        <v>117</v>
      </c>
      <c r="L146" s="26" t="s">
        <v>58</v>
      </c>
      <c r="M146" s="26" t="s">
        <v>59</v>
      </c>
      <c r="N146" s="25" t="s">
        <v>118</v>
      </c>
      <c r="O146" s="24" t="s">
        <v>60</v>
      </c>
    </row>
    <row r="147" spans="1:15">
      <c r="A147" s="224">
        <v>1</v>
      </c>
      <c r="B147" s="224">
        <v>2</v>
      </c>
      <c r="C147" s="224">
        <v>3</v>
      </c>
      <c r="D147" s="224">
        <v>4</v>
      </c>
      <c r="E147" s="224">
        <v>5</v>
      </c>
      <c r="F147" s="224">
        <v>6</v>
      </c>
      <c r="G147" s="224">
        <v>7</v>
      </c>
      <c r="H147" s="224">
        <v>8</v>
      </c>
      <c r="I147" s="25">
        <v>9</v>
      </c>
      <c r="J147" s="224">
        <v>10</v>
      </c>
      <c r="K147" s="224">
        <v>11</v>
      </c>
      <c r="L147" s="224">
        <v>12</v>
      </c>
      <c r="M147" s="224">
        <v>13</v>
      </c>
      <c r="N147" s="224">
        <v>14</v>
      </c>
      <c r="O147" s="224">
        <v>15</v>
      </c>
    </row>
    <row r="148" spans="1:15">
      <c r="A148" s="305" t="s">
        <v>27</v>
      </c>
      <c r="B148" s="305"/>
      <c r="C148" s="305"/>
      <c r="D148" s="305"/>
      <c r="E148" s="305"/>
      <c r="F148" s="305"/>
      <c r="G148" s="305"/>
      <c r="H148" s="305"/>
      <c r="I148" s="305"/>
      <c r="J148" s="305"/>
      <c r="K148" s="305"/>
      <c r="L148" s="305"/>
      <c r="M148" s="305"/>
      <c r="N148" s="305"/>
      <c r="O148" s="305"/>
    </row>
  </sheetData>
  <mergeCells count="80">
    <mergeCell ref="A148:O148"/>
    <mergeCell ref="A6:O6"/>
    <mergeCell ref="A15:O15"/>
    <mergeCell ref="A56:O56"/>
    <mergeCell ref="A65:O65"/>
    <mergeCell ref="A24:A25"/>
    <mergeCell ref="A11:O11"/>
    <mergeCell ref="A16:O16"/>
    <mergeCell ref="A34:A35"/>
    <mergeCell ref="B34:B35"/>
    <mergeCell ref="A139:O139"/>
    <mergeCell ref="A145:O145"/>
    <mergeCell ref="A104:O104"/>
    <mergeCell ref="D72:O72"/>
    <mergeCell ref="C24:C25"/>
    <mergeCell ref="A91:O91"/>
    <mergeCell ref="A2:O2"/>
    <mergeCell ref="A1:O1"/>
    <mergeCell ref="A20:O20"/>
    <mergeCell ref="D84:O84"/>
    <mergeCell ref="D85:O85"/>
    <mergeCell ref="A61:O61"/>
    <mergeCell ref="A62:O62"/>
    <mergeCell ref="A7:O7"/>
    <mergeCell ref="A67:O67"/>
    <mergeCell ref="A5:O5"/>
    <mergeCell ref="A9:O9"/>
    <mergeCell ref="A14:O14"/>
    <mergeCell ref="A18:O18"/>
    <mergeCell ref="D70:O70"/>
    <mergeCell ref="D71:O71"/>
    <mergeCell ref="B24:B25"/>
    <mergeCell ref="D78:O78"/>
    <mergeCell ref="D79:O79"/>
    <mergeCell ref="D80:O80"/>
    <mergeCell ref="D82:O82"/>
    <mergeCell ref="D83:O83"/>
    <mergeCell ref="D76:O76"/>
    <mergeCell ref="D77:O77"/>
    <mergeCell ref="A57:O57"/>
    <mergeCell ref="D74:O74"/>
    <mergeCell ref="D75:O75"/>
    <mergeCell ref="A60:O60"/>
    <mergeCell ref="A109:O109"/>
    <mergeCell ref="A114:O114"/>
    <mergeCell ref="A117:O117"/>
    <mergeCell ref="A118:O118"/>
    <mergeCell ref="A86:A88"/>
    <mergeCell ref="A108:O108"/>
    <mergeCell ref="A96:O96"/>
    <mergeCell ref="C86:C88"/>
    <mergeCell ref="D86:D88"/>
    <mergeCell ref="I86:I88"/>
    <mergeCell ref="D89:O89"/>
    <mergeCell ref="A94:O94"/>
    <mergeCell ref="A95:O95"/>
    <mergeCell ref="B86:B88"/>
    <mergeCell ref="A134:O134"/>
    <mergeCell ref="A138:O138"/>
    <mergeCell ref="A119:O119"/>
    <mergeCell ref="A112:O112"/>
    <mergeCell ref="A113:O113"/>
    <mergeCell ref="A122:O122"/>
    <mergeCell ref="A123:O123"/>
    <mergeCell ref="A144:O144"/>
    <mergeCell ref="A10:O10"/>
    <mergeCell ref="A19:O19"/>
    <mergeCell ref="A66:O66"/>
    <mergeCell ref="A90:O90"/>
    <mergeCell ref="A103:O103"/>
    <mergeCell ref="B142:B143"/>
    <mergeCell ref="C142:C143"/>
    <mergeCell ref="A142:A143"/>
    <mergeCell ref="A124:O124"/>
    <mergeCell ref="A127:O127"/>
    <mergeCell ref="A128:O128"/>
    <mergeCell ref="A137:O137"/>
    <mergeCell ref="A129:O129"/>
    <mergeCell ref="A132:O132"/>
    <mergeCell ref="A133:O133"/>
  </mergeCells>
  <pageMargins left="1.5" right="0.7" top="0.75" bottom="0.75" header="0.3" footer="0.3"/>
  <pageSetup paperSize="5" scale="56" orientation="landscape" r:id="rId1"/>
</worksheet>
</file>

<file path=xl/worksheets/sheet3.xml><?xml version="1.0" encoding="utf-8"?>
<worksheet xmlns="http://schemas.openxmlformats.org/spreadsheetml/2006/main" xmlns:r="http://schemas.openxmlformats.org/officeDocument/2006/relationships">
  <dimension ref="A1:AQ312"/>
  <sheetViews>
    <sheetView view="pageBreakPreview" zoomScale="60" zoomScaleNormal="70" workbookViewId="0">
      <selection activeCell="G23" sqref="G23"/>
    </sheetView>
  </sheetViews>
  <sheetFormatPr defaultRowHeight="14.25"/>
  <cols>
    <col min="1" max="1" width="10" style="14" customWidth="1"/>
    <col min="2" max="2" width="18.7109375" style="14" customWidth="1"/>
    <col min="3" max="3" width="30.28515625" style="14" customWidth="1"/>
    <col min="4" max="4" width="33.28515625" style="14" customWidth="1"/>
    <col min="5" max="5" width="19.7109375" style="14" customWidth="1"/>
    <col min="6" max="6" width="13.7109375" style="14" customWidth="1"/>
    <col min="7" max="7" width="18.5703125" style="14" customWidth="1"/>
    <col min="8" max="8" width="19.85546875" style="14" customWidth="1"/>
    <col min="9" max="9" width="17.7109375" style="18" customWidth="1"/>
    <col min="10" max="10" width="15.140625" style="14" customWidth="1"/>
    <col min="11" max="11" width="14.7109375" style="14" customWidth="1"/>
    <col min="12" max="12" width="11.5703125" style="14" customWidth="1"/>
    <col min="13" max="13" width="11.7109375" style="14" customWidth="1"/>
    <col min="14" max="14" width="10.7109375" style="14" customWidth="1"/>
    <col min="15" max="15" width="12" style="14" customWidth="1"/>
    <col min="16" max="16" width="34.140625" style="14" customWidth="1"/>
    <col min="17" max="16384" width="9.140625" style="14"/>
  </cols>
  <sheetData>
    <row r="1" spans="1:16" s="12" customFormat="1" ht="25.5" customHeight="1">
      <c r="A1" s="323" t="s">
        <v>1264</v>
      </c>
      <c r="B1" s="324"/>
      <c r="C1" s="324"/>
      <c r="D1" s="324"/>
      <c r="E1" s="324"/>
      <c r="F1" s="324"/>
      <c r="G1" s="324"/>
      <c r="H1" s="324"/>
      <c r="I1" s="324"/>
      <c r="J1" s="324"/>
      <c r="K1" s="324"/>
      <c r="L1" s="324"/>
      <c r="M1" s="324"/>
      <c r="N1" s="324"/>
      <c r="O1" s="324"/>
      <c r="P1" s="324"/>
    </row>
    <row r="2" spans="1:16" ht="22.5" customHeight="1">
      <c r="A2" s="275" t="s">
        <v>1199</v>
      </c>
      <c r="B2" s="276"/>
      <c r="C2" s="276"/>
      <c r="D2" s="276"/>
      <c r="E2" s="276"/>
      <c r="F2" s="276"/>
      <c r="G2" s="276"/>
      <c r="H2" s="276"/>
      <c r="I2" s="276"/>
      <c r="J2" s="276"/>
      <c r="K2" s="276"/>
      <c r="L2" s="276"/>
      <c r="M2" s="276"/>
      <c r="N2" s="276"/>
      <c r="O2" s="276"/>
      <c r="P2" s="276"/>
    </row>
    <row r="3" spans="1:16" ht="20.25">
      <c r="A3" s="315" t="s">
        <v>129</v>
      </c>
      <c r="B3" s="316"/>
      <c r="C3" s="316"/>
      <c r="D3" s="316"/>
      <c r="E3" s="316"/>
      <c r="F3" s="316"/>
      <c r="G3" s="316"/>
      <c r="H3" s="316"/>
      <c r="I3" s="316"/>
      <c r="J3" s="316"/>
      <c r="K3" s="316"/>
      <c r="L3" s="317"/>
      <c r="M3" s="340"/>
      <c r="N3" s="340"/>
      <c r="O3" s="340"/>
      <c r="P3" s="340"/>
    </row>
    <row r="4" spans="1:16" ht="114" customHeight="1">
      <c r="A4" s="24" t="s">
        <v>0</v>
      </c>
      <c r="B4" s="24" t="s">
        <v>102</v>
      </c>
      <c r="C4" s="24" t="s">
        <v>61</v>
      </c>
      <c r="D4" s="24" t="s">
        <v>62</v>
      </c>
      <c r="E4" s="24" t="s">
        <v>128</v>
      </c>
      <c r="F4" s="24" t="s">
        <v>56</v>
      </c>
      <c r="G4" s="25" t="s">
        <v>63</v>
      </c>
      <c r="H4" s="24" t="s">
        <v>130</v>
      </c>
      <c r="I4" s="24" t="s">
        <v>57</v>
      </c>
      <c r="J4" s="25" t="s">
        <v>64</v>
      </c>
      <c r="K4" s="26" t="s">
        <v>65</v>
      </c>
      <c r="L4" s="26" t="s">
        <v>59</v>
      </c>
      <c r="M4" s="340"/>
      <c r="N4" s="340"/>
      <c r="O4" s="340"/>
      <c r="P4" s="340"/>
    </row>
    <row r="5" spans="1:16" ht="13.5" customHeight="1">
      <c r="A5" s="186">
        <v>1</v>
      </c>
      <c r="B5" s="186">
        <v>2</v>
      </c>
      <c r="C5" s="186">
        <v>3</v>
      </c>
      <c r="D5" s="186">
        <v>4</v>
      </c>
      <c r="E5" s="186">
        <v>5</v>
      </c>
      <c r="F5" s="186">
        <v>6</v>
      </c>
      <c r="G5" s="186">
        <v>7</v>
      </c>
      <c r="H5" s="186">
        <v>8</v>
      </c>
      <c r="I5" s="25">
        <v>9</v>
      </c>
      <c r="J5" s="186">
        <v>10</v>
      </c>
      <c r="K5" s="186">
        <v>11</v>
      </c>
      <c r="L5" s="186">
        <v>12</v>
      </c>
      <c r="M5" s="340"/>
      <c r="N5" s="340"/>
      <c r="O5" s="340"/>
      <c r="P5" s="340"/>
    </row>
    <row r="6" spans="1:16" ht="13.5" customHeight="1">
      <c r="A6" s="311" t="s">
        <v>27</v>
      </c>
      <c r="B6" s="312"/>
      <c r="C6" s="312"/>
      <c r="D6" s="312"/>
      <c r="E6" s="312"/>
      <c r="F6" s="312"/>
      <c r="G6" s="312"/>
      <c r="H6" s="312"/>
      <c r="I6" s="312"/>
      <c r="J6" s="312"/>
      <c r="K6" s="312"/>
      <c r="L6" s="313"/>
      <c r="M6" s="340"/>
      <c r="N6" s="340"/>
      <c r="O6" s="340"/>
      <c r="P6" s="340"/>
    </row>
    <row r="7" spans="1:16" ht="13.5" customHeight="1">
      <c r="A7" s="282"/>
      <c r="B7" s="282"/>
      <c r="C7" s="282"/>
      <c r="D7" s="282"/>
      <c r="E7" s="282"/>
      <c r="F7" s="282"/>
      <c r="G7" s="282"/>
      <c r="H7" s="282"/>
      <c r="I7" s="282"/>
      <c r="J7" s="282"/>
      <c r="K7" s="282"/>
      <c r="L7" s="282"/>
      <c r="M7" s="340"/>
      <c r="N7" s="340"/>
      <c r="O7" s="340"/>
      <c r="P7" s="340"/>
    </row>
    <row r="8" spans="1:16" ht="28.5">
      <c r="A8" s="314" t="s">
        <v>66</v>
      </c>
      <c r="B8" s="314"/>
      <c r="C8" s="314"/>
      <c r="D8" s="314"/>
      <c r="E8" s="314"/>
      <c r="F8" s="314"/>
      <c r="G8" s="314"/>
      <c r="H8" s="314"/>
      <c r="I8" s="314"/>
      <c r="J8" s="314"/>
      <c r="K8" s="314"/>
      <c r="L8" s="314"/>
      <c r="M8" s="314"/>
      <c r="N8" s="314"/>
      <c r="O8" s="314"/>
      <c r="P8" s="61" t="s">
        <v>60</v>
      </c>
    </row>
    <row r="9" spans="1:16">
      <c r="A9" s="314">
        <v>13</v>
      </c>
      <c r="B9" s="314"/>
      <c r="C9" s="314"/>
      <c r="D9" s="314"/>
      <c r="E9" s="314"/>
      <c r="F9" s="314"/>
      <c r="G9" s="314"/>
      <c r="H9" s="314"/>
      <c r="I9" s="314"/>
      <c r="J9" s="314"/>
      <c r="K9" s="314"/>
      <c r="L9" s="314"/>
      <c r="M9" s="314"/>
      <c r="N9" s="314"/>
      <c r="O9" s="314"/>
      <c r="P9" s="24">
        <v>14</v>
      </c>
    </row>
    <row r="10" spans="1:16" ht="15">
      <c r="A10" s="314" t="s">
        <v>67</v>
      </c>
      <c r="B10" s="314"/>
      <c r="C10" s="314"/>
      <c r="D10" s="314" t="s">
        <v>68</v>
      </c>
      <c r="E10" s="314"/>
      <c r="F10" s="314"/>
      <c r="G10" s="314" t="s">
        <v>69</v>
      </c>
      <c r="H10" s="314"/>
      <c r="I10" s="314"/>
      <c r="J10" s="314" t="s">
        <v>70</v>
      </c>
      <c r="K10" s="314"/>
      <c r="L10" s="314"/>
      <c r="M10" s="314" t="s">
        <v>71</v>
      </c>
      <c r="N10" s="314"/>
      <c r="O10" s="314"/>
      <c r="P10" s="89"/>
    </row>
    <row r="11" spans="1:16" ht="15">
      <c r="A11" s="182" t="s">
        <v>72</v>
      </c>
      <c r="B11" s="182" t="s">
        <v>73</v>
      </c>
      <c r="C11" s="95" t="s">
        <v>45</v>
      </c>
      <c r="D11" s="182" t="s">
        <v>72</v>
      </c>
      <c r="E11" s="182" t="s">
        <v>73</v>
      </c>
      <c r="F11" s="95" t="s">
        <v>45</v>
      </c>
      <c r="G11" s="182" t="s">
        <v>72</v>
      </c>
      <c r="H11" s="182" t="s">
        <v>73</v>
      </c>
      <c r="I11" s="95" t="s">
        <v>45</v>
      </c>
      <c r="J11" s="182" t="s">
        <v>72</v>
      </c>
      <c r="K11" s="182" t="s">
        <v>73</v>
      </c>
      <c r="L11" s="95" t="s">
        <v>45</v>
      </c>
      <c r="M11" s="182" t="s">
        <v>72</v>
      </c>
      <c r="N11" s="182" t="s">
        <v>73</v>
      </c>
      <c r="O11" s="95" t="s">
        <v>45</v>
      </c>
      <c r="P11" s="182"/>
    </row>
    <row r="12" spans="1:16" ht="15" customHeight="1">
      <c r="A12" s="181"/>
      <c r="B12" s="181"/>
      <c r="C12" s="181"/>
      <c r="D12" s="181"/>
      <c r="E12" s="181"/>
      <c r="F12" s="181"/>
      <c r="G12" s="181"/>
      <c r="H12" s="181"/>
      <c r="I12" s="181"/>
      <c r="J12" s="356"/>
      <c r="K12" s="357"/>
      <c r="L12" s="357"/>
      <c r="M12" s="357"/>
      <c r="N12" s="357"/>
      <c r="O12" s="358"/>
      <c r="P12" s="89"/>
    </row>
    <row r="13" spans="1:16" ht="15">
      <c r="A13" s="182" t="s">
        <v>72</v>
      </c>
      <c r="B13" s="182" t="s">
        <v>73</v>
      </c>
      <c r="C13" s="95" t="s">
        <v>45</v>
      </c>
      <c r="D13" s="182" t="s">
        <v>72</v>
      </c>
      <c r="E13" s="182" t="s">
        <v>73</v>
      </c>
      <c r="F13" s="95" t="s">
        <v>45</v>
      </c>
      <c r="G13" s="182" t="s">
        <v>72</v>
      </c>
      <c r="H13" s="182" t="s">
        <v>73</v>
      </c>
      <c r="I13" s="95" t="s">
        <v>45</v>
      </c>
      <c r="J13" s="328"/>
      <c r="K13" s="329"/>
      <c r="L13" s="329"/>
      <c r="M13" s="329"/>
      <c r="N13" s="329"/>
      <c r="O13" s="330"/>
      <c r="P13" s="89"/>
    </row>
    <row r="14" spans="1:16" ht="15">
      <c r="A14" s="182"/>
      <c r="B14" s="182"/>
      <c r="C14" s="72"/>
      <c r="D14" s="72"/>
      <c r="E14" s="72"/>
      <c r="F14" s="72"/>
      <c r="G14" s="72"/>
      <c r="H14" s="72"/>
      <c r="I14" s="79"/>
      <c r="J14" s="328"/>
      <c r="K14" s="329"/>
      <c r="L14" s="329"/>
      <c r="M14" s="329"/>
      <c r="N14" s="329"/>
      <c r="O14" s="330"/>
      <c r="P14" s="89"/>
    </row>
    <row r="15" spans="1:16" ht="15">
      <c r="A15" s="68" t="s">
        <v>16</v>
      </c>
      <c r="B15" s="337" t="s">
        <v>77</v>
      </c>
      <c r="C15" s="338"/>
      <c r="D15" s="338"/>
      <c r="E15" s="338"/>
      <c r="F15" s="338"/>
      <c r="G15" s="338"/>
      <c r="H15" s="338"/>
      <c r="I15" s="338"/>
      <c r="J15" s="338"/>
      <c r="K15" s="338"/>
      <c r="L15" s="338"/>
      <c r="M15" s="338"/>
      <c r="N15" s="338"/>
      <c r="O15" s="338"/>
      <c r="P15" s="339"/>
    </row>
    <row r="16" spans="1:16" ht="15">
      <c r="A16" s="20"/>
      <c r="B16" s="353" t="s">
        <v>78</v>
      </c>
      <c r="C16" s="354"/>
      <c r="D16" s="354"/>
      <c r="E16" s="354"/>
      <c r="F16" s="354"/>
      <c r="G16" s="354"/>
      <c r="H16" s="354"/>
      <c r="I16" s="354"/>
      <c r="J16" s="354"/>
      <c r="K16" s="354"/>
      <c r="L16" s="354"/>
      <c r="M16" s="354"/>
      <c r="N16" s="354"/>
      <c r="O16" s="354"/>
      <c r="P16" s="355"/>
    </row>
    <row r="17" spans="1:43" ht="15">
      <c r="A17" s="20"/>
      <c r="B17" s="337" t="s">
        <v>131</v>
      </c>
      <c r="C17" s="338"/>
      <c r="D17" s="338"/>
      <c r="E17" s="338"/>
      <c r="F17" s="338"/>
      <c r="G17" s="338"/>
      <c r="H17" s="338"/>
      <c r="I17" s="338"/>
      <c r="J17" s="338"/>
      <c r="K17" s="338"/>
      <c r="L17" s="338"/>
      <c r="M17" s="338"/>
      <c r="N17" s="338"/>
      <c r="O17" s="338"/>
      <c r="P17" s="339"/>
    </row>
    <row r="18" spans="1:43" s="16" customFormat="1" ht="15">
      <c r="B18" s="337" t="s">
        <v>79</v>
      </c>
      <c r="C18" s="338"/>
      <c r="D18" s="338"/>
      <c r="E18" s="338"/>
      <c r="F18" s="338"/>
      <c r="G18" s="338"/>
      <c r="H18" s="338"/>
      <c r="I18" s="338"/>
      <c r="J18" s="338"/>
      <c r="K18" s="338"/>
      <c r="L18" s="338"/>
      <c r="M18" s="338"/>
      <c r="N18" s="338"/>
      <c r="O18" s="338"/>
      <c r="P18" s="339"/>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row>
    <row r="19" spans="1:43" ht="15">
      <c r="A19" s="16"/>
      <c r="B19" s="337" t="s">
        <v>132</v>
      </c>
      <c r="C19" s="338"/>
      <c r="D19" s="338"/>
      <c r="E19" s="338"/>
      <c r="F19" s="338"/>
      <c r="G19" s="338"/>
      <c r="H19" s="338"/>
      <c r="I19" s="338"/>
      <c r="J19" s="338"/>
      <c r="K19" s="338"/>
      <c r="L19" s="338"/>
      <c r="M19" s="338"/>
      <c r="N19" s="338"/>
      <c r="O19" s="338"/>
      <c r="P19" s="339"/>
    </row>
    <row r="20" spans="1:43">
      <c r="A20" s="298"/>
      <c r="B20" s="299"/>
      <c r="C20" s="299"/>
      <c r="D20" s="299"/>
      <c r="E20" s="299"/>
      <c r="F20" s="299"/>
      <c r="G20" s="299"/>
      <c r="H20" s="299"/>
      <c r="I20" s="299"/>
      <c r="J20" s="299"/>
      <c r="K20" s="299"/>
      <c r="L20" s="299"/>
      <c r="M20" s="299"/>
      <c r="N20" s="299"/>
      <c r="O20" s="299"/>
      <c r="P20" s="300"/>
    </row>
    <row r="21" spans="1:43" ht="22.5" customHeight="1">
      <c r="A21" s="341" t="s">
        <v>1200</v>
      </c>
      <c r="B21" s="342"/>
      <c r="C21" s="342"/>
      <c r="D21" s="342"/>
      <c r="E21" s="342"/>
      <c r="F21" s="342"/>
      <c r="G21" s="342"/>
      <c r="H21" s="342"/>
      <c r="I21" s="342"/>
      <c r="J21" s="342"/>
      <c r="K21" s="342"/>
      <c r="L21" s="342"/>
      <c r="M21" s="342"/>
      <c r="N21" s="342"/>
      <c r="O21" s="342"/>
      <c r="P21" s="343"/>
    </row>
    <row r="22" spans="1:43" ht="20.25">
      <c r="A22" s="318" t="s">
        <v>129</v>
      </c>
      <c r="B22" s="318"/>
      <c r="C22" s="318"/>
      <c r="D22" s="318"/>
      <c r="E22" s="318"/>
      <c r="F22" s="318"/>
      <c r="G22" s="318"/>
      <c r="H22" s="318"/>
      <c r="I22" s="318"/>
      <c r="J22" s="318"/>
      <c r="K22" s="318"/>
      <c r="L22" s="318"/>
      <c r="M22" s="344"/>
      <c r="N22" s="345"/>
      <c r="O22" s="345"/>
      <c r="P22" s="346"/>
    </row>
    <row r="23" spans="1:43" ht="99" customHeight="1">
      <c r="A23" s="24" t="s">
        <v>0</v>
      </c>
      <c r="B23" s="24" t="s">
        <v>102</v>
      </c>
      <c r="C23" s="24" t="s">
        <v>133</v>
      </c>
      <c r="D23" s="24" t="s">
        <v>62</v>
      </c>
      <c r="E23" s="24" t="s">
        <v>128</v>
      </c>
      <c r="F23" s="24" t="s">
        <v>56</v>
      </c>
      <c r="G23" s="25" t="s">
        <v>63</v>
      </c>
      <c r="H23" s="24" t="s">
        <v>130</v>
      </c>
      <c r="I23" s="24" t="s">
        <v>57</v>
      </c>
      <c r="J23" s="25" t="s">
        <v>64</v>
      </c>
      <c r="K23" s="26" t="s">
        <v>65</v>
      </c>
      <c r="L23" s="26" t="s">
        <v>59</v>
      </c>
      <c r="M23" s="347"/>
      <c r="N23" s="348"/>
      <c r="O23" s="348"/>
      <c r="P23" s="349"/>
    </row>
    <row r="24" spans="1:43">
      <c r="A24" s="186">
        <v>1</v>
      </c>
      <c r="B24" s="186">
        <v>2</v>
      </c>
      <c r="C24" s="186">
        <v>3</v>
      </c>
      <c r="D24" s="186">
        <v>4</v>
      </c>
      <c r="E24" s="186">
        <v>5</v>
      </c>
      <c r="F24" s="186">
        <v>6</v>
      </c>
      <c r="G24" s="186">
        <v>7</v>
      </c>
      <c r="H24" s="186">
        <v>8</v>
      </c>
      <c r="I24" s="25">
        <v>9</v>
      </c>
      <c r="J24" s="186">
        <v>10</v>
      </c>
      <c r="K24" s="186">
        <v>11</v>
      </c>
      <c r="L24" s="186">
        <v>12</v>
      </c>
      <c r="M24" s="347"/>
      <c r="N24" s="348"/>
      <c r="O24" s="348"/>
      <c r="P24" s="349"/>
    </row>
    <row r="25" spans="1:43" ht="15">
      <c r="A25" s="297" t="s">
        <v>27</v>
      </c>
      <c r="B25" s="297"/>
      <c r="C25" s="297"/>
      <c r="D25" s="297"/>
      <c r="E25" s="297"/>
      <c r="F25" s="297"/>
      <c r="G25" s="297"/>
      <c r="H25" s="297"/>
      <c r="I25" s="297"/>
      <c r="J25" s="297"/>
      <c r="K25" s="297"/>
      <c r="L25" s="297"/>
      <c r="M25" s="347"/>
      <c r="N25" s="348"/>
      <c r="O25" s="348"/>
      <c r="P25" s="349"/>
    </row>
    <row r="26" spans="1:43" ht="15">
      <c r="A26" s="292"/>
      <c r="B26" s="292"/>
      <c r="C26" s="292"/>
      <c r="D26" s="292"/>
      <c r="E26" s="292"/>
      <c r="F26" s="292"/>
      <c r="G26" s="292"/>
      <c r="H26" s="292"/>
      <c r="I26" s="292"/>
      <c r="J26" s="292"/>
      <c r="K26" s="292"/>
      <c r="L26" s="292"/>
      <c r="M26" s="350"/>
      <c r="N26" s="351"/>
      <c r="O26" s="351"/>
      <c r="P26" s="352"/>
    </row>
    <row r="27" spans="1:43" ht="28.5">
      <c r="A27" s="314" t="s">
        <v>66</v>
      </c>
      <c r="B27" s="314"/>
      <c r="C27" s="314"/>
      <c r="D27" s="314"/>
      <c r="E27" s="314"/>
      <c r="F27" s="314"/>
      <c r="G27" s="314"/>
      <c r="H27" s="314"/>
      <c r="I27" s="314"/>
      <c r="J27" s="314"/>
      <c r="K27" s="314"/>
      <c r="L27" s="314"/>
      <c r="M27" s="314"/>
      <c r="N27" s="314"/>
      <c r="O27" s="314"/>
      <c r="P27" s="61" t="s">
        <v>60</v>
      </c>
    </row>
    <row r="28" spans="1:43">
      <c r="A28" s="314">
        <v>13</v>
      </c>
      <c r="B28" s="314"/>
      <c r="C28" s="314"/>
      <c r="D28" s="314"/>
      <c r="E28" s="314"/>
      <c r="F28" s="314"/>
      <c r="G28" s="314"/>
      <c r="H28" s="314"/>
      <c r="I28" s="314"/>
      <c r="J28" s="314"/>
      <c r="K28" s="314"/>
      <c r="L28" s="314"/>
      <c r="M28" s="314"/>
      <c r="N28" s="314"/>
      <c r="O28" s="314"/>
      <c r="P28" s="24">
        <v>14</v>
      </c>
    </row>
    <row r="29" spans="1:43">
      <c r="A29" s="284"/>
      <c r="B29" s="284"/>
      <c r="C29" s="284"/>
      <c r="D29" s="284"/>
      <c r="E29" s="284"/>
      <c r="F29" s="284"/>
      <c r="G29" s="284"/>
      <c r="H29" s="284"/>
      <c r="I29" s="284"/>
      <c r="J29" s="284"/>
      <c r="K29" s="284"/>
      <c r="L29" s="284"/>
      <c r="M29" s="284"/>
      <c r="N29" s="284"/>
      <c r="O29" s="284"/>
      <c r="P29" s="24"/>
    </row>
    <row r="30" spans="1:43" ht="15">
      <c r="A30" s="284" t="s">
        <v>67</v>
      </c>
      <c r="B30" s="284"/>
      <c r="C30" s="284"/>
      <c r="D30" s="284" t="s">
        <v>68</v>
      </c>
      <c r="E30" s="284"/>
      <c r="F30" s="284"/>
      <c r="G30" s="284" t="s">
        <v>69</v>
      </c>
      <c r="H30" s="284"/>
      <c r="I30" s="284"/>
      <c r="J30" s="284" t="s">
        <v>70</v>
      </c>
      <c r="K30" s="284"/>
      <c r="L30" s="284"/>
      <c r="M30" s="284" t="s">
        <v>71</v>
      </c>
      <c r="N30" s="284"/>
      <c r="O30" s="284"/>
      <c r="P30" s="89"/>
    </row>
    <row r="31" spans="1:43" ht="15">
      <c r="A31" s="6" t="s">
        <v>72</v>
      </c>
      <c r="B31" s="6" t="s">
        <v>73</v>
      </c>
      <c r="C31" s="60" t="s">
        <v>45</v>
      </c>
      <c r="D31" s="6" t="s">
        <v>72</v>
      </c>
      <c r="E31" s="6" t="s">
        <v>73</v>
      </c>
      <c r="F31" s="60" t="s">
        <v>45</v>
      </c>
      <c r="G31" s="6" t="s">
        <v>72</v>
      </c>
      <c r="H31" s="6" t="s">
        <v>73</v>
      </c>
      <c r="I31" s="60" t="s">
        <v>45</v>
      </c>
      <c r="J31" s="6" t="s">
        <v>72</v>
      </c>
      <c r="K31" s="6" t="s">
        <v>73</v>
      </c>
      <c r="L31" s="60" t="s">
        <v>45</v>
      </c>
      <c r="M31" s="6" t="s">
        <v>72</v>
      </c>
      <c r="N31" s="6" t="s">
        <v>73</v>
      </c>
      <c r="O31" s="60" t="s">
        <v>45</v>
      </c>
      <c r="P31" s="182"/>
    </row>
    <row r="32" spans="1:43" ht="15">
      <c r="A32" s="185" t="s">
        <v>27</v>
      </c>
      <c r="B32" s="185" t="s">
        <v>27</v>
      </c>
      <c r="C32" s="185" t="s">
        <v>27</v>
      </c>
      <c r="D32" s="185" t="s">
        <v>27</v>
      </c>
      <c r="E32" s="185" t="s">
        <v>27</v>
      </c>
      <c r="F32" s="185" t="s">
        <v>27</v>
      </c>
      <c r="G32" s="185" t="s">
        <v>27</v>
      </c>
      <c r="H32" s="185" t="s">
        <v>27</v>
      </c>
      <c r="I32" s="185" t="s">
        <v>27</v>
      </c>
      <c r="J32" s="185" t="s">
        <v>27</v>
      </c>
      <c r="K32" s="185" t="s">
        <v>27</v>
      </c>
      <c r="L32" s="185" t="s">
        <v>27</v>
      </c>
      <c r="M32" s="185" t="s">
        <v>27</v>
      </c>
      <c r="N32" s="185" t="s">
        <v>27</v>
      </c>
      <c r="O32" s="185" t="s">
        <v>27</v>
      </c>
      <c r="P32" s="185"/>
    </row>
    <row r="33" spans="1:16" ht="15">
      <c r="A33" s="376" t="s">
        <v>74</v>
      </c>
      <c r="B33" s="376"/>
      <c r="C33" s="376"/>
      <c r="D33" s="376" t="s">
        <v>75</v>
      </c>
      <c r="E33" s="376"/>
      <c r="F33" s="376"/>
      <c r="G33" s="394" t="s">
        <v>76</v>
      </c>
      <c r="H33" s="395"/>
      <c r="I33" s="396"/>
      <c r="J33" s="373"/>
      <c r="K33" s="374"/>
      <c r="L33" s="374"/>
      <c r="M33" s="374"/>
      <c r="N33" s="374"/>
      <c r="O33" s="375"/>
      <c r="P33" s="95"/>
    </row>
    <row r="34" spans="1:16" ht="15">
      <c r="A34" s="180" t="s">
        <v>72</v>
      </c>
      <c r="B34" s="180" t="s">
        <v>73</v>
      </c>
      <c r="C34" s="184" t="s">
        <v>45</v>
      </c>
      <c r="D34" s="183" t="s">
        <v>72</v>
      </c>
      <c r="E34" s="180" t="s">
        <v>73</v>
      </c>
      <c r="F34" s="184" t="s">
        <v>45</v>
      </c>
      <c r="G34" s="180" t="s">
        <v>72</v>
      </c>
      <c r="H34" s="180" t="s">
        <v>73</v>
      </c>
      <c r="I34" s="184" t="s">
        <v>45</v>
      </c>
      <c r="J34" s="373"/>
      <c r="K34" s="374"/>
      <c r="L34" s="374"/>
      <c r="M34" s="374"/>
      <c r="N34" s="374"/>
      <c r="O34" s="375"/>
      <c r="P34" s="95"/>
    </row>
    <row r="35" spans="1:16" ht="15">
      <c r="A35" s="64" t="s">
        <v>27</v>
      </c>
      <c r="B35" s="64" t="s">
        <v>27</v>
      </c>
      <c r="C35" s="64" t="s">
        <v>27</v>
      </c>
      <c r="D35" s="64" t="s">
        <v>27</v>
      </c>
      <c r="E35" s="64" t="s">
        <v>27</v>
      </c>
      <c r="F35" s="64" t="s">
        <v>27</v>
      </c>
      <c r="G35" s="64" t="s">
        <v>27</v>
      </c>
      <c r="H35" s="64" t="s">
        <v>27</v>
      </c>
      <c r="I35" s="64" t="s">
        <v>27</v>
      </c>
      <c r="J35" s="373"/>
      <c r="K35" s="374"/>
      <c r="L35" s="374"/>
      <c r="M35" s="374"/>
      <c r="N35" s="374"/>
      <c r="O35" s="375"/>
      <c r="P35" s="95"/>
    </row>
    <row r="36" spans="1:16" ht="15">
      <c r="A36" s="273"/>
      <c r="B36" s="273"/>
      <c r="C36" s="273"/>
      <c r="D36" s="273"/>
      <c r="E36" s="273"/>
      <c r="F36" s="273"/>
      <c r="G36" s="273"/>
      <c r="H36" s="273"/>
      <c r="I36" s="273"/>
      <c r="J36" s="273"/>
      <c r="K36" s="273"/>
      <c r="L36" s="273"/>
      <c r="M36" s="273"/>
      <c r="N36" s="273"/>
      <c r="O36" s="273"/>
      <c r="P36" s="273"/>
    </row>
    <row r="37" spans="1:16" ht="22.5" customHeight="1">
      <c r="A37" s="275" t="s">
        <v>1201</v>
      </c>
      <c r="B37" s="276"/>
      <c r="C37" s="276"/>
      <c r="D37" s="276"/>
      <c r="E37" s="276"/>
      <c r="F37" s="276"/>
      <c r="G37" s="276"/>
      <c r="H37" s="276"/>
      <c r="I37" s="276"/>
      <c r="J37" s="276"/>
      <c r="K37" s="276"/>
      <c r="L37" s="276"/>
      <c r="M37" s="276"/>
      <c r="N37" s="276"/>
      <c r="O37" s="276"/>
      <c r="P37" s="276"/>
    </row>
    <row r="38" spans="1:16" ht="20.25">
      <c r="A38" s="315" t="s">
        <v>129</v>
      </c>
      <c r="B38" s="316"/>
      <c r="C38" s="316"/>
      <c r="D38" s="316"/>
      <c r="E38" s="316"/>
      <c r="F38" s="316"/>
      <c r="G38" s="316"/>
      <c r="H38" s="316"/>
      <c r="I38" s="316"/>
      <c r="J38" s="316"/>
      <c r="K38" s="316"/>
      <c r="L38" s="317"/>
      <c r="M38" s="340"/>
      <c r="N38" s="340"/>
      <c r="O38" s="340"/>
      <c r="P38" s="340"/>
    </row>
    <row r="39" spans="1:16" ht="99.75">
      <c r="A39" s="28" t="s">
        <v>0</v>
      </c>
      <c r="B39" s="28" t="s">
        <v>102</v>
      </c>
      <c r="C39" s="28" t="s">
        <v>133</v>
      </c>
      <c r="D39" s="28" t="s">
        <v>62</v>
      </c>
      <c r="E39" s="28" t="s">
        <v>128</v>
      </c>
      <c r="F39" s="28" t="s">
        <v>56</v>
      </c>
      <c r="G39" s="29" t="s">
        <v>63</v>
      </c>
      <c r="H39" s="28" t="s">
        <v>130</v>
      </c>
      <c r="I39" s="28" t="s">
        <v>57</v>
      </c>
      <c r="J39" s="29" t="s">
        <v>64</v>
      </c>
      <c r="K39" s="30" t="s">
        <v>65</v>
      </c>
      <c r="L39" s="30" t="s">
        <v>59</v>
      </c>
      <c r="M39" s="340"/>
      <c r="N39" s="340"/>
      <c r="O39" s="340"/>
      <c r="P39" s="340"/>
    </row>
    <row r="40" spans="1:16">
      <c r="A40" s="94">
        <v>1</v>
      </c>
      <c r="B40" s="94">
        <v>2</v>
      </c>
      <c r="C40" s="94">
        <v>3</v>
      </c>
      <c r="D40" s="94">
        <v>4</v>
      </c>
      <c r="E40" s="94">
        <v>5</v>
      </c>
      <c r="F40" s="94">
        <v>6</v>
      </c>
      <c r="G40" s="94">
        <v>7</v>
      </c>
      <c r="H40" s="94">
        <v>8</v>
      </c>
      <c r="I40" s="25">
        <v>9</v>
      </c>
      <c r="J40" s="94">
        <v>10</v>
      </c>
      <c r="K40" s="94">
        <v>11</v>
      </c>
      <c r="L40" s="93">
        <v>12</v>
      </c>
      <c r="M40" s="340"/>
      <c r="N40" s="340"/>
      <c r="O40" s="340"/>
      <c r="P40" s="340"/>
    </row>
    <row r="41" spans="1:16" s="100" customFormat="1" ht="15">
      <c r="A41" s="274" t="s">
        <v>27</v>
      </c>
      <c r="B41" s="274"/>
      <c r="C41" s="274"/>
      <c r="D41" s="274"/>
      <c r="E41" s="274"/>
      <c r="F41" s="274"/>
      <c r="G41" s="274"/>
      <c r="H41" s="274"/>
      <c r="I41" s="274"/>
      <c r="J41" s="274"/>
      <c r="K41" s="274"/>
      <c r="L41" s="274"/>
      <c r="M41" s="340"/>
      <c r="N41" s="340"/>
      <c r="O41" s="340"/>
      <c r="P41" s="340"/>
    </row>
    <row r="42" spans="1:16">
      <c r="A42" s="298"/>
      <c r="B42" s="299"/>
      <c r="C42" s="299"/>
      <c r="D42" s="299"/>
      <c r="E42" s="299"/>
      <c r="F42" s="299"/>
      <c r="G42" s="299"/>
      <c r="H42" s="299"/>
      <c r="I42" s="299"/>
      <c r="J42" s="299"/>
      <c r="K42" s="299"/>
      <c r="L42" s="300"/>
      <c r="M42" s="340"/>
      <c r="N42" s="340"/>
      <c r="O42" s="340"/>
      <c r="P42" s="340"/>
    </row>
    <row r="43" spans="1:16" ht="28.5">
      <c r="A43" s="311" t="s">
        <v>66</v>
      </c>
      <c r="B43" s="312"/>
      <c r="C43" s="312"/>
      <c r="D43" s="312"/>
      <c r="E43" s="312"/>
      <c r="F43" s="312"/>
      <c r="G43" s="312"/>
      <c r="H43" s="312"/>
      <c r="I43" s="312"/>
      <c r="J43" s="312"/>
      <c r="K43" s="312"/>
      <c r="L43" s="312"/>
      <c r="M43" s="312"/>
      <c r="N43" s="312"/>
      <c r="O43" s="313"/>
      <c r="P43" s="61" t="s">
        <v>60</v>
      </c>
    </row>
    <row r="44" spans="1:16">
      <c r="A44" s="311">
        <v>13</v>
      </c>
      <c r="B44" s="312"/>
      <c r="C44" s="312"/>
      <c r="D44" s="312"/>
      <c r="E44" s="312"/>
      <c r="F44" s="312"/>
      <c r="G44" s="312"/>
      <c r="H44" s="312"/>
      <c r="I44" s="312"/>
      <c r="J44" s="312"/>
      <c r="K44" s="312"/>
      <c r="L44" s="312"/>
      <c r="M44" s="312"/>
      <c r="N44" s="312"/>
      <c r="O44" s="313"/>
      <c r="P44" s="24">
        <v>14</v>
      </c>
    </row>
    <row r="45" spans="1:16" ht="15">
      <c r="A45" s="311" t="s">
        <v>67</v>
      </c>
      <c r="B45" s="312"/>
      <c r="C45" s="313"/>
      <c r="D45" s="311" t="s">
        <v>68</v>
      </c>
      <c r="E45" s="312"/>
      <c r="F45" s="313"/>
      <c r="G45" s="311" t="s">
        <v>69</v>
      </c>
      <c r="H45" s="312"/>
      <c r="I45" s="313"/>
      <c r="J45" s="311" t="s">
        <v>70</v>
      </c>
      <c r="K45" s="312"/>
      <c r="L45" s="313"/>
      <c r="M45" s="311" t="s">
        <v>71</v>
      </c>
      <c r="N45" s="312"/>
      <c r="O45" s="313"/>
      <c r="P45" s="63"/>
    </row>
    <row r="46" spans="1:16" ht="15">
      <c r="A46" s="10" t="s">
        <v>72</v>
      </c>
      <c r="B46" s="10" t="s">
        <v>73</v>
      </c>
      <c r="C46" s="55" t="s">
        <v>45</v>
      </c>
      <c r="D46" s="10" t="s">
        <v>72</v>
      </c>
      <c r="E46" s="10" t="s">
        <v>73</v>
      </c>
      <c r="F46" s="55" t="s">
        <v>45</v>
      </c>
      <c r="G46" s="10" t="s">
        <v>72</v>
      </c>
      <c r="H46" s="10" t="s">
        <v>73</v>
      </c>
      <c r="I46" s="55" t="s">
        <v>45</v>
      </c>
      <c r="J46" s="10" t="s">
        <v>72</v>
      </c>
      <c r="K46" s="10" t="s">
        <v>73</v>
      </c>
      <c r="L46" s="55" t="s">
        <v>45</v>
      </c>
      <c r="M46" s="10" t="s">
        <v>72</v>
      </c>
      <c r="N46" s="10" t="s">
        <v>73</v>
      </c>
      <c r="O46" s="55" t="s">
        <v>45</v>
      </c>
      <c r="P46" s="10"/>
    </row>
    <row r="47" spans="1:16" s="100" customFormat="1" ht="15">
      <c r="A47" s="121" t="s">
        <v>27</v>
      </c>
      <c r="B47" s="121" t="s">
        <v>27</v>
      </c>
      <c r="C47" s="121" t="s">
        <v>27</v>
      </c>
      <c r="D47" s="121" t="s">
        <v>27</v>
      </c>
      <c r="E47" s="121" t="s">
        <v>27</v>
      </c>
      <c r="F47" s="121" t="s">
        <v>27</v>
      </c>
      <c r="G47" s="121" t="s">
        <v>27</v>
      </c>
      <c r="H47" s="121" t="s">
        <v>27</v>
      </c>
      <c r="I47" s="121" t="s">
        <v>27</v>
      </c>
      <c r="J47" s="121" t="s">
        <v>27</v>
      </c>
      <c r="K47" s="121" t="s">
        <v>27</v>
      </c>
      <c r="L47" s="121" t="s">
        <v>27</v>
      </c>
      <c r="M47" s="121" t="s">
        <v>27</v>
      </c>
      <c r="N47" s="121" t="s">
        <v>27</v>
      </c>
      <c r="O47" s="121" t="s">
        <v>27</v>
      </c>
      <c r="P47" s="37"/>
    </row>
    <row r="48" spans="1:16" ht="15">
      <c r="A48" s="311" t="s">
        <v>74</v>
      </c>
      <c r="B48" s="312"/>
      <c r="C48" s="313"/>
      <c r="D48" s="311" t="s">
        <v>75</v>
      </c>
      <c r="E48" s="312"/>
      <c r="F48" s="313"/>
      <c r="G48" s="311" t="s">
        <v>76</v>
      </c>
      <c r="H48" s="312"/>
      <c r="I48" s="313"/>
      <c r="J48" s="297"/>
      <c r="K48" s="297"/>
      <c r="L48" s="297"/>
      <c r="M48" s="297"/>
      <c r="N48" s="297"/>
      <c r="O48" s="297"/>
      <c r="P48" s="68"/>
    </row>
    <row r="49" spans="1:16" ht="15">
      <c r="A49" s="10" t="s">
        <v>72</v>
      </c>
      <c r="B49" s="10" t="s">
        <v>73</v>
      </c>
      <c r="C49" s="55" t="s">
        <v>45</v>
      </c>
      <c r="D49" s="10" t="s">
        <v>72</v>
      </c>
      <c r="E49" s="10" t="s">
        <v>73</v>
      </c>
      <c r="F49" s="55" t="s">
        <v>45</v>
      </c>
      <c r="G49" s="10" t="s">
        <v>72</v>
      </c>
      <c r="H49" s="10" t="s">
        <v>73</v>
      </c>
      <c r="I49" s="67" t="s">
        <v>45</v>
      </c>
      <c r="J49" s="258"/>
      <c r="K49" s="258"/>
      <c r="L49" s="258"/>
      <c r="M49" s="258"/>
      <c r="N49" s="258"/>
      <c r="O49" s="258"/>
      <c r="P49" s="65"/>
    </row>
    <row r="50" spans="1:16" s="100" customFormat="1" ht="15">
      <c r="A50" s="121" t="s">
        <v>27</v>
      </c>
      <c r="B50" s="121" t="s">
        <v>27</v>
      </c>
      <c r="C50" s="121" t="s">
        <v>27</v>
      </c>
      <c r="D50" s="121" t="s">
        <v>27</v>
      </c>
      <c r="E50" s="121" t="s">
        <v>27</v>
      </c>
      <c r="F50" s="121" t="s">
        <v>27</v>
      </c>
      <c r="G50" s="121" t="s">
        <v>27</v>
      </c>
      <c r="H50" s="121" t="s">
        <v>27</v>
      </c>
      <c r="I50" s="121" t="s">
        <v>27</v>
      </c>
      <c r="J50" s="359"/>
      <c r="K50" s="360"/>
      <c r="L50" s="360"/>
      <c r="M50" s="360"/>
      <c r="N50" s="360"/>
      <c r="O50" s="361"/>
      <c r="P50" s="92"/>
    </row>
    <row r="51" spans="1:16" s="100" customFormat="1" ht="15">
      <c r="A51" s="297"/>
      <c r="B51" s="297"/>
      <c r="C51" s="297"/>
      <c r="D51" s="297"/>
      <c r="E51" s="297"/>
      <c r="F51" s="297"/>
      <c r="G51" s="297"/>
      <c r="H51" s="297"/>
      <c r="I51" s="297"/>
      <c r="J51" s="297"/>
      <c r="K51" s="297"/>
      <c r="L51" s="297"/>
      <c r="M51" s="297"/>
      <c r="N51" s="297"/>
      <c r="O51" s="297"/>
      <c r="P51" s="297"/>
    </row>
    <row r="52" spans="1:16" ht="22.5" customHeight="1">
      <c r="A52" s="275" t="s">
        <v>1202</v>
      </c>
      <c r="B52" s="276"/>
      <c r="C52" s="276"/>
      <c r="D52" s="276"/>
      <c r="E52" s="276"/>
      <c r="F52" s="276"/>
      <c r="G52" s="276"/>
      <c r="H52" s="276"/>
      <c r="I52" s="276"/>
      <c r="J52" s="276"/>
      <c r="K52" s="276"/>
      <c r="L52" s="276"/>
      <c r="M52" s="276"/>
      <c r="N52" s="276"/>
      <c r="O52" s="276"/>
      <c r="P52" s="276"/>
    </row>
    <row r="53" spans="1:16" ht="20.25">
      <c r="A53" s="315" t="s">
        <v>129</v>
      </c>
      <c r="B53" s="316"/>
      <c r="C53" s="316"/>
      <c r="D53" s="316"/>
      <c r="E53" s="316"/>
      <c r="F53" s="316"/>
      <c r="G53" s="316"/>
      <c r="H53" s="316"/>
      <c r="I53" s="316"/>
      <c r="J53" s="316"/>
      <c r="K53" s="316"/>
      <c r="L53" s="317"/>
      <c r="M53" s="340"/>
      <c r="N53" s="340"/>
      <c r="O53" s="340"/>
      <c r="P53" s="340"/>
    </row>
    <row r="54" spans="1:16" ht="99.75">
      <c r="A54" s="28" t="s">
        <v>0</v>
      </c>
      <c r="B54" s="28" t="s">
        <v>102</v>
      </c>
      <c r="C54" s="28" t="s">
        <v>133</v>
      </c>
      <c r="D54" s="28" t="s">
        <v>62</v>
      </c>
      <c r="E54" s="28" t="s">
        <v>128</v>
      </c>
      <c r="F54" s="28" t="s">
        <v>56</v>
      </c>
      <c r="G54" s="29" t="s">
        <v>63</v>
      </c>
      <c r="H54" s="28" t="s">
        <v>130</v>
      </c>
      <c r="I54" s="28" t="s">
        <v>57</v>
      </c>
      <c r="J54" s="29" t="s">
        <v>64</v>
      </c>
      <c r="K54" s="30" t="s">
        <v>65</v>
      </c>
      <c r="L54" s="30" t="s">
        <v>59</v>
      </c>
      <c r="M54" s="340"/>
      <c r="N54" s="340"/>
      <c r="O54" s="340"/>
      <c r="P54" s="340"/>
    </row>
    <row r="55" spans="1:16">
      <c r="A55" s="40">
        <v>1</v>
      </c>
      <c r="B55" s="40">
        <v>2</v>
      </c>
      <c r="C55" s="40">
        <v>3</v>
      </c>
      <c r="D55" s="40">
        <v>4</v>
      </c>
      <c r="E55" s="40">
        <v>5</v>
      </c>
      <c r="F55" s="40">
        <v>6</v>
      </c>
      <c r="G55" s="40">
        <v>7</v>
      </c>
      <c r="H55" s="40">
        <v>8</v>
      </c>
      <c r="I55" s="25">
        <v>9</v>
      </c>
      <c r="J55" s="40">
        <v>10</v>
      </c>
      <c r="K55" s="40">
        <v>11</v>
      </c>
      <c r="L55" s="41">
        <v>12</v>
      </c>
      <c r="M55" s="340"/>
      <c r="N55" s="340"/>
      <c r="O55" s="340"/>
      <c r="P55" s="340"/>
    </row>
    <row r="56" spans="1:16" s="111" customFormat="1" ht="15">
      <c r="A56" s="325" t="s">
        <v>27</v>
      </c>
      <c r="B56" s="326"/>
      <c r="C56" s="326"/>
      <c r="D56" s="326"/>
      <c r="E56" s="326"/>
      <c r="F56" s="326"/>
      <c r="G56" s="326"/>
      <c r="H56" s="326"/>
      <c r="I56" s="326"/>
      <c r="J56" s="326"/>
      <c r="K56" s="326"/>
      <c r="L56" s="327"/>
      <c r="M56" s="340"/>
      <c r="N56" s="340"/>
      <c r="O56" s="340"/>
      <c r="P56" s="340"/>
    </row>
    <row r="57" spans="1:16" ht="15">
      <c r="A57" s="328"/>
      <c r="B57" s="329"/>
      <c r="C57" s="329"/>
      <c r="D57" s="329"/>
      <c r="E57" s="329"/>
      <c r="F57" s="329"/>
      <c r="G57" s="329"/>
      <c r="H57" s="329"/>
      <c r="I57" s="329"/>
      <c r="J57" s="329"/>
      <c r="K57" s="329"/>
      <c r="L57" s="330"/>
      <c r="M57" s="340"/>
      <c r="N57" s="340"/>
      <c r="O57" s="340"/>
      <c r="P57" s="340"/>
    </row>
    <row r="58" spans="1:16" ht="28.5">
      <c r="A58" s="311" t="s">
        <v>66</v>
      </c>
      <c r="B58" s="312"/>
      <c r="C58" s="312"/>
      <c r="D58" s="312"/>
      <c r="E58" s="312"/>
      <c r="F58" s="312"/>
      <c r="G58" s="312"/>
      <c r="H58" s="312"/>
      <c r="I58" s="312"/>
      <c r="J58" s="312"/>
      <c r="K58" s="312"/>
      <c r="L58" s="312"/>
      <c r="M58" s="312"/>
      <c r="N58" s="312"/>
      <c r="O58" s="313"/>
      <c r="P58" s="61" t="s">
        <v>60</v>
      </c>
    </row>
    <row r="59" spans="1:16">
      <c r="A59" s="311">
        <v>13</v>
      </c>
      <c r="B59" s="312"/>
      <c r="C59" s="312"/>
      <c r="D59" s="312"/>
      <c r="E59" s="312"/>
      <c r="F59" s="312"/>
      <c r="G59" s="312"/>
      <c r="H59" s="312"/>
      <c r="I59" s="312"/>
      <c r="J59" s="312"/>
      <c r="K59" s="312"/>
      <c r="L59" s="312"/>
      <c r="M59" s="312"/>
      <c r="N59" s="312"/>
      <c r="O59" s="313"/>
      <c r="P59" s="24">
        <v>14</v>
      </c>
    </row>
    <row r="60" spans="1:16" ht="15">
      <c r="A60" s="311" t="s">
        <v>67</v>
      </c>
      <c r="B60" s="312"/>
      <c r="C60" s="313"/>
      <c r="D60" s="311" t="s">
        <v>68</v>
      </c>
      <c r="E60" s="312"/>
      <c r="F60" s="313"/>
      <c r="G60" s="311" t="s">
        <v>69</v>
      </c>
      <c r="H60" s="312"/>
      <c r="I60" s="313"/>
      <c r="J60" s="311" t="s">
        <v>70</v>
      </c>
      <c r="K60" s="312"/>
      <c r="L60" s="313"/>
      <c r="M60" s="311" t="s">
        <v>71</v>
      </c>
      <c r="N60" s="312"/>
      <c r="O60" s="313"/>
      <c r="P60" s="63"/>
    </row>
    <row r="61" spans="1:16" ht="15">
      <c r="A61" s="10" t="s">
        <v>72</v>
      </c>
      <c r="B61" s="10" t="s">
        <v>73</v>
      </c>
      <c r="C61" s="55" t="s">
        <v>45</v>
      </c>
      <c r="D61" s="10" t="s">
        <v>72</v>
      </c>
      <c r="E61" s="10" t="s">
        <v>73</v>
      </c>
      <c r="F61" s="55" t="s">
        <v>45</v>
      </c>
      <c r="G61" s="10" t="s">
        <v>72</v>
      </c>
      <c r="H61" s="10" t="s">
        <v>73</v>
      </c>
      <c r="I61" s="55" t="s">
        <v>45</v>
      </c>
      <c r="J61" s="10" t="s">
        <v>72</v>
      </c>
      <c r="K61" s="10" t="s">
        <v>73</v>
      </c>
      <c r="L61" s="55" t="s">
        <v>45</v>
      </c>
      <c r="M61" s="10" t="s">
        <v>72</v>
      </c>
      <c r="N61" s="10" t="s">
        <v>73</v>
      </c>
      <c r="O61" s="55" t="s">
        <v>45</v>
      </c>
      <c r="P61" s="10"/>
    </row>
    <row r="62" spans="1:16" s="100" customFormat="1" ht="15">
      <c r="A62" s="92" t="s">
        <v>27</v>
      </c>
      <c r="B62" s="92" t="s">
        <v>27</v>
      </c>
      <c r="C62" s="92" t="s">
        <v>27</v>
      </c>
      <c r="D62" s="92" t="s">
        <v>27</v>
      </c>
      <c r="E62" s="92" t="s">
        <v>27</v>
      </c>
      <c r="F62" s="92" t="s">
        <v>27</v>
      </c>
      <c r="G62" s="92" t="s">
        <v>27</v>
      </c>
      <c r="H62" s="92" t="s">
        <v>27</v>
      </c>
      <c r="I62" s="92" t="s">
        <v>27</v>
      </c>
      <c r="J62" s="92" t="s">
        <v>27</v>
      </c>
      <c r="K62" s="92" t="s">
        <v>27</v>
      </c>
      <c r="L62" s="92" t="s">
        <v>27</v>
      </c>
      <c r="M62" s="92" t="s">
        <v>27</v>
      </c>
      <c r="N62" s="92" t="s">
        <v>27</v>
      </c>
      <c r="O62" s="92" t="s">
        <v>27</v>
      </c>
      <c r="P62" s="92" t="s">
        <v>27</v>
      </c>
    </row>
    <row r="63" spans="1:16" ht="15">
      <c r="A63" s="311" t="s">
        <v>74</v>
      </c>
      <c r="B63" s="312"/>
      <c r="C63" s="313"/>
      <c r="D63" s="311" t="s">
        <v>75</v>
      </c>
      <c r="E63" s="312"/>
      <c r="F63" s="313"/>
      <c r="G63" s="314" t="s">
        <v>76</v>
      </c>
      <c r="H63" s="314"/>
      <c r="I63" s="314"/>
      <c r="J63" s="65"/>
      <c r="K63" s="65"/>
      <c r="L63" s="65"/>
      <c r="M63" s="65"/>
      <c r="N63" s="65"/>
      <c r="O63" s="65"/>
      <c r="P63" s="65"/>
    </row>
    <row r="64" spans="1:16" ht="15">
      <c r="A64" s="10" t="s">
        <v>72</v>
      </c>
      <c r="B64" s="10" t="s">
        <v>73</v>
      </c>
      <c r="C64" s="55" t="s">
        <v>45</v>
      </c>
      <c r="D64" s="10" t="s">
        <v>72</v>
      </c>
      <c r="E64" s="10" t="s">
        <v>73</v>
      </c>
      <c r="F64" s="55" t="s">
        <v>45</v>
      </c>
      <c r="G64" s="10" t="s">
        <v>72</v>
      </c>
      <c r="H64" s="10" t="s">
        <v>73</v>
      </c>
      <c r="I64" s="67" t="s">
        <v>45</v>
      </c>
      <c r="J64" s="65"/>
      <c r="K64" s="65"/>
      <c r="L64" s="65"/>
      <c r="M64" s="65"/>
      <c r="N64" s="65"/>
      <c r="O64" s="65"/>
      <c r="P64" s="65"/>
    </row>
    <row r="65" spans="1:16" s="100" customFormat="1" ht="15">
      <c r="A65" s="92" t="s">
        <v>27</v>
      </c>
      <c r="B65" s="92" t="s">
        <v>27</v>
      </c>
      <c r="C65" s="92" t="s">
        <v>27</v>
      </c>
      <c r="D65" s="92" t="s">
        <v>27</v>
      </c>
      <c r="E65" s="92" t="s">
        <v>27</v>
      </c>
      <c r="F65" s="92" t="s">
        <v>27</v>
      </c>
      <c r="G65" s="92" t="s">
        <v>27</v>
      </c>
      <c r="H65" s="92" t="s">
        <v>27</v>
      </c>
      <c r="I65" s="92" t="s">
        <v>27</v>
      </c>
      <c r="J65" s="92" t="s">
        <v>27</v>
      </c>
      <c r="K65" s="92" t="s">
        <v>27</v>
      </c>
      <c r="L65" s="92" t="s">
        <v>27</v>
      </c>
      <c r="M65" s="92" t="s">
        <v>27</v>
      </c>
      <c r="N65" s="92" t="s">
        <v>27</v>
      </c>
      <c r="O65" s="92" t="s">
        <v>27</v>
      </c>
      <c r="P65" s="92" t="s">
        <v>27</v>
      </c>
    </row>
    <row r="66" spans="1:16">
      <c r="A66" s="365"/>
      <c r="B66" s="366"/>
      <c r="C66" s="366"/>
      <c r="D66" s="366"/>
      <c r="E66" s="366"/>
      <c r="F66" s="366"/>
      <c r="G66" s="366"/>
      <c r="H66" s="366"/>
      <c r="I66" s="366"/>
      <c r="J66" s="366"/>
      <c r="K66" s="366"/>
      <c r="L66" s="366"/>
      <c r="M66" s="366"/>
      <c r="N66" s="366"/>
      <c r="O66" s="366"/>
      <c r="P66" s="366"/>
    </row>
    <row r="67" spans="1:16" ht="22.5" customHeight="1">
      <c r="A67" s="275" t="s">
        <v>1198</v>
      </c>
      <c r="B67" s="276"/>
      <c r="C67" s="276"/>
      <c r="D67" s="276"/>
      <c r="E67" s="276"/>
      <c r="F67" s="276"/>
      <c r="G67" s="276"/>
      <c r="H67" s="276"/>
      <c r="I67" s="276"/>
      <c r="J67" s="276"/>
      <c r="K67" s="276"/>
      <c r="L67" s="276"/>
      <c r="M67" s="276"/>
      <c r="N67" s="276"/>
      <c r="O67" s="276"/>
      <c r="P67" s="276"/>
    </row>
    <row r="68" spans="1:16" ht="20.25">
      <c r="A68" s="315" t="s">
        <v>129</v>
      </c>
      <c r="B68" s="316"/>
      <c r="C68" s="316"/>
      <c r="D68" s="316"/>
      <c r="E68" s="316"/>
      <c r="F68" s="316"/>
      <c r="G68" s="316"/>
      <c r="H68" s="316"/>
      <c r="I68" s="316"/>
      <c r="J68" s="316"/>
      <c r="K68" s="316"/>
      <c r="L68" s="317"/>
      <c r="M68" s="340"/>
      <c r="N68" s="340"/>
      <c r="O68" s="340"/>
      <c r="P68" s="340"/>
    </row>
    <row r="69" spans="1:16" ht="99.75">
      <c r="A69" s="28" t="s">
        <v>0</v>
      </c>
      <c r="B69" s="28" t="s">
        <v>102</v>
      </c>
      <c r="C69" s="28" t="s">
        <v>133</v>
      </c>
      <c r="D69" s="28" t="s">
        <v>62</v>
      </c>
      <c r="E69" s="28" t="s">
        <v>128</v>
      </c>
      <c r="F69" s="28" t="s">
        <v>56</v>
      </c>
      <c r="G69" s="29" t="s">
        <v>63</v>
      </c>
      <c r="H69" s="28" t="s">
        <v>130</v>
      </c>
      <c r="I69" s="28" t="s">
        <v>57</v>
      </c>
      <c r="J69" s="29" t="s">
        <v>64</v>
      </c>
      <c r="K69" s="30" t="s">
        <v>65</v>
      </c>
      <c r="L69" s="30" t="s">
        <v>59</v>
      </c>
      <c r="M69" s="340"/>
      <c r="N69" s="340"/>
      <c r="O69" s="340"/>
      <c r="P69" s="340"/>
    </row>
    <row r="70" spans="1:16">
      <c r="A70" s="40">
        <v>1</v>
      </c>
      <c r="B70" s="40">
        <v>2</v>
      </c>
      <c r="C70" s="40">
        <v>3</v>
      </c>
      <c r="D70" s="40">
        <v>4</v>
      </c>
      <c r="E70" s="40">
        <v>5</v>
      </c>
      <c r="F70" s="40">
        <v>6</v>
      </c>
      <c r="G70" s="40">
        <v>7</v>
      </c>
      <c r="H70" s="40">
        <v>8</v>
      </c>
      <c r="I70" s="25">
        <v>9</v>
      </c>
      <c r="J70" s="40">
        <v>10</v>
      </c>
      <c r="K70" s="40">
        <v>11</v>
      </c>
      <c r="L70" s="41">
        <v>12</v>
      </c>
      <c r="M70" s="340"/>
      <c r="N70" s="340"/>
      <c r="O70" s="340"/>
      <c r="P70" s="340"/>
    </row>
    <row r="71" spans="1:16">
      <c r="A71" s="331" t="s">
        <v>27</v>
      </c>
      <c r="B71" s="332"/>
      <c r="C71" s="332"/>
      <c r="D71" s="332"/>
      <c r="E71" s="332"/>
      <c r="F71" s="332"/>
      <c r="G71" s="332"/>
      <c r="H71" s="332"/>
      <c r="I71" s="332"/>
      <c r="J71" s="332"/>
      <c r="K71" s="332"/>
      <c r="L71" s="333"/>
      <c r="M71" s="340"/>
      <c r="N71" s="340"/>
      <c r="O71" s="340"/>
      <c r="P71" s="340"/>
    </row>
    <row r="72" spans="1:16" ht="15.75">
      <c r="A72" s="59"/>
      <c r="B72" s="81"/>
      <c r="C72" s="372"/>
      <c r="D72" s="372"/>
      <c r="E72" s="372"/>
      <c r="F72" s="372"/>
      <c r="G72" s="372"/>
      <c r="H72" s="372"/>
      <c r="I72" s="372"/>
      <c r="J72" s="372"/>
      <c r="K72" s="372"/>
      <c r="L72" s="372"/>
      <c r="M72" s="340"/>
      <c r="N72" s="340"/>
      <c r="O72" s="340"/>
      <c r="P72" s="340"/>
    </row>
    <row r="73" spans="1:16" ht="28.5">
      <c r="A73" s="311" t="s">
        <v>66</v>
      </c>
      <c r="B73" s="312"/>
      <c r="C73" s="312"/>
      <c r="D73" s="312"/>
      <c r="E73" s="312"/>
      <c r="F73" s="312"/>
      <c r="G73" s="312"/>
      <c r="H73" s="312"/>
      <c r="I73" s="312"/>
      <c r="J73" s="312"/>
      <c r="K73" s="312"/>
      <c r="L73" s="312"/>
      <c r="M73" s="312"/>
      <c r="N73" s="312"/>
      <c r="O73" s="313"/>
      <c r="P73" s="61" t="s">
        <v>60</v>
      </c>
    </row>
    <row r="74" spans="1:16">
      <c r="A74" s="311">
        <v>13</v>
      </c>
      <c r="B74" s="312"/>
      <c r="C74" s="312"/>
      <c r="D74" s="312"/>
      <c r="E74" s="312"/>
      <c r="F74" s="312"/>
      <c r="G74" s="312"/>
      <c r="H74" s="312"/>
      <c r="I74" s="312"/>
      <c r="J74" s="312"/>
      <c r="K74" s="312"/>
      <c r="L74" s="312"/>
      <c r="M74" s="312"/>
      <c r="N74" s="312"/>
      <c r="O74" s="313"/>
      <c r="P74" s="24">
        <v>14</v>
      </c>
    </row>
    <row r="75" spans="1:16" ht="15">
      <c r="A75" s="311" t="s">
        <v>67</v>
      </c>
      <c r="B75" s="312"/>
      <c r="C75" s="313"/>
      <c r="D75" s="311" t="s">
        <v>68</v>
      </c>
      <c r="E75" s="312"/>
      <c r="F75" s="313"/>
      <c r="G75" s="311" t="s">
        <v>69</v>
      </c>
      <c r="H75" s="312"/>
      <c r="I75" s="313"/>
      <c r="J75" s="311" t="s">
        <v>70</v>
      </c>
      <c r="K75" s="312"/>
      <c r="L75" s="313"/>
      <c r="M75" s="311" t="s">
        <v>71</v>
      </c>
      <c r="N75" s="312"/>
      <c r="O75" s="313"/>
      <c r="P75" s="63"/>
    </row>
    <row r="76" spans="1:16" ht="15">
      <c r="A76" s="10" t="s">
        <v>72</v>
      </c>
      <c r="B76" s="10" t="s">
        <v>73</v>
      </c>
      <c r="C76" s="55" t="s">
        <v>45</v>
      </c>
      <c r="D76" s="10" t="s">
        <v>72</v>
      </c>
      <c r="E76" s="10" t="s">
        <v>73</v>
      </c>
      <c r="F76" s="55" t="s">
        <v>45</v>
      </c>
      <c r="G76" s="10" t="s">
        <v>72</v>
      </c>
      <c r="H76" s="10" t="s">
        <v>73</v>
      </c>
      <c r="I76" s="55" t="s">
        <v>45</v>
      </c>
      <c r="J76" s="10" t="s">
        <v>72</v>
      </c>
      <c r="K76" s="10" t="s">
        <v>73</v>
      </c>
      <c r="L76" s="55" t="s">
        <v>45</v>
      </c>
      <c r="M76" s="10" t="s">
        <v>72</v>
      </c>
      <c r="N76" s="10" t="s">
        <v>73</v>
      </c>
      <c r="O76" s="55" t="s">
        <v>45</v>
      </c>
      <c r="P76" s="10"/>
    </row>
    <row r="77" spans="1:16" ht="15">
      <c r="A77" s="123" t="s">
        <v>27</v>
      </c>
      <c r="B77" s="123" t="s">
        <v>27</v>
      </c>
      <c r="C77" s="123" t="s">
        <v>27</v>
      </c>
      <c r="D77" s="123" t="s">
        <v>27</v>
      </c>
      <c r="E77" s="123" t="s">
        <v>27</v>
      </c>
      <c r="F77" s="123" t="s">
        <v>27</v>
      </c>
      <c r="G77" s="123" t="s">
        <v>27</v>
      </c>
      <c r="H77" s="123" t="s">
        <v>27</v>
      </c>
      <c r="I77" s="123" t="s">
        <v>27</v>
      </c>
      <c r="J77" s="123" t="s">
        <v>27</v>
      </c>
      <c r="K77" s="123" t="s">
        <v>27</v>
      </c>
      <c r="L77" s="123" t="s">
        <v>27</v>
      </c>
      <c r="M77" s="123" t="s">
        <v>27</v>
      </c>
      <c r="N77" s="123" t="s">
        <v>27</v>
      </c>
      <c r="O77" s="123" t="s">
        <v>27</v>
      </c>
      <c r="P77" s="73"/>
    </row>
    <row r="78" spans="1:16" ht="15">
      <c r="A78" s="311" t="s">
        <v>74</v>
      </c>
      <c r="B78" s="312"/>
      <c r="C78" s="313"/>
      <c r="D78" s="311" t="s">
        <v>75</v>
      </c>
      <c r="E78" s="312"/>
      <c r="F78" s="313"/>
      <c r="G78" s="311" t="s">
        <v>76</v>
      </c>
      <c r="H78" s="312"/>
      <c r="I78" s="313"/>
      <c r="J78" s="328"/>
      <c r="K78" s="329"/>
      <c r="L78" s="329"/>
      <c r="M78" s="329"/>
      <c r="N78" s="329"/>
      <c r="O78" s="330"/>
      <c r="P78" s="56"/>
    </row>
    <row r="79" spans="1:16" ht="15">
      <c r="A79" s="10" t="s">
        <v>72</v>
      </c>
      <c r="B79" s="10" t="s">
        <v>73</v>
      </c>
      <c r="C79" s="55" t="s">
        <v>45</v>
      </c>
      <c r="D79" s="10" t="s">
        <v>72</v>
      </c>
      <c r="E79" s="10" t="s">
        <v>73</v>
      </c>
      <c r="F79" s="55" t="s">
        <v>45</v>
      </c>
      <c r="G79" s="10" t="s">
        <v>72</v>
      </c>
      <c r="H79" s="10" t="s">
        <v>73</v>
      </c>
      <c r="I79" s="55" t="s">
        <v>45</v>
      </c>
      <c r="J79" s="328"/>
      <c r="K79" s="329"/>
      <c r="L79" s="329"/>
      <c r="M79" s="329"/>
      <c r="N79" s="329"/>
      <c r="O79" s="330"/>
      <c r="P79" s="56"/>
    </row>
    <row r="80" spans="1:16" ht="15">
      <c r="A80" s="108" t="s">
        <v>27</v>
      </c>
      <c r="B80" s="108" t="s">
        <v>27</v>
      </c>
      <c r="C80" s="108" t="s">
        <v>27</v>
      </c>
      <c r="D80" s="108" t="s">
        <v>27</v>
      </c>
      <c r="E80" s="108" t="s">
        <v>27</v>
      </c>
      <c r="F80" s="108" t="s">
        <v>27</v>
      </c>
      <c r="G80" s="108" t="s">
        <v>27</v>
      </c>
      <c r="H80" s="108" t="s">
        <v>27</v>
      </c>
      <c r="I80" s="108" t="s">
        <v>27</v>
      </c>
      <c r="J80" s="328"/>
      <c r="K80" s="329"/>
      <c r="L80" s="329"/>
      <c r="M80" s="329"/>
      <c r="N80" s="329"/>
      <c r="O80" s="330"/>
      <c r="P80" s="56"/>
    </row>
    <row r="81" spans="1:16">
      <c r="A81" s="299"/>
      <c r="B81" s="299"/>
      <c r="C81" s="299"/>
      <c r="D81" s="299"/>
      <c r="E81" s="299"/>
      <c r="F81" s="299"/>
      <c r="G81" s="299"/>
      <c r="H81" s="299"/>
      <c r="I81" s="299"/>
      <c r="J81" s="299"/>
      <c r="K81" s="299"/>
      <c r="L81" s="299"/>
      <c r="M81" s="299"/>
      <c r="N81" s="299"/>
      <c r="O81" s="299"/>
      <c r="P81" s="299"/>
    </row>
    <row r="82" spans="1:16" ht="22.5" customHeight="1">
      <c r="A82" s="275" t="s">
        <v>1203</v>
      </c>
      <c r="B82" s="276"/>
      <c r="C82" s="276"/>
      <c r="D82" s="276"/>
      <c r="E82" s="276"/>
      <c r="F82" s="276"/>
      <c r="G82" s="276"/>
      <c r="H82" s="276"/>
      <c r="I82" s="276"/>
      <c r="J82" s="276"/>
      <c r="K82" s="276"/>
      <c r="L82" s="276"/>
      <c r="M82" s="276"/>
      <c r="N82" s="276"/>
      <c r="O82" s="276"/>
      <c r="P82" s="276"/>
    </row>
    <row r="83" spans="1:16" ht="20.25">
      <c r="A83" s="315" t="s">
        <v>129</v>
      </c>
      <c r="B83" s="316"/>
      <c r="C83" s="316"/>
      <c r="D83" s="316"/>
      <c r="E83" s="316"/>
      <c r="F83" s="316"/>
      <c r="G83" s="316"/>
      <c r="H83" s="316"/>
      <c r="I83" s="316"/>
      <c r="J83" s="316"/>
      <c r="K83" s="316"/>
      <c r="L83" s="317"/>
      <c r="M83" s="340"/>
      <c r="N83" s="340"/>
      <c r="O83" s="340"/>
      <c r="P83" s="340"/>
    </row>
    <row r="84" spans="1:16" ht="99.75">
      <c r="A84" s="28" t="s">
        <v>0</v>
      </c>
      <c r="B84" s="28" t="s">
        <v>102</v>
      </c>
      <c r="C84" s="28" t="s">
        <v>133</v>
      </c>
      <c r="D84" s="28" t="s">
        <v>62</v>
      </c>
      <c r="E84" s="28" t="s">
        <v>128</v>
      </c>
      <c r="F84" s="28" t="s">
        <v>56</v>
      </c>
      <c r="G84" s="29" t="s">
        <v>63</v>
      </c>
      <c r="H84" s="28" t="s">
        <v>130</v>
      </c>
      <c r="I84" s="28" t="s">
        <v>57</v>
      </c>
      <c r="J84" s="29" t="s">
        <v>64</v>
      </c>
      <c r="K84" s="30" t="s">
        <v>65</v>
      </c>
      <c r="L84" s="30" t="s">
        <v>59</v>
      </c>
      <c r="M84" s="340"/>
      <c r="N84" s="340"/>
      <c r="O84" s="340"/>
      <c r="P84" s="340"/>
    </row>
    <row r="85" spans="1:16">
      <c r="A85" s="40">
        <v>1</v>
      </c>
      <c r="B85" s="40">
        <v>2</v>
      </c>
      <c r="C85" s="40">
        <v>3</v>
      </c>
      <c r="D85" s="40">
        <v>4</v>
      </c>
      <c r="E85" s="40">
        <v>5</v>
      </c>
      <c r="F85" s="40">
        <v>6</v>
      </c>
      <c r="G85" s="40">
        <v>7</v>
      </c>
      <c r="H85" s="40">
        <v>8</v>
      </c>
      <c r="I85" s="25">
        <v>9</v>
      </c>
      <c r="J85" s="40">
        <v>10</v>
      </c>
      <c r="K85" s="40">
        <v>11</v>
      </c>
      <c r="L85" s="41">
        <v>12</v>
      </c>
      <c r="M85" s="340"/>
      <c r="N85" s="340"/>
      <c r="O85" s="340"/>
      <c r="P85" s="340"/>
    </row>
    <row r="86" spans="1:16">
      <c r="A86" s="334" t="s">
        <v>27</v>
      </c>
      <c r="B86" s="335"/>
      <c r="C86" s="335"/>
      <c r="D86" s="335"/>
      <c r="E86" s="335"/>
      <c r="F86" s="335"/>
      <c r="G86" s="335"/>
      <c r="H86" s="335"/>
      <c r="I86" s="335"/>
      <c r="J86" s="335"/>
      <c r="K86" s="335"/>
      <c r="L86" s="336"/>
      <c r="M86" s="340"/>
      <c r="N86" s="340"/>
      <c r="O86" s="340"/>
      <c r="P86" s="340"/>
    </row>
    <row r="87" spans="1:16">
      <c r="A87" s="298"/>
      <c r="B87" s="299"/>
      <c r="C87" s="299"/>
      <c r="D87" s="299"/>
      <c r="E87" s="299"/>
      <c r="F87" s="299"/>
      <c r="G87" s="299"/>
      <c r="H87" s="299"/>
      <c r="I87" s="299"/>
      <c r="J87" s="299"/>
      <c r="K87" s="299"/>
      <c r="L87" s="300"/>
      <c r="M87" s="340"/>
      <c r="N87" s="340"/>
      <c r="O87" s="340"/>
      <c r="P87" s="340"/>
    </row>
    <row r="88" spans="1:16" ht="28.5">
      <c r="A88" s="311" t="s">
        <v>66</v>
      </c>
      <c r="B88" s="312"/>
      <c r="C88" s="312"/>
      <c r="D88" s="312"/>
      <c r="E88" s="312"/>
      <c r="F88" s="312"/>
      <c r="G88" s="312"/>
      <c r="H88" s="312"/>
      <c r="I88" s="312"/>
      <c r="J88" s="312"/>
      <c r="K88" s="312"/>
      <c r="L88" s="312"/>
      <c r="M88" s="312"/>
      <c r="N88" s="312"/>
      <c r="O88" s="313"/>
      <c r="P88" s="61" t="s">
        <v>60</v>
      </c>
    </row>
    <row r="89" spans="1:16">
      <c r="A89" s="311">
        <v>13</v>
      </c>
      <c r="B89" s="312"/>
      <c r="C89" s="312"/>
      <c r="D89" s="312"/>
      <c r="E89" s="312"/>
      <c r="F89" s="312"/>
      <c r="G89" s="312"/>
      <c r="H89" s="312"/>
      <c r="I89" s="312"/>
      <c r="J89" s="312"/>
      <c r="K89" s="312"/>
      <c r="L89" s="312"/>
      <c r="M89" s="312"/>
      <c r="N89" s="312"/>
      <c r="O89" s="313"/>
      <c r="P89" s="24">
        <v>14</v>
      </c>
    </row>
    <row r="90" spans="1:16" ht="15">
      <c r="A90" s="311" t="s">
        <v>67</v>
      </c>
      <c r="B90" s="312"/>
      <c r="C90" s="313"/>
      <c r="D90" s="311" t="s">
        <v>68</v>
      </c>
      <c r="E90" s="312"/>
      <c r="F90" s="313"/>
      <c r="G90" s="311" t="s">
        <v>69</v>
      </c>
      <c r="H90" s="312"/>
      <c r="I90" s="313"/>
      <c r="J90" s="311" t="s">
        <v>70</v>
      </c>
      <c r="K90" s="312"/>
      <c r="L90" s="313"/>
      <c r="M90" s="311" t="s">
        <v>71</v>
      </c>
      <c r="N90" s="312"/>
      <c r="O90" s="313"/>
      <c r="P90" s="89"/>
    </row>
    <row r="91" spans="1:16" ht="15">
      <c r="A91" s="10" t="s">
        <v>72</v>
      </c>
      <c r="B91" s="10" t="s">
        <v>73</v>
      </c>
      <c r="C91" s="55" t="s">
        <v>45</v>
      </c>
      <c r="D91" s="10" t="s">
        <v>72</v>
      </c>
      <c r="E91" s="10" t="s">
        <v>73</v>
      </c>
      <c r="F91" s="55" t="s">
        <v>45</v>
      </c>
      <c r="G91" s="10" t="s">
        <v>72</v>
      </c>
      <c r="H91" s="10" t="s">
        <v>73</v>
      </c>
      <c r="I91" s="55" t="s">
        <v>45</v>
      </c>
      <c r="J91" s="10" t="s">
        <v>72</v>
      </c>
      <c r="K91" s="10" t="s">
        <v>73</v>
      </c>
      <c r="L91" s="55" t="s">
        <v>45</v>
      </c>
      <c r="M91" s="10" t="s">
        <v>72</v>
      </c>
      <c r="N91" s="10" t="s">
        <v>73</v>
      </c>
      <c r="O91" s="55" t="s">
        <v>45</v>
      </c>
      <c r="P91" s="10"/>
    </row>
    <row r="92" spans="1:16" s="100" customFormat="1" ht="15">
      <c r="A92" s="120" t="s">
        <v>27</v>
      </c>
      <c r="B92" s="120" t="s">
        <v>27</v>
      </c>
      <c r="C92" s="120" t="s">
        <v>27</v>
      </c>
      <c r="D92" s="120" t="s">
        <v>27</v>
      </c>
      <c r="E92" s="120" t="s">
        <v>27</v>
      </c>
      <c r="F92" s="120" t="s">
        <v>27</v>
      </c>
      <c r="G92" s="120" t="s">
        <v>27</v>
      </c>
      <c r="H92" s="120" t="s">
        <v>27</v>
      </c>
      <c r="I92" s="120" t="s">
        <v>27</v>
      </c>
      <c r="J92" s="120" t="s">
        <v>27</v>
      </c>
      <c r="K92" s="120" t="s">
        <v>27</v>
      </c>
      <c r="L92" s="120" t="s">
        <v>27</v>
      </c>
      <c r="M92" s="120" t="s">
        <v>27</v>
      </c>
      <c r="N92" s="120" t="s">
        <v>27</v>
      </c>
      <c r="O92" s="120" t="s">
        <v>27</v>
      </c>
      <c r="P92" s="112"/>
    </row>
    <row r="93" spans="1:16" ht="15">
      <c r="A93" s="311" t="s">
        <v>74</v>
      </c>
      <c r="B93" s="312"/>
      <c r="C93" s="313"/>
      <c r="D93" s="311" t="s">
        <v>75</v>
      </c>
      <c r="E93" s="312"/>
      <c r="F93" s="313"/>
      <c r="G93" s="311" t="s">
        <v>76</v>
      </c>
      <c r="H93" s="312"/>
      <c r="I93" s="313"/>
      <c r="J93" s="328"/>
      <c r="K93" s="329"/>
      <c r="L93" s="329"/>
      <c r="M93" s="329"/>
      <c r="N93" s="329"/>
      <c r="O93" s="330"/>
      <c r="P93" s="57"/>
    </row>
    <row r="94" spans="1:16" ht="14.25" customHeight="1">
      <c r="A94" s="10" t="s">
        <v>72</v>
      </c>
      <c r="B94" s="10" t="s">
        <v>73</v>
      </c>
      <c r="C94" s="55" t="s">
        <v>45</v>
      </c>
      <c r="D94" s="10" t="s">
        <v>72</v>
      </c>
      <c r="E94" s="10" t="s">
        <v>73</v>
      </c>
      <c r="F94" s="55" t="s">
        <v>45</v>
      </c>
      <c r="G94" s="10" t="s">
        <v>72</v>
      </c>
      <c r="H94" s="10" t="s">
        <v>73</v>
      </c>
      <c r="I94" s="55" t="s">
        <v>45</v>
      </c>
      <c r="J94" s="328"/>
      <c r="K94" s="329"/>
      <c r="L94" s="329"/>
      <c r="M94" s="329"/>
      <c r="N94" s="329"/>
      <c r="O94" s="330"/>
      <c r="P94" s="56"/>
    </row>
    <row r="95" spans="1:16" s="100" customFormat="1" ht="15">
      <c r="A95" s="120" t="s">
        <v>27</v>
      </c>
      <c r="B95" s="120" t="s">
        <v>27</v>
      </c>
      <c r="C95" s="120" t="s">
        <v>27</v>
      </c>
      <c r="D95" s="120" t="s">
        <v>27</v>
      </c>
      <c r="E95" s="120" t="s">
        <v>27</v>
      </c>
      <c r="F95" s="120" t="s">
        <v>27</v>
      </c>
      <c r="G95" s="120" t="s">
        <v>27</v>
      </c>
      <c r="H95" s="120" t="s">
        <v>27</v>
      </c>
      <c r="I95" s="120" t="s">
        <v>27</v>
      </c>
      <c r="J95" s="377"/>
      <c r="K95" s="378"/>
      <c r="L95" s="378"/>
      <c r="M95" s="378"/>
      <c r="N95" s="378"/>
      <c r="O95" s="379"/>
      <c r="P95" s="113"/>
    </row>
    <row r="96" spans="1:16" customFormat="1" ht="15.75" customHeight="1">
      <c r="A96" s="381"/>
      <c r="B96" s="382"/>
      <c r="C96" s="382"/>
      <c r="D96" s="382"/>
      <c r="E96" s="382"/>
      <c r="F96" s="382"/>
      <c r="G96" s="382"/>
      <c r="H96" s="382"/>
      <c r="I96" s="382"/>
      <c r="J96" s="382"/>
      <c r="K96" s="382"/>
      <c r="L96" s="382"/>
      <c r="M96" s="382"/>
      <c r="N96" s="382"/>
      <c r="O96" s="382"/>
      <c r="P96" s="383"/>
    </row>
    <row r="97" spans="1:16" ht="22.5" customHeight="1">
      <c r="A97" s="275" t="s">
        <v>1276</v>
      </c>
      <c r="B97" s="276"/>
      <c r="C97" s="276"/>
      <c r="D97" s="276"/>
      <c r="E97" s="276"/>
      <c r="F97" s="276"/>
      <c r="G97" s="276"/>
      <c r="H97" s="276"/>
      <c r="I97" s="276"/>
      <c r="J97" s="276"/>
      <c r="K97" s="276"/>
      <c r="L97" s="276"/>
      <c r="M97" s="276"/>
      <c r="N97" s="276"/>
      <c r="O97" s="276"/>
      <c r="P97" s="276"/>
    </row>
    <row r="98" spans="1:16" ht="20.25">
      <c r="A98" s="315" t="s">
        <v>129</v>
      </c>
      <c r="B98" s="316"/>
      <c r="C98" s="316"/>
      <c r="D98" s="316"/>
      <c r="E98" s="316"/>
      <c r="F98" s="316"/>
      <c r="G98" s="316"/>
      <c r="H98" s="316"/>
      <c r="I98" s="316"/>
      <c r="J98" s="316"/>
      <c r="K98" s="316"/>
      <c r="L98" s="317"/>
      <c r="M98" s="344"/>
      <c r="N98" s="345"/>
      <c r="O98" s="345"/>
      <c r="P98" s="345"/>
    </row>
    <row r="99" spans="1:16" ht="99.75">
      <c r="A99" s="28" t="s">
        <v>0</v>
      </c>
      <c r="B99" s="28" t="s">
        <v>102</v>
      </c>
      <c r="C99" s="28" t="s">
        <v>133</v>
      </c>
      <c r="D99" s="28" t="s">
        <v>62</v>
      </c>
      <c r="E99" s="28" t="s">
        <v>128</v>
      </c>
      <c r="F99" s="28" t="s">
        <v>56</v>
      </c>
      <c r="G99" s="29" t="s">
        <v>63</v>
      </c>
      <c r="H99" s="28" t="s">
        <v>130</v>
      </c>
      <c r="I99" s="28" t="s">
        <v>57</v>
      </c>
      <c r="J99" s="29" t="s">
        <v>64</v>
      </c>
      <c r="K99" s="30" t="s">
        <v>65</v>
      </c>
      <c r="L99" s="30" t="s">
        <v>59</v>
      </c>
      <c r="M99" s="347"/>
      <c r="N99" s="348"/>
      <c r="O99" s="348"/>
      <c r="P99" s="348"/>
    </row>
    <row r="100" spans="1:16">
      <c r="A100" s="40">
        <v>1</v>
      </c>
      <c r="B100" s="40">
        <v>2</v>
      </c>
      <c r="C100" s="40">
        <v>3</v>
      </c>
      <c r="D100" s="40">
        <v>4</v>
      </c>
      <c r="E100" s="40">
        <v>5</v>
      </c>
      <c r="F100" s="40">
        <v>6</v>
      </c>
      <c r="G100" s="40">
        <v>7</v>
      </c>
      <c r="H100" s="40">
        <v>8</v>
      </c>
      <c r="I100" s="25">
        <v>9</v>
      </c>
      <c r="J100" s="40">
        <v>10</v>
      </c>
      <c r="K100" s="40">
        <v>11</v>
      </c>
      <c r="L100" s="41">
        <v>12</v>
      </c>
      <c r="M100" s="347"/>
      <c r="N100" s="348"/>
      <c r="O100" s="348"/>
      <c r="P100" s="348"/>
    </row>
    <row r="101" spans="1:16" s="117" customFormat="1" ht="15">
      <c r="A101" s="263" t="s">
        <v>27</v>
      </c>
      <c r="B101" s="264"/>
      <c r="C101" s="264"/>
      <c r="D101" s="264"/>
      <c r="E101" s="264"/>
      <c r="F101" s="264"/>
      <c r="G101" s="264"/>
      <c r="H101" s="264"/>
      <c r="I101" s="264"/>
      <c r="J101" s="264"/>
      <c r="K101" s="264"/>
      <c r="L101" s="264"/>
      <c r="M101" s="347"/>
      <c r="N101" s="348"/>
      <c r="O101" s="348"/>
      <c r="P101" s="348"/>
    </row>
    <row r="102" spans="1:16" s="117" customFormat="1" ht="15">
      <c r="A102" s="264"/>
      <c r="B102" s="264"/>
      <c r="C102" s="264"/>
      <c r="D102" s="264"/>
      <c r="E102" s="264"/>
      <c r="F102" s="264"/>
      <c r="G102" s="264"/>
      <c r="H102" s="264"/>
      <c r="I102" s="264"/>
      <c r="J102" s="264"/>
      <c r="K102" s="264"/>
      <c r="L102" s="264"/>
      <c r="M102" s="350"/>
      <c r="N102" s="351"/>
      <c r="O102" s="351"/>
      <c r="P102" s="351"/>
    </row>
    <row r="103" spans="1:16" ht="28.5">
      <c r="A103" s="311" t="s">
        <v>66</v>
      </c>
      <c r="B103" s="312"/>
      <c r="C103" s="312"/>
      <c r="D103" s="312"/>
      <c r="E103" s="312"/>
      <c r="F103" s="312"/>
      <c r="G103" s="312"/>
      <c r="H103" s="312"/>
      <c r="I103" s="312"/>
      <c r="J103" s="312"/>
      <c r="K103" s="312"/>
      <c r="L103" s="312"/>
      <c r="M103" s="312"/>
      <c r="N103" s="312"/>
      <c r="O103" s="313"/>
      <c r="P103" s="61" t="s">
        <v>60</v>
      </c>
    </row>
    <row r="104" spans="1:16">
      <c r="A104" s="311">
        <v>13</v>
      </c>
      <c r="B104" s="312"/>
      <c r="C104" s="312"/>
      <c r="D104" s="312"/>
      <c r="E104" s="312"/>
      <c r="F104" s="312"/>
      <c r="G104" s="312"/>
      <c r="H104" s="312"/>
      <c r="I104" s="312"/>
      <c r="J104" s="312"/>
      <c r="K104" s="312"/>
      <c r="L104" s="312"/>
      <c r="M104" s="312"/>
      <c r="N104" s="312"/>
      <c r="O104" s="313"/>
      <c r="P104" s="24">
        <v>14</v>
      </c>
    </row>
    <row r="105" spans="1:16" ht="15">
      <c r="A105" s="311" t="s">
        <v>67</v>
      </c>
      <c r="B105" s="312"/>
      <c r="C105" s="313"/>
      <c r="D105" s="311" t="s">
        <v>68</v>
      </c>
      <c r="E105" s="312"/>
      <c r="F105" s="313"/>
      <c r="G105" s="311" t="s">
        <v>69</v>
      </c>
      <c r="H105" s="312"/>
      <c r="I105" s="313"/>
      <c r="J105" s="311" t="s">
        <v>70</v>
      </c>
      <c r="K105" s="312"/>
      <c r="L105" s="313"/>
      <c r="M105" s="311" t="s">
        <v>143</v>
      </c>
      <c r="N105" s="312"/>
      <c r="O105" s="313"/>
      <c r="P105" s="63"/>
    </row>
    <row r="106" spans="1:16" ht="15">
      <c r="A106" s="10" t="s">
        <v>72</v>
      </c>
      <c r="B106" s="10" t="s">
        <v>73</v>
      </c>
      <c r="C106" s="55" t="s">
        <v>45</v>
      </c>
      <c r="D106" s="10" t="s">
        <v>72</v>
      </c>
      <c r="E106" s="10" t="s">
        <v>73</v>
      </c>
      <c r="F106" s="55" t="s">
        <v>45</v>
      </c>
      <c r="G106" s="10" t="s">
        <v>72</v>
      </c>
      <c r="H106" s="10" t="s">
        <v>73</v>
      </c>
      <c r="I106" s="55" t="s">
        <v>45</v>
      </c>
      <c r="J106" s="10" t="s">
        <v>72</v>
      </c>
      <c r="K106" s="10" t="s">
        <v>73</v>
      </c>
      <c r="L106" s="55" t="s">
        <v>45</v>
      </c>
      <c r="M106" s="10" t="s">
        <v>72</v>
      </c>
      <c r="N106" s="10" t="s">
        <v>73</v>
      </c>
      <c r="O106" s="55" t="s">
        <v>45</v>
      </c>
      <c r="P106" s="10"/>
    </row>
    <row r="107" spans="1:16" ht="15">
      <c r="A107" s="108"/>
      <c r="B107" s="108"/>
      <c r="C107" s="95"/>
      <c r="D107" s="108"/>
      <c r="E107" s="108"/>
      <c r="F107" s="95"/>
      <c r="G107" s="108"/>
      <c r="H107" s="108"/>
      <c r="I107" s="95"/>
      <c r="J107" s="108"/>
      <c r="K107" s="108"/>
      <c r="L107" s="95"/>
      <c r="M107" s="108"/>
      <c r="N107" s="108"/>
      <c r="O107" s="95"/>
      <c r="P107" s="108"/>
    </row>
    <row r="108" spans="1:16" ht="15">
      <c r="A108" s="73"/>
      <c r="B108" s="73"/>
      <c r="C108" s="73"/>
      <c r="D108" s="73"/>
      <c r="E108" s="73"/>
      <c r="F108" s="73"/>
      <c r="G108" s="73"/>
      <c r="H108" s="73"/>
      <c r="I108" s="73"/>
      <c r="J108" s="73"/>
      <c r="K108" s="73"/>
      <c r="L108" s="73"/>
      <c r="M108" s="73"/>
      <c r="N108" s="73"/>
      <c r="O108" s="73"/>
      <c r="P108" s="57"/>
    </row>
    <row r="109" spans="1:16" ht="15">
      <c r="A109" s="311" t="s">
        <v>71</v>
      </c>
      <c r="B109" s="312"/>
      <c r="C109" s="313"/>
      <c r="D109" s="311" t="s">
        <v>74</v>
      </c>
      <c r="E109" s="312"/>
      <c r="F109" s="313"/>
      <c r="G109" s="311" t="s">
        <v>75</v>
      </c>
      <c r="H109" s="312"/>
      <c r="I109" s="313"/>
      <c r="J109" s="311" t="s">
        <v>76</v>
      </c>
      <c r="K109" s="312"/>
      <c r="L109" s="313"/>
      <c r="M109" s="328"/>
      <c r="N109" s="329"/>
      <c r="O109" s="330"/>
      <c r="P109" s="109"/>
    </row>
    <row r="110" spans="1:16" ht="15">
      <c r="A110" s="10" t="s">
        <v>72</v>
      </c>
      <c r="B110" s="10" t="s">
        <v>73</v>
      </c>
      <c r="C110" s="55" t="s">
        <v>45</v>
      </c>
      <c r="D110" s="10" t="s">
        <v>72</v>
      </c>
      <c r="E110" s="10" t="s">
        <v>73</v>
      </c>
      <c r="F110" s="55" t="s">
        <v>45</v>
      </c>
      <c r="G110" s="10" t="s">
        <v>72</v>
      </c>
      <c r="H110" s="10" t="s">
        <v>73</v>
      </c>
      <c r="I110" s="55" t="s">
        <v>45</v>
      </c>
      <c r="J110" s="108" t="s">
        <v>72</v>
      </c>
      <c r="K110" s="108" t="s">
        <v>73</v>
      </c>
      <c r="L110" s="95" t="s">
        <v>45</v>
      </c>
      <c r="M110" s="328"/>
      <c r="N110" s="329"/>
      <c r="O110" s="330"/>
      <c r="P110" s="116"/>
    </row>
    <row r="111" spans="1:16" ht="15">
      <c r="A111" s="118"/>
      <c r="B111" s="118"/>
      <c r="C111" s="118"/>
      <c r="D111" s="118"/>
      <c r="E111" s="118"/>
      <c r="F111" s="118"/>
      <c r="G111" s="118"/>
      <c r="H111" s="118"/>
      <c r="I111" s="118"/>
      <c r="J111" s="62"/>
      <c r="K111" s="89"/>
      <c r="L111" s="89"/>
      <c r="M111" s="328"/>
      <c r="N111" s="329"/>
      <c r="O111" s="330"/>
      <c r="P111" s="116"/>
    </row>
    <row r="112" spans="1:16">
      <c r="A112" s="299"/>
      <c r="B112" s="299"/>
      <c r="C112" s="299"/>
      <c r="D112" s="299"/>
      <c r="E112" s="299"/>
      <c r="F112" s="299"/>
      <c r="G112" s="299"/>
      <c r="H112" s="299"/>
      <c r="I112" s="299"/>
      <c r="J112" s="299"/>
      <c r="K112" s="299"/>
      <c r="L112" s="299"/>
      <c r="M112" s="299"/>
      <c r="N112" s="299"/>
      <c r="O112" s="299"/>
      <c r="P112" s="299"/>
    </row>
    <row r="113" spans="1:16" ht="22.5" customHeight="1">
      <c r="A113" s="306" t="s">
        <v>1293</v>
      </c>
      <c r="B113" s="307"/>
      <c r="C113" s="307"/>
      <c r="D113" s="307"/>
      <c r="E113" s="307"/>
      <c r="F113" s="307"/>
      <c r="G113" s="307"/>
      <c r="H113" s="307"/>
      <c r="I113" s="307"/>
      <c r="J113" s="307"/>
      <c r="K113" s="307"/>
      <c r="L113" s="307"/>
      <c r="M113" s="307"/>
      <c r="N113" s="307"/>
      <c r="O113" s="307"/>
      <c r="P113" s="307"/>
    </row>
    <row r="114" spans="1:16" ht="20.25">
      <c r="A114" s="315" t="s">
        <v>129</v>
      </c>
      <c r="B114" s="316"/>
      <c r="C114" s="316"/>
      <c r="D114" s="316"/>
      <c r="E114" s="316"/>
      <c r="F114" s="316"/>
      <c r="G114" s="316"/>
      <c r="H114" s="316"/>
      <c r="I114" s="316"/>
      <c r="J114" s="316"/>
      <c r="K114" s="316"/>
      <c r="L114" s="317"/>
      <c r="M114" s="340"/>
      <c r="N114" s="340"/>
      <c r="O114" s="340"/>
      <c r="P114" s="340"/>
    </row>
    <row r="115" spans="1:16" ht="99.75">
      <c r="A115" s="28" t="s">
        <v>0</v>
      </c>
      <c r="B115" s="28" t="s">
        <v>53</v>
      </c>
      <c r="C115" s="28" t="s">
        <v>61</v>
      </c>
      <c r="D115" s="28" t="s">
        <v>62</v>
      </c>
      <c r="E115" s="28" t="s">
        <v>128</v>
      </c>
      <c r="F115" s="28" t="s">
        <v>56</v>
      </c>
      <c r="G115" s="29" t="s">
        <v>63</v>
      </c>
      <c r="H115" s="28" t="s">
        <v>130</v>
      </c>
      <c r="I115" s="28" t="s">
        <v>57</v>
      </c>
      <c r="J115" s="29" t="s">
        <v>64</v>
      </c>
      <c r="K115" s="30" t="s">
        <v>65</v>
      </c>
      <c r="L115" s="30" t="s">
        <v>59</v>
      </c>
      <c r="M115" s="340"/>
      <c r="N115" s="340"/>
      <c r="O115" s="340"/>
      <c r="P115" s="340"/>
    </row>
    <row r="116" spans="1:16">
      <c r="A116" s="40">
        <v>1</v>
      </c>
      <c r="B116" s="40">
        <v>2</v>
      </c>
      <c r="C116" s="40">
        <v>3</v>
      </c>
      <c r="D116" s="40">
        <v>4</v>
      </c>
      <c r="E116" s="40">
        <v>5</v>
      </c>
      <c r="F116" s="40">
        <v>6</v>
      </c>
      <c r="G116" s="40">
        <v>7</v>
      </c>
      <c r="H116" s="40">
        <v>8</v>
      </c>
      <c r="I116" s="25">
        <v>9</v>
      </c>
      <c r="J116" s="40">
        <v>10</v>
      </c>
      <c r="K116" s="40">
        <v>11</v>
      </c>
      <c r="L116" s="41">
        <v>12</v>
      </c>
      <c r="M116" s="340"/>
      <c r="N116" s="340"/>
      <c r="O116" s="340"/>
      <c r="P116" s="340"/>
    </row>
    <row r="117" spans="1:16" ht="30" customHeight="1">
      <c r="A117" s="202">
        <v>1</v>
      </c>
      <c r="B117" s="203" t="s">
        <v>236</v>
      </c>
      <c r="C117" s="70" t="s">
        <v>273</v>
      </c>
      <c r="D117" s="203" t="s">
        <v>1272</v>
      </c>
      <c r="E117" s="202">
        <v>13270.76</v>
      </c>
      <c r="F117" s="202"/>
      <c r="G117" s="54"/>
      <c r="H117" s="202">
        <v>18.68</v>
      </c>
      <c r="I117" s="70"/>
      <c r="J117" s="70"/>
      <c r="K117" s="70"/>
      <c r="L117" s="231"/>
      <c r="M117" s="340"/>
      <c r="N117" s="340"/>
      <c r="O117" s="340"/>
      <c r="P117" s="340"/>
    </row>
    <row r="118" spans="1:16" ht="15">
      <c r="A118" s="201">
        <v>2</v>
      </c>
      <c r="B118" s="140" t="s">
        <v>208</v>
      </c>
      <c r="C118" s="141" t="s">
        <v>730</v>
      </c>
      <c r="D118" s="409" t="s">
        <v>27</v>
      </c>
      <c r="E118" s="410"/>
      <c r="F118" s="410"/>
      <c r="G118" s="410"/>
      <c r="H118" s="410"/>
      <c r="I118" s="410"/>
      <c r="J118" s="410"/>
      <c r="K118" s="410"/>
      <c r="L118" s="411"/>
      <c r="M118" s="340"/>
      <c r="N118" s="340"/>
      <c r="O118" s="340"/>
      <c r="P118" s="340"/>
    </row>
    <row r="119" spans="1:16" ht="15">
      <c r="A119" s="204">
        <v>3</v>
      </c>
      <c r="B119" s="142" t="s">
        <v>208</v>
      </c>
      <c r="C119" s="142" t="s">
        <v>211</v>
      </c>
      <c r="D119" s="409" t="s">
        <v>27</v>
      </c>
      <c r="E119" s="410"/>
      <c r="F119" s="410"/>
      <c r="G119" s="410"/>
      <c r="H119" s="410"/>
      <c r="I119" s="410"/>
      <c r="J119" s="410"/>
      <c r="K119" s="410"/>
      <c r="L119" s="411"/>
      <c r="M119" s="340"/>
      <c r="N119" s="340"/>
      <c r="O119" s="340"/>
      <c r="P119" s="340"/>
    </row>
    <row r="120" spans="1:16" ht="15">
      <c r="A120" s="201">
        <v>4</v>
      </c>
      <c r="B120" s="142" t="s">
        <v>208</v>
      </c>
      <c r="C120" s="142" t="s">
        <v>212</v>
      </c>
      <c r="D120" s="409" t="s">
        <v>27</v>
      </c>
      <c r="E120" s="410"/>
      <c r="F120" s="410"/>
      <c r="G120" s="410"/>
      <c r="H120" s="410"/>
      <c r="I120" s="410"/>
      <c r="J120" s="410"/>
      <c r="K120" s="410"/>
      <c r="L120" s="411"/>
      <c r="M120" s="340"/>
      <c r="N120" s="340"/>
      <c r="O120" s="340"/>
      <c r="P120" s="340"/>
    </row>
    <row r="121" spans="1:16" ht="15">
      <c r="A121" s="204">
        <v>5</v>
      </c>
      <c r="B121" s="142" t="s">
        <v>208</v>
      </c>
      <c r="C121" s="142" t="s">
        <v>213</v>
      </c>
      <c r="D121" s="409" t="s">
        <v>27</v>
      </c>
      <c r="E121" s="410"/>
      <c r="F121" s="410"/>
      <c r="G121" s="410"/>
      <c r="H121" s="410"/>
      <c r="I121" s="410"/>
      <c r="J121" s="410"/>
      <c r="K121" s="410"/>
      <c r="L121" s="411"/>
      <c r="M121" s="340"/>
      <c r="N121" s="340"/>
      <c r="O121" s="340"/>
      <c r="P121" s="340"/>
    </row>
    <row r="122" spans="1:16" ht="15">
      <c r="A122" s="201">
        <v>6</v>
      </c>
      <c r="B122" s="142" t="s">
        <v>208</v>
      </c>
      <c r="C122" s="142" t="s">
        <v>214</v>
      </c>
      <c r="D122" s="409" t="s">
        <v>27</v>
      </c>
      <c r="E122" s="410"/>
      <c r="F122" s="410"/>
      <c r="G122" s="410"/>
      <c r="H122" s="410"/>
      <c r="I122" s="410"/>
      <c r="J122" s="410"/>
      <c r="K122" s="410"/>
      <c r="L122" s="411"/>
      <c r="M122" s="340"/>
      <c r="N122" s="340"/>
      <c r="O122" s="340"/>
      <c r="P122" s="340"/>
    </row>
    <row r="123" spans="1:16" ht="15">
      <c r="A123" s="202">
        <v>7</v>
      </c>
      <c r="B123" s="143" t="s">
        <v>208</v>
      </c>
      <c r="C123" s="143" t="s">
        <v>275</v>
      </c>
      <c r="D123" s="409" t="s">
        <v>27</v>
      </c>
      <c r="E123" s="410"/>
      <c r="F123" s="410"/>
      <c r="G123" s="410"/>
      <c r="H123" s="410"/>
      <c r="I123" s="410"/>
      <c r="J123" s="410"/>
      <c r="K123" s="410"/>
      <c r="L123" s="411"/>
      <c r="M123" s="340"/>
      <c r="N123" s="340"/>
      <c r="O123" s="340"/>
      <c r="P123" s="340"/>
    </row>
    <row r="124" spans="1:16" ht="15">
      <c r="A124" s="201">
        <v>8</v>
      </c>
      <c r="B124" s="142" t="s">
        <v>208</v>
      </c>
      <c r="C124" s="142" t="s">
        <v>223</v>
      </c>
      <c r="D124" s="409" t="s">
        <v>27</v>
      </c>
      <c r="E124" s="410"/>
      <c r="F124" s="410"/>
      <c r="G124" s="410"/>
      <c r="H124" s="410"/>
      <c r="I124" s="410"/>
      <c r="J124" s="410"/>
      <c r="K124" s="410"/>
      <c r="L124" s="411"/>
      <c r="M124" s="340"/>
      <c r="N124" s="340"/>
      <c r="O124" s="340"/>
      <c r="P124" s="340"/>
    </row>
    <row r="125" spans="1:16" ht="15">
      <c r="A125" s="204">
        <v>9</v>
      </c>
      <c r="B125" s="142" t="s">
        <v>208</v>
      </c>
      <c r="C125" s="142" t="s">
        <v>224</v>
      </c>
      <c r="D125" s="409" t="s">
        <v>27</v>
      </c>
      <c r="E125" s="410"/>
      <c r="F125" s="410"/>
      <c r="G125" s="410"/>
      <c r="H125" s="410"/>
      <c r="I125" s="410"/>
      <c r="J125" s="410"/>
      <c r="K125" s="410"/>
      <c r="L125" s="411"/>
      <c r="M125" s="340"/>
      <c r="N125" s="340"/>
      <c r="O125" s="340"/>
      <c r="P125" s="340"/>
    </row>
    <row r="126" spans="1:16" ht="15">
      <c r="A126" s="201">
        <v>10</v>
      </c>
      <c r="B126" s="142" t="s">
        <v>208</v>
      </c>
      <c r="C126" s="143" t="s">
        <v>225</v>
      </c>
      <c r="D126" s="409" t="s">
        <v>27</v>
      </c>
      <c r="E126" s="410"/>
      <c r="F126" s="410"/>
      <c r="G126" s="410"/>
      <c r="H126" s="410"/>
      <c r="I126" s="410"/>
      <c r="J126" s="410"/>
      <c r="K126" s="410"/>
      <c r="L126" s="411"/>
      <c r="M126" s="340"/>
      <c r="N126" s="340"/>
      <c r="O126" s="340"/>
      <c r="P126" s="340"/>
    </row>
    <row r="127" spans="1:16" ht="15">
      <c r="A127" s="204">
        <v>11</v>
      </c>
      <c r="B127" s="142" t="s">
        <v>208</v>
      </c>
      <c r="C127" s="142" t="s">
        <v>233</v>
      </c>
      <c r="D127" s="409" t="s">
        <v>27</v>
      </c>
      <c r="E127" s="410"/>
      <c r="F127" s="410"/>
      <c r="G127" s="410"/>
      <c r="H127" s="410"/>
      <c r="I127" s="410"/>
      <c r="J127" s="410"/>
      <c r="K127" s="410"/>
      <c r="L127" s="411"/>
      <c r="M127" s="340"/>
      <c r="N127" s="340"/>
      <c r="O127" s="340"/>
      <c r="P127" s="340"/>
    </row>
    <row r="128" spans="1:16" ht="15">
      <c r="A128" s="229">
        <v>12</v>
      </c>
      <c r="B128" s="144" t="s">
        <v>208</v>
      </c>
      <c r="C128" s="142" t="s">
        <v>234</v>
      </c>
      <c r="D128" s="409" t="s">
        <v>27</v>
      </c>
      <c r="E128" s="410"/>
      <c r="F128" s="410"/>
      <c r="G128" s="410"/>
      <c r="H128" s="410"/>
      <c r="I128" s="410"/>
      <c r="J128" s="410"/>
      <c r="K128" s="410"/>
      <c r="L128" s="411"/>
      <c r="M128" s="340"/>
      <c r="N128" s="340"/>
      <c r="O128" s="340"/>
      <c r="P128" s="340"/>
    </row>
    <row r="129" spans="1:16" ht="15">
      <c r="A129" s="232">
        <v>13</v>
      </c>
      <c r="B129" s="145" t="s">
        <v>208</v>
      </c>
      <c r="C129" s="142" t="s">
        <v>235</v>
      </c>
      <c r="D129" s="409" t="s">
        <v>27</v>
      </c>
      <c r="E129" s="410"/>
      <c r="F129" s="410"/>
      <c r="G129" s="410"/>
      <c r="H129" s="410"/>
      <c r="I129" s="410"/>
      <c r="J129" s="410"/>
      <c r="K129" s="410"/>
      <c r="L129" s="411"/>
      <c r="M129" s="340"/>
      <c r="N129" s="340"/>
      <c r="O129" s="340"/>
      <c r="P129" s="340"/>
    </row>
    <row r="130" spans="1:16" ht="15">
      <c r="A130" s="229">
        <v>14</v>
      </c>
      <c r="B130" s="145" t="s">
        <v>236</v>
      </c>
      <c r="C130" s="142" t="s">
        <v>237</v>
      </c>
      <c r="D130" s="409" t="s">
        <v>27</v>
      </c>
      <c r="E130" s="410"/>
      <c r="F130" s="410"/>
      <c r="G130" s="410"/>
      <c r="H130" s="410"/>
      <c r="I130" s="410"/>
      <c r="J130" s="410"/>
      <c r="K130" s="410"/>
      <c r="L130" s="411"/>
      <c r="M130" s="340"/>
      <c r="N130" s="340"/>
      <c r="O130" s="340"/>
      <c r="P130" s="340"/>
    </row>
    <row r="131" spans="1:16" ht="15">
      <c r="A131" s="232">
        <v>15</v>
      </c>
      <c r="B131" s="145" t="s">
        <v>208</v>
      </c>
      <c r="C131" s="142" t="s">
        <v>244</v>
      </c>
      <c r="D131" s="409" t="s">
        <v>27</v>
      </c>
      <c r="E131" s="410"/>
      <c r="F131" s="410"/>
      <c r="G131" s="410"/>
      <c r="H131" s="410"/>
      <c r="I131" s="410"/>
      <c r="J131" s="410"/>
      <c r="K131" s="410"/>
      <c r="L131" s="411"/>
      <c r="M131" s="340"/>
      <c r="N131" s="340"/>
      <c r="O131" s="340"/>
      <c r="P131" s="340"/>
    </row>
    <row r="132" spans="1:16" ht="15">
      <c r="A132" s="229">
        <v>16</v>
      </c>
      <c r="B132" s="145" t="s">
        <v>208</v>
      </c>
      <c r="C132" s="142" t="s">
        <v>245</v>
      </c>
      <c r="D132" s="409" t="s">
        <v>27</v>
      </c>
      <c r="E132" s="410"/>
      <c r="F132" s="410"/>
      <c r="G132" s="410"/>
      <c r="H132" s="410"/>
      <c r="I132" s="410"/>
      <c r="J132" s="410"/>
      <c r="K132" s="410"/>
      <c r="L132" s="411"/>
      <c r="M132" s="340"/>
      <c r="N132" s="340"/>
      <c r="O132" s="340"/>
      <c r="P132" s="340"/>
    </row>
    <row r="133" spans="1:16" ht="15">
      <c r="A133" s="232">
        <v>17</v>
      </c>
      <c r="B133" s="145" t="s">
        <v>208</v>
      </c>
      <c r="C133" s="142" t="s">
        <v>246</v>
      </c>
      <c r="D133" s="409" t="s">
        <v>27</v>
      </c>
      <c r="E133" s="410"/>
      <c r="F133" s="410"/>
      <c r="G133" s="410"/>
      <c r="H133" s="410"/>
      <c r="I133" s="410"/>
      <c r="J133" s="410"/>
      <c r="K133" s="410"/>
      <c r="L133" s="411"/>
      <c r="M133" s="340"/>
      <c r="N133" s="340"/>
      <c r="O133" s="340"/>
      <c r="P133" s="340"/>
    </row>
    <row r="134" spans="1:16" ht="75">
      <c r="A134" s="202">
        <v>18</v>
      </c>
      <c r="B134" s="127" t="s">
        <v>247</v>
      </c>
      <c r="C134" s="127" t="s">
        <v>247</v>
      </c>
      <c r="D134" s="233" t="s">
        <v>248</v>
      </c>
      <c r="E134" s="200">
        <v>139.47</v>
      </c>
      <c r="F134" s="202" t="s">
        <v>871</v>
      </c>
      <c r="G134" s="202" t="s">
        <v>12</v>
      </c>
      <c r="H134" s="200" t="s">
        <v>1273</v>
      </c>
      <c r="I134" s="234" t="s">
        <v>269</v>
      </c>
      <c r="J134" s="202" t="s">
        <v>12</v>
      </c>
      <c r="K134" s="202">
        <v>1</v>
      </c>
      <c r="L134" s="202">
        <v>1</v>
      </c>
      <c r="M134" s="340"/>
      <c r="N134" s="340"/>
      <c r="O134" s="340"/>
      <c r="P134" s="340"/>
    </row>
    <row r="135" spans="1:16" ht="15">
      <c r="A135" s="397" t="s">
        <v>1274</v>
      </c>
      <c r="B135" s="398"/>
      <c r="C135" s="398"/>
      <c r="D135" s="398"/>
      <c r="E135" s="398"/>
      <c r="F135" s="398"/>
      <c r="G135" s="398"/>
      <c r="H135" s="398"/>
      <c r="I135" s="398"/>
      <c r="J135" s="398"/>
      <c r="K135" s="398"/>
      <c r="L135" s="399"/>
      <c r="M135" s="340"/>
      <c r="N135" s="340"/>
      <c r="O135" s="340"/>
      <c r="P135" s="340"/>
    </row>
    <row r="136" spans="1:16" ht="15">
      <c r="A136" s="202">
        <v>19</v>
      </c>
      <c r="B136" s="145" t="s">
        <v>208</v>
      </c>
      <c r="C136" s="237" t="s">
        <v>272</v>
      </c>
      <c r="D136" s="274" t="s">
        <v>27</v>
      </c>
      <c r="E136" s="274"/>
      <c r="F136" s="274"/>
      <c r="G136" s="274"/>
      <c r="H136" s="274"/>
      <c r="I136" s="274"/>
      <c r="J136" s="274"/>
      <c r="K136" s="274"/>
      <c r="L136" s="274"/>
      <c r="M136" s="340"/>
      <c r="N136" s="340"/>
      <c r="O136" s="340"/>
      <c r="P136" s="340"/>
    </row>
    <row r="137" spans="1:16" ht="28.5">
      <c r="A137" s="311" t="s">
        <v>66</v>
      </c>
      <c r="B137" s="312"/>
      <c r="C137" s="312"/>
      <c r="D137" s="312"/>
      <c r="E137" s="312"/>
      <c r="F137" s="312"/>
      <c r="G137" s="312"/>
      <c r="H137" s="312"/>
      <c r="I137" s="312"/>
      <c r="J137" s="312"/>
      <c r="K137" s="312"/>
      <c r="L137" s="312"/>
      <c r="M137" s="312"/>
      <c r="N137" s="312"/>
      <c r="O137" s="313"/>
      <c r="P137" s="61" t="s">
        <v>60</v>
      </c>
    </row>
    <row r="138" spans="1:16">
      <c r="A138" s="311">
        <v>13</v>
      </c>
      <c r="B138" s="312"/>
      <c r="C138" s="312"/>
      <c r="D138" s="312"/>
      <c r="E138" s="312"/>
      <c r="F138" s="312"/>
      <c r="G138" s="312"/>
      <c r="H138" s="312"/>
      <c r="I138" s="312"/>
      <c r="J138" s="312"/>
      <c r="K138" s="312"/>
      <c r="L138" s="312"/>
      <c r="M138" s="312"/>
      <c r="N138" s="312"/>
      <c r="O138" s="313"/>
      <c r="P138" s="24">
        <v>14</v>
      </c>
    </row>
    <row r="139" spans="1:16" ht="15">
      <c r="A139" s="311" t="s">
        <v>67</v>
      </c>
      <c r="B139" s="312"/>
      <c r="C139" s="313"/>
      <c r="D139" s="311" t="s">
        <v>68</v>
      </c>
      <c r="E139" s="312"/>
      <c r="F139" s="313"/>
      <c r="G139" s="311" t="s">
        <v>69</v>
      </c>
      <c r="H139" s="312"/>
      <c r="I139" s="313"/>
      <c r="J139" s="311" t="s">
        <v>70</v>
      </c>
      <c r="K139" s="312"/>
      <c r="L139" s="313"/>
      <c r="M139" s="311" t="s">
        <v>71</v>
      </c>
      <c r="N139" s="312"/>
      <c r="O139" s="313"/>
      <c r="P139" s="63"/>
    </row>
    <row r="140" spans="1:16" ht="15">
      <c r="A140" s="10" t="s">
        <v>72</v>
      </c>
      <c r="B140" s="10" t="s">
        <v>73</v>
      </c>
      <c r="C140" s="55" t="s">
        <v>45</v>
      </c>
      <c r="D140" s="10" t="s">
        <v>72</v>
      </c>
      <c r="E140" s="10" t="s">
        <v>73</v>
      </c>
      <c r="F140" s="55" t="s">
        <v>45</v>
      </c>
      <c r="G140" s="10" t="s">
        <v>72</v>
      </c>
      <c r="H140" s="10" t="s">
        <v>73</v>
      </c>
      <c r="I140" s="55" t="s">
        <v>45</v>
      </c>
      <c r="J140" s="10" t="s">
        <v>72</v>
      </c>
      <c r="K140" s="10" t="s">
        <v>73</v>
      </c>
      <c r="L140" s="55" t="s">
        <v>45</v>
      </c>
      <c r="M140" s="10" t="s">
        <v>72</v>
      </c>
      <c r="N140" s="10" t="s">
        <v>73</v>
      </c>
      <c r="O140" s="55" t="s">
        <v>45</v>
      </c>
      <c r="P140" s="10"/>
    </row>
    <row r="141" spans="1:16" s="100" customFormat="1" ht="15">
      <c r="A141" s="202">
        <v>18</v>
      </c>
      <c r="B141" s="202">
        <v>12</v>
      </c>
      <c r="C141" s="202">
        <v>6</v>
      </c>
      <c r="D141" s="202">
        <v>30</v>
      </c>
      <c r="E141" s="202">
        <v>26</v>
      </c>
      <c r="F141" s="202">
        <v>19</v>
      </c>
      <c r="G141" s="202">
        <v>18</v>
      </c>
      <c r="H141" s="202">
        <v>18</v>
      </c>
      <c r="I141" s="202">
        <v>18</v>
      </c>
      <c r="J141" s="202">
        <v>19</v>
      </c>
      <c r="K141" s="202">
        <v>18</v>
      </c>
      <c r="L141" s="202">
        <v>14</v>
      </c>
      <c r="M141" s="202">
        <v>6</v>
      </c>
      <c r="N141" s="202">
        <v>6</v>
      </c>
      <c r="O141" s="202">
        <v>6</v>
      </c>
      <c r="P141" s="37" t="s">
        <v>273</v>
      </c>
    </row>
    <row r="142" spans="1:16" s="114" customFormat="1" ht="14.25" customHeight="1">
      <c r="A142" s="418" t="s">
        <v>27</v>
      </c>
      <c r="B142" s="419"/>
      <c r="C142" s="420"/>
      <c r="D142" s="418" t="s">
        <v>27</v>
      </c>
      <c r="E142" s="419"/>
      <c r="F142" s="420"/>
      <c r="G142" s="162">
        <v>2</v>
      </c>
      <c r="H142" s="162">
        <v>2</v>
      </c>
      <c r="I142" s="162" t="s">
        <v>27</v>
      </c>
      <c r="J142" s="162"/>
      <c r="K142" s="162"/>
      <c r="L142" s="162"/>
      <c r="M142" s="115"/>
      <c r="N142" s="115"/>
      <c r="O142" s="115"/>
      <c r="P142" s="235" t="s">
        <v>1275</v>
      </c>
    </row>
    <row r="143" spans="1:16" ht="15">
      <c r="A143" s="311" t="s">
        <v>74</v>
      </c>
      <c r="B143" s="312"/>
      <c r="C143" s="313"/>
      <c r="D143" s="311" t="s">
        <v>75</v>
      </c>
      <c r="E143" s="312"/>
      <c r="F143" s="313"/>
      <c r="G143" s="311" t="s">
        <v>76</v>
      </c>
      <c r="H143" s="312"/>
      <c r="I143" s="313"/>
      <c r="J143" s="89"/>
      <c r="K143" s="89"/>
      <c r="L143" s="89"/>
      <c r="M143" s="89"/>
      <c r="N143" s="89"/>
      <c r="O143" s="89"/>
      <c r="P143" s="56"/>
    </row>
    <row r="144" spans="1:16" ht="15">
      <c r="A144" s="10" t="s">
        <v>72</v>
      </c>
      <c r="B144" s="10" t="s">
        <v>73</v>
      </c>
      <c r="C144" s="55" t="s">
        <v>45</v>
      </c>
      <c r="D144" s="10" t="s">
        <v>72</v>
      </c>
      <c r="E144" s="10" t="s">
        <v>73</v>
      </c>
      <c r="F144" s="55" t="s">
        <v>45</v>
      </c>
      <c r="G144" s="10" t="s">
        <v>72</v>
      </c>
      <c r="H144" s="10" t="s">
        <v>73</v>
      </c>
      <c r="I144" s="55" t="s">
        <v>45</v>
      </c>
      <c r="J144" s="62"/>
      <c r="K144" s="56"/>
      <c r="L144" s="56"/>
      <c r="M144" s="56"/>
      <c r="N144" s="56"/>
      <c r="O144" s="56"/>
      <c r="P144" s="56"/>
    </row>
    <row r="145" spans="1:16" ht="15">
      <c r="A145" s="202">
        <v>1</v>
      </c>
      <c r="B145" s="202">
        <v>1</v>
      </c>
      <c r="C145" s="202">
        <v>1</v>
      </c>
      <c r="D145" s="202">
        <v>1</v>
      </c>
      <c r="E145" s="202">
        <v>1</v>
      </c>
      <c r="F145" s="202">
        <v>0</v>
      </c>
      <c r="G145" s="71"/>
      <c r="H145" s="71"/>
      <c r="I145" s="71"/>
      <c r="J145" s="62"/>
      <c r="K145" s="56"/>
      <c r="L145" s="56"/>
      <c r="M145" s="56"/>
      <c r="N145" s="56"/>
      <c r="O145" s="56"/>
      <c r="P145" s="37" t="s">
        <v>273</v>
      </c>
    </row>
    <row r="146" spans="1:16">
      <c r="A146" s="299"/>
      <c r="B146" s="299"/>
      <c r="C146" s="299"/>
      <c r="D146" s="299"/>
      <c r="E146" s="299"/>
      <c r="F146" s="299"/>
      <c r="G146" s="299"/>
      <c r="H146" s="299"/>
      <c r="I146" s="299"/>
      <c r="J146" s="299"/>
      <c r="K146" s="299"/>
      <c r="L146" s="299"/>
      <c r="M146" s="299"/>
      <c r="N146" s="299"/>
      <c r="O146" s="299"/>
      <c r="P146" s="299"/>
    </row>
    <row r="147" spans="1:16" ht="22.5" customHeight="1">
      <c r="A147" s="306" t="s">
        <v>1294</v>
      </c>
      <c r="B147" s="307"/>
      <c r="C147" s="307"/>
      <c r="D147" s="307"/>
      <c r="E147" s="307"/>
      <c r="F147" s="307"/>
      <c r="G147" s="307"/>
      <c r="H147" s="307"/>
      <c r="I147" s="307"/>
      <c r="J147" s="307"/>
      <c r="K147" s="307"/>
      <c r="L147" s="307"/>
      <c r="M147" s="307"/>
      <c r="N147" s="307"/>
      <c r="O147" s="307"/>
      <c r="P147" s="307"/>
    </row>
    <row r="148" spans="1:16" ht="20.25">
      <c r="A148" s="315" t="s">
        <v>129</v>
      </c>
      <c r="B148" s="316"/>
      <c r="C148" s="316"/>
      <c r="D148" s="316"/>
      <c r="E148" s="316"/>
      <c r="F148" s="316"/>
      <c r="G148" s="316"/>
      <c r="H148" s="316"/>
      <c r="I148" s="316"/>
      <c r="J148" s="316"/>
      <c r="K148" s="316"/>
      <c r="L148" s="317"/>
      <c r="M148" s="340"/>
      <c r="N148" s="340"/>
      <c r="O148" s="340"/>
      <c r="P148" s="340"/>
    </row>
    <row r="149" spans="1:16" ht="99.75">
      <c r="A149" s="28" t="s">
        <v>0</v>
      </c>
      <c r="B149" s="28" t="s">
        <v>53</v>
      </c>
      <c r="C149" s="28" t="s">
        <v>61</v>
      </c>
      <c r="D149" s="28" t="s">
        <v>62</v>
      </c>
      <c r="E149" s="28" t="s">
        <v>128</v>
      </c>
      <c r="F149" s="28" t="s">
        <v>56</v>
      </c>
      <c r="G149" s="29" t="s">
        <v>63</v>
      </c>
      <c r="H149" s="28" t="s">
        <v>130</v>
      </c>
      <c r="I149" s="28" t="s">
        <v>57</v>
      </c>
      <c r="J149" s="29" t="s">
        <v>64</v>
      </c>
      <c r="K149" s="30" t="s">
        <v>65</v>
      </c>
      <c r="L149" s="30" t="s">
        <v>59</v>
      </c>
      <c r="M149" s="340"/>
      <c r="N149" s="340"/>
      <c r="O149" s="340"/>
      <c r="P149" s="340"/>
    </row>
    <row r="150" spans="1:16">
      <c r="A150" s="40">
        <v>1</v>
      </c>
      <c r="B150" s="40">
        <v>2</v>
      </c>
      <c r="C150" s="40">
        <v>3</v>
      </c>
      <c r="D150" s="40">
        <v>4</v>
      </c>
      <c r="E150" s="40">
        <v>5</v>
      </c>
      <c r="F150" s="40">
        <v>6</v>
      </c>
      <c r="G150" s="40">
        <v>7</v>
      </c>
      <c r="H150" s="40">
        <v>8</v>
      </c>
      <c r="I150" s="25">
        <v>9</v>
      </c>
      <c r="J150" s="40">
        <v>10</v>
      </c>
      <c r="K150" s="40">
        <v>11</v>
      </c>
      <c r="L150" s="41">
        <v>12</v>
      </c>
      <c r="M150" s="340"/>
      <c r="N150" s="340"/>
      <c r="O150" s="340"/>
      <c r="P150" s="340"/>
    </row>
    <row r="151" spans="1:16" ht="15">
      <c r="A151" s="320" t="s">
        <v>27</v>
      </c>
      <c r="B151" s="321"/>
      <c r="C151" s="321"/>
      <c r="D151" s="321"/>
      <c r="E151" s="321"/>
      <c r="F151" s="321"/>
      <c r="G151" s="321"/>
      <c r="H151" s="321"/>
      <c r="I151" s="321"/>
      <c r="J151" s="321"/>
      <c r="K151" s="321"/>
      <c r="L151" s="322"/>
      <c r="M151" s="340"/>
      <c r="N151" s="340"/>
      <c r="O151" s="340"/>
      <c r="P151" s="340"/>
    </row>
    <row r="152" spans="1:16" ht="15">
      <c r="A152" s="267"/>
      <c r="B152" s="267"/>
      <c r="C152" s="267"/>
      <c r="D152" s="267"/>
      <c r="E152" s="267"/>
      <c r="F152" s="267"/>
      <c r="G152" s="267"/>
      <c r="H152" s="267"/>
      <c r="I152" s="267"/>
      <c r="J152" s="267"/>
      <c r="K152" s="267"/>
      <c r="L152" s="267"/>
      <c r="M152" s="340"/>
      <c r="N152" s="340"/>
      <c r="O152" s="340"/>
      <c r="P152" s="340"/>
    </row>
    <row r="153" spans="1:16" ht="28.5">
      <c r="A153" s="311" t="s">
        <v>66</v>
      </c>
      <c r="B153" s="312"/>
      <c r="C153" s="312"/>
      <c r="D153" s="312"/>
      <c r="E153" s="312"/>
      <c r="F153" s="312"/>
      <c r="G153" s="312"/>
      <c r="H153" s="312"/>
      <c r="I153" s="312"/>
      <c r="J153" s="312"/>
      <c r="K153" s="312"/>
      <c r="L153" s="312"/>
      <c r="M153" s="312"/>
      <c r="N153" s="312"/>
      <c r="O153" s="313"/>
      <c r="P153" s="61" t="s">
        <v>60</v>
      </c>
    </row>
    <row r="154" spans="1:16">
      <c r="A154" s="311">
        <v>13</v>
      </c>
      <c r="B154" s="312"/>
      <c r="C154" s="312"/>
      <c r="D154" s="312"/>
      <c r="E154" s="312"/>
      <c r="F154" s="312"/>
      <c r="G154" s="312"/>
      <c r="H154" s="312"/>
      <c r="I154" s="312"/>
      <c r="J154" s="312"/>
      <c r="K154" s="312"/>
      <c r="L154" s="312"/>
      <c r="M154" s="312"/>
      <c r="N154" s="312"/>
      <c r="O154" s="313"/>
      <c r="P154" s="24">
        <v>14</v>
      </c>
    </row>
    <row r="155" spans="1:16" ht="15">
      <c r="A155" s="311" t="s">
        <v>67</v>
      </c>
      <c r="B155" s="312"/>
      <c r="C155" s="313"/>
      <c r="D155" s="311" t="s">
        <v>68</v>
      </c>
      <c r="E155" s="312"/>
      <c r="F155" s="313"/>
      <c r="G155" s="311" t="s">
        <v>69</v>
      </c>
      <c r="H155" s="312"/>
      <c r="I155" s="313"/>
      <c r="J155" s="311" t="s">
        <v>70</v>
      </c>
      <c r="K155" s="312"/>
      <c r="L155" s="313"/>
      <c r="M155" s="314" t="s">
        <v>71</v>
      </c>
      <c r="N155" s="314"/>
      <c r="O155" s="314"/>
      <c r="P155" s="65"/>
    </row>
    <row r="156" spans="1:16" ht="15">
      <c r="A156" s="108" t="s">
        <v>72</v>
      </c>
      <c r="B156" s="108" t="s">
        <v>73</v>
      </c>
      <c r="C156" s="95" t="s">
        <v>45</v>
      </c>
      <c r="D156" s="108" t="s">
        <v>72</v>
      </c>
      <c r="E156" s="108" t="s">
        <v>73</v>
      </c>
      <c r="F156" s="95" t="s">
        <v>45</v>
      </c>
      <c r="G156" s="108" t="s">
        <v>72</v>
      </c>
      <c r="H156" s="108" t="s">
        <v>73</v>
      </c>
      <c r="I156" s="95" t="s">
        <v>45</v>
      </c>
      <c r="J156" s="188" t="s">
        <v>72</v>
      </c>
      <c r="K156" s="188" t="s">
        <v>73</v>
      </c>
      <c r="L156" s="192" t="s">
        <v>45</v>
      </c>
      <c r="M156" s="188" t="s">
        <v>72</v>
      </c>
      <c r="N156" s="188" t="s">
        <v>73</v>
      </c>
      <c r="O156" s="192" t="s">
        <v>45</v>
      </c>
      <c r="P156" s="80"/>
    </row>
    <row r="157" spans="1:16" ht="15.75">
      <c r="A157" s="83" t="s">
        <v>27</v>
      </c>
      <c r="B157" s="83" t="s">
        <v>27</v>
      </c>
      <c r="C157" s="83" t="s">
        <v>27</v>
      </c>
      <c r="D157" s="83" t="s">
        <v>27</v>
      </c>
      <c r="E157" s="83" t="s">
        <v>27</v>
      </c>
      <c r="F157" s="83" t="s">
        <v>27</v>
      </c>
      <c r="G157" s="83" t="s">
        <v>27</v>
      </c>
      <c r="H157" s="83" t="s">
        <v>27</v>
      </c>
      <c r="I157" s="83" t="s">
        <v>27</v>
      </c>
      <c r="J157" s="83" t="s">
        <v>27</v>
      </c>
      <c r="K157" s="83" t="s">
        <v>27</v>
      </c>
      <c r="L157" s="83" t="s">
        <v>27</v>
      </c>
      <c r="M157" s="83" t="s">
        <v>27</v>
      </c>
      <c r="N157" s="83" t="s">
        <v>27</v>
      </c>
      <c r="O157" s="83" t="s">
        <v>27</v>
      </c>
      <c r="P157" s="198"/>
    </row>
    <row r="158" spans="1:16" ht="15">
      <c r="A158" s="311" t="s">
        <v>74</v>
      </c>
      <c r="B158" s="312"/>
      <c r="C158" s="313"/>
      <c r="D158" s="311" t="s">
        <v>75</v>
      </c>
      <c r="E158" s="312"/>
      <c r="F158" s="313"/>
      <c r="G158" s="311" t="s">
        <v>76</v>
      </c>
      <c r="H158" s="312"/>
      <c r="I158" s="313"/>
      <c r="J158" s="258"/>
      <c r="K158" s="258"/>
      <c r="L158" s="258"/>
      <c r="M158" s="258"/>
      <c r="N158" s="258"/>
      <c r="O158" s="258"/>
      <c r="P158" s="199"/>
    </row>
    <row r="159" spans="1:16" ht="15">
      <c r="A159" s="10" t="s">
        <v>72</v>
      </c>
      <c r="B159" s="10" t="s">
        <v>73</v>
      </c>
      <c r="C159" s="55" t="s">
        <v>45</v>
      </c>
      <c r="D159" s="10" t="s">
        <v>72</v>
      </c>
      <c r="E159" s="10" t="s">
        <v>73</v>
      </c>
      <c r="F159" s="55" t="s">
        <v>45</v>
      </c>
      <c r="G159" s="10" t="s">
        <v>72</v>
      </c>
      <c r="H159" s="10" t="s">
        <v>73</v>
      </c>
      <c r="I159" s="55" t="s">
        <v>45</v>
      </c>
      <c r="J159" s="258"/>
      <c r="K159" s="258"/>
      <c r="L159" s="258"/>
      <c r="M159" s="258"/>
      <c r="N159" s="258"/>
      <c r="O159" s="258"/>
      <c r="P159" s="65"/>
    </row>
    <row r="160" spans="1:16" ht="15">
      <c r="A160" s="69" t="s">
        <v>27</v>
      </c>
      <c r="B160" s="69" t="s">
        <v>27</v>
      </c>
      <c r="C160" s="69" t="s">
        <v>27</v>
      </c>
      <c r="D160" s="69" t="s">
        <v>27</v>
      </c>
      <c r="E160" s="69" t="s">
        <v>27</v>
      </c>
      <c r="F160" s="69" t="s">
        <v>27</v>
      </c>
      <c r="G160" s="69" t="s">
        <v>27</v>
      </c>
      <c r="H160" s="69" t="s">
        <v>27</v>
      </c>
      <c r="I160" s="69" t="s">
        <v>27</v>
      </c>
      <c r="J160" s="368"/>
      <c r="K160" s="368"/>
      <c r="L160" s="368"/>
      <c r="M160" s="368"/>
      <c r="N160" s="368"/>
      <c r="O160" s="368"/>
      <c r="P160" s="65"/>
    </row>
    <row r="161" spans="1:16" ht="15">
      <c r="A161" s="274"/>
      <c r="B161" s="274"/>
      <c r="C161" s="274"/>
      <c r="D161" s="274"/>
      <c r="E161" s="274"/>
      <c r="F161" s="274"/>
      <c r="G161" s="274"/>
      <c r="H161" s="274"/>
      <c r="I161" s="274"/>
      <c r="J161" s="274"/>
      <c r="K161" s="274"/>
      <c r="L161" s="274"/>
      <c r="M161" s="274"/>
      <c r="N161" s="274"/>
      <c r="O161" s="274"/>
      <c r="P161" s="274"/>
    </row>
    <row r="162" spans="1:16" ht="22.5" customHeight="1">
      <c r="A162" s="306" t="s">
        <v>1295</v>
      </c>
      <c r="B162" s="319"/>
      <c r="C162" s="319"/>
      <c r="D162" s="319"/>
      <c r="E162" s="319"/>
      <c r="F162" s="319"/>
      <c r="G162" s="319"/>
      <c r="H162" s="319"/>
      <c r="I162" s="319"/>
      <c r="J162" s="319"/>
      <c r="K162" s="319"/>
      <c r="L162" s="319"/>
      <c r="M162" s="319"/>
      <c r="N162" s="319"/>
      <c r="O162" s="319"/>
      <c r="P162" s="319"/>
    </row>
    <row r="163" spans="1:16" ht="20.25">
      <c r="A163" s="318" t="s">
        <v>129</v>
      </c>
      <c r="B163" s="318"/>
      <c r="C163" s="318"/>
      <c r="D163" s="318"/>
      <c r="E163" s="318"/>
      <c r="F163" s="318"/>
      <c r="G163" s="318"/>
      <c r="H163" s="318"/>
      <c r="I163" s="318"/>
      <c r="J163" s="318"/>
      <c r="K163" s="318"/>
      <c r="L163" s="318"/>
      <c r="M163" s="340"/>
      <c r="N163" s="340"/>
      <c r="O163" s="340"/>
      <c r="P163" s="340"/>
    </row>
    <row r="164" spans="1:16" ht="99.75">
      <c r="A164" s="24" t="s">
        <v>0</v>
      </c>
      <c r="B164" s="24" t="s">
        <v>53</v>
      </c>
      <c r="C164" s="24" t="s">
        <v>61</v>
      </c>
      <c r="D164" s="24" t="s">
        <v>62</v>
      </c>
      <c r="E164" s="24" t="s">
        <v>128</v>
      </c>
      <c r="F164" s="24" t="s">
        <v>56</v>
      </c>
      <c r="G164" s="25" t="s">
        <v>63</v>
      </c>
      <c r="H164" s="24" t="s">
        <v>130</v>
      </c>
      <c r="I164" s="24" t="s">
        <v>57</v>
      </c>
      <c r="J164" s="25" t="s">
        <v>64</v>
      </c>
      <c r="K164" s="26" t="s">
        <v>65</v>
      </c>
      <c r="L164" s="26" t="s">
        <v>59</v>
      </c>
      <c r="M164" s="340"/>
      <c r="N164" s="340"/>
      <c r="O164" s="340"/>
      <c r="P164" s="340"/>
    </row>
    <row r="165" spans="1:16">
      <c r="A165" s="82">
        <v>1</v>
      </c>
      <c r="B165" s="82">
        <v>2</v>
      </c>
      <c r="C165" s="82">
        <v>3</v>
      </c>
      <c r="D165" s="82">
        <v>4</v>
      </c>
      <c r="E165" s="82">
        <v>5</v>
      </c>
      <c r="F165" s="82">
        <v>6</v>
      </c>
      <c r="G165" s="82">
        <v>7</v>
      </c>
      <c r="H165" s="82">
        <v>8</v>
      </c>
      <c r="I165" s="25">
        <v>9</v>
      </c>
      <c r="J165" s="82">
        <v>10</v>
      </c>
      <c r="K165" s="82">
        <v>11</v>
      </c>
      <c r="L165" s="82">
        <v>12</v>
      </c>
      <c r="M165" s="340"/>
      <c r="N165" s="340"/>
      <c r="O165" s="340"/>
      <c r="P165" s="340"/>
    </row>
    <row r="166" spans="1:16" ht="30">
      <c r="A166" s="155">
        <v>1</v>
      </c>
      <c r="B166" s="154" t="s">
        <v>873</v>
      </c>
      <c r="C166" s="154"/>
      <c r="D166" s="154" t="s">
        <v>874</v>
      </c>
      <c r="E166" s="155">
        <v>1078</v>
      </c>
      <c r="F166" s="155" t="s">
        <v>48</v>
      </c>
      <c r="G166" s="155" t="s">
        <v>875</v>
      </c>
      <c r="H166" s="155">
        <v>0.27</v>
      </c>
      <c r="I166" s="155" t="s">
        <v>876</v>
      </c>
      <c r="J166" s="308" t="s">
        <v>877</v>
      </c>
      <c r="K166" s="309"/>
      <c r="L166" s="310"/>
      <c r="M166" s="340"/>
      <c r="N166" s="340"/>
      <c r="O166" s="340"/>
      <c r="P166" s="340"/>
    </row>
    <row r="167" spans="1:16" ht="15" customHeight="1">
      <c r="A167" s="301"/>
      <c r="B167" s="301"/>
      <c r="C167" s="301"/>
      <c r="D167" s="301"/>
      <c r="E167" s="301"/>
      <c r="F167" s="301"/>
      <c r="G167" s="301"/>
      <c r="H167" s="301"/>
      <c r="I167" s="301"/>
      <c r="J167" s="301"/>
      <c r="K167" s="301"/>
      <c r="L167" s="301"/>
      <c r="M167" s="340"/>
      <c r="N167" s="340"/>
      <c r="O167" s="340"/>
      <c r="P167" s="340"/>
    </row>
    <row r="168" spans="1:16" ht="28.5">
      <c r="A168" s="314" t="s">
        <v>66</v>
      </c>
      <c r="B168" s="314"/>
      <c r="C168" s="314"/>
      <c r="D168" s="314"/>
      <c r="E168" s="314"/>
      <c r="F168" s="314"/>
      <c r="G168" s="314"/>
      <c r="H168" s="314"/>
      <c r="I168" s="314"/>
      <c r="J168" s="314"/>
      <c r="K168" s="314"/>
      <c r="L168" s="314"/>
      <c r="M168" s="314"/>
      <c r="N168" s="314"/>
      <c r="O168" s="314"/>
      <c r="P168" s="61" t="s">
        <v>60</v>
      </c>
    </row>
    <row r="169" spans="1:16">
      <c r="A169" s="311">
        <v>13</v>
      </c>
      <c r="B169" s="312"/>
      <c r="C169" s="312"/>
      <c r="D169" s="312"/>
      <c r="E169" s="312"/>
      <c r="F169" s="312"/>
      <c r="G169" s="312"/>
      <c r="H169" s="312"/>
      <c r="I169" s="312"/>
      <c r="J169" s="312"/>
      <c r="K169" s="312"/>
      <c r="L169" s="312"/>
      <c r="M169" s="312"/>
      <c r="N169" s="312"/>
      <c r="O169" s="313"/>
      <c r="P169" s="24">
        <v>14</v>
      </c>
    </row>
    <row r="170" spans="1:16" ht="15">
      <c r="A170" s="311" t="s">
        <v>67</v>
      </c>
      <c r="B170" s="312"/>
      <c r="C170" s="313"/>
      <c r="D170" s="311" t="s">
        <v>68</v>
      </c>
      <c r="E170" s="312"/>
      <c r="F170" s="313"/>
      <c r="G170" s="311" t="s">
        <v>69</v>
      </c>
      <c r="H170" s="312"/>
      <c r="I170" s="313"/>
      <c r="J170" s="311" t="s">
        <v>70</v>
      </c>
      <c r="K170" s="312"/>
      <c r="L170" s="313"/>
      <c r="M170" s="311" t="s">
        <v>71</v>
      </c>
      <c r="N170" s="312"/>
      <c r="O170" s="313"/>
      <c r="P170" s="56"/>
    </row>
    <row r="171" spans="1:16" ht="15">
      <c r="A171" s="10" t="s">
        <v>72</v>
      </c>
      <c r="B171" s="10" t="s">
        <v>73</v>
      </c>
      <c r="C171" s="55" t="s">
        <v>45</v>
      </c>
      <c r="D171" s="10" t="s">
        <v>72</v>
      </c>
      <c r="E171" s="10" t="s">
        <v>73</v>
      </c>
      <c r="F171" s="55" t="s">
        <v>45</v>
      </c>
      <c r="G171" s="10" t="s">
        <v>72</v>
      </c>
      <c r="H171" s="10" t="s">
        <v>73</v>
      </c>
      <c r="I171" s="55" t="s">
        <v>45</v>
      </c>
      <c r="J171" s="10" t="s">
        <v>72</v>
      </c>
      <c r="K171" s="10" t="s">
        <v>73</v>
      </c>
      <c r="L171" s="55" t="s">
        <v>45</v>
      </c>
      <c r="M171" s="10" t="s">
        <v>72</v>
      </c>
      <c r="N171" s="10" t="s">
        <v>73</v>
      </c>
      <c r="O171" s="55" t="s">
        <v>45</v>
      </c>
      <c r="P171" s="16"/>
    </row>
    <row r="172" spans="1:16" ht="15">
      <c r="A172" s="38"/>
      <c r="B172" s="38"/>
      <c r="C172" s="38"/>
      <c r="D172" s="38"/>
      <c r="E172" s="38"/>
      <c r="F172" s="38"/>
      <c r="G172" s="38"/>
      <c r="H172" s="38"/>
      <c r="I172" s="38"/>
      <c r="J172" s="38"/>
      <c r="K172" s="38"/>
      <c r="L172" s="38"/>
      <c r="M172" s="38"/>
      <c r="N172" s="38"/>
      <c r="O172" s="38"/>
      <c r="P172" s="16"/>
    </row>
    <row r="173" spans="1:16" ht="15" customHeight="1">
      <c r="A173" s="311" t="s">
        <v>74</v>
      </c>
      <c r="B173" s="312"/>
      <c r="C173" s="313"/>
      <c r="D173" s="311" t="s">
        <v>75</v>
      </c>
      <c r="E173" s="312"/>
      <c r="F173" s="313"/>
      <c r="G173" s="311" t="s">
        <v>76</v>
      </c>
      <c r="H173" s="312"/>
      <c r="I173" s="313"/>
      <c r="J173" s="385"/>
      <c r="K173" s="386"/>
      <c r="L173" s="386"/>
      <c r="M173" s="386"/>
      <c r="N173" s="386"/>
      <c r="O173" s="387"/>
      <c r="P173" s="16"/>
    </row>
    <row r="174" spans="1:16" ht="15">
      <c r="A174" s="10" t="s">
        <v>72</v>
      </c>
      <c r="B174" s="10" t="s">
        <v>73</v>
      </c>
      <c r="C174" s="55" t="s">
        <v>45</v>
      </c>
      <c r="D174" s="10" t="s">
        <v>72</v>
      </c>
      <c r="E174" s="10" t="s">
        <v>73</v>
      </c>
      <c r="F174" s="55" t="s">
        <v>45</v>
      </c>
      <c r="G174" s="10" t="s">
        <v>72</v>
      </c>
      <c r="H174" s="10" t="s">
        <v>73</v>
      </c>
      <c r="I174" s="55" t="s">
        <v>45</v>
      </c>
      <c r="J174" s="388"/>
      <c r="K174" s="389"/>
      <c r="L174" s="389"/>
      <c r="M174" s="389"/>
      <c r="N174" s="389"/>
      <c r="O174" s="390"/>
      <c r="P174" s="16"/>
    </row>
    <row r="175" spans="1:16" ht="15">
      <c r="A175" s="10"/>
      <c r="B175" s="10"/>
      <c r="C175" s="10"/>
      <c r="D175" s="56"/>
      <c r="E175" s="56"/>
      <c r="F175" s="56"/>
      <c r="G175" s="56"/>
      <c r="H175" s="56"/>
      <c r="I175" s="57"/>
      <c r="J175" s="391"/>
      <c r="K175" s="392"/>
      <c r="L175" s="392"/>
      <c r="M175" s="392"/>
      <c r="N175" s="392"/>
      <c r="O175" s="393"/>
      <c r="P175" s="16"/>
    </row>
    <row r="176" spans="1:16" ht="15">
      <c r="A176" s="328"/>
      <c r="B176" s="329"/>
      <c r="C176" s="329"/>
      <c r="D176" s="329"/>
      <c r="E176" s="329"/>
      <c r="F176" s="329"/>
      <c r="G176" s="329"/>
      <c r="H176" s="329"/>
      <c r="I176" s="329"/>
      <c r="J176" s="329"/>
      <c r="K176" s="329"/>
      <c r="L176" s="329"/>
      <c r="M176" s="329"/>
      <c r="N176" s="329"/>
      <c r="O176" s="329"/>
      <c r="P176" s="330"/>
    </row>
    <row r="177" spans="1:16" ht="22.5">
      <c r="A177" s="384" t="s">
        <v>1296</v>
      </c>
      <c r="B177" s="384"/>
      <c r="C177" s="384"/>
      <c r="D177" s="384"/>
      <c r="E177" s="384"/>
      <c r="F177" s="384"/>
      <c r="G177" s="384"/>
      <c r="H177" s="384"/>
      <c r="I177" s="384"/>
      <c r="J177" s="384"/>
      <c r="K177" s="384"/>
      <c r="L177" s="384"/>
      <c r="M177" s="384"/>
      <c r="N177" s="384"/>
      <c r="O177" s="384"/>
      <c r="P177" s="384"/>
    </row>
    <row r="178" spans="1:16" ht="20.25">
      <c r="A178" s="403" t="s">
        <v>129</v>
      </c>
      <c r="B178" s="404"/>
      <c r="C178" s="404"/>
      <c r="D178" s="404"/>
      <c r="E178" s="404"/>
      <c r="F178" s="404"/>
      <c r="G178" s="404"/>
      <c r="H178" s="404"/>
      <c r="I178" s="404"/>
      <c r="J178" s="404"/>
      <c r="K178" s="404"/>
      <c r="L178" s="405"/>
      <c r="M178" s="11"/>
      <c r="N178" s="11"/>
      <c r="O178" s="13"/>
    </row>
    <row r="179" spans="1:16" ht="99.75">
      <c r="A179" s="28" t="s">
        <v>0</v>
      </c>
      <c r="B179" s="28" t="s">
        <v>53</v>
      </c>
      <c r="C179" s="28" t="s">
        <v>61</v>
      </c>
      <c r="D179" s="28" t="s">
        <v>62</v>
      </c>
      <c r="E179" s="28" t="s">
        <v>128</v>
      </c>
      <c r="F179" s="28" t="s">
        <v>56</v>
      </c>
      <c r="G179" s="29" t="s">
        <v>63</v>
      </c>
      <c r="H179" s="28" t="s">
        <v>130</v>
      </c>
      <c r="I179" s="28" t="s">
        <v>57</v>
      </c>
      <c r="J179" s="29" t="s">
        <v>64</v>
      </c>
      <c r="K179" s="30" t="s">
        <v>65</v>
      </c>
      <c r="L179" s="30" t="s">
        <v>59</v>
      </c>
      <c r="O179" s="13"/>
      <c r="P179" s="65"/>
    </row>
    <row r="180" spans="1:16" ht="15">
      <c r="A180" s="40">
        <v>1</v>
      </c>
      <c r="B180" s="40">
        <v>2</v>
      </c>
      <c r="C180" s="40">
        <v>3</v>
      </c>
      <c r="D180" s="40">
        <v>4</v>
      </c>
      <c r="E180" s="40">
        <v>5</v>
      </c>
      <c r="F180" s="40">
        <v>6</v>
      </c>
      <c r="G180" s="40">
        <v>7</v>
      </c>
      <c r="H180" s="40">
        <v>8</v>
      </c>
      <c r="I180" s="25">
        <v>9</v>
      </c>
      <c r="J180" s="40">
        <v>10</v>
      </c>
      <c r="K180" s="40">
        <v>11</v>
      </c>
      <c r="L180" s="41">
        <v>12</v>
      </c>
      <c r="M180" s="17"/>
      <c r="N180" s="13"/>
      <c r="O180" s="13"/>
      <c r="P180" s="80"/>
    </row>
    <row r="181" spans="1:16" ht="15">
      <c r="A181" s="289" t="s">
        <v>27</v>
      </c>
      <c r="B181" s="289"/>
      <c r="C181" s="289"/>
      <c r="D181" s="289"/>
      <c r="E181" s="289"/>
      <c r="F181" s="289"/>
      <c r="G181" s="289"/>
      <c r="H181" s="289"/>
      <c r="I181" s="289"/>
      <c r="J181" s="289"/>
      <c r="K181" s="289"/>
      <c r="L181" s="289"/>
      <c r="M181" s="17"/>
      <c r="N181" s="13"/>
      <c r="O181" s="13"/>
      <c r="P181" s="80"/>
    </row>
    <row r="182" spans="1:16" ht="15">
      <c r="A182" s="289"/>
      <c r="B182" s="289"/>
      <c r="C182" s="289"/>
      <c r="D182" s="289"/>
      <c r="E182" s="289"/>
      <c r="F182" s="289"/>
      <c r="G182" s="289"/>
      <c r="H182" s="289"/>
      <c r="I182" s="289"/>
      <c r="J182" s="289"/>
      <c r="K182" s="289"/>
      <c r="L182" s="289"/>
      <c r="M182" s="17"/>
      <c r="N182" s="13"/>
      <c r="O182" s="13"/>
      <c r="P182" s="80"/>
    </row>
    <row r="183" spans="1:16" ht="28.5">
      <c r="A183" s="311" t="s">
        <v>66</v>
      </c>
      <c r="B183" s="312"/>
      <c r="C183" s="312"/>
      <c r="D183" s="312"/>
      <c r="E183" s="312"/>
      <c r="F183" s="312"/>
      <c r="G183" s="312"/>
      <c r="H183" s="312"/>
      <c r="I183" s="312"/>
      <c r="J183" s="312"/>
      <c r="K183" s="312"/>
      <c r="L183" s="312"/>
      <c r="M183" s="312"/>
      <c r="N183" s="312"/>
      <c r="O183" s="313"/>
      <c r="P183" s="61" t="s">
        <v>60</v>
      </c>
    </row>
    <row r="184" spans="1:16">
      <c r="A184" s="311">
        <v>13</v>
      </c>
      <c r="B184" s="312"/>
      <c r="C184" s="312"/>
      <c r="D184" s="312"/>
      <c r="E184" s="312"/>
      <c r="F184" s="312"/>
      <c r="G184" s="312"/>
      <c r="H184" s="312"/>
      <c r="I184" s="312"/>
      <c r="J184" s="312"/>
      <c r="K184" s="312"/>
      <c r="L184" s="312"/>
      <c r="M184" s="312"/>
      <c r="N184" s="312"/>
      <c r="O184" s="313"/>
      <c r="P184" s="24">
        <v>14</v>
      </c>
    </row>
    <row r="185" spans="1:16" ht="15">
      <c r="A185" s="311" t="s">
        <v>67</v>
      </c>
      <c r="B185" s="312"/>
      <c r="C185" s="313"/>
      <c r="D185" s="311" t="s">
        <v>68</v>
      </c>
      <c r="E185" s="312"/>
      <c r="F185" s="313"/>
      <c r="G185" s="311" t="s">
        <v>69</v>
      </c>
      <c r="H185" s="312"/>
      <c r="I185" s="313"/>
      <c r="J185" s="314" t="s">
        <v>70</v>
      </c>
      <c r="K185" s="314"/>
      <c r="L185" s="314"/>
      <c r="M185" s="314" t="s">
        <v>71</v>
      </c>
      <c r="N185" s="314"/>
      <c r="O185" s="314"/>
      <c r="P185" s="65"/>
    </row>
    <row r="186" spans="1:16" ht="15">
      <c r="A186" s="10" t="s">
        <v>72</v>
      </c>
      <c r="B186" s="10" t="s">
        <v>73</v>
      </c>
      <c r="C186" s="55" t="s">
        <v>45</v>
      </c>
      <c r="D186" s="10" t="s">
        <v>72</v>
      </c>
      <c r="E186" s="10" t="s">
        <v>73</v>
      </c>
      <c r="F186" s="55" t="s">
        <v>45</v>
      </c>
      <c r="G186" s="10" t="s">
        <v>72</v>
      </c>
      <c r="H186" s="10" t="s">
        <v>73</v>
      </c>
      <c r="I186" s="55" t="s">
        <v>45</v>
      </c>
      <c r="J186" s="188" t="s">
        <v>72</v>
      </c>
      <c r="K186" s="188" t="s">
        <v>73</v>
      </c>
      <c r="L186" s="192" t="s">
        <v>45</v>
      </c>
      <c r="M186" s="188" t="s">
        <v>72</v>
      </c>
      <c r="N186" s="188" t="s">
        <v>73</v>
      </c>
      <c r="O186" s="192" t="s">
        <v>45</v>
      </c>
      <c r="P186" s="13"/>
    </row>
    <row r="187" spans="1:16" ht="15">
      <c r="A187" s="84"/>
      <c r="B187" s="84"/>
      <c r="C187" s="84"/>
      <c r="D187" s="84"/>
      <c r="E187" s="84"/>
      <c r="F187" s="84"/>
      <c r="G187" s="84"/>
      <c r="H187" s="84"/>
      <c r="I187" s="84"/>
      <c r="J187" s="159"/>
      <c r="K187" s="159"/>
      <c r="L187" s="159"/>
      <c r="M187" s="159"/>
      <c r="N187" s="159"/>
      <c r="O187" s="159"/>
      <c r="P187" s="197"/>
    </row>
    <row r="188" spans="1:16" ht="15" customHeight="1">
      <c r="A188" s="311" t="s">
        <v>74</v>
      </c>
      <c r="B188" s="312"/>
      <c r="C188" s="313"/>
      <c r="D188" s="311" t="s">
        <v>75</v>
      </c>
      <c r="E188" s="312"/>
      <c r="F188" s="313"/>
      <c r="G188" s="311" t="s">
        <v>76</v>
      </c>
      <c r="H188" s="312"/>
      <c r="I188" s="313"/>
      <c r="J188" s="258"/>
      <c r="K188" s="258"/>
      <c r="L188" s="258"/>
      <c r="M188" s="258"/>
      <c r="N188" s="258"/>
      <c r="O188" s="258"/>
      <c r="P188" s="13"/>
    </row>
    <row r="189" spans="1:16" ht="15">
      <c r="A189" s="10" t="s">
        <v>72</v>
      </c>
      <c r="B189" s="10" t="s">
        <v>73</v>
      </c>
      <c r="C189" s="55" t="s">
        <v>45</v>
      </c>
      <c r="D189" s="10" t="s">
        <v>72</v>
      </c>
      <c r="E189" s="10" t="s">
        <v>73</v>
      </c>
      <c r="F189" s="55" t="s">
        <v>45</v>
      </c>
      <c r="G189" s="10" t="s">
        <v>72</v>
      </c>
      <c r="H189" s="10" t="s">
        <v>73</v>
      </c>
      <c r="I189" s="55" t="s">
        <v>45</v>
      </c>
      <c r="J189" s="258"/>
      <c r="K189" s="258"/>
      <c r="L189" s="258"/>
      <c r="M189" s="258"/>
      <c r="N189" s="258"/>
      <c r="O189" s="258"/>
      <c r="P189" s="13"/>
    </row>
    <row r="190" spans="1:16" ht="15.75">
      <c r="A190" s="169"/>
      <c r="B190" s="169"/>
      <c r="C190" s="169"/>
      <c r="D190" s="169"/>
      <c r="E190" s="169"/>
      <c r="F190" s="169"/>
      <c r="G190" s="169"/>
      <c r="H190" s="169"/>
      <c r="I190" s="169"/>
      <c r="J190" s="368"/>
      <c r="K190" s="368"/>
      <c r="L190" s="368"/>
      <c r="M190" s="368"/>
      <c r="N190" s="368"/>
      <c r="O190" s="368"/>
      <c r="P190" s="13"/>
    </row>
    <row r="191" spans="1:16">
      <c r="A191" s="301"/>
      <c r="B191" s="301"/>
      <c r="C191" s="301"/>
      <c r="D191" s="301"/>
      <c r="E191" s="301"/>
      <c r="F191" s="301"/>
      <c r="G191" s="301"/>
      <c r="H191" s="301"/>
      <c r="I191" s="301"/>
      <c r="J191" s="301"/>
      <c r="K191" s="301"/>
      <c r="L191" s="301"/>
      <c r="M191" s="301"/>
      <c r="N191" s="301"/>
      <c r="O191" s="301"/>
      <c r="P191" s="301"/>
    </row>
    <row r="192" spans="1:16" ht="22.5">
      <c r="A192" s="384" t="s">
        <v>1297</v>
      </c>
      <c r="B192" s="384"/>
      <c r="C192" s="384"/>
      <c r="D192" s="384"/>
      <c r="E192" s="384"/>
      <c r="F192" s="384"/>
      <c r="G192" s="384"/>
      <c r="H192" s="384"/>
      <c r="I192" s="384"/>
      <c r="J192" s="384"/>
      <c r="K192" s="384"/>
      <c r="L192" s="384"/>
      <c r="M192" s="384"/>
      <c r="N192" s="384"/>
      <c r="O192" s="384"/>
      <c r="P192" s="384"/>
    </row>
    <row r="193" spans="1:16" ht="20.25">
      <c r="A193" s="403" t="s">
        <v>129</v>
      </c>
      <c r="B193" s="404"/>
      <c r="C193" s="404"/>
      <c r="D193" s="404"/>
      <c r="E193" s="404"/>
      <c r="F193" s="404"/>
      <c r="G193" s="404"/>
      <c r="H193" s="404"/>
      <c r="I193" s="404"/>
      <c r="J193" s="404"/>
      <c r="K193" s="404"/>
      <c r="L193" s="405"/>
      <c r="M193" s="11"/>
      <c r="N193" s="11"/>
      <c r="O193" s="13"/>
    </row>
    <row r="194" spans="1:16" ht="99.75">
      <c r="A194" s="28" t="s">
        <v>0</v>
      </c>
      <c r="B194" s="28" t="s">
        <v>53</v>
      </c>
      <c r="C194" s="28" t="s">
        <v>61</v>
      </c>
      <c r="D194" s="28" t="s">
        <v>62</v>
      </c>
      <c r="E194" s="28" t="s">
        <v>128</v>
      </c>
      <c r="F194" s="28" t="s">
        <v>56</v>
      </c>
      <c r="G194" s="29" t="s">
        <v>63</v>
      </c>
      <c r="H194" s="28" t="s">
        <v>130</v>
      </c>
      <c r="I194" s="28" t="s">
        <v>57</v>
      </c>
      <c r="J194" s="29" t="s">
        <v>64</v>
      </c>
      <c r="K194" s="30" t="s">
        <v>65</v>
      </c>
      <c r="L194" s="30" t="s">
        <v>59</v>
      </c>
      <c r="O194" s="13"/>
      <c r="P194" s="65"/>
    </row>
    <row r="195" spans="1:16" ht="15">
      <c r="A195" s="40">
        <v>1</v>
      </c>
      <c r="B195" s="40">
        <v>2</v>
      </c>
      <c r="C195" s="40">
        <v>3</v>
      </c>
      <c r="D195" s="40">
        <v>4</v>
      </c>
      <c r="E195" s="40">
        <v>5</v>
      </c>
      <c r="F195" s="40">
        <v>6</v>
      </c>
      <c r="G195" s="40">
        <v>7</v>
      </c>
      <c r="H195" s="40">
        <v>8</v>
      </c>
      <c r="I195" s="25">
        <v>9</v>
      </c>
      <c r="J195" s="40">
        <v>10</v>
      </c>
      <c r="K195" s="40">
        <v>11</v>
      </c>
      <c r="L195" s="41">
        <v>12</v>
      </c>
      <c r="M195" s="17"/>
      <c r="N195" s="13"/>
      <c r="O195" s="13"/>
      <c r="P195" s="80"/>
    </row>
    <row r="196" spans="1:16" ht="15">
      <c r="A196" s="267" t="s">
        <v>27</v>
      </c>
      <c r="B196" s="267"/>
      <c r="C196" s="267"/>
      <c r="D196" s="267"/>
      <c r="E196" s="267"/>
      <c r="F196" s="267"/>
      <c r="G196" s="267"/>
      <c r="H196" s="267"/>
      <c r="I196" s="267"/>
      <c r="J196" s="267"/>
      <c r="K196" s="267"/>
      <c r="L196" s="267"/>
      <c r="M196" s="13"/>
      <c r="N196" s="13"/>
      <c r="O196" s="13"/>
      <c r="P196" s="80"/>
    </row>
    <row r="197" spans="1:16" ht="15">
      <c r="A197" s="267"/>
      <c r="B197" s="267"/>
      <c r="C197" s="267"/>
      <c r="D197" s="267"/>
      <c r="E197" s="267"/>
      <c r="F197" s="267"/>
      <c r="G197" s="267"/>
      <c r="H197" s="267"/>
      <c r="I197" s="267"/>
      <c r="J197" s="267"/>
      <c r="K197" s="267"/>
      <c r="L197" s="267"/>
      <c r="M197" s="13"/>
      <c r="N197" s="13"/>
      <c r="O197" s="13"/>
      <c r="P197" s="80"/>
    </row>
    <row r="198" spans="1:16" ht="28.5">
      <c r="A198" s="314" t="s">
        <v>66</v>
      </c>
      <c r="B198" s="314"/>
      <c r="C198" s="314"/>
      <c r="D198" s="314"/>
      <c r="E198" s="314"/>
      <c r="F198" s="314"/>
      <c r="G198" s="314"/>
      <c r="H198" s="314"/>
      <c r="I198" s="314"/>
      <c r="J198" s="314"/>
      <c r="K198" s="314"/>
      <c r="L198" s="314"/>
      <c r="M198" s="314"/>
      <c r="N198" s="314"/>
      <c r="O198" s="314"/>
      <c r="P198" s="61" t="s">
        <v>60</v>
      </c>
    </row>
    <row r="199" spans="1:16">
      <c r="A199" s="369">
        <v>13</v>
      </c>
      <c r="B199" s="370"/>
      <c r="C199" s="370"/>
      <c r="D199" s="370"/>
      <c r="E199" s="370"/>
      <c r="F199" s="370"/>
      <c r="G199" s="370"/>
      <c r="H199" s="370"/>
      <c r="I199" s="370"/>
      <c r="J199" s="370"/>
      <c r="K199" s="370"/>
      <c r="L199" s="370"/>
      <c r="M199" s="370"/>
      <c r="N199" s="370"/>
      <c r="O199" s="371"/>
      <c r="P199" s="24">
        <v>14</v>
      </c>
    </row>
    <row r="200" spans="1:16" ht="15">
      <c r="A200" s="311" t="s">
        <v>67</v>
      </c>
      <c r="B200" s="312"/>
      <c r="C200" s="313"/>
      <c r="D200" s="311" t="s">
        <v>68</v>
      </c>
      <c r="E200" s="312"/>
      <c r="F200" s="313"/>
      <c r="G200" s="311" t="s">
        <v>69</v>
      </c>
      <c r="H200" s="312"/>
      <c r="I200" s="313"/>
      <c r="J200" s="314" t="s">
        <v>70</v>
      </c>
      <c r="K200" s="314"/>
      <c r="L200" s="314"/>
      <c r="M200" s="314" t="s">
        <v>71</v>
      </c>
      <c r="N200" s="314"/>
      <c r="O200" s="314"/>
      <c r="P200" s="65"/>
    </row>
    <row r="201" spans="1:16" ht="15">
      <c r="A201" s="10" t="s">
        <v>72</v>
      </c>
      <c r="B201" s="10" t="s">
        <v>73</v>
      </c>
      <c r="C201" s="55" t="s">
        <v>45</v>
      </c>
      <c r="D201" s="10" t="s">
        <v>72</v>
      </c>
      <c r="E201" s="10" t="s">
        <v>73</v>
      </c>
      <c r="F201" s="55" t="s">
        <v>45</v>
      </c>
      <c r="G201" s="10" t="s">
        <v>72</v>
      </c>
      <c r="H201" s="10" t="s">
        <v>73</v>
      </c>
      <c r="I201" s="55" t="s">
        <v>45</v>
      </c>
      <c r="J201" s="188" t="s">
        <v>72</v>
      </c>
      <c r="K201" s="188" t="s">
        <v>73</v>
      </c>
      <c r="L201" s="192" t="s">
        <v>45</v>
      </c>
      <c r="M201" s="188" t="s">
        <v>72</v>
      </c>
      <c r="N201" s="188" t="s">
        <v>73</v>
      </c>
      <c r="O201" s="192" t="s">
        <v>45</v>
      </c>
      <c r="P201" s="13"/>
    </row>
    <row r="202" spans="1:16">
      <c r="A202" s="88"/>
      <c r="B202" s="88"/>
      <c r="C202" s="88"/>
      <c r="D202" s="88"/>
      <c r="E202" s="88"/>
      <c r="F202" s="88"/>
      <c r="G202" s="88"/>
      <c r="H202" s="88"/>
      <c r="I202" s="88"/>
      <c r="J202" s="88"/>
      <c r="K202" s="88"/>
      <c r="L202" s="88"/>
      <c r="M202" s="88"/>
      <c r="N202" s="88"/>
      <c r="O202" s="88"/>
      <c r="P202" s="13"/>
    </row>
    <row r="203" spans="1:16" ht="15" customHeight="1">
      <c r="A203" s="311" t="s">
        <v>74</v>
      </c>
      <c r="B203" s="312"/>
      <c r="C203" s="313"/>
      <c r="D203" s="311" t="s">
        <v>75</v>
      </c>
      <c r="E203" s="312"/>
      <c r="F203" s="313"/>
      <c r="G203" s="311" t="s">
        <v>76</v>
      </c>
      <c r="H203" s="312"/>
      <c r="I203" s="313"/>
      <c r="J203" s="258"/>
      <c r="K203" s="258"/>
      <c r="L203" s="258"/>
      <c r="M203" s="258"/>
      <c r="N203" s="258"/>
      <c r="O203" s="258"/>
      <c r="P203" s="13"/>
    </row>
    <row r="204" spans="1:16" ht="15">
      <c r="A204" s="10" t="s">
        <v>72</v>
      </c>
      <c r="B204" s="10" t="s">
        <v>73</v>
      </c>
      <c r="C204" s="55" t="s">
        <v>45</v>
      </c>
      <c r="D204" s="10" t="s">
        <v>72</v>
      </c>
      <c r="E204" s="10" t="s">
        <v>73</v>
      </c>
      <c r="F204" s="55" t="s">
        <v>45</v>
      </c>
      <c r="G204" s="10" t="s">
        <v>72</v>
      </c>
      <c r="H204" s="10" t="s">
        <v>73</v>
      </c>
      <c r="I204" s="55" t="s">
        <v>45</v>
      </c>
      <c r="J204" s="258"/>
      <c r="K204" s="258"/>
      <c r="L204" s="258"/>
      <c r="M204" s="258"/>
      <c r="N204" s="258"/>
      <c r="O204" s="258"/>
      <c r="P204" s="13"/>
    </row>
    <row r="205" spans="1:16" ht="15" customHeight="1">
      <c r="A205" s="196"/>
      <c r="B205" s="196"/>
      <c r="C205" s="196"/>
      <c r="D205" s="196"/>
      <c r="E205" s="196"/>
      <c r="F205" s="196"/>
      <c r="G205" s="196"/>
      <c r="H205" s="196"/>
      <c r="I205" s="196"/>
      <c r="J205" s="368"/>
      <c r="K205" s="368"/>
      <c r="L205" s="368"/>
      <c r="M205" s="368"/>
      <c r="N205" s="368"/>
      <c r="O205" s="368"/>
      <c r="P205" s="13"/>
    </row>
    <row r="206" spans="1:16" ht="15" customHeight="1">
      <c r="A206" s="380"/>
      <c r="B206" s="380"/>
      <c r="C206" s="380"/>
      <c r="D206" s="380"/>
      <c r="E206" s="380"/>
      <c r="F206" s="380"/>
      <c r="G206" s="380"/>
      <c r="H206" s="380"/>
      <c r="I206" s="380"/>
      <c r="J206" s="380"/>
      <c r="K206" s="380"/>
      <c r="L206" s="380"/>
      <c r="M206" s="380"/>
      <c r="N206" s="380"/>
      <c r="O206" s="380"/>
      <c r="P206" s="380"/>
    </row>
    <row r="207" spans="1:16" ht="22.5">
      <c r="A207" s="406" t="s">
        <v>1282</v>
      </c>
      <c r="B207" s="407"/>
      <c r="C207" s="407"/>
      <c r="D207" s="407"/>
      <c r="E207" s="407"/>
      <c r="F207" s="407"/>
      <c r="G207" s="407"/>
      <c r="H207" s="407"/>
      <c r="I207" s="407"/>
      <c r="J207" s="407"/>
      <c r="K207" s="407"/>
      <c r="L207" s="408"/>
      <c r="M207" s="11"/>
      <c r="N207" s="11"/>
      <c r="O207" s="13"/>
    </row>
    <row r="208" spans="1:16" ht="20.25">
      <c r="A208" s="315" t="s">
        <v>129</v>
      </c>
      <c r="B208" s="316"/>
      <c r="C208" s="316"/>
      <c r="D208" s="316"/>
      <c r="E208" s="316"/>
      <c r="F208" s="316"/>
      <c r="G208" s="316"/>
      <c r="H208" s="316"/>
      <c r="I208" s="316"/>
      <c r="J208" s="316"/>
      <c r="K208" s="316"/>
      <c r="L208" s="317"/>
      <c r="M208" s="11"/>
      <c r="N208" s="11"/>
      <c r="O208" s="13"/>
      <c r="P208" s="13"/>
    </row>
    <row r="209" spans="1:16" ht="99.75">
      <c r="A209" s="28" t="s">
        <v>0</v>
      </c>
      <c r="B209" s="28" t="s">
        <v>53</v>
      </c>
      <c r="C209" s="28" t="s">
        <v>61</v>
      </c>
      <c r="D209" s="28" t="s">
        <v>62</v>
      </c>
      <c r="E209" s="28" t="s">
        <v>128</v>
      </c>
      <c r="F209" s="28" t="s">
        <v>56</v>
      </c>
      <c r="G209" s="29" t="s">
        <v>63</v>
      </c>
      <c r="H209" s="28" t="s">
        <v>130</v>
      </c>
      <c r="I209" s="28" t="s">
        <v>57</v>
      </c>
      <c r="J209" s="29" t="s">
        <v>64</v>
      </c>
      <c r="K209" s="30" t="s">
        <v>65</v>
      </c>
      <c r="L209" s="30" t="s">
        <v>59</v>
      </c>
      <c r="N209" s="13"/>
      <c r="O209" s="13"/>
      <c r="P209" s="65"/>
    </row>
    <row r="210" spans="1:16">
      <c r="A210" s="40">
        <v>1</v>
      </c>
      <c r="B210" s="40">
        <v>2</v>
      </c>
      <c r="C210" s="40">
        <v>3</v>
      </c>
      <c r="D210" s="40">
        <v>4</v>
      </c>
      <c r="E210" s="40">
        <v>5</v>
      </c>
      <c r="F210" s="40">
        <v>6</v>
      </c>
      <c r="G210" s="40">
        <v>7</v>
      </c>
      <c r="H210" s="98">
        <v>8</v>
      </c>
      <c r="I210" s="25">
        <v>9</v>
      </c>
      <c r="J210" s="40">
        <v>10</v>
      </c>
      <c r="K210" s="40">
        <v>11</v>
      </c>
      <c r="L210" s="41">
        <v>12</v>
      </c>
      <c r="M210" s="17"/>
      <c r="N210" s="13"/>
      <c r="O210" s="13"/>
      <c r="P210" s="13"/>
    </row>
    <row r="211" spans="1:16" ht="15">
      <c r="A211" s="267" t="s">
        <v>27</v>
      </c>
      <c r="B211" s="267"/>
      <c r="C211" s="267"/>
      <c r="D211" s="267"/>
      <c r="E211" s="267"/>
      <c r="F211" s="267"/>
      <c r="G211" s="267"/>
      <c r="H211" s="267"/>
      <c r="I211" s="267"/>
      <c r="J211" s="267"/>
      <c r="K211" s="267"/>
      <c r="L211" s="267"/>
      <c r="M211" s="17"/>
      <c r="N211" s="13"/>
      <c r="O211" s="13"/>
      <c r="P211" s="13"/>
    </row>
    <row r="212" spans="1:16" ht="15">
      <c r="A212" s="415"/>
      <c r="B212" s="416"/>
      <c r="C212" s="416"/>
      <c r="D212" s="416"/>
      <c r="E212" s="416"/>
      <c r="F212" s="416"/>
      <c r="G212" s="416"/>
      <c r="H212" s="416"/>
      <c r="I212" s="416"/>
      <c r="J212" s="416"/>
      <c r="K212" s="416"/>
      <c r="L212" s="417"/>
      <c r="M212" s="17"/>
      <c r="N212" s="13"/>
      <c r="O212" s="13"/>
      <c r="P212" s="13"/>
    </row>
    <row r="213" spans="1:16" ht="28.5">
      <c r="A213" s="314" t="s">
        <v>66</v>
      </c>
      <c r="B213" s="314"/>
      <c r="C213" s="314"/>
      <c r="D213" s="314"/>
      <c r="E213" s="314"/>
      <c r="F213" s="314"/>
      <c r="G213" s="314"/>
      <c r="H213" s="314"/>
      <c r="I213" s="314"/>
      <c r="J213" s="314"/>
      <c r="K213" s="314"/>
      <c r="L213" s="314"/>
      <c r="M213" s="314"/>
      <c r="N213" s="314"/>
      <c r="O213" s="314"/>
      <c r="P213" s="61" t="s">
        <v>60</v>
      </c>
    </row>
    <row r="214" spans="1:16">
      <c r="A214" s="314">
        <v>13</v>
      </c>
      <c r="B214" s="314"/>
      <c r="C214" s="314"/>
      <c r="D214" s="314"/>
      <c r="E214" s="314"/>
      <c r="F214" s="314"/>
      <c r="G214" s="314"/>
      <c r="H214" s="314"/>
      <c r="I214" s="314"/>
      <c r="J214" s="314"/>
      <c r="K214" s="314"/>
      <c r="L214" s="314"/>
      <c r="M214" s="314"/>
      <c r="N214" s="314"/>
      <c r="O214" s="314"/>
      <c r="P214" s="24">
        <v>14</v>
      </c>
    </row>
    <row r="215" spans="1:16" ht="15">
      <c r="A215" s="314" t="s">
        <v>67</v>
      </c>
      <c r="B215" s="314"/>
      <c r="C215" s="314"/>
      <c r="D215" s="314" t="s">
        <v>68</v>
      </c>
      <c r="E215" s="314"/>
      <c r="F215" s="314"/>
      <c r="G215" s="314" t="s">
        <v>69</v>
      </c>
      <c r="H215" s="314"/>
      <c r="I215" s="314"/>
      <c r="J215" s="314" t="s">
        <v>70</v>
      </c>
      <c r="K215" s="314"/>
      <c r="L215" s="314"/>
      <c r="M215" s="314" t="s">
        <v>71</v>
      </c>
      <c r="N215" s="314"/>
      <c r="O215" s="314"/>
      <c r="P215" s="65"/>
    </row>
    <row r="216" spans="1:16" ht="15">
      <c r="A216" s="188" t="s">
        <v>72</v>
      </c>
      <c r="B216" s="188" t="s">
        <v>73</v>
      </c>
      <c r="C216" s="192" t="s">
        <v>45</v>
      </c>
      <c r="D216" s="188" t="s">
        <v>72</v>
      </c>
      <c r="E216" s="188" t="s">
        <v>73</v>
      </c>
      <c r="F216" s="192" t="s">
        <v>45</v>
      </c>
      <c r="G216" s="188" t="s">
        <v>72</v>
      </c>
      <c r="H216" s="188" t="s">
        <v>73</v>
      </c>
      <c r="I216" s="192" t="s">
        <v>45</v>
      </c>
      <c r="J216" s="188" t="s">
        <v>72</v>
      </c>
      <c r="K216" s="188" t="s">
        <v>73</v>
      </c>
      <c r="L216" s="192" t="s">
        <v>45</v>
      </c>
      <c r="M216" s="188" t="s">
        <v>72</v>
      </c>
      <c r="N216" s="188" t="s">
        <v>73</v>
      </c>
      <c r="O216" s="192" t="s">
        <v>45</v>
      </c>
      <c r="P216" s="13"/>
    </row>
    <row r="217" spans="1:16" ht="15.75" customHeight="1">
      <c r="A217" s="91"/>
      <c r="B217" s="86"/>
      <c r="C217" s="86"/>
      <c r="D217" s="86"/>
      <c r="E217" s="86"/>
      <c r="F217" s="86"/>
      <c r="G217" s="86"/>
      <c r="H217" s="86"/>
      <c r="I217" s="86"/>
      <c r="J217" s="86"/>
      <c r="K217" s="86"/>
      <c r="L217" s="86"/>
      <c r="M217" s="86"/>
      <c r="N217" s="86"/>
      <c r="O217" s="86"/>
      <c r="P217" s="400"/>
    </row>
    <row r="218" spans="1:16" ht="15" customHeight="1">
      <c r="A218" s="311" t="s">
        <v>74</v>
      </c>
      <c r="B218" s="312"/>
      <c r="C218" s="313"/>
      <c r="D218" s="311" t="s">
        <v>75</v>
      </c>
      <c r="E218" s="312"/>
      <c r="F218" s="313"/>
      <c r="G218" s="311" t="s">
        <v>76</v>
      </c>
      <c r="H218" s="312"/>
      <c r="I218" s="313"/>
      <c r="J218" s="385"/>
      <c r="K218" s="386"/>
      <c r="L218" s="386"/>
      <c r="M218" s="386"/>
      <c r="N218" s="386"/>
      <c r="O218" s="387"/>
      <c r="P218" s="401"/>
    </row>
    <row r="219" spans="1:16" ht="15" customHeight="1">
      <c r="A219" s="10" t="s">
        <v>72</v>
      </c>
      <c r="B219" s="10" t="s">
        <v>73</v>
      </c>
      <c r="C219" s="55" t="s">
        <v>45</v>
      </c>
      <c r="D219" s="10" t="s">
        <v>72</v>
      </c>
      <c r="E219" s="10" t="s">
        <v>73</v>
      </c>
      <c r="F219" s="55" t="s">
        <v>45</v>
      </c>
      <c r="G219" s="10" t="s">
        <v>72</v>
      </c>
      <c r="H219" s="10" t="s">
        <v>73</v>
      </c>
      <c r="I219" s="55" t="s">
        <v>45</v>
      </c>
      <c r="J219" s="388"/>
      <c r="K219" s="389"/>
      <c r="L219" s="389"/>
      <c r="M219" s="389"/>
      <c r="N219" s="389"/>
      <c r="O219" s="390"/>
      <c r="P219" s="401"/>
    </row>
    <row r="220" spans="1:16" ht="15">
      <c r="A220" s="10"/>
      <c r="B220" s="10"/>
      <c r="C220" s="10"/>
      <c r="D220" s="56"/>
      <c r="E220" s="56"/>
      <c r="F220" s="56"/>
      <c r="G220" s="56"/>
      <c r="H220" s="56"/>
      <c r="I220" s="57"/>
      <c r="J220" s="391"/>
      <c r="K220" s="392"/>
      <c r="L220" s="392"/>
      <c r="M220" s="392"/>
      <c r="N220" s="392"/>
      <c r="O220" s="393"/>
      <c r="P220" s="402"/>
    </row>
    <row r="221" spans="1:16">
      <c r="A221" s="301"/>
      <c r="B221" s="301"/>
      <c r="C221" s="301"/>
      <c r="D221" s="301"/>
      <c r="E221" s="301"/>
      <c r="F221" s="301"/>
      <c r="G221" s="301"/>
      <c r="H221" s="301"/>
      <c r="I221" s="301"/>
      <c r="J221" s="301"/>
      <c r="K221" s="301"/>
      <c r="L221" s="301"/>
      <c r="M221" s="301"/>
      <c r="N221" s="301"/>
      <c r="O221" s="301"/>
      <c r="P221" s="301"/>
    </row>
    <row r="222" spans="1:16" ht="22.5">
      <c r="A222" s="362" t="s">
        <v>1283</v>
      </c>
      <c r="B222" s="363"/>
      <c r="C222" s="363"/>
      <c r="D222" s="363"/>
      <c r="E222" s="363"/>
      <c r="F222" s="363"/>
      <c r="G222" s="363"/>
      <c r="H222" s="363"/>
      <c r="I222" s="363"/>
      <c r="J222" s="363"/>
      <c r="K222" s="363"/>
      <c r="L222" s="364"/>
      <c r="M222" s="11"/>
      <c r="N222" s="11"/>
      <c r="O222" s="13"/>
    </row>
    <row r="223" spans="1:16" ht="20.25">
      <c r="A223" s="315" t="s">
        <v>129</v>
      </c>
      <c r="B223" s="316"/>
      <c r="C223" s="316"/>
      <c r="D223" s="316"/>
      <c r="E223" s="316"/>
      <c r="F223" s="316"/>
      <c r="G223" s="316"/>
      <c r="H223" s="316"/>
      <c r="I223" s="316"/>
      <c r="J223" s="316"/>
      <c r="K223" s="316"/>
      <c r="L223" s="317"/>
      <c r="M223" s="11"/>
      <c r="N223" s="11"/>
      <c r="O223" s="13"/>
      <c r="P223" s="13"/>
    </row>
    <row r="224" spans="1:16" ht="99.75">
      <c r="A224" s="28" t="s">
        <v>0</v>
      </c>
      <c r="B224" s="28" t="s">
        <v>53</v>
      </c>
      <c r="C224" s="28" t="s">
        <v>61</v>
      </c>
      <c r="D224" s="28" t="s">
        <v>62</v>
      </c>
      <c r="E224" s="28" t="s">
        <v>128</v>
      </c>
      <c r="F224" s="28" t="s">
        <v>56</v>
      </c>
      <c r="G224" s="29" t="s">
        <v>63</v>
      </c>
      <c r="H224" s="28" t="s">
        <v>130</v>
      </c>
      <c r="I224" s="28" t="s">
        <v>57</v>
      </c>
      <c r="J224" s="29" t="s">
        <v>64</v>
      </c>
      <c r="K224" s="30" t="s">
        <v>65</v>
      </c>
      <c r="L224" s="30" t="s">
        <v>59</v>
      </c>
      <c r="O224" s="13"/>
      <c r="P224" s="65"/>
    </row>
    <row r="225" spans="1:16" ht="15">
      <c r="A225" s="40">
        <v>1</v>
      </c>
      <c r="B225" s="40">
        <v>2</v>
      </c>
      <c r="C225" s="40">
        <v>3</v>
      </c>
      <c r="D225" s="40">
        <v>4</v>
      </c>
      <c r="E225" s="40">
        <v>5</v>
      </c>
      <c r="F225" s="40">
        <v>6</v>
      </c>
      <c r="G225" s="40">
        <v>7</v>
      </c>
      <c r="H225" s="40">
        <v>8</v>
      </c>
      <c r="I225" s="25">
        <v>9</v>
      </c>
      <c r="J225" s="40">
        <v>10</v>
      </c>
      <c r="K225" s="40">
        <v>11</v>
      </c>
      <c r="L225" s="41">
        <v>12</v>
      </c>
      <c r="M225" s="17"/>
      <c r="N225" s="13"/>
      <c r="O225" s="13"/>
      <c r="P225" s="80"/>
    </row>
    <row r="226" spans="1:16" ht="15">
      <c r="A226" s="412" t="s">
        <v>27</v>
      </c>
      <c r="B226" s="413"/>
      <c r="C226" s="413"/>
      <c r="D226" s="413"/>
      <c r="E226" s="413"/>
      <c r="F226" s="413"/>
      <c r="G226" s="413"/>
      <c r="H226" s="413"/>
      <c r="I226" s="413"/>
      <c r="J226" s="413"/>
      <c r="K226" s="413"/>
      <c r="L226" s="414"/>
      <c r="M226" s="17"/>
      <c r="N226" s="13"/>
      <c r="O226" s="13"/>
      <c r="P226" s="43"/>
    </row>
    <row r="227" spans="1:16" ht="15">
      <c r="A227" s="298"/>
      <c r="B227" s="299"/>
      <c r="C227" s="299"/>
      <c r="D227" s="299"/>
      <c r="E227" s="299"/>
      <c r="F227" s="299"/>
      <c r="G227" s="299"/>
      <c r="H227" s="299"/>
      <c r="I227" s="299"/>
      <c r="J227" s="299"/>
      <c r="K227" s="299"/>
      <c r="L227" s="300"/>
      <c r="M227" s="17"/>
      <c r="N227" s="13"/>
      <c r="O227" s="13"/>
      <c r="P227" s="65"/>
    </row>
    <row r="228" spans="1:16" ht="28.5">
      <c r="A228" s="314" t="s">
        <v>66</v>
      </c>
      <c r="B228" s="314"/>
      <c r="C228" s="314"/>
      <c r="D228" s="314"/>
      <c r="E228" s="314"/>
      <c r="F228" s="314"/>
      <c r="G228" s="314"/>
      <c r="H228" s="314"/>
      <c r="I228" s="314"/>
      <c r="J228" s="314"/>
      <c r="K228" s="314"/>
      <c r="L228" s="314"/>
      <c r="M228" s="314"/>
      <c r="N228" s="314"/>
      <c r="O228" s="314"/>
      <c r="P228" s="61" t="s">
        <v>60</v>
      </c>
    </row>
    <row r="229" spans="1:16">
      <c r="A229" s="311">
        <v>13</v>
      </c>
      <c r="B229" s="312"/>
      <c r="C229" s="312"/>
      <c r="D229" s="312"/>
      <c r="E229" s="312"/>
      <c r="F229" s="312"/>
      <c r="G229" s="312"/>
      <c r="H229" s="312"/>
      <c r="I229" s="312"/>
      <c r="J229" s="312"/>
      <c r="K229" s="312"/>
      <c r="L229" s="312"/>
      <c r="M229" s="312"/>
      <c r="N229" s="312"/>
      <c r="O229" s="313"/>
      <c r="P229" s="24">
        <v>14</v>
      </c>
    </row>
    <row r="230" spans="1:16" ht="15">
      <c r="A230" s="311" t="s">
        <v>67</v>
      </c>
      <c r="B230" s="312"/>
      <c r="C230" s="313"/>
      <c r="D230" s="311" t="s">
        <v>68</v>
      </c>
      <c r="E230" s="312"/>
      <c r="F230" s="313"/>
      <c r="G230" s="311" t="s">
        <v>69</v>
      </c>
      <c r="H230" s="312"/>
      <c r="I230" s="313"/>
      <c r="J230" s="314" t="s">
        <v>70</v>
      </c>
      <c r="K230" s="314"/>
      <c r="L230" s="314"/>
      <c r="M230" s="314" t="s">
        <v>71</v>
      </c>
      <c r="N230" s="314"/>
      <c r="O230" s="314"/>
      <c r="P230" s="65"/>
    </row>
    <row r="231" spans="1:16" ht="15">
      <c r="A231" s="10" t="s">
        <v>72</v>
      </c>
      <c r="B231" s="10" t="s">
        <v>73</v>
      </c>
      <c r="C231" s="55" t="s">
        <v>45</v>
      </c>
      <c r="D231" s="10" t="s">
        <v>72</v>
      </c>
      <c r="E231" s="10" t="s">
        <v>73</v>
      </c>
      <c r="F231" s="55" t="s">
        <v>45</v>
      </c>
      <c r="G231" s="10" t="s">
        <v>72</v>
      </c>
      <c r="H231" s="10" t="s">
        <v>73</v>
      </c>
      <c r="I231" s="55" t="s">
        <v>45</v>
      </c>
      <c r="J231" s="188" t="s">
        <v>72</v>
      </c>
      <c r="K231" s="188" t="s">
        <v>73</v>
      </c>
      <c r="L231" s="192" t="s">
        <v>45</v>
      </c>
      <c r="M231" s="188" t="s">
        <v>72</v>
      </c>
      <c r="N231" s="188" t="s">
        <v>73</v>
      </c>
      <c r="O231" s="192" t="s">
        <v>45</v>
      </c>
      <c r="P231" s="13"/>
    </row>
    <row r="232" spans="1:16" ht="15">
      <c r="A232" s="90"/>
      <c r="B232" s="90"/>
      <c r="C232" s="90"/>
      <c r="D232" s="90"/>
      <c r="E232" s="90"/>
      <c r="F232" s="90"/>
      <c r="G232" s="90"/>
      <c r="H232" s="90"/>
      <c r="I232" s="90"/>
      <c r="J232" s="189"/>
      <c r="K232" s="189"/>
      <c r="L232" s="189"/>
      <c r="M232" s="189"/>
      <c r="N232" s="189"/>
      <c r="O232" s="189"/>
      <c r="P232" s="195"/>
    </row>
    <row r="233" spans="1:16" ht="15" customHeight="1">
      <c r="A233" s="311" t="s">
        <v>74</v>
      </c>
      <c r="B233" s="312"/>
      <c r="C233" s="313"/>
      <c r="D233" s="311" t="s">
        <v>75</v>
      </c>
      <c r="E233" s="312"/>
      <c r="F233" s="313"/>
      <c r="G233" s="311" t="s">
        <v>76</v>
      </c>
      <c r="H233" s="312"/>
      <c r="I233" s="313"/>
      <c r="J233" s="258"/>
      <c r="K233" s="258"/>
      <c r="L233" s="258"/>
      <c r="M233" s="258"/>
      <c r="N233" s="258"/>
      <c r="O233" s="258"/>
      <c r="P233" s="13"/>
    </row>
    <row r="234" spans="1:16" ht="15">
      <c r="A234" s="10" t="s">
        <v>72</v>
      </c>
      <c r="B234" s="10" t="s">
        <v>73</v>
      </c>
      <c r="C234" s="55" t="s">
        <v>45</v>
      </c>
      <c r="D234" s="10" t="s">
        <v>72</v>
      </c>
      <c r="E234" s="10" t="s">
        <v>73</v>
      </c>
      <c r="F234" s="55" t="s">
        <v>45</v>
      </c>
      <c r="G234" s="10" t="s">
        <v>72</v>
      </c>
      <c r="H234" s="10" t="s">
        <v>73</v>
      </c>
      <c r="I234" s="55" t="s">
        <v>45</v>
      </c>
      <c r="J234" s="258"/>
      <c r="K234" s="258"/>
      <c r="L234" s="258"/>
      <c r="M234" s="258"/>
      <c r="N234" s="258"/>
      <c r="O234" s="258"/>
      <c r="P234" s="85"/>
    </row>
    <row r="235" spans="1:16" ht="15">
      <c r="A235" s="194"/>
      <c r="B235" s="194"/>
      <c r="C235" s="194"/>
      <c r="D235" s="194"/>
      <c r="E235" s="194"/>
      <c r="F235" s="194"/>
      <c r="G235" s="194"/>
      <c r="H235" s="194"/>
      <c r="I235" s="194"/>
      <c r="J235" s="368"/>
      <c r="K235" s="368"/>
      <c r="L235" s="368"/>
      <c r="M235" s="368"/>
      <c r="N235" s="368"/>
      <c r="O235" s="368"/>
      <c r="P235" s="85"/>
    </row>
    <row r="236" spans="1:16" ht="15" customHeight="1">
      <c r="A236" s="301"/>
      <c r="B236" s="301"/>
      <c r="C236" s="301"/>
      <c r="D236" s="301"/>
      <c r="E236" s="301"/>
      <c r="F236" s="301"/>
      <c r="G236" s="301"/>
      <c r="H236" s="301"/>
      <c r="I236" s="301"/>
      <c r="J236" s="301"/>
      <c r="K236" s="301"/>
      <c r="L236" s="301"/>
      <c r="M236" s="301"/>
      <c r="N236" s="301"/>
      <c r="O236" s="301"/>
      <c r="P236" s="301"/>
    </row>
    <row r="237" spans="1:16" ht="22.5">
      <c r="A237" s="362" t="s">
        <v>1284</v>
      </c>
      <c r="B237" s="363"/>
      <c r="C237" s="363"/>
      <c r="D237" s="363"/>
      <c r="E237" s="363"/>
      <c r="F237" s="363"/>
      <c r="G237" s="363"/>
      <c r="H237" s="363"/>
      <c r="I237" s="363"/>
      <c r="J237" s="363"/>
      <c r="K237" s="363"/>
      <c r="L237" s="364"/>
      <c r="M237" s="11"/>
      <c r="N237" s="11"/>
      <c r="O237" s="13"/>
      <c r="P237" s="65"/>
    </row>
    <row r="238" spans="1:16" ht="20.25">
      <c r="A238" s="315" t="s">
        <v>129</v>
      </c>
      <c r="B238" s="316"/>
      <c r="C238" s="316"/>
      <c r="D238" s="316"/>
      <c r="E238" s="316"/>
      <c r="F238" s="316"/>
      <c r="G238" s="316"/>
      <c r="H238" s="316"/>
      <c r="I238" s="316"/>
      <c r="J238" s="316"/>
      <c r="K238" s="316"/>
      <c r="L238" s="317"/>
      <c r="M238" s="11"/>
      <c r="N238" s="11"/>
      <c r="O238" s="13"/>
      <c r="P238" s="65"/>
    </row>
    <row r="239" spans="1:16" ht="99.75">
      <c r="A239" s="28" t="s">
        <v>0</v>
      </c>
      <c r="B239" s="28" t="s">
        <v>53</v>
      </c>
      <c r="C239" s="28" t="s">
        <v>61</v>
      </c>
      <c r="D239" s="28" t="s">
        <v>62</v>
      </c>
      <c r="E239" s="28" t="s">
        <v>128</v>
      </c>
      <c r="F239" s="28" t="s">
        <v>56</v>
      </c>
      <c r="G239" s="29" t="s">
        <v>63</v>
      </c>
      <c r="H239" s="28" t="s">
        <v>130</v>
      </c>
      <c r="I239" s="28" t="s">
        <v>57</v>
      </c>
      <c r="J239" s="29" t="s">
        <v>64</v>
      </c>
      <c r="K239" s="30" t="s">
        <v>65</v>
      </c>
      <c r="L239" s="30" t="s">
        <v>59</v>
      </c>
      <c r="O239" s="13"/>
      <c r="P239" s="65"/>
    </row>
    <row r="240" spans="1:16" ht="15">
      <c r="A240" s="40">
        <v>1</v>
      </c>
      <c r="B240" s="40">
        <v>2</v>
      </c>
      <c r="C240" s="40">
        <v>3</v>
      </c>
      <c r="D240" s="40">
        <v>4</v>
      </c>
      <c r="E240" s="40">
        <v>5</v>
      </c>
      <c r="F240" s="40">
        <v>6</v>
      </c>
      <c r="G240" s="40">
        <v>7</v>
      </c>
      <c r="H240" s="40">
        <v>8</v>
      </c>
      <c r="I240" s="25">
        <v>9</v>
      </c>
      <c r="J240" s="40">
        <v>10</v>
      </c>
      <c r="K240" s="40">
        <v>11</v>
      </c>
      <c r="L240" s="41">
        <v>12</v>
      </c>
      <c r="M240" s="17"/>
      <c r="N240" s="13"/>
      <c r="O240" s="13"/>
      <c r="P240" s="65"/>
    </row>
    <row r="241" spans="1:16">
      <c r="A241" s="365" t="s">
        <v>27</v>
      </c>
      <c r="B241" s="366"/>
      <c r="C241" s="366"/>
      <c r="D241" s="366"/>
      <c r="E241" s="366"/>
      <c r="F241" s="366"/>
      <c r="G241" s="366"/>
      <c r="H241" s="366"/>
      <c r="I241" s="366"/>
      <c r="J241" s="366"/>
      <c r="K241" s="366"/>
      <c r="L241" s="367"/>
      <c r="M241" s="17"/>
      <c r="N241" s="13"/>
      <c r="O241" s="13"/>
    </row>
    <row r="242" spans="1:16">
      <c r="A242" s="298"/>
      <c r="B242" s="299"/>
      <c r="C242" s="299"/>
      <c r="D242" s="299"/>
      <c r="E242" s="299"/>
      <c r="F242" s="299"/>
      <c r="G242" s="299"/>
      <c r="H242" s="299"/>
      <c r="I242" s="299"/>
      <c r="J242" s="299"/>
      <c r="K242" s="299"/>
      <c r="L242" s="300"/>
      <c r="M242" s="19"/>
      <c r="N242" s="22"/>
      <c r="O242" s="13"/>
    </row>
    <row r="243" spans="1:16" ht="28.5">
      <c r="A243" s="311" t="s">
        <v>66</v>
      </c>
      <c r="B243" s="312"/>
      <c r="C243" s="312"/>
      <c r="D243" s="312"/>
      <c r="E243" s="312"/>
      <c r="F243" s="312"/>
      <c r="G243" s="312"/>
      <c r="H243" s="312"/>
      <c r="I243" s="312"/>
      <c r="J243" s="312"/>
      <c r="K243" s="312"/>
      <c r="L243" s="312"/>
      <c r="M243" s="312"/>
      <c r="N243" s="312"/>
      <c r="O243" s="313"/>
      <c r="P243" s="61" t="s">
        <v>60</v>
      </c>
    </row>
    <row r="244" spans="1:16">
      <c r="A244" s="311">
        <v>13</v>
      </c>
      <c r="B244" s="312"/>
      <c r="C244" s="312"/>
      <c r="D244" s="312"/>
      <c r="E244" s="312"/>
      <c r="F244" s="312"/>
      <c r="G244" s="312"/>
      <c r="H244" s="312"/>
      <c r="I244" s="312"/>
      <c r="J244" s="312"/>
      <c r="K244" s="312"/>
      <c r="L244" s="312"/>
      <c r="M244" s="312"/>
      <c r="N244" s="312"/>
      <c r="O244" s="313"/>
      <c r="P244" s="24">
        <v>14</v>
      </c>
    </row>
    <row r="245" spans="1:16">
      <c r="A245" s="311" t="s">
        <v>67</v>
      </c>
      <c r="B245" s="312"/>
      <c r="C245" s="313"/>
      <c r="D245" s="311" t="s">
        <v>68</v>
      </c>
      <c r="E245" s="312"/>
      <c r="F245" s="313"/>
      <c r="G245" s="311" t="s">
        <v>69</v>
      </c>
      <c r="H245" s="312"/>
      <c r="I245" s="313"/>
      <c r="J245" s="311" t="s">
        <v>70</v>
      </c>
      <c r="K245" s="312"/>
      <c r="L245" s="313"/>
      <c r="M245" s="311" t="s">
        <v>71</v>
      </c>
      <c r="N245" s="312"/>
      <c r="O245" s="313"/>
      <c r="P245" s="301"/>
    </row>
    <row r="246" spans="1:16" ht="15">
      <c r="A246" s="10" t="s">
        <v>72</v>
      </c>
      <c r="B246" s="10" t="s">
        <v>73</v>
      </c>
      <c r="C246" s="55" t="s">
        <v>45</v>
      </c>
      <c r="D246" s="10" t="s">
        <v>72</v>
      </c>
      <c r="E246" s="10" t="s">
        <v>73</v>
      </c>
      <c r="F246" s="55" t="s">
        <v>45</v>
      </c>
      <c r="G246" s="10" t="s">
        <v>72</v>
      </c>
      <c r="H246" s="10" t="s">
        <v>73</v>
      </c>
      <c r="I246" s="55" t="s">
        <v>45</v>
      </c>
      <c r="J246" s="10" t="s">
        <v>72</v>
      </c>
      <c r="K246" s="10" t="s">
        <v>73</v>
      </c>
      <c r="L246" s="55" t="s">
        <v>45</v>
      </c>
      <c r="M246" s="10" t="s">
        <v>72</v>
      </c>
      <c r="N246" s="10" t="s">
        <v>73</v>
      </c>
      <c r="O246" s="55" t="s">
        <v>45</v>
      </c>
      <c r="P246" s="301"/>
    </row>
    <row r="247" spans="1:16" ht="15">
      <c r="A247" s="38"/>
      <c r="B247" s="38"/>
      <c r="C247" s="38"/>
      <c r="D247" s="38"/>
      <c r="E247" s="38"/>
      <c r="F247" s="38"/>
      <c r="G247" s="38"/>
      <c r="H247" s="38"/>
      <c r="I247" s="38"/>
      <c r="J247" s="38"/>
      <c r="K247" s="38"/>
      <c r="L247" s="38"/>
      <c r="M247" s="38"/>
      <c r="N247" s="38"/>
      <c r="O247" s="38"/>
      <c r="P247" s="301"/>
    </row>
    <row r="248" spans="1:16" ht="15" customHeight="1">
      <c r="A248" s="311" t="s">
        <v>74</v>
      </c>
      <c r="B248" s="312"/>
      <c r="C248" s="313"/>
      <c r="D248" s="311" t="s">
        <v>75</v>
      </c>
      <c r="E248" s="312"/>
      <c r="F248" s="313"/>
      <c r="G248" s="311" t="s">
        <v>76</v>
      </c>
      <c r="H248" s="312"/>
      <c r="I248" s="313"/>
      <c r="J248" s="385"/>
      <c r="K248" s="386"/>
      <c r="L248" s="386"/>
      <c r="M248" s="386"/>
      <c r="N248" s="386"/>
      <c r="O248" s="387"/>
      <c r="P248" s="301"/>
    </row>
    <row r="249" spans="1:16" ht="15">
      <c r="A249" s="10" t="s">
        <v>72</v>
      </c>
      <c r="B249" s="10" t="s">
        <v>73</v>
      </c>
      <c r="C249" s="55" t="s">
        <v>45</v>
      </c>
      <c r="D249" s="10" t="s">
        <v>72</v>
      </c>
      <c r="E249" s="10" t="s">
        <v>73</v>
      </c>
      <c r="F249" s="55" t="s">
        <v>45</v>
      </c>
      <c r="G249" s="10" t="s">
        <v>72</v>
      </c>
      <c r="H249" s="10" t="s">
        <v>73</v>
      </c>
      <c r="I249" s="55" t="s">
        <v>45</v>
      </c>
      <c r="J249" s="388"/>
      <c r="K249" s="389"/>
      <c r="L249" s="389"/>
      <c r="M249" s="389"/>
      <c r="N249" s="389"/>
      <c r="O249" s="390"/>
      <c r="P249" s="301"/>
    </row>
    <row r="250" spans="1:16" ht="15">
      <c r="A250" s="10"/>
      <c r="B250" s="10"/>
      <c r="C250" s="10"/>
      <c r="D250" s="56"/>
      <c r="E250" s="56"/>
      <c r="F250" s="56"/>
      <c r="G250" s="56"/>
      <c r="H250" s="56"/>
      <c r="I250" s="57"/>
      <c r="J250" s="388"/>
      <c r="K250" s="389"/>
      <c r="L250" s="389"/>
      <c r="M250" s="389"/>
      <c r="N250" s="389"/>
      <c r="O250" s="390"/>
      <c r="P250" s="301"/>
    </row>
    <row r="251" spans="1:16" ht="15">
      <c r="A251" s="56"/>
      <c r="B251" s="56"/>
      <c r="C251" s="56"/>
      <c r="D251" s="56"/>
      <c r="E251" s="56"/>
      <c r="F251" s="56"/>
      <c r="G251" s="56"/>
      <c r="H251" s="56"/>
      <c r="I251" s="57"/>
      <c r="J251" s="391"/>
      <c r="K251" s="392"/>
      <c r="L251" s="392"/>
      <c r="M251" s="392"/>
      <c r="N251" s="392"/>
      <c r="O251" s="393"/>
      <c r="P251" s="301"/>
    </row>
    <row r="252" spans="1:16" ht="15" customHeight="1">
      <c r="A252" s="301"/>
      <c r="B252" s="301"/>
      <c r="C252" s="301"/>
      <c r="D252" s="301"/>
      <c r="E252" s="301"/>
      <c r="F252" s="301"/>
      <c r="G252" s="301"/>
      <c r="H252" s="301"/>
      <c r="I252" s="301"/>
      <c r="J252" s="301"/>
      <c r="K252" s="301"/>
      <c r="L252" s="301"/>
      <c r="M252" s="301"/>
      <c r="N252" s="301"/>
      <c r="O252" s="301"/>
      <c r="P252" s="301"/>
    </row>
    <row r="253" spans="1:16" ht="22.5">
      <c r="A253" s="362" t="s">
        <v>1285</v>
      </c>
      <c r="B253" s="363"/>
      <c r="C253" s="363"/>
      <c r="D253" s="363"/>
      <c r="E253" s="363"/>
      <c r="F253" s="363"/>
      <c r="G253" s="363"/>
      <c r="H253" s="363"/>
      <c r="I253" s="363"/>
      <c r="J253" s="363"/>
      <c r="K253" s="363"/>
      <c r="L253" s="364"/>
      <c r="M253" s="340"/>
      <c r="N253" s="340"/>
      <c r="O253" s="340"/>
      <c r="P253" s="340"/>
    </row>
    <row r="254" spans="1:16" ht="20.25">
      <c r="A254" s="315" t="s">
        <v>129</v>
      </c>
      <c r="B254" s="316"/>
      <c r="C254" s="316"/>
      <c r="D254" s="316"/>
      <c r="E254" s="316"/>
      <c r="F254" s="316"/>
      <c r="G254" s="316"/>
      <c r="H254" s="316"/>
      <c r="I254" s="316"/>
      <c r="J254" s="316"/>
      <c r="K254" s="316"/>
      <c r="L254" s="317"/>
      <c r="M254" s="340"/>
      <c r="N254" s="340"/>
      <c r="O254" s="340"/>
      <c r="P254" s="340"/>
    </row>
    <row r="255" spans="1:16" ht="99.75">
      <c r="A255" s="28" t="s">
        <v>0</v>
      </c>
      <c r="B255" s="28" t="s">
        <v>53</v>
      </c>
      <c r="C255" s="28" t="s">
        <v>61</v>
      </c>
      <c r="D255" s="28" t="s">
        <v>62</v>
      </c>
      <c r="E255" s="28" t="s">
        <v>128</v>
      </c>
      <c r="F255" s="28" t="s">
        <v>56</v>
      </c>
      <c r="G255" s="29" t="s">
        <v>63</v>
      </c>
      <c r="H255" s="28" t="s">
        <v>130</v>
      </c>
      <c r="I255" s="28" t="s">
        <v>57</v>
      </c>
      <c r="J255" s="29" t="s">
        <v>64</v>
      </c>
      <c r="K255" s="30" t="s">
        <v>65</v>
      </c>
      <c r="L255" s="30" t="s">
        <v>59</v>
      </c>
      <c r="M255" s="340"/>
      <c r="N255" s="340"/>
      <c r="O255" s="340"/>
      <c r="P255" s="340"/>
    </row>
    <row r="256" spans="1:16" ht="15" customHeight="1">
      <c r="A256" s="157">
        <v>1</v>
      </c>
      <c r="B256" s="157">
        <v>2</v>
      </c>
      <c r="C256" s="157">
        <v>3</v>
      </c>
      <c r="D256" s="157">
        <v>4</v>
      </c>
      <c r="E256" s="157">
        <v>5</v>
      </c>
      <c r="F256" s="157">
        <v>6</v>
      </c>
      <c r="G256" s="157">
        <v>7</v>
      </c>
      <c r="H256" s="157">
        <v>8</v>
      </c>
      <c r="I256" s="25">
        <v>9</v>
      </c>
      <c r="J256" s="157">
        <v>10</v>
      </c>
      <c r="K256" s="157">
        <v>11</v>
      </c>
      <c r="L256" s="156">
        <v>12</v>
      </c>
      <c r="M256" s="340"/>
      <c r="N256" s="340"/>
      <c r="O256" s="340"/>
      <c r="P256" s="340"/>
    </row>
    <row r="257" spans="1:16">
      <c r="A257" s="365" t="s">
        <v>27</v>
      </c>
      <c r="B257" s="366"/>
      <c r="C257" s="366"/>
      <c r="D257" s="366"/>
      <c r="E257" s="366"/>
      <c r="F257" s="366"/>
      <c r="G257" s="366"/>
      <c r="H257" s="366"/>
      <c r="I257" s="366"/>
      <c r="J257" s="366"/>
      <c r="K257" s="366"/>
      <c r="L257" s="367"/>
      <c r="M257" s="340"/>
      <c r="N257" s="340"/>
      <c r="O257" s="340"/>
      <c r="P257" s="340"/>
    </row>
    <row r="258" spans="1:16">
      <c r="A258" s="298"/>
      <c r="B258" s="299"/>
      <c r="C258" s="299"/>
      <c r="D258" s="299"/>
      <c r="E258" s="299"/>
      <c r="F258" s="299"/>
      <c r="G258" s="299"/>
      <c r="H258" s="299"/>
      <c r="I258" s="299"/>
      <c r="J258" s="299"/>
      <c r="K258" s="299"/>
      <c r="L258" s="300"/>
      <c r="M258" s="340"/>
      <c r="N258" s="340"/>
      <c r="O258" s="340"/>
      <c r="P258" s="340"/>
    </row>
    <row r="259" spans="1:16" ht="28.5">
      <c r="A259" s="311" t="s">
        <v>66</v>
      </c>
      <c r="B259" s="312"/>
      <c r="C259" s="312"/>
      <c r="D259" s="312"/>
      <c r="E259" s="312"/>
      <c r="F259" s="312"/>
      <c r="G259" s="312"/>
      <c r="H259" s="312"/>
      <c r="I259" s="312"/>
      <c r="J259" s="312"/>
      <c r="K259" s="312"/>
      <c r="L259" s="312"/>
      <c r="M259" s="312"/>
      <c r="N259" s="312"/>
      <c r="O259" s="313"/>
      <c r="P259" s="61" t="s">
        <v>60</v>
      </c>
    </row>
    <row r="260" spans="1:16">
      <c r="A260" s="311">
        <v>13</v>
      </c>
      <c r="B260" s="312"/>
      <c r="C260" s="312"/>
      <c r="D260" s="312"/>
      <c r="E260" s="312"/>
      <c r="F260" s="312"/>
      <c r="G260" s="312"/>
      <c r="H260" s="312"/>
      <c r="I260" s="312"/>
      <c r="J260" s="312"/>
      <c r="K260" s="312"/>
      <c r="L260" s="312"/>
      <c r="M260" s="312"/>
      <c r="N260" s="312"/>
      <c r="O260" s="313"/>
      <c r="P260" s="24">
        <v>14</v>
      </c>
    </row>
    <row r="261" spans="1:16">
      <c r="A261" s="311" t="s">
        <v>67</v>
      </c>
      <c r="B261" s="312"/>
      <c r="C261" s="313"/>
      <c r="D261" s="311" t="s">
        <v>68</v>
      </c>
      <c r="E261" s="312"/>
      <c r="F261" s="313"/>
      <c r="G261" s="311" t="s">
        <v>69</v>
      </c>
      <c r="H261" s="312"/>
      <c r="I261" s="313"/>
      <c r="J261" s="311" t="s">
        <v>70</v>
      </c>
      <c r="K261" s="312"/>
      <c r="L261" s="313"/>
      <c r="M261" s="311" t="s">
        <v>71</v>
      </c>
      <c r="N261" s="312"/>
      <c r="O261" s="313"/>
      <c r="P261" s="13"/>
    </row>
    <row r="262" spans="1:16" ht="15">
      <c r="A262" s="10" t="s">
        <v>72</v>
      </c>
      <c r="B262" s="10" t="s">
        <v>73</v>
      </c>
      <c r="C262" s="55" t="s">
        <v>45</v>
      </c>
      <c r="D262" s="10" t="s">
        <v>72</v>
      </c>
      <c r="E262" s="10" t="s">
        <v>73</v>
      </c>
      <c r="F262" s="55" t="s">
        <v>45</v>
      </c>
      <c r="G262" s="10" t="s">
        <v>72</v>
      </c>
      <c r="H262" s="10" t="s">
        <v>73</v>
      </c>
      <c r="I262" s="55" t="s">
        <v>45</v>
      </c>
      <c r="J262" s="10" t="s">
        <v>72</v>
      </c>
      <c r="K262" s="10" t="s">
        <v>73</v>
      </c>
      <c r="L262" s="55" t="s">
        <v>45</v>
      </c>
      <c r="M262" s="10" t="s">
        <v>72</v>
      </c>
      <c r="N262" s="10" t="s">
        <v>73</v>
      </c>
      <c r="O262" s="55" t="s">
        <v>45</v>
      </c>
      <c r="P262" s="13"/>
    </row>
    <row r="263" spans="1:16" ht="15">
      <c r="A263" s="38"/>
      <c r="B263" s="38"/>
      <c r="C263" s="38"/>
      <c r="D263" s="38"/>
      <c r="E263" s="38"/>
      <c r="F263" s="38"/>
      <c r="G263" s="38"/>
      <c r="H263" s="38"/>
      <c r="I263" s="38"/>
      <c r="J263" s="38"/>
      <c r="K263" s="38"/>
      <c r="L263" s="38"/>
      <c r="M263" s="38"/>
      <c r="N263" s="38"/>
      <c r="O263" s="38"/>
      <c r="P263" s="13"/>
    </row>
    <row r="264" spans="1:16" ht="15" customHeight="1">
      <c r="A264" s="311" t="s">
        <v>74</v>
      </c>
      <c r="B264" s="312"/>
      <c r="C264" s="313"/>
      <c r="D264" s="311" t="s">
        <v>75</v>
      </c>
      <c r="E264" s="312"/>
      <c r="F264" s="313"/>
      <c r="G264" s="311" t="s">
        <v>76</v>
      </c>
      <c r="H264" s="312"/>
      <c r="I264" s="313"/>
      <c r="J264" s="385"/>
      <c r="K264" s="386"/>
      <c r="L264" s="386"/>
      <c r="M264" s="386"/>
      <c r="N264" s="386"/>
      <c r="O264" s="387"/>
      <c r="P264" s="13"/>
    </row>
    <row r="265" spans="1:16" ht="15">
      <c r="A265" s="10" t="s">
        <v>72</v>
      </c>
      <c r="B265" s="10" t="s">
        <v>73</v>
      </c>
      <c r="C265" s="55" t="s">
        <v>45</v>
      </c>
      <c r="D265" s="10" t="s">
        <v>72</v>
      </c>
      <c r="E265" s="10" t="s">
        <v>73</v>
      </c>
      <c r="F265" s="55" t="s">
        <v>45</v>
      </c>
      <c r="G265" s="10" t="s">
        <v>72</v>
      </c>
      <c r="H265" s="10" t="s">
        <v>73</v>
      </c>
      <c r="I265" s="55" t="s">
        <v>45</v>
      </c>
      <c r="J265" s="388"/>
      <c r="K265" s="389"/>
      <c r="L265" s="389"/>
      <c r="M265" s="389"/>
      <c r="N265" s="389"/>
      <c r="O265" s="390"/>
    </row>
    <row r="266" spans="1:16" ht="15">
      <c r="A266" s="194"/>
      <c r="B266" s="194"/>
      <c r="C266" s="194"/>
      <c r="D266" s="170"/>
      <c r="E266" s="170"/>
      <c r="F266" s="170"/>
      <c r="G266" s="170"/>
      <c r="H266" s="170"/>
      <c r="I266" s="193"/>
      <c r="J266" s="391"/>
      <c r="K266" s="392"/>
      <c r="L266" s="392"/>
      <c r="M266" s="392"/>
      <c r="N266" s="392"/>
      <c r="O266" s="393"/>
    </row>
    <row r="267" spans="1:16" ht="15" customHeight="1">
      <c r="A267" s="298"/>
      <c r="B267" s="299"/>
      <c r="C267" s="299"/>
      <c r="D267" s="299"/>
      <c r="E267" s="299"/>
      <c r="F267" s="299"/>
      <c r="G267" s="299"/>
      <c r="H267" s="299"/>
      <c r="I267" s="299"/>
      <c r="J267" s="299"/>
      <c r="K267" s="299"/>
      <c r="L267" s="299"/>
      <c r="M267" s="299"/>
      <c r="N267" s="299"/>
      <c r="O267" s="299"/>
      <c r="P267" s="300"/>
    </row>
    <row r="268" spans="1:16" ht="22.5">
      <c r="A268" s="362" t="s">
        <v>1286</v>
      </c>
      <c r="B268" s="363"/>
      <c r="C268" s="363"/>
      <c r="D268" s="363"/>
      <c r="E268" s="363"/>
      <c r="F268" s="363"/>
      <c r="G268" s="363"/>
      <c r="H268" s="363"/>
      <c r="I268" s="363"/>
      <c r="J268" s="363"/>
      <c r="K268" s="363"/>
      <c r="L268" s="364"/>
      <c r="M268" s="344"/>
      <c r="N268" s="345"/>
      <c r="O268" s="345"/>
      <c r="P268" s="346"/>
    </row>
    <row r="269" spans="1:16" ht="20.25">
      <c r="A269" s="315" t="s">
        <v>129</v>
      </c>
      <c r="B269" s="316"/>
      <c r="C269" s="316"/>
      <c r="D269" s="316"/>
      <c r="E269" s="316"/>
      <c r="F269" s="316"/>
      <c r="G269" s="316"/>
      <c r="H269" s="316"/>
      <c r="I269" s="316"/>
      <c r="J269" s="316"/>
      <c r="K269" s="316"/>
      <c r="L269" s="317"/>
      <c r="M269" s="347"/>
      <c r="N269" s="348"/>
      <c r="O269" s="348"/>
      <c r="P269" s="349"/>
    </row>
    <row r="270" spans="1:16" ht="99.75">
      <c r="A270" s="28" t="s">
        <v>0</v>
      </c>
      <c r="B270" s="28" t="s">
        <v>53</v>
      </c>
      <c r="C270" s="28" t="s">
        <v>61</v>
      </c>
      <c r="D270" s="28" t="s">
        <v>62</v>
      </c>
      <c r="E270" s="28" t="s">
        <v>128</v>
      </c>
      <c r="F270" s="28" t="s">
        <v>56</v>
      </c>
      <c r="G270" s="29" t="s">
        <v>63</v>
      </c>
      <c r="H270" s="28" t="s">
        <v>130</v>
      </c>
      <c r="I270" s="28" t="s">
        <v>57</v>
      </c>
      <c r="J270" s="29" t="s">
        <v>64</v>
      </c>
      <c r="K270" s="30" t="s">
        <v>65</v>
      </c>
      <c r="L270" s="30" t="s">
        <v>59</v>
      </c>
      <c r="M270" s="347"/>
      <c r="N270" s="348"/>
      <c r="O270" s="348"/>
      <c r="P270" s="349"/>
    </row>
    <row r="271" spans="1:16" ht="15" customHeight="1">
      <c r="A271" s="40">
        <v>1</v>
      </c>
      <c r="B271" s="40">
        <v>2</v>
      </c>
      <c r="C271" s="40">
        <v>3</v>
      </c>
      <c r="D271" s="40">
        <v>4</v>
      </c>
      <c r="E271" s="40">
        <v>5</v>
      </c>
      <c r="F271" s="40">
        <v>6</v>
      </c>
      <c r="G271" s="40">
        <v>7</v>
      </c>
      <c r="H271" s="40">
        <v>8</v>
      </c>
      <c r="I271" s="25">
        <v>9</v>
      </c>
      <c r="J271" s="40">
        <v>10</v>
      </c>
      <c r="K271" s="40">
        <v>11</v>
      </c>
      <c r="L271" s="41">
        <v>12</v>
      </c>
      <c r="M271" s="347"/>
      <c r="N271" s="348"/>
      <c r="O271" s="348"/>
      <c r="P271" s="349"/>
    </row>
    <row r="272" spans="1:16">
      <c r="A272" s="365" t="s">
        <v>27</v>
      </c>
      <c r="B272" s="366"/>
      <c r="C272" s="366"/>
      <c r="D272" s="366"/>
      <c r="E272" s="366"/>
      <c r="F272" s="366"/>
      <c r="G272" s="366"/>
      <c r="H272" s="366"/>
      <c r="I272" s="366"/>
      <c r="J272" s="366"/>
      <c r="K272" s="366"/>
      <c r="L272" s="367"/>
      <c r="M272" s="347"/>
      <c r="N272" s="348"/>
      <c r="O272" s="348"/>
      <c r="P272" s="349"/>
    </row>
    <row r="273" spans="1:16">
      <c r="A273" s="298"/>
      <c r="B273" s="299"/>
      <c r="C273" s="299"/>
      <c r="D273" s="299"/>
      <c r="E273" s="299"/>
      <c r="F273" s="299"/>
      <c r="G273" s="299"/>
      <c r="H273" s="299"/>
      <c r="I273" s="299"/>
      <c r="J273" s="299"/>
      <c r="K273" s="299"/>
      <c r="L273" s="300"/>
      <c r="M273" s="350"/>
      <c r="N273" s="351"/>
      <c r="O273" s="351"/>
      <c r="P273" s="352"/>
    </row>
    <row r="274" spans="1:16" ht="28.5">
      <c r="A274" s="311" t="s">
        <v>66</v>
      </c>
      <c r="B274" s="312"/>
      <c r="C274" s="312"/>
      <c r="D274" s="312"/>
      <c r="E274" s="312"/>
      <c r="F274" s="312"/>
      <c r="G274" s="312"/>
      <c r="H274" s="312"/>
      <c r="I274" s="312"/>
      <c r="J274" s="312"/>
      <c r="K274" s="312"/>
      <c r="L274" s="312"/>
      <c r="M274" s="312"/>
      <c r="N274" s="312"/>
      <c r="O274" s="313"/>
      <c r="P274" s="61" t="s">
        <v>60</v>
      </c>
    </row>
    <row r="275" spans="1:16">
      <c r="A275" s="311">
        <v>13</v>
      </c>
      <c r="B275" s="312"/>
      <c r="C275" s="312"/>
      <c r="D275" s="312"/>
      <c r="E275" s="312"/>
      <c r="F275" s="312"/>
      <c r="G275" s="312"/>
      <c r="H275" s="312"/>
      <c r="I275" s="312"/>
      <c r="J275" s="312"/>
      <c r="K275" s="312"/>
      <c r="L275" s="312"/>
      <c r="M275" s="312"/>
      <c r="N275" s="312"/>
      <c r="O275" s="313"/>
      <c r="P275" s="24">
        <v>14</v>
      </c>
    </row>
    <row r="276" spans="1:16">
      <c r="A276" s="311" t="s">
        <v>67</v>
      </c>
      <c r="B276" s="312"/>
      <c r="C276" s="313"/>
      <c r="D276" s="311" t="s">
        <v>68</v>
      </c>
      <c r="E276" s="312"/>
      <c r="F276" s="313"/>
      <c r="G276" s="311" t="s">
        <v>69</v>
      </c>
      <c r="H276" s="312"/>
      <c r="I276" s="313"/>
      <c r="J276" s="311" t="s">
        <v>70</v>
      </c>
      <c r="K276" s="312"/>
      <c r="L276" s="313"/>
      <c r="M276" s="311" t="s">
        <v>71</v>
      </c>
      <c r="N276" s="312"/>
      <c r="O276" s="313"/>
      <c r="P276" s="13"/>
    </row>
    <row r="277" spans="1:16" ht="15">
      <c r="A277" s="10" t="s">
        <v>72</v>
      </c>
      <c r="B277" s="10" t="s">
        <v>73</v>
      </c>
      <c r="C277" s="55" t="s">
        <v>45</v>
      </c>
      <c r="D277" s="10" t="s">
        <v>72</v>
      </c>
      <c r="E277" s="10" t="s">
        <v>73</v>
      </c>
      <c r="F277" s="55" t="s">
        <v>45</v>
      </c>
      <c r="G277" s="10" t="s">
        <v>72</v>
      </c>
      <c r="H277" s="10" t="s">
        <v>73</v>
      </c>
      <c r="I277" s="55" t="s">
        <v>45</v>
      </c>
      <c r="J277" s="10" t="s">
        <v>72</v>
      </c>
      <c r="K277" s="10" t="s">
        <v>73</v>
      </c>
      <c r="L277" s="55" t="s">
        <v>45</v>
      </c>
      <c r="M277" s="10" t="s">
        <v>72</v>
      </c>
      <c r="N277" s="10" t="s">
        <v>73</v>
      </c>
      <c r="O277" s="55" t="s">
        <v>45</v>
      </c>
      <c r="P277" s="13"/>
    </row>
    <row r="278" spans="1:16" ht="15">
      <c r="A278" s="38"/>
      <c r="B278" s="38"/>
      <c r="C278" s="38"/>
      <c r="D278" s="38"/>
      <c r="E278" s="38"/>
      <c r="F278" s="38"/>
      <c r="G278" s="38"/>
      <c r="H278" s="38"/>
      <c r="I278" s="38"/>
      <c r="J278" s="38"/>
      <c r="K278" s="38"/>
      <c r="L278" s="38"/>
      <c r="M278" s="38"/>
      <c r="N278" s="38"/>
      <c r="O278" s="38"/>
      <c r="P278" s="13"/>
    </row>
    <row r="279" spans="1:16" ht="15" customHeight="1">
      <c r="A279" s="311" t="s">
        <v>74</v>
      </c>
      <c r="B279" s="312"/>
      <c r="C279" s="313"/>
      <c r="D279" s="311" t="s">
        <v>75</v>
      </c>
      <c r="E279" s="312"/>
      <c r="F279" s="313"/>
      <c r="G279" s="311" t="s">
        <v>76</v>
      </c>
      <c r="H279" s="312"/>
      <c r="I279" s="313"/>
      <c r="J279" s="385"/>
      <c r="K279" s="386"/>
      <c r="L279" s="386"/>
      <c r="M279" s="386"/>
      <c r="N279" s="386"/>
      <c r="O279" s="387"/>
      <c r="P279" s="13"/>
    </row>
    <row r="280" spans="1:16" ht="15">
      <c r="A280" s="10" t="s">
        <v>72</v>
      </c>
      <c r="B280" s="10" t="s">
        <v>73</v>
      </c>
      <c r="C280" s="55" t="s">
        <v>45</v>
      </c>
      <c r="D280" s="10" t="s">
        <v>72</v>
      </c>
      <c r="E280" s="10" t="s">
        <v>73</v>
      </c>
      <c r="F280" s="55" t="s">
        <v>45</v>
      </c>
      <c r="G280" s="10" t="s">
        <v>72</v>
      </c>
      <c r="H280" s="10" t="s">
        <v>73</v>
      </c>
      <c r="I280" s="55" t="s">
        <v>45</v>
      </c>
      <c r="J280" s="388"/>
      <c r="K280" s="389"/>
      <c r="L280" s="389"/>
      <c r="M280" s="389"/>
      <c r="N280" s="389"/>
      <c r="O280" s="390"/>
    </row>
    <row r="281" spans="1:16" ht="15">
      <c r="A281" s="194"/>
      <c r="B281" s="194"/>
      <c r="C281" s="194"/>
      <c r="D281" s="170"/>
      <c r="E281" s="170"/>
      <c r="F281" s="170"/>
      <c r="G281" s="170"/>
      <c r="H281" s="170"/>
      <c r="I281" s="193"/>
      <c r="J281" s="391"/>
      <c r="K281" s="392"/>
      <c r="L281" s="392"/>
      <c r="M281" s="392"/>
      <c r="N281" s="392"/>
      <c r="O281" s="393"/>
    </row>
    <row r="282" spans="1:16" ht="15" customHeight="1">
      <c r="A282" s="301"/>
      <c r="B282" s="301"/>
      <c r="C282" s="301"/>
      <c r="D282" s="301"/>
      <c r="E282" s="301"/>
      <c r="F282" s="301"/>
      <c r="G282" s="301"/>
      <c r="H282" s="301"/>
      <c r="I282" s="301"/>
      <c r="J282" s="301"/>
      <c r="K282" s="301"/>
      <c r="L282" s="301"/>
      <c r="M282" s="301"/>
      <c r="N282" s="301"/>
      <c r="O282" s="301"/>
      <c r="P282" s="301"/>
    </row>
    <row r="283" spans="1:16" ht="22.5">
      <c r="A283" s="362" t="s">
        <v>1287</v>
      </c>
      <c r="B283" s="363"/>
      <c r="C283" s="363"/>
      <c r="D283" s="363"/>
      <c r="E283" s="190"/>
      <c r="F283" s="190"/>
      <c r="G283" s="190"/>
      <c r="H283" s="190"/>
      <c r="I283" s="190"/>
      <c r="J283" s="190"/>
      <c r="K283" s="190"/>
      <c r="L283" s="191"/>
      <c r="M283" s="11"/>
      <c r="N283" s="238"/>
      <c r="O283" s="238"/>
      <c r="P283" s="238"/>
    </row>
    <row r="284" spans="1:16" ht="20.25">
      <c r="A284" s="315" t="s">
        <v>127</v>
      </c>
      <c r="B284" s="316"/>
      <c r="C284" s="316"/>
      <c r="D284" s="316"/>
      <c r="E284" s="316"/>
      <c r="F284" s="316"/>
      <c r="G284" s="316"/>
      <c r="H284" s="316"/>
      <c r="I284" s="316"/>
      <c r="J284" s="316"/>
      <c r="K284" s="316"/>
      <c r="L284" s="317"/>
      <c r="M284" s="11"/>
      <c r="N284" s="36"/>
      <c r="O284" s="36"/>
      <c r="P284" s="36"/>
    </row>
    <row r="285" spans="1:16" ht="99.75">
      <c r="A285" s="28" t="s">
        <v>0</v>
      </c>
      <c r="B285" s="28" t="s">
        <v>53</v>
      </c>
      <c r="C285" s="28" t="s">
        <v>61</v>
      </c>
      <c r="D285" s="28" t="s">
        <v>62</v>
      </c>
      <c r="E285" s="28" t="s">
        <v>128</v>
      </c>
      <c r="F285" s="28" t="s">
        <v>56</v>
      </c>
      <c r="G285" s="29" t="s">
        <v>63</v>
      </c>
      <c r="H285" s="28" t="s">
        <v>130</v>
      </c>
      <c r="I285" s="28" t="s">
        <v>57</v>
      </c>
      <c r="J285" s="29" t="s">
        <v>64</v>
      </c>
      <c r="K285" s="30" t="s">
        <v>65</v>
      </c>
      <c r="L285" s="30" t="s">
        <v>59</v>
      </c>
      <c r="N285" s="36"/>
      <c r="O285" s="36"/>
      <c r="P285" s="36"/>
    </row>
    <row r="286" spans="1:16" ht="15" customHeight="1">
      <c r="A286" s="40">
        <v>1</v>
      </c>
      <c r="B286" s="40">
        <v>2</v>
      </c>
      <c r="C286" s="40">
        <v>3</v>
      </c>
      <c r="D286" s="40">
        <v>4</v>
      </c>
      <c r="E286" s="40">
        <v>5</v>
      </c>
      <c r="F286" s="40">
        <v>6</v>
      </c>
      <c r="G286" s="40">
        <v>7</v>
      </c>
      <c r="H286" s="40">
        <v>8</v>
      </c>
      <c r="I286" s="25">
        <v>9</v>
      </c>
      <c r="J286" s="40">
        <v>10</v>
      </c>
      <c r="K286" s="40">
        <v>11</v>
      </c>
      <c r="L286" s="41">
        <v>12</v>
      </c>
      <c r="M286" s="17"/>
      <c r="N286" s="36"/>
      <c r="O286" s="36"/>
      <c r="P286" s="36"/>
    </row>
    <row r="287" spans="1:16">
      <c r="A287" s="365" t="s">
        <v>27</v>
      </c>
      <c r="B287" s="366"/>
      <c r="C287" s="366"/>
      <c r="D287" s="366"/>
      <c r="E287" s="366"/>
      <c r="F287" s="366"/>
      <c r="G287" s="366"/>
      <c r="H287" s="366"/>
      <c r="I287" s="366"/>
      <c r="J287" s="366"/>
      <c r="K287" s="366"/>
      <c r="L287" s="367"/>
      <c r="M287" s="17"/>
      <c r="N287" s="36"/>
      <c r="O287" s="36"/>
      <c r="P287" s="36"/>
    </row>
    <row r="288" spans="1:16">
      <c r="A288" s="298"/>
      <c r="B288" s="299"/>
      <c r="C288" s="299"/>
      <c r="D288" s="299"/>
      <c r="E288" s="299"/>
      <c r="F288" s="299"/>
      <c r="G288" s="299"/>
      <c r="H288" s="299"/>
      <c r="I288" s="299"/>
      <c r="J288" s="299"/>
      <c r="K288" s="299"/>
      <c r="L288" s="300"/>
      <c r="M288" s="19"/>
      <c r="N288" s="22"/>
      <c r="O288" s="13"/>
    </row>
    <row r="289" spans="1:16" ht="28.5">
      <c r="A289" s="311" t="s">
        <v>66</v>
      </c>
      <c r="B289" s="312"/>
      <c r="C289" s="312"/>
      <c r="D289" s="312"/>
      <c r="E289" s="312"/>
      <c r="F289" s="312"/>
      <c r="G289" s="312"/>
      <c r="H289" s="312"/>
      <c r="I289" s="312"/>
      <c r="J289" s="312"/>
      <c r="K289" s="312"/>
      <c r="L289" s="312"/>
      <c r="M289" s="312"/>
      <c r="N289" s="312"/>
      <c r="O289" s="313"/>
      <c r="P289" s="61" t="s">
        <v>60</v>
      </c>
    </row>
    <row r="290" spans="1:16">
      <c r="A290" s="311">
        <v>13</v>
      </c>
      <c r="B290" s="312"/>
      <c r="C290" s="312"/>
      <c r="D290" s="312"/>
      <c r="E290" s="312"/>
      <c r="F290" s="312"/>
      <c r="G290" s="312"/>
      <c r="H290" s="312"/>
      <c r="I290" s="312"/>
      <c r="J290" s="312"/>
      <c r="K290" s="312"/>
      <c r="L290" s="312"/>
      <c r="M290" s="312"/>
      <c r="N290" s="312"/>
      <c r="O290" s="313"/>
      <c r="P290" s="50">
        <v>14</v>
      </c>
    </row>
    <row r="291" spans="1:16" ht="15">
      <c r="A291" s="311" t="s">
        <v>67</v>
      </c>
      <c r="B291" s="312"/>
      <c r="C291" s="313"/>
      <c r="D291" s="311" t="s">
        <v>68</v>
      </c>
      <c r="E291" s="312"/>
      <c r="F291" s="313"/>
      <c r="G291" s="311" t="s">
        <v>69</v>
      </c>
      <c r="H291" s="312"/>
      <c r="I291" s="313"/>
      <c r="J291" s="311" t="s">
        <v>70</v>
      </c>
      <c r="K291" s="312"/>
      <c r="L291" s="313"/>
      <c r="M291" s="314" t="s">
        <v>71</v>
      </c>
      <c r="N291" s="314"/>
      <c r="O291" s="314"/>
      <c r="P291" s="65"/>
    </row>
    <row r="292" spans="1:16" ht="15">
      <c r="A292" s="10" t="s">
        <v>72</v>
      </c>
      <c r="B292" s="10" t="s">
        <v>73</v>
      </c>
      <c r="C292" s="55" t="s">
        <v>45</v>
      </c>
      <c r="D292" s="10" t="s">
        <v>72</v>
      </c>
      <c r="E292" s="10" t="s">
        <v>73</v>
      </c>
      <c r="F292" s="55" t="s">
        <v>45</v>
      </c>
      <c r="G292" s="10" t="s">
        <v>72</v>
      </c>
      <c r="H292" s="10" t="s">
        <v>73</v>
      </c>
      <c r="I292" s="55" t="s">
        <v>45</v>
      </c>
      <c r="J292" s="188" t="s">
        <v>72</v>
      </c>
      <c r="K292" s="188" t="s">
        <v>73</v>
      </c>
      <c r="L292" s="192" t="s">
        <v>45</v>
      </c>
      <c r="M292" s="188" t="s">
        <v>72</v>
      </c>
      <c r="N292" s="188" t="s">
        <v>73</v>
      </c>
      <c r="O292" s="192" t="s">
        <v>45</v>
      </c>
      <c r="P292" s="13"/>
    </row>
    <row r="293" spans="1:16" ht="15">
      <c r="A293" s="38"/>
      <c r="B293" s="38"/>
      <c r="C293" s="38"/>
      <c r="D293" s="38"/>
      <c r="E293" s="38"/>
      <c r="F293" s="38"/>
      <c r="G293" s="38"/>
      <c r="H293" s="38"/>
      <c r="I293" s="38"/>
      <c r="J293" s="187"/>
      <c r="K293" s="187"/>
      <c r="L293" s="187"/>
      <c r="M293" s="187"/>
      <c r="N293" s="187"/>
      <c r="O293" s="187"/>
      <c r="P293" s="43"/>
    </row>
    <row r="294" spans="1:16" ht="15" customHeight="1">
      <c r="A294" s="311" t="s">
        <v>74</v>
      </c>
      <c r="B294" s="312"/>
      <c r="C294" s="313"/>
      <c r="D294" s="311" t="s">
        <v>75</v>
      </c>
      <c r="E294" s="312"/>
      <c r="F294" s="313"/>
      <c r="G294" s="311" t="s">
        <v>76</v>
      </c>
      <c r="H294" s="312"/>
      <c r="I294" s="313"/>
      <c r="J294" s="258"/>
      <c r="K294" s="258"/>
      <c r="L294" s="258"/>
      <c r="M294" s="258"/>
      <c r="N294" s="258"/>
      <c r="O294" s="258"/>
      <c r="P294" s="13"/>
    </row>
    <row r="295" spans="1:16" ht="15">
      <c r="A295" s="10" t="s">
        <v>72</v>
      </c>
      <c r="B295" s="10" t="s">
        <v>73</v>
      </c>
      <c r="C295" s="55" t="s">
        <v>45</v>
      </c>
      <c r="D295" s="10" t="s">
        <v>72</v>
      </c>
      <c r="E295" s="10" t="s">
        <v>73</v>
      </c>
      <c r="F295" s="55" t="s">
        <v>45</v>
      </c>
      <c r="G295" s="10" t="s">
        <v>72</v>
      </c>
      <c r="H295" s="10" t="s">
        <v>73</v>
      </c>
      <c r="I295" s="55" t="s">
        <v>45</v>
      </c>
      <c r="J295" s="258"/>
      <c r="K295" s="258"/>
      <c r="L295" s="258"/>
      <c r="M295" s="258"/>
      <c r="N295" s="258"/>
      <c r="O295" s="258"/>
      <c r="P295" s="13"/>
    </row>
    <row r="296" spans="1:16" ht="15">
      <c r="A296" s="194"/>
      <c r="B296" s="194"/>
      <c r="C296" s="194"/>
      <c r="D296" s="170"/>
      <c r="E296" s="170"/>
      <c r="F296" s="170"/>
      <c r="G296" s="170"/>
      <c r="H296" s="170"/>
      <c r="I296" s="193"/>
      <c r="J296" s="258"/>
      <c r="K296" s="258"/>
      <c r="L296" s="258"/>
      <c r="M296" s="258"/>
      <c r="N296" s="258"/>
      <c r="O296" s="258"/>
      <c r="P296" s="13"/>
    </row>
    <row r="297" spans="1:16">
      <c r="A297" s="301"/>
      <c r="B297" s="301"/>
      <c r="C297" s="301"/>
      <c r="D297" s="301"/>
      <c r="E297" s="301"/>
      <c r="F297" s="301"/>
      <c r="G297" s="301"/>
      <c r="H297" s="301"/>
      <c r="I297" s="301"/>
      <c r="J297" s="301"/>
      <c r="K297" s="301"/>
      <c r="L297" s="301"/>
      <c r="M297" s="301"/>
      <c r="N297" s="301"/>
      <c r="O297" s="301"/>
      <c r="P297" s="301"/>
    </row>
    <row r="298" spans="1:16" ht="22.5">
      <c r="A298" s="362" t="s">
        <v>1292</v>
      </c>
      <c r="B298" s="363"/>
      <c r="C298" s="363"/>
      <c r="D298" s="363"/>
      <c r="E298" s="363"/>
      <c r="F298" s="363"/>
      <c r="G298" s="363"/>
      <c r="H298" s="363"/>
      <c r="I298" s="363"/>
      <c r="J298" s="363"/>
      <c r="K298" s="363"/>
      <c r="L298" s="364"/>
      <c r="M298" s="344"/>
      <c r="N298" s="345"/>
      <c r="O298" s="345"/>
      <c r="P298" s="346"/>
    </row>
    <row r="299" spans="1:16" ht="20.25">
      <c r="A299" s="315" t="s">
        <v>127</v>
      </c>
      <c r="B299" s="316"/>
      <c r="C299" s="316"/>
      <c r="D299" s="316"/>
      <c r="E299" s="316"/>
      <c r="F299" s="316"/>
      <c r="G299" s="316"/>
      <c r="H299" s="316"/>
      <c r="I299" s="316"/>
      <c r="J299" s="316"/>
      <c r="K299" s="316"/>
      <c r="L299" s="317"/>
      <c r="M299" s="347"/>
      <c r="N299" s="348"/>
      <c r="O299" s="348"/>
      <c r="P299" s="349"/>
    </row>
    <row r="300" spans="1:16" ht="99.75">
      <c r="A300" s="28" t="s">
        <v>0</v>
      </c>
      <c r="B300" s="28" t="s">
        <v>53</v>
      </c>
      <c r="C300" s="28" t="s">
        <v>61</v>
      </c>
      <c r="D300" s="28" t="s">
        <v>62</v>
      </c>
      <c r="E300" s="28" t="s">
        <v>128</v>
      </c>
      <c r="F300" s="28" t="s">
        <v>56</v>
      </c>
      <c r="G300" s="29" t="s">
        <v>63</v>
      </c>
      <c r="H300" s="28" t="s">
        <v>130</v>
      </c>
      <c r="I300" s="28" t="s">
        <v>57</v>
      </c>
      <c r="J300" s="29" t="s">
        <v>64</v>
      </c>
      <c r="K300" s="30" t="s">
        <v>65</v>
      </c>
      <c r="L300" s="30" t="s">
        <v>59</v>
      </c>
      <c r="M300" s="347"/>
      <c r="N300" s="348"/>
      <c r="O300" s="348"/>
      <c r="P300" s="349"/>
    </row>
    <row r="301" spans="1:16" ht="15" customHeight="1">
      <c r="A301" s="40">
        <v>1</v>
      </c>
      <c r="B301" s="40">
        <v>2</v>
      </c>
      <c r="C301" s="40">
        <v>3</v>
      </c>
      <c r="D301" s="40">
        <v>4</v>
      </c>
      <c r="E301" s="40">
        <v>5</v>
      </c>
      <c r="F301" s="40">
        <v>6</v>
      </c>
      <c r="G301" s="40">
        <v>7</v>
      </c>
      <c r="H301" s="40">
        <v>8</v>
      </c>
      <c r="I301" s="25">
        <v>9</v>
      </c>
      <c r="J301" s="40">
        <v>10</v>
      </c>
      <c r="K301" s="40">
        <v>11</v>
      </c>
      <c r="L301" s="41">
        <v>12</v>
      </c>
      <c r="M301" s="347"/>
      <c r="N301" s="348"/>
      <c r="O301" s="348"/>
      <c r="P301" s="349"/>
    </row>
    <row r="302" spans="1:16">
      <c r="A302" s="27"/>
      <c r="B302" s="21"/>
      <c r="C302" s="21"/>
      <c r="D302" s="15"/>
      <c r="E302" s="23"/>
      <c r="F302" s="23"/>
      <c r="G302" s="32"/>
      <c r="H302" s="23"/>
      <c r="I302" s="23"/>
      <c r="J302" s="32"/>
      <c r="K302" s="31"/>
      <c r="L302" s="58"/>
      <c r="M302" s="347"/>
      <c r="N302" s="348"/>
      <c r="O302" s="348"/>
      <c r="P302" s="349"/>
    </row>
    <row r="303" spans="1:16">
      <c r="A303" s="20"/>
      <c r="B303" s="20"/>
      <c r="C303" s="20"/>
      <c r="D303" s="20"/>
      <c r="E303" s="33"/>
      <c r="F303" s="33"/>
      <c r="G303" s="33"/>
      <c r="H303" s="33"/>
      <c r="I303" s="35"/>
      <c r="J303" s="33"/>
      <c r="K303" s="33"/>
      <c r="L303" s="34"/>
      <c r="M303" s="350"/>
      <c r="N303" s="351"/>
      <c r="O303" s="351"/>
      <c r="P303" s="352"/>
    </row>
    <row r="304" spans="1:16" ht="28.5">
      <c r="A304" s="311" t="s">
        <v>66</v>
      </c>
      <c r="B304" s="312"/>
      <c r="C304" s="312"/>
      <c r="D304" s="312"/>
      <c r="E304" s="312"/>
      <c r="F304" s="312"/>
      <c r="G304" s="312"/>
      <c r="H304" s="312"/>
      <c r="I304" s="312"/>
      <c r="J304" s="312"/>
      <c r="K304" s="312"/>
      <c r="L304" s="312"/>
      <c r="M304" s="312"/>
      <c r="N304" s="312"/>
      <c r="O304" s="313"/>
      <c r="P304" s="61" t="s">
        <v>60</v>
      </c>
    </row>
    <row r="305" spans="1:16">
      <c r="A305" s="311">
        <v>13</v>
      </c>
      <c r="B305" s="312"/>
      <c r="C305" s="312"/>
      <c r="D305" s="312"/>
      <c r="E305" s="312"/>
      <c r="F305" s="312"/>
      <c r="G305" s="312"/>
      <c r="H305" s="312"/>
      <c r="I305" s="312"/>
      <c r="J305" s="312"/>
      <c r="K305" s="312"/>
      <c r="L305" s="312"/>
      <c r="M305" s="312"/>
      <c r="N305" s="312"/>
      <c r="O305" s="313"/>
      <c r="P305" s="50">
        <v>14</v>
      </c>
    </row>
    <row r="306" spans="1:16">
      <c r="A306" s="311" t="s">
        <v>67</v>
      </c>
      <c r="B306" s="312"/>
      <c r="C306" s="313"/>
      <c r="D306" s="311" t="s">
        <v>68</v>
      </c>
      <c r="E306" s="312"/>
      <c r="F306" s="313"/>
      <c r="G306" s="311" t="s">
        <v>69</v>
      </c>
      <c r="H306" s="312"/>
      <c r="I306" s="313"/>
      <c r="J306" s="311" t="s">
        <v>70</v>
      </c>
      <c r="K306" s="312"/>
      <c r="L306" s="313"/>
      <c r="M306" s="314" t="s">
        <v>71</v>
      </c>
      <c r="N306" s="314"/>
      <c r="O306" s="314"/>
      <c r="P306" s="13"/>
    </row>
    <row r="307" spans="1:16" ht="15">
      <c r="A307" s="10" t="s">
        <v>72</v>
      </c>
      <c r="B307" s="10" t="s">
        <v>73</v>
      </c>
      <c r="C307" s="55" t="s">
        <v>45</v>
      </c>
      <c r="D307" s="10" t="s">
        <v>72</v>
      </c>
      <c r="E307" s="10" t="s">
        <v>73</v>
      </c>
      <c r="F307" s="55" t="s">
        <v>45</v>
      </c>
      <c r="G307" s="10" t="s">
        <v>72</v>
      </c>
      <c r="H307" s="10" t="s">
        <v>73</v>
      </c>
      <c r="I307" s="55" t="s">
        <v>45</v>
      </c>
      <c r="J307" s="10" t="s">
        <v>72</v>
      </c>
      <c r="K307" s="10" t="s">
        <v>73</v>
      </c>
      <c r="L307" s="55" t="s">
        <v>45</v>
      </c>
      <c r="M307" s="188" t="s">
        <v>72</v>
      </c>
      <c r="N307" s="188" t="s">
        <v>73</v>
      </c>
      <c r="O307" s="192" t="s">
        <v>45</v>
      </c>
      <c r="P307" s="13"/>
    </row>
    <row r="308" spans="1:16" ht="15">
      <c r="A308" s="38"/>
      <c r="B308" s="38"/>
      <c r="C308" s="38"/>
      <c r="D308" s="38"/>
      <c r="E308" s="38"/>
      <c r="F308" s="38"/>
      <c r="G308" s="38"/>
      <c r="H308" s="38"/>
      <c r="I308" s="38"/>
      <c r="J308" s="38"/>
      <c r="K308" s="38"/>
      <c r="L308" s="38"/>
      <c r="M308" s="187"/>
      <c r="N308" s="187"/>
      <c r="O308" s="187"/>
      <c r="P308" s="13"/>
    </row>
    <row r="309" spans="1:16" ht="15" customHeight="1">
      <c r="A309" s="311" t="s">
        <v>74</v>
      </c>
      <c r="B309" s="312"/>
      <c r="C309" s="313"/>
      <c r="D309" s="311" t="s">
        <v>75</v>
      </c>
      <c r="E309" s="312"/>
      <c r="F309" s="313"/>
      <c r="G309" s="311" t="s">
        <v>76</v>
      </c>
      <c r="H309" s="312"/>
      <c r="I309" s="313"/>
      <c r="J309" s="258"/>
      <c r="K309" s="258"/>
      <c r="L309" s="258"/>
      <c r="M309" s="258"/>
      <c r="N309" s="258"/>
      <c r="O309" s="258"/>
      <c r="P309" s="13"/>
    </row>
    <row r="310" spans="1:16" ht="15">
      <c r="A310" s="10" t="s">
        <v>72</v>
      </c>
      <c r="B310" s="10" t="s">
        <v>73</v>
      </c>
      <c r="C310" s="55" t="s">
        <v>45</v>
      </c>
      <c r="D310" s="10" t="s">
        <v>72</v>
      </c>
      <c r="E310" s="10" t="s">
        <v>73</v>
      </c>
      <c r="F310" s="55" t="s">
        <v>45</v>
      </c>
      <c r="G310" s="10" t="s">
        <v>72</v>
      </c>
      <c r="H310" s="10" t="s">
        <v>73</v>
      </c>
      <c r="I310" s="55" t="s">
        <v>45</v>
      </c>
      <c r="J310" s="258"/>
      <c r="K310" s="258"/>
      <c r="L310" s="258"/>
      <c r="M310" s="258"/>
      <c r="N310" s="258"/>
      <c r="O310" s="258"/>
      <c r="P310" s="13"/>
    </row>
    <row r="311" spans="1:16" ht="15">
      <c r="A311" s="194"/>
      <c r="B311" s="194"/>
      <c r="C311" s="194"/>
      <c r="D311" s="170"/>
      <c r="E311" s="170"/>
      <c r="F311" s="170"/>
      <c r="G311" s="170"/>
      <c r="H311" s="170"/>
      <c r="I311" s="193"/>
      <c r="J311" s="368"/>
      <c r="K311" s="368"/>
      <c r="L311" s="368"/>
      <c r="M311" s="368"/>
      <c r="N311" s="368"/>
      <c r="O311" s="368"/>
      <c r="P311" s="13"/>
    </row>
    <row r="312" spans="1:16" ht="15">
      <c r="A312" s="258"/>
      <c r="B312" s="258"/>
      <c r="C312" s="258"/>
      <c r="D312" s="258"/>
      <c r="E312" s="258"/>
      <c r="F312" s="258"/>
      <c r="G312" s="258"/>
      <c r="H312" s="258"/>
      <c r="I312" s="258"/>
      <c r="J312" s="258"/>
      <c r="K312" s="258"/>
      <c r="L312" s="258"/>
      <c r="M312" s="258"/>
      <c r="N312" s="258"/>
      <c r="O312" s="258"/>
      <c r="P312" s="258"/>
    </row>
  </sheetData>
  <mergeCells count="351">
    <mergeCell ref="M114:P136"/>
    <mergeCell ref="D136:L136"/>
    <mergeCell ref="M163:P167"/>
    <mergeCell ref="M253:P258"/>
    <mergeCell ref="M268:P273"/>
    <mergeCell ref="M298:P303"/>
    <mergeCell ref="A142:C142"/>
    <mergeCell ref="D142:F142"/>
    <mergeCell ref="D118:L118"/>
    <mergeCell ref="D119:L119"/>
    <mergeCell ref="D120:L120"/>
    <mergeCell ref="D121:L121"/>
    <mergeCell ref="D127:L127"/>
    <mergeCell ref="D128:L128"/>
    <mergeCell ref="D129:L129"/>
    <mergeCell ref="D130:L130"/>
    <mergeCell ref="D131:L131"/>
    <mergeCell ref="D132:L132"/>
    <mergeCell ref="D133:L133"/>
    <mergeCell ref="D122:L122"/>
    <mergeCell ref="D123:L123"/>
    <mergeCell ref="D124:L124"/>
    <mergeCell ref="D125:L125"/>
    <mergeCell ref="D126:L126"/>
    <mergeCell ref="J279:O281"/>
    <mergeCell ref="J264:O266"/>
    <mergeCell ref="J248:O251"/>
    <mergeCell ref="J233:O235"/>
    <mergeCell ref="J218:O220"/>
    <mergeCell ref="A236:P236"/>
    <mergeCell ref="A229:O229"/>
    <mergeCell ref="A228:O228"/>
    <mergeCell ref="A248:C248"/>
    <mergeCell ref="D248:F248"/>
    <mergeCell ref="M245:O245"/>
    <mergeCell ref="A233:C233"/>
    <mergeCell ref="A223:L223"/>
    <mergeCell ref="A226:L226"/>
    <mergeCell ref="A227:L227"/>
    <mergeCell ref="A218:C218"/>
    <mergeCell ref="D218:F218"/>
    <mergeCell ref="A243:O243"/>
    <mergeCell ref="G218:I218"/>
    <mergeCell ref="M230:O230"/>
    <mergeCell ref="P245:P251"/>
    <mergeCell ref="A211:L211"/>
    <mergeCell ref="A212:L212"/>
    <mergeCell ref="A257:L257"/>
    <mergeCell ref="A258:L258"/>
    <mergeCell ref="A135:L135"/>
    <mergeCell ref="A113:P113"/>
    <mergeCell ref="A154:O154"/>
    <mergeCell ref="A152:L152"/>
    <mergeCell ref="G158:I158"/>
    <mergeCell ref="A114:L114"/>
    <mergeCell ref="P217:P220"/>
    <mergeCell ref="M215:O215"/>
    <mergeCell ref="A184:O184"/>
    <mergeCell ref="A183:O183"/>
    <mergeCell ref="A185:C185"/>
    <mergeCell ref="J185:L185"/>
    <mergeCell ref="A193:L193"/>
    <mergeCell ref="A207:L207"/>
    <mergeCell ref="A208:L208"/>
    <mergeCell ref="A173:C173"/>
    <mergeCell ref="D173:F173"/>
    <mergeCell ref="G173:I173"/>
    <mergeCell ref="A178:L178"/>
    <mergeCell ref="A188:C188"/>
    <mergeCell ref="A221:P221"/>
    <mergeCell ref="D185:F185"/>
    <mergeCell ref="A27:O27"/>
    <mergeCell ref="A28:O28"/>
    <mergeCell ref="A30:C30"/>
    <mergeCell ref="D30:F30"/>
    <mergeCell ref="G30:I30"/>
    <mergeCell ref="J30:L30"/>
    <mergeCell ref="M30:O30"/>
    <mergeCell ref="A22:L22"/>
    <mergeCell ref="A206:P206"/>
    <mergeCell ref="A176:P176"/>
    <mergeCell ref="A96:P96"/>
    <mergeCell ref="A51:P51"/>
    <mergeCell ref="A81:P81"/>
    <mergeCell ref="A112:P112"/>
    <mergeCell ref="A146:P146"/>
    <mergeCell ref="J203:O205"/>
    <mergeCell ref="A177:P177"/>
    <mergeCell ref="A192:P192"/>
    <mergeCell ref="J188:O190"/>
    <mergeCell ref="J173:O175"/>
    <mergeCell ref="J158:O160"/>
    <mergeCell ref="J78:O78"/>
    <mergeCell ref="J79:O79"/>
    <mergeCell ref="G33:I33"/>
    <mergeCell ref="J33:O33"/>
    <mergeCell ref="J34:O34"/>
    <mergeCell ref="J35:O35"/>
    <mergeCell ref="A33:C33"/>
    <mergeCell ref="D33:F33"/>
    <mergeCell ref="J80:O80"/>
    <mergeCell ref="A98:L98"/>
    <mergeCell ref="D45:F45"/>
    <mergeCell ref="G45:I45"/>
    <mergeCell ref="A43:O43"/>
    <mergeCell ref="J93:O93"/>
    <mergeCell ref="J94:O94"/>
    <mergeCell ref="J95:O95"/>
    <mergeCell ref="M98:P102"/>
    <mergeCell ref="A101:L101"/>
    <mergeCell ref="A102:L102"/>
    <mergeCell ref="A82:P82"/>
    <mergeCell ref="A97:P97"/>
    <mergeCell ref="J45:L45"/>
    <mergeCell ref="M45:O45"/>
    <mergeCell ref="A48:C48"/>
    <mergeCell ref="D48:F48"/>
    <mergeCell ref="G48:I48"/>
    <mergeCell ref="A66:P66"/>
    <mergeCell ref="G93:I93"/>
    <mergeCell ref="A88:O88"/>
    <mergeCell ref="A104:O104"/>
    <mergeCell ref="A105:C105"/>
    <mergeCell ref="D105:F105"/>
    <mergeCell ref="M111:O111"/>
    <mergeCell ref="M109:O109"/>
    <mergeCell ref="C72:L72"/>
    <mergeCell ref="A78:C78"/>
    <mergeCell ref="D78:F78"/>
    <mergeCell ref="J109:L109"/>
    <mergeCell ref="G105:I105"/>
    <mergeCell ref="J105:L105"/>
    <mergeCell ref="M105:O105"/>
    <mergeCell ref="A109:C109"/>
    <mergeCell ref="D109:F109"/>
    <mergeCell ref="M83:P87"/>
    <mergeCell ref="J48:L48"/>
    <mergeCell ref="A53:L53"/>
    <mergeCell ref="A203:C203"/>
    <mergeCell ref="D203:F203"/>
    <mergeCell ref="G203:I203"/>
    <mergeCell ref="A197:L197"/>
    <mergeCell ref="A200:C200"/>
    <mergeCell ref="M110:O110"/>
    <mergeCell ref="A93:C93"/>
    <mergeCell ref="D93:F93"/>
    <mergeCell ref="A89:O89"/>
    <mergeCell ref="A90:C90"/>
    <mergeCell ref="D90:F90"/>
    <mergeCell ref="G90:I90"/>
    <mergeCell ref="J90:L90"/>
    <mergeCell ref="M90:O90"/>
    <mergeCell ref="G109:I109"/>
    <mergeCell ref="A103:O103"/>
    <mergeCell ref="G200:I200"/>
    <mergeCell ref="J200:L200"/>
    <mergeCell ref="M200:O200"/>
    <mergeCell ref="A181:L181"/>
    <mergeCell ref="A182:L182"/>
    <mergeCell ref="A191:P191"/>
    <mergeCell ref="G185:I185"/>
    <mergeCell ref="M185:O185"/>
    <mergeCell ref="A196:L196"/>
    <mergeCell ref="A214:O214"/>
    <mergeCell ref="A213:O213"/>
    <mergeCell ref="A199:O199"/>
    <mergeCell ref="A198:O198"/>
    <mergeCell ref="A215:C215"/>
    <mergeCell ref="D215:F215"/>
    <mergeCell ref="G215:I215"/>
    <mergeCell ref="J215:L215"/>
    <mergeCell ref="D188:F188"/>
    <mergeCell ref="G188:I188"/>
    <mergeCell ref="D200:F200"/>
    <mergeCell ref="A253:L253"/>
    <mergeCell ref="A254:L254"/>
    <mergeCell ref="D233:F233"/>
    <mergeCell ref="G233:I233"/>
    <mergeCell ref="A237:L237"/>
    <mergeCell ref="A238:L238"/>
    <mergeCell ref="G248:I248"/>
    <mergeCell ref="A245:C245"/>
    <mergeCell ref="A222:L222"/>
    <mergeCell ref="A230:C230"/>
    <mergeCell ref="D230:F230"/>
    <mergeCell ref="G230:I230"/>
    <mergeCell ref="J230:L230"/>
    <mergeCell ref="A242:L242"/>
    <mergeCell ref="D245:F245"/>
    <mergeCell ref="G245:I245"/>
    <mergeCell ref="J245:L245"/>
    <mergeCell ref="A241:L241"/>
    <mergeCell ref="D294:F294"/>
    <mergeCell ref="G294:I294"/>
    <mergeCell ref="A298:L298"/>
    <mergeCell ref="A299:L299"/>
    <mergeCell ref="A305:O305"/>
    <mergeCell ref="A304:O304"/>
    <mergeCell ref="J294:O296"/>
    <mergeCell ref="A259:O259"/>
    <mergeCell ref="A244:O244"/>
    <mergeCell ref="A283:D283"/>
    <mergeCell ref="A260:O260"/>
    <mergeCell ref="M261:O261"/>
    <mergeCell ref="A276:C276"/>
    <mergeCell ref="D276:F276"/>
    <mergeCell ref="G276:I276"/>
    <mergeCell ref="J276:L276"/>
    <mergeCell ref="A261:C261"/>
    <mergeCell ref="D261:F261"/>
    <mergeCell ref="G261:I261"/>
    <mergeCell ref="J261:L261"/>
    <mergeCell ref="A252:P252"/>
    <mergeCell ref="A267:P267"/>
    <mergeCell ref="A282:P282"/>
    <mergeCell ref="A287:L287"/>
    <mergeCell ref="A309:C309"/>
    <mergeCell ref="D309:F309"/>
    <mergeCell ref="G309:I309"/>
    <mergeCell ref="A306:C306"/>
    <mergeCell ref="D306:F306"/>
    <mergeCell ref="G306:I306"/>
    <mergeCell ref="J306:L306"/>
    <mergeCell ref="M306:O306"/>
    <mergeCell ref="A297:P297"/>
    <mergeCell ref="J309:O311"/>
    <mergeCell ref="A288:L288"/>
    <mergeCell ref="A312:P312"/>
    <mergeCell ref="M276:O276"/>
    <mergeCell ref="A264:C264"/>
    <mergeCell ref="D264:F264"/>
    <mergeCell ref="G264:I264"/>
    <mergeCell ref="A268:L268"/>
    <mergeCell ref="A269:L269"/>
    <mergeCell ref="A291:C291"/>
    <mergeCell ref="D291:F291"/>
    <mergeCell ref="G291:I291"/>
    <mergeCell ref="J291:L291"/>
    <mergeCell ref="M291:O291"/>
    <mergeCell ref="A279:C279"/>
    <mergeCell ref="D279:F279"/>
    <mergeCell ref="G279:I279"/>
    <mergeCell ref="A284:L284"/>
    <mergeCell ref="A294:C294"/>
    <mergeCell ref="A272:L272"/>
    <mergeCell ref="A273:L273"/>
    <mergeCell ref="A290:O290"/>
    <mergeCell ref="A289:O289"/>
    <mergeCell ref="A275:O275"/>
    <mergeCell ref="A274:O274"/>
    <mergeCell ref="A36:P36"/>
    <mergeCell ref="M75:O75"/>
    <mergeCell ref="A63:C63"/>
    <mergeCell ref="D63:F63"/>
    <mergeCell ref="G63:I63"/>
    <mergeCell ref="A68:L68"/>
    <mergeCell ref="A58:O58"/>
    <mergeCell ref="A59:O59"/>
    <mergeCell ref="A60:C60"/>
    <mergeCell ref="D60:F60"/>
    <mergeCell ref="G60:I60"/>
    <mergeCell ref="J60:L60"/>
    <mergeCell ref="M60:O60"/>
    <mergeCell ref="G75:I75"/>
    <mergeCell ref="J75:L75"/>
    <mergeCell ref="J50:O50"/>
    <mergeCell ref="J49:O49"/>
    <mergeCell ref="M38:P42"/>
    <mergeCell ref="M53:P57"/>
    <mergeCell ref="M68:P72"/>
    <mergeCell ref="A37:P37"/>
    <mergeCell ref="A52:P52"/>
    <mergeCell ref="A67:P67"/>
    <mergeCell ref="A38:L38"/>
    <mergeCell ref="G143:I143"/>
    <mergeCell ref="A137:O137"/>
    <mergeCell ref="A138:O138"/>
    <mergeCell ref="A139:C139"/>
    <mergeCell ref="D139:F139"/>
    <mergeCell ref="G139:I139"/>
    <mergeCell ref="J139:L139"/>
    <mergeCell ref="A143:C143"/>
    <mergeCell ref="D143:F143"/>
    <mergeCell ref="M139:O139"/>
    <mergeCell ref="A20:P20"/>
    <mergeCell ref="M3:P7"/>
    <mergeCell ref="A21:P21"/>
    <mergeCell ref="M22:P26"/>
    <mergeCell ref="A3:L3"/>
    <mergeCell ref="A8:O8"/>
    <mergeCell ref="A9:O9"/>
    <mergeCell ref="A6:L6"/>
    <mergeCell ref="A7:L7"/>
    <mergeCell ref="A25:L25"/>
    <mergeCell ref="A26:L26"/>
    <mergeCell ref="B15:P15"/>
    <mergeCell ref="B16:P16"/>
    <mergeCell ref="M10:O10"/>
    <mergeCell ref="A10:C10"/>
    <mergeCell ref="D10:F10"/>
    <mergeCell ref="J12:O12"/>
    <mergeCell ref="J13:O13"/>
    <mergeCell ref="J14:O14"/>
    <mergeCell ref="A1:P1"/>
    <mergeCell ref="A41:L41"/>
    <mergeCell ref="A42:L42"/>
    <mergeCell ref="A56:L56"/>
    <mergeCell ref="A57:L57"/>
    <mergeCell ref="A71:L71"/>
    <mergeCell ref="A86:L86"/>
    <mergeCell ref="A87:L87"/>
    <mergeCell ref="M48:O48"/>
    <mergeCell ref="A44:O44"/>
    <mergeCell ref="A45:C45"/>
    <mergeCell ref="A73:O73"/>
    <mergeCell ref="A74:O74"/>
    <mergeCell ref="G78:I78"/>
    <mergeCell ref="A83:L83"/>
    <mergeCell ref="A75:C75"/>
    <mergeCell ref="D75:F75"/>
    <mergeCell ref="J10:L10"/>
    <mergeCell ref="G10:I10"/>
    <mergeCell ref="A29:O29"/>
    <mergeCell ref="A2:P2"/>
    <mergeCell ref="B17:P17"/>
    <mergeCell ref="B18:P18"/>
    <mergeCell ref="B19:P19"/>
    <mergeCell ref="A147:P147"/>
    <mergeCell ref="J166:L166"/>
    <mergeCell ref="A167:L167"/>
    <mergeCell ref="A158:C158"/>
    <mergeCell ref="D158:F158"/>
    <mergeCell ref="A168:O168"/>
    <mergeCell ref="A169:O169"/>
    <mergeCell ref="A170:C170"/>
    <mergeCell ref="D170:F170"/>
    <mergeCell ref="A148:L148"/>
    <mergeCell ref="A163:L163"/>
    <mergeCell ref="A162:P162"/>
    <mergeCell ref="D155:F155"/>
    <mergeCell ref="G155:I155"/>
    <mergeCell ref="J155:L155"/>
    <mergeCell ref="M155:O155"/>
    <mergeCell ref="A155:C155"/>
    <mergeCell ref="M170:O170"/>
    <mergeCell ref="J170:L170"/>
    <mergeCell ref="A151:L151"/>
    <mergeCell ref="A153:O153"/>
    <mergeCell ref="G170:I170"/>
    <mergeCell ref="A161:P161"/>
    <mergeCell ref="M148:P152"/>
  </mergeCells>
  <pageMargins left="1.5" right="0.7" top="0.75" bottom="0.75" header="0.3" footer="0.3"/>
  <pageSetup paperSize="5" scale="51" orientation="landscape" r:id="rId1"/>
</worksheet>
</file>

<file path=xl/worksheets/sheet4.xml><?xml version="1.0" encoding="utf-8"?>
<worksheet xmlns="http://schemas.openxmlformats.org/spreadsheetml/2006/main" xmlns:r="http://schemas.openxmlformats.org/officeDocument/2006/relationships">
  <dimension ref="A1:N249"/>
  <sheetViews>
    <sheetView tabSelected="1" view="pageBreakPreview" zoomScale="90" zoomScaleSheetLayoutView="90" workbookViewId="0">
      <selection activeCell="E253" sqref="E253"/>
    </sheetView>
  </sheetViews>
  <sheetFormatPr defaultRowHeight="15"/>
  <cols>
    <col min="1" max="1" width="7.5703125" customWidth="1"/>
    <col min="2" max="2" width="15.7109375" customWidth="1"/>
    <col min="3" max="5" width="20.7109375" customWidth="1"/>
    <col min="6" max="9" width="12.7109375" customWidth="1"/>
    <col min="10" max="10" width="12.5703125" customWidth="1"/>
    <col min="11" max="13" width="12.7109375" customWidth="1"/>
    <col min="14" max="14" width="15.85546875" customWidth="1"/>
  </cols>
  <sheetData>
    <row r="1" spans="1:14" ht="25.5">
      <c r="A1" s="260" t="s">
        <v>1206</v>
      </c>
      <c r="B1" s="260"/>
      <c r="C1" s="260"/>
      <c r="D1" s="260"/>
      <c r="E1" s="260"/>
      <c r="F1" s="260"/>
      <c r="G1" s="260"/>
      <c r="H1" s="260"/>
      <c r="I1" s="260"/>
      <c r="J1" s="260"/>
      <c r="K1" s="260"/>
      <c r="L1" s="260"/>
      <c r="M1" s="260"/>
      <c r="N1" s="260"/>
    </row>
    <row r="2" spans="1:14" ht="22.5" customHeight="1">
      <c r="A2" s="261" t="s">
        <v>1199</v>
      </c>
      <c r="B2" s="261"/>
      <c r="C2" s="261"/>
      <c r="D2" s="261"/>
      <c r="E2" s="261"/>
      <c r="F2" s="261"/>
      <c r="G2" s="261"/>
      <c r="H2" s="261"/>
      <c r="I2" s="261"/>
      <c r="J2" s="261"/>
      <c r="K2" s="261"/>
      <c r="L2" s="261"/>
      <c r="M2" s="261"/>
      <c r="N2" s="261"/>
    </row>
    <row r="3" spans="1:14" ht="71.25">
      <c r="A3" s="224" t="s">
        <v>0</v>
      </c>
      <c r="B3" s="25" t="s">
        <v>53</v>
      </c>
      <c r="C3" s="224" t="s">
        <v>80</v>
      </c>
      <c r="D3" s="24" t="s">
        <v>81</v>
      </c>
      <c r="E3" s="24" t="s">
        <v>82</v>
      </c>
      <c r="F3" s="25" t="s">
        <v>120</v>
      </c>
      <c r="G3" s="25" t="s">
        <v>121</v>
      </c>
      <c r="H3" s="25" t="s">
        <v>83</v>
      </c>
      <c r="I3" s="25" t="s">
        <v>84</v>
      </c>
      <c r="J3" s="25" t="s">
        <v>85</v>
      </c>
      <c r="K3" s="25" t="s">
        <v>86</v>
      </c>
      <c r="L3" s="25" t="s">
        <v>87</v>
      </c>
      <c r="M3" s="25" t="s">
        <v>88</v>
      </c>
      <c r="N3" s="25" t="s">
        <v>89</v>
      </c>
    </row>
    <row r="4" spans="1:14">
      <c r="A4" s="224">
        <v>1</v>
      </c>
      <c r="B4" s="224">
        <v>2</v>
      </c>
      <c r="C4" s="224">
        <v>3</v>
      </c>
      <c r="D4" s="224">
        <v>4</v>
      </c>
      <c r="E4" s="224">
        <v>5</v>
      </c>
      <c r="F4" s="224">
        <v>6</v>
      </c>
      <c r="G4" s="224">
        <v>7</v>
      </c>
      <c r="H4" s="224">
        <v>8</v>
      </c>
      <c r="I4" s="25">
        <v>9</v>
      </c>
      <c r="J4" s="224">
        <v>10</v>
      </c>
      <c r="K4" s="224">
        <v>11</v>
      </c>
      <c r="L4" s="224">
        <v>12</v>
      </c>
      <c r="M4" s="224">
        <v>13</v>
      </c>
      <c r="N4" s="224">
        <v>14</v>
      </c>
    </row>
    <row r="5" spans="1:14" ht="90">
      <c r="A5" s="207">
        <v>1</v>
      </c>
      <c r="B5" s="217" t="s">
        <v>298</v>
      </c>
      <c r="C5" s="217" t="s">
        <v>12</v>
      </c>
      <c r="D5" s="217" t="s">
        <v>299</v>
      </c>
      <c r="E5" s="217" t="s">
        <v>300</v>
      </c>
      <c r="F5" s="207" t="s">
        <v>301</v>
      </c>
      <c r="G5" s="207" t="s">
        <v>301</v>
      </c>
      <c r="H5" s="207" t="s">
        <v>302</v>
      </c>
      <c r="I5" s="207" t="s">
        <v>303</v>
      </c>
      <c r="J5" s="207" t="s">
        <v>304</v>
      </c>
      <c r="K5" s="207" t="s">
        <v>305</v>
      </c>
      <c r="L5" s="207" t="s">
        <v>1205</v>
      </c>
      <c r="M5" s="207">
        <v>3390.62</v>
      </c>
      <c r="N5" s="220"/>
    </row>
    <row r="6" spans="1:14">
      <c r="A6" s="421"/>
      <c r="B6" s="421"/>
      <c r="C6" s="421"/>
      <c r="D6" s="421"/>
      <c r="E6" s="421"/>
      <c r="F6" s="421"/>
      <c r="G6" s="421"/>
      <c r="H6" s="421"/>
      <c r="I6" s="421"/>
      <c r="J6" s="421"/>
      <c r="K6" s="421"/>
      <c r="L6" s="421"/>
      <c r="M6" s="421"/>
      <c r="N6" s="421"/>
    </row>
    <row r="7" spans="1:14" ht="22.5" customHeight="1">
      <c r="A7" s="261" t="s">
        <v>1200</v>
      </c>
      <c r="B7" s="261"/>
      <c r="C7" s="261"/>
      <c r="D7" s="261"/>
      <c r="E7" s="261"/>
      <c r="F7" s="261"/>
      <c r="G7" s="261"/>
      <c r="H7" s="261"/>
      <c r="I7" s="261"/>
      <c r="J7" s="261"/>
      <c r="K7" s="261"/>
      <c r="L7" s="261"/>
      <c r="M7" s="261"/>
      <c r="N7" s="261"/>
    </row>
    <row r="8" spans="1:14" ht="71.25">
      <c r="A8" s="224" t="s">
        <v>0</v>
      </c>
      <c r="B8" s="25" t="s">
        <v>53</v>
      </c>
      <c r="C8" s="224" t="s">
        <v>80</v>
      </c>
      <c r="D8" s="24" t="s">
        <v>81</v>
      </c>
      <c r="E8" s="24" t="s">
        <v>82</v>
      </c>
      <c r="F8" s="25" t="s">
        <v>120</v>
      </c>
      <c r="G8" s="25" t="s">
        <v>121</v>
      </c>
      <c r="H8" s="25" t="s">
        <v>83</v>
      </c>
      <c r="I8" s="25" t="s">
        <v>84</v>
      </c>
      <c r="J8" s="25" t="s">
        <v>85</v>
      </c>
      <c r="K8" s="25" t="s">
        <v>86</v>
      </c>
      <c r="L8" s="25" t="s">
        <v>87</v>
      </c>
      <c r="M8" s="25" t="s">
        <v>88</v>
      </c>
      <c r="N8" s="25" t="s">
        <v>89</v>
      </c>
    </row>
    <row r="9" spans="1:14">
      <c r="A9" s="224">
        <v>1</v>
      </c>
      <c r="B9" s="224">
        <v>2</v>
      </c>
      <c r="C9" s="224">
        <v>3</v>
      </c>
      <c r="D9" s="224">
        <v>4</v>
      </c>
      <c r="E9" s="224">
        <v>5</v>
      </c>
      <c r="F9" s="224">
        <v>6</v>
      </c>
      <c r="G9" s="224">
        <v>7</v>
      </c>
      <c r="H9" s="224">
        <v>8</v>
      </c>
      <c r="I9" s="25">
        <v>9</v>
      </c>
      <c r="J9" s="224">
        <v>10</v>
      </c>
      <c r="K9" s="224">
        <v>11</v>
      </c>
      <c r="L9" s="224">
        <v>12</v>
      </c>
      <c r="M9" s="224">
        <v>13</v>
      </c>
      <c r="N9" s="224">
        <v>14</v>
      </c>
    </row>
    <row r="10" spans="1:14">
      <c r="A10" s="267" t="s">
        <v>27</v>
      </c>
      <c r="B10" s="267"/>
      <c r="C10" s="267"/>
      <c r="D10" s="267"/>
      <c r="E10" s="267"/>
      <c r="F10" s="267"/>
      <c r="G10" s="267"/>
      <c r="H10" s="267"/>
      <c r="I10" s="267"/>
      <c r="J10" s="267"/>
      <c r="K10" s="267"/>
      <c r="L10" s="267"/>
      <c r="M10" s="267"/>
      <c r="N10" s="267"/>
    </row>
    <row r="11" spans="1:14">
      <c r="A11" s="297"/>
      <c r="B11" s="297"/>
      <c r="C11" s="297"/>
      <c r="D11" s="297"/>
      <c r="E11" s="297"/>
      <c r="F11" s="297"/>
      <c r="G11" s="297"/>
      <c r="H11" s="297"/>
      <c r="I11" s="297"/>
      <c r="J11" s="297"/>
      <c r="K11" s="297"/>
      <c r="L11" s="297"/>
      <c r="M11" s="297"/>
      <c r="N11" s="297"/>
    </row>
    <row r="12" spans="1:14" ht="22.5" customHeight="1">
      <c r="A12" s="261" t="s">
        <v>1201</v>
      </c>
      <c r="B12" s="261"/>
      <c r="C12" s="261"/>
      <c r="D12" s="261"/>
      <c r="E12" s="261"/>
      <c r="F12" s="261"/>
      <c r="G12" s="261"/>
      <c r="H12" s="261"/>
      <c r="I12" s="261"/>
      <c r="J12" s="261"/>
      <c r="K12" s="261"/>
      <c r="L12" s="261"/>
      <c r="M12" s="261"/>
      <c r="N12" s="261"/>
    </row>
    <row r="13" spans="1:14" ht="71.25">
      <c r="A13" s="224" t="s">
        <v>0</v>
      </c>
      <c r="B13" s="25" t="s">
        <v>53</v>
      </c>
      <c r="C13" s="224" t="s">
        <v>80</v>
      </c>
      <c r="D13" s="24" t="s">
        <v>81</v>
      </c>
      <c r="E13" s="24" t="s">
        <v>82</v>
      </c>
      <c r="F13" s="25" t="s">
        <v>120</v>
      </c>
      <c r="G13" s="25" t="s">
        <v>121</v>
      </c>
      <c r="H13" s="25" t="s">
        <v>83</v>
      </c>
      <c r="I13" s="25" t="s">
        <v>84</v>
      </c>
      <c r="J13" s="25" t="s">
        <v>85</v>
      </c>
      <c r="K13" s="25" t="s">
        <v>86</v>
      </c>
      <c r="L13" s="25" t="s">
        <v>87</v>
      </c>
      <c r="M13" s="25" t="s">
        <v>88</v>
      </c>
      <c r="N13" s="25" t="s">
        <v>89</v>
      </c>
    </row>
    <row r="14" spans="1:14">
      <c r="A14" s="224">
        <v>1</v>
      </c>
      <c r="B14" s="224">
        <v>2</v>
      </c>
      <c r="C14" s="224">
        <v>3</v>
      </c>
      <c r="D14" s="224">
        <v>4</v>
      </c>
      <c r="E14" s="224">
        <v>5</v>
      </c>
      <c r="F14" s="224">
        <v>6</v>
      </c>
      <c r="G14" s="224">
        <v>7</v>
      </c>
      <c r="H14" s="224">
        <v>8</v>
      </c>
      <c r="I14" s="25">
        <v>9</v>
      </c>
      <c r="J14" s="224">
        <v>10</v>
      </c>
      <c r="K14" s="224">
        <v>11</v>
      </c>
      <c r="L14" s="224">
        <v>12</v>
      </c>
      <c r="M14" s="224">
        <v>13</v>
      </c>
      <c r="N14" s="224">
        <v>14</v>
      </c>
    </row>
    <row r="15" spans="1:14" ht="30">
      <c r="A15" s="211">
        <v>1</v>
      </c>
      <c r="B15" s="124" t="s">
        <v>144</v>
      </c>
      <c r="C15" s="265" t="s">
        <v>27</v>
      </c>
      <c r="D15" s="265"/>
      <c r="E15" s="265"/>
      <c r="F15" s="265"/>
      <c r="G15" s="265"/>
      <c r="H15" s="265"/>
      <c r="I15" s="265"/>
      <c r="J15" s="265"/>
      <c r="K15" s="265"/>
      <c r="L15" s="265"/>
      <c r="M15" s="265"/>
      <c r="N15" s="265"/>
    </row>
    <row r="16" spans="1:14" ht="180">
      <c r="A16" s="207">
        <v>2</v>
      </c>
      <c r="B16" s="124" t="s">
        <v>1210</v>
      </c>
      <c r="C16" s="217" t="s">
        <v>306</v>
      </c>
      <c r="D16" s="217" t="s">
        <v>307</v>
      </c>
      <c r="E16" s="217" t="s">
        <v>308</v>
      </c>
      <c r="F16" s="207" t="s">
        <v>309</v>
      </c>
      <c r="G16" s="207" t="s">
        <v>310</v>
      </c>
      <c r="H16" s="207" t="s">
        <v>311</v>
      </c>
      <c r="I16" s="207" t="s">
        <v>312</v>
      </c>
      <c r="J16" s="207" t="s">
        <v>313</v>
      </c>
      <c r="K16" s="207" t="s">
        <v>314</v>
      </c>
      <c r="L16" s="207" t="s">
        <v>315</v>
      </c>
      <c r="M16" s="207">
        <v>291.87</v>
      </c>
      <c r="N16" s="207" t="s">
        <v>27</v>
      </c>
    </row>
    <row r="17" spans="1:14" ht="165">
      <c r="A17" s="207">
        <v>3</v>
      </c>
      <c r="B17" s="124" t="s">
        <v>316</v>
      </c>
      <c r="C17" s="124" t="s">
        <v>316</v>
      </c>
      <c r="D17" s="124" t="s">
        <v>317</v>
      </c>
      <c r="E17" s="124" t="s">
        <v>318</v>
      </c>
      <c r="F17" s="211">
        <v>483</v>
      </c>
      <c r="G17" s="211">
        <v>483</v>
      </c>
      <c r="H17" s="211"/>
      <c r="I17" s="211"/>
      <c r="J17" s="211"/>
      <c r="K17" s="211"/>
      <c r="L17" s="211"/>
      <c r="M17" s="211"/>
      <c r="N17" s="211" t="s">
        <v>319</v>
      </c>
    </row>
    <row r="18" spans="1:14" ht="135">
      <c r="A18" s="207">
        <v>4</v>
      </c>
      <c r="B18" s="124" t="s">
        <v>320</v>
      </c>
      <c r="C18" s="217" t="s">
        <v>320</v>
      </c>
      <c r="D18" s="217" t="s">
        <v>321</v>
      </c>
      <c r="E18" s="217" t="s">
        <v>322</v>
      </c>
      <c r="F18" s="207">
        <v>4800</v>
      </c>
      <c r="G18" s="207">
        <v>4800</v>
      </c>
      <c r="H18" s="172">
        <v>43313</v>
      </c>
      <c r="I18" s="207" t="s">
        <v>323</v>
      </c>
      <c r="J18" s="207" t="s">
        <v>324</v>
      </c>
      <c r="K18" s="207" t="s">
        <v>325</v>
      </c>
      <c r="L18" s="207" t="s">
        <v>326</v>
      </c>
      <c r="M18" s="207"/>
      <c r="N18" s="207" t="s">
        <v>327</v>
      </c>
    </row>
    <row r="19" spans="1:14">
      <c r="A19" s="207">
        <v>5</v>
      </c>
      <c r="B19" s="124" t="s">
        <v>1211</v>
      </c>
      <c r="C19" s="265" t="s">
        <v>27</v>
      </c>
      <c r="D19" s="265"/>
      <c r="E19" s="265"/>
      <c r="F19" s="265"/>
      <c r="G19" s="265"/>
      <c r="H19" s="265"/>
      <c r="I19" s="265"/>
      <c r="J19" s="265"/>
      <c r="K19" s="265"/>
      <c r="L19" s="265"/>
      <c r="M19" s="265"/>
      <c r="N19" s="265"/>
    </row>
    <row r="20" spans="1:14" ht="90">
      <c r="A20" s="207">
        <v>6</v>
      </c>
      <c r="B20" s="124" t="s">
        <v>328</v>
      </c>
      <c r="C20" s="217" t="s">
        <v>328</v>
      </c>
      <c r="D20" s="217" t="s">
        <v>329</v>
      </c>
      <c r="E20" s="217" t="s">
        <v>330</v>
      </c>
      <c r="F20" s="207">
        <v>501.67599999999999</v>
      </c>
      <c r="G20" s="207">
        <v>575.35</v>
      </c>
      <c r="H20" s="207" t="s">
        <v>331</v>
      </c>
      <c r="I20" s="207" t="s">
        <v>332</v>
      </c>
      <c r="J20" s="207" t="s">
        <v>333</v>
      </c>
      <c r="K20" s="207" t="s">
        <v>334</v>
      </c>
      <c r="L20" s="207" t="s">
        <v>335</v>
      </c>
      <c r="M20" s="207" t="s">
        <v>336</v>
      </c>
      <c r="N20" s="207"/>
    </row>
    <row r="21" spans="1:14">
      <c r="A21" s="207">
        <v>7</v>
      </c>
      <c r="B21" s="124" t="s">
        <v>1212</v>
      </c>
      <c r="C21" s="267" t="s">
        <v>27</v>
      </c>
      <c r="D21" s="267"/>
      <c r="E21" s="267"/>
      <c r="F21" s="267"/>
      <c r="G21" s="267"/>
      <c r="H21" s="267"/>
      <c r="I21" s="267"/>
      <c r="J21" s="267"/>
      <c r="K21" s="267"/>
      <c r="L21" s="267"/>
      <c r="M21" s="267"/>
      <c r="N21" s="267"/>
    </row>
    <row r="22" spans="1:14">
      <c r="A22" s="207">
        <v>8</v>
      </c>
      <c r="B22" s="124" t="s">
        <v>1213</v>
      </c>
      <c r="C22" s="267" t="s">
        <v>27</v>
      </c>
      <c r="D22" s="267"/>
      <c r="E22" s="267"/>
      <c r="F22" s="267"/>
      <c r="G22" s="267"/>
      <c r="H22" s="267"/>
      <c r="I22" s="267"/>
      <c r="J22" s="267"/>
      <c r="K22" s="267"/>
      <c r="L22" s="267"/>
      <c r="M22" s="267"/>
      <c r="N22" s="267"/>
    </row>
    <row r="23" spans="1:14">
      <c r="A23" s="421"/>
      <c r="B23" s="421"/>
      <c r="C23" s="421"/>
      <c r="D23" s="421"/>
      <c r="E23" s="421"/>
      <c r="F23" s="421"/>
      <c r="G23" s="421"/>
      <c r="H23" s="421"/>
      <c r="I23" s="421"/>
      <c r="J23" s="421"/>
      <c r="K23" s="421"/>
      <c r="L23" s="421"/>
      <c r="M23" s="421"/>
      <c r="N23" s="421"/>
    </row>
    <row r="24" spans="1:14" ht="22.5" customHeight="1">
      <c r="A24" s="261" t="s">
        <v>153</v>
      </c>
      <c r="B24" s="261"/>
      <c r="C24" s="261"/>
      <c r="D24" s="261"/>
      <c r="E24" s="261"/>
      <c r="F24" s="261"/>
      <c r="G24" s="261"/>
      <c r="H24" s="261"/>
      <c r="I24" s="261"/>
      <c r="J24" s="261"/>
      <c r="K24" s="261"/>
      <c r="L24" s="261"/>
      <c r="M24" s="261"/>
      <c r="N24" s="261"/>
    </row>
    <row r="25" spans="1:14" ht="71.25">
      <c r="A25" s="224" t="s">
        <v>0</v>
      </c>
      <c r="B25" s="25" t="s">
        <v>53</v>
      </c>
      <c r="C25" s="224" t="s">
        <v>80</v>
      </c>
      <c r="D25" s="24" t="s">
        <v>81</v>
      </c>
      <c r="E25" s="24" t="s">
        <v>82</v>
      </c>
      <c r="F25" s="25" t="s">
        <v>120</v>
      </c>
      <c r="G25" s="25" t="s">
        <v>121</v>
      </c>
      <c r="H25" s="25" t="s">
        <v>83</v>
      </c>
      <c r="I25" s="25" t="s">
        <v>84</v>
      </c>
      <c r="J25" s="25" t="s">
        <v>85</v>
      </c>
      <c r="K25" s="25" t="s">
        <v>86</v>
      </c>
      <c r="L25" s="25" t="s">
        <v>87</v>
      </c>
      <c r="M25" s="25" t="s">
        <v>88</v>
      </c>
      <c r="N25" s="25" t="s">
        <v>89</v>
      </c>
    </row>
    <row r="26" spans="1:14">
      <c r="A26" s="224">
        <v>1</v>
      </c>
      <c r="B26" s="224">
        <v>2</v>
      </c>
      <c r="C26" s="224">
        <v>3</v>
      </c>
      <c r="D26" s="224">
        <v>4</v>
      </c>
      <c r="E26" s="224">
        <v>5</v>
      </c>
      <c r="F26" s="224">
        <v>6</v>
      </c>
      <c r="G26" s="224">
        <v>7</v>
      </c>
      <c r="H26" s="224">
        <v>8</v>
      </c>
      <c r="I26" s="25">
        <v>9</v>
      </c>
      <c r="J26" s="224">
        <v>10</v>
      </c>
      <c r="K26" s="224">
        <v>11</v>
      </c>
      <c r="L26" s="224">
        <v>12</v>
      </c>
      <c r="M26" s="224">
        <v>13</v>
      </c>
      <c r="N26" s="224">
        <v>14</v>
      </c>
    </row>
    <row r="27" spans="1:14" s="110" customFormat="1">
      <c r="A27" s="128"/>
      <c r="B27" s="290" t="s">
        <v>1207</v>
      </c>
      <c r="C27" s="290"/>
      <c r="D27" s="290"/>
      <c r="E27" s="290"/>
      <c r="F27" s="290"/>
      <c r="G27" s="290"/>
      <c r="H27" s="290"/>
      <c r="I27" s="290"/>
      <c r="J27" s="290"/>
      <c r="K27" s="290"/>
      <c r="L27" s="290"/>
      <c r="M27" s="290"/>
      <c r="N27" s="290"/>
    </row>
    <row r="28" spans="1:14">
      <c r="A28" s="274"/>
      <c r="B28" s="274"/>
      <c r="C28" s="274"/>
      <c r="D28" s="274"/>
      <c r="E28" s="274"/>
      <c r="F28" s="274"/>
      <c r="G28" s="274"/>
      <c r="H28" s="274"/>
      <c r="I28" s="274"/>
      <c r="J28" s="274"/>
      <c r="K28" s="274"/>
      <c r="L28" s="274"/>
      <c r="M28" s="274"/>
      <c r="N28" s="274"/>
    </row>
    <row r="29" spans="1:14" ht="22.5" customHeight="1">
      <c r="A29" s="261" t="s">
        <v>1204</v>
      </c>
      <c r="B29" s="261"/>
      <c r="C29" s="261"/>
      <c r="D29" s="261"/>
      <c r="E29" s="261"/>
      <c r="F29" s="261"/>
      <c r="G29" s="261"/>
      <c r="H29" s="261"/>
      <c r="I29" s="261"/>
      <c r="J29" s="261"/>
      <c r="K29" s="261"/>
      <c r="L29" s="261"/>
      <c r="M29" s="261"/>
      <c r="N29" s="261"/>
    </row>
    <row r="30" spans="1:14" ht="71.25">
      <c r="A30" s="224" t="s">
        <v>0</v>
      </c>
      <c r="B30" s="25" t="s">
        <v>53</v>
      </c>
      <c r="C30" s="224" t="s">
        <v>80</v>
      </c>
      <c r="D30" s="24" t="s">
        <v>81</v>
      </c>
      <c r="E30" s="24" t="s">
        <v>82</v>
      </c>
      <c r="F30" s="25" t="s">
        <v>120</v>
      </c>
      <c r="G30" s="25" t="s">
        <v>121</v>
      </c>
      <c r="H30" s="25" t="s">
        <v>83</v>
      </c>
      <c r="I30" s="25" t="s">
        <v>84</v>
      </c>
      <c r="J30" s="25" t="s">
        <v>85</v>
      </c>
      <c r="K30" s="25" t="s">
        <v>86</v>
      </c>
      <c r="L30" s="25" t="s">
        <v>87</v>
      </c>
      <c r="M30" s="25" t="s">
        <v>88</v>
      </c>
      <c r="N30" s="25" t="s">
        <v>89</v>
      </c>
    </row>
    <row r="31" spans="1:14">
      <c r="A31" s="224">
        <v>1</v>
      </c>
      <c r="B31" s="224">
        <v>2</v>
      </c>
      <c r="C31" s="224">
        <v>3</v>
      </c>
      <c r="D31" s="224">
        <v>4</v>
      </c>
      <c r="E31" s="224">
        <v>5</v>
      </c>
      <c r="F31" s="224">
        <v>6</v>
      </c>
      <c r="G31" s="224">
        <v>7</v>
      </c>
      <c r="H31" s="224">
        <v>8</v>
      </c>
      <c r="I31" s="25">
        <v>9</v>
      </c>
      <c r="J31" s="224">
        <v>10</v>
      </c>
      <c r="K31" s="224">
        <v>11</v>
      </c>
      <c r="L31" s="224">
        <v>12</v>
      </c>
      <c r="M31" s="224">
        <v>13</v>
      </c>
      <c r="N31" s="224">
        <v>14</v>
      </c>
    </row>
    <row r="32" spans="1:14" ht="105">
      <c r="A32" s="207">
        <v>1</v>
      </c>
      <c r="B32" s="217" t="s">
        <v>1214</v>
      </c>
      <c r="C32" s="217" t="s">
        <v>355</v>
      </c>
      <c r="D32" s="217" t="s">
        <v>356</v>
      </c>
      <c r="E32" s="217" t="s">
        <v>337</v>
      </c>
      <c r="F32" s="207" t="s">
        <v>338</v>
      </c>
      <c r="G32" s="207" t="s">
        <v>338</v>
      </c>
      <c r="H32" s="207" t="s">
        <v>12</v>
      </c>
      <c r="I32" s="207" t="s">
        <v>12</v>
      </c>
      <c r="J32" s="207" t="s">
        <v>12</v>
      </c>
      <c r="K32" s="207" t="s">
        <v>12</v>
      </c>
      <c r="L32" s="207" t="s">
        <v>12</v>
      </c>
      <c r="M32" s="207" t="s">
        <v>12</v>
      </c>
      <c r="N32" s="207" t="s">
        <v>339</v>
      </c>
    </row>
    <row r="33" spans="1:14" ht="105">
      <c r="A33" s="267">
        <v>2</v>
      </c>
      <c r="B33" s="290" t="s">
        <v>1215</v>
      </c>
      <c r="C33" s="217" t="s">
        <v>357</v>
      </c>
      <c r="D33" s="217" t="s">
        <v>358</v>
      </c>
      <c r="E33" s="217" t="s">
        <v>359</v>
      </c>
      <c r="F33" s="207" t="s">
        <v>342</v>
      </c>
      <c r="G33" s="207" t="s">
        <v>342</v>
      </c>
      <c r="H33" s="207" t="s">
        <v>12</v>
      </c>
      <c r="I33" s="207" t="s">
        <v>12</v>
      </c>
      <c r="J33" s="207" t="s">
        <v>12</v>
      </c>
      <c r="K33" s="207" t="s">
        <v>12</v>
      </c>
      <c r="L33" s="207" t="s">
        <v>12</v>
      </c>
      <c r="M33" s="207" t="s">
        <v>12</v>
      </c>
      <c r="N33" s="207" t="s">
        <v>339</v>
      </c>
    </row>
    <row r="34" spans="1:14" ht="60">
      <c r="A34" s="267"/>
      <c r="B34" s="290"/>
      <c r="C34" s="217" t="s">
        <v>360</v>
      </c>
      <c r="D34" s="217"/>
      <c r="E34" s="217" t="s">
        <v>344</v>
      </c>
      <c r="F34" s="207" t="s">
        <v>345</v>
      </c>
      <c r="G34" s="207" t="s">
        <v>345</v>
      </c>
      <c r="H34" s="207" t="s">
        <v>361</v>
      </c>
      <c r="I34" s="207" t="s">
        <v>362</v>
      </c>
      <c r="J34" s="207">
        <v>5</v>
      </c>
      <c r="K34" s="207" t="s">
        <v>363</v>
      </c>
      <c r="L34" s="207" t="s">
        <v>364</v>
      </c>
      <c r="M34" s="207">
        <v>107</v>
      </c>
      <c r="N34" s="236" t="s">
        <v>365</v>
      </c>
    </row>
    <row r="35" spans="1:14" ht="165">
      <c r="A35" s="267">
        <v>3</v>
      </c>
      <c r="B35" s="290" t="s">
        <v>366</v>
      </c>
      <c r="C35" s="217" t="s">
        <v>366</v>
      </c>
      <c r="D35" s="217" t="s">
        <v>367</v>
      </c>
      <c r="E35" s="217" t="s">
        <v>368</v>
      </c>
      <c r="F35" s="158">
        <v>1630.38</v>
      </c>
      <c r="G35" s="158">
        <v>1799.28</v>
      </c>
      <c r="H35" s="158" t="s">
        <v>369</v>
      </c>
      <c r="I35" s="207" t="s">
        <v>370</v>
      </c>
      <c r="J35" s="158" t="s">
        <v>371</v>
      </c>
      <c r="K35" s="158" t="s">
        <v>372</v>
      </c>
      <c r="L35" s="158" t="s">
        <v>373</v>
      </c>
      <c r="M35" s="207">
        <v>580.99900000000002</v>
      </c>
      <c r="N35" s="207" t="s">
        <v>374</v>
      </c>
    </row>
    <row r="36" spans="1:14" ht="345">
      <c r="A36" s="267"/>
      <c r="B36" s="290"/>
      <c r="C36" s="217" t="s">
        <v>375</v>
      </c>
      <c r="D36" s="126" t="s">
        <v>376</v>
      </c>
      <c r="E36" s="217" t="s">
        <v>377</v>
      </c>
      <c r="F36" s="158">
        <v>584.57000000000005</v>
      </c>
      <c r="G36" s="158">
        <v>779.12</v>
      </c>
      <c r="H36" s="158" t="s">
        <v>378</v>
      </c>
      <c r="I36" s="207" t="s">
        <v>379</v>
      </c>
      <c r="J36" s="158" t="s">
        <v>371</v>
      </c>
      <c r="K36" s="158" t="s">
        <v>380</v>
      </c>
      <c r="L36" s="158" t="s">
        <v>381</v>
      </c>
      <c r="M36" s="207">
        <v>244.47</v>
      </c>
      <c r="N36" s="207" t="s">
        <v>374</v>
      </c>
    </row>
    <row r="37" spans="1:14" ht="165">
      <c r="A37" s="267"/>
      <c r="B37" s="290"/>
      <c r="C37" s="217" t="s">
        <v>382</v>
      </c>
      <c r="D37" s="126" t="s">
        <v>383</v>
      </c>
      <c r="E37" s="217" t="s">
        <v>384</v>
      </c>
      <c r="F37" s="158"/>
      <c r="G37" s="158">
        <v>494.24</v>
      </c>
      <c r="H37" s="158" t="s">
        <v>385</v>
      </c>
      <c r="I37" s="207" t="s">
        <v>323</v>
      </c>
      <c r="J37" s="207" t="s">
        <v>141</v>
      </c>
      <c r="K37" s="158" t="s">
        <v>386</v>
      </c>
      <c r="L37" s="207">
        <v>80000</v>
      </c>
      <c r="M37" s="207">
        <v>161.86500000000001</v>
      </c>
      <c r="N37" s="207" t="s">
        <v>387</v>
      </c>
    </row>
    <row r="38" spans="1:14" ht="120">
      <c r="A38" s="267">
        <v>4</v>
      </c>
      <c r="B38" s="290" t="s">
        <v>1216</v>
      </c>
      <c r="C38" s="217"/>
      <c r="D38" s="217" t="s">
        <v>1250</v>
      </c>
      <c r="E38" s="217" t="s">
        <v>388</v>
      </c>
      <c r="F38" s="207">
        <v>1001.82</v>
      </c>
      <c r="G38" s="207">
        <v>2793.22</v>
      </c>
      <c r="H38" s="207" t="s">
        <v>389</v>
      </c>
      <c r="I38" s="207" t="s">
        <v>390</v>
      </c>
      <c r="J38" s="207" t="s">
        <v>90</v>
      </c>
      <c r="K38" s="87">
        <v>44227</v>
      </c>
      <c r="L38" s="87" t="s">
        <v>391</v>
      </c>
      <c r="M38" s="129">
        <v>215.16800000000001</v>
      </c>
      <c r="N38" s="207" t="s">
        <v>392</v>
      </c>
    </row>
    <row r="39" spans="1:14" ht="195">
      <c r="A39" s="267"/>
      <c r="B39" s="290"/>
      <c r="C39" s="217"/>
      <c r="D39" s="217" t="s">
        <v>1251</v>
      </c>
      <c r="E39" s="217" t="s">
        <v>1252</v>
      </c>
      <c r="F39" s="207">
        <v>321.5</v>
      </c>
      <c r="G39" s="207">
        <v>708</v>
      </c>
      <c r="H39" s="207" t="s">
        <v>393</v>
      </c>
      <c r="I39" s="207" t="s">
        <v>390</v>
      </c>
      <c r="J39" s="207" t="s">
        <v>90</v>
      </c>
      <c r="K39" s="87">
        <v>44773</v>
      </c>
      <c r="L39" s="87" t="s">
        <v>394</v>
      </c>
      <c r="M39" s="129">
        <v>307.89999999999998</v>
      </c>
      <c r="N39" s="207"/>
    </row>
    <row r="40" spans="1:14" ht="165">
      <c r="A40" s="267"/>
      <c r="B40" s="290"/>
      <c r="C40" s="217"/>
      <c r="D40" s="217" t="s">
        <v>1253</v>
      </c>
      <c r="E40" s="217" t="s">
        <v>395</v>
      </c>
      <c r="F40" s="207">
        <v>326</v>
      </c>
      <c r="G40" s="207">
        <v>408</v>
      </c>
      <c r="H40" s="207" t="s">
        <v>122</v>
      </c>
      <c r="I40" s="207" t="s">
        <v>390</v>
      </c>
      <c r="J40" s="207" t="s">
        <v>93</v>
      </c>
      <c r="K40" s="207" t="s">
        <v>396</v>
      </c>
      <c r="L40" s="207" t="s">
        <v>397</v>
      </c>
      <c r="M40" s="129">
        <v>144.94</v>
      </c>
      <c r="N40" s="207"/>
    </row>
    <row r="41" spans="1:14" ht="300">
      <c r="A41" s="207">
        <v>5</v>
      </c>
      <c r="B41" s="217" t="s">
        <v>1217</v>
      </c>
      <c r="C41" s="217" t="s">
        <v>15</v>
      </c>
      <c r="D41" s="217" t="s">
        <v>398</v>
      </c>
      <c r="E41" s="217" t="s">
        <v>399</v>
      </c>
      <c r="F41" s="207" t="s">
        <v>400</v>
      </c>
      <c r="G41" s="207" t="s">
        <v>401</v>
      </c>
      <c r="H41" s="207" t="s">
        <v>402</v>
      </c>
      <c r="I41" s="207" t="s">
        <v>403</v>
      </c>
      <c r="J41" s="207" t="s">
        <v>404</v>
      </c>
      <c r="K41" s="207" t="s">
        <v>405</v>
      </c>
      <c r="L41" s="207" t="s">
        <v>406</v>
      </c>
      <c r="M41" s="207" t="s">
        <v>407</v>
      </c>
      <c r="N41" s="207" t="s">
        <v>408</v>
      </c>
    </row>
    <row r="42" spans="1:14" ht="135">
      <c r="A42" s="432">
        <v>6</v>
      </c>
      <c r="B42" s="430" t="s">
        <v>1218</v>
      </c>
      <c r="C42" s="130" t="s">
        <v>409</v>
      </c>
      <c r="D42" s="130" t="s">
        <v>410</v>
      </c>
      <c r="E42" s="161" t="s">
        <v>411</v>
      </c>
      <c r="F42" s="212">
        <v>572.65</v>
      </c>
      <c r="G42" s="212">
        <v>572.65</v>
      </c>
      <c r="H42" s="212" t="s">
        <v>412</v>
      </c>
      <c r="I42" s="131" t="s">
        <v>323</v>
      </c>
      <c r="J42" s="212" t="s">
        <v>413</v>
      </c>
      <c r="K42" s="131" t="s">
        <v>125</v>
      </c>
      <c r="L42" s="212" t="s">
        <v>414</v>
      </c>
      <c r="M42" s="131">
        <v>246.49</v>
      </c>
      <c r="N42" s="131"/>
    </row>
    <row r="43" spans="1:14" ht="315">
      <c r="A43" s="432"/>
      <c r="B43" s="430"/>
      <c r="C43" s="130" t="s">
        <v>409</v>
      </c>
      <c r="D43" s="130" t="s">
        <v>415</v>
      </c>
      <c r="E43" s="130" t="s">
        <v>416</v>
      </c>
      <c r="F43" s="131">
        <v>322.08999999999997</v>
      </c>
      <c r="G43" s="131">
        <v>572.65</v>
      </c>
      <c r="H43" s="131" t="s">
        <v>417</v>
      </c>
      <c r="I43" s="131" t="s">
        <v>323</v>
      </c>
      <c r="J43" s="131" t="s">
        <v>418</v>
      </c>
      <c r="K43" s="131" t="s">
        <v>419</v>
      </c>
      <c r="L43" s="131" t="s">
        <v>420</v>
      </c>
      <c r="M43" s="131">
        <v>236.81</v>
      </c>
      <c r="N43" s="131"/>
    </row>
    <row r="44" spans="1:14" ht="105">
      <c r="A44" s="279">
        <v>7</v>
      </c>
      <c r="B44" s="290" t="s">
        <v>1219</v>
      </c>
      <c r="C44" s="161" t="s">
        <v>15</v>
      </c>
      <c r="D44" s="161" t="s">
        <v>421</v>
      </c>
      <c r="E44" s="161" t="s">
        <v>422</v>
      </c>
      <c r="F44" s="212">
        <v>837</v>
      </c>
      <c r="G44" s="212">
        <v>780</v>
      </c>
      <c r="H44" s="212" t="s">
        <v>423</v>
      </c>
      <c r="I44" s="212" t="s">
        <v>424</v>
      </c>
      <c r="J44" s="212" t="s">
        <v>93</v>
      </c>
      <c r="K44" s="212" t="s">
        <v>425</v>
      </c>
      <c r="L44" s="52">
        <v>210000</v>
      </c>
      <c r="M44" s="212">
        <v>269</v>
      </c>
      <c r="N44" s="212"/>
    </row>
    <row r="45" spans="1:14" ht="120">
      <c r="A45" s="279"/>
      <c r="B45" s="290"/>
      <c r="C45" s="161" t="s">
        <v>15</v>
      </c>
      <c r="D45" s="161" t="s">
        <v>421</v>
      </c>
      <c r="E45" s="161" t="s">
        <v>426</v>
      </c>
      <c r="F45" s="212">
        <v>480</v>
      </c>
      <c r="G45" s="212">
        <v>480</v>
      </c>
      <c r="H45" s="212" t="s">
        <v>427</v>
      </c>
      <c r="I45" s="212" t="s">
        <v>428</v>
      </c>
      <c r="J45" s="212" t="s">
        <v>429</v>
      </c>
      <c r="K45" s="212" t="s">
        <v>430</v>
      </c>
      <c r="L45" s="212">
        <v>15917</v>
      </c>
      <c r="M45" s="212">
        <v>33</v>
      </c>
      <c r="N45" s="212"/>
    </row>
    <row r="46" spans="1:14" ht="105">
      <c r="A46" s="267">
        <v>8</v>
      </c>
      <c r="B46" s="290" t="s">
        <v>1220</v>
      </c>
      <c r="C46" s="217"/>
      <c r="D46" s="217" t="s">
        <v>431</v>
      </c>
      <c r="E46" s="217" t="s">
        <v>432</v>
      </c>
      <c r="F46" s="207">
        <v>334.2</v>
      </c>
      <c r="G46" s="207">
        <v>382.74</v>
      </c>
      <c r="H46" s="207" t="s">
        <v>433</v>
      </c>
      <c r="I46" s="207" t="s">
        <v>434</v>
      </c>
      <c r="J46" s="207" t="s">
        <v>95</v>
      </c>
      <c r="K46" s="207" t="s">
        <v>435</v>
      </c>
      <c r="L46" s="207" t="s">
        <v>436</v>
      </c>
      <c r="M46" s="207">
        <v>169.6259</v>
      </c>
      <c r="N46" s="207" t="s">
        <v>15</v>
      </c>
    </row>
    <row r="47" spans="1:14" ht="105">
      <c r="A47" s="267"/>
      <c r="B47" s="290"/>
      <c r="C47" s="217"/>
      <c r="D47" s="217" t="s">
        <v>437</v>
      </c>
      <c r="E47" s="217" t="s">
        <v>438</v>
      </c>
      <c r="F47" s="207">
        <v>324.7</v>
      </c>
      <c r="G47" s="207">
        <v>622.19230000000005</v>
      </c>
      <c r="H47" s="207" t="s">
        <v>1254</v>
      </c>
      <c r="I47" s="207" t="s">
        <v>434</v>
      </c>
      <c r="J47" s="207" t="s">
        <v>95</v>
      </c>
      <c r="K47" s="207" t="s">
        <v>435</v>
      </c>
      <c r="L47" s="207" t="s">
        <v>439</v>
      </c>
      <c r="M47" s="207">
        <v>384.97</v>
      </c>
      <c r="N47" s="207" t="s">
        <v>15</v>
      </c>
    </row>
    <row r="48" spans="1:14" ht="360">
      <c r="A48" s="267">
        <v>9</v>
      </c>
      <c r="B48" s="290" t="s">
        <v>1221</v>
      </c>
      <c r="C48" s="217"/>
      <c r="D48" s="217" t="s">
        <v>440</v>
      </c>
      <c r="E48" s="217" t="s">
        <v>441</v>
      </c>
      <c r="F48" s="207" t="s">
        <v>442</v>
      </c>
      <c r="G48" s="207" t="s">
        <v>48</v>
      </c>
      <c r="H48" s="207" t="s">
        <v>443</v>
      </c>
      <c r="I48" s="207" t="s">
        <v>444</v>
      </c>
      <c r="J48" s="207" t="s">
        <v>445</v>
      </c>
      <c r="K48" s="207" t="s">
        <v>12</v>
      </c>
      <c r="L48" s="207" t="s">
        <v>446</v>
      </c>
      <c r="M48" s="207" t="s">
        <v>447</v>
      </c>
      <c r="N48" s="207" t="s">
        <v>448</v>
      </c>
    </row>
    <row r="49" spans="1:14" ht="165">
      <c r="A49" s="267"/>
      <c r="B49" s="290"/>
      <c r="C49" s="217"/>
      <c r="D49" s="217" t="s">
        <v>449</v>
      </c>
      <c r="E49" s="217" t="s">
        <v>450</v>
      </c>
      <c r="F49" s="207" t="s">
        <v>451</v>
      </c>
      <c r="G49" s="207" t="s">
        <v>48</v>
      </c>
      <c r="H49" s="207" t="s">
        <v>452</v>
      </c>
      <c r="I49" s="207" t="s">
        <v>453</v>
      </c>
      <c r="J49" s="207" t="s">
        <v>454</v>
      </c>
      <c r="K49" s="207" t="s">
        <v>455</v>
      </c>
      <c r="L49" s="207" t="s">
        <v>456</v>
      </c>
      <c r="M49" s="207" t="s">
        <v>457</v>
      </c>
      <c r="N49" s="207"/>
    </row>
    <row r="50" spans="1:14" ht="75">
      <c r="A50" s="267"/>
      <c r="B50" s="290"/>
      <c r="C50" s="217"/>
      <c r="D50" s="217" t="s">
        <v>458</v>
      </c>
      <c r="E50" s="217" t="s">
        <v>459</v>
      </c>
      <c r="F50" s="207" t="s">
        <v>460</v>
      </c>
      <c r="G50" s="207" t="s">
        <v>48</v>
      </c>
      <c r="H50" s="207" t="s">
        <v>461</v>
      </c>
      <c r="I50" s="207" t="s">
        <v>462</v>
      </c>
      <c r="J50" s="207" t="s">
        <v>454</v>
      </c>
      <c r="K50" s="207" t="s">
        <v>463</v>
      </c>
      <c r="L50" s="207" t="s">
        <v>464</v>
      </c>
      <c r="M50" s="207" t="s">
        <v>465</v>
      </c>
      <c r="N50" s="207"/>
    </row>
    <row r="51" spans="1:14" ht="120">
      <c r="A51" s="267">
        <v>10</v>
      </c>
      <c r="B51" s="304" t="s">
        <v>466</v>
      </c>
      <c r="C51" s="161" t="s">
        <v>466</v>
      </c>
      <c r="D51" s="161" t="s">
        <v>466</v>
      </c>
      <c r="E51" s="161" t="s">
        <v>467</v>
      </c>
      <c r="F51" s="246">
        <v>1287.9100000000001</v>
      </c>
      <c r="G51" s="247" t="s">
        <v>46</v>
      </c>
      <c r="H51" s="212" t="s">
        <v>468</v>
      </c>
      <c r="I51" s="212" t="s">
        <v>469</v>
      </c>
      <c r="J51" s="212" t="s">
        <v>470</v>
      </c>
      <c r="K51" s="212" t="s">
        <v>471</v>
      </c>
      <c r="L51" s="246">
        <v>720876</v>
      </c>
      <c r="M51" s="212" t="s">
        <v>472</v>
      </c>
      <c r="N51" s="212" t="s">
        <v>473</v>
      </c>
    </row>
    <row r="52" spans="1:14" ht="105">
      <c r="A52" s="267"/>
      <c r="B52" s="304"/>
      <c r="C52" s="161" t="s">
        <v>474</v>
      </c>
      <c r="D52" s="161" t="s">
        <v>474</v>
      </c>
      <c r="E52" s="161" t="s">
        <v>475</v>
      </c>
      <c r="F52" s="212">
        <v>602.05999999999995</v>
      </c>
      <c r="G52" s="212">
        <v>970</v>
      </c>
      <c r="H52" s="212" t="s">
        <v>476</v>
      </c>
      <c r="I52" s="212" t="s">
        <v>477</v>
      </c>
      <c r="J52" s="212" t="s">
        <v>470</v>
      </c>
      <c r="K52" s="212" t="s">
        <v>396</v>
      </c>
      <c r="L52" s="246">
        <v>149306</v>
      </c>
      <c r="M52" s="212" t="s">
        <v>478</v>
      </c>
      <c r="N52" s="247" t="s">
        <v>46</v>
      </c>
    </row>
    <row r="53" spans="1:14" ht="105">
      <c r="A53" s="267"/>
      <c r="B53" s="304"/>
      <c r="C53" s="161" t="s">
        <v>479</v>
      </c>
      <c r="D53" s="161" t="s">
        <v>479</v>
      </c>
      <c r="E53" s="217" t="s">
        <v>480</v>
      </c>
      <c r="F53" s="207">
        <v>412.49</v>
      </c>
      <c r="G53" s="207">
        <v>455.154</v>
      </c>
      <c r="H53" s="207" t="s">
        <v>481</v>
      </c>
      <c r="I53" s="212" t="s">
        <v>477</v>
      </c>
      <c r="J53" s="212" t="s">
        <v>470</v>
      </c>
      <c r="K53" s="207" t="s">
        <v>482</v>
      </c>
      <c r="L53" s="132">
        <v>128360</v>
      </c>
      <c r="M53" s="133" t="s">
        <v>483</v>
      </c>
      <c r="N53" s="207" t="s">
        <v>473</v>
      </c>
    </row>
    <row r="54" spans="1:14" ht="105">
      <c r="A54" s="267"/>
      <c r="B54" s="304"/>
      <c r="C54" s="161" t="s">
        <v>484</v>
      </c>
      <c r="D54" s="161" t="s">
        <v>484</v>
      </c>
      <c r="E54" s="161" t="s">
        <v>485</v>
      </c>
      <c r="F54" s="212">
        <v>380.9</v>
      </c>
      <c r="G54" s="247" t="s">
        <v>46</v>
      </c>
      <c r="H54" s="212" t="s">
        <v>486</v>
      </c>
      <c r="I54" s="212" t="s">
        <v>477</v>
      </c>
      <c r="J54" s="212" t="s">
        <v>470</v>
      </c>
      <c r="K54" s="212" t="s">
        <v>487</v>
      </c>
      <c r="L54" s="246">
        <v>135300</v>
      </c>
      <c r="M54" s="212" t="s">
        <v>488</v>
      </c>
      <c r="N54" s="212" t="s">
        <v>473</v>
      </c>
    </row>
    <row r="55" spans="1:14" ht="45">
      <c r="A55" s="207">
        <v>11</v>
      </c>
      <c r="B55" s="217" t="s">
        <v>1222</v>
      </c>
      <c r="C55" s="136" t="s">
        <v>46</v>
      </c>
      <c r="D55" s="217" t="s">
        <v>489</v>
      </c>
      <c r="E55" s="217" t="s">
        <v>490</v>
      </c>
      <c r="F55" s="207">
        <v>335.38</v>
      </c>
      <c r="G55" s="207">
        <v>209.03</v>
      </c>
      <c r="H55" s="207" t="s">
        <v>491</v>
      </c>
      <c r="I55" s="207" t="s">
        <v>492</v>
      </c>
      <c r="J55" s="207" t="s">
        <v>140</v>
      </c>
      <c r="K55" s="207" t="s">
        <v>126</v>
      </c>
      <c r="L55" s="97">
        <v>70900</v>
      </c>
      <c r="M55" s="207">
        <v>211.4</v>
      </c>
      <c r="N55" s="207" t="s">
        <v>493</v>
      </c>
    </row>
    <row r="56" spans="1:14" ht="90">
      <c r="A56" s="267">
        <v>12</v>
      </c>
      <c r="B56" s="290" t="s">
        <v>494</v>
      </c>
      <c r="C56" s="217" t="s">
        <v>494</v>
      </c>
      <c r="D56" s="217" t="s">
        <v>495</v>
      </c>
      <c r="E56" s="217" t="s">
        <v>496</v>
      </c>
      <c r="F56" s="207">
        <v>210</v>
      </c>
      <c r="G56" s="207">
        <v>221</v>
      </c>
      <c r="H56" s="207" t="s">
        <v>497</v>
      </c>
      <c r="I56" s="207" t="s">
        <v>498</v>
      </c>
      <c r="J56" s="207" t="s">
        <v>499</v>
      </c>
      <c r="K56" s="87">
        <v>44900</v>
      </c>
      <c r="L56" s="132">
        <v>30047</v>
      </c>
      <c r="M56" s="207">
        <v>135.9</v>
      </c>
      <c r="N56" s="207"/>
    </row>
    <row r="57" spans="1:14" ht="90">
      <c r="A57" s="267"/>
      <c r="B57" s="290"/>
      <c r="C57" s="217" t="s">
        <v>500</v>
      </c>
      <c r="D57" s="217" t="s">
        <v>501</v>
      </c>
      <c r="E57" s="217" t="s">
        <v>502</v>
      </c>
      <c r="F57" s="207">
        <v>175</v>
      </c>
      <c r="G57" s="207">
        <v>182.5</v>
      </c>
      <c r="H57" s="207" t="s">
        <v>503</v>
      </c>
      <c r="I57" s="207" t="s">
        <v>504</v>
      </c>
      <c r="J57" s="207" t="s">
        <v>505</v>
      </c>
      <c r="K57" s="87">
        <v>44439</v>
      </c>
      <c r="L57" s="132">
        <v>32386</v>
      </c>
      <c r="M57" s="207">
        <v>177.5</v>
      </c>
      <c r="N57" s="207"/>
    </row>
    <row r="58" spans="1:14" ht="135">
      <c r="A58" s="267"/>
      <c r="B58" s="290"/>
      <c r="C58" s="217" t="s">
        <v>506</v>
      </c>
      <c r="D58" s="217" t="s">
        <v>507</v>
      </c>
      <c r="E58" s="217" t="s">
        <v>508</v>
      </c>
      <c r="F58" s="207">
        <v>223.05</v>
      </c>
      <c r="G58" s="207">
        <v>408.85</v>
      </c>
      <c r="H58" s="207" t="s">
        <v>509</v>
      </c>
      <c r="I58" s="207" t="s">
        <v>510</v>
      </c>
      <c r="J58" s="207" t="s">
        <v>505</v>
      </c>
      <c r="K58" s="87">
        <v>44351</v>
      </c>
      <c r="L58" s="132">
        <v>35000</v>
      </c>
      <c r="M58" s="207">
        <v>85.6</v>
      </c>
      <c r="N58" s="207"/>
    </row>
    <row r="59" spans="1:14" ht="105">
      <c r="A59" s="267"/>
      <c r="B59" s="290"/>
      <c r="C59" s="217" t="s">
        <v>511</v>
      </c>
      <c r="D59" s="217" t="s">
        <v>1208</v>
      </c>
      <c r="E59" s="217" t="s">
        <v>512</v>
      </c>
      <c r="F59" s="236">
        <v>365</v>
      </c>
      <c r="G59" s="236">
        <v>372</v>
      </c>
      <c r="H59" s="207" t="s">
        <v>513</v>
      </c>
      <c r="I59" s="207" t="s">
        <v>504</v>
      </c>
      <c r="J59" s="207"/>
      <c r="K59" s="87">
        <v>44957</v>
      </c>
      <c r="L59" s="132">
        <v>49848</v>
      </c>
      <c r="M59" s="207">
        <v>134</v>
      </c>
      <c r="N59" s="207"/>
    </row>
    <row r="60" spans="1:14" ht="60">
      <c r="A60" s="207">
        <v>13</v>
      </c>
      <c r="B60" s="217" t="s">
        <v>1223</v>
      </c>
      <c r="C60" s="217"/>
      <c r="D60" s="217" t="s">
        <v>514</v>
      </c>
      <c r="E60" s="217" t="s">
        <v>515</v>
      </c>
      <c r="F60" s="207" t="s">
        <v>516</v>
      </c>
      <c r="G60" s="207" t="s">
        <v>517</v>
      </c>
      <c r="H60" s="207" t="s">
        <v>518</v>
      </c>
      <c r="I60" s="207"/>
      <c r="J60" s="207" t="s">
        <v>519</v>
      </c>
      <c r="K60" s="207" t="s">
        <v>520</v>
      </c>
      <c r="L60" s="207" t="s">
        <v>521</v>
      </c>
      <c r="M60" s="207"/>
      <c r="N60" s="207"/>
    </row>
    <row r="61" spans="1:14" ht="60">
      <c r="A61" s="207">
        <v>14</v>
      </c>
      <c r="B61" s="217" t="s">
        <v>522</v>
      </c>
      <c r="C61" s="217" t="s">
        <v>522</v>
      </c>
      <c r="D61" s="217" t="s">
        <v>523</v>
      </c>
      <c r="E61" s="217" t="s">
        <v>524</v>
      </c>
      <c r="F61" s="207">
        <v>1556.46</v>
      </c>
      <c r="G61" s="207">
        <v>2167.58</v>
      </c>
      <c r="H61" s="87">
        <v>43074</v>
      </c>
      <c r="I61" s="207" t="s">
        <v>525</v>
      </c>
      <c r="J61" s="207" t="s">
        <v>526</v>
      </c>
      <c r="K61" s="87">
        <v>44170</v>
      </c>
      <c r="L61" s="207" t="s">
        <v>527</v>
      </c>
      <c r="M61" s="207" t="s">
        <v>528</v>
      </c>
      <c r="N61" s="207"/>
    </row>
    <row r="62" spans="1:14" ht="60">
      <c r="A62" s="267">
        <v>15</v>
      </c>
      <c r="B62" s="290" t="s">
        <v>1224</v>
      </c>
      <c r="C62" s="217" t="s">
        <v>353</v>
      </c>
      <c r="D62" s="217" t="s">
        <v>529</v>
      </c>
      <c r="E62" s="217" t="s">
        <v>530</v>
      </c>
      <c r="F62" s="207" t="s">
        <v>531</v>
      </c>
      <c r="G62" s="207"/>
      <c r="H62" s="87" t="s">
        <v>532</v>
      </c>
      <c r="I62" s="207"/>
      <c r="J62" s="207" t="s">
        <v>93</v>
      </c>
      <c r="K62" s="87" t="s">
        <v>533</v>
      </c>
      <c r="L62" s="207" t="s">
        <v>534</v>
      </c>
      <c r="M62" s="207">
        <v>125.94</v>
      </c>
      <c r="N62" s="207"/>
    </row>
    <row r="63" spans="1:14" ht="105">
      <c r="A63" s="267"/>
      <c r="B63" s="290"/>
      <c r="C63" s="217" t="s">
        <v>353</v>
      </c>
      <c r="D63" s="217" t="s">
        <v>535</v>
      </c>
      <c r="E63" s="136" t="s">
        <v>536</v>
      </c>
      <c r="F63" s="207" t="s">
        <v>537</v>
      </c>
      <c r="G63" s="207"/>
      <c r="H63" s="87">
        <v>43770</v>
      </c>
      <c r="I63" s="207"/>
      <c r="J63" s="207" t="s">
        <v>90</v>
      </c>
      <c r="K63" s="207" t="s">
        <v>538</v>
      </c>
      <c r="L63" s="207" t="s">
        <v>539</v>
      </c>
      <c r="M63" s="207">
        <v>425.18</v>
      </c>
      <c r="N63" s="207"/>
    </row>
    <row r="64" spans="1:14" ht="75">
      <c r="A64" s="207">
        <v>16</v>
      </c>
      <c r="B64" s="217" t="s">
        <v>1225</v>
      </c>
      <c r="C64" s="217" t="s">
        <v>13</v>
      </c>
      <c r="D64" s="217" t="s">
        <v>540</v>
      </c>
      <c r="E64" s="217" t="s">
        <v>541</v>
      </c>
      <c r="F64" s="207" t="s">
        <v>1209</v>
      </c>
      <c r="G64" s="207" t="s">
        <v>44</v>
      </c>
      <c r="H64" s="87">
        <v>32706</v>
      </c>
      <c r="I64" s="207"/>
      <c r="J64" s="207" t="s">
        <v>542</v>
      </c>
      <c r="K64" s="207" t="s">
        <v>543</v>
      </c>
      <c r="L64" s="207" t="s">
        <v>544</v>
      </c>
      <c r="M64" s="207" t="s">
        <v>545</v>
      </c>
      <c r="N64" s="207"/>
    </row>
    <row r="65" spans="1:14" ht="126" customHeight="1">
      <c r="A65" s="267">
        <v>17</v>
      </c>
      <c r="B65" s="290" t="s">
        <v>1139</v>
      </c>
      <c r="C65" s="290" t="s">
        <v>12</v>
      </c>
      <c r="D65" s="290" t="s">
        <v>546</v>
      </c>
      <c r="E65" s="217" t="s">
        <v>547</v>
      </c>
      <c r="F65" s="207">
        <v>393.98</v>
      </c>
      <c r="G65" s="207" t="s">
        <v>42</v>
      </c>
      <c r="H65" s="207" t="s">
        <v>548</v>
      </c>
      <c r="I65" s="207" t="s">
        <v>549</v>
      </c>
      <c r="J65" s="207" t="s">
        <v>123</v>
      </c>
      <c r="K65" s="207" t="s">
        <v>550</v>
      </c>
      <c r="L65" s="207" t="s">
        <v>551</v>
      </c>
      <c r="M65" s="207">
        <v>456.36</v>
      </c>
      <c r="N65" s="236" t="s">
        <v>552</v>
      </c>
    </row>
    <row r="66" spans="1:14" ht="131.25" customHeight="1">
      <c r="A66" s="267"/>
      <c r="B66" s="290"/>
      <c r="C66" s="290"/>
      <c r="D66" s="290"/>
      <c r="E66" s="217" t="s">
        <v>553</v>
      </c>
      <c r="F66" s="207">
        <v>114.38</v>
      </c>
      <c r="G66" s="207" t="s">
        <v>50</v>
      </c>
      <c r="H66" s="207" t="s">
        <v>124</v>
      </c>
      <c r="I66" s="207" t="s">
        <v>549</v>
      </c>
      <c r="J66" s="207" t="s">
        <v>95</v>
      </c>
      <c r="K66" s="207" t="s">
        <v>138</v>
      </c>
      <c r="L66" s="207">
        <v>64512</v>
      </c>
      <c r="M66" s="207" t="s">
        <v>554</v>
      </c>
      <c r="N66" s="236"/>
    </row>
    <row r="67" spans="1:14" ht="45">
      <c r="A67" s="267"/>
      <c r="B67" s="290"/>
      <c r="C67" s="217" t="s">
        <v>12</v>
      </c>
      <c r="D67" s="217" t="s">
        <v>555</v>
      </c>
      <c r="E67" s="217" t="s">
        <v>556</v>
      </c>
      <c r="F67" s="207">
        <v>405</v>
      </c>
      <c r="G67" s="207">
        <v>511.78</v>
      </c>
      <c r="H67" s="207" t="s">
        <v>557</v>
      </c>
      <c r="I67" s="207" t="s">
        <v>549</v>
      </c>
      <c r="J67" s="207" t="s">
        <v>95</v>
      </c>
      <c r="K67" s="207" t="s">
        <v>396</v>
      </c>
      <c r="L67" s="207" t="s">
        <v>558</v>
      </c>
      <c r="M67" s="207">
        <v>279</v>
      </c>
      <c r="N67" s="236" t="s">
        <v>559</v>
      </c>
    </row>
    <row r="68" spans="1:14" ht="48">
      <c r="A68" s="267">
        <v>18</v>
      </c>
      <c r="B68" s="290" t="s">
        <v>560</v>
      </c>
      <c r="C68" s="290" t="s">
        <v>560</v>
      </c>
      <c r="D68" s="290" t="s">
        <v>561</v>
      </c>
      <c r="E68" s="290" t="s">
        <v>562</v>
      </c>
      <c r="F68" s="267">
        <v>498</v>
      </c>
      <c r="G68" s="267">
        <v>547</v>
      </c>
      <c r="H68" s="207" t="s">
        <v>563</v>
      </c>
      <c r="I68" s="267" t="s">
        <v>323</v>
      </c>
      <c r="J68" s="267" t="s">
        <v>91</v>
      </c>
      <c r="K68" s="267" t="s">
        <v>564</v>
      </c>
      <c r="L68" s="267" t="s">
        <v>565</v>
      </c>
      <c r="M68" s="428">
        <f>149100/547</f>
        <v>272.57769652650825</v>
      </c>
      <c r="N68" s="429" t="s">
        <v>15</v>
      </c>
    </row>
    <row r="69" spans="1:14" ht="90">
      <c r="A69" s="267"/>
      <c r="B69" s="290"/>
      <c r="C69" s="290"/>
      <c r="D69" s="290"/>
      <c r="E69" s="290"/>
      <c r="F69" s="267"/>
      <c r="G69" s="267"/>
      <c r="H69" s="207" t="s">
        <v>566</v>
      </c>
      <c r="I69" s="267"/>
      <c r="J69" s="267"/>
      <c r="K69" s="267"/>
      <c r="L69" s="267"/>
      <c r="M69" s="428"/>
      <c r="N69" s="267"/>
    </row>
    <row r="70" spans="1:14" ht="60">
      <c r="A70" s="267">
        <v>19</v>
      </c>
      <c r="B70" s="290" t="s">
        <v>567</v>
      </c>
      <c r="C70" s="290" t="s">
        <v>567</v>
      </c>
      <c r="D70" s="217" t="s">
        <v>568</v>
      </c>
      <c r="E70" s="217" t="s">
        <v>569</v>
      </c>
      <c r="F70" s="207">
        <v>763.85</v>
      </c>
      <c r="G70" s="207">
        <v>763.85</v>
      </c>
      <c r="H70" s="207" t="s">
        <v>570</v>
      </c>
      <c r="I70" s="207" t="s">
        <v>571</v>
      </c>
      <c r="J70" s="207" t="s">
        <v>572</v>
      </c>
      <c r="K70" s="207" t="s">
        <v>573</v>
      </c>
      <c r="L70" s="207" t="s">
        <v>574</v>
      </c>
      <c r="M70" s="207">
        <v>462</v>
      </c>
      <c r="N70" s="207"/>
    </row>
    <row r="71" spans="1:14" ht="60">
      <c r="A71" s="267"/>
      <c r="B71" s="290"/>
      <c r="C71" s="290"/>
      <c r="D71" s="217" t="s">
        <v>575</v>
      </c>
      <c r="E71" s="217" t="s">
        <v>576</v>
      </c>
      <c r="F71" s="207">
        <v>371.61</v>
      </c>
      <c r="G71" s="207">
        <v>371.61</v>
      </c>
      <c r="H71" s="207" t="s">
        <v>577</v>
      </c>
      <c r="I71" s="207" t="s">
        <v>571</v>
      </c>
      <c r="J71" s="207" t="s">
        <v>578</v>
      </c>
      <c r="K71" s="207" t="s">
        <v>579</v>
      </c>
      <c r="L71" s="207" t="s">
        <v>580</v>
      </c>
      <c r="M71" s="207" t="s">
        <v>581</v>
      </c>
      <c r="N71" s="207"/>
    </row>
    <row r="72" spans="1:14" ht="90">
      <c r="A72" s="267">
        <v>20</v>
      </c>
      <c r="B72" s="290" t="s">
        <v>1226</v>
      </c>
      <c r="C72" s="290" t="s">
        <v>157</v>
      </c>
      <c r="D72" s="290" t="s">
        <v>582</v>
      </c>
      <c r="E72" s="290" t="s">
        <v>583</v>
      </c>
      <c r="F72" s="207" t="s">
        <v>584</v>
      </c>
      <c r="G72" s="207"/>
      <c r="H72" s="207" t="s">
        <v>585</v>
      </c>
      <c r="I72" s="207" t="s">
        <v>586</v>
      </c>
      <c r="J72" s="207" t="s">
        <v>587</v>
      </c>
      <c r="K72" s="207" t="s">
        <v>588</v>
      </c>
      <c r="L72" s="207" t="s">
        <v>589</v>
      </c>
      <c r="M72" s="207" t="s">
        <v>590</v>
      </c>
      <c r="N72" s="207"/>
    </row>
    <row r="73" spans="1:14" ht="90">
      <c r="A73" s="267"/>
      <c r="B73" s="290"/>
      <c r="C73" s="290"/>
      <c r="D73" s="290"/>
      <c r="E73" s="290"/>
      <c r="F73" s="207" t="s">
        <v>591</v>
      </c>
      <c r="G73" s="207"/>
      <c r="H73" s="207" t="s">
        <v>585</v>
      </c>
      <c r="I73" s="207" t="s">
        <v>586</v>
      </c>
      <c r="J73" s="207" t="s">
        <v>587</v>
      </c>
      <c r="K73" s="207" t="s">
        <v>588</v>
      </c>
      <c r="L73" s="207" t="s">
        <v>592</v>
      </c>
      <c r="M73" s="207" t="s">
        <v>590</v>
      </c>
      <c r="N73" s="207"/>
    </row>
    <row r="74" spans="1:14" ht="90">
      <c r="A74" s="267"/>
      <c r="B74" s="290"/>
      <c r="C74" s="290"/>
      <c r="D74" s="290"/>
      <c r="E74" s="290"/>
      <c r="F74" s="207" t="s">
        <v>593</v>
      </c>
      <c r="G74" s="207"/>
      <c r="H74" s="207" t="s">
        <v>594</v>
      </c>
      <c r="I74" s="207" t="s">
        <v>586</v>
      </c>
      <c r="J74" s="207" t="s">
        <v>587</v>
      </c>
      <c r="K74" s="207" t="s">
        <v>588</v>
      </c>
      <c r="L74" s="207" t="s">
        <v>595</v>
      </c>
      <c r="M74" s="207" t="s">
        <v>596</v>
      </c>
      <c r="N74" s="207"/>
    </row>
    <row r="75" spans="1:14" ht="120">
      <c r="A75" s="267">
        <v>21</v>
      </c>
      <c r="B75" s="290" t="s">
        <v>1227</v>
      </c>
      <c r="C75" s="217" t="s">
        <v>597</v>
      </c>
      <c r="D75" s="217" t="s">
        <v>598</v>
      </c>
      <c r="E75" s="217" t="s">
        <v>599</v>
      </c>
      <c r="F75" s="207">
        <v>333.44</v>
      </c>
      <c r="G75" s="207" t="s">
        <v>12</v>
      </c>
      <c r="H75" s="207" t="s">
        <v>600</v>
      </c>
      <c r="I75" s="207" t="s">
        <v>601</v>
      </c>
      <c r="J75" s="207" t="s">
        <v>12</v>
      </c>
      <c r="K75" s="87" t="s">
        <v>12</v>
      </c>
      <c r="L75" s="207" t="s">
        <v>602</v>
      </c>
      <c r="M75" s="207" t="s">
        <v>603</v>
      </c>
      <c r="N75" s="207" t="s">
        <v>41</v>
      </c>
    </row>
    <row r="76" spans="1:14" ht="120">
      <c r="A76" s="267"/>
      <c r="B76" s="290"/>
      <c r="C76" s="217" t="s">
        <v>597</v>
      </c>
      <c r="D76" s="217" t="s">
        <v>598</v>
      </c>
      <c r="E76" s="217" t="s">
        <v>599</v>
      </c>
      <c r="F76" s="207">
        <v>908.11</v>
      </c>
      <c r="G76" s="207" t="s">
        <v>12</v>
      </c>
      <c r="H76" s="87" t="s">
        <v>604</v>
      </c>
      <c r="I76" s="207" t="s">
        <v>601</v>
      </c>
      <c r="J76" s="207" t="s">
        <v>12</v>
      </c>
      <c r="K76" s="87" t="s">
        <v>12</v>
      </c>
      <c r="L76" s="207" t="s">
        <v>605</v>
      </c>
      <c r="M76" s="87" t="s">
        <v>606</v>
      </c>
      <c r="N76" s="207" t="s">
        <v>41</v>
      </c>
    </row>
    <row r="77" spans="1:14" ht="105">
      <c r="A77" s="267"/>
      <c r="B77" s="290"/>
      <c r="C77" s="217" t="s">
        <v>607</v>
      </c>
      <c r="D77" s="217" t="s">
        <v>608</v>
      </c>
      <c r="E77" s="217" t="s">
        <v>609</v>
      </c>
      <c r="F77" s="207">
        <v>319.88</v>
      </c>
      <c r="G77" s="207" t="s">
        <v>12</v>
      </c>
      <c r="H77" s="207" t="s">
        <v>610</v>
      </c>
      <c r="I77" s="207" t="s">
        <v>601</v>
      </c>
      <c r="J77" s="207" t="s">
        <v>611</v>
      </c>
      <c r="K77" s="207" t="s">
        <v>612</v>
      </c>
      <c r="L77" s="207" t="s">
        <v>613</v>
      </c>
      <c r="M77" s="207" t="s">
        <v>614</v>
      </c>
      <c r="N77" s="207" t="s">
        <v>41</v>
      </c>
    </row>
    <row r="78" spans="1:14" ht="120">
      <c r="A78" s="267"/>
      <c r="B78" s="290"/>
      <c r="C78" s="217" t="s">
        <v>597</v>
      </c>
      <c r="D78" s="217" t="s">
        <v>615</v>
      </c>
      <c r="E78" s="217" t="s">
        <v>616</v>
      </c>
      <c r="F78" s="207">
        <v>245.55</v>
      </c>
      <c r="G78" s="207" t="s">
        <v>12</v>
      </c>
      <c r="H78" s="207" t="s">
        <v>617</v>
      </c>
      <c r="I78" s="207" t="s">
        <v>618</v>
      </c>
      <c r="J78" s="207" t="s">
        <v>619</v>
      </c>
      <c r="K78" s="207" t="s">
        <v>139</v>
      </c>
      <c r="L78" s="207" t="s">
        <v>620</v>
      </c>
      <c r="M78" s="207" t="s">
        <v>621</v>
      </c>
      <c r="N78" s="207" t="s">
        <v>41</v>
      </c>
    </row>
    <row r="79" spans="1:14">
      <c r="A79" s="207">
        <v>22</v>
      </c>
      <c r="B79" s="217" t="s">
        <v>1228</v>
      </c>
      <c r="C79" s="217" t="s">
        <v>27</v>
      </c>
      <c r="D79" s="217" t="s">
        <v>27</v>
      </c>
      <c r="E79" s="217" t="s">
        <v>27</v>
      </c>
      <c r="F79" s="207" t="s">
        <v>27</v>
      </c>
      <c r="G79" s="207" t="s">
        <v>27</v>
      </c>
      <c r="H79" s="207" t="s">
        <v>27</v>
      </c>
      <c r="I79" s="207" t="s">
        <v>27</v>
      </c>
      <c r="J79" s="207" t="s">
        <v>27</v>
      </c>
      <c r="K79" s="207" t="s">
        <v>27</v>
      </c>
      <c r="L79" s="207" t="s">
        <v>27</v>
      </c>
      <c r="M79" s="207" t="s">
        <v>27</v>
      </c>
      <c r="N79" s="207" t="s">
        <v>27</v>
      </c>
    </row>
    <row r="80" spans="1:14" ht="135">
      <c r="A80" s="267">
        <v>23</v>
      </c>
      <c r="B80" s="290" t="s">
        <v>1229</v>
      </c>
      <c r="C80" s="217" t="s">
        <v>12</v>
      </c>
      <c r="D80" s="217" t="s">
        <v>622</v>
      </c>
      <c r="E80" s="217" t="s">
        <v>623</v>
      </c>
      <c r="F80" s="207" t="s">
        <v>624</v>
      </c>
      <c r="G80" s="207" t="s">
        <v>625</v>
      </c>
      <c r="H80" s="207" t="s">
        <v>626</v>
      </c>
      <c r="I80" s="207" t="s">
        <v>627</v>
      </c>
      <c r="J80" s="207" t="s">
        <v>93</v>
      </c>
      <c r="K80" s="207" t="s">
        <v>628</v>
      </c>
      <c r="L80" s="207" t="s">
        <v>629</v>
      </c>
      <c r="M80" s="207" t="s">
        <v>630</v>
      </c>
      <c r="N80" s="207" t="s">
        <v>631</v>
      </c>
    </row>
    <row r="81" spans="1:14" ht="120">
      <c r="A81" s="267"/>
      <c r="B81" s="290"/>
      <c r="C81" s="217" t="s">
        <v>12</v>
      </c>
      <c r="D81" s="217" t="s">
        <v>622</v>
      </c>
      <c r="E81" s="217" t="s">
        <v>632</v>
      </c>
      <c r="F81" s="207" t="s">
        <v>633</v>
      </c>
      <c r="G81" s="207" t="s">
        <v>634</v>
      </c>
      <c r="H81" s="207" t="s">
        <v>124</v>
      </c>
      <c r="I81" s="207" t="s">
        <v>627</v>
      </c>
      <c r="J81" s="207" t="s">
        <v>93</v>
      </c>
      <c r="K81" s="207" t="s">
        <v>94</v>
      </c>
      <c r="L81" s="207" t="s">
        <v>635</v>
      </c>
      <c r="M81" s="207" t="s">
        <v>636</v>
      </c>
      <c r="N81" s="207" t="s">
        <v>631</v>
      </c>
    </row>
    <row r="82" spans="1:14" ht="120">
      <c r="A82" s="267"/>
      <c r="B82" s="290"/>
      <c r="C82" s="217" t="s">
        <v>12</v>
      </c>
      <c r="D82" s="217" t="s">
        <v>637</v>
      </c>
      <c r="E82" s="217" t="s">
        <v>638</v>
      </c>
      <c r="F82" s="207" t="s">
        <v>639</v>
      </c>
      <c r="G82" s="207" t="s">
        <v>640</v>
      </c>
      <c r="H82" s="207" t="s">
        <v>641</v>
      </c>
      <c r="I82" s="207" t="s">
        <v>627</v>
      </c>
      <c r="J82" s="207" t="s">
        <v>93</v>
      </c>
      <c r="K82" s="236" t="s">
        <v>142</v>
      </c>
      <c r="L82" s="236" t="s">
        <v>642</v>
      </c>
      <c r="M82" s="207" t="s">
        <v>643</v>
      </c>
      <c r="N82" s="207" t="s">
        <v>631</v>
      </c>
    </row>
    <row r="83" spans="1:14" ht="105">
      <c r="A83" s="267"/>
      <c r="B83" s="290"/>
      <c r="C83" s="217" t="s">
        <v>12</v>
      </c>
      <c r="D83" s="217" t="s">
        <v>644</v>
      </c>
      <c r="E83" s="126" t="s">
        <v>645</v>
      </c>
      <c r="F83" s="158">
        <v>182.54</v>
      </c>
      <c r="G83" s="158">
        <v>241.87</v>
      </c>
      <c r="H83" s="158" t="s">
        <v>646</v>
      </c>
      <c r="I83" s="207" t="s">
        <v>627</v>
      </c>
      <c r="J83" s="158" t="s">
        <v>90</v>
      </c>
      <c r="K83" s="158" t="s">
        <v>647</v>
      </c>
      <c r="L83" s="134">
        <v>74000</v>
      </c>
      <c r="M83" s="207" t="s">
        <v>648</v>
      </c>
      <c r="N83" s="207" t="s">
        <v>631</v>
      </c>
    </row>
    <row r="84" spans="1:14" ht="90">
      <c r="A84" s="207">
        <v>24</v>
      </c>
      <c r="B84" s="217" t="s">
        <v>1230</v>
      </c>
      <c r="C84" s="217" t="s">
        <v>649</v>
      </c>
      <c r="D84" s="217" t="s">
        <v>650</v>
      </c>
      <c r="E84" s="217" t="s">
        <v>651</v>
      </c>
      <c r="F84" s="207" t="s">
        <v>652</v>
      </c>
      <c r="G84" s="207" t="s">
        <v>652</v>
      </c>
      <c r="H84" s="207" t="s">
        <v>653</v>
      </c>
      <c r="I84" s="207" t="s">
        <v>654</v>
      </c>
      <c r="J84" s="207" t="s">
        <v>93</v>
      </c>
      <c r="K84" s="207" t="s">
        <v>655</v>
      </c>
      <c r="L84" s="207" t="s">
        <v>656</v>
      </c>
      <c r="M84" s="207" t="s">
        <v>657</v>
      </c>
      <c r="N84" s="207" t="s">
        <v>15</v>
      </c>
    </row>
    <row r="85" spans="1:14" ht="89.25" customHeight="1">
      <c r="A85" s="267">
        <v>25</v>
      </c>
      <c r="B85" s="290" t="s">
        <v>1231</v>
      </c>
      <c r="C85" s="217" t="s">
        <v>658</v>
      </c>
      <c r="D85" s="137" t="s">
        <v>658</v>
      </c>
      <c r="E85" s="217" t="s">
        <v>659</v>
      </c>
      <c r="F85" s="207" t="s">
        <v>658</v>
      </c>
      <c r="G85" s="207">
        <v>931.18</v>
      </c>
      <c r="H85" s="207" t="s">
        <v>660</v>
      </c>
      <c r="I85" s="207" t="s">
        <v>661</v>
      </c>
      <c r="J85" s="207" t="s">
        <v>662</v>
      </c>
      <c r="K85" s="207" t="s">
        <v>96</v>
      </c>
      <c r="L85" s="207" t="s">
        <v>663</v>
      </c>
      <c r="M85" s="207">
        <v>435.22</v>
      </c>
      <c r="N85" s="207"/>
    </row>
    <row r="86" spans="1:14" ht="75">
      <c r="A86" s="267"/>
      <c r="B86" s="290"/>
      <c r="C86" s="217" t="s">
        <v>658</v>
      </c>
      <c r="D86" s="138" t="s">
        <v>658</v>
      </c>
      <c r="E86" s="217" t="s">
        <v>664</v>
      </c>
      <c r="F86" s="207" t="s">
        <v>658</v>
      </c>
      <c r="G86" s="207">
        <v>503.25</v>
      </c>
      <c r="H86" s="207" t="s">
        <v>665</v>
      </c>
      <c r="I86" s="207" t="s">
        <v>661</v>
      </c>
      <c r="J86" s="207" t="s">
        <v>662</v>
      </c>
      <c r="K86" s="207" t="s">
        <v>666</v>
      </c>
      <c r="L86" s="207">
        <v>100059</v>
      </c>
      <c r="M86" s="207">
        <v>200.14</v>
      </c>
      <c r="N86" s="207"/>
    </row>
    <row r="87" spans="1:14" ht="75">
      <c r="A87" s="422">
        <v>26</v>
      </c>
      <c r="B87" s="423" t="s">
        <v>1232</v>
      </c>
      <c r="C87" s="160" t="s">
        <v>667</v>
      </c>
      <c r="D87" s="160" t="s">
        <v>667</v>
      </c>
      <c r="E87" s="160" t="s">
        <v>668</v>
      </c>
      <c r="F87" s="236">
        <v>668.98</v>
      </c>
      <c r="G87" s="236">
        <v>1333.71</v>
      </c>
      <c r="H87" s="236" t="s">
        <v>669</v>
      </c>
      <c r="I87" s="236" t="s">
        <v>323</v>
      </c>
      <c r="J87" s="236" t="s">
        <v>670</v>
      </c>
      <c r="K87" s="236" t="s">
        <v>671</v>
      </c>
      <c r="L87" s="236" t="s">
        <v>672</v>
      </c>
      <c r="M87" s="236">
        <v>376.73</v>
      </c>
      <c r="N87" s="236"/>
    </row>
    <row r="88" spans="1:14" ht="105">
      <c r="A88" s="422"/>
      <c r="B88" s="423"/>
      <c r="C88" s="160" t="s">
        <v>667</v>
      </c>
      <c r="D88" s="160" t="s">
        <v>673</v>
      </c>
      <c r="E88" s="160" t="s">
        <v>674</v>
      </c>
      <c r="F88" s="236">
        <v>377.56</v>
      </c>
      <c r="G88" s="236">
        <v>509.7</v>
      </c>
      <c r="H88" s="236" t="s">
        <v>675</v>
      </c>
      <c r="I88" s="236" t="s">
        <v>323</v>
      </c>
      <c r="J88" s="236" t="s">
        <v>676</v>
      </c>
      <c r="K88" s="236" t="s">
        <v>92</v>
      </c>
      <c r="L88" s="236" t="s">
        <v>677</v>
      </c>
      <c r="M88" s="135">
        <f>101800/509.7</f>
        <v>199.7253286246812</v>
      </c>
      <c r="N88" s="236" t="s">
        <v>678</v>
      </c>
    </row>
    <row r="89" spans="1:14" ht="60">
      <c r="A89" s="422"/>
      <c r="B89" s="423"/>
      <c r="C89" s="160" t="s">
        <v>667</v>
      </c>
      <c r="D89" s="160" t="s">
        <v>679</v>
      </c>
      <c r="E89" s="160" t="s">
        <v>680</v>
      </c>
      <c r="F89" s="236" t="s">
        <v>43</v>
      </c>
      <c r="G89" s="236">
        <v>373.46</v>
      </c>
      <c r="H89" s="207" t="s">
        <v>681</v>
      </c>
      <c r="I89" s="236" t="s">
        <v>323</v>
      </c>
      <c r="J89" s="236" t="s">
        <v>682</v>
      </c>
      <c r="K89" s="236" t="s">
        <v>683</v>
      </c>
      <c r="L89" s="236" t="s">
        <v>684</v>
      </c>
      <c r="M89" s="236">
        <v>255.71</v>
      </c>
      <c r="N89" s="236"/>
    </row>
    <row r="90" spans="1:14" ht="150">
      <c r="A90" s="267">
        <v>27</v>
      </c>
      <c r="B90" s="290" t="s">
        <v>1233</v>
      </c>
      <c r="C90" s="217"/>
      <c r="D90" s="217" t="s">
        <v>685</v>
      </c>
      <c r="E90" s="217" t="s">
        <v>686</v>
      </c>
      <c r="F90" s="207">
        <v>1243.1400000000001</v>
      </c>
      <c r="G90" s="207"/>
      <c r="H90" s="207" t="s">
        <v>687</v>
      </c>
      <c r="I90" s="207" t="s">
        <v>688</v>
      </c>
      <c r="J90" s="207" t="s">
        <v>90</v>
      </c>
      <c r="K90" s="87">
        <v>44520</v>
      </c>
      <c r="L90" s="207" t="s">
        <v>689</v>
      </c>
      <c r="M90" s="207">
        <v>430.55</v>
      </c>
      <c r="N90" s="207"/>
    </row>
    <row r="91" spans="1:14" ht="150">
      <c r="A91" s="267"/>
      <c r="B91" s="290"/>
      <c r="C91" s="217"/>
      <c r="D91" s="217" t="s">
        <v>690</v>
      </c>
      <c r="E91" s="217" t="s">
        <v>691</v>
      </c>
      <c r="F91" s="207">
        <v>373.83</v>
      </c>
      <c r="G91" s="207"/>
      <c r="H91" s="207" t="s">
        <v>692</v>
      </c>
      <c r="I91" s="207" t="s">
        <v>693</v>
      </c>
      <c r="J91" s="207" t="s">
        <v>90</v>
      </c>
      <c r="K91" s="87">
        <v>44286</v>
      </c>
      <c r="L91" s="207" t="s">
        <v>694</v>
      </c>
      <c r="M91" s="207">
        <v>380.39</v>
      </c>
      <c r="N91" s="207"/>
    </row>
    <row r="92" spans="1:14" ht="30">
      <c r="A92" s="207">
        <v>28</v>
      </c>
      <c r="B92" s="207" t="s">
        <v>1234</v>
      </c>
      <c r="C92" s="207" t="s">
        <v>695</v>
      </c>
      <c r="D92" s="279" t="s">
        <v>27</v>
      </c>
      <c r="E92" s="279"/>
      <c r="F92" s="279"/>
      <c r="G92" s="279"/>
      <c r="H92" s="279"/>
      <c r="I92" s="279"/>
      <c r="J92" s="279"/>
      <c r="K92" s="279"/>
      <c r="L92" s="279"/>
      <c r="M92" s="279"/>
      <c r="N92" s="279"/>
    </row>
    <row r="93" spans="1:14" ht="30">
      <c r="A93" s="207">
        <v>29</v>
      </c>
      <c r="B93" s="207" t="s">
        <v>1235</v>
      </c>
      <c r="C93" s="207" t="s">
        <v>696</v>
      </c>
      <c r="D93" s="279" t="s">
        <v>27</v>
      </c>
      <c r="E93" s="279"/>
      <c r="F93" s="279"/>
      <c r="G93" s="279"/>
      <c r="H93" s="279"/>
      <c r="I93" s="279"/>
      <c r="J93" s="279"/>
      <c r="K93" s="279"/>
      <c r="L93" s="279"/>
      <c r="M93" s="279"/>
      <c r="N93" s="279"/>
    </row>
    <row r="94" spans="1:14" ht="75" customHeight="1">
      <c r="A94" s="207">
        <v>30</v>
      </c>
      <c r="B94" s="207" t="s">
        <v>1236</v>
      </c>
      <c r="C94" s="207" t="s">
        <v>697</v>
      </c>
      <c r="D94" s="207" t="s">
        <v>698</v>
      </c>
      <c r="E94" s="207" t="s">
        <v>699</v>
      </c>
      <c r="F94" s="207" t="s">
        <v>700</v>
      </c>
      <c r="G94" s="212" t="s">
        <v>701</v>
      </c>
      <c r="H94" s="207">
        <v>1996</v>
      </c>
      <c r="I94" s="207" t="s">
        <v>702</v>
      </c>
      <c r="J94" s="207" t="s">
        <v>703</v>
      </c>
      <c r="K94" s="207" t="s">
        <v>12</v>
      </c>
      <c r="L94" s="207" t="s">
        <v>704</v>
      </c>
      <c r="M94" s="207" t="s">
        <v>705</v>
      </c>
      <c r="N94" s="207" t="s">
        <v>706</v>
      </c>
    </row>
    <row r="95" spans="1:14" ht="30">
      <c r="A95" s="207">
        <v>31</v>
      </c>
      <c r="B95" s="207" t="s">
        <v>1237</v>
      </c>
      <c r="C95" s="207" t="s">
        <v>707</v>
      </c>
      <c r="D95" s="279" t="s">
        <v>27</v>
      </c>
      <c r="E95" s="279"/>
      <c r="F95" s="279"/>
      <c r="G95" s="279"/>
      <c r="H95" s="279"/>
      <c r="I95" s="279"/>
      <c r="J95" s="279"/>
      <c r="K95" s="279"/>
      <c r="L95" s="279"/>
      <c r="M95" s="279"/>
      <c r="N95" s="279"/>
    </row>
    <row r="96" spans="1:14">
      <c r="A96" s="421"/>
      <c r="B96" s="421"/>
      <c r="C96" s="421"/>
      <c r="D96" s="421"/>
      <c r="E96" s="421"/>
      <c r="F96" s="421"/>
      <c r="G96" s="421"/>
      <c r="H96" s="421"/>
      <c r="I96" s="421"/>
      <c r="J96" s="421"/>
      <c r="K96" s="421"/>
      <c r="L96" s="421"/>
      <c r="M96" s="421"/>
      <c r="N96" s="421"/>
    </row>
    <row r="97" spans="1:14" ht="22.5">
      <c r="A97" s="261" t="s">
        <v>1203</v>
      </c>
      <c r="B97" s="261"/>
      <c r="C97" s="261"/>
      <c r="D97" s="261"/>
      <c r="E97" s="261"/>
      <c r="F97" s="261"/>
      <c r="G97" s="261"/>
      <c r="H97" s="261"/>
      <c r="I97" s="261"/>
      <c r="J97" s="261"/>
      <c r="K97" s="261"/>
      <c r="L97" s="261"/>
      <c r="M97" s="261"/>
      <c r="N97" s="261"/>
    </row>
    <row r="98" spans="1:14" ht="71.25">
      <c r="A98" s="224" t="s">
        <v>0</v>
      </c>
      <c r="B98" s="25" t="s">
        <v>53</v>
      </c>
      <c r="C98" s="224" t="s">
        <v>80</v>
      </c>
      <c r="D98" s="24" t="s">
        <v>81</v>
      </c>
      <c r="E98" s="24" t="s">
        <v>82</v>
      </c>
      <c r="F98" s="25" t="s">
        <v>120</v>
      </c>
      <c r="G98" s="25" t="s">
        <v>121</v>
      </c>
      <c r="H98" s="25" t="s">
        <v>83</v>
      </c>
      <c r="I98" s="25" t="s">
        <v>84</v>
      </c>
      <c r="J98" s="25" t="s">
        <v>85</v>
      </c>
      <c r="K98" s="25" t="s">
        <v>86</v>
      </c>
      <c r="L98" s="25" t="s">
        <v>87</v>
      </c>
      <c r="M98" s="25" t="s">
        <v>88</v>
      </c>
      <c r="N98" s="25" t="s">
        <v>89</v>
      </c>
    </row>
    <row r="99" spans="1:14">
      <c r="A99" s="224">
        <v>1</v>
      </c>
      <c r="B99" s="224">
        <v>2</v>
      </c>
      <c r="C99" s="224">
        <v>3</v>
      </c>
      <c r="D99" s="224">
        <v>4</v>
      </c>
      <c r="E99" s="224">
        <v>5</v>
      </c>
      <c r="F99" s="224">
        <v>6</v>
      </c>
      <c r="G99" s="224">
        <v>7</v>
      </c>
      <c r="H99" s="224">
        <v>8</v>
      </c>
      <c r="I99" s="25">
        <v>9</v>
      </c>
      <c r="J99" s="224">
        <v>10</v>
      </c>
      <c r="K99" s="224">
        <v>11</v>
      </c>
      <c r="L99" s="224">
        <v>12</v>
      </c>
      <c r="M99" s="224">
        <v>13</v>
      </c>
      <c r="N99" s="224">
        <v>14</v>
      </c>
    </row>
    <row r="100" spans="1:14" ht="150">
      <c r="A100" s="213">
        <v>1</v>
      </c>
      <c r="B100" s="217" t="s">
        <v>708</v>
      </c>
      <c r="C100" s="217" t="s">
        <v>15</v>
      </c>
      <c r="D100" s="217" t="s">
        <v>708</v>
      </c>
      <c r="E100" s="217" t="s">
        <v>709</v>
      </c>
      <c r="F100" s="207" t="s">
        <v>710</v>
      </c>
      <c r="G100" s="207"/>
      <c r="H100" s="207" t="s">
        <v>711</v>
      </c>
      <c r="I100" s="207" t="s">
        <v>712</v>
      </c>
      <c r="J100" s="207" t="s">
        <v>90</v>
      </c>
      <c r="K100" s="207" t="s">
        <v>713</v>
      </c>
      <c r="L100" s="207" t="s">
        <v>714</v>
      </c>
      <c r="M100" s="207" t="s">
        <v>715</v>
      </c>
      <c r="N100" s="207"/>
    </row>
    <row r="101" spans="1:14" ht="135">
      <c r="A101" s="207">
        <v>2</v>
      </c>
      <c r="B101" s="217" t="s">
        <v>716</v>
      </c>
      <c r="C101" s="70" t="s">
        <v>15</v>
      </c>
      <c r="D101" s="70" t="s">
        <v>716</v>
      </c>
      <c r="E101" s="217" t="s">
        <v>717</v>
      </c>
      <c r="F101" s="207" t="s">
        <v>718</v>
      </c>
      <c r="G101" s="207" t="s">
        <v>15</v>
      </c>
      <c r="H101" s="207" t="s">
        <v>719</v>
      </c>
      <c r="I101" s="207" t="s">
        <v>712</v>
      </c>
      <c r="J101" s="207" t="s">
        <v>90</v>
      </c>
      <c r="K101" s="207" t="s">
        <v>720</v>
      </c>
      <c r="L101" s="207" t="s">
        <v>721</v>
      </c>
      <c r="M101" s="207" t="s">
        <v>722</v>
      </c>
      <c r="N101" s="207"/>
    </row>
    <row r="102" spans="1:14" s="101" customFormat="1">
      <c r="A102" s="297"/>
      <c r="B102" s="297"/>
      <c r="C102" s="297"/>
      <c r="D102" s="297"/>
      <c r="E102" s="297"/>
      <c r="F102" s="297"/>
      <c r="G102" s="297"/>
      <c r="H102" s="297"/>
      <c r="I102" s="297"/>
      <c r="J102" s="297"/>
      <c r="K102" s="297"/>
      <c r="L102" s="297"/>
      <c r="M102" s="297"/>
      <c r="N102" s="297"/>
    </row>
    <row r="103" spans="1:14" s="101" customFormat="1" ht="22.5">
      <c r="A103" s="261" t="s">
        <v>1276</v>
      </c>
      <c r="B103" s="261"/>
      <c r="C103" s="261"/>
      <c r="D103" s="261"/>
      <c r="E103" s="261"/>
      <c r="F103" s="261"/>
      <c r="G103" s="261"/>
      <c r="H103" s="261"/>
      <c r="I103" s="261"/>
      <c r="J103" s="261"/>
      <c r="K103" s="261"/>
      <c r="L103" s="261"/>
      <c r="M103" s="261"/>
      <c r="N103" s="261"/>
    </row>
    <row r="104" spans="1:14" s="101" customFormat="1" ht="71.25">
      <c r="A104" s="224" t="s">
        <v>0</v>
      </c>
      <c r="B104" s="25" t="s">
        <v>53</v>
      </c>
      <c r="C104" s="224" t="s">
        <v>80</v>
      </c>
      <c r="D104" s="24" t="s">
        <v>81</v>
      </c>
      <c r="E104" s="24" t="s">
        <v>82</v>
      </c>
      <c r="F104" s="25" t="s">
        <v>120</v>
      </c>
      <c r="G104" s="25" t="s">
        <v>121</v>
      </c>
      <c r="H104" s="25" t="s">
        <v>83</v>
      </c>
      <c r="I104" s="25" t="s">
        <v>84</v>
      </c>
      <c r="J104" s="25" t="s">
        <v>85</v>
      </c>
      <c r="K104" s="25" t="s">
        <v>86</v>
      </c>
      <c r="L104" s="25" t="s">
        <v>87</v>
      </c>
      <c r="M104" s="25" t="s">
        <v>88</v>
      </c>
      <c r="N104" s="25" t="s">
        <v>89</v>
      </c>
    </row>
    <row r="105" spans="1:14" s="101" customFormat="1">
      <c r="A105" s="224">
        <v>1</v>
      </c>
      <c r="B105" s="224">
        <v>2</v>
      </c>
      <c r="C105" s="224">
        <v>3</v>
      </c>
      <c r="D105" s="224">
        <v>4</v>
      </c>
      <c r="E105" s="224">
        <v>5</v>
      </c>
      <c r="F105" s="224">
        <v>6</v>
      </c>
      <c r="G105" s="224">
        <v>7</v>
      </c>
      <c r="H105" s="224">
        <v>8</v>
      </c>
      <c r="I105" s="25">
        <v>9</v>
      </c>
      <c r="J105" s="224">
        <v>10</v>
      </c>
      <c r="K105" s="224">
        <v>11</v>
      </c>
      <c r="L105" s="224">
        <v>12</v>
      </c>
      <c r="M105" s="224">
        <v>13</v>
      </c>
      <c r="N105" s="224">
        <v>14</v>
      </c>
    </row>
    <row r="106" spans="1:14" s="101" customFormat="1" ht="165">
      <c r="A106" s="173">
        <v>1</v>
      </c>
      <c r="B106" s="426" t="s">
        <v>1130</v>
      </c>
      <c r="C106" s="427" t="s">
        <v>1238</v>
      </c>
      <c r="D106" s="178" t="s">
        <v>1239</v>
      </c>
      <c r="E106" s="178" t="s">
        <v>1241</v>
      </c>
      <c r="F106" s="175">
        <v>1161.28</v>
      </c>
      <c r="G106" s="175">
        <v>1161.28</v>
      </c>
      <c r="H106" s="174" t="s">
        <v>1242</v>
      </c>
      <c r="I106" s="174" t="s">
        <v>1243</v>
      </c>
      <c r="J106" s="174" t="s">
        <v>93</v>
      </c>
      <c r="K106" s="173" t="s">
        <v>1244</v>
      </c>
      <c r="L106" s="158" t="s">
        <v>1245</v>
      </c>
      <c r="M106" s="158" t="s">
        <v>15</v>
      </c>
      <c r="N106" s="176" t="s">
        <v>15</v>
      </c>
    </row>
    <row r="107" spans="1:14" s="101" customFormat="1" ht="210" customHeight="1">
      <c r="A107" s="173">
        <v>2</v>
      </c>
      <c r="B107" s="426"/>
      <c r="C107" s="427"/>
      <c r="D107" s="178" t="s">
        <v>1240</v>
      </c>
      <c r="E107" s="178" t="s">
        <v>1246</v>
      </c>
      <c r="F107" s="175">
        <v>689.99</v>
      </c>
      <c r="G107" s="174">
        <v>689.99</v>
      </c>
      <c r="H107" s="173" t="s">
        <v>1247</v>
      </c>
      <c r="I107" s="174" t="s">
        <v>1248</v>
      </c>
      <c r="J107" s="424" t="s">
        <v>1249</v>
      </c>
      <c r="K107" s="425"/>
      <c r="L107" s="425"/>
      <c r="M107" s="158" t="s">
        <v>15</v>
      </c>
      <c r="N107" s="177" t="s">
        <v>15</v>
      </c>
    </row>
    <row r="108" spans="1:14" s="101" customFormat="1" ht="75">
      <c r="A108" s="173">
        <v>3</v>
      </c>
      <c r="B108" s="426"/>
      <c r="C108" s="427"/>
      <c r="D108" s="49" t="s">
        <v>1255</v>
      </c>
      <c r="E108" s="49" t="s">
        <v>1256</v>
      </c>
      <c r="F108" s="179">
        <v>11855</v>
      </c>
      <c r="G108" s="179" t="s">
        <v>1257</v>
      </c>
      <c r="H108" s="236" t="s">
        <v>1258</v>
      </c>
      <c r="I108" s="236" t="s">
        <v>1259</v>
      </c>
      <c r="J108" s="236" t="s">
        <v>662</v>
      </c>
      <c r="K108" s="166" t="s">
        <v>1260</v>
      </c>
      <c r="L108" s="236" t="s">
        <v>1261</v>
      </c>
      <c r="M108" s="236" t="s">
        <v>1262</v>
      </c>
      <c r="N108" s="236"/>
    </row>
    <row r="109" spans="1:14" s="101" customFormat="1">
      <c r="A109" s="421"/>
      <c r="B109" s="421"/>
      <c r="C109" s="421"/>
      <c r="D109" s="421"/>
      <c r="E109" s="421"/>
      <c r="F109" s="421"/>
      <c r="G109" s="421"/>
      <c r="H109" s="421"/>
      <c r="I109" s="421"/>
      <c r="J109" s="421"/>
      <c r="K109" s="421"/>
      <c r="L109" s="421"/>
      <c r="M109" s="421"/>
      <c r="N109" s="421"/>
    </row>
    <row r="110" spans="1:14" s="101" customFormat="1" ht="22.5">
      <c r="A110" s="253" t="s">
        <v>1298</v>
      </c>
      <c r="B110" s="253"/>
      <c r="C110" s="253"/>
      <c r="D110" s="253"/>
      <c r="E110" s="253"/>
      <c r="F110" s="253"/>
      <c r="G110" s="253"/>
      <c r="H110" s="253"/>
      <c r="I110" s="253"/>
      <c r="J110" s="253"/>
      <c r="K110" s="253"/>
      <c r="L110" s="253"/>
      <c r="M110" s="253"/>
      <c r="N110" s="253"/>
    </row>
    <row r="111" spans="1:14" s="101" customFormat="1" ht="71.25">
      <c r="A111" s="224" t="s">
        <v>0</v>
      </c>
      <c r="B111" s="25" t="s">
        <v>53</v>
      </c>
      <c r="C111" s="224" t="s">
        <v>80</v>
      </c>
      <c r="D111" s="24" t="s">
        <v>81</v>
      </c>
      <c r="E111" s="24" t="s">
        <v>82</v>
      </c>
      <c r="F111" s="25" t="s">
        <v>120</v>
      </c>
      <c r="G111" s="25" t="s">
        <v>121</v>
      </c>
      <c r="H111" s="25" t="s">
        <v>83</v>
      </c>
      <c r="I111" s="25" t="s">
        <v>84</v>
      </c>
      <c r="J111" s="25" t="s">
        <v>85</v>
      </c>
      <c r="K111" s="25" t="s">
        <v>86</v>
      </c>
      <c r="L111" s="25" t="s">
        <v>87</v>
      </c>
      <c r="M111" s="25" t="s">
        <v>88</v>
      </c>
      <c r="N111" s="25" t="s">
        <v>89</v>
      </c>
    </row>
    <row r="112" spans="1:14" s="101" customFormat="1">
      <c r="A112" s="224">
        <v>1</v>
      </c>
      <c r="B112" s="224">
        <v>2</v>
      </c>
      <c r="C112" s="224">
        <v>3</v>
      </c>
      <c r="D112" s="224">
        <v>4</v>
      </c>
      <c r="E112" s="224">
        <v>5</v>
      </c>
      <c r="F112" s="224">
        <v>6</v>
      </c>
      <c r="G112" s="224">
        <v>7</v>
      </c>
      <c r="H112" s="224">
        <v>8</v>
      </c>
      <c r="I112" s="25">
        <v>9</v>
      </c>
      <c r="J112" s="224">
        <v>10</v>
      </c>
      <c r="K112" s="224">
        <v>11</v>
      </c>
      <c r="L112" s="224">
        <v>12</v>
      </c>
      <c r="M112" s="224">
        <v>13</v>
      </c>
      <c r="N112" s="224">
        <v>14</v>
      </c>
    </row>
    <row r="113" spans="1:14" s="101" customFormat="1" ht="45">
      <c r="A113" s="207">
        <v>1</v>
      </c>
      <c r="B113" s="217" t="s">
        <v>273</v>
      </c>
      <c r="C113" s="217" t="s">
        <v>208</v>
      </c>
      <c r="D113" s="217" t="s">
        <v>273</v>
      </c>
      <c r="E113" s="217" t="s">
        <v>731</v>
      </c>
      <c r="F113" s="267" t="s">
        <v>27</v>
      </c>
      <c r="G113" s="267"/>
      <c r="H113" s="267"/>
      <c r="I113" s="267"/>
      <c r="J113" s="267"/>
      <c r="K113" s="267"/>
      <c r="L113" s="267"/>
      <c r="M113" s="267"/>
      <c r="N113" s="267"/>
    </row>
    <row r="114" spans="1:14" s="101" customFormat="1" ht="409.5">
      <c r="A114" s="163">
        <v>2</v>
      </c>
      <c r="B114" s="160" t="s">
        <v>732</v>
      </c>
      <c r="C114" s="164" t="s">
        <v>37</v>
      </c>
      <c r="D114" s="160" t="s">
        <v>733</v>
      </c>
      <c r="E114" s="160" t="s">
        <v>734</v>
      </c>
      <c r="F114" s="236" t="s">
        <v>735</v>
      </c>
      <c r="G114" s="236" t="s">
        <v>37</v>
      </c>
      <c r="H114" s="236" t="s">
        <v>736</v>
      </c>
      <c r="I114" s="163" t="s">
        <v>737</v>
      </c>
      <c r="J114" s="236" t="s">
        <v>738</v>
      </c>
      <c r="K114" s="236" t="s">
        <v>739</v>
      </c>
      <c r="L114" s="236" t="s">
        <v>740</v>
      </c>
      <c r="M114" s="163" t="s">
        <v>741</v>
      </c>
      <c r="N114" s="236" t="s">
        <v>742</v>
      </c>
    </row>
    <row r="115" spans="1:14" s="101" customFormat="1" ht="240">
      <c r="A115" s="206">
        <v>3</v>
      </c>
      <c r="B115" s="228" t="s">
        <v>208</v>
      </c>
      <c r="C115" s="228" t="s">
        <v>210</v>
      </c>
      <c r="D115" s="228" t="s">
        <v>743</v>
      </c>
      <c r="E115" s="228" t="s">
        <v>744</v>
      </c>
      <c r="F115" s="165" t="s">
        <v>745</v>
      </c>
      <c r="G115" s="165"/>
      <c r="H115" s="206" t="s">
        <v>746</v>
      </c>
      <c r="I115" s="206" t="s">
        <v>571</v>
      </c>
      <c r="J115" s="206" t="s">
        <v>93</v>
      </c>
      <c r="K115" s="206" t="s">
        <v>747</v>
      </c>
      <c r="L115" s="206" t="s">
        <v>748</v>
      </c>
      <c r="M115" s="206" t="s">
        <v>749</v>
      </c>
      <c r="N115" s="206" t="s">
        <v>750</v>
      </c>
    </row>
    <row r="116" spans="1:14" s="101" customFormat="1" ht="409.5">
      <c r="A116" s="207">
        <v>4</v>
      </c>
      <c r="B116" s="228" t="s">
        <v>208</v>
      </c>
      <c r="C116" s="228" t="s">
        <v>751</v>
      </c>
      <c r="D116" s="228" t="s">
        <v>752</v>
      </c>
      <c r="E116" s="228" t="s">
        <v>753</v>
      </c>
      <c r="F116" s="206" t="s">
        <v>754</v>
      </c>
      <c r="G116" s="206" t="s">
        <v>755</v>
      </c>
      <c r="H116" s="206" t="s">
        <v>756</v>
      </c>
      <c r="I116" s="206" t="s">
        <v>757</v>
      </c>
      <c r="J116" s="206" t="s">
        <v>758</v>
      </c>
      <c r="K116" s="206" t="s">
        <v>759</v>
      </c>
      <c r="L116" s="206" t="s">
        <v>760</v>
      </c>
      <c r="M116" s="158" t="s">
        <v>761</v>
      </c>
      <c r="N116" s="158" t="s">
        <v>762</v>
      </c>
    </row>
    <row r="117" spans="1:14" s="101" customFormat="1" ht="90">
      <c r="A117" s="207">
        <v>5</v>
      </c>
      <c r="B117" s="228" t="s">
        <v>208</v>
      </c>
      <c r="C117" s="126" t="s">
        <v>763</v>
      </c>
      <c r="D117" s="126" t="s">
        <v>764</v>
      </c>
      <c r="E117" s="126" t="s">
        <v>765</v>
      </c>
      <c r="F117" s="158">
        <v>1479.11</v>
      </c>
      <c r="G117" s="158">
        <v>5413.82</v>
      </c>
      <c r="H117" s="158" t="s">
        <v>766</v>
      </c>
      <c r="I117" s="158" t="s">
        <v>767</v>
      </c>
      <c r="J117" s="158" t="s">
        <v>371</v>
      </c>
      <c r="K117" s="158" t="s">
        <v>768</v>
      </c>
      <c r="L117" s="158" t="s">
        <v>769</v>
      </c>
      <c r="M117" s="158">
        <v>465.7</v>
      </c>
      <c r="N117" s="158" t="s">
        <v>15</v>
      </c>
    </row>
    <row r="118" spans="1:14" s="101" customFormat="1" ht="75">
      <c r="A118" s="207">
        <v>6</v>
      </c>
      <c r="B118" s="217" t="s">
        <v>208</v>
      </c>
      <c r="C118" s="217" t="s">
        <v>770</v>
      </c>
      <c r="D118" s="217" t="s">
        <v>771</v>
      </c>
      <c r="E118" s="217" t="s">
        <v>772</v>
      </c>
      <c r="F118" s="207">
        <v>786.7</v>
      </c>
      <c r="G118" s="207">
        <v>977.7</v>
      </c>
      <c r="H118" s="87" t="s">
        <v>773</v>
      </c>
      <c r="I118" s="207" t="s">
        <v>774</v>
      </c>
      <c r="J118" s="207" t="s">
        <v>90</v>
      </c>
      <c r="K118" s="207" t="s">
        <v>775</v>
      </c>
      <c r="L118" s="207" t="s">
        <v>776</v>
      </c>
      <c r="M118" s="207" t="s">
        <v>777</v>
      </c>
      <c r="N118" s="207"/>
    </row>
    <row r="119" spans="1:14" ht="165">
      <c r="A119" s="267">
        <v>7</v>
      </c>
      <c r="B119" s="290" t="s">
        <v>778</v>
      </c>
      <c r="C119" s="290"/>
      <c r="D119" s="290"/>
      <c r="E119" s="290" t="s">
        <v>779</v>
      </c>
      <c r="F119" s="267" t="s">
        <v>780</v>
      </c>
      <c r="G119" s="267"/>
      <c r="H119" s="207" t="s">
        <v>781</v>
      </c>
      <c r="I119" s="207" t="s">
        <v>549</v>
      </c>
      <c r="J119" s="207" t="s">
        <v>782</v>
      </c>
      <c r="K119" s="207" t="s">
        <v>783</v>
      </c>
      <c r="L119" s="207" t="s">
        <v>784</v>
      </c>
      <c r="M119" s="207" t="s">
        <v>785</v>
      </c>
      <c r="N119" s="207"/>
    </row>
    <row r="120" spans="1:14" ht="180">
      <c r="A120" s="267"/>
      <c r="B120" s="290"/>
      <c r="C120" s="290"/>
      <c r="D120" s="290"/>
      <c r="E120" s="290"/>
      <c r="F120" s="267"/>
      <c r="G120" s="267"/>
      <c r="H120" s="207" t="s">
        <v>786</v>
      </c>
      <c r="I120" s="207" t="s">
        <v>549</v>
      </c>
      <c r="J120" s="207" t="s">
        <v>782</v>
      </c>
      <c r="K120" s="207" t="s">
        <v>787</v>
      </c>
      <c r="L120" s="207" t="s">
        <v>788</v>
      </c>
      <c r="M120" s="207" t="s">
        <v>785</v>
      </c>
      <c r="N120" s="207"/>
    </row>
    <row r="121" spans="1:14">
      <c r="A121" s="206">
        <v>8</v>
      </c>
      <c r="B121" s="228" t="s">
        <v>208</v>
      </c>
      <c r="C121" s="228" t="s">
        <v>212</v>
      </c>
      <c r="D121" s="267" t="s">
        <v>27</v>
      </c>
      <c r="E121" s="267"/>
      <c r="F121" s="267"/>
      <c r="G121" s="267"/>
      <c r="H121" s="267"/>
      <c r="I121" s="267"/>
      <c r="J121" s="267"/>
      <c r="K121" s="267"/>
      <c r="L121" s="267"/>
      <c r="M121" s="267"/>
      <c r="N121" s="267"/>
    </row>
    <row r="122" spans="1:14">
      <c r="A122" s="207">
        <v>9</v>
      </c>
      <c r="B122" s="228" t="s">
        <v>208</v>
      </c>
      <c r="C122" s="228" t="s">
        <v>213</v>
      </c>
      <c r="D122" s="267" t="s">
        <v>27</v>
      </c>
      <c r="E122" s="267"/>
      <c r="F122" s="267"/>
      <c r="G122" s="267"/>
      <c r="H122" s="267"/>
      <c r="I122" s="267"/>
      <c r="J122" s="267"/>
      <c r="K122" s="267"/>
      <c r="L122" s="267"/>
      <c r="M122" s="267"/>
      <c r="N122" s="267"/>
    </row>
    <row r="123" spans="1:14">
      <c r="A123" s="206">
        <v>10</v>
      </c>
      <c r="B123" s="228" t="s">
        <v>208</v>
      </c>
      <c r="C123" s="228" t="s">
        <v>223</v>
      </c>
      <c r="D123" s="267" t="s">
        <v>27</v>
      </c>
      <c r="E123" s="267"/>
      <c r="F123" s="267"/>
      <c r="G123" s="267"/>
      <c r="H123" s="267"/>
      <c r="I123" s="267"/>
      <c r="J123" s="267"/>
      <c r="K123" s="267"/>
      <c r="L123" s="267"/>
      <c r="M123" s="267"/>
      <c r="N123" s="267"/>
    </row>
    <row r="124" spans="1:14">
      <c r="A124" s="207">
        <v>11</v>
      </c>
      <c r="B124" s="228" t="s">
        <v>208</v>
      </c>
      <c r="C124" s="228" t="s">
        <v>224</v>
      </c>
      <c r="D124" s="267" t="s">
        <v>27</v>
      </c>
      <c r="E124" s="267"/>
      <c r="F124" s="267"/>
      <c r="G124" s="267"/>
      <c r="H124" s="267"/>
      <c r="I124" s="267"/>
      <c r="J124" s="267"/>
      <c r="K124" s="267"/>
      <c r="L124" s="267"/>
      <c r="M124" s="267"/>
      <c r="N124" s="267"/>
    </row>
    <row r="125" spans="1:14">
      <c r="A125" s="207">
        <v>12</v>
      </c>
      <c r="B125" s="228" t="s">
        <v>208</v>
      </c>
      <c r="C125" s="228" t="s">
        <v>233</v>
      </c>
      <c r="D125" s="267" t="s">
        <v>27</v>
      </c>
      <c r="E125" s="267"/>
      <c r="F125" s="267"/>
      <c r="G125" s="267"/>
      <c r="H125" s="267"/>
      <c r="I125" s="267"/>
      <c r="J125" s="267"/>
      <c r="K125" s="267"/>
      <c r="L125" s="267"/>
      <c r="M125" s="267"/>
      <c r="N125" s="267"/>
    </row>
    <row r="126" spans="1:14" ht="60">
      <c r="A126" s="236">
        <v>13</v>
      </c>
      <c r="B126" s="228" t="s">
        <v>208</v>
      </c>
      <c r="C126" s="217" t="s">
        <v>789</v>
      </c>
      <c r="D126" s="217"/>
      <c r="E126" s="217" t="s">
        <v>790</v>
      </c>
      <c r="F126" s="207"/>
      <c r="G126" s="207"/>
      <c r="H126" s="207"/>
      <c r="I126" s="207"/>
      <c r="J126" s="207"/>
      <c r="K126" s="207"/>
      <c r="L126" s="207"/>
      <c r="M126" s="207"/>
      <c r="N126" s="207"/>
    </row>
    <row r="127" spans="1:14" ht="75">
      <c r="A127" s="206">
        <v>14</v>
      </c>
      <c r="B127" s="227" t="s">
        <v>236</v>
      </c>
      <c r="C127" s="228" t="s">
        <v>237</v>
      </c>
      <c r="D127" s="217" t="s">
        <v>791</v>
      </c>
      <c r="E127" s="217" t="s">
        <v>792</v>
      </c>
      <c r="F127" s="207">
        <v>1207</v>
      </c>
      <c r="G127" s="207">
        <v>1486</v>
      </c>
      <c r="H127" s="207" t="s">
        <v>793</v>
      </c>
      <c r="I127" s="236" t="s">
        <v>549</v>
      </c>
      <c r="J127" s="236" t="s">
        <v>794</v>
      </c>
      <c r="K127" s="236" t="s">
        <v>92</v>
      </c>
      <c r="L127" s="207">
        <v>267801</v>
      </c>
      <c r="M127" s="207">
        <v>221.87</v>
      </c>
      <c r="N127" s="207"/>
    </row>
    <row r="128" spans="1:14" ht="105">
      <c r="A128" s="236">
        <v>15</v>
      </c>
      <c r="B128" s="227" t="s">
        <v>208</v>
      </c>
      <c r="C128" s="228" t="s">
        <v>244</v>
      </c>
      <c r="D128" s="217" t="s">
        <v>795</v>
      </c>
      <c r="E128" s="217" t="s">
        <v>796</v>
      </c>
      <c r="F128" s="207">
        <v>883.51</v>
      </c>
      <c r="G128" s="207">
        <v>1113.51</v>
      </c>
      <c r="H128" s="207" t="s">
        <v>797</v>
      </c>
      <c r="I128" s="236" t="s">
        <v>549</v>
      </c>
      <c r="J128" s="236" t="s">
        <v>798</v>
      </c>
      <c r="K128" s="236" t="s">
        <v>799</v>
      </c>
      <c r="L128" s="207" t="s">
        <v>800</v>
      </c>
      <c r="M128" s="207">
        <v>301.39</v>
      </c>
      <c r="N128" s="207"/>
    </row>
    <row r="129" spans="1:14">
      <c r="A129" s="206">
        <v>16</v>
      </c>
      <c r="B129" s="227" t="s">
        <v>208</v>
      </c>
      <c r="C129" s="228" t="s">
        <v>245</v>
      </c>
      <c r="D129" s="267" t="s">
        <v>27</v>
      </c>
      <c r="E129" s="267"/>
      <c r="F129" s="267"/>
      <c r="G129" s="267"/>
      <c r="H129" s="267"/>
      <c r="I129" s="267"/>
      <c r="J129" s="267"/>
      <c r="K129" s="267"/>
      <c r="L129" s="267"/>
      <c r="M129" s="267"/>
      <c r="N129" s="267"/>
    </row>
    <row r="130" spans="1:14">
      <c r="A130" s="236">
        <v>17</v>
      </c>
      <c r="B130" s="227" t="s">
        <v>208</v>
      </c>
      <c r="C130" s="228" t="s">
        <v>246</v>
      </c>
      <c r="D130" s="267" t="s">
        <v>27</v>
      </c>
      <c r="E130" s="267"/>
      <c r="F130" s="267"/>
      <c r="G130" s="267"/>
      <c r="H130" s="267"/>
      <c r="I130" s="267"/>
      <c r="J130" s="267"/>
      <c r="K130" s="267"/>
      <c r="L130" s="267"/>
      <c r="M130" s="267"/>
      <c r="N130" s="267"/>
    </row>
    <row r="131" spans="1:14">
      <c r="A131" s="206">
        <v>18</v>
      </c>
      <c r="B131" s="227" t="s">
        <v>208</v>
      </c>
      <c r="C131" s="228" t="s">
        <v>801</v>
      </c>
      <c r="D131" s="267" t="s">
        <v>27</v>
      </c>
      <c r="E131" s="267"/>
      <c r="F131" s="267"/>
      <c r="G131" s="267"/>
      <c r="H131" s="267"/>
      <c r="I131" s="267"/>
      <c r="J131" s="267"/>
      <c r="K131" s="267"/>
      <c r="L131" s="267"/>
      <c r="M131" s="267"/>
      <c r="N131" s="267"/>
    </row>
    <row r="132" spans="1:14" ht="63">
      <c r="A132" s="422">
        <v>19</v>
      </c>
      <c r="B132" s="433" t="s">
        <v>208</v>
      </c>
      <c r="C132" s="434" t="s">
        <v>802</v>
      </c>
      <c r="D132" s="217" t="s">
        <v>803</v>
      </c>
      <c r="E132" s="217" t="s">
        <v>811</v>
      </c>
      <c r="F132" s="207">
        <v>510.97</v>
      </c>
      <c r="G132" s="207" t="s">
        <v>804</v>
      </c>
      <c r="H132" s="207" t="s">
        <v>805</v>
      </c>
      <c r="I132" s="207" t="s">
        <v>549</v>
      </c>
      <c r="J132" s="207" t="s">
        <v>505</v>
      </c>
      <c r="K132" s="207" t="s">
        <v>806</v>
      </c>
      <c r="L132" s="207">
        <v>111567</v>
      </c>
      <c r="M132" s="96">
        <f>L132/F132</f>
        <v>218.34354267373817</v>
      </c>
      <c r="N132" s="207"/>
    </row>
    <row r="133" spans="1:14" ht="60">
      <c r="A133" s="422"/>
      <c r="B133" s="433"/>
      <c r="C133" s="434"/>
      <c r="D133" s="217" t="s">
        <v>807</v>
      </c>
      <c r="E133" s="217" t="s">
        <v>808</v>
      </c>
      <c r="F133" s="207">
        <v>479.76</v>
      </c>
      <c r="G133" s="207">
        <v>562.19000000000005</v>
      </c>
      <c r="H133" s="207" t="s">
        <v>809</v>
      </c>
      <c r="I133" s="207" t="s">
        <v>549</v>
      </c>
      <c r="J133" s="207" t="s">
        <v>505</v>
      </c>
      <c r="K133" s="207" t="s">
        <v>810</v>
      </c>
      <c r="L133" s="207">
        <v>75643</v>
      </c>
      <c r="M133" s="96">
        <f>L133/F133</f>
        <v>157.66841754210438</v>
      </c>
      <c r="N133" s="207"/>
    </row>
    <row r="134" spans="1:14">
      <c r="A134" s="435"/>
      <c r="B134" s="435"/>
      <c r="C134" s="435"/>
      <c r="D134" s="435"/>
      <c r="E134" s="435"/>
      <c r="F134" s="435"/>
      <c r="G134" s="435"/>
      <c r="H134" s="435"/>
      <c r="I134" s="435"/>
      <c r="J134" s="435"/>
      <c r="K134" s="435"/>
      <c r="L134" s="435"/>
      <c r="M134" s="435"/>
      <c r="N134" s="435"/>
    </row>
    <row r="135" spans="1:14" ht="22.5" customHeight="1">
      <c r="A135" s="253" t="s">
        <v>1294</v>
      </c>
      <c r="B135" s="253"/>
      <c r="C135" s="253"/>
      <c r="D135" s="253"/>
      <c r="E135" s="253"/>
      <c r="F135" s="253"/>
      <c r="G135" s="253"/>
      <c r="H135" s="253"/>
      <c r="I135" s="253"/>
      <c r="J135" s="253"/>
      <c r="K135" s="253"/>
      <c r="L135" s="253"/>
      <c r="M135" s="253"/>
      <c r="N135" s="253"/>
    </row>
    <row r="136" spans="1:14" ht="71.25">
      <c r="A136" s="224" t="s">
        <v>0</v>
      </c>
      <c r="B136" s="25" t="s">
        <v>53</v>
      </c>
      <c r="C136" s="224" t="s">
        <v>80</v>
      </c>
      <c r="D136" s="24" t="s">
        <v>81</v>
      </c>
      <c r="E136" s="24" t="s">
        <v>82</v>
      </c>
      <c r="F136" s="25" t="s">
        <v>120</v>
      </c>
      <c r="G136" s="25" t="s">
        <v>121</v>
      </c>
      <c r="H136" s="25" t="s">
        <v>83</v>
      </c>
      <c r="I136" s="25" t="s">
        <v>84</v>
      </c>
      <c r="J136" s="25" t="s">
        <v>85</v>
      </c>
      <c r="K136" s="25" t="s">
        <v>86</v>
      </c>
      <c r="L136" s="25" t="s">
        <v>87</v>
      </c>
      <c r="M136" s="25" t="s">
        <v>88</v>
      </c>
      <c r="N136" s="25" t="s">
        <v>89</v>
      </c>
    </row>
    <row r="137" spans="1:14">
      <c r="A137" s="224">
        <v>1</v>
      </c>
      <c r="B137" s="224">
        <v>2</v>
      </c>
      <c r="C137" s="224">
        <v>3</v>
      </c>
      <c r="D137" s="224">
        <v>4</v>
      </c>
      <c r="E137" s="224">
        <v>5</v>
      </c>
      <c r="F137" s="224">
        <v>6</v>
      </c>
      <c r="G137" s="224">
        <v>7</v>
      </c>
      <c r="H137" s="224">
        <v>8</v>
      </c>
      <c r="I137" s="25">
        <v>9</v>
      </c>
      <c r="J137" s="224">
        <v>10</v>
      </c>
      <c r="K137" s="224">
        <v>11</v>
      </c>
      <c r="L137" s="224">
        <v>12</v>
      </c>
      <c r="M137" s="224">
        <v>13</v>
      </c>
      <c r="N137" s="224">
        <v>14</v>
      </c>
    </row>
    <row r="138" spans="1:14">
      <c r="A138" s="267" t="s">
        <v>27</v>
      </c>
      <c r="B138" s="267"/>
      <c r="C138" s="267"/>
      <c r="D138" s="267"/>
      <c r="E138" s="267"/>
      <c r="F138" s="267"/>
      <c r="G138" s="267"/>
      <c r="H138" s="267"/>
      <c r="I138" s="267"/>
      <c r="J138" s="267"/>
      <c r="K138" s="267"/>
      <c r="L138" s="267"/>
      <c r="M138" s="267"/>
      <c r="N138" s="267"/>
    </row>
    <row r="139" spans="1:14">
      <c r="A139" s="421"/>
      <c r="B139" s="421"/>
      <c r="C139" s="421"/>
      <c r="D139" s="421"/>
      <c r="E139" s="421"/>
      <c r="F139" s="421"/>
      <c r="G139" s="421"/>
      <c r="H139" s="421"/>
      <c r="I139" s="421"/>
      <c r="J139" s="421"/>
      <c r="K139" s="421"/>
      <c r="L139" s="421"/>
      <c r="M139" s="421"/>
      <c r="N139" s="421"/>
    </row>
    <row r="140" spans="1:14" ht="22.5" customHeight="1">
      <c r="A140" s="253" t="s">
        <v>1295</v>
      </c>
      <c r="B140" s="277"/>
      <c r="C140" s="277"/>
      <c r="D140" s="277"/>
      <c r="E140" s="277"/>
      <c r="F140" s="277"/>
      <c r="G140" s="277"/>
      <c r="H140" s="277"/>
      <c r="I140" s="277"/>
      <c r="J140" s="277"/>
      <c r="K140" s="277"/>
      <c r="L140" s="277"/>
      <c r="M140" s="277"/>
      <c r="N140" s="277"/>
    </row>
    <row r="141" spans="1:14" ht="20.25">
      <c r="A141" s="259" t="s">
        <v>119</v>
      </c>
      <c r="B141" s="259"/>
      <c r="C141" s="259"/>
      <c r="D141" s="259"/>
      <c r="E141" s="259"/>
      <c r="F141" s="259"/>
      <c r="G141" s="259"/>
      <c r="H141" s="259"/>
      <c r="I141" s="259"/>
      <c r="J141" s="259"/>
      <c r="K141" s="259"/>
      <c r="L141" s="259"/>
      <c r="M141" s="259"/>
      <c r="N141" s="259"/>
    </row>
    <row r="142" spans="1:14" ht="71.25">
      <c r="A142" s="224" t="s">
        <v>0</v>
      </c>
      <c r="B142" s="25" t="s">
        <v>53</v>
      </c>
      <c r="C142" s="224" t="s">
        <v>80</v>
      </c>
      <c r="D142" s="24" t="s">
        <v>81</v>
      </c>
      <c r="E142" s="24" t="s">
        <v>82</v>
      </c>
      <c r="F142" s="25" t="s">
        <v>120</v>
      </c>
      <c r="G142" s="25" t="s">
        <v>121</v>
      </c>
      <c r="H142" s="25" t="s">
        <v>83</v>
      </c>
      <c r="I142" s="25" t="s">
        <v>84</v>
      </c>
      <c r="J142" s="25" t="s">
        <v>85</v>
      </c>
      <c r="K142" s="25" t="s">
        <v>86</v>
      </c>
      <c r="L142" s="25" t="s">
        <v>87</v>
      </c>
      <c r="M142" s="25" t="s">
        <v>88</v>
      </c>
      <c r="N142" s="25" t="s">
        <v>89</v>
      </c>
    </row>
    <row r="143" spans="1:14">
      <c r="A143" s="224">
        <v>1</v>
      </c>
      <c r="B143" s="224">
        <v>2</v>
      </c>
      <c r="C143" s="224">
        <v>3</v>
      </c>
      <c r="D143" s="224">
        <v>4</v>
      </c>
      <c r="E143" s="224">
        <v>5</v>
      </c>
      <c r="F143" s="224">
        <v>6</v>
      </c>
      <c r="G143" s="224">
        <v>7</v>
      </c>
      <c r="H143" s="224">
        <v>8</v>
      </c>
      <c r="I143" s="25">
        <v>9</v>
      </c>
      <c r="J143" s="224">
        <v>10</v>
      </c>
      <c r="K143" s="224">
        <v>11</v>
      </c>
      <c r="L143" s="224">
        <v>12</v>
      </c>
      <c r="M143" s="224">
        <v>13</v>
      </c>
      <c r="N143" s="224">
        <v>14</v>
      </c>
    </row>
    <row r="144" spans="1:14" ht="60">
      <c r="A144" s="207">
        <v>1</v>
      </c>
      <c r="B144" s="217" t="s">
        <v>873</v>
      </c>
      <c r="C144" s="217" t="s">
        <v>813</v>
      </c>
      <c r="D144" s="217" t="s">
        <v>878</v>
      </c>
      <c r="E144" s="217" t="s">
        <v>879</v>
      </c>
      <c r="F144" s="207">
        <v>205</v>
      </c>
      <c r="G144" s="207" t="s">
        <v>880</v>
      </c>
      <c r="H144" s="207" t="s">
        <v>881</v>
      </c>
      <c r="I144" s="207" t="s">
        <v>48</v>
      </c>
      <c r="J144" s="207" t="s">
        <v>880</v>
      </c>
      <c r="K144" s="207" t="s">
        <v>880</v>
      </c>
      <c r="L144" s="207" t="s">
        <v>882</v>
      </c>
      <c r="M144" s="207" t="s">
        <v>48</v>
      </c>
      <c r="N144" s="207"/>
    </row>
    <row r="145" spans="1:14" ht="60">
      <c r="A145" s="207">
        <v>2</v>
      </c>
      <c r="B145" s="217" t="s">
        <v>873</v>
      </c>
      <c r="C145" s="217" t="s">
        <v>813</v>
      </c>
      <c r="D145" s="217" t="s">
        <v>883</v>
      </c>
      <c r="E145" s="217" t="s">
        <v>884</v>
      </c>
      <c r="F145" s="207">
        <v>2138</v>
      </c>
      <c r="G145" s="207">
        <v>360.68</v>
      </c>
      <c r="H145" s="207" t="s">
        <v>885</v>
      </c>
      <c r="I145" s="207" t="s">
        <v>886</v>
      </c>
      <c r="J145" s="207" t="s">
        <v>887</v>
      </c>
      <c r="K145" s="207" t="s">
        <v>888</v>
      </c>
      <c r="L145" s="207" t="s">
        <v>889</v>
      </c>
      <c r="M145" s="207" t="s">
        <v>48</v>
      </c>
      <c r="N145" s="207"/>
    </row>
    <row r="146" spans="1:14" ht="45">
      <c r="A146" s="207">
        <v>3</v>
      </c>
      <c r="B146" s="217" t="s">
        <v>873</v>
      </c>
      <c r="C146" s="217" t="s">
        <v>813</v>
      </c>
      <c r="D146" s="217" t="s">
        <v>890</v>
      </c>
      <c r="E146" s="217" t="s">
        <v>891</v>
      </c>
      <c r="F146" s="207" t="s">
        <v>48</v>
      </c>
      <c r="G146" s="207">
        <v>202.96</v>
      </c>
      <c r="H146" s="207" t="s">
        <v>892</v>
      </c>
      <c r="I146" s="207" t="s">
        <v>886</v>
      </c>
      <c r="J146" s="207" t="s">
        <v>893</v>
      </c>
      <c r="K146" s="207" t="s">
        <v>894</v>
      </c>
      <c r="L146" s="207" t="s">
        <v>895</v>
      </c>
      <c r="M146" s="207" t="s">
        <v>48</v>
      </c>
      <c r="N146" s="207"/>
    </row>
    <row r="147" spans="1:14" ht="60">
      <c r="A147" s="207">
        <v>4</v>
      </c>
      <c r="B147" s="217" t="s">
        <v>873</v>
      </c>
      <c r="C147" s="217" t="s">
        <v>813</v>
      </c>
      <c r="D147" s="217" t="s">
        <v>896</v>
      </c>
      <c r="E147" s="217" t="s">
        <v>897</v>
      </c>
      <c r="F147" s="207">
        <v>2700</v>
      </c>
      <c r="G147" s="207" t="s">
        <v>880</v>
      </c>
      <c r="H147" s="207" t="s">
        <v>898</v>
      </c>
      <c r="I147" s="207"/>
      <c r="J147" s="207" t="s">
        <v>899</v>
      </c>
      <c r="K147" s="4">
        <v>43586</v>
      </c>
      <c r="L147" s="97" t="s">
        <v>900</v>
      </c>
      <c r="M147" s="207">
        <v>40.200000000000003</v>
      </c>
      <c r="N147" s="207"/>
    </row>
    <row r="148" spans="1:14" ht="135">
      <c r="A148" s="207">
        <v>5</v>
      </c>
      <c r="B148" s="217" t="s">
        <v>901</v>
      </c>
      <c r="C148" s="217" t="s">
        <v>813</v>
      </c>
      <c r="D148" s="217" t="s">
        <v>902</v>
      </c>
      <c r="E148" s="217" t="s">
        <v>903</v>
      </c>
      <c r="F148" s="207" t="s">
        <v>904</v>
      </c>
      <c r="G148" s="207">
        <v>707.25</v>
      </c>
      <c r="H148" s="207" t="s">
        <v>905</v>
      </c>
      <c r="I148" s="207" t="s">
        <v>549</v>
      </c>
      <c r="J148" s="207" t="s">
        <v>904</v>
      </c>
      <c r="K148" s="207" t="s">
        <v>906</v>
      </c>
      <c r="L148" s="207" t="s">
        <v>907</v>
      </c>
      <c r="M148" s="207">
        <v>192.15</v>
      </c>
      <c r="N148" s="207"/>
    </row>
    <row r="149" spans="1:14" ht="60">
      <c r="A149" s="207">
        <v>6</v>
      </c>
      <c r="B149" s="217" t="s">
        <v>901</v>
      </c>
      <c r="C149" s="217" t="s">
        <v>813</v>
      </c>
      <c r="D149" s="217" t="s">
        <v>908</v>
      </c>
      <c r="E149" s="217" t="s">
        <v>909</v>
      </c>
      <c r="F149" s="207">
        <v>303.62</v>
      </c>
      <c r="G149" s="207">
        <v>303.62</v>
      </c>
      <c r="H149" s="207" t="s">
        <v>910</v>
      </c>
      <c r="I149" s="207" t="s">
        <v>549</v>
      </c>
      <c r="J149" s="207" t="s">
        <v>906</v>
      </c>
      <c r="K149" s="207" t="s">
        <v>906</v>
      </c>
      <c r="L149" s="207">
        <v>58341</v>
      </c>
      <c r="M149" s="207">
        <v>269</v>
      </c>
      <c r="N149" s="207"/>
    </row>
    <row r="150" spans="1:14" ht="30">
      <c r="A150" s="207">
        <v>7</v>
      </c>
      <c r="B150" s="217" t="s">
        <v>901</v>
      </c>
      <c r="C150" s="217" t="s">
        <v>813</v>
      </c>
      <c r="D150" s="217" t="s">
        <v>911</v>
      </c>
      <c r="E150" s="217" t="s">
        <v>912</v>
      </c>
      <c r="F150" s="207">
        <v>278.81</v>
      </c>
      <c r="G150" s="207">
        <v>278.81</v>
      </c>
      <c r="H150" s="207" t="s">
        <v>910</v>
      </c>
      <c r="I150" s="207" t="s">
        <v>549</v>
      </c>
      <c r="J150" s="207" t="s">
        <v>906</v>
      </c>
      <c r="K150" s="207" t="s">
        <v>906</v>
      </c>
      <c r="L150" s="207" t="s">
        <v>913</v>
      </c>
      <c r="M150" s="207"/>
      <c r="N150" s="207"/>
    </row>
    <row r="151" spans="1:14" ht="75">
      <c r="A151" s="207">
        <v>8</v>
      </c>
      <c r="B151" s="217" t="s">
        <v>914</v>
      </c>
      <c r="C151" s="217" t="s">
        <v>813</v>
      </c>
      <c r="D151" s="160" t="s">
        <v>915</v>
      </c>
      <c r="E151" s="160" t="s">
        <v>916</v>
      </c>
      <c r="F151" s="236">
        <v>1254.47</v>
      </c>
      <c r="G151" s="135">
        <v>1343.5</v>
      </c>
      <c r="H151" s="166">
        <v>43862</v>
      </c>
      <c r="I151" s="207" t="s">
        <v>917</v>
      </c>
      <c r="J151" s="135" t="s">
        <v>93</v>
      </c>
      <c r="K151" s="78">
        <v>44958</v>
      </c>
      <c r="L151" s="167">
        <v>944000</v>
      </c>
      <c r="M151" s="207"/>
      <c r="N151" s="207"/>
    </row>
    <row r="152" spans="1:14" ht="75">
      <c r="A152" s="207">
        <v>9</v>
      </c>
      <c r="B152" s="217" t="s">
        <v>914</v>
      </c>
      <c r="C152" s="217" t="s">
        <v>813</v>
      </c>
      <c r="D152" s="160" t="s">
        <v>918</v>
      </c>
      <c r="E152" s="160" t="s">
        <v>919</v>
      </c>
      <c r="F152" s="46">
        <v>96.15</v>
      </c>
      <c r="G152" s="167">
        <v>106.84</v>
      </c>
      <c r="H152" s="166">
        <v>41365</v>
      </c>
      <c r="I152" s="207" t="s">
        <v>920</v>
      </c>
      <c r="J152" s="135" t="s">
        <v>921</v>
      </c>
      <c r="K152" s="78">
        <v>45017</v>
      </c>
      <c r="L152" s="167">
        <v>17438</v>
      </c>
      <c r="M152" s="207"/>
      <c r="N152" s="207"/>
    </row>
    <row r="153" spans="1:14" ht="44.25" customHeight="1">
      <c r="A153" s="207">
        <v>10</v>
      </c>
      <c r="B153" s="217" t="s">
        <v>914</v>
      </c>
      <c r="C153" s="217" t="s">
        <v>813</v>
      </c>
      <c r="D153" s="160" t="s">
        <v>922</v>
      </c>
      <c r="E153" s="160" t="s">
        <v>923</v>
      </c>
      <c r="F153" s="236">
        <v>372.21</v>
      </c>
      <c r="G153" s="135">
        <v>456.78</v>
      </c>
      <c r="H153" s="168">
        <v>43845</v>
      </c>
      <c r="I153" s="207" t="s">
        <v>920</v>
      </c>
      <c r="J153" s="135" t="s">
        <v>93</v>
      </c>
      <c r="K153" s="78">
        <v>44941</v>
      </c>
      <c r="L153" s="167">
        <v>60090</v>
      </c>
      <c r="M153" s="207"/>
      <c r="N153" s="207"/>
    </row>
    <row r="154" spans="1:14" ht="105">
      <c r="A154" s="207">
        <v>11</v>
      </c>
      <c r="B154" s="217" t="s">
        <v>914</v>
      </c>
      <c r="C154" s="217" t="s">
        <v>813</v>
      </c>
      <c r="D154" s="160" t="s">
        <v>924</v>
      </c>
      <c r="E154" s="160" t="s">
        <v>925</v>
      </c>
      <c r="F154" s="135">
        <v>87</v>
      </c>
      <c r="G154" s="135">
        <v>98.94</v>
      </c>
      <c r="H154" s="166">
        <v>42552</v>
      </c>
      <c r="I154" s="207" t="s">
        <v>920</v>
      </c>
      <c r="J154" s="135" t="s">
        <v>926</v>
      </c>
      <c r="K154" s="78">
        <v>44378</v>
      </c>
      <c r="L154" s="167">
        <v>11705</v>
      </c>
      <c r="M154" s="207"/>
      <c r="N154" s="207"/>
    </row>
    <row r="155" spans="1:14" ht="90">
      <c r="A155" s="207">
        <v>12</v>
      </c>
      <c r="B155" s="217" t="s">
        <v>914</v>
      </c>
      <c r="C155" s="217" t="s">
        <v>813</v>
      </c>
      <c r="D155" s="160" t="s">
        <v>927</v>
      </c>
      <c r="E155" s="160" t="s">
        <v>928</v>
      </c>
      <c r="F155" s="167">
        <v>278.70999999999998</v>
      </c>
      <c r="G155" s="167">
        <v>308.5</v>
      </c>
      <c r="H155" s="78">
        <v>43692</v>
      </c>
      <c r="I155" s="207" t="s">
        <v>920</v>
      </c>
      <c r="J155" s="167" t="s">
        <v>93</v>
      </c>
      <c r="K155" s="78">
        <v>44788</v>
      </c>
      <c r="L155" s="167">
        <v>44700</v>
      </c>
      <c r="M155" s="207"/>
      <c r="N155" s="207"/>
    </row>
    <row r="156" spans="1:14" ht="75">
      <c r="A156" s="207">
        <v>13</v>
      </c>
      <c r="B156" s="217" t="s">
        <v>914</v>
      </c>
      <c r="C156" s="217" t="s">
        <v>813</v>
      </c>
      <c r="D156" s="227" t="s">
        <v>929</v>
      </c>
      <c r="E156" s="227" t="s">
        <v>930</v>
      </c>
      <c r="F156" s="46">
        <v>181.19</v>
      </c>
      <c r="G156" s="167">
        <v>252.9</v>
      </c>
      <c r="H156" s="78">
        <v>44013</v>
      </c>
      <c r="I156" s="207" t="s">
        <v>920</v>
      </c>
      <c r="J156" s="167" t="s">
        <v>93</v>
      </c>
      <c r="K156" s="78">
        <v>45108</v>
      </c>
      <c r="L156" s="167">
        <v>34000</v>
      </c>
      <c r="M156" s="207"/>
      <c r="N156" s="207"/>
    </row>
    <row r="157" spans="1:14" ht="45">
      <c r="A157" s="207">
        <v>14</v>
      </c>
      <c r="B157" s="217" t="s">
        <v>914</v>
      </c>
      <c r="C157" s="217" t="s">
        <v>813</v>
      </c>
      <c r="D157" s="227" t="s">
        <v>931</v>
      </c>
      <c r="E157" s="227" t="s">
        <v>932</v>
      </c>
      <c r="F157" s="167">
        <v>302.87</v>
      </c>
      <c r="G157" s="46">
        <v>356.32</v>
      </c>
      <c r="H157" s="78">
        <v>42772</v>
      </c>
      <c r="I157" s="207" t="s">
        <v>920</v>
      </c>
      <c r="J157" s="167" t="s">
        <v>93</v>
      </c>
      <c r="K157" s="78">
        <v>43867</v>
      </c>
      <c r="L157" s="167">
        <v>36500</v>
      </c>
      <c r="M157" s="207">
        <v>112.3</v>
      </c>
      <c r="N157" s="207"/>
    </row>
    <row r="158" spans="1:14" ht="45">
      <c r="A158" s="207">
        <v>15</v>
      </c>
      <c r="B158" s="217" t="s">
        <v>933</v>
      </c>
      <c r="C158" s="217" t="s">
        <v>813</v>
      </c>
      <c r="D158" s="217" t="s">
        <v>934</v>
      </c>
      <c r="E158" s="217" t="s">
        <v>935</v>
      </c>
      <c r="F158" s="207">
        <v>540</v>
      </c>
      <c r="G158" s="207">
        <v>540</v>
      </c>
      <c r="H158" s="207" t="s">
        <v>48</v>
      </c>
      <c r="I158" s="207" t="s">
        <v>48</v>
      </c>
      <c r="J158" s="207" t="s">
        <v>936</v>
      </c>
      <c r="K158" s="207" t="s">
        <v>937</v>
      </c>
      <c r="L158" s="207" t="s">
        <v>938</v>
      </c>
      <c r="M158" s="207">
        <v>747.73</v>
      </c>
      <c r="N158" s="207"/>
    </row>
    <row r="159" spans="1:14" ht="30">
      <c r="A159" s="207">
        <v>16</v>
      </c>
      <c r="B159" s="217" t="s">
        <v>933</v>
      </c>
      <c r="C159" s="217" t="s">
        <v>813</v>
      </c>
      <c r="D159" s="217" t="s">
        <v>939</v>
      </c>
      <c r="E159" s="217" t="s">
        <v>940</v>
      </c>
      <c r="F159" s="207">
        <v>349.39</v>
      </c>
      <c r="G159" s="207">
        <v>349.39</v>
      </c>
      <c r="H159" s="207" t="s">
        <v>48</v>
      </c>
      <c r="I159" s="207" t="s">
        <v>48</v>
      </c>
      <c r="J159" s="207" t="s">
        <v>941</v>
      </c>
      <c r="K159" s="207" t="s">
        <v>942</v>
      </c>
      <c r="L159" s="207" t="s">
        <v>943</v>
      </c>
      <c r="M159" s="207">
        <v>279.86</v>
      </c>
      <c r="N159" s="207"/>
    </row>
    <row r="160" spans="1:14" ht="90">
      <c r="A160" s="207">
        <v>17</v>
      </c>
      <c r="B160" s="217" t="s">
        <v>933</v>
      </c>
      <c r="C160" s="217" t="s">
        <v>813</v>
      </c>
      <c r="D160" s="217" t="s">
        <v>944</v>
      </c>
      <c r="E160" s="217" t="s">
        <v>945</v>
      </c>
      <c r="F160" s="207">
        <v>325.16000000000003</v>
      </c>
      <c r="G160" s="207">
        <v>325.16000000000003</v>
      </c>
      <c r="H160" s="207" t="s">
        <v>48</v>
      </c>
      <c r="I160" s="207" t="s">
        <v>48</v>
      </c>
      <c r="J160" s="207" t="s">
        <v>946</v>
      </c>
      <c r="K160" s="207" t="s">
        <v>947</v>
      </c>
      <c r="L160" s="207" t="s">
        <v>948</v>
      </c>
      <c r="M160" s="207">
        <v>253.48</v>
      </c>
      <c r="N160" s="207" t="s">
        <v>949</v>
      </c>
    </row>
    <row r="161" spans="1:14" ht="60">
      <c r="A161" s="207">
        <v>18</v>
      </c>
      <c r="B161" s="217" t="s">
        <v>933</v>
      </c>
      <c r="C161" s="217" t="s">
        <v>813</v>
      </c>
      <c r="D161" s="217" t="s">
        <v>950</v>
      </c>
      <c r="E161" s="217" t="s">
        <v>951</v>
      </c>
      <c r="F161" s="207">
        <v>79.069999999999993</v>
      </c>
      <c r="G161" s="207">
        <v>79.069999999999993</v>
      </c>
      <c r="H161" s="207" t="s">
        <v>48</v>
      </c>
      <c r="I161" s="207" t="s">
        <v>48</v>
      </c>
      <c r="J161" s="207" t="s">
        <v>952</v>
      </c>
      <c r="K161" s="207" t="s">
        <v>419</v>
      </c>
      <c r="L161" s="207" t="s">
        <v>953</v>
      </c>
      <c r="M161" s="207">
        <v>221.52</v>
      </c>
      <c r="N161" s="207"/>
    </row>
    <row r="162" spans="1:14" ht="30">
      <c r="A162" s="207">
        <v>19</v>
      </c>
      <c r="B162" s="217" t="s">
        <v>933</v>
      </c>
      <c r="C162" s="217" t="s">
        <v>813</v>
      </c>
      <c r="D162" s="217" t="s">
        <v>954</v>
      </c>
      <c r="E162" s="217" t="s">
        <v>955</v>
      </c>
      <c r="F162" s="207">
        <v>174.28</v>
      </c>
      <c r="G162" s="207">
        <v>174.28</v>
      </c>
      <c r="H162" s="207" t="s">
        <v>48</v>
      </c>
      <c r="I162" s="207" t="s">
        <v>48</v>
      </c>
      <c r="J162" s="207" t="s">
        <v>956</v>
      </c>
      <c r="K162" s="207" t="s">
        <v>957</v>
      </c>
      <c r="L162" s="207" t="s">
        <v>958</v>
      </c>
      <c r="M162" s="207">
        <v>180.58</v>
      </c>
      <c r="N162" s="207"/>
    </row>
    <row r="163" spans="1:14" ht="45">
      <c r="A163" s="207">
        <v>20</v>
      </c>
      <c r="B163" s="217" t="s">
        <v>933</v>
      </c>
      <c r="C163" s="217" t="s">
        <v>813</v>
      </c>
      <c r="D163" s="217" t="s">
        <v>959</v>
      </c>
      <c r="E163" s="217" t="s">
        <v>960</v>
      </c>
      <c r="F163" s="207">
        <v>139.35</v>
      </c>
      <c r="G163" s="207">
        <v>139.35</v>
      </c>
      <c r="H163" s="207" t="s">
        <v>48</v>
      </c>
      <c r="I163" s="207" t="s">
        <v>48</v>
      </c>
      <c r="J163" s="207" t="s">
        <v>961</v>
      </c>
      <c r="K163" s="207" t="s">
        <v>962</v>
      </c>
      <c r="L163" s="207" t="s">
        <v>963</v>
      </c>
      <c r="M163" s="207"/>
      <c r="N163" s="207"/>
    </row>
    <row r="164" spans="1:14" ht="120">
      <c r="A164" s="207">
        <v>21</v>
      </c>
      <c r="B164" s="217" t="s">
        <v>964</v>
      </c>
      <c r="C164" s="217" t="s">
        <v>813</v>
      </c>
      <c r="D164" s="217" t="s">
        <v>965</v>
      </c>
      <c r="E164" s="217" t="s">
        <v>966</v>
      </c>
      <c r="F164" s="207">
        <v>713.11</v>
      </c>
      <c r="G164" s="207">
        <v>713.11</v>
      </c>
      <c r="H164" s="207" t="s">
        <v>967</v>
      </c>
      <c r="I164" s="207" t="s">
        <v>968</v>
      </c>
      <c r="J164" s="207" t="s">
        <v>969</v>
      </c>
      <c r="K164" s="207" t="s">
        <v>970</v>
      </c>
      <c r="L164" s="207">
        <v>250910</v>
      </c>
      <c r="M164" s="207" t="s">
        <v>971</v>
      </c>
      <c r="N164" s="207"/>
    </row>
    <row r="165" spans="1:14" ht="90">
      <c r="A165" s="207">
        <v>22</v>
      </c>
      <c r="B165" s="217" t="s">
        <v>964</v>
      </c>
      <c r="C165" s="217" t="s">
        <v>813</v>
      </c>
      <c r="D165" s="217" t="s">
        <v>972</v>
      </c>
      <c r="E165" s="217" t="s">
        <v>973</v>
      </c>
      <c r="F165" s="207">
        <v>286.23</v>
      </c>
      <c r="G165" s="207">
        <v>286.23</v>
      </c>
      <c r="H165" s="207" t="s">
        <v>974</v>
      </c>
      <c r="I165" s="207" t="s">
        <v>975</v>
      </c>
      <c r="J165" s="207" t="s">
        <v>976</v>
      </c>
      <c r="K165" s="207" t="s">
        <v>977</v>
      </c>
      <c r="L165" s="207">
        <v>3000</v>
      </c>
      <c r="M165" s="207">
        <v>279.8</v>
      </c>
      <c r="N165" s="207"/>
    </row>
    <row r="166" spans="1:14" ht="90">
      <c r="A166" s="207">
        <v>23</v>
      </c>
      <c r="B166" s="217" t="s">
        <v>964</v>
      </c>
      <c r="C166" s="217" t="s">
        <v>813</v>
      </c>
      <c r="D166" s="217" t="s">
        <v>978</v>
      </c>
      <c r="E166" s="217" t="s">
        <v>979</v>
      </c>
      <c r="F166" s="207">
        <v>221.94</v>
      </c>
      <c r="G166" s="207">
        <v>221.94</v>
      </c>
      <c r="H166" s="207" t="s">
        <v>980</v>
      </c>
      <c r="I166" s="207" t="s">
        <v>975</v>
      </c>
      <c r="J166" s="207" t="s">
        <v>981</v>
      </c>
      <c r="K166" s="207" t="s">
        <v>982</v>
      </c>
      <c r="L166" s="207">
        <v>62100</v>
      </c>
      <c r="M166" s="207">
        <v>197.45</v>
      </c>
      <c r="N166" s="207"/>
    </row>
    <row r="167" spans="1:14" ht="75">
      <c r="A167" s="207">
        <v>24</v>
      </c>
      <c r="B167" s="217" t="s">
        <v>964</v>
      </c>
      <c r="C167" s="217" t="s">
        <v>813</v>
      </c>
      <c r="D167" s="217" t="s">
        <v>983</v>
      </c>
      <c r="E167" s="217" t="s">
        <v>984</v>
      </c>
      <c r="F167" s="207">
        <v>454.18</v>
      </c>
      <c r="G167" s="207">
        <v>454.18</v>
      </c>
      <c r="H167" s="207" t="s">
        <v>985</v>
      </c>
      <c r="I167" s="207" t="s">
        <v>975</v>
      </c>
      <c r="J167" s="207" t="s">
        <v>986</v>
      </c>
      <c r="K167" s="207" t="s">
        <v>987</v>
      </c>
      <c r="L167" s="207">
        <v>89680</v>
      </c>
      <c r="M167" s="207"/>
      <c r="N167" s="207" t="s">
        <v>988</v>
      </c>
    </row>
    <row r="168" spans="1:14" ht="45">
      <c r="A168" s="207">
        <v>25</v>
      </c>
      <c r="B168" s="217" t="s">
        <v>989</v>
      </c>
      <c r="C168" s="217" t="s">
        <v>813</v>
      </c>
      <c r="D168" s="217" t="s">
        <v>990</v>
      </c>
      <c r="E168" s="217" t="s">
        <v>991</v>
      </c>
      <c r="F168" s="207" t="s">
        <v>48</v>
      </c>
      <c r="G168" s="207">
        <v>8196.74</v>
      </c>
      <c r="H168" s="207" t="s">
        <v>992</v>
      </c>
      <c r="I168" s="207"/>
      <c r="J168" s="207" t="s">
        <v>505</v>
      </c>
      <c r="K168" s="207" t="s">
        <v>993</v>
      </c>
      <c r="L168" s="207" t="s">
        <v>994</v>
      </c>
      <c r="M168" s="207"/>
      <c r="N168" s="207"/>
    </row>
    <row r="169" spans="1:14" ht="105">
      <c r="A169" s="207">
        <v>26</v>
      </c>
      <c r="B169" s="217" t="s">
        <v>989</v>
      </c>
      <c r="C169" s="217" t="s">
        <v>813</v>
      </c>
      <c r="D169" s="217" t="s">
        <v>995</v>
      </c>
      <c r="E169" s="217" t="s">
        <v>996</v>
      </c>
      <c r="F169" s="207">
        <v>376.28</v>
      </c>
      <c r="G169" s="207">
        <v>376.28</v>
      </c>
      <c r="H169" s="207" t="s">
        <v>997</v>
      </c>
      <c r="I169" s="207"/>
      <c r="J169" s="207" t="s">
        <v>505</v>
      </c>
      <c r="K169" s="207" t="s">
        <v>998</v>
      </c>
      <c r="L169" s="207">
        <v>106000</v>
      </c>
      <c r="M169" s="207"/>
      <c r="N169" s="207" t="s">
        <v>999</v>
      </c>
    </row>
    <row r="170" spans="1:14" ht="30">
      <c r="A170" s="207">
        <v>27</v>
      </c>
      <c r="B170" s="217" t="s">
        <v>989</v>
      </c>
      <c r="C170" s="217" t="s">
        <v>813</v>
      </c>
      <c r="D170" s="217" t="s">
        <v>1000</v>
      </c>
      <c r="E170" s="217" t="s">
        <v>1001</v>
      </c>
      <c r="F170" s="207" t="s">
        <v>48</v>
      </c>
      <c r="G170" s="207">
        <v>3597.39</v>
      </c>
      <c r="H170" s="207" t="s">
        <v>1002</v>
      </c>
      <c r="I170" s="207"/>
      <c r="J170" s="207" t="s">
        <v>505</v>
      </c>
      <c r="K170" s="207" t="s">
        <v>1003</v>
      </c>
      <c r="L170" s="207" t="s">
        <v>1004</v>
      </c>
      <c r="M170" s="207"/>
      <c r="N170" s="207"/>
    </row>
    <row r="171" spans="1:14" ht="45">
      <c r="A171" s="207">
        <v>28</v>
      </c>
      <c r="B171" s="217" t="s">
        <v>989</v>
      </c>
      <c r="C171" s="217" t="s">
        <v>813</v>
      </c>
      <c r="D171" s="217" t="s">
        <v>1005</v>
      </c>
      <c r="E171" s="217" t="s">
        <v>1006</v>
      </c>
      <c r="F171" s="207">
        <v>756</v>
      </c>
      <c r="G171" s="207" t="s">
        <v>48</v>
      </c>
      <c r="H171" s="207" t="s">
        <v>1007</v>
      </c>
      <c r="I171" s="207"/>
      <c r="J171" s="207" t="s">
        <v>1008</v>
      </c>
      <c r="K171" s="207" t="s">
        <v>1009</v>
      </c>
      <c r="L171" s="207" t="s">
        <v>1010</v>
      </c>
      <c r="M171" s="207"/>
      <c r="N171" s="207"/>
    </row>
    <row r="172" spans="1:14" ht="45">
      <c r="A172" s="207">
        <v>29</v>
      </c>
      <c r="B172" s="217" t="s">
        <v>989</v>
      </c>
      <c r="C172" s="217" t="s">
        <v>813</v>
      </c>
      <c r="D172" s="217" t="s">
        <v>1011</v>
      </c>
      <c r="E172" s="217" t="s">
        <v>1012</v>
      </c>
      <c r="F172" s="207">
        <v>99.6</v>
      </c>
      <c r="G172" s="207">
        <v>85.1</v>
      </c>
      <c r="H172" s="207" t="s">
        <v>1013</v>
      </c>
      <c r="I172" s="207"/>
      <c r="J172" s="207" t="s">
        <v>505</v>
      </c>
      <c r="K172" s="207" t="s">
        <v>1014</v>
      </c>
      <c r="L172" s="207" t="s">
        <v>1015</v>
      </c>
      <c r="M172" s="207">
        <v>95.18</v>
      </c>
      <c r="N172" s="207"/>
    </row>
    <row r="173" spans="1:14" ht="90">
      <c r="A173" s="207">
        <v>30</v>
      </c>
      <c r="B173" s="217" t="s">
        <v>1016</v>
      </c>
      <c r="C173" s="217" t="s">
        <v>813</v>
      </c>
      <c r="D173" s="217" t="s">
        <v>1017</v>
      </c>
      <c r="E173" s="217" t="s">
        <v>1018</v>
      </c>
      <c r="F173" s="207">
        <v>24561</v>
      </c>
      <c r="G173" s="207">
        <v>2347</v>
      </c>
      <c r="H173" s="207" t="s">
        <v>1019</v>
      </c>
      <c r="I173" s="207" t="s">
        <v>968</v>
      </c>
      <c r="J173" s="207" t="s">
        <v>1020</v>
      </c>
      <c r="K173" s="207" t="s">
        <v>1021</v>
      </c>
      <c r="L173" s="207">
        <v>2501600</v>
      </c>
      <c r="M173" s="207">
        <v>12.13</v>
      </c>
      <c r="N173" s="207"/>
    </row>
    <row r="174" spans="1:14" ht="60">
      <c r="A174" s="207">
        <v>31</v>
      </c>
      <c r="B174" s="217" t="s">
        <v>1016</v>
      </c>
      <c r="C174" s="217" t="s">
        <v>813</v>
      </c>
      <c r="D174" s="217" t="s">
        <v>1022</v>
      </c>
      <c r="E174" s="217" t="s">
        <v>1023</v>
      </c>
      <c r="F174" s="207">
        <v>3133</v>
      </c>
      <c r="G174" s="207">
        <v>3133</v>
      </c>
      <c r="H174" s="207" t="s">
        <v>1024</v>
      </c>
      <c r="I174" s="207" t="s">
        <v>549</v>
      </c>
      <c r="J174" s="207" t="s">
        <v>1025</v>
      </c>
      <c r="K174" s="207" t="s">
        <v>1026</v>
      </c>
      <c r="L174" s="207">
        <v>38000</v>
      </c>
      <c r="M174" s="207">
        <v>32.85</v>
      </c>
      <c r="N174" s="207"/>
    </row>
    <row r="175" spans="1:14" ht="60">
      <c r="A175" s="207">
        <v>32</v>
      </c>
      <c r="B175" s="217" t="s">
        <v>1016</v>
      </c>
      <c r="C175" s="217" t="s">
        <v>813</v>
      </c>
      <c r="D175" s="217" t="s">
        <v>1027</v>
      </c>
      <c r="E175" s="217" t="s">
        <v>1028</v>
      </c>
      <c r="F175" s="207">
        <v>1867</v>
      </c>
      <c r="G175" s="207">
        <v>173</v>
      </c>
      <c r="H175" s="207" t="s">
        <v>1029</v>
      </c>
      <c r="I175" s="207" t="s">
        <v>549</v>
      </c>
      <c r="J175" s="207" t="s">
        <v>1030</v>
      </c>
      <c r="K175" s="207" t="s">
        <v>1031</v>
      </c>
      <c r="L175" s="207">
        <v>62000</v>
      </c>
      <c r="M175" s="207">
        <v>9.16</v>
      </c>
      <c r="N175" s="207"/>
    </row>
    <row r="176" spans="1:14" ht="60">
      <c r="A176" s="207">
        <v>33</v>
      </c>
      <c r="B176" s="217" t="s">
        <v>1016</v>
      </c>
      <c r="C176" s="217" t="s">
        <v>813</v>
      </c>
      <c r="D176" s="217" t="s">
        <v>1032</v>
      </c>
      <c r="E176" s="217" t="s">
        <v>1033</v>
      </c>
      <c r="F176" s="207">
        <v>2174.0300000000002</v>
      </c>
      <c r="G176" s="207">
        <v>202</v>
      </c>
      <c r="H176" s="207" t="s">
        <v>1034</v>
      </c>
      <c r="I176" s="207" t="s">
        <v>549</v>
      </c>
      <c r="J176" s="207" t="s">
        <v>1035</v>
      </c>
      <c r="K176" s="207" t="s">
        <v>1036</v>
      </c>
      <c r="L176" s="207">
        <v>20000</v>
      </c>
      <c r="M176" s="207">
        <v>23</v>
      </c>
      <c r="N176" s="207"/>
    </row>
    <row r="177" spans="1:14" ht="60">
      <c r="A177" s="207">
        <v>34</v>
      </c>
      <c r="B177" s="217" t="s">
        <v>1016</v>
      </c>
      <c r="C177" s="217" t="s">
        <v>813</v>
      </c>
      <c r="D177" s="217" t="s">
        <v>1037</v>
      </c>
      <c r="E177" s="217" t="s">
        <v>1038</v>
      </c>
      <c r="F177" s="207">
        <v>2478</v>
      </c>
      <c r="G177" s="207">
        <v>230</v>
      </c>
      <c r="H177" s="207" t="s">
        <v>1039</v>
      </c>
      <c r="I177" s="207" t="s">
        <v>549</v>
      </c>
      <c r="J177" s="207" t="s">
        <v>1040</v>
      </c>
      <c r="K177" s="207" t="s">
        <v>1041</v>
      </c>
      <c r="L177" s="207">
        <v>60000</v>
      </c>
      <c r="M177" s="207"/>
      <c r="N177" s="207"/>
    </row>
    <row r="178" spans="1:14" ht="45">
      <c r="A178" s="207">
        <v>35</v>
      </c>
      <c r="B178" s="217" t="s">
        <v>1042</v>
      </c>
      <c r="C178" s="217" t="s">
        <v>813</v>
      </c>
      <c r="D178" s="217" t="s">
        <v>1043</v>
      </c>
      <c r="E178" s="217" t="s">
        <v>1044</v>
      </c>
      <c r="F178" s="207">
        <v>429.77</v>
      </c>
      <c r="G178" s="207">
        <v>458.19</v>
      </c>
      <c r="H178" s="207" t="s">
        <v>1045</v>
      </c>
      <c r="I178" s="207" t="s">
        <v>1046</v>
      </c>
      <c r="J178" s="207" t="s">
        <v>505</v>
      </c>
      <c r="K178" s="207" t="s">
        <v>1047</v>
      </c>
      <c r="L178" s="207">
        <v>110000</v>
      </c>
      <c r="M178" s="207"/>
      <c r="N178" s="207"/>
    </row>
    <row r="179" spans="1:14" ht="45">
      <c r="A179" s="207">
        <v>36</v>
      </c>
      <c r="B179" s="217" t="s">
        <v>1042</v>
      </c>
      <c r="C179" s="217" t="s">
        <v>813</v>
      </c>
      <c r="D179" s="217" t="s">
        <v>1048</v>
      </c>
      <c r="E179" s="217" t="s">
        <v>1049</v>
      </c>
      <c r="F179" s="207">
        <v>175.12</v>
      </c>
      <c r="G179" s="207">
        <v>205.50200000000001</v>
      </c>
      <c r="H179" s="207" t="s">
        <v>1050</v>
      </c>
      <c r="I179" s="207" t="s">
        <v>1046</v>
      </c>
      <c r="J179" s="207" t="s">
        <v>505</v>
      </c>
      <c r="K179" s="207" t="s">
        <v>1051</v>
      </c>
      <c r="L179" s="207">
        <v>35000</v>
      </c>
      <c r="M179" s="207"/>
      <c r="N179" s="207"/>
    </row>
    <row r="180" spans="1:14" ht="60">
      <c r="A180" s="207">
        <v>37</v>
      </c>
      <c r="B180" s="217" t="s">
        <v>1052</v>
      </c>
      <c r="C180" s="217" t="s">
        <v>813</v>
      </c>
      <c r="D180" s="217" t="s">
        <v>1053</v>
      </c>
      <c r="E180" s="217" t="s">
        <v>1054</v>
      </c>
      <c r="F180" s="207">
        <v>9666</v>
      </c>
      <c r="G180" s="207">
        <v>9666</v>
      </c>
      <c r="H180" s="207" t="s">
        <v>48</v>
      </c>
      <c r="I180" s="207" t="s">
        <v>1046</v>
      </c>
      <c r="J180" s="207"/>
      <c r="K180" s="207"/>
      <c r="L180" s="207" t="s">
        <v>1055</v>
      </c>
      <c r="M180" s="207" t="s">
        <v>48</v>
      </c>
      <c r="N180" s="207"/>
    </row>
    <row r="181" spans="1:14" ht="60">
      <c r="A181" s="207">
        <v>38</v>
      </c>
      <c r="B181" s="217" t="s">
        <v>833</v>
      </c>
      <c r="C181" s="217" t="s">
        <v>813</v>
      </c>
      <c r="D181" s="217" t="s">
        <v>235</v>
      </c>
      <c r="E181" s="217" t="s">
        <v>1056</v>
      </c>
      <c r="F181" s="207">
        <v>6266.36</v>
      </c>
      <c r="G181" s="207">
        <v>6962.59</v>
      </c>
      <c r="H181" s="207" t="s">
        <v>48</v>
      </c>
      <c r="I181" s="207" t="s">
        <v>48</v>
      </c>
      <c r="J181" s="207" t="s">
        <v>1057</v>
      </c>
      <c r="K181" s="207" t="s">
        <v>48</v>
      </c>
      <c r="L181" s="207" t="s">
        <v>48</v>
      </c>
      <c r="M181" s="207"/>
      <c r="N181" s="207" t="s">
        <v>1058</v>
      </c>
    </row>
    <row r="182" spans="1:14" ht="90">
      <c r="A182" s="207">
        <v>39</v>
      </c>
      <c r="B182" s="217" t="s">
        <v>1059</v>
      </c>
      <c r="C182" s="217" t="s">
        <v>813</v>
      </c>
      <c r="D182" s="217" t="s">
        <v>1060</v>
      </c>
      <c r="E182" s="217" t="s">
        <v>1061</v>
      </c>
      <c r="F182" s="207"/>
      <c r="G182" s="207">
        <v>1799.57</v>
      </c>
      <c r="H182" s="207" t="s">
        <v>1062</v>
      </c>
      <c r="I182" s="207" t="s">
        <v>968</v>
      </c>
      <c r="J182" s="207" t="s">
        <v>505</v>
      </c>
      <c r="K182" s="207" t="s">
        <v>1063</v>
      </c>
      <c r="L182" s="207" t="s">
        <v>1064</v>
      </c>
      <c r="M182" s="207"/>
      <c r="N182" s="207"/>
    </row>
    <row r="183" spans="1:14" ht="45">
      <c r="A183" s="207">
        <v>40</v>
      </c>
      <c r="B183" s="217" t="s">
        <v>1065</v>
      </c>
      <c r="C183" s="217" t="s">
        <v>813</v>
      </c>
      <c r="D183" s="217" t="s">
        <v>1066</v>
      </c>
      <c r="E183" s="217" t="s">
        <v>1067</v>
      </c>
      <c r="F183" s="207"/>
      <c r="G183" s="207">
        <v>339.87</v>
      </c>
      <c r="H183" s="207" t="s">
        <v>1068</v>
      </c>
      <c r="I183" s="207" t="s">
        <v>1046</v>
      </c>
      <c r="J183" s="207" t="s">
        <v>1008</v>
      </c>
      <c r="K183" s="207" t="s">
        <v>1069</v>
      </c>
      <c r="L183" s="207">
        <v>63000</v>
      </c>
      <c r="M183" s="207"/>
      <c r="N183" s="207" t="s">
        <v>1058</v>
      </c>
    </row>
    <row r="184" spans="1:14" ht="75">
      <c r="A184" s="207">
        <v>41</v>
      </c>
      <c r="B184" s="217" t="s">
        <v>1070</v>
      </c>
      <c r="C184" s="217" t="s">
        <v>813</v>
      </c>
      <c r="D184" s="217" t="s">
        <v>1071</v>
      </c>
      <c r="E184" s="217" t="s">
        <v>1072</v>
      </c>
      <c r="F184" s="207"/>
      <c r="G184" s="207">
        <v>334.89</v>
      </c>
      <c r="H184" s="207" t="s">
        <v>1073</v>
      </c>
      <c r="I184" s="207" t="s">
        <v>1046</v>
      </c>
      <c r="J184" s="207" t="s">
        <v>505</v>
      </c>
      <c r="K184" s="207" t="s">
        <v>962</v>
      </c>
      <c r="L184" s="207">
        <v>65100</v>
      </c>
      <c r="M184" s="207"/>
      <c r="N184" s="207"/>
    </row>
    <row r="185" spans="1:14" ht="105">
      <c r="A185" s="207">
        <v>42</v>
      </c>
      <c r="B185" s="217" t="s">
        <v>1074</v>
      </c>
      <c r="C185" s="217" t="s">
        <v>813</v>
      </c>
      <c r="D185" s="217" t="s">
        <v>1075</v>
      </c>
      <c r="E185" s="217" t="s">
        <v>1076</v>
      </c>
      <c r="F185" s="207"/>
      <c r="G185" s="207">
        <v>469.22</v>
      </c>
      <c r="H185" s="207" t="s">
        <v>1077</v>
      </c>
      <c r="I185" s="207" t="s">
        <v>1046</v>
      </c>
      <c r="J185" s="207" t="s">
        <v>505</v>
      </c>
      <c r="K185" s="207" t="s">
        <v>1078</v>
      </c>
      <c r="L185" s="207" t="s">
        <v>1079</v>
      </c>
      <c r="M185" s="207"/>
      <c r="N185" s="207"/>
    </row>
    <row r="186" spans="1:14" ht="75">
      <c r="A186" s="207">
        <v>43</v>
      </c>
      <c r="B186" s="217" t="s">
        <v>1080</v>
      </c>
      <c r="C186" s="217" t="s">
        <v>813</v>
      </c>
      <c r="D186" s="217" t="s">
        <v>1081</v>
      </c>
      <c r="E186" s="217" t="s">
        <v>1082</v>
      </c>
      <c r="F186" s="207"/>
      <c r="G186" s="207">
        <v>143.34</v>
      </c>
      <c r="H186" s="207" t="s">
        <v>1083</v>
      </c>
      <c r="I186" s="207" t="s">
        <v>1046</v>
      </c>
      <c r="J186" s="207" t="s">
        <v>505</v>
      </c>
      <c r="K186" s="207" t="s">
        <v>1084</v>
      </c>
      <c r="L186" s="207">
        <v>34000</v>
      </c>
      <c r="M186" s="207"/>
      <c r="N186" s="207"/>
    </row>
    <row r="187" spans="1:14" ht="60">
      <c r="A187" s="207">
        <v>44</v>
      </c>
      <c r="B187" s="217" t="s">
        <v>1085</v>
      </c>
      <c r="C187" s="217" t="s">
        <v>813</v>
      </c>
      <c r="D187" s="217" t="s">
        <v>1086</v>
      </c>
      <c r="E187" s="217" t="s">
        <v>1087</v>
      </c>
      <c r="F187" s="207"/>
      <c r="G187" s="207">
        <v>149.12</v>
      </c>
      <c r="H187" s="207" t="s">
        <v>1088</v>
      </c>
      <c r="I187" s="207" t="s">
        <v>1046</v>
      </c>
      <c r="J187" s="207" t="s">
        <v>505</v>
      </c>
      <c r="K187" s="207" t="s">
        <v>1089</v>
      </c>
      <c r="L187" s="207">
        <v>61800</v>
      </c>
      <c r="M187" s="207">
        <v>265.58896270000002</v>
      </c>
      <c r="N187" s="207"/>
    </row>
    <row r="188" spans="1:14" ht="105">
      <c r="A188" s="207">
        <v>45</v>
      </c>
      <c r="B188" s="217" t="s">
        <v>827</v>
      </c>
      <c r="C188" s="217" t="s">
        <v>813</v>
      </c>
      <c r="D188" s="217" t="s">
        <v>1090</v>
      </c>
      <c r="E188" s="217" t="s">
        <v>1091</v>
      </c>
      <c r="F188" s="207">
        <v>863.255</v>
      </c>
      <c r="G188" s="207">
        <v>1084.6058</v>
      </c>
      <c r="H188" s="207" t="s">
        <v>1092</v>
      </c>
      <c r="I188" s="207" t="s">
        <v>1093</v>
      </c>
      <c r="J188" s="207" t="s">
        <v>1094</v>
      </c>
      <c r="K188" s="207" t="s">
        <v>1031</v>
      </c>
      <c r="L188" s="207">
        <v>229271</v>
      </c>
      <c r="M188" s="207">
        <v>281.03855979999997</v>
      </c>
      <c r="N188" s="207"/>
    </row>
    <row r="189" spans="1:14" ht="75">
      <c r="A189" s="207">
        <v>46</v>
      </c>
      <c r="B189" s="217" t="s">
        <v>1095</v>
      </c>
      <c r="C189" s="217" t="s">
        <v>813</v>
      </c>
      <c r="D189" s="217" t="s">
        <v>1096</v>
      </c>
      <c r="E189" s="217" t="s">
        <v>1097</v>
      </c>
      <c r="F189" s="207">
        <v>302.44959999999998</v>
      </c>
      <c r="G189" s="207">
        <v>358.60570000000001</v>
      </c>
      <c r="H189" s="207"/>
      <c r="I189" s="207" t="s">
        <v>1093</v>
      </c>
      <c r="J189" s="207" t="s">
        <v>1098</v>
      </c>
      <c r="K189" s="207" t="s">
        <v>1099</v>
      </c>
      <c r="L189" s="207">
        <v>85000</v>
      </c>
      <c r="M189" s="207">
        <v>166.75581070000001</v>
      </c>
      <c r="N189" s="207"/>
    </row>
    <row r="190" spans="1:14" ht="60">
      <c r="A190" s="207">
        <v>47</v>
      </c>
      <c r="B190" s="217" t="s">
        <v>1100</v>
      </c>
      <c r="C190" s="217" t="s">
        <v>813</v>
      </c>
      <c r="D190" s="217" t="s">
        <v>1101</v>
      </c>
      <c r="E190" s="217" t="s">
        <v>1102</v>
      </c>
      <c r="F190" s="207">
        <v>330.17739999999998</v>
      </c>
      <c r="G190" s="207">
        <v>418.06369999999998</v>
      </c>
      <c r="H190" s="207"/>
      <c r="I190" s="207" t="s">
        <v>1093</v>
      </c>
      <c r="J190" s="207" t="s">
        <v>1103</v>
      </c>
      <c r="K190" s="207" t="s">
        <v>1104</v>
      </c>
      <c r="L190" s="207">
        <v>55059</v>
      </c>
      <c r="M190" s="207">
        <v>420.98842580000002</v>
      </c>
      <c r="N190" s="207"/>
    </row>
    <row r="191" spans="1:14" ht="75">
      <c r="A191" s="207">
        <v>48</v>
      </c>
      <c r="B191" s="217" t="s">
        <v>1105</v>
      </c>
      <c r="C191" s="217" t="s">
        <v>813</v>
      </c>
      <c r="D191" s="217" t="s">
        <v>1106</v>
      </c>
      <c r="E191" s="217" t="s">
        <v>1107</v>
      </c>
      <c r="F191" s="207">
        <v>167.22550000000001</v>
      </c>
      <c r="G191" s="207">
        <v>195.09639999999999</v>
      </c>
      <c r="H191" s="207"/>
      <c r="I191" s="207" t="s">
        <v>1093</v>
      </c>
      <c r="J191" s="207" t="s">
        <v>1108</v>
      </c>
      <c r="K191" s="207" t="s">
        <v>1109</v>
      </c>
      <c r="L191" s="207">
        <v>70400</v>
      </c>
      <c r="M191" s="207">
        <v>337.26920380000001</v>
      </c>
      <c r="N191" s="207"/>
    </row>
    <row r="192" spans="1:14" ht="60">
      <c r="A192" s="207">
        <v>49</v>
      </c>
      <c r="B192" s="217" t="s">
        <v>1110</v>
      </c>
      <c r="C192" s="217" t="s">
        <v>813</v>
      </c>
      <c r="D192" s="217" t="s">
        <v>1111</v>
      </c>
      <c r="E192" s="217" t="s">
        <v>1112</v>
      </c>
      <c r="F192" s="207">
        <v>125.4191</v>
      </c>
      <c r="G192" s="207">
        <v>152.0591</v>
      </c>
      <c r="H192" s="207"/>
      <c r="I192" s="207" t="s">
        <v>1093</v>
      </c>
      <c r="J192" s="207" t="s">
        <v>1113</v>
      </c>
      <c r="K192" s="207" t="s">
        <v>977</v>
      </c>
      <c r="L192" s="207">
        <v>42300</v>
      </c>
      <c r="M192" s="207"/>
      <c r="N192" s="207"/>
    </row>
    <row r="193" spans="1:14">
      <c r="A193" s="421"/>
      <c r="B193" s="421"/>
      <c r="C193" s="421"/>
      <c r="D193" s="421"/>
      <c r="E193" s="421"/>
      <c r="F193" s="421"/>
      <c r="G193" s="421"/>
      <c r="H193" s="421"/>
      <c r="I193" s="421"/>
      <c r="J193" s="421"/>
      <c r="K193" s="421"/>
      <c r="L193" s="421"/>
      <c r="M193" s="421"/>
      <c r="N193" s="421"/>
    </row>
    <row r="194" spans="1:14" ht="22.5">
      <c r="A194" s="261" t="s">
        <v>1299</v>
      </c>
      <c r="B194" s="261"/>
      <c r="C194" s="261"/>
      <c r="D194" s="261"/>
      <c r="E194" s="261"/>
      <c r="F194" s="261"/>
      <c r="G194" s="261"/>
      <c r="H194" s="261"/>
      <c r="I194" s="261"/>
      <c r="J194" s="261"/>
      <c r="K194" s="261"/>
      <c r="L194" s="261"/>
      <c r="M194" s="261"/>
      <c r="N194" s="261"/>
    </row>
    <row r="195" spans="1:14" ht="71.25">
      <c r="A195" s="224" t="s">
        <v>0</v>
      </c>
      <c r="B195" s="25" t="s">
        <v>53</v>
      </c>
      <c r="C195" s="224" t="s">
        <v>80</v>
      </c>
      <c r="D195" s="24" t="s">
        <v>81</v>
      </c>
      <c r="E195" s="24" t="s">
        <v>82</v>
      </c>
      <c r="F195" s="25" t="s">
        <v>120</v>
      </c>
      <c r="G195" s="25" t="s">
        <v>121</v>
      </c>
      <c r="H195" s="25" t="s">
        <v>83</v>
      </c>
      <c r="I195" s="25" t="s">
        <v>84</v>
      </c>
      <c r="J195" s="25" t="s">
        <v>85</v>
      </c>
      <c r="K195" s="25" t="s">
        <v>86</v>
      </c>
      <c r="L195" s="25" t="s">
        <v>87</v>
      </c>
      <c r="M195" s="25" t="s">
        <v>88</v>
      </c>
      <c r="N195" s="25" t="s">
        <v>89</v>
      </c>
    </row>
    <row r="196" spans="1:14">
      <c r="A196" s="224">
        <v>1</v>
      </c>
      <c r="B196" s="224">
        <v>2</v>
      </c>
      <c r="C196" s="224">
        <v>3</v>
      </c>
      <c r="D196" s="224">
        <v>4</v>
      </c>
      <c r="E196" s="224">
        <v>5</v>
      </c>
      <c r="F196" s="224">
        <v>6</v>
      </c>
      <c r="G196" s="224">
        <v>7</v>
      </c>
      <c r="H196" s="224">
        <v>8</v>
      </c>
      <c r="I196" s="25">
        <v>9</v>
      </c>
      <c r="J196" s="224">
        <v>10</v>
      </c>
      <c r="K196" s="224">
        <v>11</v>
      </c>
      <c r="L196" s="224">
        <v>12</v>
      </c>
      <c r="M196" s="224">
        <v>13</v>
      </c>
      <c r="N196" s="224">
        <v>14</v>
      </c>
    </row>
    <row r="197" spans="1:14" ht="75">
      <c r="A197" s="225">
        <v>1</v>
      </c>
      <c r="B197" s="160" t="s">
        <v>1114</v>
      </c>
      <c r="C197" s="248"/>
      <c r="D197" s="160" t="s">
        <v>1114</v>
      </c>
      <c r="E197" s="160" t="s">
        <v>1115</v>
      </c>
      <c r="F197" s="236" t="s">
        <v>1116</v>
      </c>
      <c r="G197" s="249"/>
      <c r="H197" s="249"/>
      <c r="I197" s="44"/>
      <c r="J197" s="236" t="s">
        <v>1122</v>
      </c>
      <c r="K197" s="225" t="s">
        <v>1123</v>
      </c>
      <c r="L197" s="236" t="s">
        <v>1124</v>
      </c>
      <c r="M197" s="44"/>
      <c r="N197" s="249"/>
    </row>
    <row r="198" spans="1:14">
      <c r="A198" s="421"/>
      <c r="B198" s="421"/>
      <c r="C198" s="421"/>
      <c r="D198" s="421"/>
      <c r="E198" s="421"/>
      <c r="F198" s="421"/>
      <c r="G198" s="421"/>
      <c r="H198" s="421"/>
      <c r="I198" s="421"/>
      <c r="J198" s="421"/>
      <c r="K198" s="421"/>
      <c r="L198" s="421"/>
      <c r="M198" s="421"/>
      <c r="N198" s="421"/>
    </row>
    <row r="199" spans="1:14" ht="22.5">
      <c r="A199" s="261" t="s">
        <v>1291</v>
      </c>
      <c r="B199" s="261"/>
      <c r="C199" s="261"/>
      <c r="D199" s="261"/>
      <c r="E199" s="261"/>
      <c r="F199" s="261"/>
      <c r="G199" s="261"/>
      <c r="H199" s="261"/>
      <c r="I199" s="261"/>
      <c r="J199" s="261"/>
      <c r="K199" s="261"/>
      <c r="L199" s="261"/>
      <c r="M199" s="261"/>
      <c r="N199" s="261"/>
    </row>
    <row r="200" spans="1:14" ht="71.25">
      <c r="A200" s="224" t="s">
        <v>0</v>
      </c>
      <c r="B200" s="25" t="s">
        <v>53</v>
      </c>
      <c r="C200" s="224" t="s">
        <v>80</v>
      </c>
      <c r="D200" s="24" t="s">
        <v>81</v>
      </c>
      <c r="E200" s="24" t="s">
        <v>82</v>
      </c>
      <c r="F200" s="25" t="s">
        <v>120</v>
      </c>
      <c r="G200" s="25" t="s">
        <v>121</v>
      </c>
      <c r="H200" s="25" t="s">
        <v>83</v>
      </c>
      <c r="I200" s="25" t="s">
        <v>84</v>
      </c>
      <c r="J200" s="25" t="s">
        <v>85</v>
      </c>
      <c r="K200" s="25" t="s">
        <v>86</v>
      </c>
      <c r="L200" s="25" t="s">
        <v>87</v>
      </c>
      <c r="M200" s="25" t="s">
        <v>88</v>
      </c>
      <c r="N200" s="25" t="s">
        <v>89</v>
      </c>
    </row>
    <row r="201" spans="1:14">
      <c r="A201" s="224">
        <v>1</v>
      </c>
      <c r="B201" s="224">
        <v>2</v>
      </c>
      <c r="C201" s="224">
        <v>3</v>
      </c>
      <c r="D201" s="224">
        <v>4</v>
      </c>
      <c r="E201" s="224">
        <v>5</v>
      </c>
      <c r="F201" s="224">
        <v>6</v>
      </c>
      <c r="G201" s="224">
        <v>7</v>
      </c>
      <c r="H201" s="224">
        <v>8</v>
      </c>
      <c r="I201" s="25">
        <v>9</v>
      </c>
      <c r="J201" s="224">
        <v>10</v>
      </c>
      <c r="K201" s="224">
        <v>11</v>
      </c>
      <c r="L201" s="224">
        <v>12</v>
      </c>
      <c r="M201" s="224">
        <v>13</v>
      </c>
      <c r="N201" s="224">
        <v>14</v>
      </c>
    </row>
    <row r="202" spans="1:14">
      <c r="A202" s="431" t="s">
        <v>27</v>
      </c>
      <c r="B202" s="431"/>
      <c r="C202" s="431"/>
      <c r="D202" s="431"/>
      <c r="E202" s="431"/>
      <c r="F202" s="431"/>
      <c r="G202" s="431"/>
      <c r="H202" s="431"/>
      <c r="I202" s="431"/>
      <c r="J202" s="431"/>
      <c r="K202" s="431"/>
      <c r="L202" s="431"/>
      <c r="M202" s="431"/>
      <c r="N202" s="431"/>
    </row>
    <row r="203" spans="1:14">
      <c r="A203" s="421"/>
      <c r="B203" s="421"/>
      <c r="C203" s="421"/>
      <c r="D203" s="421"/>
      <c r="E203" s="421"/>
      <c r="F203" s="421"/>
      <c r="G203" s="421"/>
      <c r="H203" s="421"/>
      <c r="I203" s="421"/>
      <c r="J203" s="421"/>
      <c r="K203" s="421"/>
      <c r="L203" s="421"/>
      <c r="M203" s="421"/>
      <c r="N203" s="421"/>
    </row>
    <row r="204" spans="1:14" ht="22.5">
      <c r="A204" s="261" t="s">
        <v>1282</v>
      </c>
      <c r="B204" s="261"/>
      <c r="C204" s="261"/>
      <c r="D204" s="261"/>
      <c r="E204" s="261"/>
      <c r="F204" s="261"/>
      <c r="G204" s="261"/>
      <c r="H204" s="261"/>
      <c r="I204" s="261"/>
      <c r="J204" s="261"/>
      <c r="K204" s="261"/>
      <c r="L204" s="261"/>
      <c r="M204" s="261"/>
      <c r="N204" s="261"/>
    </row>
    <row r="205" spans="1:14" ht="71.25">
      <c r="A205" s="224" t="s">
        <v>0</v>
      </c>
      <c r="B205" s="25" t="s">
        <v>53</v>
      </c>
      <c r="C205" s="224" t="s">
        <v>80</v>
      </c>
      <c r="D205" s="24" t="s">
        <v>81</v>
      </c>
      <c r="E205" s="24" t="s">
        <v>82</v>
      </c>
      <c r="F205" s="25" t="s">
        <v>120</v>
      </c>
      <c r="G205" s="25" t="s">
        <v>121</v>
      </c>
      <c r="H205" s="25" t="s">
        <v>83</v>
      </c>
      <c r="I205" s="25" t="s">
        <v>84</v>
      </c>
      <c r="J205" s="25" t="s">
        <v>85</v>
      </c>
      <c r="K205" s="25" t="s">
        <v>86</v>
      </c>
      <c r="L205" s="25" t="s">
        <v>87</v>
      </c>
      <c r="M205" s="25" t="s">
        <v>88</v>
      </c>
      <c r="N205" s="25" t="s">
        <v>89</v>
      </c>
    </row>
    <row r="206" spans="1:14">
      <c r="A206" s="224">
        <v>1</v>
      </c>
      <c r="B206" s="224">
        <v>2</v>
      </c>
      <c r="C206" s="224">
        <v>3</v>
      </c>
      <c r="D206" s="224">
        <v>4</v>
      </c>
      <c r="E206" s="224">
        <v>5</v>
      </c>
      <c r="F206" s="224">
        <v>6</v>
      </c>
      <c r="G206" s="224">
        <v>7</v>
      </c>
      <c r="H206" s="224">
        <v>8</v>
      </c>
      <c r="I206" s="25">
        <v>9</v>
      </c>
      <c r="J206" s="224">
        <v>10</v>
      </c>
      <c r="K206" s="224">
        <v>11</v>
      </c>
      <c r="L206" s="224">
        <v>12</v>
      </c>
      <c r="M206" s="224">
        <v>13</v>
      </c>
      <c r="N206" s="224">
        <v>14</v>
      </c>
    </row>
    <row r="207" spans="1:14">
      <c r="A207" s="258" t="s">
        <v>27</v>
      </c>
      <c r="B207" s="258"/>
      <c r="C207" s="258"/>
      <c r="D207" s="258"/>
      <c r="E207" s="258"/>
      <c r="F207" s="258"/>
      <c r="G207" s="258"/>
      <c r="H207" s="258"/>
      <c r="I207" s="258"/>
      <c r="J207" s="258"/>
      <c r="K207" s="258"/>
      <c r="L207" s="258"/>
      <c r="M207" s="258"/>
      <c r="N207" s="258"/>
    </row>
    <row r="208" spans="1:14">
      <c r="A208" s="267"/>
      <c r="B208" s="267"/>
      <c r="C208" s="267"/>
      <c r="D208" s="267"/>
      <c r="E208" s="267"/>
      <c r="F208" s="267"/>
      <c r="G208" s="267"/>
      <c r="H208" s="267"/>
      <c r="I208" s="267"/>
      <c r="J208" s="267"/>
      <c r="K208" s="267"/>
      <c r="L208" s="267"/>
      <c r="M208" s="267"/>
      <c r="N208" s="267"/>
    </row>
    <row r="209" spans="1:14" ht="22.5">
      <c r="A209" s="261" t="s">
        <v>1283</v>
      </c>
      <c r="B209" s="261"/>
      <c r="C209" s="261"/>
      <c r="D209" s="261"/>
      <c r="E209" s="261"/>
      <c r="F209" s="261"/>
      <c r="G209" s="261"/>
      <c r="H209" s="261"/>
      <c r="I209" s="261"/>
      <c r="J209" s="261"/>
      <c r="K209" s="261"/>
      <c r="L209" s="261"/>
      <c r="M209" s="261"/>
      <c r="N209" s="261"/>
    </row>
    <row r="210" spans="1:14" ht="71.25">
      <c r="A210" s="224" t="s">
        <v>0</v>
      </c>
      <c r="B210" s="25" t="s">
        <v>53</v>
      </c>
      <c r="C210" s="224" t="s">
        <v>80</v>
      </c>
      <c r="D210" s="24" t="s">
        <v>81</v>
      </c>
      <c r="E210" s="24" t="s">
        <v>82</v>
      </c>
      <c r="F210" s="25" t="s">
        <v>120</v>
      </c>
      <c r="G210" s="25" t="s">
        <v>121</v>
      </c>
      <c r="H210" s="25" t="s">
        <v>83</v>
      </c>
      <c r="I210" s="25" t="s">
        <v>84</v>
      </c>
      <c r="J210" s="25" t="s">
        <v>85</v>
      </c>
      <c r="K210" s="25" t="s">
        <v>86</v>
      </c>
      <c r="L210" s="25" t="s">
        <v>87</v>
      </c>
      <c r="M210" s="25" t="s">
        <v>88</v>
      </c>
      <c r="N210" s="25" t="s">
        <v>89</v>
      </c>
    </row>
    <row r="211" spans="1:14">
      <c r="A211" s="224">
        <v>1</v>
      </c>
      <c r="B211" s="224">
        <v>2</v>
      </c>
      <c r="C211" s="224">
        <v>3</v>
      </c>
      <c r="D211" s="224">
        <v>4</v>
      </c>
      <c r="E211" s="224">
        <v>5</v>
      </c>
      <c r="F211" s="224">
        <v>6</v>
      </c>
      <c r="G211" s="224">
        <v>7</v>
      </c>
      <c r="H211" s="224">
        <v>8</v>
      </c>
      <c r="I211" s="25">
        <v>9</v>
      </c>
      <c r="J211" s="224">
        <v>10</v>
      </c>
      <c r="K211" s="224">
        <v>11</v>
      </c>
      <c r="L211" s="224">
        <v>12</v>
      </c>
      <c r="M211" s="224">
        <v>13</v>
      </c>
      <c r="N211" s="224">
        <v>14</v>
      </c>
    </row>
    <row r="212" spans="1:14">
      <c r="A212" s="267" t="s">
        <v>27</v>
      </c>
      <c r="B212" s="267"/>
      <c r="C212" s="267"/>
      <c r="D212" s="267"/>
      <c r="E212" s="267"/>
      <c r="F212" s="267"/>
      <c r="G212" s="267"/>
      <c r="H212" s="267"/>
      <c r="I212" s="267"/>
      <c r="J212" s="267"/>
      <c r="K212" s="267"/>
      <c r="L212" s="267"/>
      <c r="M212" s="267"/>
      <c r="N212" s="267"/>
    </row>
    <row r="213" spans="1:14">
      <c r="A213" s="267"/>
      <c r="B213" s="267"/>
      <c r="C213" s="267"/>
      <c r="D213" s="267"/>
      <c r="E213" s="267"/>
      <c r="F213" s="267"/>
      <c r="G213" s="267"/>
      <c r="H213" s="267"/>
      <c r="I213" s="267"/>
      <c r="J213" s="267"/>
      <c r="K213" s="267"/>
      <c r="L213" s="267"/>
      <c r="M213" s="267"/>
      <c r="N213" s="267"/>
    </row>
    <row r="214" spans="1:14" ht="22.5">
      <c r="A214" s="261" t="s">
        <v>1284</v>
      </c>
      <c r="B214" s="261"/>
      <c r="C214" s="261"/>
      <c r="D214" s="261"/>
      <c r="E214" s="261"/>
      <c r="F214" s="261"/>
      <c r="G214" s="261"/>
      <c r="H214" s="261"/>
      <c r="I214" s="261"/>
      <c r="J214" s="261"/>
      <c r="K214" s="261"/>
      <c r="L214" s="261"/>
      <c r="M214" s="261"/>
      <c r="N214" s="261"/>
    </row>
    <row r="215" spans="1:14" ht="71.25">
      <c r="A215" s="224" t="s">
        <v>0</v>
      </c>
      <c r="B215" s="25" t="s">
        <v>53</v>
      </c>
      <c r="C215" s="224" t="s">
        <v>80</v>
      </c>
      <c r="D215" s="24" t="s">
        <v>81</v>
      </c>
      <c r="E215" s="24" t="s">
        <v>82</v>
      </c>
      <c r="F215" s="25" t="s">
        <v>120</v>
      </c>
      <c r="G215" s="25" t="s">
        <v>121</v>
      </c>
      <c r="H215" s="25" t="s">
        <v>83</v>
      </c>
      <c r="I215" s="25" t="s">
        <v>84</v>
      </c>
      <c r="J215" s="25" t="s">
        <v>85</v>
      </c>
      <c r="K215" s="25" t="s">
        <v>86</v>
      </c>
      <c r="L215" s="25" t="s">
        <v>87</v>
      </c>
      <c r="M215" s="25" t="s">
        <v>88</v>
      </c>
      <c r="N215" s="25" t="s">
        <v>89</v>
      </c>
    </row>
    <row r="216" spans="1:14">
      <c r="A216" s="224">
        <v>1</v>
      </c>
      <c r="B216" s="224">
        <v>2</v>
      </c>
      <c r="C216" s="224">
        <v>3</v>
      </c>
      <c r="D216" s="224">
        <v>4</v>
      </c>
      <c r="E216" s="224">
        <v>5</v>
      </c>
      <c r="F216" s="224">
        <v>6</v>
      </c>
      <c r="G216" s="224">
        <v>7</v>
      </c>
      <c r="H216" s="224">
        <v>8</v>
      </c>
      <c r="I216" s="25">
        <v>9</v>
      </c>
      <c r="J216" s="224">
        <v>10</v>
      </c>
      <c r="K216" s="224">
        <v>11</v>
      </c>
      <c r="L216" s="224">
        <v>12</v>
      </c>
      <c r="M216" s="224">
        <v>13</v>
      </c>
      <c r="N216" s="224">
        <v>14</v>
      </c>
    </row>
    <row r="217" spans="1:14" ht="60">
      <c r="A217" s="207">
        <v>1</v>
      </c>
      <c r="B217" s="217" t="s">
        <v>1125</v>
      </c>
      <c r="C217" s="217" t="s">
        <v>1126</v>
      </c>
      <c r="D217" s="217" t="s">
        <v>1127</v>
      </c>
      <c r="E217" s="217" t="s">
        <v>1128</v>
      </c>
      <c r="F217" s="207" t="s">
        <v>1129</v>
      </c>
      <c r="G217" s="207" t="s">
        <v>1129</v>
      </c>
      <c r="H217" s="207">
        <v>2004</v>
      </c>
      <c r="I217" s="207" t="s">
        <v>1130</v>
      </c>
      <c r="J217" s="207" t="s">
        <v>1131</v>
      </c>
      <c r="K217" s="207" t="s">
        <v>1132</v>
      </c>
      <c r="L217" s="207" t="s">
        <v>1133</v>
      </c>
      <c r="M217" s="207" t="s">
        <v>1134</v>
      </c>
      <c r="N217" s="207"/>
    </row>
    <row r="218" spans="1:14" ht="45">
      <c r="A218" s="207">
        <v>2</v>
      </c>
      <c r="B218" s="217" t="s">
        <v>1125</v>
      </c>
      <c r="C218" s="217" t="s">
        <v>1135</v>
      </c>
      <c r="D218" s="217" t="s">
        <v>1136</v>
      </c>
      <c r="E218" s="217" t="s">
        <v>1137</v>
      </c>
      <c r="F218" s="207" t="s">
        <v>15</v>
      </c>
      <c r="G218" s="207" t="s">
        <v>15</v>
      </c>
      <c r="H218" s="207" t="s">
        <v>15</v>
      </c>
      <c r="I218" s="207" t="s">
        <v>15</v>
      </c>
      <c r="J218" s="207" t="s">
        <v>15</v>
      </c>
      <c r="K218" s="207" t="s">
        <v>15</v>
      </c>
      <c r="L218" s="207" t="s">
        <v>15</v>
      </c>
      <c r="M218" s="207" t="s">
        <v>15</v>
      </c>
      <c r="N218" s="207" t="s">
        <v>1138</v>
      </c>
    </row>
    <row r="219" spans="1:14" ht="75">
      <c r="A219" s="207">
        <v>3</v>
      </c>
      <c r="B219" s="217" t="s">
        <v>1125</v>
      </c>
      <c r="C219" s="217" t="s">
        <v>1139</v>
      </c>
      <c r="D219" s="217" t="s">
        <v>1140</v>
      </c>
      <c r="E219" s="217" t="s">
        <v>1141</v>
      </c>
      <c r="F219" s="207">
        <v>540.94000000000005</v>
      </c>
      <c r="G219" s="207">
        <v>703.3</v>
      </c>
      <c r="H219" s="207" t="s">
        <v>1142</v>
      </c>
      <c r="I219" s="207" t="s">
        <v>323</v>
      </c>
      <c r="J219" s="207" t="s">
        <v>1143</v>
      </c>
      <c r="K219" s="207" t="s">
        <v>1144</v>
      </c>
      <c r="L219" s="207" t="s">
        <v>1145</v>
      </c>
      <c r="M219" s="207" t="s">
        <v>1146</v>
      </c>
      <c r="N219" s="207" t="s">
        <v>15</v>
      </c>
    </row>
    <row r="220" spans="1:14" ht="60">
      <c r="A220" s="207">
        <v>4</v>
      </c>
      <c r="B220" s="217" t="s">
        <v>1125</v>
      </c>
      <c r="C220" s="217" t="s">
        <v>1147</v>
      </c>
      <c r="D220" s="217" t="s">
        <v>1148</v>
      </c>
      <c r="E220" s="217" t="s">
        <v>1149</v>
      </c>
      <c r="F220" s="207" t="s">
        <v>15</v>
      </c>
      <c r="G220" s="207" t="s">
        <v>15</v>
      </c>
      <c r="H220" s="207" t="s">
        <v>15</v>
      </c>
      <c r="I220" s="207" t="s">
        <v>15</v>
      </c>
      <c r="J220" s="207" t="s">
        <v>15</v>
      </c>
      <c r="K220" s="207" t="s">
        <v>15</v>
      </c>
      <c r="L220" s="207" t="s">
        <v>15</v>
      </c>
      <c r="M220" s="207" t="s">
        <v>15</v>
      </c>
      <c r="N220" s="207" t="s">
        <v>1138</v>
      </c>
    </row>
    <row r="221" spans="1:14" ht="210">
      <c r="A221" s="207">
        <v>5</v>
      </c>
      <c r="B221" s="217" t="s">
        <v>1125</v>
      </c>
      <c r="C221" s="217" t="s">
        <v>1150</v>
      </c>
      <c r="D221" s="217" t="s">
        <v>1151</v>
      </c>
      <c r="E221" s="217" t="s">
        <v>1152</v>
      </c>
      <c r="F221" s="207" t="s">
        <v>1153</v>
      </c>
      <c r="G221" s="207" t="s">
        <v>1154</v>
      </c>
      <c r="H221" s="207" t="s">
        <v>1155</v>
      </c>
      <c r="I221" s="207" t="s">
        <v>323</v>
      </c>
      <c r="J221" s="207" t="s">
        <v>1156</v>
      </c>
      <c r="K221" s="207" t="s">
        <v>455</v>
      </c>
      <c r="L221" s="207" t="s">
        <v>1157</v>
      </c>
      <c r="M221" s="207" t="s">
        <v>1158</v>
      </c>
      <c r="N221" s="207" t="s">
        <v>1159</v>
      </c>
    </row>
    <row r="222" spans="1:14" ht="60">
      <c r="A222" s="207">
        <v>6</v>
      </c>
      <c r="B222" s="217" t="s">
        <v>1125</v>
      </c>
      <c r="C222" s="217" t="s">
        <v>1160</v>
      </c>
      <c r="D222" s="217" t="s">
        <v>1161</v>
      </c>
      <c r="E222" s="217" t="s">
        <v>1162</v>
      </c>
      <c r="F222" s="207" t="s">
        <v>15</v>
      </c>
      <c r="G222" s="207" t="s">
        <v>15</v>
      </c>
      <c r="H222" s="207" t="s">
        <v>15</v>
      </c>
      <c r="I222" s="207" t="s">
        <v>15</v>
      </c>
      <c r="J222" s="207" t="s">
        <v>15</v>
      </c>
      <c r="K222" s="207" t="s">
        <v>15</v>
      </c>
      <c r="L222" s="207" t="s">
        <v>15</v>
      </c>
      <c r="M222" s="207" t="s">
        <v>15</v>
      </c>
      <c r="N222" s="207" t="s">
        <v>1138</v>
      </c>
    </row>
    <row r="223" spans="1:14" ht="90">
      <c r="A223" s="207">
        <v>7</v>
      </c>
      <c r="B223" s="217" t="s">
        <v>1125</v>
      </c>
      <c r="C223" s="217" t="s">
        <v>366</v>
      </c>
      <c r="D223" s="217" t="s">
        <v>1163</v>
      </c>
      <c r="E223" s="217" t="s">
        <v>1164</v>
      </c>
      <c r="F223" s="207" t="s">
        <v>1165</v>
      </c>
      <c r="G223" s="207" t="s">
        <v>1165</v>
      </c>
      <c r="H223" s="207" t="s">
        <v>1166</v>
      </c>
      <c r="I223" s="207" t="s">
        <v>323</v>
      </c>
      <c r="J223" s="207" t="s">
        <v>1167</v>
      </c>
      <c r="K223" s="207" t="s">
        <v>138</v>
      </c>
      <c r="L223" s="207" t="s">
        <v>1168</v>
      </c>
      <c r="M223" s="207" t="s">
        <v>1169</v>
      </c>
      <c r="N223" s="207"/>
    </row>
    <row r="224" spans="1:14" ht="60">
      <c r="A224" s="207">
        <v>8</v>
      </c>
      <c r="B224" s="217" t="s">
        <v>1125</v>
      </c>
      <c r="C224" s="217" t="s">
        <v>1170</v>
      </c>
      <c r="D224" s="217" t="s">
        <v>1171</v>
      </c>
      <c r="E224" s="217" t="s">
        <v>1172</v>
      </c>
      <c r="F224" s="207" t="s">
        <v>15</v>
      </c>
      <c r="G224" s="207" t="s">
        <v>15</v>
      </c>
      <c r="H224" s="207" t="s">
        <v>15</v>
      </c>
      <c r="I224" s="207" t="s">
        <v>15</v>
      </c>
      <c r="J224" s="207" t="s">
        <v>15</v>
      </c>
      <c r="K224" s="207" t="s">
        <v>15</v>
      </c>
      <c r="L224" s="207" t="s">
        <v>15</v>
      </c>
      <c r="M224" s="207" t="s">
        <v>15</v>
      </c>
      <c r="N224" s="207" t="s">
        <v>1138</v>
      </c>
    </row>
    <row r="225" spans="1:14">
      <c r="A225" s="421"/>
      <c r="B225" s="421"/>
      <c r="C225" s="421"/>
      <c r="D225" s="421"/>
      <c r="E225" s="421"/>
      <c r="F225" s="421"/>
      <c r="G225" s="421"/>
      <c r="H225" s="421"/>
      <c r="I225" s="421"/>
      <c r="J225" s="421"/>
      <c r="K225" s="421"/>
      <c r="L225" s="421"/>
      <c r="M225" s="421"/>
      <c r="N225" s="421"/>
    </row>
    <row r="226" spans="1:14" ht="22.5">
      <c r="A226" s="261" t="s">
        <v>1300</v>
      </c>
      <c r="B226" s="261"/>
      <c r="C226" s="261"/>
      <c r="D226" s="261"/>
      <c r="E226" s="261"/>
      <c r="F226" s="261"/>
      <c r="G226" s="261"/>
      <c r="H226" s="261"/>
      <c r="I226" s="261"/>
      <c r="J226" s="261"/>
      <c r="K226" s="261"/>
      <c r="L226" s="261"/>
      <c r="M226" s="261"/>
      <c r="N226" s="261"/>
    </row>
    <row r="227" spans="1:14" ht="71.25">
      <c r="A227" s="224" t="s">
        <v>0</v>
      </c>
      <c r="B227" s="25" t="s">
        <v>53</v>
      </c>
      <c r="C227" s="224" t="s">
        <v>80</v>
      </c>
      <c r="D227" s="24" t="s">
        <v>81</v>
      </c>
      <c r="E227" s="24" t="s">
        <v>82</v>
      </c>
      <c r="F227" s="25" t="s">
        <v>120</v>
      </c>
      <c r="G227" s="25" t="s">
        <v>121</v>
      </c>
      <c r="H227" s="25" t="s">
        <v>83</v>
      </c>
      <c r="I227" s="25" t="s">
        <v>84</v>
      </c>
      <c r="J227" s="25" t="s">
        <v>85</v>
      </c>
      <c r="K227" s="25" t="s">
        <v>86</v>
      </c>
      <c r="L227" s="25" t="s">
        <v>87</v>
      </c>
      <c r="M227" s="25" t="s">
        <v>88</v>
      </c>
      <c r="N227" s="25" t="s">
        <v>89</v>
      </c>
    </row>
    <row r="228" spans="1:14">
      <c r="A228" s="224">
        <v>1</v>
      </c>
      <c r="B228" s="224">
        <v>2</v>
      </c>
      <c r="C228" s="224">
        <v>3</v>
      </c>
      <c r="D228" s="224">
        <v>4</v>
      </c>
      <c r="E228" s="224">
        <v>5</v>
      </c>
      <c r="F228" s="224">
        <v>6</v>
      </c>
      <c r="G228" s="224">
        <v>7</v>
      </c>
      <c r="H228" s="224">
        <v>8</v>
      </c>
      <c r="I228" s="25">
        <v>9</v>
      </c>
      <c r="J228" s="224">
        <v>10</v>
      </c>
      <c r="K228" s="224">
        <v>11</v>
      </c>
      <c r="L228" s="224">
        <v>12</v>
      </c>
      <c r="M228" s="224">
        <v>13</v>
      </c>
      <c r="N228" s="224">
        <v>14</v>
      </c>
    </row>
    <row r="229" spans="1:14">
      <c r="A229" s="258" t="s">
        <v>1173</v>
      </c>
      <c r="B229" s="258"/>
      <c r="C229" s="258"/>
      <c r="D229" s="258"/>
      <c r="E229" s="258"/>
      <c r="F229" s="258"/>
      <c r="G229" s="258"/>
      <c r="H229" s="258"/>
      <c r="I229" s="258"/>
      <c r="J229" s="258"/>
      <c r="K229" s="258"/>
      <c r="L229" s="258"/>
      <c r="M229" s="258"/>
      <c r="N229" s="258"/>
    </row>
    <row r="230" spans="1:14">
      <c r="A230" s="421"/>
      <c r="B230" s="421"/>
      <c r="C230" s="421"/>
      <c r="D230" s="421"/>
      <c r="E230" s="421"/>
      <c r="F230" s="421"/>
      <c r="G230" s="421"/>
      <c r="H230" s="421"/>
      <c r="I230" s="421"/>
      <c r="J230" s="421"/>
      <c r="K230" s="421"/>
      <c r="L230" s="421"/>
      <c r="M230" s="421"/>
      <c r="N230" s="421"/>
    </row>
    <row r="231" spans="1:14" ht="22.5">
      <c r="A231" s="261" t="s">
        <v>1286</v>
      </c>
      <c r="B231" s="261"/>
      <c r="C231" s="261"/>
      <c r="D231" s="261"/>
      <c r="E231" s="261"/>
      <c r="F231" s="261"/>
      <c r="G231" s="261"/>
      <c r="H231" s="261"/>
      <c r="I231" s="261"/>
      <c r="J231" s="261"/>
      <c r="K231" s="261"/>
      <c r="L231" s="261"/>
      <c r="M231" s="261"/>
      <c r="N231" s="261"/>
    </row>
    <row r="232" spans="1:14" ht="71.25">
      <c r="A232" s="224" t="s">
        <v>0</v>
      </c>
      <c r="B232" s="25" t="s">
        <v>53</v>
      </c>
      <c r="C232" s="224" t="s">
        <v>80</v>
      </c>
      <c r="D232" s="24" t="s">
        <v>81</v>
      </c>
      <c r="E232" s="24" t="s">
        <v>82</v>
      </c>
      <c r="F232" s="25" t="s">
        <v>120</v>
      </c>
      <c r="G232" s="25" t="s">
        <v>121</v>
      </c>
      <c r="H232" s="25" t="s">
        <v>83</v>
      </c>
      <c r="I232" s="25" t="s">
        <v>84</v>
      </c>
      <c r="J232" s="25" t="s">
        <v>85</v>
      </c>
      <c r="K232" s="25" t="s">
        <v>86</v>
      </c>
      <c r="L232" s="25" t="s">
        <v>87</v>
      </c>
      <c r="M232" s="25" t="s">
        <v>88</v>
      </c>
      <c r="N232" s="25" t="s">
        <v>89</v>
      </c>
    </row>
    <row r="233" spans="1:14">
      <c r="A233" s="224">
        <v>1</v>
      </c>
      <c r="B233" s="224">
        <v>2</v>
      </c>
      <c r="C233" s="224">
        <v>3</v>
      </c>
      <c r="D233" s="224">
        <v>4</v>
      </c>
      <c r="E233" s="224">
        <v>5</v>
      </c>
      <c r="F233" s="224">
        <v>6</v>
      </c>
      <c r="G233" s="224">
        <v>7</v>
      </c>
      <c r="H233" s="224">
        <v>8</v>
      </c>
      <c r="I233" s="25">
        <v>9</v>
      </c>
      <c r="J233" s="224">
        <v>10</v>
      </c>
      <c r="K233" s="224">
        <v>11</v>
      </c>
      <c r="L233" s="224">
        <v>12</v>
      </c>
      <c r="M233" s="224">
        <v>13</v>
      </c>
      <c r="N233" s="224">
        <v>14</v>
      </c>
    </row>
    <row r="234" spans="1:14" ht="180">
      <c r="A234" s="207">
        <v>1</v>
      </c>
      <c r="B234" s="171" t="s">
        <v>1174</v>
      </c>
      <c r="C234" s="171" t="s">
        <v>1175</v>
      </c>
      <c r="D234" s="171" t="s">
        <v>1176</v>
      </c>
      <c r="E234" s="171" t="s">
        <v>1177</v>
      </c>
      <c r="F234" s="74">
        <v>304.44330000000002</v>
      </c>
      <c r="G234" s="74">
        <v>304.44330000000002</v>
      </c>
      <c r="H234" s="74" t="s">
        <v>1178</v>
      </c>
      <c r="I234" s="76" t="s">
        <v>1179</v>
      </c>
      <c r="J234" s="74" t="s">
        <v>1180</v>
      </c>
      <c r="K234" s="77" t="s">
        <v>1181</v>
      </c>
      <c r="L234" s="74" t="s">
        <v>1182</v>
      </c>
      <c r="M234" s="76" t="s">
        <v>1183</v>
      </c>
      <c r="N234" s="75" t="s">
        <v>1184</v>
      </c>
    </row>
    <row r="235" spans="1:14" ht="45">
      <c r="A235" s="76">
        <v>2</v>
      </c>
      <c r="B235" s="171" t="s">
        <v>1174</v>
      </c>
      <c r="C235" s="171" t="s">
        <v>1175</v>
      </c>
      <c r="D235" s="171" t="s">
        <v>1185</v>
      </c>
      <c r="E235" s="171" t="s">
        <v>1186</v>
      </c>
      <c r="F235" s="74">
        <v>80.819999999999993</v>
      </c>
      <c r="G235" s="74">
        <v>80.819999999999993</v>
      </c>
      <c r="H235" s="74" t="s">
        <v>1187</v>
      </c>
      <c r="I235" s="76" t="s">
        <v>1188</v>
      </c>
      <c r="J235" s="74" t="s">
        <v>1189</v>
      </c>
      <c r="K235" s="74" t="s">
        <v>1190</v>
      </c>
      <c r="L235" s="74" t="s">
        <v>1192</v>
      </c>
      <c r="M235" s="76" t="s">
        <v>1191</v>
      </c>
      <c r="N235" s="75"/>
    </row>
    <row r="236" spans="1:14">
      <c r="A236" s="267"/>
      <c r="B236" s="267"/>
      <c r="C236" s="267"/>
      <c r="D236" s="267"/>
      <c r="E236" s="267"/>
      <c r="F236" s="267"/>
      <c r="G236" s="267"/>
      <c r="H236" s="267"/>
      <c r="I236" s="267"/>
      <c r="J236" s="267"/>
      <c r="K236" s="267"/>
      <c r="L236" s="267"/>
      <c r="M236" s="267"/>
      <c r="N236" s="267"/>
    </row>
    <row r="237" spans="1:14" ht="22.5">
      <c r="A237" s="261" t="s">
        <v>1287</v>
      </c>
      <c r="B237" s="261"/>
      <c r="C237" s="261"/>
      <c r="D237" s="261"/>
      <c r="E237" s="261"/>
      <c r="F237" s="261"/>
      <c r="G237" s="261"/>
      <c r="H237" s="261"/>
      <c r="I237" s="261"/>
      <c r="J237" s="261"/>
      <c r="K237" s="261"/>
      <c r="L237" s="261"/>
      <c r="M237" s="261"/>
      <c r="N237" s="261"/>
    </row>
    <row r="238" spans="1:14" ht="71.25">
      <c r="A238" s="224" t="s">
        <v>0</v>
      </c>
      <c r="B238" s="25" t="s">
        <v>53</v>
      </c>
      <c r="C238" s="224" t="s">
        <v>80</v>
      </c>
      <c r="D238" s="24" t="s">
        <v>81</v>
      </c>
      <c r="E238" s="24" t="s">
        <v>82</v>
      </c>
      <c r="F238" s="25" t="s">
        <v>120</v>
      </c>
      <c r="G238" s="25" t="s">
        <v>121</v>
      </c>
      <c r="H238" s="25" t="s">
        <v>83</v>
      </c>
      <c r="I238" s="25" t="s">
        <v>84</v>
      </c>
      <c r="J238" s="25" t="s">
        <v>85</v>
      </c>
      <c r="K238" s="25" t="s">
        <v>86</v>
      </c>
      <c r="L238" s="25" t="s">
        <v>87</v>
      </c>
      <c r="M238" s="25" t="s">
        <v>88</v>
      </c>
      <c r="N238" s="25" t="s">
        <v>89</v>
      </c>
    </row>
    <row r="239" spans="1:14">
      <c r="A239" s="224">
        <v>1</v>
      </c>
      <c r="B239" s="25">
        <v>2</v>
      </c>
      <c r="C239" s="25">
        <v>3</v>
      </c>
      <c r="D239" s="224">
        <v>4</v>
      </c>
      <c r="E239" s="224">
        <v>5</v>
      </c>
      <c r="F239" s="224">
        <v>6</v>
      </c>
      <c r="G239" s="224">
        <v>7</v>
      </c>
      <c r="H239" s="224">
        <v>8</v>
      </c>
      <c r="I239" s="25">
        <v>9</v>
      </c>
      <c r="J239" s="224">
        <v>10</v>
      </c>
      <c r="K239" s="224">
        <v>11</v>
      </c>
      <c r="L239" s="224">
        <v>12</v>
      </c>
      <c r="M239" s="224">
        <v>13</v>
      </c>
      <c r="N239" s="224">
        <v>14</v>
      </c>
    </row>
    <row r="240" spans="1:14">
      <c r="A240" s="292" t="s">
        <v>27</v>
      </c>
      <c r="B240" s="292"/>
      <c r="C240" s="292"/>
      <c r="D240" s="292"/>
      <c r="E240" s="292"/>
      <c r="F240" s="292"/>
      <c r="G240" s="292"/>
      <c r="H240" s="292"/>
      <c r="I240" s="292"/>
      <c r="J240" s="292"/>
      <c r="K240" s="292"/>
      <c r="L240" s="292"/>
      <c r="M240" s="292"/>
      <c r="N240" s="292"/>
    </row>
    <row r="241" spans="1:14">
      <c r="A241" s="292"/>
      <c r="B241" s="292"/>
      <c r="C241" s="292"/>
      <c r="D241" s="292"/>
      <c r="E241" s="292"/>
      <c r="F241" s="292"/>
      <c r="G241" s="292"/>
      <c r="H241" s="292"/>
      <c r="I241" s="292"/>
      <c r="J241" s="292"/>
      <c r="K241" s="292"/>
      <c r="L241" s="292"/>
      <c r="M241" s="292"/>
      <c r="N241" s="292"/>
    </row>
    <row r="242" spans="1:14" ht="22.5">
      <c r="A242" s="261" t="s">
        <v>1292</v>
      </c>
      <c r="B242" s="261"/>
      <c r="C242" s="261"/>
      <c r="D242" s="261"/>
      <c r="E242" s="261"/>
      <c r="F242" s="261"/>
      <c r="G242" s="261"/>
      <c r="H242" s="261"/>
      <c r="I242" s="261"/>
      <c r="J242" s="261"/>
      <c r="K242" s="261"/>
      <c r="L242" s="261"/>
      <c r="M242" s="261"/>
      <c r="N242" s="261"/>
    </row>
    <row r="243" spans="1:14" ht="71.25">
      <c r="A243" s="224" t="s">
        <v>0</v>
      </c>
      <c r="B243" s="25" t="s">
        <v>53</v>
      </c>
      <c r="C243" s="224" t="s">
        <v>80</v>
      </c>
      <c r="D243" s="24" t="s">
        <v>81</v>
      </c>
      <c r="E243" s="24" t="s">
        <v>82</v>
      </c>
      <c r="F243" s="25" t="s">
        <v>120</v>
      </c>
      <c r="G243" s="25" t="s">
        <v>121</v>
      </c>
      <c r="H243" s="25" t="s">
        <v>83</v>
      </c>
      <c r="I243" s="25" t="s">
        <v>84</v>
      </c>
      <c r="J243" s="25" t="s">
        <v>85</v>
      </c>
      <c r="K243" s="25" t="s">
        <v>86</v>
      </c>
      <c r="L243" s="25" t="s">
        <v>87</v>
      </c>
      <c r="M243" s="25" t="s">
        <v>88</v>
      </c>
      <c r="N243" s="25" t="s">
        <v>89</v>
      </c>
    </row>
    <row r="244" spans="1:14">
      <c r="A244" s="224">
        <v>1</v>
      </c>
      <c r="B244" s="25">
        <v>2</v>
      </c>
      <c r="C244" s="25">
        <v>3</v>
      </c>
      <c r="D244" s="224">
        <v>4</v>
      </c>
      <c r="E244" s="224">
        <v>5</v>
      </c>
      <c r="F244" s="224">
        <v>6</v>
      </c>
      <c r="G244" s="224">
        <v>7</v>
      </c>
      <c r="H244" s="224">
        <v>8</v>
      </c>
      <c r="I244" s="25">
        <v>9</v>
      </c>
      <c r="J244" s="224">
        <v>10</v>
      </c>
      <c r="K244" s="224">
        <v>11</v>
      </c>
      <c r="L244" s="224">
        <v>12</v>
      </c>
      <c r="M244" s="224">
        <v>13</v>
      </c>
      <c r="N244" s="224">
        <v>14</v>
      </c>
    </row>
    <row r="245" spans="1:14">
      <c r="A245" s="49"/>
      <c r="B245" s="422" t="s">
        <v>27</v>
      </c>
      <c r="C245" s="422"/>
      <c r="D245" s="422"/>
      <c r="E245" s="422"/>
      <c r="F245" s="422"/>
      <c r="G245" s="422"/>
      <c r="H245" s="422"/>
      <c r="I245" s="422"/>
      <c r="J245" s="422"/>
      <c r="K245" s="422"/>
      <c r="L245" s="422"/>
      <c r="M245" s="422"/>
      <c r="N245" s="422"/>
    </row>
    <row r="249" spans="1:14">
      <c r="E249" s="230"/>
    </row>
  </sheetData>
  <mergeCells count="132">
    <mergeCell ref="D122:N122"/>
    <mergeCell ref="D123:N123"/>
    <mergeCell ref="D124:N124"/>
    <mergeCell ref="D125:N125"/>
    <mergeCell ref="A140:N140"/>
    <mergeCell ref="D129:N129"/>
    <mergeCell ref="D130:N130"/>
    <mergeCell ref="D131:N131"/>
    <mergeCell ref="B132:B133"/>
    <mergeCell ref="C132:C133"/>
    <mergeCell ref="A134:N134"/>
    <mergeCell ref="A132:A133"/>
    <mergeCell ref="A138:N138"/>
    <mergeCell ref="A139:N139"/>
    <mergeCell ref="A135:N135"/>
    <mergeCell ref="A70:A71"/>
    <mergeCell ref="B70:B71"/>
    <mergeCell ref="C70:C71"/>
    <mergeCell ref="A68:A69"/>
    <mergeCell ref="B68:B69"/>
    <mergeCell ref="C68:C69"/>
    <mergeCell ref="D68:D69"/>
    <mergeCell ref="E68:E69"/>
    <mergeCell ref="D121:N121"/>
    <mergeCell ref="F119:F120"/>
    <mergeCell ref="G119:G120"/>
    <mergeCell ref="A110:N110"/>
    <mergeCell ref="F113:N113"/>
    <mergeCell ref="A119:A120"/>
    <mergeCell ref="B119:B120"/>
    <mergeCell ref="C119:C120"/>
    <mergeCell ref="D119:D120"/>
    <mergeCell ref="E119:E120"/>
    <mergeCell ref="A72:A74"/>
    <mergeCell ref="B72:B74"/>
    <mergeCell ref="C72:C74"/>
    <mergeCell ref="D72:D74"/>
    <mergeCell ref="E72:E74"/>
    <mergeCell ref="A75:A78"/>
    <mergeCell ref="A48:A50"/>
    <mergeCell ref="B48:B50"/>
    <mergeCell ref="A51:A54"/>
    <mergeCell ref="B51:B54"/>
    <mergeCell ref="A56:A59"/>
    <mergeCell ref="B56:B59"/>
    <mergeCell ref="A62:A63"/>
    <mergeCell ref="B62:B63"/>
    <mergeCell ref="A65:A67"/>
    <mergeCell ref="A236:N236"/>
    <mergeCell ref="A237:N237"/>
    <mergeCell ref="A242:N242"/>
    <mergeCell ref="A231:N231"/>
    <mergeCell ref="A226:N226"/>
    <mergeCell ref="A229:N229"/>
    <mergeCell ref="A230:N230"/>
    <mergeCell ref="A240:N240"/>
    <mergeCell ref="A241:N241"/>
    <mergeCell ref="B245:N245"/>
    <mergeCell ref="A194:N194"/>
    <mergeCell ref="A141:N141"/>
    <mergeCell ref="A193:N193"/>
    <mergeCell ref="A198:N198"/>
    <mergeCell ref="A203:N203"/>
    <mergeCell ref="A1:N1"/>
    <mergeCell ref="A6:N6"/>
    <mergeCell ref="A10:N10"/>
    <mergeCell ref="A11:N11"/>
    <mergeCell ref="C15:N15"/>
    <mergeCell ref="A28:N28"/>
    <mergeCell ref="A33:A34"/>
    <mergeCell ref="B33:B34"/>
    <mergeCell ref="A35:A37"/>
    <mergeCell ref="B35:B37"/>
    <mergeCell ref="A38:A40"/>
    <mergeCell ref="B38:B40"/>
    <mergeCell ref="B65:B67"/>
    <mergeCell ref="C65:C66"/>
    <mergeCell ref="D65:D66"/>
    <mergeCell ref="C19:N19"/>
    <mergeCell ref="C21:N21"/>
    <mergeCell ref="A42:A43"/>
    <mergeCell ref="A207:N207"/>
    <mergeCell ref="A208:N208"/>
    <mergeCell ref="A209:N209"/>
    <mergeCell ref="A212:N212"/>
    <mergeCell ref="A213:N213"/>
    <mergeCell ref="A214:N214"/>
    <mergeCell ref="A225:N225"/>
    <mergeCell ref="A199:N199"/>
    <mergeCell ref="A204:N204"/>
    <mergeCell ref="A202:N202"/>
    <mergeCell ref="A2:N2"/>
    <mergeCell ref="A7:N7"/>
    <mergeCell ref="A12:N12"/>
    <mergeCell ref="A24:N24"/>
    <mergeCell ref="A29:N29"/>
    <mergeCell ref="A97:N97"/>
    <mergeCell ref="A103:N103"/>
    <mergeCell ref="C22:N22"/>
    <mergeCell ref="A23:N23"/>
    <mergeCell ref="B27:N27"/>
    <mergeCell ref="F68:F69"/>
    <mergeCell ref="G68:G69"/>
    <mergeCell ref="I68:I69"/>
    <mergeCell ref="J68:J69"/>
    <mergeCell ref="K68:K69"/>
    <mergeCell ref="L68:L69"/>
    <mergeCell ref="M68:M69"/>
    <mergeCell ref="N68:N69"/>
    <mergeCell ref="B42:B43"/>
    <mergeCell ref="A44:A45"/>
    <mergeCell ref="B44:B45"/>
    <mergeCell ref="A46:A47"/>
    <mergeCell ref="B46:B47"/>
    <mergeCell ref="B75:B78"/>
    <mergeCell ref="A80:A83"/>
    <mergeCell ref="B80:B83"/>
    <mergeCell ref="A109:N109"/>
    <mergeCell ref="A102:N102"/>
    <mergeCell ref="A85:A86"/>
    <mergeCell ref="B85:B86"/>
    <mergeCell ref="A87:A89"/>
    <mergeCell ref="B87:B89"/>
    <mergeCell ref="A90:A91"/>
    <mergeCell ref="B90:B91"/>
    <mergeCell ref="D92:N92"/>
    <mergeCell ref="D93:N93"/>
    <mergeCell ref="D95:N95"/>
    <mergeCell ref="A96:N96"/>
    <mergeCell ref="J107:L107"/>
    <mergeCell ref="B106:B108"/>
    <mergeCell ref="C106:C108"/>
  </mergeCells>
  <pageMargins left="1.5" right="0.7" top="0.75" bottom="0.75" header="0.3" footer="0.3"/>
  <pageSetup paperSize="5"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DGs, Directorate Annexure -A</vt:lpstr>
      <vt:lpstr>DGs, Directorate Annexure -B</vt:lpstr>
      <vt:lpstr>DGs, Directorate Annexure -C</vt:lpstr>
      <vt:lpstr>DGs, Directorate Annexure -D</vt:lpstr>
      <vt:lpstr>'DGs, Directorate Annexure -A'!Print_Area</vt:lpstr>
      <vt:lpstr>'DGs, Directorate Annexure -B'!Print_Area</vt:lpstr>
      <vt:lpstr>'DGs, Directorate Annexure -C'!Print_Area</vt:lpstr>
      <vt:lpstr>'DGs, Directorate Annexure -D'!Print_Area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2021-03-11T09:00:28Z</dcterms:modified>
</cp:coreProperties>
</file>