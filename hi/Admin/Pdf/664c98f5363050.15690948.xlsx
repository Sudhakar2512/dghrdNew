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590" windowHeight="12360"/>
  </bookViews>
  <sheets>
    <sheet name="Zone wise expenditure detail" sheetId="1" r:id="rId1"/>
  </sheets>
  <definedNames>
    <definedName name="_xlnm._FilterDatabase" localSheetId="0" hidden="1">'Zone wise expenditure detail'!$F$1:$F$116</definedName>
    <definedName name="_xlnm.Print_Area" localSheetId="0">'Zone wise expenditure detail'!$A$1:$O$116</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6" i="1"/>
  <c r="N116" l="1"/>
  <c r="O39" l="1"/>
  <c r="O40"/>
  <c r="O79" l="1"/>
  <c r="O32"/>
  <c r="O5"/>
  <c r="O6"/>
  <c r="O11"/>
  <c r="O12"/>
  <c r="O13"/>
  <c r="O14"/>
  <c r="O15"/>
  <c r="O16"/>
  <c r="O17"/>
  <c r="O18"/>
  <c r="O19"/>
  <c r="O20"/>
  <c r="O21"/>
  <c r="O22"/>
  <c r="O24"/>
  <c r="O25"/>
  <c r="O26"/>
  <c r="O27"/>
  <c r="O28"/>
  <c r="O29"/>
  <c r="O30"/>
  <c r="O31"/>
  <c r="O33"/>
  <c r="O34"/>
  <c r="O35"/>
  <c r="O36"/>
  <c r="O37"/>
  <c r="O38"/>
  <c r="O41"/>
  <c r="O42"/>
  <c r="O43"/>
  <c r="O44"/>
  <c r="O45"/>
  <c r="O46"/>
  <c r="O51"/>
  <c r="O52"/>
  <c r="O53"/>
  <c r="O54"/>
  <c r="O55"/>
  <c r="O56"/>
  <c r="O57"/>
  <c r="O58"/>
  <c r="O59"/>
  <c r="O60"/>
  <c r="O61"/>
  <c r="O62"/>
  <c r="O63"/>
  <c r="O64"/>
  <c r="O65"/>
  <c r="O66"/>
  <c r="O67"/>
  <c r="O68"/>
  <c r="O69"/>
  <c r="O70"/>
  <c r="O71"/>
  <c r="O72"/>
  <c r="O76"/>
  <c r="O77"/>
  <c r="O78"/>
  <c r="O80"/>
  <c r="O81"/>
  <c r="O82"/>
  <c r="O84"/>
  <c r="O86"/>
  <c r="O87"/>
  <c r="O88"/>
  <c r="O89"/>
  <c r="O90"/>
  <c r="O91"/>
  <c r="O95"/>
  <c r="O96"/>
  <c r="O97"/>
  <c r="O98"/>
  <c r="O99"/>
  <c r="O100"/>
  <c r="O101"/>
  <c r="O102"/>
  <c r="O103"/>
  <c r="O104"/>
  <c r="O105"/>
  <c r="O106"/>
  <c r="O107"/>
  <c r="O108"/>
  <c r="O109"/>
  <c r="O111"/>
  <c r="O112"/>
  <c r="O113"/>
  <c r="O114"/>
  <c r="O115"/>
  <c r="O4"/>
  <c r="O116" l="1"/>
</calcChain>
</file>

<file path=xl/sharedStrings.xml><?xml version="1.0" encoding="utf-8"?>
<sst xmlns="http://schemas.openxmlformats.org/spreadsheetml/2006/main" count="1109" uniqueCount="580">
  <si>
    <t>S. No.</t>
  </si>
  <si>
    <t>Smart Infra Unique -ID</t>
  </si>
  <si>
    <t>Zone</t>
  </si>
  <si>
    <t>Comm'te</t>
  </si>
  <si>
    <t>Proposal in Brief</t>
  </si>
  <si>
    <t>Total Project Cost</t>
  </si>
  <si>
    <t>Expenditure till F.Y. 2020-21</t>
  </si>
  <si>
    <t>Actual funds released in F.Y. 2021-22</t>
  </si>
  <si>
    <t>Date on which funds are released</t>
  </si>
  <si>
    <t>Whether LoA issued:        Yes/No</t>
  </si>
  <si>
    <t>Date of LoA</t>
  </si>
  <si>
    <t>Expenditure till date</t>
  </si>
  <si>
    <t>Expenditure yet to be incurred</t>
  </si>
  <si>
    <t>002-16</t>
  </si>
  <si>
    <t>Ahmedabad Customs</t>
  </si>
  <si>
    <t>Jamnagar</t>
  </si>
  <si>
    <t xml:space="preserve">Construction of office building at Jamnagar                                                      </t>
  </si>
  <si>
    <t>22.06.2021</t>
  </si>
  <si>
    <t>Yes</t>
  </si>
  <si>
    <t>05.07.2021 
&amp;
16.08.2021</t>
  </si>
  <si>
    <t>006-18</t>
  </si>
  <si>
    <t>Ahmedabad</t>
  </si>
  <si>
    <t>09.06.2021</t>
  </si>
  <si>
    <t>21.06.2021</t>
  </si>
  <si>
    <t>008-20</t>
  </si>
  <si>
    <t>Mangalore</t>
  </si>
  <si>
    <t>A/a &amp; e/s of Rs. 22,66,000/- for replacement of DG set with AMF panel and acoustic enclosure, damaged HT Panel, defective cables, and servicing of 500 KVA transformer at C.R. Building, Attavara, Mangalore-reg</t>
  </si>
  <si>
    <t>.-</t>
  </si>
  <si>
    <t>07.07.2021</t>
  </si>
  <si>
    <t>02.08.2021</t>
  </si>
  <si>
    <t>233-18</t>
  </si>
  <si>
    <t>CGST Bengaluru North West</t>
  </si>
  <si>
    <t>Revalidation of special repairs to Central Revenue office buiding (Central Excise &amp; Income Tax Dept. At Davanagere.</t>
  </si>
  <si>
    <t>20.09.2021</t>
  </si>
  <si>
    <t>No</t>
  </si>
  <si>
    <t>NA</t>
  </si>
  <si>
    <t>418-19</t>
  </si>
  <si>
    <t>Bengaluru South 
Bengaluru</t>
  </si>
  <si>
    <t xml:space="preserve">Upgradation of 17 flats in Akshaya Apartments for Central Excise and Customs, Malleshwaram, Bangalore including electrical provisions. 
</t>
  </si>
  <si>
    <t>23.11.2021</t>
  </si>
  <si>
    <t>282-19</t>
  </si>
  <si>
    <t>CGST Bhubaneswar</t>
  </si>
  <si>
    <t>(UID 282-19) Revalidation of A/A &amp; E/s of Rs.4,24,92,000/- for special repair work of departmental residential building (C.R. Colony), Rajaswa Vihar, Bhubaneswar (Post FANI Cycloe)-reg.</t>
  </si>
  <si>
    <t>18.11.2021</t>
  </si>
  <si>
    <t>017-20</t>
  </si>
  <si>
    <t>Chandigarh CGST</t>
  </si>
  <si>
    <t>Srinagar</t>
  </si>
  <si>
    <t>Construction of boundary wall with barbed wire fencing around the land  at Solina, Srinagar purchased for construction of office and residential building of customs &amp; CGST Division, Srinagar</t>
  </si>
  <si>
    <t>25.08.2021</t>
  </si>
  <si>
    <t>07.09.2021</t>
  </si>
  <si>
    <t>019-20</t>
  </si>
  <si>
    <t>Chennai CGST</t>
  </si>
  <si>
    <t>CGST Chennai Audit-I
Chennai</t>
  </si>
  <si>
    <t>Revalidation of replacement of 2 Nos. of 40 KVA Online 3 Phase UPS system with 30 minutes backup i/c batteries, etc-reg.</t>
  </si>
  <si>
    <t>24.06.2021</t>
  </si>
  <si>
    <t>09.11.2021</t>
  </si>
  <si>
    <t>024-20</t>
  </si>
  <si>
    <t>CGST Chenani North</t>
  </si>
  <si>
    <t>Replacing of 25 years old 200 KVA &amp; 125 KVA DG sets with upgraded 500 KVA silent type DG set for Chennai North Comm'te-reg.</t>
  </si>
  <si>
    <t>30.06.2021</t>
  </si>
  <si>
    <t>16.07.2021</t>
  </si>
  <si>
    <t>087-19</t>
  </si>
  <si>
    <t xml:space="preserve">CGST Puducherry 
</t>
  </si>
  <si>
    <t>Revalidation of  Renovation of Old Light House in Puducherry-Nomination of M/s. INTACH, Puducherry as Consultant-(Total project cost may be 3 cr., initially an amount of 1.5 cr may be released).</t>
  </si>
  <si>
    <t>26.07.2021</t>
  </si>
  <si>
    <t>Not Found</t>
  </si>
  <si>
    <t>033-20</t>
  </si>
  <si>
    <t>CGST Trichy</t>
  </si>
  <si>
    <t>Conversion of overhead lines into underground HT Cable for service connection including dismantling of overhead lines and poles at Hqrs. Building, No.1, Williams Road, Contonment Trichy-reg.</t>
  </si>
  <si>
    <t>29.07.2021</t>
  </si>
  <si>
    <t>25.10.2021</t>
  </si>
  <si>
    <t>034-20</t>
  </si>
  <si>
    <t>CGST Chennai North</t>
  </si>
  <si>
    <t>Revalidation of augementation of exsiting obsolete and worn out fire detection and alaqrm system (CONVENTIONAL) at C.Ex. (main &amp; Annexe) building, Nungambakkam, Chennai-reg.</t>
  </si>
  <si>
    <t>02.12.2021</t>
  </si>
  <si>
    <t>037-20</t>
  </si>
  <si>
    <t>CGST Chennai
Chennai North</t>
  </si>
  <si>
    <t>Revalidation of augementation of exsiting obsolete and worn out fire fighitng down comer system at C.Ex. (Main &amp; Annexe) Building, Nungambakkam, Chennai-reg.</t>
  </si>
  <si>
    <t>06.08.2021</t>
  </si>
  <si>
    <t>03.11.2021</t>
  </si>
  <si>
    <t>003-20</t>
  </si>
  <si>
    <t xml:space="preserve">CGST Puducherry </t>
  </si>
  <si>
    <t>Revalidation of  up-gradation of C.Ex. Residential quarters at, Puducherry- forwarding of proposal Grant of A/A &amp; E/S-reg.</t>
  </si>
  <si>
    <t>300-21</t>
  </si>
  <si>
    <t>CGST Puducherry
Chennai</t>
  </si>
  <si>
    <t xml:space="preserve">(UID 300-21) A/a &amp; E/s of Rs. 57,56,000/- for Providing Accessible India facilities in Customs &amp; Central Excise office at Beach road, Karaikal SH: Providing Lift i/c construction of lift Shaft, Toilet For Physically challenged &amp;
Ramp </t>
  </si>
  <si>
    <t>29.11.2021</t>
  </si>
  <si>
    <t>001-16</t>
  </si>
  <si>
    <t>Chennai Cus.</t>
  </si>
  <si>
    <t>Chennai</t>
  </si>
  <si>
    <t xml:space="preserve">Construction of residential qtrs. at Anna Nagar, Chennai.                          </t>
  </si>
  <si>
    <t>17.06.2021</t>
  </si>
  <si>
    <t>001-18</t>
  </si>
  <si>
    <t>Construction of 36 residential quarters at Nungambakkam, Chennai</t>
  </si>
  <si>
    <t>415-20</t>
  </si>
  <si>
    <t>Data Management</t>
  </si>
  <si>
    <t>Requirement of funds for S.I.T.C. of silent type DG Set and UPS system in the premises of the Directorate of Data Management located in 'A' Wing 3rd Floor, Pushpa Bhawan, New Delhi under the head minor works during the current F.Y. 2019-20-reg.</t>
  </si>
  <si>
    <t>10.11.2021</t>
  </si>
  <si>
    <t>001-19</t>
  </si>
  <si>
    <t>Delhi Cus. Prev.</t>
  </si>
  <si>
    <t xml:space="preserve">
Jodhpur Cus. (P)</t>
  </si>
  <si>
    <t xml:space="preserve"> Revalidation of A/a &amp; F/s of Rs.4,14,50,000/- for upgradation and renovation of residential quarters Type-I, Type-II, Type-III, Type-IV &amp; Type-V with roads and sewerage work in residenital colony at Jodhpur-reg.</t>
  </si>
  <si>
    <t>14.09.2021</t>
  </si>
  <si>
    <t>244-19</t>
  </si>
  <si>
    <t>Delhi Customs</t>
  </si>
  <si>
    <t>(Delhi Airport &amp; General)</t>
  </si>
  <si>
    <t>Construction of one lift well for 8 nos. passenger lift at New Custom House Near IGI Airport, New Delhi.</t>
  </si>
  <si>
    <t>20.10.2021</t>
  </si>
  <si>
    <t>001-17</t>
  </si>
  <si>
    <t xml:space="preserve">Delhi CGST </t>
  </si>
  <si>
    <t>Delhi North</t>
  </si>
  <si>
    <t xml:space="preserve">Construction of residential qtrs. at Dwarka                                        </t>
  </si>
  <si>
    <t>Non-LoA case</t>
  </si>
  <si>
    <t>117-17</t>
  </si>
  <si>
    <t>CGST 
Delhi North</t>
  </si>
  <si>
    <t>Revalidation of providing Comprehensive repair to multi-stories residential Shipra Tower of C.Ex. Department at Vaishali, Ghaziabad  for total expenditure of Rs.6,38,93,701/-.</t>
  </si>
  <si>
    <t>14.07.2021</t>
  </si>
  <si>
    <t>003-16</t>
  </si>
  <si>
    <t>DRI</t>
  </si>
  <si>
    <t>DRI Kolkata</t>
  </si>
  <si>
    <t>Construction of DRI  office Building at  Kolkata</t>
  </si>
  <si>
    <t>28.06.2021</t>
  </si>
  <si>
    <t>15.07.2021</t>
  </si>
  <si>
    <t>036-20</t>
  </si>
  <si>
    <t>Lucknow</t>
  </si>
  <si>
    <t>Construction of boundary wall by DRI Zonal Unit, Lucknow</t>
  </si>
  <si>
    <t>023-20</t>
  </si>
  <si>
    <t>DRI Chennai</t>
  </si>
  <si>
    <t>Construction of office building of DRI Zonal Unit at Trustpuram Kodambakkam, Chennai</t>
  </si>
  <si>
    <t>__</t>
  </si>
  <si>
    <t>212-19</t>
  </si>
  <si>
    <t>DRI Delhi</t>
  </si>
  <si>
    <t>DRI (HQ.)</t>
  </si>
  <si>
    <t>Construction of office building for DRI (HQ.) at Vasant Kunj, Delhi</t>
  </si>
  <si>
    <t>08.09.2021</t>
  </si>
  <si>
    <t>___</t>
  </si>
  <si>
    <t>002-15</t>
  </si>
  <si>
    <t>Pune CGST</t>
  </si>
  <si>
    <t xml:space="preserve">Kolhapur </t>
  </si>
  <si>
    <t>Construction of office building for CGST Commissionerate Kolhapur, at Tarabai Park, Kolhapur</t>
  </si>
  <si>
    <t>12.07.2021</t>
  </si>
  <si>
    <t>008-18</t>
  </si>
  <si>
    <t>Pune-II</t>
  </si>
  <si>
    <t>Construction of office building and staff quarters for CGST Range offices at Pandharpur, Dist. Solapur, Maharasthra</t>
  </si>
  <si>
    <t>12.08.2021</t>
  </si>
  <si>
    <t>404-21</t>
  </si>
  <si>
    <t>Goa Cus.</t>
  </si>
  <si>
    <t xml:space="preserve">Demolition of dilapidated 08 Nos. Type III Quarters (G+3 Building 01 block bearing Q. No. 117 to 124) at Custom Colony, Headland Sada, Vasco, Goa </t>
  </si>
  <si>
    <t>05.10.2021</t>
  </si>
  <si>
    <t>24.11.2021</t>
  </si>
  <si>
    <t>035-20</t>
  </si>
  <si>
    <t>Goa-Cus.</t>
  </si>
  <si>
    <t>Revalidation of repairs to exisintg roofing and other miscellaneious works for Custom Guest House, Panaji, Goa.</t>
  </si>
  <si>
    <t>104-20</t>
  </si>
  <si>
    <t xml:space="preserve">CGST Kolhapur
</t>
  </si>
  <si>
    <t>Revalidation of Up-gradation and repairs to 10 nos. Type-II residential quarters of CGST Department at tarabai Park, Kolhapur (Maharashtra)-reg.</t>
  </si>
  <si>
    <t>160-20</t>
  </si>
  <si>
    <t>CGST 
Kolhapur</t>
  </si>
  <si>
    <t>Proposal for  upgradation and repairs to 24  nos. Type-III residential quarters of CGST Department at tarabai park, Kolhapur (Maharashtra)-reg.</t>
  </si>
  <si>
    <t>30.09.2021</t>
  </si>
  <si>
    <t>21.10.2021</t>
  </si>
  <si>
    <t>224-20</t>
  </si>
  <si>
    <t>Setting up of Indian Customs &amp; Indirect taxes Museum Goa Through INTACH-reg.</t>
  </si>
  <si>
    <t>02.11.2021</t>
  </si>
  <si>
    <t>001-15</t>
  </si>
  <si>
    <t>Guwahati CGST</t>
  </si>
  <si>
    <t>Agaratala</t>
  </si>
  <si>
    <t>Construction of office building for CGST Comm'te, Customs Divisions and Agartala Audit Circle at Agartala</t>
  </si>
  <si>
    <t>24.08.2021</t>
  </si>
  <si>
    <t xml:space="preserve">18.10.2021
(6.5)
20.10.2021
(1.50)
</t>
  </si>
  <si>
    <t>235-20</t>
  </si>
  <si>
    <t xml:space="preserve">Customs Prev. Guwahati </t>
  </si>
  <si>
    <t>Replacement of the two lifts in the office  premises and residential complex at Custom House, Guwahati-reg.</t>
  </si>
  <si>
    <t>29.10.2021</t>
  </si>
  <si>
    <t>005-16</t>
  </si>
  <si>
    <t>Hyderabad Customs</t>
  </si>
  <si>
    <t>Hyderabad</t>
  </si>
  <si>
    <t>Construction of  compound wall &amp; office building at Mamidipally, Near Shamshabad Airport, Hyderabad.</t>
  </si>
  <si>
    <t>10.08.2021</t>
  </si>
  <si>
    <t>085-19</t>
  </si>
  <si>
    <t>Jaipur CGST</t>
  </si>
  <si>
    <t>Udaipur</t>
  </si>
  <si>
    <t>Construction of new office building for Udaipur CGST office at Udaipur including GH</t>
  </si>
  <si>
    <t>122-11</t>
  </si>
  <si>
    <t>Construction of office building for 02 division, 04 newly created CGST Ranges and Audit Circle at Bhilwara CGST, Udaipur Comm'te</t>
  </si>
  <si>
    <t>231-19</t>
  </si>
  <si>
    <t>Jaipur</t>
  </si>
  <si>
    <t>Construction of RCC retaining wall in GST Colony along with back Nallah at JLN Marg, Jaipur</t>
  </si>
  <si>
    <t>23.06.2021</t>
  </si>
  <si>
    <t>243-13</t>
  </si>
  <si>
    <t>Kolkata Custom</t>
  </si>
  <si>
    <t>(Kolkata (AP &amp; ACC))</t>
  </si>
  <si>
    <t>Renovation work of Custom House Kolkata (Heritage Building) by INTACH-reg.</t>
  </si>
  <si>
    <t>13.08.2021</t>
  </si>
  <si>
    <t>01.12.2021</t>
  </si>
  <si>
    <t>106-20</t>
  </si>
  <si>
    <t>CGST 
Bolpur</t>
  </si>
  <si>
    <t>Revalidation of a/a &amp; e/s for following works in C.R. Building City Center, Durgapur, Bolpur.
(i) Enhancing electric load connection from 47KVA to 106 KVA.
(ii) Construciton of electric meter room (10x10x10feet).
(iii) Laying of vable and replacement of old panel by new panel due to enhancement of load.
(iv) Up-gradation of wiring infrastructure.</t>
  </si>
  <si>
    <t>238-13</t>
  </si>
  <si>
    <t>Lucknow CGST</t>
  </si>
  <si>
    <t>Allahabad</t>
  </si>
  <si>
    <t>Construction of boundary wall on plot allocated to CGST and CX Division Raebareilly, CGST &amp; CX Commissionerate, Allahabad</t>
  </si>
  <si>
    <t>143-17</t>
  </si>
  <si>
    <t>Meerut CGST</t>
  </si>
  <si>
    <t>Ghaziabad</t>
  </si>
  <si>
    <t>Construction of office building including boundary wall  for  CGST Ghaziabad, Audit-II, Ghaziabad, Noida</t>
  </si>
  <si>
    <t>151-16</t>
  </si>
  <si>
    <t>Mumbai CGST</t>
  </si>
  <si>
    <t>Palghar</t>
  </si>
  <si>
    <t>Construction of 3 Div. offices and 14 ranges offices at Boisar</t>
  </si>
  <si>
    <t>222-15</t>
  </si>
  <si>
    <t>Raigad</t>
  </si>
  <si>
    <t xml:space="preserve">Construction of residential qtrs. at Kharghar by NBCC.                                                         </t>
  </si>
  <si>
    <t>003-15</t>
  </si>
  <si>
    <t xml:space="preserve">CGST Mumbai Central
</t>
  </si>
  <si>
    <t xml:space="preserve">Revalidation of an amount of Rs. 1,17,96,414/- for construction of boundary wall for C.Ex. Department at Bhandup (East). </t>
  </si>
  <si>
    <t>123-19</t>
  </si>
  <si>
    <t>Revalidation of Extra Ordinay structural reapir and other misc. work for building no.3 and 5, CGS Colony, Bhandup (e) Mumbai of C.Ex. Department.</t>
  </si>
  <si>
    <t>002-17</t>
  </si>
  <si>
    <t>CGST Mumbai Central
Mumbai</t>
  </si>
  <si>
    <t>Revalidation of revised preliminary estimate for Providing Sewage Treatment Plant at Sector-A,, CGS Colony, Bhandup (East), Mumbai.</t>
  </si>
  <si>
    <t>18.10.2021</t>
  </si>
  <si>
    <t>003-14</t>
  </si>
  <si>
    <t>Revalidaion of structural repairs and Aesthetic improvement to Central Excise quarters at Sector-VII,  S.M. Plot, Antop Hill, Mumbai-37 during 2013-14. Sh: Structural repair and External painting to building No.52 of C.Ex.  (Type-II, 60 Nos. Qtrs)-reg.</t>
  </si>
  <si>
    <t>130-19</t>
  </si>
  <si>
    <t>Revalidaiton of  Repairing of Controal Room &amp; Driver's Room, GST Bhavan, Churchgate, Mumbai-reg.</t>
  </si>
  <si>
    <t>158-18</t>
  </si>
  <si>
    <t>Revalidaiton of  Upgradation &amp; Renovation of 20 Nos. Type-III C.Ex./CGST qtrs. at Gorai, Boriwali, Mumbai.</t>
  </si>
  <si>
    <t>218-19</t>
  </si>
  <si>
    <t>CGST Mumbai</t>
  </si>
  <si>
    <t>Replacement of 2 Number of lift in the GST Bhawan.</t>
  </si>
  <si>
    <t>06.09.2021</t>
  </si>
  <si>
    <t>214-21</t>
  </si>
  <si>
    <t>A/a &amp; E/s of Rs. 81,60,800/- for Structural repairs including exterior painting to 19 Nos. Bldg.: Central Excise,
BKC, Mumbai-reg.</t>
  </si>
  <si>
    <t>281-21</t>
  </si>
  <si>
    <t xml:space="preserve">CGST Mumbai 
</t>
  </si>
  <si>
    <t xml:space="preserve">(UID 281-21)A/a &amp; E/s of Rs. 7,13,500/- for Conducting Structural Audit of Residential Buildings No. 26 &amp; 27 of CGST Deptt. at Oshiwara, Andheri (W), Mumbai-reg. </t>
  </si>
  <si>
    <t>229-16</t>
  </si>
  <si>
    <t>Mumbai Cus-I</t>
  </si>
  <si>
    <t>Mumbai (Gen.)</t>
  </si>
  <si>
    <t xml:space="preserve">Construction of residential quarters at Customs Enclave Plot, Wadala, Mumbai </t>
  </si>
  <si>
    <t>03.09.2021</t>
  </si>
  <si>
    <t xml:space="preserve">Construction of Office  complex  at Customs Enclave Plot, Wadala, Mumbai </t>
  </si>
  <si>
    <t>01.11.2021</t>
  </si>
  <si>
    <t>213-19</t>
  </si>
  <si>
    <t>(Mumbai Cus (General))</t>
  </si>
  <si>
    <t>Revalidation of providing &amp; fixing sliding windows to 48 Nos. qtrs. Of C.Ex. &amp; Customs Department at Katrak Road, Wadala, Mumbai Rs.83,79,308/-</t>
  </si>
  <si>
    <t>28.10.2021</t>
  </si>
  <si>
    <t>305-18</t>
  </si>
  <si>
    <t>Revalidation of Construction of compound wall at Gholwad office, Bassein Division.</t>
  </si>
  <si>
    <t>16.11.2021</t>
  </si>
  <si>
    <t>279-21</t>
  </si>
  <si>
    <t>A/a &amp; e/s of Rs. 6,34,940/- for Conducting Structural Audit along with Remedial measures of Custom and Central excise Qtrs at Katrak Road, Wadala(W}, Mumbai-reg.</t>
  </si>
  <si>
    <t>280-21</t>
  </si>
  <si>
    <t>Mumbai -I Cus</t>
  </si>
  <si>
    <t>(UID 280-21) A/a &amp; E/s of Rs. 18,76,200/- for Conducting Structural Audit along with remedial measures for Custom Department Qtrs. at Five garden, Matunga, Mumbai-reg.</t>
  </si>
  <si>
    <t>230-21</t>
  </si>
  <si>
    <t>Mumbai Customs Zone-II</t>
  </si>
  <si>
    <t>Mumbai -II JNCH Nhava Sheva</t>
  </si>
  <si>
    <t>A/A &amp; E/s of Rs. 90,19,821/- for providing sprinkler system in the office building and gas based Fire suppression system in servent room at JNCH, Nhava Sheva.</t>
  </si>
  <si>
    <t>092-20</t>
  </si>
  <si>
    <t>CGST 
Nagpur-I</t>
  </si>
  <si>
    <t>A/a &amp; e/s for installation of wet riser system in GST Bhavan at Civil Lines, Nagpur-reg.</t>
  </si>
  <si>
    <t>094-19</t>
  </si>
  <si>
    <t>Revalidation  of submission of PE of Rs.1,65,31,246/- for major repairs of the office building of Commissioner of CGST &amp; C.Ex., Audit Nashik Comm'te, Nashik at Gadkari Chowk, Nashik-reg.</t>
  </si>
  <si>
    <t>237-19</t>
  </si>
  <si>
    <t>Nagpur-I</t>
  </si>
  <si>
    <t>Revalidation of propsoal for total renvoation followed by installation of Cbicles including tilling and window repalcement for preventive Room at GF, Room No. 109 at FF and Room No. 313 at TF of GST Bhavan, Civil Lines, Nagpur involving and expenditure of Rs.80,67,800/-</t>
  </si>
  <si>
    <t>26.11.2021</t>
  </si>
  <si>
    <t>401-16</t>
  </si>
  <si>
    <t>NACIN</t>
  </si>
  <si>
    <t>205-13</t>
  </si>
  <si>
    <t>Construction of RTI NACIN at Attapur, Hyderabad</t>
  </si>
  <si>
    <t>22.11.2021</t>
  </si>
  <si>
    <t>139-19</t>
  </si>
  <si>
    <t>NACIN -FBD</t>
  </si>
  <si>
    <t>Revalidaiton of a/a &amp; E/s of fund of Rs. 1,75,10,700/- for renovation of Mandakani hostel at NACIN, Sector-29, Faridabad-reg.</t>
  </si>
  <si>
    <t>004-14</t>
  </si>
  <si>
    <t>Patna Cus.</t>
  </si>
  <si>
    <t>Patna Cus. (Prev.)</t>
  </si>
  <si>
    <t>Construction of 21 nos. of staff quarters, guest House/ Multi-purpose Hall and Boundary wall at LCS, Raxaul</t>
  </si>
  <si>
    <t>07.10.2021</t>
  </si>
  <si>
    <t>004-16</t>
  </si>
  <si>
    <t>Construction of Residential complex at Land Customs Station jogbani</t>
  </si>
  <si>
    <t>015-20</t>
  </si>
  <si>
    <t>CGST Patna-I</t>
  </si>
  <si>
    <t>Revalidaiton of replacement of window tile UPVC window from ground floor to 4th floor at C.R. Building (Annexe), Birchand Patel Path, Patna-reg.</t>
  </si>
  <si>
    <t>183-21</t>
  </si>
  <si>
    <t>CGST Patna-II</t>
  </si>
  <si>
    <t>A/a &amp; E/s of Rs. 80,65,985/- for Renovation of existing sewer line, Drain, Road, Main water Supply line for Custom &amp;
Central Excise Office and Residential</t>
  </si>
  <si>
    <t>246-19</t>
  </si>
  <si>
    <t xml:space="preserve"> Revalidation of  Providing of Automatic fire alram system at Central Revenue Building (Annexe), Bir Chand Patel Path, Patna-reg.</t>
  </si>
  <si>
    <t>412-21</t>
  </si>
  <si>
    <t xml:space="preserve">CGST Patna-II
</t>
  </si>
  <si>
    <t>A/a &amp; e/s of Rs. 62,12,165/- for providing fire fighting system in Customs &amp; CGST -office, Imlichatti, Muzaffarpur, Bihar-Reg</t>
  </si>
  <si>
    <t>306-19</t>
  </si>
  <si>
    <t>Revalidation of Submission of proposals requring a/a &amp; e/s for repari &amp; maintenance of SITC of 13 passenger lift (G+6 at C.R. Building (Annexe), B.C. Patel Path, Patna-reg.</t>
  </si>
  <si>
    <t>203-20</t>
  </si>
  <si>
    <t>CGST Thiruvananthapuram</t>
  </si>
  <si>
    <t>One time speical repair-renovation of toilets (Civil and Electrical Works) at CGST &amp; Central Excise Comm'te, CGST Bhavan, Thiruvananthapuram-reg.</t>
  </si>
  <si>
    <t>19.08.2021</t>
  </si>
  <si>
    <t>24.09.2021</t>
  </si>
  <si>
    <t>088-19</t>
  </si>
  <si>
    <t xml:space="preserve"> Revalidation of  A/a &amp; E/s for the proposal of upgradation of Customs office buiding (Old Buildings-B Wing), Tuticorin for Rs.58,24,000/-reg.</t>
  </si>
  <si>
    <t>090-19</t>
  </si>
  <si>
    <t>CGST Vadodara-I</t>
  </si>
  <si>
    <t>Revalidation of  Repairs/Upgradaton of fesidential quarters and other works in the campus of CGST Bhawan at Nadiad under Vadodara-I (Gujarat)-reg.</t>
  </si>
  <si>
    <t>003-18</t>
  </si>
  <si>
    <t>Visakhapatnam CGST</t>
  </si>
  <si>
    <t>Tirupati</t>
  </si>
  <si>
    <t>Construction of office building at Anantapur, Andhra Pradesh</t>
  </si>
  <si>
    <t>Oct, 2021</t>
  </si>
  <si>
    <t>129-12</t>
  </si>
  <si>
    <t>Viskhapatnam CGST</t>
  </si>
  <si>
    <t>Construction of 7 nos. Type-IV and Guest House for CGST Division, Kurnool (Tirupati Commissionerate), Andhra Pradesh</t>
  </si>
  <si>
    <t>247-16</t>
  </si>
  <si>
    <t xml:space="preserve">Construction of boundary wall alongwith leveling work &amp; Borewell for office building and staff quarters for CGST Division and ranges at Kadapa </t>
  </si>
  <si>
    <t>08.11.2021</t>
  </si>
  <si>
    <t>284-21</t>
  </si>
  <si>
    <t xml:space="preserve">Construction of compound wall along with gat for GST office building and staff quarters at Tirupati Comm'te </t>
  </si>
  <si>
    <t>14.10.2021</t>
  </si>
  <si>
    <t>002-14</t>
  </si>
  <si>
    <t>Construction of 6 nos. additional residential quarters at Port Area, Tuticorin</t>
  </si>
  <si>
    <t xml:space="preserve">
Tiruchirappalli (P.) Zone</t>
  </si>
  <si>
    <t xml:space="preserve">Tuticorin 
</t>
  </si>
  <si>
    <t>Branch</t>
  </si>
  <si>
    <t>Construction</t>
  </si>
  <si>
    <t>R&amp;M</t>
  </si>
  <si>
    <t>Construction of Office building cum Guest house for Customs Department at the site of Shore Guard, Dwarka, Jamnagar</t>
  </si>
  <si>
    <t xml:space="preserve"> Agra </t>
  </si>
  <si>
    <t>Const. of new office building for CGST Division at Aligarh.</t>
  </si>
  <si>
    <t>09.12.2021</t>
  </si>
  <si>
    <t>Ranchi CGST</t>
  </si>
  <si>
    <t>Ranchi</t>
  </si>
  <si>
    <t>Proposal for (i) Topographical Survey &amp; Soil Investigation  (Rs. 91,200/-) and (ii) Construction of boundary wall, main gate &amp; guard room at HEC area, Nagri, Ranchi (Rs. 1,54,63,000/-)</t>
  </si>
  <si>
    <t>15.12.2021</t>
  </si>
  <si>
    <t>253-07</t>
  </si>
  <si>
    <t>Delhi CGST</t>
  </si>
  <si>
    <t>Payment for providing in new load of 1408KW having BP No. 907775367 at Plot No. 1, Retail Business Centre, Nangal Raya, Janakpuri, New Delhi</t>
  </si>
  <si>
    <t>307-19</t>
  </si>
  <si>
    <t>340-21</t>
  </si>
  <si>
    <t xml:space="preserve">
Delhi (West)
</t>
  </si>
  <si>
    <t>16.12.2021</t>
  </si>
  <si>
    <t>200-18</t>
  </si>
  <si>
    <t>CGST Mangaluru</t>
  </si>
  <si>
    <t>(UID 200-18) Revalidation of proposal seeking a/a &amp; e/s for an estimate cost of Rs.2,49,96,500/- for upgradation of 73 C.Ex. Qtrs. (15 Type-I, 15 Type-II, 30 Type-III, 8 Type-IV and 4 Type-V) at Kankanady, Mangaluru-reg.</t>
  </si>
  <si>
    <t>08.12.2021</t>
  </si>
  <si>
    <t>434-19</t>
  </si>
  <si>
    <t>(UID 434-19) Proposals for modernization of 1 No.13 passengers Lift i/c renovation of toilet, P/F of LED signage board, Water Purfier with water cooler in GF etc. for CGST Building at Bhilai-reg.</t>
  </si>
  <si>
    <t>CGST Bhopal</t>
  </si>
  <si>
    <t>225-20</t>
  </si>
  <si>
    <t>(UID 225-20) Administrative approval and expenditure sanction for purpose of provision of lift facility in Madurai divisional office building as per the impelementation of Accessible India campaign involving a total expenditure of Rs. 44,76,300/-</t>
  </si>
  <si>
    <t>CGST Madurai</t>
  </si>
  <si>
    <t>169-17</t>
  </si>
  <si>
    <t>(UID 169-17) Revalidation of  Upgradation and repair of division office Bldg.at Rajapalayam for a total expenditure of Rs 1,46,04,000/-.</t>
  </si>
  <si>
    <t>326-20</t>
  </si>
  <si>
    <t>(UID 326-20) A/a &amp; e/s for up-gradation of Internal E.I. of 34 Nos. Type-I qtrs. of building No.47 (Central Excise Pool qtrs.)-reg.</t>
  </si>
  <si>
    <t>360-20</t>
  </si>
  <si>
    <t>CGST Thane
Mumbai</t>
  </si>
  <si>
    <t>(UID 360-20) Administrative Approval &amp; Expenditure Sanction of Rs. 49,62,525/- for the work of repairing, reconstruction and increasing height of the boundary wall for the Government's plot bearing city Survey No. 37 &amp; 38 A situated near Kalwa Bridge, and m the custody of CGST &amp; Central Excise, Thane Cotnmissionerate</t>
  </si>
  <si>
    <t>429-21</t>
  </si>
  <si>
    <t>(UID 429-21) A/a &amp; E/s of Rs. 45,54,954/- for Replacemcnt or rising main and panvel in CGST Raigad. New Panvel-reg.</t>
  </si>
  <si>
    <t xml:space="preserve">CGST Raigad
</t>
  </si>
  <si>
    <t>417-21</t>
  </si>
  <si>
    <t>(UID 417-21) A/a &amp; e/s of Rs. 64,92,600/- for Providing 13 Passenger Lift in Custom and Central Excise building at Muzaffarpur-reg.</t>
  </si>
  <si>
    <t>CGST
Patna-II</t>
  </si>
  <si>
    <t>426-21</t>
  </si>
  <si>
    <t>(UID 426-21) A/a &amp; E/s of Rs. 20,78,100/- fro implementation of Accessible India Campaign. SH: Construction of ramp at entrance of main building and conversion of existing Gents toilet at Ground floor for Divyangjan at GST Bhavan, Trivandrum-reg.</t>
  </si>
  <si>
    <t>164-21</t>
  </si>
  <si>
    <t>(UID 164-21) A/a &amp; E/s of Rs.40,43,200/- for providing curtain rods, paver blocks, and mosquito net shutter, qater proofing to roof of all blocks in C.Ex., staff residential quarters, Thrikkakkara-reg.</t>
  </si>
  <si>
    <t>13.12.2021</t>
  </si>
  <si>
    <t>20.12.2021</t>
  </si>
  <si>
    <t>301-19</t>
  </si>
  <si>
    <t>Revalidation of Providing barrier free access (Lift &amp; toilet for disabled persons) to Customs office, Cuddalore-submission of estiamte of A/a &amp; E/s.</t>
  </si>
  <si>
    <t>204-18</t>
  </si>
  <si>
    <t xml:space="preserve">CGST Pune
</t>
  </si>
  <si>
    <t>03.06.2021</t>
  </si>
  <si>
    <t>16.06.2021</t>
  </si>
  <si>
    <t>17.09.2021</t>
  </si>
  <si>
    <t>Bhopal CGST</t>
  </si>
  <si>
    <t>Bengaluru CGST</t>
  </si>
  <si>
    <t xml:space="preserve">Bhubaneswar CGST </t>
  </si>
  <si>
    <t xml:space="preserve"> Kolkata Zone CGST</t>
  </si>
  <si>
    <t xml:space="preserve"> Nagpur CGST</t>
  </si>
  <si>
    <t xml:space="preserve"> Ranchi CGST</t>
  </si>
  <si>
    <t xml:space="preserve"> Thiruvananthapuram CGST</t>
  </si>
  <si>
    <t xml:space="preserve"> Vadodara CGST</t>
  </si>
  <si>
    <t>29.07.2021
&amp;
12.10.2021</t>
  </si>
  <si>
    <t>S.O. No. &amp; Date                    (F.Y. 2021-22)</t>
  </si>
  <si>
    <t>Const./03/Sanction/2021-22
07.06.2021</t>
  </si>
  <si>
    <t>Const./25/Sanction/2021-22
18.08.2021</t>
  </si>
  <si>
    <t>Const./07/Sanction/ 2021-22
18.06.2021</t>
  </si>
  <si>
    <t xml:space="preserve">Const./20/Sanction/2021-22
16.07.2021
&amp;
Const./32/Sanction/2021-22
01.10.2021
</t>
  </si>
  <si>
    <t>Const./08/Sanction/2021-22
18.06.2021</t>
  </si>
  <si>
    <t>Const./29/Sanction/2021-22
03.09.2021</t>
  </si>
  <si>
    <t>Const./12/Sanction/2021-22
23.06.2021</t>
  </si>
  <si>
    <t>Const./04/Sanction/ 2021-22
15.06.2021</t>
  </si>
  <si>
    <t xml:space="preserve">Const./39/Sanction/2021-22
02.12.2021
</t>
  </si>
  <si>
    <t>Const./21/Sanction/2021-22
04.08.2021</t>
  </si>
  <si>
    <t>Const./16/Sanction/2021-22
25.06.2021</t>
  </si>
  <si>
    <t>Const./01/Sanction/2021-22
15.06.2021</t>
  </si>
  <si>
    <t>Const./28/Sanction/2021-22
18.08.2021</t>
  </si>
  <si>
    <t>Const./09/Sanction/2021-22
18.06.2021</t>
  </si>
  <si>
    <t>Const./22/Sanction/2021-22
04.08.2021</t>
  </si>
  <si>
    <t>Const./30Sanction/2021-22
29.09.2021</t>
  </si>
  <si>
    <t xml:space="preserve">Const./38/Sanction/2021-22
30.11.2021
</t>
  </si>
  <si>
    <t xml:space="preserve">Const./37/Sanction/2021-22
18.11.2021
</t>
  </si>
  <si>
    <t>Const./33/Sanction/2021-22
13.10.2021</t>
  </si>
  <si>
    <t>Const./26/Sanction/2021-22
18.08.2021</t>
  </si>
  <si>
    <t>Const./31/Sanction/2021-22
01.10.2021</t>
  </si>
  <si>
    <t>Const./23/Sanction/2021-22
06.08.2021</t>
  </si>
  <si>
    <t>43/2021-22
20.07.2021</t>
  </si>
  <si>
    <t>125/2021-22
18.11.2021</t>
  </si>
  <si>
    <t>42/2021-22
20.07.2021</t>
  </si>
  <si>
    <t>154/2021-22
15.12.2021</t>
  </si>
  <si>
    <t>133/2021-22
24.11.2021</t>
  </si>
  <si>
    <t>66/2021-22
06.08.2021</t>
  </si>
  <si>
    <t>134/2021-22
24.11.2021</t>
  </si>
  <si>
    <t>104/2021-22
20.10.2021</t>
  </si>
  <si>
    <t>91/2021-22
27.09.2021</t>
  </si>
  <si>
    <t>90/2021-22
27.09.2021</t>
  </si>
  <si>
    <t>80/2021-22
13.09.2021</t>
  </si>
  <si>
    <t>49/2021-22
23.07.2021</t>
  </si>
  <si>
    <t>30/2021-22
01.07.2021</t>
  </si>
  <si>
    <t>77/2021-22
10.09.2021</t>
  </si>
  <si>
    <t>124/2021-22
17.11.2021</t>
  </si>
  <si>
    <t>143/2021-22
01.12.2021</t>
  </si>
  <si>
    <t>131/2021-22
24.11.2021</t>
  </si>
  <si>
    <t>119/2021-22
15.11.2021</t>
  </si>
  <si>
    <t>17/2021-22
15.06.2021</t>
  </si>
  <si>
    <t>27/2021-22
25.06.2021</t>
  </si>
  <si>
    <t>39/2021-22
19.07.2021</t>
  </si>
  <si>
    <t>44/2021-22
20.07.2021</t>
  </si>
  <si>
    <t>46/2021-22
22.07.2021</t>
  </si>
  <si>
    <t>54/2021-22
28.07.2021</t>
  </si>
  <si>
    <t>18-2021-22
15.06.2021</t>
  </si>
  <si>
    <t>123-2021-22
16.11.2021</t>
  </si>
  <si>
    <t>147-2021-22
02.12.2021</t>
  </si>
  <si>
    <t>144-2021-22
02.12.2021</t>
  </si>
  <si>
    <t>103/2021-22
20.10.2021</t>
  </si>
  <si>
    <t>11/2021-22
04.06.2021</t>
  </si>
  <si>
    <t>38/2021-22
16.07.2021</t>
  </si>
  <si>
    <t>100/2021-22
13.10.2021</t>
  </si>
  <si>
    <t>115/2021-22
28.10.2021</t>
  </si>
  <si>
    <t>59/2021-22
03.08.2021</t>
  </si>
  <si>
    <t>29/2021-22
25.06.2021</t>
  </si>
  <si>
    <t>02/2021-22
25.05.2021</t>
  </si>
  <si>
    <t>12/2021-22
04.06.2021</t>
  </si>
  <si>
    <t>25/2021-22
17.06.2021</t>
  </si>
  <si>
    <t>41/2021-22
20.07.2021</t>
  </si>
  <si>
    <t>51/2021-22
23.07.2021</t>
  </si>
  <si>
    <t>57/2021-22
03.08.2021</t>
  </si>
  <si>
    <t>58/2021-22
29.07.2021</t>
  </si>
  <si>
    <t>92/2021-22
28.09.2021</t>
  </si>
  <si>
    <t>109/2021-22
21.10.2021</t>
  </si>
  <si>
    <t>146/2021-22
02.12.2021</t>
  </si>
  <si>
    <t>148/2021-22
02.12.2021</t>
  </si>
  <si>
    <t>132/2021-22
24.11.2021</t>
  </si>
  <si>
    <t>96/2021-22
13.10.2021</t>
  </si>
  <si>
    <t>102/2021-22
20.10.2021</t>
  </si>
  <si>
    <t>111/2021-22
21.10.2021</t>
  </si>
  <si>
    <t>101/2121-22
20.10.2021</t>
  </si>
  <si>
    <t>121/2021-22
17.11.2021</t>
  </si>
  <si>
    <t>26/2021-22
18.06.2021</t>
  </si>
  <si>
    <t>28/2021-22
25.06.2021</t>
  </si>
  <si>
    <t>31/2021-22
01.07.2021</t>
  </si>
  <si>
    <t>71/2021-22
13.08.2021</t>
  </si>
  <si>
    <t>16/2021-22
09.06.2021</t>
  </si>
  <si>
    <t>19/2021-22
15.06.2021</t>
  </si>
  <si>
    <t>82/2021-22
17.09.2021</t>
  </si>
  <si>
    <t>449-21</t>
  </si>
  <si>
    <t>Mumbai-I Customs
(Mumbai Cus (General))</t>
  </si>
  <si>
    <t>163/2021-22
20.12.2021</t>
  </si>
  <si>
    <t>23.12.2021</t>
  </si>
  <si>
    <t>127/2021-22
23.11.2021</t>
  </si>
  <si>
    <r>
      <rPr>
        <b/>
        <sz val="12"/>
        <color theme="1"/>
        <rFont val="Calibri Light"/>
        <family val="2"/>
        <scheme val="major"/>
      </rPr>
      <t>(UID 449-21)</t>
    </r>
    <r>
      <rPr>
        <sz val="12"/>
        <color theme="1"/>
        <rFont val="Calibri Light"/>
        <family val="2"/>
        <scheme val="major"/>
      </rPr>
      <t xml:space="preserve"> Preliminary Estimate of up gradation of open areas and parking areas in Custom Colony, Five Garden, Matunga, Mumbai.</t>
    </r>
  </si>
  <si>
    <r>
      <rPr>
        <b/>
        <sz val="10"/>
        <color theme="1"/>
        <rFont val="Calibri Light"/>
        <family val="2"/>
        <scheme val="major"/>
      </rPr>
      <t xml:space="preserve"> Revalidaiton </t>
    </r>
    <r>
      <rPr>
        <sz val="10"/>
        <color theme="1"/>
        <rFont val="Calibri Light"/>
        <family val="2"/>
        <scheme val="major"/>
      </rPr>
      <t xml:space="preserve">proposal for construction of lift and Unisex Accessible Toilets and Ramp for differently abled persons in GST Office, Miraj, Sangli District, Maharashtra. </t>
    </r>
  </si>
  <si>
    <t>Delhi Customs (Prev.)</t>
  </si>
  <si>
    <t>Amritsar Customs (Prev.)</t>
  </si>
  <si>
    <t>Construction of new Customs Post at Swarnjayanti Gate at Attari Border - Deployment of new X-ray Baggage Inspection Systems (XBIS)</t>
  </si>
  <si>
    <t>_</t>
  </si>
  <si>
    <t>27.12.2021</t>
  </si>
  <si>
    <t>Const./41/Sanction/2021-22                              06.12.2021</t>
  </si>
  <si>
    <t>CGST Nashik
(Audit)</t>
  </si>
  <si>
    <t>228-21</t>
  </si>
  <si>
    <t>169/2021-22
30.12.2021</t>
  </si>
  <si>
    <t>04.01.2022</t>
  </si>
  <si>
    <t>14.01.2022</t>
  </si>
  <si>
    <t xml:space="preserve">CGST Siliguri
</t>
  </si>
  <si>
    <t>175/2021-22
14.01.2022</t>
  </si>
  <si>
    <t>480-21</t>
  </si>
  <si>
    <t>171-2021-22
14.01.0222</t>
  </si>
  <si>
    <t>194-20</t>
  </si>
  <si>
    <t>472-21</t>
  </si>
  <si>
    <t xml:space="preserve">15.12.2021
</t>
  </si>
  <si>
    <t xml:space="preserve">Const./19/Sanction/2021-22
02.07.2021
</t>
  </si>
  <si>
    <t xml:space="preserve">02.07.2021 
</t>
  </si>
  <si>
    <t>(UID 480-21) A/a &amp; e/s of Rs. 54,66,300/- for repair renovation of washrooms (2nd, 3rd, 4th &amp; 5th floor of left hand side and 5th &amp; 6th floor of right hand side of stair case) including electrical work at CGST &amp; CX, C.R. Building, Hakimpara, Siliguri, West Bengal-reg.</t>
  </si>
  <si>
    <t>(UID 194-20) Recarpetting the internal roads at Central Excise Quarters Campus at Meenambalpuram, Madurai incurring a cost of Rs.29,65,200/- reg.</t>
  </si>
  <si>
    <r>
      <t xml:space="preserve">Construction of New Academy of NACIN at Palasamudram (V), (Hindupur) Ananthpur Dist., Andhra Pradesh </t>
    </r>
    <r>
      <rPr>
        <b/>
        <sz val="11"/>
        <color theme="1"/>
        <rFont val="Calibri Light"/>
        <family val="2"/>
        <scheme val="major"/>
      </rPr>
      <t>(boundary wall &amp; gate complex</t>
    </r>
    <r>
      <rPr>
        <sz val="11"/>
        <color theme="1"/>
        <rFont val="Calibri Light"/>
        <family val="2"/>
        <scheme val="major"/>
      </rPr>
      <t xml:space="preserve">)                       </t>
    </r>
  </si>
  <si>
    <r>
      <t xml:space="preserve">
Const./48/Sanction/2021-22
21.12.2021 </t>
    </r>
    <r>
      <rPr>
        <b/>
        <sz val="11"/>
        <color theme="1"/>
        <rFont val="Calibri Light"/>
        <family val="2"/>
        <scheme val="major"/>
      </rPr>
      <t>*</t>
    </r>
  </si>
  <si>
    <r>
      <t>Construction of New Academy of NACIN at Palasamudram (V), (Hindupur) Ananthpur Dist., Andhra Pradesh (</t>
    </r>
    <r>
      <rPr>
        <b/>
        <sz val="11"/>
        <color theme="1"/>
        <rFont val="Calibri Light"/>
        <family val="2"/>
        <scheme val="major"/>
      </rPr>
      <t>Consultancy work</t>
    </r>
    <r>
      <rPr>
        <sz val="11"/>
        <color theme="1"/>
        <rFont val="Calibri Light"/>
        <family val="2"/>
        <scheme val="major"/>
      </rPr>
      <t xml:space="preserve">)                       </t>
    </r>
  </si>
  <si>
    <r>
      <rPr>
        <b/>
        <sz val="12"/>
        <color theme="1"/>
        <rFont val="Calibri Light"/>
        <family val="2"/>
        <scheme val="major"/>
      </rPr>
      <t>(UID 228-21)</t>
    </r>
    <r>
      <rPr>
        <sz val="12"/>
        <color theme="1"/>
        <rFont val="Calibri Light"/>
        <family val="2"/>
        <scheme val="major"/>
      </rPr>
      <t xml:space="preserve"> A/a &amp; E/s of Rs. 2,50,70,148/- (1,99,68,000/- + 51,02,148/- for Renovation of Alaknanda Hostel at NACIN Campus, Sector-29, Faridabad. </t>
    </r>
  </si>
  <si>
    <t>Construction of New Academy of NACIN at Palasamudram (V), (Hindupur) Ananthpur Dist., Andhra Pradesh                                                                                                                     (* Initial S.O. dated 03.12.2021 was amended on 21.12.2021)</t>
  </si>
  <si>
    <t>21.06.2021
&amp;
28.01.2022</t>
  </si>
  <si>
    <t>30.06.2021
&amp;
28.01.2022</t>
  </si>
  <si>
    <t>24.06.2021
&amp;
28.01.2022</t>
  </si>
  <si>
    <t>24.08.2021
&amp;
28.01.2022</t>
  </si>
  <si>
    <t>22.06.2021,
22.11.2021
&amp;
28.01.2022</t>
  </si>
  <si>
    <t>31.01.2022
(only for Rs. 0.56 Cr.)</t>
  </si>
  <si>
    <t>28.01.2022</t>
  </si>
  <si>
    <t>17.06.2021
&amp;
28.01.2022</t>
  </si>
  <si>
    <t>09.06.2021
&amp;
28.01.2022</t>
  </si>
  <si>
    <t>22.11.2021
&amp;
28.01.2022</t>
  </si>
  <si>
    <t xml:space="preserve">Const./05/Sanction/2021-22
18.06.2021
/
Const./36/Sanction/2021-22
18.11.2021
&amp;
Const./47/Sanction/2021-22
27.01.2022
</t>
  </si>
  <si>
    <t>Const./13/Sanction/2021-22
18.06.2021
&amp;
Const./51/Sanction/2021-22
27.01.2022</t>
  </si>
  <si>
    <t>Const./34/Sanction/2021-22
18.11.2021
&amp;
Const./46/Sanction/2021-22
27.01.2022</t>
  </si>
  <si>
    <t>Const./02/Sanction/ 2021-22
07.06.2021
&amp;
Const./54/Sanction/2021-22
27.01.2022</t>
  </si>
  <si>
    <t>Const./06/Sanction/ 2021-22
15.06.2021
&amp;
Const./55/Sanction/2021-22
27.01.2022</t>
  </si>
  <si>
    <t>Const./15/Sanction/2021-22
25.06.2021
&amp;
Const./48/Sanction/2021-22
27.01.2022</t>
  </si>
  <si>
    <t>Const./10/Sanction/ 2021-22
18.06.2021
&amp;
Const./56/Sanction/2021-22
27.01.2022</t>
  </si>
  <si>
    <t>Const./11/Sanction/2021-22
18.06.2021
&amp;
Const./53/Sanction/2021-22
27.01.2022</t>
  </si>
  <si>
    <t xml:space="preserve">07.07.2021
&amp;
28.01.2022
</t>
  </si>
  <si>
    <t>Const./18/Sanction/2021-22
29.06.2021
&amp;
Const./52/Sanction/2021-22
27.01.2022</t>
  </si>
  <si>
    <t>Const./14/Sanction/2021-22
22.06.2021
&amp;
Const./49/Sanction/2021-22
27.01.2022</t>
  </si>
  <si>
    <t>Const./24/Sanction/2021-22
13.08.2021
&amp;
Const./50/Sanction/2021-22
27.01.2022</t>
  </si>
  <si>
    <t>Const./27/Sanction/2021-22
18.08.2021
&amp;
Const./57/Sanction/2021-22
27.01.2022</t>
  </si>
  <si>
    <t>408-21</t>
  </si>
  <si>
    <t>Hyderabad CGST</t>
  </si>
  <si>
    <t>Providing Brabed Wire fencing for Central GST land at Sy. No-28, Khajaguda, Scrlingampailly mandal, Rangareddy (Telangana)</t>
  </si>
  <si>
    <t xml:space="preserve">Hyderabad
</t>
  </si>
  <si>
    <t xml:space="preserve">Const./43/Sanction/2021-22
18.01.2022
</t>
  </si>
  <si>
    <t>24.01.2022</t>
  </si>
  <si>
    <t>308-19</t>
  </si>
  <si>
    <t>Construction of combined office cum residential projects for CGST Shillong, Customs (NER) Shillong, CGST Audit Comm'te and NACIN Shillong</t>
  </si>
  <si>
    <t xml:space="preserve">Const./44/Sanction/2021-22
18.01.2022
</t>
  </si>
  <si>
    <t>473-21</t>
  </si>
  <si>
    <t>167/2021-22
186/2021-22
23.12.2021
17.01.2022</t>
  </si>
  <si>
    <r>
      <rPr>
        <b/>
        <sz val="12"/>
        <color theme="1"/>
        <rFont val="Calibri Light"/>
        <family val="2"/>
        <scheme val="major"/>
      </rPr>
      <t xml:space="preserve">(UID 473-21) </t>
    </r>
    <r>
      <rPr>
        <sz val="12"/>
        <color theme="1"/>
        <rFont val="Calibri Light"/>
        <family val="2"/>
        <scheme val="major"/>
      </rPr>
      <t>Prilimanary estate of upgradation of existing street light and pole gate light ang providing illumination to exixting trees, entrances, bunglows, providing opticl fiber cable etc</t>
    </r>
  </si>
  <si>
    <t>496-15</t>
  </si>
  <si>
    <t>176/2021-22
14.01.2022</t>
  </si>
  <si>
    <t>21.01.2022</t>
  </si>
  <si>
    <t>223-19</t>
  </si>
  <si>
    <t>177/2021-22
17.01.2022</t>
  </si>
  <si>
    <r>
      <t xml:space="preserve"> Shillong                                                    </t>
    </r>
    <r>
      <rPr>
        <sz val="12"/>
        <rFont val="Calibri Light"/>
        <family val="2"/>
        <scheme val="major"/>
      </rPr>
      <t xml:space="preserve">                                </t>
    </r>
  </si>
  <si>
    <r>
      <rPr>
        <b/>
        <sz val="12"/>
        <color theme="1"/>
        <rFont val="Calibri Light"/>
        <family val="2"/>
        <scheme val="major"/>
      </rPr>
      <t>(UID 223-19)</t>
    </r>
    <r>
      <rPr>
        <sz val="12"/>
        <color theme="1"/>
        <rFont val="Calibri Light"/>
        <family val="2"/>
        <scheme val="major"/>
      </rPr>
      <t xml:space="preserve"> Structural Repair, Terrace Water proofing, External painting, lift lobbies and staircases of Annexe Building at NCH-reg.</t>
    </r>
  </si>
  <si>
    <r>
      <rPr>
        <b/>
        <sz val="12"/>
        <color theme="1"/>
        <rFont val="Calibri Light"/>
        <family val="2"/>
        <scheme val="major"/>
      </rPr>
      <t xml:space="preserve">(UID 496-15) Revalidation </t>
    </r>
    <r>
      <rPr>
        <sz val="12"/>
        <color theme="1"/>
        <rFont val="Calibri Light"/>
        <family val="2"/>
        <scheme val="major"/>
      </rPr>
      <t>A/a &amp; e/s for the proposal of upgration of Customs office building Tutoicorin.</t>
    </r>
  </si>
  <si>
    <t>481-21</t>
  </si>
  <si>
    <t>185/2021-22
25.01.2022</t>
  </si>
  <si>
    <t>27.01.2022</t>
  </si>
  <si>
    <t>10.12.2021</t>
  </si>
  <si>
    <t>24.07.2021</t>
  </si>
  <si>
    <t>05.01.2022</t>
  </si>
  <si>
    <t>02.07.2021</t>
  </si>
  <si>
    <t>29.12.2021</t>
  </si>
  <si>
    <t>06.01.2022</t>
  </si>
  <si>
    <t>25.11.2021</t>
  </si>
  <si>
    <t>30.12.2021</t>
  </si>
  <si>
    <t>114/2021-22
20.10.2021</t>
  </si>
  <si>
    <t>11.10.2021
&amp;
08.02.2022</t>
  </si>
  <si>
    <t xml:space="preserve">Const./17/Sanction/2021-22
29.06.2021
Const./58/Sanction/2021-22
02.02.2022
</t>
  </si>
  <si>
    <t>07.07.2021
04.02.2022</t>
  </si>
  <si>
    <t>08.09.2021
&amp;
21.01.2022</t>
  </si>
  <si>
    <t>08.02.2022</t>
  </si>
  <si>
    <t>31.01.2022</t>
  </si>
  <si>
    <t>05.07.2021
&amp;
01.02.2022</t>
  </si>
  <si>
    <t>07.07.2021
&amp;
01.02.2022</t>
  </si>
  <si>
    <t>16.07.2021
&amp;
09.02.2022</t>
  </si>
  <si>
    <t>27.07.2021
&amp;
07.02.2022</t>
  </si>
  <si>
    <t>Expenditure status of Infrastructure proposals (Rs. In Crores) as on 15.02.2022</t>
  </si>
  <si>
    <t>09.02.2022</t>
  </si>
  <si>
    <t>500-21</t>
  </si>
  <si>
    <t>04.02.2022</t>
  </si>
  <si>
    <t>187/2021-22
02.02.2022</t>
  </si>
  <si>
    <t>499-21</t>
  </si>
  <si>
    <t>184/2021-22
02.02.2022</t>
  </si>
  <si>
    <t>(UID 481-21) Proposal for obtaining a/a &amp; e/s of Rs. 39,82,200/- for "Upgradation of Foyer area of Central Revenue Building including electrical installation, Hakimpura, Siliguri-reg.</t>
  </si>
  <si>
    <r>
      <rPr>
        <sz val="12"/>
        <color theme="1"/>
        <rFont val="Calibri Light"/>
        <family val="2"/>
        <scheme val="major"/>
      </rPr>
      <t>(UID 500-21)</t>
    </r>
    <r>
      <rPr>
        <b/>
        <sz val="12"/>
        <color theme="1"/>
        <rFont val="Calibri Light"/>
        <family val="2"/>
        <scheme val="major"/>
      </rPr>
      <t xml:space="preserve"> </t>
    </r>
    <r>
      <rPr>
        <sz val="12"/>
        <color theme="1"/>
        <rFont val="Calibri Light"/>
        <family val="2"/>
        <scheme val="major"/>
      </rPr>
      <t>Administrative approval, Expenditure Sanction and providing fund for Rs. 4,09,667/- under Budget Head MH (4059)</t>
    </r>
  </si>
  <si>
    <t>(UID 499-21) A/a &amp; e/s of Rs. 27,15,531/- for replacing old wiring of T-II 24 nos., T-III 32 nos. and T-IV 7 nos. qtrs. of CGST residential complex at Sian, Bolpur, Kolkata -reg.</t>
  </si>
  <si>
    <t>07.07.2021
14.01.2022</t>
  </si>
</sst>
</file>

<file path=xl/styles.xml><?xml version="1.0" encoding="utf-8"?>
<styleSheet xmlns="http://schemas.openxmlformats.org/spreadsheetml/2006/main">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Light"/>
      <family val="2"/>
      <scheme val="major"/>
    </font>
    <font>
      <sz val="11"/>
      <color theme="1"/>
      <name val="Calibri Light"/>
      <family val="2"/>
      <scheme val="major"/>
    </font>
    <font>
      <b/>
      <sz val="11"/>
      <color theme="1"/>
      <name val="Calibri Light"/>
      <family val="2"/>
      <scheme val="major"/>
    </font>
    <font>
      <sz val="12"/>
      <color theme="1"/>
      <name val="Calibri Light"/>
      <family val="2"/>
      <scheme val="major"/>
    </font>
    <font>
      <b/>
      <sz val="12"/>
      <color theme="1"/>
      <name val="Calibri Light"/>
      <family val="2"/>
      <scheme val="major"/>
    </font>
    <font>
      <sz val="10"/>
      <color theme="1"/>
      <name val="Calibri Light"/>
      <family val="2"/>
      <scheme val="major"/>
    </font>
    <font>
      <b/>
      <sz val="10"/>
      <color theme="1"/>
      <name val="Calibri Light"/>
      <family val="2"/>
      <scheme val="major"/>
    </font>
    <font>
      <sz val="12"/>
      <name val="Calibri Light"/>
      <family val="2"/>
      <scheme val="major"/>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19" fillId="0" borderId="10" xfId="0" applyFont="1" applyFill="1" applyBorder="1" applyAlignment="1">
      <alignment horizontal="center" vertical="center" wrapText="1"/>
    </xf>
    <xf numFmtId="0" fontId="0" fillId="0" borderId="0" xfId="0" applyFont="1" applyFill="1" applyAlignment="1">
      <alignment vertical="top" wrapText="1"/>
    </xf>
    <xf numFmtId="0" fontId="20" fillId="0" borderId="10" xfId="0" applyFont="1" applyFill="1" applyBorder="1" applyAlignment="1">
      <alignment horizontal="center" vertical="center" wrapText="1"/>
    </xf>
    <xf numFmtId="2" fontId="19" fillId="0" borderId="10" xfId="0" applyNumberFormat="1"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1" fillId="0" borderId="10" xfId="0" applyFont="1" applyFill="1" applyBorder="1" applyAlignment="1">
      <alignment horizontal="justify" vertical="center" wrapText="1"/>
    </xf>
    <xf numFmtId="0" fontId="23" fillId="0" borderId="10" xfId="0" applyFont="1" applyFill="1" applyBorder="1" applyAlignment="1">
      <alignment horizontal="center" vertical="center" wrapText="1"/>
    </xf>
    <xf numFmtId="0" fontId="21" fillId="0" borderId="10" xfId="0" applyFont="1" applyBorder="1" applyAlignment="1">
      <alignment horizontal="justify" vertical="center" wrapText="1"/>
    </xf>
    <xf numFmtId="0" fontId="21" fillId="0" borderId="10" xfId="0" applyFont="1" applyBorder="1" applyAlignment="1">
      <alignment horizontal="center" vertical="center" wrapText="1"/>
    </xf>
    <xf numFmtId="2" fontId="0" fillId="0" borderId="0" xfId="0" applyNumberFormat="1" applyFont="1" applyFill="1" applyAlignment="1">
      <alignment vertical="top" wrapText="1"/>
    </xf>
    <xf numFmtId="0" fontId="18" fillId="0" borderId="10" xfId="0" applyFont="1" applyFill="1" applyBorder="1" applyAlignment="1">
      <alignment horizontal="center" vertical="top" wrapText="1"/>
    </xf>
    <xf numFmtId="2" fontId="19" fillId="33" borderId="10" xfId="0" applyNumberFormat="1" applyFont="1" applyFill="1" applyBorder="1" applyAlignment="1">
      <alignment horizontal="center" vertical="center" wrapText="1"/>
    </xf>
    <xf numFmtId="0" fontId="19" fillId="33" borderId="10" xfId="0" applyFont="1" applyFill="1" applyBorder="1" applyAlignment="1">
      <alignment horizontal="center" vertical="center" wrapText="1"/>
    </xf>
    <xf numFmtId="0" fontId="26" fillId="33" borderId="10" xfId="0" applyFont="1" applyFill="1" applyBorder="1" applyAlignment="1">
      <alignment horizontal="center" vertical="center" wrapText="1"/>
    </xf>
    <xf numFmtId="2" fontId="21" fillId="33" borderId="10" xfId="0" applyNumberFormat="1" applyFont="1" applyFill="1" applyBorder="1" applyAlignment="1">
      <alignment horizontal="center" vertical="center" wrapText="1"/>
    </xf>
    <xf numFmtId="0" fontId="21" fillId="33" borderId="10" xfId="0" applyFont="1" applyFill="1" applyBorder="1" applyAlignment="1">
      <alignment horizontal="center" vertical="center" wrapText="1"/>
    </xf>
    <xf numFmtId="0" fontId="25" fillId="33"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523875</xdr:colOff>
      <xdr:row>29</xdr:row>
      <xdr:rowOff>0</xdr:rowOff>
    </xdr:from>
    <xdr:ext cx="184731" cy="264560"/>
    <xdr:sp macro="" textlink="">
      <xdr:nvSpPr>
        <xdr:cNvPr id="2" name="TextBox 1">
          <a:extLst>
            <a:ext uri="{FF2B5EF4-FFF2-40B4-BE49-F238E27FC236}">
              <a16:creationId xmlns:a16="http://schemas.microsoft.com/office/drawing/2014/main" xmlns="" id="{00000000-0008-0000-0000-00000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 name="TextBox 2">
          <a:extLst>
            <a:ext uri="{FF2B5EF4-FFF2-40B4-BE49-F238E27FC236}">
              <a16:creationId xmlns:a16="http://schemas.microsoft.com/office/drawing/2014/main" xmlns="" id="{00000000-0008-0000-0000-000003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4" name="TextBox 3">
          <a:extLst>
            <a:ext uri="{FF2B5EF4-FFF2-40B4-BE49-F238E27FC236}">
              <a16:creationId xmlns:a16="http://schemas.microsoft.com/office/drawing/2014/main" xmlns="" id="{00000000-0008-0000-0000-00000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5" name="TextBox 4">
          <a:extLst>
            <a:ext uri="{FF2B5EF4-FFF2-40B4-BE49-F238E27FC236}">
              <a16:creationId xmlns:a16="http://schemas.microsoft.com/office/drawing/2014/main" xmlns="" id="{00000000-0008-0000-0000-00000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6" name="TextBox 5">
          <a:extLst>
            <a:ext uri="{FF2B5EF4-FFF2-40B4-BE49-F238E27FC236}">
              <a16:creationId xmlns:a16="http://schemas.microsoft.com/office/drawing/2014/main" xmlns="" id="{00000000-0008-0000-0000-00000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7" name="TextBox 6">
          <a:extLst>
            <a:ext uri="{FF2B5EF4-FFF2-40B4-BE49-F238E27FC236}">
              <a16:creationId xmlns:a16="http://schemas.microsoft.com/office/drawing/2014/main" xmlns="" id="{00000000-0008-0000-0000-000007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8" name="TextBox 7">
          <a:extLst>
            <a:ext uri="{FF2B5EF4-FFF2-40B4-BE49-F238E27FC236}">
              <a16:creationId xmlns:a16="http://schemas.microsoft.com/office/drawing/2014/main" xmlns="" id="{00000000-0008-0000-0000-000008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9" name="TextBox 8">
          <a:extLst>
            <a:ext uri="{FF2B5EF4-FFF2-40B4-BE49-F238E27FC236}">
              <a16:creationId xmlns:a16="http://schemas.microsoft.com/office/drawing/2014/main" xmlns="" id="{00000000-0008-0000-0000-000009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0" name="TextBox 9">
          <a:extLst>
            <a:ext uri="{FF2B5EF4-FFF2-40B4-BE49-F238E27FC236}">
              <a16:creationId xmlns:a16="http://schemas.microsoft.com/office/drawing/2014/main" xmlns="" id="{00000000-0008-0000-0000-00000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1" name="TextBox 10">
          <a:extLst>
            <a:ext uri="{FF2B5EF4-FFF2-40B4-BE49-F238E27FC236}">
              <a16:creationId xmlns:a16="http://schemas.microsoft.com/office/drawing/2014/main" xmlns="" id="{00000000-0008-0000-0000-00000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2" name="TextBox 11">
          <a:extLst>
            <a:ext uri="{FF2B5EF4-FFF2-40B4-BE49-F238E27FC236}">
              <a16:creationId xmlns:a16="http://schemas.microsoft.com/office/drawing/2014/main" xmlns="" id="{00000000-0008-0000-0000-00000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3" name="TextBox 12">
          <a:extLst>
            <a:ext uri="{FF2B5EF4-FFF2-40B4-BE49-F238E27FC236}">
              <a16:creationId xmlns:a16="http://schemas.microsoft.com/office/drawing/2014/main" xmlns="" id="{00000000-0008-0000-0000-00000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4" name="TextBox 13">
          <a:extLst>
            <a:ext uri="{FF2B5EF4-FFF2-40B4-BE49-F238E27FC236}">
              <a16:creationId xmlns:a16="http://schemas.microsoft.com/office/drawing/2014/main" xmlns="" id="{00000000-0008-0000-0000-00000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5" name="TextBox 14">
          <a:extLst>
            <a:ext uri="{FF2B5EF4-FFF2-40B4-BE49-F238E27FC236}">
              <a16:creationId xmlns:a16="http://schemas.microsoft.com/office/drawing/2014/main" xmlns="" id="{00000000-0008-0000-0000-00000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6" name="TextBox 15">
          <a:extLst>
            <a:ext uri="{FF2B5EF4-FFF2-40B4-BE49-F238E27FC236}">
              <a16:creationId xmlns:a16="http://schemas.microsoft.com/office/drawing/2014/main" xmlns="" id="{00000000-0008-0000-0000-00001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7" name="TextBox 16">
          <a:extLst>
            <a:ext uri="{FF2B5EF4-FFF2-40B4-BE49-F238E27FC236}">
              <a16:creationId xmlns:a16="http://schemas.microsoft.com/office/drawing/2014/main" xmlns="" id="{00000000-0008-0000-0000-000011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8" name="TextBox 17">
          <a:extLst>
            <a:ext uri="{FF2B5EF4-FFF2-40B4-BE49-F238E27FC236}">
              <a16:creationId xmlns:a16="http://schemas.microsoft.com/office/drawing/2014/main" xmlns="" id="{00000000-0008-0000-0000-000012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9" name="TextBox 18">
          <a:extLst>
            <a:ext uri="{FF2B5EF4-FFF2-40B4-BE49-F238E27FC236}">
              <a16:creationId xmlns:a16="http://schemas.microsoft.com/office/drawing/2014/main" xmlns="" id="{00000000-0008-0000-0000-000013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0" name="TextBox 19">
          <a:extLst>
            <a:ext uri="{FF2B5EF4-FFF2-40B4-BE49-F238E27FC236}">
              <a16:creationId xmlns:a16="http://schemas.microsoft.com/office/drawing/2014/main" xmlns="" id="{00000000-0008-0000-0000-00001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1" name="TextBox 20">
          <a:extLst>
            <a:ext uri="{FF2B5EF4-FFF2-40B4-BE49-F238E27FC236}">
              <a16:creationId xmlns:a16="http://schemas.microsoft.com/office/drawing/2014/main" xmlns="" id="{00000000-0008-0000-0000-00001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2" name="TextBox 21">
          <a:extLst>
            <a:ext uri="{FF2B5EF4-FFF2-40B4-BE49-F238E27FC236}">
              <a16:creationId xmlns:a16="http://schemas.microsoft.com/office/drawing/2014/main" xmlns="" id="{00000000-0008-0000-0000-00001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3" name="TextBox 22">
          <a:extLst>
            <a:ext uri="{FF2B5EF4-FFF2-40B4-BE49-F238E27FC236}">
              <a16:creationId xmlns:a16="http://schemas.microsoft.com/office/drawing/2014/main" xmlns="" id="{00000000-0008-0000-0000-000017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4" name="TextBox 23">
          <a:extLst>
            <a:ext uri="{FF2B5EF4-FFF2-40B4-BE49-F238E27FC236}">
              <a16:creationId xmlns:a16="http://schemas.microsoft.com/office/drawing/2014/main" xmlns="" id="{00000000-0008-0000-0000-000018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5" name="TextBox 24">
          <a:extLst>
            <a:ext uri="{FF2B5EF4-FFF2-40B4-BE49-F238E27FC236}">
              <a16:creationId xmlns:a16="http://schemas.microsoft.com/office/drawing/2014/main" xmlns="" id="{00000000-0008-0000-0000-000019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6" name="TextBox 25">
          <a:extLst>
            <a:ext uri="{FF2B5EF4-FFF2-40B4-BE49-F238E27FC236}">
              <a16:creationId xmlns:a16="http://schemas.microsoft.com/office/drawing/2014/main" xmlns="" id="{00000000-0008-0000-0000-00001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7" name="TextBox 26">
          <a:extLst>
            <a:ext uri="{FF2B5EF4-FFF2-40B4-BE49-F238E27FC236}">
              <a16:creationId xmlns:a16="http://schemas.microsoft.com/office/drawing/2014/main" xmlns="" id="{00000000-0008-0000-0000-00001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8" name="TextBox 27">
          <a:extLst>
            <a:ext uri="{FF2B5EF4-FFF2-40B4-BE49-F238E27FC236}">
              <a16:creationId xmlns:a16="http://schemas.microsoft.com/office/drawing/2014/main" xmlns="" id="{00000000-0008-0000-0000-00001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9" name="TextBox 28">
          <a:extLst>
            <a:ext uri="{FF2B5EF4-FFF2-40B4-BE49-F238E27FC236}">
              <a16:creationId xmlns:a16="http://schemas.microsoft.com/office/drawing/2014/main" xmlns="" id="{00000000-0008-0000-0000-00001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0" name="TextBox 29">
          <a:extLst>
            <a:ext uri="{FF2B5EF4-FFF2-40B4-BE49-F238E27FC236}">
              <a16:creationId xmlns:a16="http://schemas.microsoft.com/office/drawing/2014/main" xmlns="" id="{00000000-0008-0000-0000-00001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1" name="TextBox 30">
          <a:extLst>
            <a:ext uri="{FF2B5EF4-FFF2-40B4-BE49-F238E27FC236}">
              <a16:creationId xmlns:a16="http://schemas.microsoft.com/office/drawing/2014/main" xmlns="" id="{00000000-0008-0000-0000-00001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2" name="TextBox 31">
          <a:extLst>
            <a:ext uri="{FF2B5EF4-FFF2-40B4-BE49-F238E27FC236}">
              <a16:creationId xmlns:a16="http://schemas.microsoft.com/office/drawing/2014/main" xmlns="" id="{00000000-0008-0000-0000-00002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3" name="TextBox 32">
          <a:extLst>
            <a:ext uri="{FF2B5EF4-FFF2-40B4-BE49-F238E27FC236}">
              <a16:creationId xmlns:a16="http://schemas.microsoft.com/office/drawing/2014/main" xmlns="" id="{00000000-0008-0000-0000-000021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4" name="TextBox 33">
          <a:extLst>
            <a:ext uri="{FF2B5EF4-FFF2-40B4-BE49-F238E27FC236}">
              <a16:creationId xmlns:a16="http://schemas.microsoft.com/office/drawing/2014/main" xmlns="" id="{00000000-0008-0000-0000-00002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5" name="TextBox 34">
          <a:extLst>
            <a:ext uri="{FF2B5EF4-FFF2-40B4-BE49-F238E27FC236}">
              <a16:creationId xmlns:a16="http://schemas.microsoft.com/office/drawing/2014/main" xmlns="" id="{00000000-0008-0000-0000-00002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6" name="TextBox 35">
          <a:extLst>
            <a:ext uri="{FF2B5EF4-FFF2-40B4-BE49-F238E27FC236}">
              <a16:creationId xmlns:a16="http://schemas.microsoft.com/office/drawing/2014/main" xmlns="" id="{00000000-0008-0000-0000-00002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7" name="TextBox 36">
          <a:extLst>
            <a:ext uri="{FF2B5EF4-FFF2-40B4-BE49-F238E27FC236}">
              <a16:creationId xmlns:a16="http://schemas.microsoft.com/office/drawing/2014/main" xmlns="" id="{00000000-0008-0000-0000-00002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8" name="TextBox 37">
          <a:extLst>
            <a:ext uri="{FF2B5EF4-FFF2-40B4-BE49-F238E27FC236}">
              <a16:creationId xmlns:a16="http://schemas.microsoft.com/office/drawing/2014/main" xmlns="" id="{00000000-0008-0000-0000-00002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9" name="TextBox 38">
          <a:extLst>
            <a:ext uri="{FF2B5EF4-FFF2-40B4-BE49-F238E27FC236}">
              <a16:creationId xmlns:a16="http://schemas.microsoft.com/office/drawing/2014/main" xmlns="" id="{00000000-0008-0000-0000-00002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0" name="TextBox 39">
          <a:extLst>
            <a:ext uri="{FF2B5EF4-FFF2-40B4-BE49-F238E27FC236}">
              <a16:creationId xmlns:a16="http://schemas.microsoft.com/office/drawing/2014/main" xmlns="" id="{00000000-0008-0000-0000-00002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1" name="TextBox 40">
          <a:extLst>
            <a:ext uri="{FF2B5EF4-FFF2-40B4-BE49-F238E27FC236}">
              <a16:creationId xmlns:a16="http://schemas.microsoft.com/office/drawing/2014/main" xmlns="" id="{00000000-0008-0000-0000-00002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2" name="TextBox 41">
          <a:extLst>
            <a:ext uri="{FF2B5EF4-FFF2-40B4-BE49-F238E27FC236}">
              <a16:creationId xmlns:a16="http://schemas.microsoft.com/office/drawing/2014/main" xmlns="" id="{00000000-0008-0000-0000-00002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3" name="TextBox 42">
          <a:extLst>
            <a:ext uri="{FF2B5EF4-FFF2-40B4-BE49-F238E27FC236}">
              <a16:creationId xmlns:a16="http://schemas.microsoft.com/office/drawing/2014/main" xmlns="" id="{00000000-0008-0000-0000-00002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4" name="TextBox 43">
          <a:extLst>
            <a:ext uri="{FF2B5EF4-FFF2-40B4-BE49-F238E27FC236}">
              <a16:creationId xmlns:a16="http://schemas.microsoft.com/office/drawing/2014/main" xmlns="" id="{00000000-0008-0000-0000-00002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5" name="TextBox 44">
          <a:extLst>
            <a:ext uri="{FF2B5EF4-FFF2-40B4-BE49-F238E27FC236}">
              <a16:creationId xmlns:a16="http://schemas.microsoft.com/office/drawing/2014/main" xmlns="" id="{00000000-0008-0000-0000-00002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6" name="TextBox 45">
          <a:extLst>
            <a:ext uri="{FF2B5EF4-FFF2-40B4-BE49-F238E27FC236}">
              <a16:creationId xmlns:a16="http://schemas.microsoft.com/office/drawing/2014/main" xmlns="" id="{00000000-0008-0000-0000-00002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7" name="TextBox 46">
          <a:extLst>
            <a:ext uri="{FF2B5EF4-FFF2-40B4-BE49-F238E27FC236}">
              <a16:creationId xmlns:a16="http://schemas.microsoft.com/office/drawing/2014/main" xmlns="" id="{00000000-0008-0000-0000-00002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8" name="TextBox 47">
          <a:extLst>
            <a:ext uri="{FF2B5EF4-FFF2-40B4-BE49-F238E27FC236}">
              <a16:creationId xmlns:a16="http://schemas.microsoft.com/office/drawing/2014/main" xmlns="" id="{00000000-0008-0000-0000-00003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9" name="TextBox 48">
          <a:extLst>
            <a:ext uri="{FF2B5EF4-FFF2-40B4-BE49-F238E27FC236}">
              <a16:creationId xmlns:a16="http://schemas.microsoft.com/office/drawing/2014/main" xmlns="" id="{00000000-0008-0000-0000-00003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0" name="TextBox 49">
          <a:extLst>
            <a:ext uri="{FF2B5EF4-FFF2-40B4-BE49-F238E27FC236}">
              <a16:creationId xmlns:a16="http://schemas.microsoft.com/office/drawing/2014/main" xmlns="" id="{00000000-0008-0000-0000-00003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1" name="TextBox 50">
          <a:extLst>
            <a:ext uri="{FF2B5EF4-FFF2-40B4-BE49-F238E27FC236}">
              <a16:creationId xmlns:a16="http://schemas.microsoft.com/office/drawing/2014/main" xmlns="" id="{00000000-0008-0000-0000-00003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2" name="TextBox 51">
          <a:extLst>
            <a:ext uri="{FF2B5EF4-FFF2-40B4-BE49-F238E27FC236}">
              <a16:creationId xmlns:a16="http://schemas.microsoft.com/office/drawing/2014/main" xmlns="" id="{00000000-0008-0000-0000-00003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3" name="TextBox 52">
          <a:extLst>
            <a:ext uri="{FF2B5EF4-FFF2-40B4-BE49-F238E27FC236}">
              <a16:creationId xmlns:a16="http://schemas.microsoft.com/office/drawing/2014/main" xmlns="" id="{00000000-0008-0000-0000-00003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4" name="TextBox 53">
          <a:extLst>
            <a:ext uri="{FF2B5EF4-FFF2-40B4-BE49-F238E27FC236}">
              <a16:creationId xmlns:a16="http://schemas.microsoft.com/office/drawing/2014/main" xmlns="" id="{00000000-0008-0000-0000-00003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5" name="TextBox 54">
          <a:extLst>
            <a:ext uri="{FF2B5EF4-FFF2-40B4-BE49-F238E27FC236}">
              <a16:creationId xmlns:a16="http://schemas.microsoft.com/office/drawing/2014/main" xmlns="" id="{00000000-0008-0000-0000-00003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6" name="TextBox 55">
          <a:extLst>
            <a:ext uri="{FF2B5EF4-FFF2-40B4-BE49-F238E27FC236}">
              <a16:creationId xmlns:a16="http://schemas.microsoft.com/office/drawing/2014/main" xmlns="" id="{00000000-0008-0000-0000-00003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7" name="TextBox 56">
          <a:extLst>
            <a:ext uri="{FF2B5EF4-FFF2-40B4-BE49-F238E27FC236}">
              <a16:creationId xmlns:a16="http://schemas.microsoft.com/office/drawing/2014/main" xmlns="" id="{00000000-0008-0000-0000-00003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8" name="TextBox 57">
          <a:extLst>
            <a:ext uri="{FF2B5EF4-FFF2-40B4-BE49-F238E27FC236}">
              <a16:creationId xmlns:a16="http://schemas.microsoft.com/office/drawing/2014/main" xmlns="" id="{00000000-0008-0000-0000-00003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9" name="TextBox 58">
          <a:extLst>
            <a:ext uri="{FF2B5EF4-FFF2-40B4-BE49-F238E27FC236}">
              <a16:creationId xmlns:a16="http://schemas.microsoft.com/office/drawing/2014/main" xmlns="" id="{00000000-0008-0000-0000-00003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0" name="TextBox 59">
          <a:extLst>
            <a:ext uri="{FF2B5EF4-FFF2-40B4-BE49-F238E27FC236}">
              <a16:creationId xmlns:a16="http://schemas.microsoft.com/office/drawing/2014/main" xmlns="" id="{00000000-0008-0000-0000-00003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1" name="TextBox 60">
          <a:extLst>
            <a:ext uri="{FF2B5EF4-FFF2-40B4-BE49-F238E27FC236}">
              <a16:creationId xmlns:a16="http://schemas.microsoft.com/office/drawing/2014/main" xmlns="" id="{00000000-0008-0000-0000-00003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2" name="TextBox 61">
          <a:extLst>
            <a:ext uri="{FF2B5EF4-FFF2-40B4-BE49-F238E27FC236}">
              <a16:creationId xmlns:a16="http://schemas.microsoft.com/office/drawing/2014/main" xmlns="" id="{00000000-0008-0000-0000-00003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3" name="TextBox 62">
          <a:extLst>
            <a:ext uri="{FF2B5EF4-FFF2-40B4-BE49-F238E27FC236}">
              <a16:creationId xmlns:a16="http://schemas.microsoft.com/office/drawing/2014/main" xmlns="" id="{00000000-0008-0000-0000-00003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4" name="TextBox 63">
          <a:extLst>
            <a:ext uri="{FF2B5EF4-FFF2-40B4-BE49-F238E27FC236}">
              <a16:creationId xmlns:a16="http://schemas.microsoft.com/office/drawing/2014/main" xmlns="" id="{00000000-0008-0000-0000-00004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5" name="TextBox 64">
          <a:extLst>
            <a:ext uri="{FF2B5EF4-FFF2-40B4-BE49-F238E27FC236}">
              <a16:creationId xmlns:a16="http://schemas.microsoft.com/office/drawing/2014/main" xmlns="" id="{00000000-0008-0000-0000-00004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6" name="TextBox 65">
          <a:extLst>
            <a:ext uri="{FF2B5EF4-FFF2-40B4-BE49-F238E27FC236}">
              <a16:creationId xmlns:a16="http://schemas.microsoft.com/office/drawing/2014/main" xmlns="" id="{00000000-0008-0000-0000-00004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7" name="TextBox 66">
          <a:extLst>
            <a:ext uri="{FF2B5EF4-FFF2-40B4-BE49-F238E27FC236}">
              <a16:creationId xmlns:a16="http://schemas.microsoft.com/office/drawing/2014/main" xmlns="" id="{00000000-0008-0000-0000-00004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8" name="TextBox 67">
          <a:extLst>
            <a:ext uri="{FF2B5EF4-FFF2-40B4-BE49-F238E27FC236}">
              <a16:creationId xmlns:a16="http://schemas.microsoft.com/office/drawing/2014/main" xmlns="" id="{00000000-0008-0000-0000-00004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9" name="TextBox 68">
          <a:extLst>
            <a:ext uri="{FF2B5EF4-FFF2-40B4-BE49-F238E27FC236}">
              <a16:creationId xmlns:a16="http://schemas.microsoft.com/office/drawing/2014/main" xmlns="" id="{00000000-0008-0000-0000-00004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O116"/>
  <sheetViews>
    <sheetView tabSelected="1" view="pageBreakPreview" zoomScaleSheetLayoutView="100" workbookViewId="0">
      <pane xSplit="15" ySplit="2" topLeftCell="P111" activePane="bottomRight" state="frozen"/>
      <selection pane="topRight" activeCell="O1" sqref="O1"/>
      <selection pane="bottomLeft" activeCell="A3" sqref="A3"/>
      <selection pane="bottomRight" activeCell="I114" sqref="I114"/>
    </sheetView>
  </sheetViews>
  <sheetFormatPr defaultRowHeight="15"/>
  <cols>
    <col min="1" max="1" width="5.140625" style="2" customWidth="1"/>
    <col min="2" max="2" width="9.140625" style="2"/>
    <col min="3" max="3" width="14.7109375" style="2" customWidth="1"/>
    <col min="4" max="4" width="11.28515625" style="2" customWidth="1"/>
    <col min="5" max="5" width="45.85546875" style="2" customWidth="1"/>
    <col min="6" max="6" width="11.85546875" style="2" customWidth="1"/>
    <col min="7" max="7" width="8" style="2" customWidth="1"/>
    <col min="8" max="8" width="9.140625" style="2"/>
    <col min="9" max="9" width="9.7109375" style="2" customWidth="1"/>
    <col min="10" max="10" width="19.7109375" style="2" customWidth="1"/>
    <col min="11" max="11" width="13" style="2" customWidth="1"/>
    <col min="12" max="12" width="8.7109375" style="2" customWidth="1"/>
    <col min="13" max="13" width="11.28515625" style="2" customWidth="1"/>
    <col min="14" max="16384" width="9.140625" style="2"/>
  </cols>
  <sheetData>
    <row r="1" spans="1:15" ht="24" customHeight="1">
      <c r="A1" s="11" t="s">
        <v>569</v>
      </c>
      <c r="B1" s="11"/>
      <c r="C1" s="11"/>
      <c r="D1" s="11"/>
      <c r="E1" s="11"/>
      <c r="F1" s="11"/>
      <c r="G1" s="11"/>
      <c r="H1" s="11"/>
      <c r="I1" s="11"/>
      <c r="J1" s="11"/>
      <c r="K1" s="11"/>
      <c r="L1" s="11"/>
      <c r="M1" s="11"/>
      <c r="N1" s="11"/>
      <c r="O1" s="11"/>
    </row>
    <row r="2" spans="1:15" ht="90">
      <c r="A2" s="3" t="s">
        <v>0</v>
      </c>
      <c r="B2" s="3" t="s">
        <v>1</v>
      </c>
      <c r="C2" s="3" t="s">
        <v>2</v>
      </c>
      <c r="D2" s="3" t="s">
        <v>3</v>
      </c>
      <c r="E2" s="3" t="s">
        <v>4</v>
      </c>
      <c r="F2" s="3" t="s">
        <v>325</v>
      </c>
      <c r="G2" s="3" t="s">
        <v>5</v>
      </c>
      <c r="H2" s="3" t="s">
        <v>6</v>
      </c>
      <c r="I2" s="3" t="s">
        <v>7</v>
      </c>
      <c r="J2" s="3" t="s">
        <v>388</v>
      </c>
      <c r="K2" s="3" t="s">
        <v>8</v>
      </c>
      <c r="L2" s="3" t="s">
        <v>9</v>
      </c>
      <c r="M2" s="3" t="s">
        <v>10</v>
      </c>
      <c r="N2" s="3" t="s">
        <v>11</v>
      </c>
      <c r="O2" s="3" t="s">
        <v>12</v>
      </c>
    </row>
    <row r="3" spans="1:15">
      <c r="A3" s="3">
        <v>1</v>
      </c>
      <c r="B3" s="3">
        <v>2</v>
      </c>
      <c r="C3" s="3">
        <v>3</v>
      </c>
      <c r="D3" s="3">
        <v>4</v>
      </c>
      <c r="E3" s="3">
        <v>5</v>
      </c>
      <c r="F3" s="3">
        <v>6</v>
      </c>
      <c r="G3" s="3">
        <v>7</v>
      </c>
      <c r="H3" s="3">
        <v>8</v>
      </c>
      <c r="I3" s="3">
        <v>9</v>
      </c>
      <c r="J3" s="3">
        <v>10</v>
      </c>
      <c r="K3" s="3">
        <v>11</v>
      </c>
      <c r="L3" s="3">
        <v>12</v>
      </c>
      <c r="M3" s="3">
        <v>13</v>
      </c>
      <c r="N3" s="3">
        <v>14</v>
      </c>
      <c r="O3" s="3">
        <v>15</v>
      </c>
    </row>
    <row r="4" spans="1:15" ht="180">
      <c r="A4" s="1">
        <v>1</v>
      </c>
      <c r="B4" s="1" t="s">
        <v>13</v>
      </c>
      <c r="C4" s="1" t="s">
        <v>14</v>
      </c>
      <c r="D4" s="1" t="s">
        <v>15</v>
      </c>
      <c r="E4" s="1" t="s">
        <v>16</v>
      </c>
      <c r="F4" s="1" t="s">
        <v>326</v>
      </c>
      <c r="G4" s="1">
        <v>43.67</v>
      </c>
      <c r="H4" s="1">
        <v>28.7</v>
      </c>
      <c r="I4" s="4">
        <v>11</v>
      </c>
      <c r="J4" s="4" t="s">
        <v>514</v>
      </c>
      <c r="K4" s="1" t="s">
        <v>508</v>
      </c>
      <c r="L4" s="1" t="s">
        <v>18</v>
      </c>
      <c r="M4" s="1" t="s">
        <v>19</v>
      </c>
      <c r="N4" s="12">
        <v>7.93</v>
      </c>
      <c r="O4" s="4">
        <f>+I4-N4</f>
        <v>3.0700000000000003</v>
      </c>
    </row>
    <row r="5" spans="1:15" ht="60">
      <c r="A5" s="1">
        <v>2</v>
      </c>
      <c r="B5" s="1" t="s">
        <v>20</v>
      </c>
      <c r="C5" s="1" t="s">
        <v>14</v>
      </c>
      <c r="D5" s="1" t="s">
        <v>21</v>
      </c>
      <c r="E5" s="1" t="s">
        <v>328</v>
      </c>
      <c r="F5" s="1" t="s">
        <v>326</v>
      </c>
      <c r="G5" s="1">
        <v>1.24</v>
      </c>
      <c r="H5" s="1">
        <v>0.4</v>
      </c>
      <c r="I5" s="4">
        <v>0.5</v>
      </c>
      <c r="J5" s="4" t="s">
        <v>389</v>
      </c>
      <c r="K5" s="1" t="s">
        <v>22</v>
      </c>
      <c r="L5" s="1" t="s">
        <v>18</v>
      </c>
      <c r="M5" s="1" t="s">
        <v>23</v>
      </c>
      <c r="N5" s="4">
        <v>0.49</v>
      </c>
      <c r="O5" s="4">
        <f t="shared" ref="O5:O80" si="0">+I5-N5</f>
        <v>1.0000000000000009E-2</v>
      </c>
    </row>
    <row r="6" spans="1:15" ht="75">
      <c r="A6" s="1">
        <v>3</v>
      </c>
      <c r="B6" s="1" t="s">
        <v>24</v>
      </c>
      <c r="C6" s="1" t="s">
        <v>380</v>
      </c>
      <c r="D6" s="1" t="s">
        <v>25</v>
      </c>
      <c r="E6" s="1" t="s">
        <v>26</v>
      </c>
      <c r="F6" s="1" t="s">
        <v>327</v>
      </c>
      <c r="G6" s="1">
        <v>0.23</v>
      </c>
      <c r="H6" s="1" t="s">
        <v>27</v>
      </c>
      <c r="I6" s="4">
        <v>0.23</v>
      </c>
      <c r="J6" s="1" t="s">
        <v>423</v>
      </c>
      <c r="K6" s="1" t="s">
        <v>28</v>
      </c>
      <c r="L6" s="1" t="s">
        <v>18</v>
      </c>
      <c r="M6" s="1" t="s">
        <v>29</v>
      </c>
      <c r="N6" s="4">
        <v>0</v>
      </c>
      <c r="O6" s="4">
        <f t="shared" si="0"/>
        <v>0.23</v>
      </c>
    </row>
    <row r="7" spans="1:15" ht="45">
      <c r="A7" s="1">
        <v>4</v>
      </c>
      <c r="B7" s="1" t="s">
        <v>30</v>
      </c>
      <c r="C7" s="1" t="s">
        <v>380</v>
      </c>
      <c r="D7" s="1" t="s">
        <v>31</v>
      </c>
      <c r="E7" s="1" t="s">
        <v>32</v>
      </c>
      <c r="F7" s="1" t="s">
        <v>327</v>
      </c>
      <c r="G7" s="1">
        <v>0.68</v>
      </c>
      <c r="H7" s="1" t="s">
        <v>27</v>
      </c>
      <c r="I7" s="4">
        <v>0.02</v>
      </c>
      <c r="J7" s="1" t="s">
        <v>424</v>
      </c>
      <c r="K7" s="1" t="s">
        <v>33</v>
      </c>
      <c r="L7" s="1" t="s">
        <v>34</v>
      </c>
      <c r="M7" s="1" t="s">
        <v>35</v>
      </c>
      <c r="N7" s="4" t="s">
        <v>35</v>
      </c>
      <c r="O7" s="4">
        <v>0.02</v>
      </c>
    </row>
    <row r="8" spans="1:15" ht="60">
      <c r="A8" s="1">
        <v>5</v>
      </c>
      <c r="B8" s="1" t="s">
        <v>36</v>
      </c>
      <c r="C8" s="1" t="s">
        <v>380</v>
      </c>
      <c r="D8" s="1" t="s">
        <v>37</v>
      </c>
      <c r="E8" s="1" t="s">
        <v>38</v>
      </c>
      <c r="F8" s="1" t="s">
        <v>327</v>
      </c>
      <c r="G8" s="1">
        <v>3.55</v>
      </c>
      <c r="H8" s="1" t="s">
        <v>27</v>
      </c>
      <c r="I8" s="4">
        <v>1.55</v>
      </c>
      <c r="J8" s="1" t="s">
        <v>425</v>
      </c>
      <c r="K8" s="1" t="s">
        <v>39</v>
      </c>
      <c r="L8" s="1" t="s">
        <v>18</v>
      </c>
      <c r="M8" s="1" t="s">
        <v>342</v>
      </c>
      <c r="N8" s="4" t="s">
        <v>35</v>
      </c>
      <c r="O8" s="4">
        <v>1.55</v>
      </c>
    </row>
    <row r="9" spans="1:15" ht="75">
      <c r="A9" s="1">
        <v>6</v>
      </c>
      <c r="B9" s="1" t="s">
        <v>343</v>
      </c>
      <c r="C9" s="1" t="s">
        <v>380</v>
      </c>
      <c r="D9" s="1" t="s">
        <v>344</v>
      </c>
      <c r="E9" s="1" t="s">
        <v>345</v>
      </c>
      <c r="F9" s="1" t="s">
        <v>327</v>
      </c>
      <c r="G9" s="1">
        <v>2.21</v>
      </c>
      <c r="H9" s="1" t="s">
        <v>27</v>
      </c>
      <c r="I9" s="4">
        <v>2.21</v>
      </c>
      <c r="J9" s="1" t="s">
        <v>426</v>
      </c>
      <c r="K9" s="1" t="s">
        <v>346</v>
      </c>
      <c r="L9" s="1" t="s">
        <v>34</v>
      </c>
      <c r="M9" s="1" t="s">
        <v>35</v>
      </c>
      <c r="N9" s="4" t="s">
        <v>35</v>
      </c>
      <c r="O9" s="4">
        <v>2.21</v>
      </c>
    </row>
    <row r="10" spans="1:15" ht="60">
      <c r="A10" s="1">
        <v>7</v>
      </c>
      <c r="B10" s="1" t="s">
        <v>347</v>
      </c>
      <c r="C10" s="1" t="s">
        <v>379</v>
      </c>
      <c r="D10" s="1" t="s">
        <v>349</v>
      </c>
      <c r="E10" s="1" t="s">
        <v>348</v>
      </c>
      <c r="F10" s="1" t="s">
        <v>327</v>
      </c>
      <c r="G10" s="1">
        <v>0.23</v>
      </c>
      <c r="H10" s="1" t="s">
        <v>27</v>
      </c>
      <c r="I10" s="4">
        <v>0.23</v>
      </c>
      <c r="J10" s="1" t="s">
        <v>427</v>
      </c>
      <c r="K10" s="1" t="s">
        <v>74</v>
      </c>
      <c r="L10" s="1" t="s">
        <v>18</v>
      </c>
      <c r="M10" s="1" t="s">
        <v>481</v>
      </c>
      <c r="N10" s="4">
        <v>0</v>
      </c>
      <c r="O10" s="4">
        <v>0.23</v>
      </c>
    </row>
    <row r="11" spans="1:15" ht="75">
      <c r="A11" s="1">
        <v>8</v>
      </c>
      <c r="B11" s="1" t="s">
        <v>40</v>
      </c>
      <c r="C11" s="1" t="s">
        <v>381</v>
      </c>
      <c r="D11" s="1" t="s">
        <v>41</v>
      </c>
      <c r="E11" s="1" t="s">
        <v>42</v>
      </c>
      <c r="F11" s="1" t="s">
        <v>327</v>
      </c>
      <c r="G11" s="1">
        <v>4.25</v>
      </c>
      <c r="H11" s="1" t="s">
        <v>27</v>
      </c>
      <c r="I11" s="4">
        <v>1.5</v>
      </c>
      <c r="J11" s="1" t="s">
        <v>428</v>
      </c>
      <c r="K11" s="1" t="s">
        <v>43</v>
      </c>
      <c r="L11" s="1" t="s">
        <v>18</v>
      </c>
      <c r="M11" s="1" t="s">
        <v>550</v>
      </c>
      <c r="N11" s="4">
        <v>0</v>
      </c>
      <c r="O11" s="4">
        <f t="shared" si="0"/>
        <v>1.5</v>
      </c>
    </row>
    <row r="12" spans="1:15" ht="60">
      <c r="A12" s="1">
        <v>9</v>
      </c>
      <c r="B12" s="1" t="s">
        <v>44</v>
      </c>
      <c r="C12" s="1" t="s">
        <v>45</v>
      </c>
      <c r="D12" s="1" t="s">
        <v>46</v>
      </c>
      <c r="E12" s="1" t="s">
        <v>47</v>
      </c>
      <c r="F12" s="1" t="s">
        <v>326</v>
      </c>
      <c r="G12" s="1">
        <v>4.1399999999999997</v>
      </c>
      <c r="H12" s="1">
        <v>0</v>
      </c>
      <c r="I12" s="4">
        <v>0.5</v>
      </c>
      <c r="J12" s="1" t="s">
        <v>390</v>
      </c>
      <c r="K12" s="1" t="s">
        <v>48</v>
      </c>
      <c r="L12" s="1" t="s">
        <v>18</v>
      </c>
      <c r="M12" s="1" t="s">
        <v>49</v>
      </c>
      <c r="N12" s="4">
        <v>0.02</v>
      </c>
      <c r="O12" s="4">
        <f t="shared" si="0"/>
        <v>0.48</v>
      </c>
    </row>
    <row r="13" spans="1:15" ht="60">
      <c r="A13" s="1">
        <v>10</v>
      </c>
      <c r="B13" s="1" t="s">
        <v>50</v>
      </c>
      <c r="C13" s="1" t="s">
        <v>51</v>
      </c>
      <c r="D13" s="1" t="s">
        <v>52</v>
      </c>
      <c r="E13" s="1" t="s">
        <v>53</v>
      </c>
      <c r="F13" s="1" t="s">
        <v>327</v>
      </c>
      <c r="G13" s="1">
        <v>0.19</v>
      </c>
      <c r="H13" s="1" t="s">
        <v>27</v>
      </c>
      <c r="I13" s="4">
        <v>0.19</v>
      </c>
      <c r="J13" s="1" t="s">
        <v>429</v>
      </c>
      <c r="K13" s="1" t="s">
        <v>54</v>
      </c>
      <c r="L13" s="1" t="s">
        <v>18</v>
      </c>
      <c r="M13" s="1" t="s">
        <v>55</v>
      </c>
      <c r="N13" s="4">
        <v>0</v>
      </c>
      <c r="O13" s="4">
        <f t="shared" si="0"/>
        <v>0.19</v>
      </c>
    </row>
    <row r="14" spans="1:15" ht="45">
      <c r="A14" s="1">
        <v>11</v>
      </c>
      <c r="B14" s="1" t="s">
        <v>56</v>
      </c>
      <c r="C14" s="1" t="s">
        <v>51</v>
      </c>
      <c r="D14" s="1" t="s">
        <v>57</v>
      </c>
      <c r="E14" s="1" t="s">
        <v>58</v>
      </c>
      <c r="F14" s="1" t="s">
        <v>327</v>
      </c>
      <c r="G14" s="1">
        <v>0.54</v>
      </c>
      <c r="H14" s="1" t="s">
        <v>27</v>
      </c>
      <c r="I14" s="4">
        <v>0.54</v>
      </c>
      <c r="J14" s="1" t="s">
        <v>430</v>
      </c>
      <c r="K14" s="1" t="s">
        <v>59</v>
      </c>
      <c r="L14" s="1" t="s">
        <v>18</v>
      </c>
      <c r="M14" s="1" t="s">
        <v>551</v>
      </c>
      <c r="N14" s="4">
        <v>0.15</v>
      </c>
      <c r="O14" s="4">
        <f t="shared" si="0"/>
        <v>0.39</v>
      </c>
    </row>
    <row r="15" spans="1:15" ht="75">
      <c r="A15" s="1">
        <v>12</v>
      </c>
      <c r="B15" s="1" t="s">
        <v>61</v>
      </c>
      <c r="C15" s="1" t="s">
        <v>51</v>
      </c>
      <c r="D15" s="1" t="s">
        <v>62</v>
      </c>
      <c r="E15" s="1" t="s">
        <v>63</v>
      </c>
      <c r="F15" s="1" t="s">
        <v>327</v>
      </c>
      <c r="G15" s="1">
        <v>3.32</v>
      </c>
      <c r="H15" s="1" t="s">
        <v>27</v>
      </c>
      <c r="I15" s="4">
        <v>1.0900000000000001</v>
      </c>
      <c r="J15" s="1" t="s">
        <v>431</v>
      </c>
      <c r="K15" s="1" t="s">
        <v>64</v>
      </c>
      <c r="L15" s="1" t="s">
        <v>18</v>
      </c>
      <c r="M15" s="1" t="s">
        <v>65</v>
      </c>
      <c r="N15" s="4">
        <v>0</v>
      </c>
      <c r="O15" s="4">
        <f t="shared" si="0"/>
        <v>1.0900000000000001</v>
      </c>
    </row>
    <row r="16" spans="1:15" ht="60">
      <c r="A16" s="1">
        <v>13</v>
      </c>
      <c r="B16" s="1" t="s">
        <v>66</v>
      </c>
      <c r="C16" s="1" t="s">
        <v>51</v>
      </c>
      <c r="D16" s="1" t="s">
        <v>67</v>
      </c>
      <c r="E16" s="1" t="s">
        <v>68</v>
      </c>
      <c r="F16" s="1" t="s">
        <v>327</v>
      </c>
      <c r="G16" s="1">
        <v>0.65</v>
      </c>
      <c r="H16" s="1" t="s">
        <v>27</v>
      </c>
      <c r="I16" s="4">
        <v>0.6</v>
      </c>
      <c r="J16" s="1" t="s">
        <v>432</v>
      </c>
      <c r="K16" s="1" t="s">
        <v>69</v>
      </c>
      <c r="L16" s="1" t="s">
        <v>18</v>
      </c>
      <c r="M16" s="1" t="s">
        <v>70</v>
      </c>
      <c r="N16" s="4">
        <v>0</v>
      </c>
      <c r="O16" s="4">
        <f t="shared" si="0"/>
        <v>0.6</v>
      </c>
    </row>
    <row r="17" spans="1:15" ht="60">
      <c r="A17" s="1">
        <v>14</v>
      </c>
      <c r="B17" s="1" t="s">
        <v>71</v>
      </c>
      <c r="C17" s="1" t="s">
        <v>51</v>
      </c>
      <c r="D17" s="1" t="s">
        <v>72</v>
      </c>
      <c r="E17" s="1" t="s">
        <v>73</v>
      </c>
      <c r="F17" s="1" t="s">
        <v>327</v>
      </c>
      <c r="G17" s="1">
        <v>0.47</v>
      </c>
      <c r="H17" s="1" t="s">
        <v>27</v>
      </c>
      <c r="I17" s="4">
        <v>0.08</v>
      </c>
      <c r="J17" s="1" t="s">
        <v>433</v>
      </c>
      <c r="K17" s="1" t="s">
        <v>69</v>
      </c>
      <c r="L17" s="1" t="s">
        <v>18</v>
      </c>
      <c r="M17" s="1" t="s">
        <v>331</v>
      </c>
      <c r="N17" s="4">
        <v>0</v>
      </c>
      <c r="O17" s="4">
        <f t="shared" si="0"/>
        <v>0.08</v>
      </c>
    </row>
    <row r="18" spans="1:15" ht="60">
      <c r="A18" s="1">
        <v>15</v>
      </c>
      <c r="B18" s="1" t="s">
        <v>75</v>
      </c>
      <c r="C18" s="1" t="s">
        <v>51</v>
      </c>
      <c r="D18" s="1" t="s">
        <v>76</v>
      </c>
      <c r="E18" s="1" t="s">
        <v>77</v>
      </c>
      <c r="F18" s="1" t="s">
        <v>327</v>
      </c>
      <c r="G18" s="1">
        <v>0.45</v>
      </c>
      <c r="H18" s="1" t="s">
        <v>27</v>
      </c>
      <c r="I18" s="4">
        <v>0.45</v>
      </c>
      <c r="J18" s="1" t="s">
        <v>434</v>
      </c>
      <c r="K18" s="1" t="s">
        <v>78</v>
      </c>
      <c r="L18" s="1" t="s">
        <v>18</v>
      </c>
      <c r="M18" s="1" t="s">
        <v>79</v>
      </c>
      <c r="N18" s="4">
        <v>0</v>
      </c>
      <c r="O18" s="4">
        <f t="shared" si="0"/>
        <v>0.45</v>
      </c>
    </row>
    <row r="19" spans="1:15" ht="45">
      <c r="A19" s="1">
        <v>16</v>
      </c>
      <c r="B19" s="1" t="s">
        <v>80</v>
      </c>
      <c r="C19" s="1" t="s">
        <v>51</v>
      </c>
      <c r="D19" s="1" t="s">
        <v>81</v>
      </c>
      <c r="E19" s="1" t="s">
        <v>82</v>
      </c>
      <c r="F19" s="1" t="s">
        <v>327</v>
      </c>
      <c r="G19" s="1">
        <v>4.9000000000000004</v>
      </c>
      <c r="H19" s="1" t="s">
        <v>27</v>
      </c>
      <c r="I19" s="4">
        <v>1</v>
      </c>
      <c r="J19" s="1" t="s">
        <v>435</v>
      </c>
      <c r="K19" s="1" t="s">
        <v>23</v>
      </c>
      <c r="L19" s="1" t="s">
        <v>18</v>
      </c>
      <c r="M19" s="1" t="s">
        <v>60</v>
      </c>
      <c r="N19" s="4">
        <v>0</v>
      </c>
      <c r="O19" s="4">
        <f t="shared" si="0"/>
        <v>1</v>
      </c>
    </row>
    <row r="20" spans="1:15" ht="90">
      <c r="A20" s="1">
        <v>17</v>
      </c>
      <c r="B20" s="1" t="s">
        <v>83</v>
      </c>
      <c r="C20" s="1" t="s">
        <v>51</v>
      </c>
      <c r="D20" s="1" t="s">
        <v>84</v>
      </c>
      <c r="E20" s="1" t="s">
        <v>85</v>
      </c>
      <c r="F20" s="1" t="s">
        <v>327</v>
      </c>
      <c r="G20" s="1">
        <v>0.57999999999999996</v>
      </c>
      <c r="H20" s="1" t="s">
        <v>27</v>
      </c>
      <c r="I20" s="4">
        <v>0.57999999999999996</v>
      </c>
      <c r="J20" s="1" t="s">
        <v>436</v>
      </c>
      <c r="K20" s="1" t="s">
        <v>86</v>
      </c>
      <c r="L20" s="1" t="s">
        <v>18</v>
      </c>
      <c r="M20" s="1" t="s">
        <v>331</v>
      </c>
      <c r="N20" s="4">
        <v>0</v>
      </c>
      <c r="O20" s="4">
        <f t="shared" si="0"/>
        <v>0.57999999999999996</v>
      </c>
    </row>
    <row r="21" spans="1:15" ht="75">
      <c r="A21" s="1">
        <v>18</v>
      </c>
      <c r="B21" s="1" t="s">
        <v>350</v>
      </c>
      <c r="C21" s="1" t="s">
        <v>51</v>
      </c>
      <c r="D21" s="1" t="s">
        <v>352</v>
      </c>
      <c r="E21" s="1" t="s">
        <v>351</v>
      </c>
      <c r="F21" s="1" t="s">
        <v>327</v>
      </c>
      <c r="G21" s="1">
        <v>0.45</v>
      </c>
      <c r="H21" s="1" t="s">
        <v>27</v>
      </c>
      <c r="I21" s="4">
        <v>0.45</v>
      </c>
      <c r="J21" s="1" t="s">
        <v>437</v>
      </c>
      <c r="K21" s="1" t="s">
        <v>331</v>
      </c>
      <c r="L21" s="1" t="s">
        <v>18</v>
      </c>
      <c r="M21" s="1" t="s">
        <v>473</v>
      </c>
      <c r="N21" s="4">
        <v>0</v>
      </c>
      <c r="O21" s="4">
        <f t="shared" si="0"/>
        <v>0.45</v>
      </c>
    </row>
    <row r="22" spans="1:15" ht="45">
      <c r="A22" s="1">
        <v>19</v>
      </c>
      <c r="B22" s="1" t="s">
        <v>353</v>
      </c>
      <c r="C22" s="1" t="s">
        <v>51</v>
      </c>
      <c r="D22" s="1" t="s">
        <v>352</v>
      </c>
      <c r="E22" s="1" t="s">
        <v>354</v>
      </c>
      <c r="F22" s="1" t="s">
        <v>327</v>
      </c>
      <c r="G22" s="1">
        <v>1.46</v>
      </c>
      <c r="H22" s="1" t="s">
        <v>27</v>
      </c>
      <c r="I22" s="4">
        <v>0.32</v>
      </c>
      <c r="J22" s="1" t="s">
        <v>438</v>
      </c>
      <c r="K22" s="1" t="s">
        <v>346</v>
      </c>
      <c r="L22" s="1" t="s">
        <v>34</v>
      </c>
      <c r="M22" s="1" t="s">
        <v>35</v>
      </c>
      <c r="N22" s="4">
        <v>0</v>
      </c>
      <c r="O22" s="4">
        <f t="shared" si="0"/>
        <v>0.32</v>
      </c>
    </row>
    <row r="23" spans="1:15" ht="60">
      <c r="A23" s="1">
        <v>20</v>
      </c>
      <c r="B23" s="1" t="s">
        <v>492</v>
      </c>
      <c r="C23" s="1" t="s">
        <v>51</v>
      </c>
      <c r="D23" s="1" t="s">
        <v>352</v>
      </c>
      <c r="E23" s="1" t="s">
        <v>498</v>
      </c>
      <c r="F23" s="1" t="s">
        <v>327</v>
      </c>
      <c r="G23" s="4">
        <v>0.3</v>
      </c>
      <c r="H23" s="1" t="s">
        <v>27</v>
      </c>
      <c r="I23" s="4">
        <v>0.3</v>
      </c>
      <c r="J23" s="1" t="s">
        <v>491</v>
      </c>
      <c r="K23" s="1" t="s">
        <v>487</v>
      </c>
      <c r="L23" s="1" t="s">
        <v>34</v>
      </c>
      <c r="M23" s="1" t="s">
        <v>35</v>
      </c>
      <c r="N23" s="4">
        <v>0</v>
      </c>
      <c r="O23" s="4">
        <v>0.3</v>
      </c>
    </row>
    <row r="24" spans="1:15" ht="131.25" customHeight="1">
      <c r="A24" s="1">
        <v>21</v>
      </c>
      <c r="B24" s="1" t="s">
        <v>87</v>
      </c>
      <c r="C24" s="1" t="s">
        <v>88</v>
      </c>
      <c r="D24" s="1" t="s">
        <v>89</v>
      </c>
      <c r="E24" s="1" t="s">
        <v>90</v>
      </c>
      <c r="F24" s="1" t="s">
        <v>326</v>
      </c>
      <c r="G24" s="1">
        <v>348.77</v>
      </c>
      <c r="H24" s="1">
        <v>124</v>
      </c>
      <c r="I24" s="4">
        <v>108</v>
      </c>
      <c r="J24" s="1" t="s">
        <v>518</v>
      </c>
      <c r="K24" s="1" t="s">
        <v>511</v>
      </c>
      <c r="L24" s="1" t="s">
        <v>18</v>
      </c>
      <c r="M24" s="1" t="s">
        <v>59</v>
      </c>
      <c r="N24" s="4">
        <v>79.91</v>
      </c>
      <c r="O24" s="4">
        <f t="shared" si="0"/>
        <v>28.090000000000003</v>
      </c>
    </row>
    <row r="25" spans="1:15" ht="60">
      <c r="A25" s="1">
        <v>22</v>
      </c>
      <c r="B25" s="1" t="s">
        <v>92</v>
      </c>
      <c r="C25" s="1" t="s">
        <v>88</v>
      </c>
      <c r="D25" s="1" t="s">
        <v>89</v>
      </c>
      <c r="E25" s="1" t="s">
        <v>93</v>
      </c>
      <c r="F25" s="1" t="s">
        <v>326</v>
      </c>
      <c r="G25" s="13">
        <v>49.02</v>
      </c>
      <c r="H25" s="13">
        <v>4.7</v>
      </c>
      <c r="I25" s="12">
        <v>10</v>
      </c>
      <c r="J25" s="13" t="s">
        <v>391</v>
      </c>
      <c r="K25" s="13" t="s">
        <v>17</v>
      </c>
      <c r="L25" s="13" t="s">
        <v>18</v>
      </c>
      <c r="M25" s="13" t="s">
        <v>59</v>
      </c>
      <c r="N25" s="12">
        <v>0.81</v>
      </c>
      <c r="O25" s="12">
        <f t="shared" si="0"/>
        <v>9.19</v>
      </c>
    </row>
    <row r="26" spans="1:15" ht="90">
      <c r="A26" s="1">
        <v>23</v>
      </c>
      <c r="B26" s="1" t="s">
        <v>94</v>
      </c>
      <c r="C26" s="1" t="s">
        <v>95</v>
      </c>
      <c r="D26" s="1" t="s">
        <v>95</v>
      </c>
      <c r="E26" s="1" t="s">
        <v>96</v>
      </c>
      <c r="F26" s="1" t="s">
        <v>327</v>
      </c>
      <c r="G26" s="13">
        <v>0.57999999999999996</v>
      </c>
      <c r="H26" s="13" t="s">
        <v>27</v>
      </c>
      <c r="I26" s="12">
        <v>0.2</v>
      </c>
      <c r="J26" s="13" t="s">
        <v>439</v>
      </c>
      <c r="K26" s="13" t="s">
        <v>97</v>
      </c>
      <c r="L26" s="13" t="s">
        <v>18</v>
      </c>
      <c r="M26" s="13" t="s">
        <v>149</v>
      </c>
      <c r="N26" s="12">
        <v>0</v>
      </c>
      <c r="O26" s="12">
        <f t="shared" si="0"/>
        <v>0.2</v>
      </c>
    </row>
    <row r="27" spans="1:15" ht="120">
      <c r="A27" s="1">
        <v>24</v>
      </c>
      <c r="B27" s="1" t="s">
        <v>336</v>
      </c>
      <c r="C27" s="1" t="s">
        <v>337</v>
      </c>
      <c r="D27" s="1" t="s">
        <v>341</v>
      </c>
      <c r="E27" s="1" t="s">
        <v>338</v>
      </c>
      <c r="F27" s="1" t="s">
        <v>326</v>
      </c>
      <c r="G27" s="13">
        <v>4.03</v>
      </c>
      <c r="H27" s="13">
        <v>32.83</v>
      </c>
      <c r="I27" s="12">
        <v>4.03</v>
      </c>
      <c r="J27" s="13" t="s">
        <v>392</v>
      </c>
      <c r="K27" s="13" t="s">
        <v>387</v>
      </c>
      <c r="L27" s="13" t="s">
        <v>112</v>
      </c>
      <c r="M27" s="13" t="s">
        <v>35</v>
      </c>
      <c r="N27" s="12">
        <v>4.03</v>
      </c>
      <c r="O27" s="12">
        <f t="shared" si="0"/>
        <v>0</v>
      </c>
    </row>
    <row r="28" spans="1:15" ht="120">
      <c r="A28" s="1">
        <v>25</v>
      </c>
      <c r="B28" s="1" t="s">
        <v>108</v>
      </c>
      <c r="C28" s="1" t="s">
        <v>109</v>
      </c>
      <c r="D28" s="1" t="s">
        <v>110</v>
      </c>
      <c r="E28" s="1" t="s">
        <v>111</v>
      </c>
      <c r="F28" s="1" t="s">
        <v>326</v>
      </c>
      <c r="G28" s="13">
        <v>227</v>
      </c>
      <c r="H28" s="13">
        <v>107.25</v>
      </c>
      <c r="I28" s="12">
        <v>80.260000000000005</v>
      </c>
      <c r="J28" s="13" t="s">
        <v>517</v>
      </c>
      <c r="K28" s="13" t="s">
        <v>512</v>
      </c>
      <c r="L28" s="13" t="s">
        <v>112</v>
      </c>
      <c r="M28" s="13" t="s">
        <v>35</v>
      </c>
      <c r="N28" s="12">
        <v>40</v>
      </c>
      <c r="O28" s="12">
        <f t="shared" si="0"/>
        <v>40.260000000000005</v>
      </c>
    </row>
    <row r="29" spans="1:15" ht="60">
      <c r="A29" s="1">
        <v>26</v>
      </c>
      <c r="B29" s="1" t="s">
        <v>113</v>
      </c>
      <c r="C29" s="1" t="s">
        <v>109</v>
      </c>
      <c r="D29" s="1" t="s">
        <v>114</v>
      </c>
      <c r="E29" s="1" t="s">
        <v>115</v>
      </c>
      <c r="F29" s="1" t="s">
        <v>327</v>
      </c>
      <c r="G29" s="13">
        <v>6.39</v>
      </c>
      <c r="H29" s="13">
        <v>3.11</v>
      </c>
      <c r="I29" s="12">
        <v>3.28</v>
      </c>
      <c r="J29" s="13" t="s">
        <v>440</v>
      </c>
      <c r="K29" s="13" t="s">
        <v>91</v>
      </c>
      <c r="L29" s="13" t="s">
        <v>18</v>
      </c>
      <c r="M29" s="13" t="s">
        <v>116</v>
      </c>
      <c r="N29" s="12">
        <v>0</v>
      </c>
      <c r="O29" s="12">
        <f t="shared" si="0"/>
        <v>3.28</v>
      </c>
    </row>
    <row r="30" spans="1:15" ht="75">
      <c r="A30" s="1">
        <v>27</v>
      </c>
      <c r="B30" s="1" t="s">
        <v>98</v>
      </c>
      <c r="C30" s="1" t="s">
        <v>99</v>
      </c>
      <c r="D30" s="1" t="s">
        <v>100</v>
      </c>
      <c r="E30" s="1" t="s">
        <v>101</v>
      </c>
      <c r="F30" s="1" t="s">
        <v>327</v>
      </c>
      <c r="G30" s="13">
        <v>3.95</v>
      </c>
      <c r="H30" s="13" t="s">
        <v>27</v>
      </c>
      <c r="I30" s="12">
        <v>0.95</v>
      </c>
      <c r="J30" s="13" t="s">
        <v>441</v>
      </c>
      <c r="K30" s="13" t="s">
        <v>64</v>
      </c>
      <c r="L30" s="13" t="s">
        <v>18</v>
      </c>
      <c r="M30" s="13" t="s">
        <v>102</v>
      </c>
      <c r="N30" s="12">
        <v>0.64</v>
      </c>
      <c r="O30" s="12">
        <f t="shared" si="0"/>
        <v>0.30999999999999994</v>
      </c>
    </row>
    <row r="31" spans="1:15" ht="45">
      <c r="A31" s="1">
        <v>28</v>
      </c>
      <c r="B31" s="1" t="s">
        <v>103</v>
      </c>
      <c r="C31" s="1" t="s">
        <v>104</v>
      </c>
      <c r="D31" s="1" t="s">
        <v>105</v>
      </c>
      <c r="E31" s="1" t="s">
        <v>106</v>
      </c>
      <c r="F31" s="1" t="s">
        <v>327</v>
      </c>
      <c r="G31" s="13">
        <v>0.44</v>
      </c>
      <c r="H31" s="13" t="s">
        <v>27</v>
      </c>
      <c r="I31" s="12">
        <v>0.16</v>
      </c>
      <c r="J31" s="13" t="s">
        <v>442</v>
      </c>
      <c r="K31" s="13" t="s">
        <v>107</v>
      </c>
      <c r="L31" s="13" t="s">
        <v>18</v>
      </c>
      <c r="M31" s="13" t="s">
        <v>335</v>
      </c>
      <c r="N31" s="12">
        <v>0</v>
      </c>
      <c r="O31" s="12">
        <f t="shared" si="0"/>
        <v>0.16</v>
      </c>
    </row>
    <row r="32" spans="1:15" ht="48.75" customHeight="1">
      <c r="A32" s="1">
        <v>29</v>
      </c>
      <c r="B32" s="1" t="s">
        <v>493</v>
      </c>
      <c r="C32" s="1" t="s">
        <v>477</v>
      </c>
      <c r="D32" s="1" t="s">
        <v>478</v>
      </c>
      <c r="E32" s="1" t="s">
        <v>479</v>
      </c>
      <c r="F32" s="1" t="s">
        <v>326</v>
      </c>
      <c r="G32" s="13">
        <v>0.48</v>
      </c>
      <c r="H32" s="13" t="s">
        <v>480</v>
      </c>
      <c r="I32" s="12">
        <v>0.48</v>
      </c>
      <c r="J32" s="13" t="s">
        <v>482</v>
      </c>
      <c r="K32" s="13" t="s">
        <v>481</v>
      </c>
      <c r="L32" s="13" t="s">
        <v>18</v>
      </c>
      <c r="M32" s="13" t="s">
        <v>510</v>
      </c>
      <c r="N32" s="12">
        <v>0</v>
      </c>
      <c r="O32" s="12">
        <f t="shared" si="0"/>
        <v>0.48</v>
      </c>
    </row>
    <row r="33" spans="1:15" ht="120">
      <c r="A33" s="1">
        <v>30</v>
      </c>
      <c r="B33" s="1" t="s">
        <v>117</v>
      </c>
      <c r="C33" s="1" t="s">
        <v>118</v>
      </c>
      <c r="D33" s="1" t="s">
        <v>119</v>
      </c>
      <c r="E33" s="1" t="s">
        <v>120</v>
      </c>
      <c r="F33" s="1" t="s">
        <v>326</v>
      </c>
      <c r="G33" s="13">
        <v>64.5</v>
      </c>
      <c r="H33" s="13">
        <v>9.5</v>
      </c>
      <c r="I33" s="12">
        <v>9</v>
      </c>
      <c r="J33" s="13" t="s">
        <v>519</v>
      </c>
      <c r="K33" s="13" t="s">
        <v>505</v>
      </c>
      <c r="L33" s="13" t="s">
        <v>18</v>
      </c>
      <c r="M33" s="13" t="s">
        <v>122</v>
      </c>
      <c r="N33" s="12">
        <v>4.1900000000000004</v>
      </c>
      <c r="O33" s="12">
        <f t="shared" si="0"/>
        <v>4.8099999999999996</v>
      </c>
    </row>
    <row r="34" spans="1:15" ht="60">
      <c r="A34" s="1">
        <v>31</v>
      </c>
      <c r="B34" s="1" t="s">
        <v>123</v>
      </c>
      <c r="C34" s="1" t="s">
        <v>118</v>
      </c>
      <c r="D34" s="1" t="s">
        <v>124</v>
      </c>
      <c r="E34" s="1" t="s">
        <v>125</v>
      </c>
      <c r="F34" s="1" t="s">
        <v>326</v>
      </c>
      <c r="G34" s="13">
        <v>0.98</v>
      </c>
      <c r="H34" s="13">
        <v>0.4</v>
      </c>
      <c r="I34" s="12">
        <v>0.57999999999999996</v>
      </c>
      <c r="J34" s="13" t="s">
        <v>393</v>
      </c>
      <c r="K34" s="13" t="s">
        <v>54</v>
      </c>
      <c r="L34" s="13" t="s">
        <v>18</v>
      </c>
      <c r="M34" s="13" t="s">
        <v>60</v>
      </c>
      <c r="N34" s="12">
        <v>0.52</v>
      </c>
      <c r="O34" s="12">
        <f t="shared" si="0"/>
        <v>5.9999999999999942E-2</v>
      </c>
    </row>
    <row r="35" spans="1:15" ht="165">
      <c r="A35" s="1">
        <v>32</v>
      </c>
      <c r="B35" s="1" t="s">
        <v>126</v>
      </c>
      <c r="C35" s="1" t="s">
        <v>118</v>
      </c>
      <c r="D35" s="1" t="s">
        <v>127</v>
      </c>
      <c r="E35" s="1" t="s">
        <v>128</v>
      </c>
      <c r="F35" s="1" t="s">
        <v>326</v>
      </c>
      <c r="G35" s="13">
        <v>31.38</v>
      </c>
      <c r="H35" s="13" t="s">
        <v>35</v>
      </c>
      <c r="I35" s="12">
        <v>2</v>
      </c>
      <c r="J35" s="13" t="s">
        <v>560</v>
      </c>
      <c r="K35" s="13" t="s">
        <v>561</v>
      </c>
      <c r="L35" s="13" t="s">
        <v>34</v>
      </c>
      <c r="M35" s="13" t="s">
        <v>129</v>
      </c>
      <c r="N35" s="12">
        <v>0</v>
      </c>
      <c r="O35" s="12">
        <f t="shared" si="0"/>
        <v>2</v>
      </c>
    </row>
    <row r="36" spans="1:15" ht="93.75" customHeight="1">
      <c r="A36" s="1">
        <v>33</v>
      </c>
      <c r="B36" s="1" t="s">
        <v>130</v>
      </c>
      <c r="C36" s="1" t="s">
        <v>131</v>
      </c>
      <c r="D36" s="1" t="s">
        <v>132</v>
      </c>
      <c r="E36" s="1" t="s">
        <v>133</v>
      </c>
      <c r="F36" s="1" t="s">
        <v>326</v>
      </c>
      <c r="G36" s="12">
        <v>74.8</v>
      </c>
      <c r="H36" s="13" t="s">
        <v>35</v>
      </c>
      <c r="I36" s="12">
        <v>1.5</v>
      </c>
      <c r="J36" s="13" t="s">
        <v>394</v>
      </c>
      <c r="K36" s="13" t="s">
        <v>562</v>
      </c>
      <c r="L36" s="13" t="s">
        <v>34</v>
      </c>
      <c r="M36" s="13" t="s">
        <v>135</v>
      </c>
      <c r="N36" s="12">
        <v>0</v>
      </c>
      <c r="O36" s="12">
        <f t="shared" si="0"/>
        <v>1.5</v>
      </c>
    </row>
    <row r="37" spans="1:15" ht="120">
      <c r="A37" s="1">
        <v>34</v>
      </c>
      <c r="B37" s="1" t="s">
        <v>164</v>
      </c>
      <c r="C37" s="1" t="s">
        <v>165</v>
      </c>
      <c r="D37" s="1" t="s">
        <v>166</v>
      </c>
      <c r="E37" s="1" t="s">
        <v>167</v>
      </c>
      <c r="F37" s="1" t="s">
        <v>326</v>
      </c>
      <c r="G37" s="13">
        <v>28.04</v>
      </c>
      <c r="H37" s="13">
        <v>9</v>
      </c>
      <c r="I37" s="12">
        <v>8</v>
      </c>
      <c r="J37" s="13" t="s">
        <v>525</v>
      </c>
      <c r="K37" s="13" t="s">
        <v>507</v>
      </c>
      <c r="L37" s="13" t="s">
        <v>18</v>
      </c>
      <c r="M37" s="13" t="s">
        <v>169</v>
      </c>
      <c r="N37" s="12">
        <v>5.83</v>
      </c>
      <c r="O37" s="12">
        <f t="shared" si="0"/>
        <v>2.17</v>
      </c>
    </row>
    <row r="38" spans="1:15" ht="56.25" customHeight="1">
      <c r="A38" s="1">
        <v>35</v>
      </c>
      <c r="B38" s="1" t="s">
        <v>170</v>
      </c>
      <c r="C38" s="1" t="s">
        <v>165</v>
      </c>
      <c r="D38" s="1" t="s">
        <v>171</v>
      </c>
      <c r="E38" s="1" t="s">
        <v>172</v>
      </c>
      <c r="F38" s="1" t="s">
        <v>327</v>
      </c>
      <c r="G38" s="12">
        <v>0.4</v>
      </c>
      <c r="H38" s="13">
        <v>0</v>
      </c>
      <c r="I38" s="12">
        <v>0.4</v>
      </c>
      <c r="J38" s="13" t="s">
        <v>443</v>
      </c>
      <c r="K38" s="13" t="s">
        <v>173</v>
      </c>
      <c r="L38" s="13" t="s">
        <v>18</v>
      </c>
      <c r="M38" s="13" t="s">
        <v>552</v>
      </c>
      <c r="N38" s="12">
        <v>0</v>
      </c>
      <c r="O38" s="12">
        <f t="shared" si="0"/>
        <v>0.4</v>
      </c>
    </row>
    <row r="39" spans="1:15" ht="72" customHeight="1">
      <c r="A39" s="1">
        <v>36</v>
      </c>
      <c r="B39" s="1" t="s">
        <v>533</v>
      </c>
      <c r="C39" s="1" t="s">
        <v>165</v>
      </c>
      <c r="D39" s="1" t="s">
        <v>544</v>
      </c>
      <c r="E39" s="1" t="s">
        <v>534</v>
      </c>
      <c r="F39" s="1" t="s">
        <v>326</v>
      </c>
      <c r="G39" s="13">
        <v>0.09</v>
      </c>
      <c r="H39" s="13" t="s">
        <v>35</v>
      </c>
      <c r="I39" s="13">
        <v>0.09</v>
      </c>
      <c r="J39" s="13" t="s">
        <v>535</v>
      </c>
      <c r="K39" s="13" t="s">
        <v>532</v>
      </c>
      <c r="L39" s="13" t="s">
        <v>18</v>
      </c>
      <c r="M39" s="13" t="s">
        <v>563</v>
      </c>
      <c r="N39" s="12">
        <v>0</v>
      </c>
      <c r="O39" s="12">
        <f t="shared" si="0"/>
        <v>0.09</v>
      </c>
    </row>
    <row r="40" spans="1:15" ht="77.25" customHeight="1">
      <c r="A40" s="1">
        <v>37</v>
      </c>
      <c r="B40" s="1" t="s">
        <v>527</v>
      </c>
      <c r="C40" s="1" t="s">
        <v>528</v>
      </c>
      <c r="D40" s="1" t="s">
        <v>530</v>
      </c>
      <c r="E40" s="1" t="s">
        <v>529</v>
      </c>
      <c r="F40" s="1" t="s">
        <v>326</v>
      </c>
      <c r="G40" s="13">
        <v>7.0000000000000007E-2</v>
      </c>
      <c r="H40" s="13" t="s">
        <v>35</v>
      </c>
      <c r="I40" s="13">
        <v>7.0000000000000007E-2</v>
      </c>
      <c r="J40" s="13" t="s">
        <v>531</v>
      </c>
      <c r="K40" s="13" t="s">
        <v>532</v>
      </c>
      <c r="L40" s="13" t="s">
        <v>18</v>
      </c>
      <c r="M40" s="13" t="s">
        <v>564</v>
      </c>
      <c r="N40" s="12">
        <v>0</v>
      </c>
      <c r="O40" s="12">
        <f t="shared" si="0"/>
        <v>7.0000000000000007E-2</v>
      </c>
    </row>
    <row r="41" spans="1:15" ht="60">
      <c r="A41" s="1">
        <v>38</v>
      </c>
      <c r="B41" s="1" t="s">
        <v>174</v>
      </c>
      <c r="C41" s="1" t="s">
        <v>175</v>
      </c>
      <c r="D41" s="1" t="s">
        <v>176</v>
      </c>
      <c r="E41" s="1" t="s">
        <v>177</v>
      </c>
      <c r="F41" s="1" t="s">
        <v>326</v>
      </c>
      <c r="G41" s="13">
        <v>1.3</v>
      </c>
      <c r="H41" s="13">
        <v>0.32</v>
      </c>
      <c r="I41" s="12">
        <v>0.6</v>
      </c>
      <c r="J41" s="13" t="s">
        <v>395</v>
      </c>
      <c r="K41" s="13" t="s">
        <v>121</v>
      </c>
      <c r="L41" s="13" t="s">
        <v>18</v>
      </c>
      <c r="M41" s="13" t="s">
        <v>178</v>
      </c>
      <c r="N41" s="12">
        <v>0.35</v>
      </c>
      <c r="O41" s="12">
        <f t="shared" si="0"/>
        <v>0.25</v>
      </c>
    </row>
    <row r="42" spans="1:15" ht="181.5" customHeight="1">
      <c r="A42" s="1">
        <v>39</v>
      </c>
      <c r="B42" s="1" t="s">
        <v>179</v>
      </c>
      <c r="C42" s="1" t="s">
        <v>180</v>
      </c>
      <c r="D42" s="1" t="s">
        <v>181</v>
      </c>
      <c r="E42" s="1" t="s">
        <v>182</v>
      </c>
      <c r="F42" s="1" t="s">
        <v>326</v>
      </c>
      <c r="G42" s="13">
        <v>42.06</v>
      </c>
      <c r="H42" s="13">
        <v>0.6</v>
      </c>
      <c r="I42" s="12">
        <v>20</v>
      </c>
      <c r="J42" s="13" t="s">
        <v>521</v>
      </c>
      <c r="K42" s="13" t="s">
        <v>504</v>
      </c>
      <c r="L42" s="13" t="s">
        <v>18</v>
      </c>
      <c r="M42" s="13" t="s">
        <v>565</v>
      </c>
      <c r="N42" s="12">
        <v>7.99</v>
      </c>
      <c r="O42" s="12">
        <f t="shared" si="0"/>
        <v>12.01</v>
      </c>
    </row>
    <row r="43" spans="1:15" ht="120">
      <c r="A43" s="1">
        <v>40</v>
      </c>
      <c r="B43" s="1" t="s">
        <v>183</v>
      </c>
      <c r="C43" s="1" t="s">
        <v>180</v>
      </c>
      <c r="D43" s="1" t="s">
        <v>181</v>
      </c>
      <c r="E43" s="1" t="s">
        <v>184</v>
      </c>
      <c r="F43" s="1" t="s">
        <v>326</v>
      </c>
      <c r="G43" s="13">
        <v>9.7200000000000006</v>
      </c>
      <c r="H43" s="13">
        <v>3.5</v>
      </c>
      <c r="I43" s="12">
        <v>6.22</v>
      </c>
      <c r="J43" s="13" t="s">
        <v>523</v>
      </c>
      <c r="K43" s="13" t="s">
        <v>522</v>
      </c>
      <c r="L43" s="13" t="s">
        <v>18</v>
      </c>
      <c r="M43" s="13" t="s">
        <v>566</v>
      </c>
      <c r="N43" s="12">
        <v>4.4400000000000004</v>
      </c>
      <c r="O43" s="12">
        <f t="shared" si="0"/>
        <v>1.7799999999999994</v>
      </c>
    </row>
    <row r="44" spans="1:15" ht="60">
      <c r="A44" s="1">
        <v>41</v>
      </c>
      <c r="B44" s="1" t="s">
        <v>185</v>
      </c>
      <c r="C44" s="1" t="s">
        <v>180</v>
      </c>
      <c r="D44" s="1" t="s">
        <v>186</v>
      </c>
      <c r="E44" s="1" t="s">
        <v>187</v>
      </c>
      <c r="F44" s="1" t="s">
        <v>326</v>
      </c>
      <c r="G44" s="13">
        <v>1.1599999999999999</v>
      </c>
      <c r="H44" s="13">
        <v>0.28000000000000003</v>
      </c>
      <c r="I44" s="12">
        <v>0.88</v>
      </c>
      <c r="J44" s="13" t="s">
        <v>396</v>
      </c>
      <c r="K44" s="13" t="s">
        <v>54</v>
      </c>
      <c r="L44" s="13" t="s">
        <v>18</v>
      </c>
      <c r="M44" s="13" t="s">
        <v>188</v>
      </c>
      <c r="N44" s="12">
        <v>0.88</v>
      </c>
      <c r="O44" s="12">
        <f t="shared" si="0"/>
        <v>0</v>
      </c>
    </row>
    <row r="45" spans="1:15" ht="30">
      <c r="A45" s="1">
        <v>42</v>
      </c>
      <c r="B45" s="1" t="s">
        <v>189</v>
      </c>
      <c r="C45" s="1" t="s">
        <v>190</v>
      </c>
      <c r="D45" s="1" t="s">
        <v>191</v>
      </c>
      <c r="E45" s="1" t="s">
        <v>192</v>
      </c>
      <c r="F45" s="1" t="s">
        <v>327</v>
      </c>
      <c r="G45" s="13">
        <v>62.86</v>
      </c>
      <c r="H45" s="13">
        <v>1.32</v>
      </c>
      <c r="I45" s="12">
        <v>5</v>
      </c>
      <c r="J45" s="13" t="s">
        <v>444</v>
      </c>
      <c r="K45" s="13" t="s">
        <v>193</v>
      </c>
      <c r="L45" s="13" t="s">
        <v>18</v>
      </c>
      <c r="M45" s="13" t="s">
        <v>194</v>
      </c>
      <c r="N45" s="12">
        <v>0</v>
      </c>
      <c r="O45" s="12">
        <f t="shared" si="0"/>
        <v>5</v>
      </c>
    </row>
    <row r="46" spans="1:15" ht="135">
      <c r="A46" s="1">
        <v>43</v>
      </c>
      <c r="B46" s="1" t="s">
        <v>195</v>
      </c>
      <c r="C46" s="1" t="s">
        <v>382</v>
      </c>
      <c r="D46" s="1" t="s">
        <v>196</v>
      </c>
      <c r="E46" s="1" t="s">
        <v>197</v>
      </c>
      <c r="F46" s="1" t="s">
        <v>327</v>
      </c>
      <c r="G46" s="13">
        <v>0.35</v>
      </c>
      <c r="H46" s="13" t="s">
        <v>27</v>
      </c>
      <c r="I46" s="12">
        <v>0.35</v>
      </c>
      <c r="J46" s="13" t="s">
        <v>445</v>
      </c>
      <c r="K46" s="13" t="s">
        <v>59</v>
      </c>
      <c r="L46" s="13" t="s">
        <v>18</v>
      </c>
      <c r="M46" s="13" t="s">
        <v>553</v>
      </c>
      <c r="N46" s="12">
        <v>0</v>
      </c>
      <c r="O46" s="12">
        <f t="shared" si="0"/>
        <v>0.35</v>
      </c>
    </row>
    <row r="47" spans="1:15" ht="90">
      <c r="A47" s="1">
        <v>44</v>
      </c>
      <c r="B47" s="1" t="s">
        <v>490</v>
      </c>
      <c r="C47" s="1" t="s">
        <v>382</v>
      </c>
      <c r="D47" s="1" t="s">
        <v>488</v>
      </c>
      <c r="E47" s="1" t="s">
        <v>497</v>
      </c>
      <c r="F47" s="1" t="s">
        <v>327</v>
      </c>
      <c r="G47" s="13">
        <v>0.55000000000000004</v>
      </c>
      <c r="H47" s="13" t="s">
        <v>27</v>
      </c>
      <c r="I47" s="12">
        <v>0.55000000000000004</v>
      </c>
      <c r="J47" s="13" t="s">
        <v>489</v>
      </c>
      <c r="K47" s="13" t="s">
        <v>487</v>
      </c>
      <c r="L47" s="13" t="s">
        <v>34</v>
      </c>
      <c r="M47" s="13" t="s">
        <v>35</v>
      </c>
      <c r="N47" s="12">
        <v>0</v>
      </c>
      <c r="O47" s="12">
        <v>0.55000000000000004</v>
      </c>
    </row>
    <row r="48" spans="1:15" ht="63">
      <c r="A48" s="1">
        <v>45</v>
      </c>
      <c r="B48" s="1" t="s">
        <v>547</v>
      </c>
      <c r="C48" s="1" t="s">
        <v>382</v>
      </c>
      <c r="D48" s="1" t="s">
        <v>488</v>
      </c>
      <c r="E48" s="5" t="s">
        <v>576</v>
      </c>
      <c r="F48" s="1" t="s">
        <v>327</v>
      </c>
      <c r="G48" s="12">
        <v>0.4</v>
      </c>
      <c r="H48" s="13" t="s">
        <v>27</v>
      </c>
      <c r="I48" s="12">
        <v>0.4</v>
      </c>
      <c r="J48" s="13" t="s">
        <v>548</v>
      </c>
      <c r="K48" s="13" t="s">
        <v>549</v>
      </c>
      <c r="L48" s="13" t="s">
        <v>34</v>
      </c>
      <c r="M48" s="13" t="s">
        <v>35</v>
      </c>
      <c r="N48" s="12">
        <v>0</v>
      </c>
      <c r="O48" s="12">
        <v>0.4</v>
      </c>
    </row>
    <row r="49" spans="1:15" ht="47.25">
      <c r="A49" s="1">
        <v>46</v>
      </c>
      <c r="B49" s="1" t="s">
        <v>571</v>
      </c>
      <c r="C49" s="1" t="s">
        <v>382</v>
      </c>
      <c r="D49" s="1" t="s">
        <v>196</v>
      </c>
      <c r="E49" s="5" t="s">
        <v>577</v>
      </c>
      <c r="F49" s="1" t="s">
        <v>327</v>
      </c>
      <c r="G49" s="12">
        <v>0.04</v>
      </c>
      <c r="H49" s="13" t="s">
        <v>27</v>
      </c>
      <c r="I49" s="12">
        <v>0.04</v>
      </c>
      <c r="J49" s="13" t="s">
        <v>575</v>
      </c>
      <c r="K49" s="13" t="s">
        <v>570</v>
      </c>
      <c r="L49" s="13" t="s">
        <v>34</v>
      </c>
      <c r="M49" s="13" t="s">
        <v>35</v>
      </c>
      <c r="N49" s="12">
        <v>0</v>
      </c>
      <c r="O49" s="12">
        <v>0.04</v>
      </c>
    </row>
    <row r="50" spans="1:15" ht="63">
      <c r="A50" s="1">
        <v>47</v>
      </c>
      <c r="B50" s="1" t="s">
        <v>574</v>
      </c>
      <c r="C50" s="1" t="s">
        <v>382</v>
      </c>
      <c r="D50" s="1" t="s">
        <v>196</v>
      </c>
      <c r="E50" s="5" t="s">
        <v>578</v>
      </c>
      <c r="F50" s="1" t="s">
        <v>327</v>
      </c>
      <c r="G50" s="14">
        <v>0.27</v>
      </c>
      <c r="H50" s="13" t="s">
        <v>27</v>
      </c>
      <c r="I50" s="14">
        <v>0.27</v>
      </c>
      <c r="J50" s="13" t="s">
        <v>573</v>
      </c>
      <c r="K50" s="13" t="s">
        <v>572</v>
      </c>
      <c r="L50" s="13" t="s">
        <v>34</v>
      </c>
      <c r="M50" s="13" t="s">
        <v>35</v>
      </c>
      <c r="N50" s="12">
        <v>0</v>
      </c>
      <c r="O50" s="12">
        <v>0.27</v>
      </c>
    </row>
    <row r="51" spans="1:15" ht="60">
      <c r="A51" s="1">
        <v>48</v>
      </c>
      <c r="B51" s="1" t="s">
        <v>198</v>
      </c>
      <c r="C51" s="1" t="s">
        <v>199</v>
      </c>
      <c r="D51" s="1" t="s">
        <v>200</v>
      </c>
      <c r="E51" s="1" t="s">
        <v>201</v>
      </c>
      <c r="F51" s="1" t="s">
        <v>326</v>
      </c>
      <c r="G51" s="13">
        <v>0.28999999999999998</v>
      </c>
      <c r="H51" s="13" t="s">
        <v>35</v>
      </c>
      <c r="I51" s="12">
        <v>0.28999999999999998</v>
      </c>
      <c r="J51" s="13" t="s">
        <v>398</v>
      </c>
      <c r="K51" s="13" t="s">
        <v>193</v>
      </c>
      <c r="L51" s="13" t="s">
        <v>18</v>
      </c>
      <c r="M51" s="13" t="s">
        <v>134</v>
      </c>
      <c r="N51" s="12">
        <v>0</v>
      </c>
      <c r="O51" s="12">
        <f t="shared" si="0"/>
        <v>0.28999999999999998</v>
      </c>
    </row>
    <row r="52" spans="1:15" ht="75">
      <c r="A52" s="1">
        <v>49</v>
      </c>
      <c r="B52" s="1" t="s">
        <v>339</v>
      </c>
      <c r="C52" s="1" t="s">
        <v>199</v>
      </c>
      <c r="D52" s="1" t="s">
        <v>329</v>
      </c>
      <c r="E52" s="1" t="s">
        <v>330</v>
      </c>
      <c r="F52" s="1" t="s">
        <v>326</v>
      </c>
      <c r="G52" s="13">
        <v>13.08</v>
      </c>
      <c r="H52" s="13" t="s">
        <v>35</v>
      </c>
      <c r="I52" s="12">
        <v>0.01</v>
      </c>
      <c r="J52" s="13" t="s">
        <v>397</v>
      </c>
      <c r="K52" s="13" t="s">
        <v>331</v>
      </c>
      <c r="L52" s="13" t="s">
        <v>34</v>
      </c>
      <c r="M52" s="13" t="s">
        <v>135</v>
      </c>
      <c r="N52" s="12">
        <v>0</v>
      </c>
      <c r="O52" s="12">
        <f t="shared" si="0"/>
        <v>0.01</v>
      </c>
    </row>
    <row r="53" spans="1:15" ht="120">
      <c r="A53" s="1">
        <v>50</v>
      </c>
      <c r="B53" s="1" t="s">
        <v>202</v>
      </c>
      <c r="C53" s="1" t="s">
        <v>203</v>
      </c>
      <c r="D53" s="1" t="s">
        <v>204</v>
      </c>
      <c r="E53" s="1" t="s">
        <v>205</v>
      </c>
      <c r="F53" s="1" t="s">
        <v>326</v>
      </c>
      <c r="G53" s="12">
        <v>116.42</v>
      </c>
      <c r="H53" s="12">
        <v>2.5299999999999998</v>
      </c>
      <c r="I53" s="12">
        <v>21.04</v>
      </c>
      <c r="J53" s="13" t="s">
        <v>515</v>
      </c>
      <c r="K53" s="13" t="s">
        <v>504</v>
      </c>
      <c r="L53" s="13" t="s">
        <v>18</v>
      </c>
      <c r="M53" s="13" t="s">
        <v>567</v>
      </c>
      <c r="N53" s="12">
        <v>9.99</v>
      </c>
      <c r="O53" s="12">
        <f t="shared" si="0"/>
        <v>11.049999999999999</v>
      </c>
    </row>
    <row r="54" spans="1:15" ht="120">
      <c r="A54" s="1">
        <v>51</v>
      </c>
      <c r="B54" s="1" t="s">
        <v>206</v>
      </c>
      <c r="C54" s="1" t="s">
        <v>207</v>
      </c>
      <c r="D54" s="1" t="s">
        <v>208</v>
      </c>
      <c r="E54" s="1" t="s">
        <v>209</v>
      </c>
      <c r="F54" s="1" t="s">
        <v>326</v>
      </c>
      <c r="G54" s="12">
        <v>33.25</v>
      </c>
      <c r="H54" s="12">
        <v>3.12</v>
      </c>
      <c r="I54" s="12">
        <v>13</v>
      </c>
      <c r="J54" s="13" t="s">
        <v>524</v>
      </c>
      <c r="K54" s="13" t="s">
        <v>506</v>
      </c>
      <c r="L54" s="13" t="s">
        <v>18</v>
      </c>
      <c r="M54" s="13" t="s">
        <v>568</v>
      </c>
      <c r="N54" s="12">
        <v>6.38</v>
      </c>
      <c r="O54" s="12">
        <f t="shared" si="0"/>
        <v>6.62</v>
      </c>
    </row>
    <row r="55" spans="1:15" ht="120">
      <c r="A55" s="1">
        <v>52</v>
      </c>
      <c r="B55" s="1" t="s">
        <v>210</v>
      </c>
      <c r="C55" s="1" t="s">
        <v>207</v>
      </c>
      <c r="D55" s="1" t="s">
        <v>211</v>
      </c>
      <c r="E55" s="1" t="s">
        <v>212</v>
      </c>
      <c r="F55" s="1" t="s">
        <v>326</v>
      </c>
      <c r="G55" s="12">
        <v>110.11</v>
      </c>
      <c r="H55" s="12">
        <v>41.67</v>
      </c>
      <c r="I55" s="12">
        <v>53</v>
      </c>
      <c r="J55" s="13" t="s">
        <v>520</v>
      </c>
      <c r="K55" s="13" t="s">
        <v>506</v>
      </c>
      <c r="L55" s="13" t="s">
        <v>112</v>
      </c>
      <c r="M55" s="13" t="s">
        <v>35</v>
      </c>
      <c r="N55" s="12">
        <v>25</v>
      </c>
      <c r="O55" s="12">
        <f t="shared" si="0"/>
        <v>28</v>
      </c>
    </row>
    <row r="56" spans="1:15" ht="60">
      <c r="A56" s="1">
        <v>53</v>
      </c>
      <c r="B56" s="1" t="s">
        <v>213</v>
      </c>
      <c r="C56" s="1" t="s">
        <v>207</v>
      </c>
      <c r="D56" s="1" t="s">
        <v>214</v>
      </c>
      <c r="E56" s="1" t="s">
        <v>215</v>
      </c>
      <c r="F56" s="1" t="s">
        <v>327</v>
      </c>
      <c r="G56" s="12">
        <v>1.18</v>
      </c>
      <c r="H56" s="12" t="s">
        <v>27</v>
      </c>
      <c r="I56" s="12">
        <v>0.2</v>
      </c>
      <c r="J56" s="13" t="s">
        <v>446</v>
      </c>
      <c r="K56" s="13" t="s">
        <v>376</v>
      </c>
      <c r="L56" s="13" t="s">
        <v>34</v>
      </c>
      <c r="M56" s="13" t="s">
        <v>35</v>
      </c>
      <c r="N56" s="12">
        <v>0</v>
      </c>
      <c r="O56" s="12">
        <f t="shared" si="0"/>
        <v>0.2</v>
      </c>
    </row>
    <row r="57" spans="1:15" ht="60">
      <c r="A57" s="1">
        <v>54</v>
      </c>
      <c r="B57" s="1" t="s">
        <v>216</v>
      </c>
      <c r="C57" s="1" t="s">
        <v>207</v>
      </c>
      <c r="D57" s="1" t="s">
        <v>214</v>
      </c>
      <c r="E57" s="1" t="s">
        <v>217</v>
      </c>
      <c r="F57" s="1" t="s">
        <v>327</v>
      </c>
      <c r="G57" s="12">
        <v>0.99</v>
      </c>
      <c r="H57" s="12" t="s">
        <v>27</v>
      </c>
      <c r="I57" s="12">
        <v>0.11</v>
      </c>
      <c r="J57" s="13" t="s">
        <v>447</v>
      </c>
      <c r="K57" s="13" t="s">
        <v>377</v>
      </c>
      <c r="L57" s="13" t="s">
        <v>34</v>
      </c>
      <c r="M57" s="13" t="s">
        <v>35</v>
      </c>
      <c r="N57" s="12">
        <v>0</v>
      </c>
      <c r="O57" s="12">
        <f t="shared" si="0"/>
        <v>0.11</v>
      </c>
    </row>
    <row r="58" spans="1:15" ht="60">
      <c r="A58" s="1">
        <v>55</v>
      </c>
      <c r="B58" s="1" t="s">
        <v>218</v>
      </c>
      <c r="C58" s="1" t="s">
        <v>207</v>
      </c>
      <c r="D58" s="1" t="s">
        <v>219</v>
      </c>
      <c r="E58" s="1" t="s">
        <v>220</v>
      </c>
      <c r="F58" s="1" t="s">
        <v>327</v>
      </c>
      <c r="G58" s="12">
        <v>0.6</v>
      </c>
      <c r="H58" s="12" t="s">
        <v>27</v>
      </c>
      <c r="I58" s="12">
        <v>0.28999999999999998</v>
      </c>
      <c r="J58" s="13" t="s">
        <v>448</v>
      </c>
      <c r="K58" s="13" t="s">
        <v>54</v>
      </c>
      <c r="L58" s="13" t="s">
        <v>18</v>
      </c>
      <c r="M58" s="13" t="s">
        <v>221</v>
      </c>
      <c r="N58" s="12">
        <v>0</v>
      </c>
      <c r="O58" s="12">
        <f t="shared" si="0"/>
        <v>0.28999999999999998</v>
      </c>
    </row>
    <row r="59" spans="1:15" ht="75">
      <c r="A59" s="1">
        <v>56</v>
      </c>
      <c r="B59" s="1" t="s">
        <v>222</v>
      </c>
      <c r="C59" s="1" t="s">
        <v>207</v>
      </c>
      <c r="D59" s="1" t="s">
        <v>214</v>
      </c>
      <c r="E59" s="1" t="s">
        <v>223</v>
      </c>
      <c r="F59" s="1" t="s">
        <v>327</v>
      </c>
      <c r="G59" s="12">
        <v>0.77</v>
      </c>
      <c r="H59" s="12" t="s">
        <v>27</v>
      </c>
      <c r="I59" s="12">
        <v>0.13</v>
      </c>
      <c r="J59" s="13" t="s">
        <v>449</v>
      </c>
      <c r="K59" s="13" t="s">
        <v>69</v>
      </c>
      <c r="L59" s="13" t="s">
        <v>18</v>
      </c>
      <c r="M59" s="13" t="s">
        <v>554</v>
      </c>
      <c r="N59" s="12">
        <v>0</v>
      </c>
      <c r="O59" s="12">
        <f t="shared" si="0"/>
        <v>0.13</v>
      </c>
    </row>
    <row r="60" spans="1:15" ht="60">
      <c r="A60" s="1">
        <v>57</v>
      </c>
      <c r="B60" s="1" t="s">
        <v>224</v>
      </c>
      <c r="C60" s="1" t="s">
        <v>207</v>
      </c>
      <c r="D60" s="1" t="s">
        <v>214</v>
      </c>
      <c r="E60" s="1" t="s">
        <v>225</v>
      </c>
      <c r="F60" s="1" t="s">
        <v>327</v>
      </c>
      <c r="G60" s="12">
        <v>0.25</v>
      </c>
      <c r="H60" s="12" t="s">
        <v>27</v>
      </c>
      <c r="I60" s="12">
        <v>0.11</v>
      </c>
      <c r="J60" s="13" t="s">
        <v>450</v>
      </c>
      <c r="K60" s="13" t="s">
        <v>69</v>
      </c>
      <c r="L60" s="13" t="s">
        <v>34</v>
      </c>
      <c r="M60" s="13" t="s">
        <v>35</v>
      </c>
      <c r="N60" s="12">
        <v>0</v>
      </c>
      <c r="O60" s="12">
        <f t="shared" si="0"/>
        <v>0.11</v>
      </c>
    </row>
    <row r="61" spans="1:15" ht="60">
      <c r="A61" s="1">
        <v>58</v>
      </c>
      <c r="B61" s="1" t="s">
        <v>226</v>
      </c>
      <c r="C61" s="1" t="s">
        <v>207</v>
      </c>
      <c r="D61" s="1" t="s">
        <v>214</v>
      </c>
      <c r="E61" s="1" t="s">
        <v>227</v>
      </c>
      <c r="F61" s="1" t="s">
        <v>327</v>
      </c>
      <c r="G61" s="12">
        <v>0.91</v>
      </c>
      <c r="H61" s="12" t="s">
        <v>27</v>
      </c>
      <c r="I61" s="12">
        <v>0.4</v>
      </c>
      <c r="J61" s="13" t="s">
        <v>451</v>
      </c>
      <c r="K61" s="13" t="s">
        <v>144</v>
      </c>
      <c r="L61" s="13" t="s">
        <v>18</v>
      </c>
      <c r="M61" s="13" t="s">
        <v>221</v>
      </c>
      <c r="N61" s="12">
        <v>0</v>
      </c>
      <c r="O61" s="12">
        <f t="shared" si="0"/>
        <v>0.4</v>
      </c>
    </row>
    <row r="62" spans="1:15" ht="30">
      <c r="A62" s="1">
        <v>59</v>
      </c>
      <c r="B62" s="1" t="s">
        <v>228</v>
      </c>
      <c r="C62" s="1" t="s">
        <v>207</v>
      </c>
      <c r="D62" s="1" t="s">
        <v>229</v>
      </c>
      <c r="E62" s="1" t="s">
        <v>230</v>
      </c>
      <c r="F62" s="1" t="s">
        <v>327</v>
      </c>
      <c r="G62" s="12">
        <v>0.65</v>
      </c>
      <c r="H62" s="12" t="s">
        <v>27</v>
      </c>
      <c r="I62" s="12">
        <v>0.65</v>
      </c>
      <c r="J62" s="13" t="s">
        <v>452</v>
      </c>
      <c r="K62" s="13" t="s">
        <v>144</v>
      </c>
      <c r="L62" s="13" t="s">
        <v>18</v>
      </c>
      <c r="M62" s="13" t="s">
        <v>231</v>
      </c>
      <c r="N62" s="12">
        <v>0</v>
      </c>
      <c r="O62" s="12">
        <f t="shared" si="0"/>
        <v>0.65</v>
      </c>
    </row>
    <row r="63" spans="1:15" ht="60">
      <c r="A63" s="1">
        <v>60</v>
      </c>
      <c r="B63" s="1" t="s">
        <v>232</v>
      </c>
      <c r="C63" s="1" t="s">
        <v>207</v>
      </c>
      <c r="D63" s="1" t="s">
        <v>214</v>
      </c>
      <c r="E63" s="1" t="s">
        <v>233</v>
      </c>
      <c r="F63" s="1" t="s">
        <v>327</v>
      </c>
      <c r="G63" s="12">
        <v>0.82</v>
      </c>
      <c r="H63" s="12" t="s">
        <v>27</v>
      </c>
      <c r="I63" s="12">
        <v>0.82</v>
      </c>
      <c r="J63" s="13" t="s">
        <v>453</v>
      </c>
      <c r="K63" s="13" t="s">
        <v>148</v>
      </c>
      <c r="L63" s="13" t="s">
        <v>18</v>
      </c>
      <c r="M63" s="13" t="s">
        <v>194</v>
      </c>
      <c r="N63" s="12">
        <v>0</v>
      </c>
      <c r="O63" s="12">
        <f t="shared" si="0"/>
        <v>0.82</v>
      </c>
    </row>
    <row r="64" spans="1:15" ht="60">
      <c r="A64" s="1">
        <v>61</v>
      </c>
      <c r="B64" s="1" t="s">
        <v>234</v>
      </c>
      <c r="C64" s="1" t="s">
        <v>207</v>
      </c>
      <c r="D64" s="1" t="s">
        <v>235</v>
      </c>
      <c r="E64" s="1" t="s">
        <v>236</v>
      </c>
      <c r="F64" s="1" t="s">
        <v>327</v>
      </c>
      <c r="G64" s="12">
        <v>7.0000000000000007E-2</v>
      </c>
      <c r="H64" s="12" t="s">
        <v>27</v>
      </c>
      <c r="I64" s="12">
        <v>7.0000000000000007E-2</v>
      </c>
      <c r="J64" s="13" t="s">
        <v>454</v>
      </c>
      <c r="K64" s="13" t="s">
        <v>163</v>
      </c>
      <c r="L64" s="13" t="s">
        <v>18</v>
      </c>
      <c r="M64" s="13" t="s">
        <v>552</v>
      </c>
      <c r="N64" s="12">
        <v>0</v>
      </c>
      <c r="O64" s="12">
        <f t="shared" si="0"/>
        <v>7.0000000000000007E-2</v>
      </c>
    </row>
    <row r="65" spans="1:15" ht="45">
      <c r="A65" s="1">
        <v>62</v>
      </c>
      <c r="B65" s="1" t="s">
        <v>355</v>
      </c>
      <c r="C65" s="1" t="s">
        <v>207</v>
      </c>
      <c r="D65" s="1" t="s">
        <v>229</v>
      </c>
      <c r="E65" s="1" t="s">
        <v>356</v>
      </c>
      <c r="F65" s="1" t="s">
        <v>327</v>
      </c>
      <c r="G65" s="12">
        <v>0.28999999999999998</v>
      </c>
      <c r="H65" s="12" t="s">
        <v>27</v>
      </c>
      <c r="I65" s="12">
        <v>0.28999999999999998</v>
      </c>
      <c r="J65" s="13" t="s">
        <v>455</v>
      </c>
      <c r="K65" s="13" t="s">
        <v>331</v>
      </c>
      <c r="L65" s="13" t="s">
        <v>34</v>
      </c>
      <c r="M65" s="13" t="s">
        <v>35</v>
      </c>
      <c r="N65" s="12">
        <v>0</v>
      </c>
      <c r="O65" s="12">
        <f t="shared" si="0"/>
        <v>0.28999999999999998</v>
      </c>
    </row>
    <row r="66" spans="1:15" ht="105">
      <c r="A66" s="1">
        <v>63</v>
      </c>
      <c r="B66" s="1" t="s">
        <v>357</v>
      </c>
      <c r="C66" s="1" t="s">
        <v>207</v>
      </c>
      <c r="D66" s="1" t="s">
        <v>358</v>
      </c>
      <c r="E66" s="1" t="s">
        <v>359</v>
      </c>
      <c r="F66" s="1" t="s">
        <v>327</v>
      </c>
      <c r="G66" s="12">
        <v>0.5</v>
      </c>
      <c r="H66" s="12" t="s">
        <v>27</v>
      </c>
      <c r="I66" s="12">
        <v>0.5</v>
      </c>
      <c r="J66" s="13" t="s">
        <v>456</v>
      </c>
      <c r="K66" s="13" t="s">
        <v>346</v>
      </c>
      <c r="L66" s="13" t="s">
        <v>18</v>
      </c>
      <c r="M66" s="13" t="s">
        <v>35</v>
      </c>
      <c r="N66" s="12">
        <v>0</v>
      </c>
      <c r="O66" s="12">
        <f t="shared" si="0"/>
        <v>0.5</v>
      </c>
    </row>
    <row r="67" spans="1:15" ht="45">
      <c r="A67" s="1">
        <v>64</v>
      </c>
      <c r="B67" s="1" t="s">
        <v>360</v>
      </c>
      <c r="C67" s="1" t="s">
        <v>207</v>
      </c>
      <c r="D67" s="1" t="s">
        <v>362</v>
      </c>
      <c r="E67" s="1" t="s">
        <v>361</v>
      </c>
      <c r="F67" s="1" t="s">
        <v>327</v>
      </c>
      <c r="G67" s="12">
        <v>0.46</v>
      </c>
      <c r="H67" s="12" t="s">
        <v>27</v>
      </c>
      <c r="I67" s="12">
        <v>0.46</v>
      </c>
      <c r="J67" s="13" t="s">
        <v>457</v>
      </c>
      <c r="K67" s="13" t="s">
        <v>194</v>
      </c>
      <c r="L67" s="13" t="s">
        <v>18</v>
      </c>
      <c r="M67" s="13" t="s">
        <v>35</v>
      </c>
      <c r="N67" s="12">
        <v>0</v>
      </c>
      <c r="O67" s="12">
        <f t="shared" si="0"/>
        <v>0.46</v>
      </c>
    </row>
    <row r="68" spans="1:15" ht="60">
      <c r="A68" s="1">
        <v>65</v>
      </c>
      <c r="B68" s="1" t="s">
        <v>237</v>
      </c>
      <c r="C68" s="1" t="s">
        <v>238</v>
      </c>
      <c r="D68" s="1" t="s">
        <v>239</v>
      </c>
      <c r="E68" s="1" t="s">
        <v>240</v>
      </c>
      <c r="F68" s="1" t="s">
        <v>326</v>
      </c>
      <c r="G68" s="12">
        <v>480</v>
      </c>
      <c r="H68" s="12">
        <v>0.1</v>
      </c>
      <c r="I68" s="12">
        <v>5</v>
      </c>
      <c r="J68" s="13" t="s">
        <v>399</v>
      </c>
      <c r="K68" s="13" t="s">
        <v>59</v>
      </c>
      <c r="L68" s="13" t="s">
        <v>18</v>
      </c>
      <c r="M68" s="13" t="s">
        <v>241</v>
      </c>
      <c r="N68" s="12">
        <v>0.81</v>
      </c>
      <c r="O68" s="12">
        <f t="shared" si="0"/>
        <v>4.1899999999999995</v>
      </c>
    </row>
    <row r="69" spans="1:15" ht="60">
      <c r="A69" s="1">
        <v>66</v>
      </c>
      <c r="B69" s="1" t="s">
        <v>237</v>
      </c>
      <c r="C69" s="1" t="s">
        <v>238</v>
      </c>
      <c r="D69" s="1" t="s">
        <v>239</v>
      </c>
      <c r="E69" s="1" t="s">
        <v>242</v>
      </c>
      <c r="F69" s="1" t="s">
        <v>326</v>
      </c>
      <c r="G69" s="12">
        <v>495.75</v>
      </c>
      <c r="H69" s="12">
        <v>0.1</v>
      </c>
      <c r="I69" s="12">
        <v>5</v>
      </c>
      <c r="J69" s="13" t="s">
        <v>399</v>
      </c>
      <c r="K69" s="13" t="s">
        <v>59</v>
      </c>
      <c r="L69" s="13" t="s">
        <v>18</v>
      </c>
      <c r="M69" s="13" t="s">
        <v>243</v>
      </c>
      <c r="N69" s="12">
        <v>0.1</v>
      </c>
      <c r="O69" s="12">
        <f t="shared" si="0"/>
        <v>4.9000000000000004</v>
      </c>
    </row>
    <row r="70" spans="1:15" ht="45">
      <c r="A70" s="1">
        <v>67</v>
      </c>
      <c r="B70" s="1" t="s">
        <v>244</v>
      </c>
      <c r="C70" s="1" t="s">
        <v>238</v>
      </c>
      <c r="D70" s="1" t="s">
        <v>245</v>
      </c>
      <c r="E70" s="1" t="s">
        <v>246</v>
      </c>
      <c r="F70" s="1" t="s">
        <v>327</v>
      </c>
      <c r="G70" s="12">
        <v>0.84</v>
      </c>
      <c r="H70" s="12" t="s">
        <v>27</v>
      </c>
      <c r="I70" s="12">
        <v>0.21</v>
      </c>
      <c r="J70" s="13" t="s">
        <v>458</v>
      </c>
      <c r="K70" s="13" t="s">
        <v>247</v>
      </c>
      <c r="L70" s="13" t="s">
        <v>18</v>
      </c>
      <c r="M70" s="13" t="s">
        <v>370</v>
      </c>
      <c r="N70" s="12">
        <v>0</v>
      </c>
      <c r="O70" s="12">
        <f t="shared" si="0"/>
        <v>0.21</v>
      </c>
    </row>
    <row r="71" spans="1:15" ht="45">
      <c r="A71" s="1">
        <v>68</v>
      </c>
      <c r="B71" s="1" t="s">
        <v>248</v>
      </c>
      <c r="C71" s="1" t="s">
        <v>238</v>
      </c>
      <c r="D71" s="1" t="s">
        <v>245</v>
      </c>
      <c r="E71" s="1" t="s">
        <v>249</v>
      </c>
      <c r="F71" s="1" t="s">
        <v>327</v>
      </c>
      <c r="G71" s="12">
        <v>0.79</v>
      </c>
      <c r="H71" s="12" t="s">
        <v>27</v>
      </c>
      <c r="I71" s="12">
        <v>0.79</v>
      </c>
      <c r="J71" s="13" t="s">
        <v>459</v>
      </c>
      <c r="K71" s="13" t="s">
        <v>250</v>
      </c>
      <c r="L71" s="13" t="s">
        <v>34</v>
      </c>
      <c r="M71" s="13" t="s">
        <v>35</v>
      </c>
      <c r="N71" s="12">
        <v>0</v>
      </c>
      <c r="O71" s="12">
        <f t="shared" si="0"/>
        <v>0.79</v>
      </c>
    </row>
    <row r="72" spans="1:15" ht="60">
      <c r="A72" s="1">
        <v>69</v>
      </c>
      <c r="B72" s="1" t="s">
        <v>251</v>
      </c>
      <c r="C72" s="1" t="s">
        <v>238</v>
      </c>
      <c r="D72" s="1" t="s">
        <v>245</v>
      </c>
      <c r="E72" s="1" t="s">
        <v>252</v>
      </c>
      <c r="F72" s="1" t="s">
        <v>327</v>
      </c>
      <c r="G72" s="12">
        <v>0.06</v>
      </c>
      <c r="H72" s="12" t="s">
        <v>27</v>
      </c>
      <c r="I72" s="12">
        <v>0.06</v>
      </c>
      <c r="J72" s="13" t="s">
        <v>460</v>
      </c>
      <c r="K72" s="13" t="s">
        <v>163</v>
      </c>
      <c r="L72" s="13" t="s">
        <v>18</v>
      </c>
      <c r="M72" s="13" t="s">
        <v>370</v>
      </c>
      <c r="N72" s="12">
        <v>0</v>
      </c>
      <c r="O72" s="12">
        <f t="shared" si="0"/>
        <v>0.06</v>
      </c>
    </row>
    <row r="73" spans="1:15" ht="78.75">
      <c r="A73" s="1">
        <v>70</v>
      </c>
      <c r="B73" s="5" t="s">
        <v>470</v>
      </c>
      <c r="C73" s="1" t="s">
        <v>238</v>
      </c>
      <c r="D73" s="5" t="s">
        <v>471</v>
      </c>
      <c r="E73" s="6" t="s">
        <v>475</v>
      </c>
      <c r="F73" s="1" t="s">
        <v>327</v>
      </c>
      <c r="G73" s="12">
        <v>0.99</v>
      </c>
      <c r="H73" s="12" t="s">
        <v>27</v>
      </c>
      <c r="I73" s="15">
        <v>0.99</v>
      </c>
      <c r="J73" s="13" t="s">
        <v>472</v>
      </c>
      <c r="K73" s="13" t="s">
        <v>473</v>
      </c>
      <c r="L73" s="13" t="s">
        <v>18</v>
      </c>
      <c r="M73" s="13" t="s">
        <v>555</v>
      </c>
      <c r="N73" s="12">
        <v>0</v>
      </c>
      <c r="O73" s="15">
        <v>0.99</v>
      </c>
    </row>
    <row r="74" spans="1:15" ht="78.75">
      <c r="A74" s="1">
        <v>71</v>
      </c>
      <c r="B74" s="5" t="s">
        <v>536</v>
      </c>
      <c r="C74" s="1" t="s">
        <v>238</v>
      </c>
      <c r="D74" s="5" t="s">
        <v>471</v>
      </c>
      <c r="E74" s="8" t="s">
        <v>538</v>
      </c>
      <c r="F74" s="1" t="s">
        <v>327</v>
      </c>
      <c r="G74" s="12">
        <v>0.53</v>
      </c>
      <c r="H74" s="12" t="s">
        <v>27</v>
      </c>
      <c r="I74" s="12">
        <v>0.53</v>
      </c>
      <c r="J74" s="13" t="s">
        <v>537</v>
      </c>
      <c r="K74" s="13" t="s">
        <v>487</v>
      </c>
      <c r="L74" s="13" t="s">
        <v>34</v>
      </c>
      <c r="M74" s="13" t="s">
        <v>35</v>
      </c>
      <c r="N74" s="12">
        <v>0</v>
      </c>
      <c r="O74" s="12">
        <v>0.53</v>
      </c>
    </row>
    <row r="75" spans="1:15" ht="78.75">
      <c r="A75" s="1">
        <v>72</v>
      </c>
      <c r="B75" s="9" t="s">
        <v>542</v>
      </c>
      <c r="C75" s="1" t="s">
        <v>238</v>
      </c>
      <c r="D75" s="9" t="s">
        <v>471</v>
      </c>
      <c r="E75" s="8" t="s">
        <v>545</v>
      </c>
      <c r="F75" s="1" t="s">
        <v>327</v>
      </c>
      <c r="G75" s="12">
        <v>6.79</v>
      </c>
      <c r="H75" s="12" t="s">
        <v>27</v>
      </c>
      <c r="I75" s="12">
        <v>0.01</v>
      </c>
      <c r="J75" s="13" t="s">
        <v>543</v>
      </c>
      <c r="K75" s="13" t="s">
        <v>541</v>
      </c>
      <c r="L75" s="13" t="s">
        <v>34</v>
      </c>
      <c r="M75" s="13" t="s">
        <v>35</v>
      </c>
      <c r="N75" s="12">
        <v>0</v>
      </c>
      <c r="O75" s="15">
        <v>0.01</v>
      </c>
    </row>
    <row r="76" spans="1:15" ht="60">
      <c r="A76" s="1">
        <v>73</v>
      </c>
      <c r="B76" s="1" t="s">
        <v>256</v>
      </c>
      <c r="C76" s="1" t="s">
        <v>257</v>
      </c>
      <c r="D76" s="1" t="s">
        <v>258</v>
      </c>
      <c r="E76" s="1" t="s">
        <v>259</v>
      </c>
      <c r="F76" s="1" t="s">
        <v>327</v>
      </c>
      <c r="G76" s="12">
        <v>0.9</v>
      </c>
      <c r="H76" s="12" t="s">
        <v>27</v>
      </c>
      <c r="I76" s="12">
        <v>0.9</v>
      </c>
      <c r="J76" s="13" t="s">
        <v>461</v>
      </c>
      <c r="K76" s="13" t="s">
        <v>250</v>
      </c>
      <c r="L76" s="13" t="s">
        <v>34</v>
      </c>
      <c r="M76" s="13" t="s">
        <v>35</v>
      </c>
      <c r="N76" s="12">
        <v>0</v>
      </c>
      <c r="O76" s="12">
        <f t="shared" si="0"/>
        <v>0.9</v>
      </c>
    </row>
    <row r="77" spans="1:15" ht="60">
      <c r="A77" s="1">
        <v>74</v>
      </c>
      <c r="B77" s="1" t="s">
        <v>253</v>
      </c>
      <c r="C77" s="1" t="s">
        <v>254</v>
      </c>
      <c r="D77" s="1" t="s">
        <v>254</v>
      </c>
      <c r="E77" s="1" t="s">
        <v>255</v>
      </c>
      <c r="F77" s="1" t="s">
        <v>327</v>
      </c>
      <c r="G77" s="12">
        <v>0.19</v>
      </c>
      <c r="H77" s="12" t="s">
        <v>27</v>
      </c>
      <c r="I77" s="12">
        <v>0.19</v>
      </c>
      <c r="J77" s="13" t="s">
        <v>462</v>
      </c>
      <c r="K77" s="13" t="s">
        <v>39</v>
      </c>
      <c r="L77" s="13" t="s">
        <v>18</v>
      </c>
      <c r="M77" s="13" t="s">
        <v>371</v>
      </c>
      <c r="N77" s="12">
        <v>0</v>
      </c>
      <c r="O77" s="12">
        <f t="shared" si="0"/>
        <v>0.19</v>
      </c>
    </row>
    <row r="78" spans="1:15" ht="82.5" customHeight="1">
      <c r="A78" s="1">
        <v>75</v>
      </c>
      <c r="B78" s="1" t="s">
        <v>269</v>
      </c>
      <c r="C78" s="1" t="s">
        <v>270</v>
      </c>
      <c r="D78" s="1" t="s">
        <v>270</v>
      </c>
      <c r="E78" s="1" t="s">
        <v>499</v>
      </c>
      <c r="F78" s="1" t="s">
        <v>326</v>
      </c>
      <c r="G78" s="12">
        <v>15.14</v>
      </c>
      <c r="H78" s="12">
        <v>10.35</v>
      </c>
      <c r="I78" s="12">
        <v>2.44</v>
      </c>
      <c r="J78" s="13" t="s">
        <v>495</v>
      </c>
      <c r="K78" s="13" t="s">
        <v>496</v>
      </c>
      <c r="L78" s="13" t="s">
        <v>18</v>
      </c>
      <c r="M78" s="13" t="s">
        <v>241</v>
      </c>
      <c r="N78" s="12">
        <v>2.0699999999999998</v>
      </c>
      <c r="O78" s="12">
        <f t="shared" si="0"/>
        <v>0.37000000000000011</v>
      </c>
    </row>
    <row r="79" spans="1:15" ht="113.25" customHeight="1">
      <c r="A79" s="1">
        <v>76</v>
      </c>
      <c r="B79" s="1" t="s">
        <v>269</v>
      </c>
      <c r="C79" s="1" t="s">
        <v>270</v>
      </c>
      <c r="D79" s="1" t="s">
        <v>270</v>
      </c>
      <c r="E79" s="1" t="s">
        <v>503</v>
      </c>
      <c r="F79" s="1" t="s">
        <v>326</v>
      </c>
      <c r="G79" s="12">
        <v>702.27</v>
      </c>
      <c r="H79" s="12">
        <v>0</v>
      </c>
      <c r="I79" s="12">
        <v>20.56</v>
      </c>
      <c r="J79" s="13" t="s">
        <v>500</v>
      </c>
      <c r="K79" s="13" t="s">
        <v>494</v>
      </c>
      <c r="L79" s="13" t="s">
        <v>18</v>
      </c>
      <c r="M79" s="13" t="s">
        <v>509</v>
      </c>
      <c r="N79" s="12">
        <v>0</v>
      </c>
      <c r="O79" s="12">
        <f t="shared" ref="O79" si="1">+I79-N79</f>
        <v>20.56</v>
      </c>
    </row>
    <row r="80" spans="1:15" ht="60">
      <c r="A80" s="1">
        <v>77</v>
      </c>
      <c r="B80" s="1" t="s">
        <v>269</v>
      </c>
      <c r="C80" s="1" t="s">
        <v>270</v>
      </c>
      <c r="D80" s="1" t="s">
        <v>270</v>
      </c>
      <c r="E80" s="1" t="s">
        <v>501</v>
      </c>
      <c r="F80" s="1" t="s">
        <v>326</v>
      </c>
      <c r="G80" s="12">
        <v>2</v>
      </c>
      <c r="H80" s="12" t="s">
        <v>35</v>
      </c>
      <c r="I80" s="12">
        <v>2</v>
      </c>
      <c r="J80" s="13" t="s">
        <v>400</v>
      </c>
      <c r="K80" s="13" t="s">
        <v>17</v>
      </c>
      <c r="L80" s="13" t="s">
        <v>18</v>
      </c>
      <c r="M80" s="13" t="s">
        <v>78</v>
      </c>
      <c r="N80" s="12">
        <v>1.32</v>
      </c>
      <c r="O80" s="12">
        <f t="shared" si="0"/>
        <v>0.67999999999999994</v>
      </c>
    </row>
    <row r="81" spans="1:15" ht="120">
      <c r="A81" s="1">
        <v>78</v>
      </c>
      <c r="B81" s="1" t="s">
        <v>271</v>
      </c>
      <c r="C81" s="1" t="s">
        <v>270</v>
      </c>
      <c r="D81" s="1" t="s">
        <v>176</v>
      </c>
      <c r="E81" s="1" t="s">
        <v>272</v>
      </c>
      <c r="F81" s="1" t="s">
        <v>326</v>
      </c>
      <c r="G81" s="12">
        <v>46.71</v>
      </c>
      <c r="H81" s="12">
        <v>42.85</v>
      </c>
      <c r="I81" s="12">
        <v>3.86</v>
      </c>
      <c r="J81" s="13" t="s">
        <v>516</v>
      </c>
      <c r="K81" s="13" t="s">
        <v>513</v>
      </c>
      <c r="L81" s="13" t="s">
        <v>112</v>
      </c>
      <c r="M81" s="13" t="s">
        <v>35</v>
      </c>
      <c r="N81" s="12">
        <v>0</v>
      </c>
      <c r="O81" s="12">
        <f t="shared" ref="O81:O115" si="2">+I81-N81</f>
        <v>3.86</v>
      </c>
    </row>
    <row r="82" spans="1:15" ht="45">
      <c r="A82" s="1">
        <v>79</v>
      </c>
      <c r="B82" s="1" t="s">
        <v>274</v>
      </c>
      <c r="C82" s="1" t="s">
        <v>270</v>
      </c>
      <c r="D82" s="1" t="s">
        <v>275</v>
      </c>
      <c r="E82" s="1" t="s">
        <v>276</v>
      </c>
      <c r="F82" s="1" t="s">
        <v>327</v>
      </c>
      <c r="G82" s="12">
        <v>1.75</v>
      </c>
      <c r="H82" s="12" t="s">
        <v>27</v>
      </c>
      <c r="I82" s="12">
        <v>0.56999999999999995</v>
      </c>
      <c r="J82" s="13" t="s">
        <v>463</v>
      </c>
      <c r="K82" s="13" t="s">
        <v>54</v>
      </c>
      <c r="L82" s="13" t="s">
        <v>18</v>
      </c>
      <c r="M82" s="13" t="s">
        <v>78</v>
      </c>
      <c r="N82" s="12">
        <v>0.48</v>
      </c>
      <c r="O82" s="12">
        <f t="shared" si="2"/>
        <v>8.9999999999999969E-2</v>
      </c>
    </row>
    <row r="83" spans="1:15" ht="63">
      <c r="A83" s="1">
        <v>80</v>
      </c>
      <c r="B83" s="1" t="s">
        <v>484</v>
      </c>
      <c r="C83" s="1" t="s">
        <v>270</v>
      </c>
      <c r="D83" s="1" t="s">
        <v>275</v>
      </c>
      <c r="E83" s="1" t="s">
        <v>502</v>
      </c>
      <c r="F83" s="1" t="s">
        <v>327</v>
      </c>
      <c r="G83" s="12">
        <v>2.5099999999999998</v>
      </c>
      <c r="H83" s="12" t="s">
        <v>27</v>
      </c>
      <c r="I83" s="12">
        <v>1</v>
      </c>
      <c r="J83" s="13" t="s">
        <v>485</v>
      </c>
      <c r="K83" s="13" t="s">
        <v>486</v>
      </c>
      <c r="L83" s="13" t="s">
        <v>34</v>
      </c>
      <c r="M83" s="13" t="s">
        <v>35</v>
      </c>
      <c r="N83" s="12">
        <v>0</v>
      </c>
      <c r="O83" s="12">
        <v>1</v>
      </c>
    </row>
    <row r="84" spans="1:15" ht="30">
      <c r="A84" s="1">
        <v>81</v>
      </c>
      <c r="B84" s="1" t="s">
        <v>260</v>
      </c>
      <c r="C84" s="1" t="s">
        <v>383</v>
      </c>
      <c r="D84" s="1" t="s">
        <v>261</v>
      </c>
      <c r="E84" s="1" t="s">
        <v>262</v>
      </c>
      <c r="F84" s="1" t="s">
        <v>327</v>
      </c>
      <c r="G84" s="12">
        <v>0.68</v>
      </c>
      <c r="H84" s="12" t="s">
        <v>27</v>
      </c>
      <c r="I84" s="12">
        <v>0.68</v>
      </c>
      <c r="J84" s="13" t="s">
        <v>464</v>
      </c>
      <c r="K84" s="13" t="s">
        <v>59</v>
      </c>
      <c r="L84" s="13" t="s">
        <v>18</v>
      </c>
      <c r="M84" s="13" t="s">
        <v>86</v>
      </c>
      <c r="N84" s="12">
        <v>0</v>
      </c>
      <c r="O84" s="12">
        <f t="shared" si="2"/>
        <v>0.68</v>
      </c>
    </row>
    <row r="85" spans="1:15" ht="75">
      <c r="A85" s="1">
        <v>82</v>
      </c>
      <c r="B85" s="1" t="s">
        <v>263</v>
      </c>
      <c r="C85" s="1" t="s">
        <v>383</v>
      </c>
      <c r="D85" s="1" t="s">
        <v>483</v>
      </c>
      <c r="E85" s="1" t="s">
        <v>264</v>
      </c>
      <c r="F85" s="1" t="s">
        <v>327</v>
      </c>
      <c r="G85" s="12">
        <v>1.65</v>
      </c>
      <c r="H85" s="12" t="s">
        <v>27</v>
      </c>
      <c r="I85" s="12">
        <v>0.5</v>
      </c>
      <c r="J85" s="13" t="s">
        <v>465</v>
      </c>
      <c r="K85" s="13" t="s">
        <v>579</v>
      </c>
      <c r="L85" s="13" t="s">
        <v>18</v>
      </c>
      <c r="M85" s="13" t="s">
        <v>273</v>
      </c>
      <c r="N85" s="15">
        <v>0</v>
      </c>
      <c r="O85" s="15">
        <v>0.5</v>
      </c>
    </row>
    <row r="86" spans="1:15" ht="90">
      <c r="A86" s="1">
        <v>83</v>
      </c>
      <c r="B86" s="1" t="s">
        <v>265</v>
      </c>
      <c r="C86" s="1" t="s">
        <v>383</v>
      </c>
      <c r="D86" s="1" t="s">
        <v>266</v>
      </c>
      <c r="E86" s="1" t="s">
        <v>267</v>
      </c>
      <c r="F86" s="1" t="s">
        <v>327</v>
      </c>
      <c r="G86" s="12">
        <v>0.81</v>
      </c>
      <c r="H86" s="12" t="s">
        <v>27</v>
      </c>
      <c r="I86" s="12">
        <v>0.1</v>
      </c>
      <c r="J86" s="13" t="s">
        <v>466</v>
      </c>
      <c r="K86" s="13" t="s">
        <v>300</v>
      </c>
      <c r="L86" s="13" t="s">
        <v>18</v>
      </c>
      <c r="M86" s="13" t="s">
        <v>268</v>
      </c>
      <c r="N86" s="12">
        <v>0</v>
      </c>
      <c r="O86" s="12">
        <f t="shared" si="2"/>
        <v>0.1</v>
      </c>
    </row>
    <row r="87" spans="1:15" ht="60">
      <c r="A87" s="1">
        <v>84</v>
      </c>
      <c r="B87" s="1" t="s">
        <v>277</v>
      </c>
      <c r="C87" s="1" t="s">
        <v>278</v>
      </c>
      <c r="D87" s="1" t="s">
        <v>279</v>
      </c>
      <c r="E87" s="1" t="s">
        <v>280</v>
      </c>
      <c r="F87" s="1" t="s">
        <v>326</v>
      </c>
      <c r="G87" s="12">
        <v>11.85</v>
      </c>
      <c r="H87" s="12">
        <v>5.8</v>
      </c>
      <c r="I87" s="12">
        <v>4.66</v>
      </c>
      <c r="J87" s="13" t="s">
        <v>401</v>
      </c>
      <c r="K87" s="13" t="s">
        <v>168</v>
      </c>
      <c r="L87" s="13" t="s">
        <v>18</v>
      </c>
      <c r="M87" s="13" t="s">
        <v>281</v>
      </c>
      <c r="N87" s="12">
        <v>1.1200000000000001</v>
      </c>
      <c r="O87" s="12">
        <f t="shared" si="2"/>
        <v>3.54</v>
      </c>
    </row>
    <row r="88" spans="1:15" ht="120">
      <c r="A88" s="1">
        <v>85</v>
      </c>
      <c r="B88" s="1" t="s">
        <v>282</v>
      </c>
      <c r="C88" s="1" t="s">
        <v>278</v>
      </c>
      <c r="D88" s="1" t="s">
        <v>279</v>
      </c>
      <c r="E88" s="1" t="s">
        <v>283</v>
      </c>
      <c r="F88" s="1" t="s">
        <v>326</v>
      </c>
      <c r="G88" s="12">
        <v>7.99</v>
      </c>
      <c r="H88" s="12">
        <v>2.59</v>
      </c>
      <c r="I88" s="12">
        <v>3.74</v>
      </c>
      <c r="J88" s="13" t="s">
        <v>526</v>
      </c>
      <c r="K88" s="13" t="s">
        <v>507</v>
      </c>
      <c r="L88" s="13" t="s">
        <v>18</v>
      </c>
      <c r="M88" s="13" t="s">
        <v>559</v>
      </c>
      <c r="N88" s="12">
        <v>0.33</v>
      </c>
      <c r="O88" s="12">
        <f t="shared" si="2"/>
        <v>3.41</v>
      </c>
    </row>
    <row r="89" spans="1:15" ht="60">
      <c r="A89" s="1">
        <v>86</v>
      </c>
      <c r="B89" s="1" t="s">
        <v>136</v>
      </c>
      <c r="C89" s="1" t="s">
        <v>137</v>
      </c>
      <c r="D89" s="1" t="s">
        <v>138</v>
      </c>
      <c r="E89" s="1" t="s">
        <v>139</v>
      </c>
      <c r="F89" s="1" t="s">
        <v>326</v>
      </c>
      <c r="G89" s="12">
        <v>42.44</v>
      </c>
      <c r="H89" s="12">
        <v>0.1</v>
      </c>
      <c r="I89" s="12">
        <v>6</v>
      </c>
      <c r="J89" s="13" t="s">
        <v>402</v>
      </c>
      <c r="K89" s="13" t="s">
        <v>54</v>
      </c>
      <c r="L89" s="13" t="s">
        <v>18</v>
      </c>
      <c r="M89" s="13" t="s">
        <v>140</v>
      </c>
      <c r="N89" s="12">
        <v>1.71</v>
      </c>
      <c r="O89" s="12">
        <f t="shared" si="2"/>
        <v>4.29</v>
      </c>
    </row>
    <row r="90" spans="1:15" ht="60">
      <c r="A90" s="1">
        <v>87</v>
      </c>
      <c r="B90" s="1" t="s">
        <v>141</v>
      </c>
      <c r="C90" s="1" t="s">
        <v>137</v>
      </c>
      <c r="D90" s="1" t="s">
        <v>142</v>
      </c>
      <c r="E90" s="1" t="s">
        <v>143</v>
      </c>
      <c r="F90" s="1" t="s">
        <v>326</v>
      </c>
      <c r="G90" s="12">
        <v>2.0499999999999998</v>
      </c>
      <c r="H90" s="12">
        <v>0.51</v>
      </c>
      <c r="I90" s="12">
        <v>1.5</v>
      </c>
      <c r="J90" s="13" t="s">
        <v>403</v>
      </c>
      <c r="K90" s="13" t="s">
        <v>193</v>
      </c>
      <c r="L90" s="13" t="s">
        <v>18</v>
      </c>
      <c r="M90" s="13" t="s">
        <v>70</v>
      </c>
      <c r="N90" s="12">
        <v>0.46</v>
      </c>
      <c r="O90" s="12">
        <f t="shared" si="2"/>
        <v>1.04</v>
      </c>
    </row>
    <row r="91" spans="1:15" ht="60">
      <c r="A91" s="1">
        <v>88</v>
      </c>
      <c r="B91" s="1" t="s">
        <v>145</v>
      </c>
      <c r="C91" s="1" t="s">
        <v>137</v>
      </c>
      <c r="D91" s="1" t="s">
        <v>146</v>
      </c>
      <c r="E91" s="1" t="s">
        <v>147</v>
      </c>
      <c r="F91" s="1" t="s">
        <v>326</v>
      </c>
      <c r="G91" s="12">
        <v>0.09</v>
      </c>
      <c r="H91" s="12">
        <v>0</v>
      </c>
      <c r="I91" s="12">
        <v>0.09</v>
      </c>
      <c r="J91" s="13" t="s">
        <v>404</v>
      </c>
      <c r="K91" s="13" t="s">
        <v>148</v>
      </c>
      <c r="L91" s="13" t="s">
        <v>18</v>
      </c>
      <c r="M91" s="13" t="s">
        <v>149</v>
      </c>
      <c r="N91" s="12">
        <v>0</v>
      </c>
      <c r="O91" s="12">
        <f t="shared" si="2"/>
        <v>0.09</v>
      </c>
    </row>
    <row r="92" spans="1:15" ht="45">
      <c r="A92" s="1">
        <v>89</v>
      </c>
      <c r="B92" s="1" t="s">
        <v>150</v>
      </c>
      <c r="C92" s="1" t="s">
        <v>137</v>
      </c>
      <c r="D92" s="1" t="s">
        <v>151</v>
      </c>
      <c r="E92" s="1" t="s">
        <v>152</v>
      </c>
      <c r="F92" s="1" t="s">
        <v>327</v>
      </c>
      <c r="G92" s="12">
        <v>0.23</v>
      </c>
      <c r="H92" s="12" t="s">
        <v>27</v>
      </c>
      <c r="I92" s="12">
        <v>0.23</v>
      </c>
      <c r="J92" s="13" t="s">
        <v>467</v>
      </c>
      <c r="K92" s="13" t="s">
        <v>23</v>
      </c>
      <c r="L92" s="13" t="s">
        <v>18</v>
      </c>
      <c r="M92" s="13" t="s">
        <v>116</v>
      </c>
      <c r="N92" s="12" t="s">
        <v>65</v>
      </c>
      <c r="O92" s="12">
        <v>0.23</v>
      </c>
    </row>
    <row r="93" spans="1:15" ht="33.75" customHeight="1">
      <c r="A93" s="1">
        <v>90</v>
      </c>
      <c r="B93" s="1" t="s">
        <v>153</v>
      </c>
      <c r="C93" s="1" t="s">
        <v>137</v>
      </c>
      <c r="D93" s="1" t="s">
        <v>154</v>
      </c>
      <c r="E93" s="1" t="s">
        <v>155</v>
      </c>
      <c r="F93" s="1" t="s">
        <v>327</v>
      </c>
      <c r="G93" s="12">
        <v>0.85</v>
      </c>
      <c r="H93" s="12" t="s">
        <v>27</v>
      </c>
      <c r="I93" s="12">
        <v>0.85</v>
      </c>
      <c r="J93" s="13" t="s">
        <v>468</v>
      </c>
      <c r="K93" s="13" t="s">
        <v>54</v>
      </c>
      <c r="L93" s="13" t="s">
        <v>18</v>
      </c>
      <c r="M93" s="13" t="s">
        <v>140</v>
      </c>
      <c r="N93" s="12" t="s">
        <v>65</v>
      </c>
      <c r="O93" s="12">
        <v>0.85</v>
      </c>
    </row>
    <row r="94" spans="1:15" ht="45">
      <c r="A94" s="1">
        <v>91</v>
      </c>
      <c r="B94" s="1" t="s">
        <v>156</v>
      </c>
      <c r="C94" s="1" t="s">
        <v>137</v>
      </c>
      <c r="D94" s="1" t="s">
        <v>157</v>
      </c>
      <c r="E94" s="1" t="s">
        <v>158</v>
      </c>
      <c r="F94" s="1" t="s">
        <v>327</v>
      </c>
      <c r="G94" s="12">
        <v>1.86</v>
      </c>
      <c r="H94" s="12" t="s">
        <v>27</v>
      </c>
      <c r="I94" s="12">
        <v>0.86</v>
      </c>
      <c r="J94" s="13" t="s">
        <v>469</v>
      </c>
      <c r="K94" s="13" t="s">
        <v>159</v>
      </c>
      <c r="L94" s="13" t="s">
        <v>18</v>
      </c>
      <c r="M94" s="13" t="s">
        <v>160</v>
      </c>
      <c r="N94" s="12" t="s">
        <v>65</v>
      </c>
      <c r="O94" s="12">
        <v>0.86</v>
      </c>
    </row>
    <row r="95" spans="1:15" ht="30">
      <c r="A95" s="1">
        <v>92</v>
      </c>
      <c r="B95" s="1" t="s">
        <v>161</v>
      </c>
      <c r="C95" s="1" t="s">
        <v>137</v>
      </c>
      <c r="D95" s="1" t="s">
        <v>151</v>
      </c>
      <c r="E95" s="1" t="s">
        <v>162</v>
      </c>
      <c r="F95" s="1" t="s">
        <v>327</v>
      </c>
      <c r="G95" s="12">
        <v>1.89</v>
      </c>
      <c r="H95" s="12" t="s">
        <v>27</v>
      </c>
      <c r="I95" s="12">
        <v>1.89</v>
      </c>
      <c r="J95" s="13" t="s">
        <v>558</v>
      </c>
      <c r="K95" s="13" t="s">
        <v>163</v>
      </c>
      <c r="L95" s="13" t="s">
        <v>34</v>
      </c>
      <c r="M95" s="13" t="s">
        <v>35</v>
      </c>
      <c r="N95" s="12">
        <v>0</v>
      </c>
      <c r="O95" s="12">
        <f t="shared" si="2"/>
        <v>1.89</v>
      </c>
    </row>
    <row r="96" spans="1:15" ht="46.5" customHeight="1">
      <c r="A96" s="1">
        <v>93</v>
      </c>
      <c r="B96" s="1" t="s">
        <v>374</v>
      </c>
      <c r="C96" s="1" t="s">
        <v>137</v>
      </c>
      <c r="D96" s="1" t="s">
        <v>375</v>
      </c>
      <c r="E96" s="7" t="s">
        <v>476</v>
      </c>
      <c r="F96" s="1" t="s">
        <v>327</v>
      </c>
      <c r="G96" s="12">
        <v>0.63</v>
      </c>
      <c r="H96" s="12" t="s">
        <v>27</v>
      </c>
      <c r="I96" s="12">
        <v>0.14000000000000001</v>
      </c>
      <c r="J96" s="13" t="s">
        <v>474</v>
      </c>
      <c r="K96" s="13" t="s">
        <v>74</v>
      </c>
      <c r="L96" s="13" t="s">
        <v>34</v>
      </c>
      <c r="M96" s="13" t="s">
        <v>35</v>
      </c>
      <c r="N96" s="12">
        <v>0</v>
      </c>
      <c r="O96" s="12">
        <f t="shared" si="2"/>
        <v>0.14000000000000001</v>
      </c>
    </row>
    <row r="97" spans="1:15" ht="75">
      <c r="A97" s="1">
        <v>94</v>
      </c>
      <c r="B97" s="1" t="s">
        <v>340</v>
      </c>
      <c r="C97" s="1" t="s">
        <v>332</v>
      </c>
      <c r="D97" s="1" t="s">
        <v>333</v>
      </c>
      <c r="E97" s="1" t="s">
        <v>334</v>
      </c>
      <c r="F97" s="1" t="s">
        <v>326</v>
      </c>
      <c r="G97" s="12">
        <v>1.55</v>
      </c>
      <c r="H97" s="12" t="s">
        <v>35</v>
      </c>
      <c r="I97" s="12">
        <v>0.21</v>
      </c>
      <c r="J97" s="13" t="s">
        <v>405</v>
      </c>
      <c r="K97" s="13" t="s">
        <v>335</v>
      </c>
      <c r="L97" s="13" t="s">
        <v>18</v>
      </c>
      <c r="M97" s="13" t="s">
        <v>135</v>
      </c>
      <c r="N97" s="12">
        <v>0</v>
      </c>
      <c r="O97" s="12">
        <f t="shared" si="2"/>
        <v>0.21</v>
      </c>
    </row>
    <row r="98" spans="1:15" ht="45">
      <c r="A98" s="1">
        <v>95</v>
      </c>
      <c r="B98" s="1" t="s">
        <v>284</v>
      </c>
      <c r="C98" s="1" t="s">
        <v>384</v>
      </c>
      <c r="D98" s="1" t="s">
        <v>285</v>
      </c>
      <c r="E98" s="1" t="s">
        <v>286</v>
      </c>
      <c r="F98" s="1" t="s">
        <v>327</v>
      </c>
      <c r="G98" s="12">
        <v>0.63</v>
      </c>
      <c r="H98" s="12" t="s">
        <v>27</v>
      </c>
      <c r="I98" s="12">
        <v>0.62</v>
      </c>
      <c r="J98" s="13" t="s">
        <v>422</v>
      </c>
      <c r="K98" s="13" t="s">
        <v>69</v>
      </c>
      <c r="L98" s="13" t="s">
        <v>18</v>
      </c>
      <c r="M98" s="13" t="s">
        <v>268</v>
      </c>
      <c r="N98" s="12">
        <v>0</v>
      </c>
      <c r="O98" s="12">
        <f t="shared" si="2"/>
        <v>0.62</v>
      </c>
    </row>
    <row r="99" spans="1:15" ht="88.5" customHeight="1">
      <c r="A99" s="1">
        <v>96</v>
      </c>
      <c r="B99" s="1" t="s">
        <v>287</v>
      </c>
      <c r="C99" s="1" t="s">
        <v>384</v>
      </c>
      <c r="D99" s="1" t="s">
        <v>288</v>
      </c>
      <c r="E99" s="1" t="s">
        <v>289</v>
      </c>
      <c r="F99" s="1" t="s">
        <v>327</v>
      </c>
      <c r="G99" s="12">
        <v>0.81</v>
      </c>
      <c r="H99" s="12" t="s">
        <v>27</v>
      </c>
      <c r="I99" s="12">
        <v>0.81</v>
      </c>
      <c r="J99" s="13" t="s">
        <v>421</v>
      </c>
      <c r="K99" s="13" t="s">
        <v>378</v>
      </c>
      <c r="L99" s="13" t="s">
        <v>18</v>
      </c>
      <c r="M99" s="13" t="s">
        <v>86</v>
      </c>
      <c r="N99" s="12">
        <v>0</v>
      </c>
      <c r="O99" s="12">
        <f t="shared" si="2"/>
        <v>0.81</v>
      </c>
    </row>
    <row r="100" spans="1:15" ht="45">
      <c r="A100" s="1">
        <v>97</v>
      </c>
      <c r="B100" s="1" t="s">
        <v>290</v>
      </c>
      <c r="C100" s="1" t="s">
        <v>384</v>
      </c>
      <c r="D100" s="1" t="s">
        <v>285</v>
      </c>
      <c r="E100" s="1" t="s">
        <v>291</v>
      </c>
      <c r="F100" s="1" t="s">
        <v>327</v>
      </c>
      <c r="G100" s="12">
        <v>0.3</v>
      </c>
      <c r="H100" s="12" t="s">
        <v>27</v>
      </c>
      <c r="I100" s="12">
        <v>0.18</v>
      </c>
      <c r="J100" s="13" t="s">
        <v>420</v>
      </c>
      <c r="K100" s="13" t="s">
        <v>148</v>
      </c>
      <c r="L100" s="13" t="s">
        <v>18</v>
      </c>
      <c r="M100" s="13" t="s">
        <v>268</v>
      </c>
      <c r="N100" s="12">
        <v>0</v>
      </c>
      <c r="O100" s="12">
        <f t="shared" si="2"/>
        <v>0.18</v>
      </c>
    </row>
    <row r="101" spans="1:15" ht="45">
      <c r="A101" s="1">
        <v>98</v>
      </c>
      <c r="B101" s="1" t="s">
        <v>292</v>
      </c>
      <c r="C101" s="1" t="s">
        <v>384</v>
      </c>
      <c r="D101" s="1" t="s">
        <v>293</v>
      </c>
      <c r="E101" s="1" t="s">
        <v>294</v>
      </c>
      <c r="F101" s="1" t="s">
        <v>327</v>
      </c>
      <c r="G101" s="12">
        <v>0.62</v>
      </c>
      <c r="H101" s="12" t="s">
        <v>27</v>
      </c>
      <c r="I101" s="12">
        <v>0.2</v>
      </c>
      <c r="J101" s="13" t="s">
        <v>419</v>
      </c>
      <c r="K101" s="13" t="s">
        <v>148</v>
      </c>
      <c r="L101" s="13" t="s">
        <v>18</v>
      </c>
      <c r="M101" s="13" t="s">
        <v>556</v>
      </c>
      <c r="N101" s="12">
        <v>0</v>
      </c>
      <c r="O101" s="12">
        <f t="shared" si="2"/>
        <v>0.2</v>
      </c>
    </row>
    <row r="102" spans="1:15" ht="60">
      <c r="A102" s="1">
        <v>99</v>
      </c>
      <c r="B102" s="1" t="s">
        <v>295</v>
      </c>
      <c r="C102" s="1" t="s">
        <v>384</v>
      </c>
      <c r="D102" s="1" t="s">
        <v>285</v>
      </c>
      <c r="E102" s="1" t="s">
        <v>296</v>
      </c>
      <c r="F102" s="1" t="s">
        <v>327</v>
      </c>
      <c r="G102" s="12">
        <v>0.73</v>
      </c>
      <c r="H102" s="12" t="s">
        <v>27</v>
      </c>
      <c r="I102" s="12">
        <v>0.41</v>
      </c>
      <c r="J102" s="13" t="s">
        <v>418</v>
      </c>
      <c r="K102" s="13" t="s">
        <v>163</v>
      </c>
      <c r="L102" s="13" t="s">
        <v>34</v>
      </c>
      <c r="M102" s="13" t="s">
        <v>35</v>
      </c>
      <c r="N102" s="12">
        <v>0</v>
      </c>
      <c r="O102" s="12">
        <f t="shared" si="2"/>
        <v>0.41</v>
      </c>
    </row>
    <row r="103" spans="1:15" ht="45">
      <c r="A103" s="1">
        <v>100</v>
      </c>
      <c r="B103" s="1" t="s">
        <v>363</v>
      </c>
      <c r="C103" s="1" t="s">
        <v>384</v>
      </c>
      <c r="D103" s="1" t="s">
        <v>365</v>
      </c>
      <c r="E103" s="1" t="s">
        <v>364</v>
      </c>
      <c r="F103" s="1" t="s">
        <v>327</v>
      </c>
      <c r="G103" s="12">
        <v>0.65</v>
      </c>
      <c r="H103" s="12" t="s">
        <v>27</v>
      </c>
      <c r="I103" s="12">
        <v>0.65</v>
      </c>
      <c r="J103" s="13" t="s">
        <v>417</v>
      </c>
      <c r="K103" s="13" t="s">
        <v>74</v>
      </c>
      <c r="L103" s="13" t="s">
        <v>34</v>
      </c>
      <c r="M103" s="13" t="s">
        <v>35</v>
      </c>
      <c r="N103" s="12">
        <v>0</v>
      </c>
      <c r="O103" s="12">
        <f t="shared" si="2"/>
        <v>0.65</v>
      </c>
    </row>
    <row r="104" spans="1:15" ht="45">
      <c r="A104" s="1">
        <v>101</v>
      </c>
      <c r="B104" s="1" t="s">
        <v>297</v>
      </c>
      <c r="C104" s="1" t="s">
        <v>385</v>
      </c>
      <c r="D104" s="1" t="s">
        <v>298</v>
      </c>
      <c r="E104" s="1" t="s">
        <v>299</v>
      </c>
      <c r="F104" s="1" t="s">
        <v>327</v>
      </c>
      <c r="G104" s="12">
        <v>0.72</v>
      </c>
      <c r="H104" s="12" t="s">
        <v>27</v>
      </c>
      <c r="I104" s="12">
        <v>0.15</v>
      </c>
      <c r="J104" s="13" t="s">
        <v>416</v>
      </c>
      <c r="K104" s="13" t="s">
        <v>300</v>
      </c>
      <c r="L104" s="13" t="s">
        <v>18</v>
      </c>
      <c r="M104" s="13" t="s">
        <v>301</v>
      </c>
      <c r="N104" s="12">
        <v>0</v>
      </c>
      <c r="O104" s="12">
        <f t="shared" si="2"/>
        <v>0.15</v>
      </c>
    </row>
    <row r="105" spans="1:15" ht="90">
      <c r="A105" s="1">
        <v>102</v>
      </c>
      <c r="B105" s="1" t="s">
        <v>366</v>
      </c>
      <c r="C105" s="1" t="s">
        <v>385</v>
      </c>
      <c r="D105" s="1" t="s">
        <v>298</v>
      </c>
      <c r="E105" s="1" t="s">
        <v>367</v>
      </c>
      <c r="F105" s="1" t="s">
        <v>327</v>
      </c>
      <c r="G105" s="12">
        <v>0.21</v>
      </c>
      <c r="H105" s="12" t="s">
        <v>27</v>
      </c>
      <c r="I105" s="12">
        <v>0.21</v>
      </c>
      <c r="J105" s="13" t="s">
        <v>415</v>
      </c>
      <c r="K105" s="13" t="s">
        <v>74</v>
      </c>
      <c r="L105" s="13" t="s">
        <v>34</v>
      </c>
      <c r="M105" s="13" t="s">
        <v>35</v>
      </c>
      <c r="N105" s="12">
        <v>0</v>
      </c>
      <c r="O105" s="12">
        <f t="shared" si="2"/>
        <v>0.21</v>
      </c>
    </row>
    <row r="106" spans="1:15" ht="60">
      <c r="A106" s="1">
        <v>103</v>
      </c>
      <c r="B106" s="1" t="s">
        <v>368</v>
      </c>
      <c r="C106" s="1" t="s">
        <v>385</v>
      </c>
      <c r="D106" s="1" t="s">
        <v>298</v>
      </c>
      <c r="E106" s="1" t="s">
        <v>369</v>
      </c>
      <c r="F106" s="1" t="s">
        <v>327</v>
      </c>
      <c r="G106" s="12">
        <v>0.4</v>
      </c>
      <c r="H106" s="12" t="s">
        <v>27</v>
      </c>
      <c r="I106" s="12">
        <v>0.4</v>
      </c>
      <c r="J106" s="13" t="s">
        <v>414</v>
      </c>
      <c r="K106" s="13" t="s">
        <v>342</v>
      </c>
      <c r="L106" s="13" t="s">
        <v>34</v>
      </c>
      <c r="M106" s="13" t="s">
        <v>35</v>
      </c>
      <c r="N106" s="12">
        <v>0</v>
      </c>
      <c r="O106" s="12">
        <f t="shared" si="2"/>
        <v>0.4</v>
      </c>
    </row>
    <row r="107" spans="1:15" ht="75">
      <c r="A107" s="1">
        <v>104</v>
      </c>
      <c r="B107" s="1" t="s">
        <v>321</v>
      </c>
      <c r="C107" s="1" t="s">
        <v>323</v>
      </c>
      <c r="D107" s="1" t="s">
        <v>324</v>
      </c>
      <c r="E107" s="1" t="s">
        <v>322</v>
      </c>
      <c r="F107" s="1" t="s">
        <v>326</v>
      </c>
      <c r="G107" s="12">
        <v>1.62</v>
      </c>
      <c r="H107" s="12">
        <v>1.1100000000000001</v>
      </c>
      <c r="I107" s="12">
        <v>0.51</v>
      </c>
      <c r="J107" s="13" t="s">
        <v>406</v>
      </c>
      <c r="K107" s="13" t="s">
        <v>39</v>
      </c>
      <c r="L107" s="13" t="s">
        <v>18</v>
      </c>
      <c r="M107" s="13" t="s">
        <v>342</v>
      </c>
      <c r="N107" s="12">
        <v>0.03</v>
      </c>
      <c r="O107" s="12">
        <f t="shared" si="2"/>
        <v>0.48</v>
      </c>
    </row>
    <row r="108" spans="1:15" ht="56.25" customHeight="1">
      <c r="A108" s="1">
        <v>105</v>
      </c>
      <c r="B108" s="1" t="s">
        <v>302</v>
      </c>
      <c r="C108" s="1" t="s">
        <v>323</v>
      </c>
      <c r="D108" s="1" t="s">
        <v>324</v>
      </c>
      <c r="E108" s="1" t="s">
        <v>303</v>
      </c>
      <c r="F108" s="1" t="s">
        <v>327</v>
      </c>
      <c r="G108" s="12">
        <v>0.59</v>
      </c>
      <c r="H108" s="12" t="s">
        <v>27</v>
      </c>
      <c r="I108" s="12">
        <v>0.09</v>
      </c>
      <c r="J108" s="13" t="s">
        <v>413</v>
      </c>
      <c r="K108" s="13" t="s">
        <v>69</v>
      </c>
      <c r="L108" s="13" t="s">
        <v>18</v>
      </c>
      <c r="M108" s="13" t="s">
        <v>557</v>
      </c>
      <c r="N108" s="12">
        <v>0</v>
      </c>
      <c r="O108" s="12">
        <f t="shared" si="2"/>
        <v>0.09</v>
      </c>
    </row>
    <row r="109" spans="1:15" ht="58.5" customHeight="1">
      <c r="A109" s="1">
        <v>106</v>
      </c>
      <c r="B109" s="1" t="s">
        <v>372</v>
      </c>
      <c r="C109" s="1" t="s">
        <v>323</v>
      </c>
      <c r="D109" s="1" t="s">
        <v>324</v>
      </c>
      <c r="E109" s="1" t="s">
        <v>373</v>
      </c>
      <c r="F109" s="1" t="s">
        <v>327</v>
      </c>
      <c r="G109" s="12">
        <v>0.7</v>
      </c>
      <c r="H109" s="12" t="s">
        <v>27</v>
      </c>
      <c r="I109" s="12">
        <v>7.0000000000000007E-2</v>
      </c>
      <c r="J109" s="13" t="s">
        <v>412</v>
      </c>
      <c r="K109" s="13" t="s">
        <v>86</v>
      </c>
      <c r="L109" s="13" t="s">
        <v>34</v>
      </c>
      <c r="M109" s="13" t="s">
        <v>35</v>
      </c>
      <c r="N109" s="12">
        <v>0</v>
      </c>
      <c r="O109" s="12">
        <f t="shared" si="2"/>
        <v>7.0000000000000007E-2</v>
      </c>
    </row>
    <row r="110" spans="1:15" ht="58.5" customHeight="1">
      <c r="A110" s="1">
        <v>107</v>
      </c>
      <c r="B110" s="9" t="s">
        <v>539</v>
      </c>
      <c r="C110" s="1" t="s">
        <v>323</v>
      </c>
      <c r="D110" s="1" t="s">
        <v>324</v>
      </c>
      <c r="E110" s="8" t="s">
        <v>546</v>
      </c>
      <c r="F110" s="1" t="s">
        <v>327</v>
      </c>
      <c r="G110" s="15">
        <v>0.09</v>
      </c>
      <c r="H110" s="12" t="s">
        <v>27</v>
      </c>
      <c r="I110" s="15">
        <v>0.09</v>
      </c>
      <c r="J110" s="16" t="s">
        <v>540</v>
      </c>
      <c r="K110" s="17" t="s">
        <v>541</v>
      </c>
      <c r="L110" s="13" t="s">
        <v>34</v>
      </c>
      <c r="M110" s="13" t="s">
        <v>35</v>
      </c>
      <c r="N110" s="12">
        <v>0</v>
      </c>
      <c r="O110" s="15">
        <v>0.09</v>
      </c>
    </row>
    <row r="111" spans="1:15" ht="45">
      <c r="A111" s="1">
        <v>108</v>
      </c>
      <c r="B111" s="1" t="s">
        <v>304</v>
      </c>
      <c r="C111" s="1" t="s">
        <v>386</v>
      </c>
      <c r="D111" s="1" t="s">
        <v>305</v>
      </c>
      <c r="E111" s="1" t="s">
        <v>306</v>
      </c>
      <c r="F111" s="1" t="s">
        <v>327</v>
      </c>
      <c r="G111" s="12">
        <v>0.6</v>
      </c>
      <c r="H111" s="12" t="s">
        <v>27</v>
      </c>
      <c r="I111" s="12">
        <v>0.44</v>
      </c>
      <c r="J111" s="13" t="s">
        <v>411</v>
      </c>
      <c r="K111" s="13" t="s">
        <v>69</v>
      </c>
      <c r="L111" s="13" t="s">
        <v>18</v>
      </c>
      <c r="M111" s="13" t="s">
        <v>39</v>
      </c>
      <c r="N111" s="12">
        <v>0.16</v>
      </c>
      <c r="O111" s="12">
        <f t="shared" si="2"/>
        <v>0.28000000000000003</v>
      </c>
    </row>
    <row r="112" spans="1:15" ht="60">
      <c r="A112" s="1">
        <v>109</v>
      </c>
      <c r="B112" s="1" t="s">
        <v>307</v>
      </c>
      <c r="C112" s="1" t="s">
        <v>308</v>
      </c>
      <c r="D112" s="1" t="s">
        <v>309</v>
      </c>
      <c r="E112" s="1" t="s">
        <v>310</v>
      </c>
      <c r="F112" s="1" t="s">
        <v>326</v>
      </c>
      <c r="G112" s="12">
        <v>7.07</v>
      </c>
      <c r="H112" s="12">
        <v>5.4</v>
      </c>
      <c r="I112" s="12">
        <v>1.3</v>
      </c>
      <c r="J112" s="12" t="s">
        <v>408</v>
      </c>
      <c r="K112" s="13" t="s">
        <v>48</v>
      </c>
      <c r="L112" s="13" t="s">
        <v>18</v>
      </c>
      <c r="M112" s="13" t="s">
        <v>311</v>
      </c>
      <c r="N112" s="12">
        <v>1.3</v>
      </c>
      <c r="O112" s="12">
        <f t="shared" si="2"/>
        <v>0</v>
      </c>
    </row>
    <row r="113" spans="1:15" ht="60">
      <c r="A113" s="1">
        <v>110</v>
      </c>
      <c r="B113" s="1" t="s">
        <v>315</v>
      </c>
      <c r="C113" s="1" t="s">
        <v>308</v>
      </c>
      <c r="D113" s="1" t="s">
        <v>309</v>
      </c>
      <c r="E113" s="1" t="s">
        <v>316</v>
      </c>
      <c r="F113" s="1" t="s">
        <v>326</v>
      </c>
      <c r="G113" s="12">
        <v>0.64</v>
      </c>
      <c r="H113" s="12" t="s">
        <v>35</v>
      </c>
      <c r="I113" s="12">
        <v>0.64</v>
      </c>
      <c r="J113" s="12" t="s">
        <v>409</v>
      </c>
      <c r="K113" s="13" t="s">
        <v>281</v>
      </c>
      <c r="L113" s="13" t="s">
        <v>18</v>
      </c>
      <c r="M113" s="13" t="s">
        <v>317</v>
      </c>
      <c r="N113" s="12">
        <v>0</v>
      </c>
      <c r="O113" s="12">
        <f t="shared" si="2"/>
        <v>0.64</v>
      </c>
    </row>
    <row r="114" spans="1:15" ht="66" customHeight="1">
      <c r="A114" s="1">
        <v>111</v>
      </c>
      <c r="B114" s="1" t="s">
        <v>318</v>
      </c>
      <c r="C114" s="1" t="s">
        <v>308</v>
      </c>
      <c r="D114" s="1" t="s">
        <v>309</v>
      </c>
      <c r="E114" s="1" t="s">
        <v>319</v>
      </c>
      <c r="F114" s="1" t="s">
        <v>326</v>
      </c>
      <c r="G114" s="12">
        <v>0.33</v>
      </c>
      <c r="H114" s="12" t="s">
        <v>35</v>
      </c>
      <c r="I114" s="12">
        <v>0.33</v>
      </c>
      <c r="J114" s="12" t="s">
        <v>407</v>
      </c>
      <c r="K114" s="13" t="s">
        <v>320</v>
      </c>
      <c r="L114" s="13" t="s">
        <v>18</v>
      </c>
      <c r="M114" s="13" t="s">
        <v>317</v>
      </c>
      <c r="N114" s="12">
        <v>0.01</v>
      </c>
      <c r="O114" s="12">
        <f t="shared" si="2"/>
        <v>0.32</v>
      </c>
    </row>
    <row r="115" spans="1:15" ht="60">
      <c r="A115" s="1">
        <v>112</v>
      </c>
      <c r="B115" s="1" t="s">
        <v>312</v>
      </c>
      <c r="C115" s="1" t="s">
        <v>313</v>
      </c>
      <c r="D115" s="1" t="s">
        <v>309</v>
      </c>
      <c r="E115" s="1" t="s">
        <v>314</v>
      </c>
      <c r="F115" s="1" t="s">
        <v>326</v>
      </c>
      <c r="G115" s="12">
        <v>3.96</v>
      </c>
      <c r="H115" s="12">
        <v>3.02</v>
      </c>
      <c r="I115" s="12">
        <v>0.25</v>
      </c>
      <c r="J115" s="12" t="s">
        <v>410</v>
      </c>
      <c r="K115" s="13" t="s">
        <v>193</v>
      </c>
      <c r="L115" s="13" t="s">
        <v>18</v>
      </c>
      <c r="M115" s="13" t="s">
        <v>134</v>
      </c>
      <c r="N115" s="12">
        <v>0.25</v>
      </c>
      <c r="O115" s="12">
        <f t="shared" si="2"/>
        <v>0</v>
      </c>
    </row>
    <row r="116" spans="1:15" ht="19.5" customHeight="1">
      <c r="I116" s="10">
        <f>SUM(I4:I115)</f>
        <v>450.92999999999984</v>
      </c>
      <c r="J116" s="10"/>
      <c r="K116" s="10"/>
      <c r="L116" s="10"/>
      <c r="M116" s="10"/>
      <c r="N116" s="10">
        <f>SUBTOTAL(9,N4:N115)</f>
        <v>209.70000000000002</v>
      </c>
      <c r="O116" s="10">
        <f>SUBTOTAL(9,O4:O115)</f>
        <v>241.23000000000002</v>
      </c>
    </row>
  </sheetData>
  <autoFilter ref="F1:F116"/>
  <sortState ref="B4:N91">
    <sortCondition ref="C4:C91"/>
  </sortState>
  <mergeCells count="1">
    <mergeCell ref="A1:O1"/>
  </mergeCells>
  <pageMargins left="0.7" right="0.7" top="0.75" bottom="0.75" header="0.3" footer="0.3"/>
  <pageSetup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Zone wise expenditure detail</vt:lpstr>
      <vt:lpstr>'Zone wise expenditure detail'!Print_Area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jyoti1</cp:lastModifiedBy>
  <cp:lastPrinted>2021-12-10T12:13:27Z</cp:lastPrinted>
  <dcterms:created xsi:type="dcterms:W3CDTF">2021-12-09T11:22:19Z</dcterms:created>
  <dcterms:modified xsi:type="dcterms:W3CDTF">2022-02-16T05:33:44Z</dcterms:modified>
</cp:coreProperties>
</file>